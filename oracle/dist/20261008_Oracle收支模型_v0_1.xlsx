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<sst xmlns="http://schemas.openxmlformats.org/spreadsheetml/2006/main" count="2998" uniqueCount="1800">
  <si>
    <r>
      <rPr>
        <b val="true"/>
        <sz val="14"/>
        <rFont val="Arial"/>
        <family val="0"/>
        <charset val="1"/>
      </rPr>
      <t xml:space="preserve">Oracle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</si>
  <si>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</si>
  <si>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一句話：客戶預付與投資級債能否把 </t>
    </r>
    <r>
      <rPr>
        <sz val="10"/>
        <rFont val="Arial"/>
        <family val="0"/>
        <charset val="1"/>
      </rPr>
      <t xml:space="preserve">$664B RPO </t>
    </r>
    <r>
      <rPr>
        <sz val="10"/>
        <rFont val="Noto Sans CJK SC"/>
        <family val="2"/>
      </rPr>
      <t xml:space="preserve">變成現金、而不需再發股——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</si>
  <si>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</si>
  <si>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</si>
  <si>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</si>
  <si>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1Q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</si>
  <si>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</si>
  <si>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</si>
  <si>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</si>
  <si>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</si>
  <si>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實際＋第 </t>
    </r>
    <r>
      <rPr>
        <sz val="10"/>
        <rFont val="Arial"/>
        <family val="0"/>
        <charset val="1"/>
      </rPr>
      <t xml:space="preserve">2–4 </t>
    </r>
    <r>
      <rPr>
        <sz val="10"/>
        <rFont val="Noto Sans CJK SC"/>
        <family val="2"/>
      </rPr>
      <t xml:space="preserve">季模型）。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</si>
  <si>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</si>
  <si>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</si>
  <si>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</si>
  <si>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</si>
  <si>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</si>
  <si>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</si>
  <si>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</si>
  <si>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</si>
  <si>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正向推導的三情境值（</t>
    </r>
    <r>
      <rPr>
        <sz val="10"/>
        <rFont val="Arial"/>
        <family val="0"/>
        <charset val="1"/>
      </rPr>
      <t xml:space="preserve">data/permw_tokenomics_20261007.json</t>
    </r>
    <r>
      <rPr>
        <sz val="10"/>
        <rFont val="Noto Sans CJK SC"/>
        <family val="2"/>
      </rPr>
      <t xml:space="preserve">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，因推導值已含可計費利用率。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</si>
  <si>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</si>
  <si>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</si>
  <si>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</si>
  <si>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</si>
  <si>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2Q–4Q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</si>
  <si>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</si>
  <si>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</si>
  <si>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</si>
  <si>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</si>
  <si>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</si>
  <si>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</si>
  <si>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</si>
  <si>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</si>
  <si>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</si>
  <si>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</si>
  <si>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</si>
  <si>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</si>
  <si>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</si>
  <si>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</si>
  <si>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</si>
  <si>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</si>
  <si>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</si>
  <si>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</si>
  <si>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</si>
  <si>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</si>
  <si>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</si>
  <si>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</si>
  <si>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</si>
  <si>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</si>
  <si>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</si>
  <si>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</si>
  <si>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</si>
  <si>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</si>
  <si>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</si>
  <si>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</si>
  <si>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</si>
  <si>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</si>
  <si>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</si>
  <si>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</si>
  <si>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</si>
  <si>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</si>
  <si>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</si>
  <si>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</si>
  <si>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</si>
  <si>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</si>
  <si>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</si>
  <si>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</si>
  <si>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</si>
  <si>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</si>
  <si>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</si>
  <si>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</si>
  <si>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</si>
  <si>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</si>
  <si>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</si>
  <si>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</si>
  <si>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</si>
  <si>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</si>
  <si>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</si>
  <si>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</si>
  <si>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</si>
  <si>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</si>
  <si>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</si>
  <si>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</si>
  <si>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</si>
  <si>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</si>
  <si>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</si>
  <si>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</si>
  <si>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</si>
  <si>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</si>
  <si>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</si>
  <si>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</si>
  <si>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</si>
  <si>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</si>
  <si>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</si>
  <si>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</si>
  <si>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</si>
  <si>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</si>
  <si>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</si>
  <si>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</si>
  <si>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</si>
  <si>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</si>
  <si>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</si>
  <si>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</si>
  <si>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</si>
  <si>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</si>
  <si>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</si>
  <si>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</si>
  <si>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</si>
  <si>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</si>
  <si>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</si>
  <si>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OCI 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</si>
  <si>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</si>
  <si>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OCI 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</si>
  <si>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</si>
  <si>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</si>
  <si>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</si>
  <si>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</si>
  <si>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</si>
  <si>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</si>
  <si>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</si>
  <si>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</si>
  <si>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</si>
  <si>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</si>
  <si>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</si>
  <si>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</si>
  <si>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</si>
  <si>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</si>
  <si>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</si>
  <si>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</si>
  <si>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</si>
  <si>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</si>
  <si>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</si>
  <si>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</si>
  <si>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</si>
  <si>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</si>
  <si>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90.45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90.449 </t>
    </r>
    <r>
      <rPr>
        <sz val="9"/>
        <color rgb="FF595959"/>
        <rFont val="Noto Sans CJK SC"/>
        <family val="2"/>
      </rPr>
      <t xml:space="preserve">幾乎相同，視為同一底層來源的兩個呈現，不算獨立交叉驗證。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的營收與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預估來自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90.48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FY28 131.45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90.449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131.711 </t>
    </r>
    <r>
      <rPr>
        <sz val="9"/>
        <color rgb="FF595959"/>
        <rFont val="Noto Sans CJK SC"/>
        <family val="2"/>
      </rPr>
      <t xml:space="preserve">一致，可作 </t>
    </r>
    <r>
      <rPr>
        <sz val="9"/>
        <color rgb="FF595959"/>
        <rFont val="Arial"/>
        <family val="0"/>
        <charset val="1"/>
      </rPr>
      <t xml:space="preserve">FY27–FY28 </t>
    </r>
    <r>
      <rPr>
        <sz val="9"/>
        <color rgb="FF595959"/>
        <rFont val="Noto Sans CJK SC"/>
        <family val="2"/>
      </rPr>
      <t xml:space="preserve">營收的獨立交叉。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237.97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完全相同，推測同源，不算獨立。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</si>
  <si>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</si>
  <si>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</si>
  <si>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1Q27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</si>
  <si>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</si>
  <si>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相關 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已簽約站點依 </t>
    </r>
    <r>
      <rPr>
        <b val="true"/>
        <sz val="10"/>
        <rFont val="Arial"/>
        <family val="0"/>
        <charset val="1"/>
      </rPr>
      <t xml:space="preserve">Q1 </t>
    </r>
    <r>
      <rPr>
        <b val="true"/>
        <sz val="10"/>
        <rFont val="Noto Sans CJK SC"/>
        <family val="2"/>
      </rPr>
      <t xml:space="preserve">速度、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依公司時程）</t>
    </r>
  </si>
  <si>
    <r>
      <rPr>
        <sz val="9"/>
        <color rgb="FF595959"/>
        <rFont val="Noto Sans CJK SC"/>
        <family val="2"/>
      </rPr>
      <t xml:space="preserve">三情境改變擴張力道（已連網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正向推導三情境值）；其餘假設相同（對照表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</si>
  <si>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</si>
  <si>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</si>
  <si>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</si>
  <si>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</si>
  <si>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</si>
  <si>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</si>
  <si>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</si>
  <si>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Noto Sans CJK SC"/>
        <family val="2"/>
      </rPr>
      <t xml:space="preserve">首期期末＝評價日已連網＋首期剩餘季度依最新季交付速度；推導與來源見 </t>
    </r>
    <r>
      <rPr>
        <sz val="9"/>
        <color rgb="FF595959"/>
        <rFont val="Arial"/>
        <family val="0"/>
        <charset val="1"/>
      </rPr>
      <t xml:space="preserve">company.json → scenarios.mwPath.note [Derived]</t>
    </r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</si>
  <si>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</si>
  <si>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</si>
  <si>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</si>
  <si>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</si>
  <si>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</si>
  <si>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</si>
  <si>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只交付已交付＋在建站點，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相關容量實現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（上限 </t>
    </r>
    <r>
      <rPr>
        <sz val="9"/>
        <color rgb="FF595959"/>
        <rFont val="Arial"/>
        <family val="0"/>
        <charset val="1"/>
      </rPr>
      <t xml:space="preserve">6,284 MW-IT</t>
    </r>
    <r>
      <rPr>
        <sz val="9"/>
        <color rgb="FF595959"/>
        <rFont val="Noto Sans CJK SC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歷史速度 </t>
    </r>
    <r>
      <rPr>
        <sz val="9"/>
        <color rgb="FF595959"/>
        <rFont val="Arial"/>
        <family val="0"/>
        <charset val="1"/>
      </rPr>
      <t xml:space="preserve">1,000 MW-IT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</si>
  <si>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</si>
  <si>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速度｜併網速度</t>
    </r>
  </si>
  <si>
    <r>
      <rPr>
        <sz val="10"/>
        <rFont val="Noto Sans CJK SC"/>
        <family val="2"/>
      </rPr>
      <t xml:space="preserve">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</si>
  <si>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承租的五個 </t>
    </r>
    <r>
      <rPr>
        <sz val="9"/>
        <color rgb="FF595959"/>
        <rFont val="Arial"/>
        <family val="0"/>
        <charset val="1"/>
      </rPr>
      <t xml:space="preserve">Stargate </t>
    </r>
    <r>
      <rPr>
        <sz val="9"/>
        <color rgb="FF595959"/>
        <rFont val="Noto Sans CJK SC"/>
        <family val="2"/>
      </rPr>
      <t xml:space="preserve">站點全數實現（上限 </t>
    </r>
    <r>
      <rPr>
        <sz val="9"/>
        <color rgb="FF595959"/>
        <rFont val="Arial"/>
        <family val="0"/>
        <charset val="1"/>
      </rPr>
      <t xml:space="preserve">8,778 MW-IT</t>
    </r>
    <r>
      <rPr>
        <sz val="9"/>
        <color rgb="FF595959"/>
        <rFont val="Noto Sans CJK SC"/>
        <family val="2"/>
      </rPr>
      <t xml:space="preserve">），依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交付速度 </t>
    </r>
    <r>
      <rPr>
        <sz val="9"/>
        <color rgb="FF595959"/>
        <rFont val="Arial"/>
        <family val="0"/>
        <charset val="1"/>
      </rPr>
      <t xml:space="preserve">2,833 MW-IT</t>
    </r>
    <r>
      <rPr>
        <sz val="9"/>
        <color rgb="FF595959"/>
        <rFont val="Noto Sans CJK SC"/>
        <family val="2"/>
      </rPr>
      <t xml:space="preserve">／年；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</si>
  <si>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依公司時程｜合約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</si>
  <si>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依公司時程｜併網速度</t>
  </si>
  <si>
    <t xml:space="preserve">積極 依公司時程</t>
  </si>
  <si>
    <r>
      <rPr>
        <sz val="9"/>
        <color rgb="FF595959"/>
        <rFont val="Noto Sans CJK SC"/>
        <family val="2"/>
      </rPr>
      <t xml:space="preserve">同基準上限，依公司時程（每季約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3,333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</si>
  <si>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</si>
  <si>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</si>
  <si>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正向推導三情境（</t>
    </r>
    <r>
      <rPr>
        <sz val="9"/>
        <color rgb="FF595959"/>
        <rFont val="Arial"/>
        <family val="0"/>
        <charset val="1"/>
      </rPr>
      <t xml:space="preserve">data/permw_tokenomics_20261007.json</t>
    </r>
    <r>
      <rPr>
        <sz val="9"/>
        <color rgb="FF595959"/>
        <rFont val="Noto Sans CJK SC"/>
        <family val="2"/>
      </rPr>
      <t xml:space="preserve">）；不用公司 </t>
    </r>
    <r>
      <rPr>
        <sz val="9"/>
        <color rgb="FF595959"/>
        <rFont val="Arial"/>
        <family val="0"/>
        <charset val="1"/>
      </rPr>
      <t xml:space="preserve">ACV 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</si>
  <si>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</si>
  <si>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依公司時程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</si>
  <si>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收斂比例（期初校準值 → 已連網）</t>
    </r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</si>
  <si>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7.388 × 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29.552 ÷ </t>
    </r>
    <r>
      <rPr>
        <sz val="9"/>
        <color rgb="FF595959"/>
        <rFont val="Noto Sans CJK SC"/>
        <family val="2"/>
      </rPr>
      <t xml:space="preserve">各情境每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年收入（保守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1,698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1,221 MW-IT</t>
    </r>
    <r>
      <rPr>
        <sz val="9"/>
        <color rgb="FF595959"/>
        <rFont val="Noto Sans CJK SC"/>
        <family val="2"/>
      </rPr>
      <t xml:space="preserve">），是對齊已實現實際數的校準，不是以公司預測反推參數。各期末可計費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收斂比例；首期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取能讓基準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營收落在公司指引 ≥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的保守值（</t>
    </r>
    <r>
      <rPr>
        <sz val="9"/>
        <color rgb="FF595959"/>
        <rFont val="Arial"/>
        <family val="0"/>
        <charset val="1"/>
      </rPr>
      <t xml:space="preserve">40% </t>
    </r>
    <r>
      <rPr>
        <sz val="9"/>
        <color rgb="FF595959"/>
        <rFont val="Noto Sans CJK SC"/>
        <family val="2"/>
      </rPr>
      <t xml:space="preserve">時基準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89.1</t>
    </r>
    <r>
      <rPr>
        <sz val="9"/>
        <color rgb="FF595959"/>
        <rFont val="Noto Sans CJK SC"/>
        <family val="2"/>
      </rPr>
      <t xml:space="preserve">，低於指引），之後 </t>
    </r>
    <r>
      <rPr>
        <sz val="9"/>
        <color rgb="FF595959"/>
        <rFont val="Arial"/>
        <family val="0"/>
        <charset val="1"/>
      </rPr>
      <t xml:space="preserve">80%→90%</t>
    </r>
    <r>
      <rPr>
        <sz val="9"/>
        <color rgb="FF595959"/>
        <rFont val="Noto Sans CJK SC"/>
        <family val="2"/>
      </rPr>
      <t xml:space="preserve">（新產能自交付到計費約一季）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</si>
  <si>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校準：</t>
    </r>
    <r>
      <rPr>
        <sz val="10"/>
        <rFont val="Arial"/>
        <family val="0"/>
        <charset val="1"/>
      </rPr>
      <t xml:space="preserve">Q1 2027 </t>
    </r>
    <r>
      <rPr>
        <sz val="10"/>
        <rFont val="Noto Sans CJK SC"/>
        <family val="2"/>
      </rPr>
      <t xml:space="preserve">實際營收年化</t>
    </r>
  </si>
  <si>
    <r>
      <rPr>
        <sz val="9"/>
        <color rgb="FF595959"/>
        <rFont val="Noto Sans CJK SC"/>
        <family val="2"/>
      </rPr>
      <t xml:space="preserve">最新季實際營收 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scenarios.billableRatio.openAnnualRevenue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</si>
  <si>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</si>
  <si>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Noto Sans CJK SC"/>
        <family val="2"/>
      </rPr>
      <t xml:space="preserve">＝實際營收年化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年收入（對齊已實現實際數的校準）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</si>
  <si>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</si>
  <si>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｜積極 依公司時程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</si>
  <si>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</si>
  <si>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</si>
  <si>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</si>
  <si>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</si>
  <si>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</si>
  <si>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</si>
  <si>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FY27Q2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FY2029 </t>
    </r>
    <r>
      <rPr>
        <sz val="9"/>
        <color rgb="FF595959"/>
        <rFont val="Noto Sans CJK SC"/>
        <family val="2"/>
      </rPr>
      <t xml:space="preserve">起租 →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</si>
  <si>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</si>
  <si>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</si>
  <si>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</si>
  <si>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</si>
  <si>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8/31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</si>
  <si>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664.0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</si>
  <si>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</si>
  <si>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</si>
  <si>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</si>
  <si>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79.75%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</si>
  <si>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</si>
  <si>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</si>
  <si>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2026-05-31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</si>
  <si>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未揭露：以各情境校準可計費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的最大值（保守 </t>
    </r>
    <r>
      <rPr>
        <sz val="9"/>
        <color rgb="FF595959"/>
        <rFont val="Arial"/>
        <family val="0"/>
        <charset val="1"/>
      </rPr>
      <t xml:space="preserve">2,543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Q1 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29.552 ÷ 11.62</t>
    </r>
    <r>
      <rPr>
        <sz val="9"/>
        <color rgb="FF595959"/>
        <rFont val="Noto Sans CJK SC"/>
        <family val="2"/>
      </rPr>
      <t xml:space="preserve">）減 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1,835</t>
    </r>
    <r>
      <rPr>
        <sz val="9"/>
        <color rgb="FF595959"/>
        <rFont val="Noto Sans CJK SC"/>
        <family val="2"/>
      </rPr>
      <t xml:space="preserve">，使各情境期初可計費不超過已連網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</si>
  <si>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8/31 Billable MW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</si>
  <si>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區情境選擇器（以實際營收校準）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</si>
  <si>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</si>
  <si>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</si>
  <si>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</si>
  <si>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</si>
  <si>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</si>
  <si>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</si>
  <si>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</si>
  <si>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</si>
  <si>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</si>
  <si>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</si>
  <si>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</si>
  <si>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個月內合計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；其餘假設 </t>
    </r>
    <r>
      <rPr>
        <sz val="9"/>
        <color rgb="FF595959"/>
        <rFont val="Arial"/>
        <family val="0"/>
        <charset val="1"/>
      </rPr>
      <t xml:space="preserve">61–84 </t>
    </r>
    <r>
      <rPr>
        <sz val="9"/>
        <color rgb="FF595959"/>
        <rFont val="Noto Sans CJK SC"/>
        <family val="2"/>
      </rPr>
      <t xml:space="preserve">個月；含傳統事業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，只作對照）桶內線性分攤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</si>
  <si>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</si>
  <si>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</si>
  <si>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</si>
  <si>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</si>
  <si>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</si>
  <si>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年收入已含可計費利用率（路徑 </t>
    </r>
    <r>
      <rPr>
        <sz val="9"/>
        <color rgb="FF595959"/>
        <rFont val="Arial"/>
        <family val="0"/>
        <charset val="1"/>
      </rPr>
      <t xml:space="preserve">B 80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），不重複扣除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</si>
  <si>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</si>
  <si>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</si>
  <si>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</si>
  <si>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</si>
  <si>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</si>
  <si>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</si>
  <si>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</si>
  <si>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</si>
  <si>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</si>
  <si>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</si>
  <si>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</si>
  <si>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無需另列的非核心事業燒錢；傳統事業另列於 </t>
    </r>
    <r>
      <rPr>
        <sz val="9"/>
        <color rgb="FF595959"/>
        <rFont val="Arial"/>
        <family val="0"/>
        <charset val="1"/>
      </rPr>
      <t xml:space="preserve">defaults.legacyBiz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</si>
  <si>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｜傳統事業（各線全年營收＝上一財年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，年增率自起點線性收斂到長期值；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1Q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</si>
  <si>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</si>
  <si>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</si>
  <si>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</si>
  <si>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</si>
  <si>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</si>
  <si>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</si>
  <si>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</si>
  <si>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</si>
  <si>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</si>
  <si>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</si>
  <si>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</si>
  <si>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</si>
  <si>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（雲端應用）｜模型期營收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</si>
  <si>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</t>
    </r>
  </si>
  <si>
    <t xml:space="preserve">傳統事業｜軟體（授權＋支援）｜上一財年實際</t>
  </si>
  <si>
    <r>
      <rPr>
        <sz val="10"/>
        <rFont val="Noto Sans CJK SC"/>
        <family val="2"/>
      </rPr>
      <t xml:space="preserve">傳統事業｜軟體（授權＋支援）｜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</si>
  <si>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傳統事業｜軟體（授權＋支援）｜起始年增率</t>
  </si>
  <si>
    <t xml:space="preserve">傳統事業｜軟體（授權＋支援）｜長期年增率</t>
  </si>
  <si>
    <t xml:space="preserve">傳統事業｜軟體（授權＋支援）｜年增率</t>
  </si>
  <si>
    <t xml:space="preserve">傳統事業｜軟體（授權＋支援）｜全年營收</t>
  </si>
  <si>
    <t xml:space="preserve">傳統事業｜軟體（授權＋支援）｜模型期營收</t>
  </si>
  <si>
    <t xml:space="preserve">傳統事業｜硬體｜上一財年實際</t>
  </si>
  <si>
    <r>
      <rPr>
        <sz val="10"/>
        <rFont val="Noto Sans CJK SC"/>
        <family val="2"/>
      </rPr>
      <t xml:space="preserve">傳統事業｜硬體｜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</si>
  <si>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傳統事業｜硬體｜起始年增率</t>
  </si>
  <si>
    <t xml:space="preserve">傳統事業｜硬體｜長期年增率</t>
  </si>
  <si>
    <t xml:space="preserve">傳統事業｜硬體｜年增率</t>
  </si>
  <si>
    <t xml:space="preserve">傳統事業｜硬體｜全年營收</t>
  </si>
  <si>
    <t xml:space="preserve">傳統事業｜硬體｜模型期營收</t>
  </si>
  <si>
    <t xml:space="preserve">傳統事業｜服務｜上一財年實際</t>
  </si>
  <si>
    <r>
      <rPr>
        <sz val="10"/>
        <rFont val="Noto Sans CJK SC"/>
        <family val="2"/>
      </rPr>
      <t xml:space="preserve">傳統事業｜服務｜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</t>
    </r>
  </si>
  <si>
    <t xml:space="preserve">傳統事業｜服務｜起始年增率</t>
  </si>
  <si>
    <t xml:space="preserve">傳統事業｜服務｜長期年增率</t>
  </si>
  <si>
    <t xml:space="preserve">傳統事業｜服務｜年增率</t>
  </si>
  <si>
    <t xml:space="preserve">傳統事業｜服務｜全年營收</t>
  </si>
  <si>
    <t xml:space="preserve">傳統事業｜服務｜模型期營收</t>
  </si>
  <si>
    <t xml:space="preserve">傳統事業營收（模型期）</t>
  </si>
  <si>
    <t xml:space="preserve">四線合計（下游引用此列）</t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</si>
  <si>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</si>
  <si>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營業利益＋折舊，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無分部揭露無法拆分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；不加無形資產攤銷，因非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營業利益已排除攤銷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</si>
  <si>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</si>
  <si>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與營運來源（現金稅另列）</t>
    </r>
  </si>
  <si>
    <r>
      <rPr>
        <sz val="10"/>
        <rFont val="Noto Sans CJK SC"/>
        <family val="2"/>
      </rPr>
      <t xml:space="preserve">傳統事業｜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</si>
  <si>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</si>
  <si>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</si>
  <si>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</si>
  <si>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合併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扣除傳統事業後拆推的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</si>
  <si>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</si>
  <si>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</si>
  <si>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</si>
  <si>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率校準：基準情境首期租金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Noto Sans CJK SC"/>
        <family val="2"/>
      </rPr>
      <t xml:space="preserve">營收，使基準情境起始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率維持上列值；</t>
    </r>
    <r>
      <rPr>
        <sz val="9"/>
        <color rgb="FF595959"/>
        <rFont val="Arial"/>
        <family val="0"/>
        <charset val="1"/>
      </rPr>
      <t xml:space="preserve">scripts/calib_ebitdar.js </t>
    </r>
    <r>
      <rPr>
        <sz val="9"/>
        <color rgb="FF595959"/>
        <rFont val="Noto Sans CJK SC"/>
        <family val="2"/>
      </rPr>
      <t xml:space="preserve">自基準情境計算（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檢查）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</si>
  <si>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基準情境租金占 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</si>
  <si>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同上，基準情境末期；保守與積極用同一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率，因而承擔固定租金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</si>
  <si>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率（路徑）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</si>
  <si>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率＋基準起點租金比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[(</t>
    </r>
    <r>
      <rPr>
        <sz val="9"/>
        <color rgb="FF595959"/>
        <rFont val="Noto Sans CJK SC"/>
        <family val="2"/>
      </rPr>
      <t xml:space="preserve">穩態＋基準穩態租金比</t>
    </r>
    <r>
      <rPr>
        <sz val="9"/>
        <color rgb="FF595959"/>
        <rFont val="Arial"/>
        <family val="0"/>
        <charset val="1"/>
      </rPr>
      <t xml:space="preserve">)−(</t>
    </r>
    <r>
      <rPr>
        <sz val="9"/>
        <color rgb="FF595959"/>
        <rFont val="Noto Sans CJK SC"/>
        <family val="2"/>
      </rPr>
      <t xml:space="preserve">起始＋基準起點租金比</t>
    </r>
    <r>
      <rPr>
        <sz val="9"/>
        <color rgb="FF595959"/>
        <rFont val="Arial"/>
        <family val="0"/>
        <charset val="1"/>
      </rPr>
      <t xml:space="preserve">)]×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</si>
  <si>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</si>
  <si>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租金合計 </t>
    </r>
    <r>
      <rPr>
        <sz val="9"/>
        <color rgb="FF595959"/>
        <rFont val="Arial"/>
        <family val="0"/>
        <charset val="1"/>
      </rPr>
      <t xml:space="preserve">÷ OCI </t>
    </r>
    <r>
      <rPr>
        <sz val="9"/>
        <color rgb="FF595959"/>
        <rFont val="Noto Sans CJK SC"/>
        <family val="2"/>
      </rPr>
      <t xml:space="preserve">營收（公式；租金為固定成本，低營收情境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率較低）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</si>
  <si>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</si>
  <si>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</si>
  <si>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</si>
  <si>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</si>
  <si>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</si>
  <si>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</si>
  <si>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</si>
  <si>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</si>
  <si>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</si>
  <si>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</si>
  <si>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</si>
  <si>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</si>
  <si>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</si>
  <si>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</si>
  <si>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</si>
  <si>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</si>
  <si>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</si>
  <si>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</si>
  <si>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</si>
  <si>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公司伺服器與網通設備耐用年限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</si>
  <si>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</si>
  <si>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實際折舊 </t>
    </r>
    <r>
      <rPr>
        <sz val="9"/>
        <color rgb="FF595959"/>
        <rFont val="Arial"/>
        <family val="0"/>
        <charset val="1"/>
      </rPr>
      <t xml:space="preserve">3.156 × 4 ×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年校準（對齊已實現實際數；評價日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127.8 </t>
    </r>
    <r>
      <rPr>
        <sz val="9"/>
        <color rgb="FF595959"/>
        <rFont val="Noto Sans CJK SC"/>
        <family val="2"/>
      </rPr>
      <t xml:space="preserve">含在建 </t>
    </r>
    <r>
      <rPr>
        <sz val="9"/>
        <color rgb="FF595959"/>
        <rFont val="Arial"/>
        <family val="0"/>
        <charset val="1"/>
      </rPr>
      <t xml:space="preserve">48.5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</si>
  <si>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</si>
  <si>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</si>
  <si>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</si>
  <si>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Tokenomics IF_CapexIT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37.45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Noto Sans CJK SC"/>
        <family val="2"/>
      </rPr>
      <t xml:space="preserve">；只含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，機房由開發商建、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以租賃取得）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</si>
  <si>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</si>
  <si>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</si>
  <si>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</si>
  <si>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指引隱含客戶出資覆蓋比 </t>
    </r>
    <r>
      <rPr>
        <sz val="9"/>
        <color rgb="FF595959"/>
        <rFont val="Arial"/>
        <family val="0"/>
        <charset val="1"/>
      </rPr>
      <t xml:space="preserve">24.3%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22.2%–26.3%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37.0% </t>
    </r>
    <r>
      <rPr>
        <sz val="9"/>
        <color rgb="FF595959"/>
        <rFont val="Noto Sans CJK SC"/>
        <family val="2"/>
      </rPr>
      <t xml:space="preserve">只作敏感度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</si>
  <si>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</si>
  <si>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</si>
  <si>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</si>
  <si>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客戶預付（重大財務組成）累計現金 </t>
    </r>
    <r>
      <rPr>
        <sz val="9"/>
        <color rgb="FF595959"/>
        <rFont val="Arial"/>
        <family val="0"/>
        <charset val="1"/>
      </rPr>
      <t xml:space="preserve">15.955</t>
    </r>
    <r>
      <rPr>
        <sz val="9"/>
        <color rgb="FF595959"/>
        <rFont val="Noto Sans CJK SC"/>
        <family val="2"/>
      </rPr>
      <t xml:space="preserve">，非全部遞延營收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</si>
  <si>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</si>
  <si>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</si>
  <si>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</si>
  <si>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</si>
  <si>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</si>
  <si>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</si>
  <si>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</si>
  <si>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</si>
  <si>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</si>
  <si>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</si>
  <si>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</si>
  <si>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</si>
  <si>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</si>
  <si>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</si>
  <si>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</si>
  <si>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</si>
  <si>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</si>
  <si>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</si>
  <si>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1835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</si>
  <si>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</si>
  <si>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</si>
  <si>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</si>
  <si>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</si>
  <si>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</si>
  <si>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− 1Q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28.499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</si>
  <si>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</si>
  <si>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</si>
  <si>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</si>
  <si>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</si>
  <si>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</si>
  <si>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</si>
  <si>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</si>
  <si>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</si>
  <si>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</si>
  <si>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</si>
  <si>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</si>
  <si>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</si>
  <si>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</si>
  <si>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</si>
  <si>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</si>
  <si>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</si>
  <si>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</si>
  <si>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36.369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0.708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</si>
  <si>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</si>
  <si>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</si>
  <si>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</si>
  <si>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</si>
  <si>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</si>
  <si>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循環信用額度，未動用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</si>
  <si>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</si>
  <si>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</si>
  <si>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</si>
  <si>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</si>
  <si>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</si>
  <si>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</si>
  <si>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</si>
  <si>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ebitda</t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</si>
  <si>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：投資級上限以總債務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當期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（年化）計（</t>
    </r>
    <r>
      <rPr>
        <sz val="9"/>
        <color rgb="FF595959"/>
        <rFont val="Arial"/>
        <family val="0"/>
        <charset val="1"/>
      </rPr>
      <t xml:space="preserve">company.json → defaults.debtCapBasis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</si>
  <si>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</si>
  <si>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對照表預設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3.5–4.5×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</si>
  <si>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</si>
  <si>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</si>
  <si>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</si>
  <si>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$0.50 [Interested-party]</t>
    </r>
    <r>
      <rPr>
        <sz val="9"/>
        <color rgb="FF595959"/>
        <rFont val="Noto Sans CJK SC"/>
        <family val="2"/>
      </rPr>
      <t xml:space="preserve">；不回購（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</si>
  <si>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</si>
  <si>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</si>
  <si>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</si>
  <si>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</si>
  <si>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</si>
  <si>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</si>
  <si>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</si>
  <si>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</si>
  <si>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</si>
  <si>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</si>
  <si>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</si>
  <si>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</si>
  <si>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</si>
  <si>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</si>
  <si>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</si>
  <si>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</si>
  <si>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</si>
  <si>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可轉債年發行上限｜積極 依公司時程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</si>
  <si>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</si>
  <si>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</si>
  <si>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</si>
  <si>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</si>
  <si>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</si>
  <si>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</si>
  <si>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</si>
  <si>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</si>
  <si>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</si>
  <si>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</si>
  <si>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</si>
  <si>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</si>
  <si>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ORCL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</si>
  <si>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</si>
  <si>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</si>
  <si>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</si>
  <si>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</si>
  <si>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</si>
  <si>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</si>
  <si>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</si>
  <si>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</si>
  <si>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</si>
  <si>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90.25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</si>
  <si>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</si>
  <si>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一次性投資級無擔保債八檔加權票面約 </t>
    </r>
    <r>
      <rPr>
        <sz val="9"/>
        <color rgb="FF595959"/>
        <rFont val="Arial"/>
        <family val="0"/>
        <charset val="1"/>
      </rPr>
      <t xml:space="preserve">5.8% [Derived]</t>
    </r>
    <r>
      <rPr>
        <sz val="9"/>
        <color rgb="FF595959"/>
        <rFont val="Noto Sans CJK SC"/>
        <family val="2"/>
      </rPr>
      <t xml:space="preserve">；長天期次級市場殖利率約 </t>
    </r>
    <r>
      <rPr>
        <sz val="9"/>
        <color rgb="FF595959"/>
        <rFont val="Arial"/>
        <family val="0"/>
        <charset val="1"/>
      </rPr>
      <t xml:space="preserve">8.1%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Noto Sans CJK SC"/>
        <family val="2"/>
      </rPr>
      <t xml:space="preserve">票據）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</si>
  <si>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</si>
  <si>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</si>
  <si>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</si>
  <si>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</si>
  <si>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https://stockanalysis.com/stocks/orcl/history/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</si>
  <si>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</si>
  <si>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</t>
    </r>
    <r>
      <rPr>
        <sz val="9"/>
        <color rgb="FF595959"/>
        <rFont val="Noto Sans CJK SC"/>
        <family val="2"/>
      </rPr>
      <t xml:space="preserve">與選擇權（稀釋與基本加權股數差 </t>
    </r>
    <r>
      <rPr>
        <sz val="9"/>
        <color rgb="FF595959"/>
        <rFont val="Arial"/>
        <family val="0"/>
        <charset val="1"/>
      </rPr>
      <t xml:space="preserve">0.034bn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</si>
  <si>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</si>
  <si>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</si>
  <si>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</si>
  <si>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</si>
  <si>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</si>
  <si>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</si>
  <si>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</si>
  <si>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有效稅率（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12.6%</t>
    </r>
    <r>
      <rPr>
        <sz val="9"/>
        <color rgb="FF595959"/>
        <rFont val="Noto Sans CJK SC"/>
        <family val="2"/>
      </rPr>
      <t xml:space="preserve">（含出售利益）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</si>
  <si>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</si>
  <si>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</si>
  <si>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</si>
  <si>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年月報酬 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StockAnalysis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Yahoo</t>
    </r>
    <r>
      <rPr>
        <sz val="9"/>
        <color rgb="FF595959"/>
        <rFont val="Noto Sans CJK SC"/>
        <family val="2"/>
      </rPr>
      <t xml:space="preserve">，同值）；敏感度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見報告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</si>
  <si>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</si>
  <si>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</si>
  <si>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</si>
  <si>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</si>
  <si>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</si>
  <si>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2046 </t>
    </r>
    <r>
      <rPr>
        <sz val="9"/>
        <color rgb="FF595959"/>
        <rFont val="Noto Sans CJK SC"/>
        <family val="2"/>
      </rPr>
      <t xml:space="preserve">票據殖利率（市場邊際成本）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</si>
  <si>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</si>
  <si>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3.023736bn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</si>
  <si>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</si>
  <si>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</si>
  <si>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</si>
  <si>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</si>
  <si>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</si>
  <si>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</si>
  <si>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</si>
  <si>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</si>
  <si>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</si>
  <si>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</si>
  <si>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</si>
  <si>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</si>
  <si>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</si>
  <si>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</si>
  <si>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</si>
  <si>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</si>
  <si>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</si>
  <si>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</si>
  <si>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；傳統事業另用軟體同業倍數（分部加總）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</si>
  <si>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MSFT</t>
    </r>
  </si>
  <si>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val.peer.msft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</si>
  <si>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</si>
  <si>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</si>
  <si>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</si>
  <si>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</si>
  <si>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</si>
  <si>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val.peer.adbe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</si>
  <si>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</si>
  <si>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data/oracle_facts val.peer.now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</si>
  <si>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軟體同業 </t>
    </r>
    <r>
      <rPr>
        <sz val="10"/>
        <rFont val="Arial"/>
        <family val="0"/>
        <charset val="1"/>
      </rPr>
      <t xml:space="preserve">NTM EV/EBITDA </t>
    </r>
    <r>
      <rPr>
        <sz val="10"/>
        <rFont val="Noto Sans CJK SC"/>
        <family val="2"/>
      </rPr>
      <t xml:space="preserve">中位數</t>
    </r>
  </si>
  <si>
    <r>
      <rPr>
        <sz val="9"/>
        <color rgb="FF595959"/>
        <rFont val="Noto Sans CJK SC"/>
        <family val="2"/>
      </rPr>
      <t xml:space="preserve">軟體同業 </t>
    </r>
    <r>
      <rPr>
        <sz val="9"/>
        <color rgb="FF595959"/>
        <rFont val="Arial"/>
        <family val="0"/>
        <charset val="1"/>
      </rPr>
      <t xml:space="preserve">NTM EV/EBITDA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StockAnalysis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NTM 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共識依財年時間加權）；中位數用於傳統事業倍數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</si>
  <si>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</si>
  <si>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</si>
  <si>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</si>
  <si>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</si>
  <si>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</si>
  <si>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2027-08-31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</si>
  <si>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</si>
  <si>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</si>
  <si>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</si>
  <si>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</si>
  <si>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</si>
  <si>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</si>
  <si>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</si>
  <si>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</si>
  <si>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1Q SBC 1.127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</si>
  <si>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</si>
  <si>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</si>
  <si>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</si>
  <si>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</si>
  <si>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</si>
  <si>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</si>
  <si>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</si>
  <si>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</si>
  <si>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</si>
  <si>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</si>
  <si>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</si>
  <si>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</si>
  <si>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FY27Q1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</si>
  <si>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</si>
  <si>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</si>
  <si>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2026-08-31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</si>
  <si>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</si>
  <si>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</si>
  <si>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2027-08-31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</si>
  <si>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</si>
  <si>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</si>
  <si>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</si>
  <si>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</si>
  <si>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</si>
  <si>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</si>
  <si>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</si>
  <si>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</si>
  <si>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</si>
  <si>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</si>
  <si>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</si>
  <si>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</si>
  <si>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</si>
  <si>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</si>
  <si>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</si>
  <si>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2027-05-31</t>
  </si>
  <si>
    <t xml:space="preserve">2028-05-31</t>
  </si>
  <si>
    <t xml:space="preserve">2029-05-31</t>
  </si>
  <si>
    <t xml:space="preserve">2030-05-31</t>
  </si>
  <si>
    <t xml:space="preserve">2031-05-31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</si>
  <si>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</si>
  <si>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</si>
  <si>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</si>
  <si>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</si>
  <si>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</si>
  <si>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</si>
  <si>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</si>
  <si>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</si>
  <si>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</si>
  <si>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</si>
  <si>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</si>
  <si>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</si>
  <si>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</si>
  <si>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</si>
  <si>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</si>
  <si>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</si>
  <si>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</si>
  <si>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</si>
  <si>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1Q27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2026-06-01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08-31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</si>
  <si>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2026-05-31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</si>
  <si>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2026-05-31</t>
    </r>
    <r>
      <rPr>
        <sz val="9"/>
        <color rgb="FF595959"/>
        <rFont val="Noto Sans CJK SC"/>
        <family val="2"/>
      </rPr>
      <t xml:space="preserve">）現金與約當現金 </t>
    </r>
    <r>
      <rPr>
        <sz val="9"/>
        <color rgb="FF595959"/>
        <rFont val="Arial"/>
        <family val="0"/>
        <charset val="1"/>
      </rPr>
      <t xml:space="preserve">31,289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經查核；另有價證券 </t>
    </r>
    <r>
      <rPr>
        <sz val="9"/>
        <color rgb="FF595959"/>
        <rFont val="Arial"/>
        <family val="0"/>
        <charset val="1"/>
      </rPr>
      <t xml:space="preserve">605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</si>
  <si>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</si>
  <si>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23,103</t>
    </r>
    <r>
      <rPr>
        <sz val="9"/>
        <color rgb="FF595959"/>
        <rFont val="Noto Sans CJK SC"/>
        <family val="2"/>
      </rPr>
      <t xml:space="preserve">；含客戶預付（重大財務組成）</t>
    </r>
    <r>
      <rPr>
        <sz val="9"/>
        <color rgb="FF595959"/>
        <rFont val="Arial"/>
        <family val="0"/>
        <charset val="1"/>
      </rPr>
      <t xml:space="preserve">11,363 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</si>
  <si>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</si>
  <si>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購置不動產、廠房及設備 </t>
    </r>
    <r>
      <rPr>
        <sz val="9"/>
        <color rgb="FF595959"/>
        <rFont val="Arial"/>
        <family val="0"/>
        <charset val="1"/>
      </rPr>
      <t xml:space="preserve">28,499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</si>
  <si>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</si>
  <si>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</si>
  <si>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</si>
  <si>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t xml:space="preserve">其他投資活動未逐項列入（不適用，差額進其他／受限現金調節）</t>
  </si>
  <si>
    <t xml:space="preserve">借款</t>
  </si>
  <si>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未新增長期借款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</si>
  <si>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</si>
  <si>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票據、定期貸款與其他借款償還 </t>
    </r>
    <r>
      <rPr>
        <sz val="9"/>
        <color rgb="FF595959"/>
        <rFont val="Arial"/>
        <family val="0"/>
        <charset val="1"/>
      </rPr>
      <t xml:space="preserve">4,202</t>
    </r>
    <r>
      <rPr>
        <sz val="9"/>
        <color rgb="FF595959"/>
        <rFont val="Noto Sans CJK SC"/>
        <family val="2"/>
      </rPr>
      <t xml:space="preserve">（含商業本票約 </t>
    </r>
    <r>
      <rPr>
        <sz val="9"/>
        <color rgb="FF595959"/>
        <rFont val="Arial"/>
        <family val="0"/>
        <charset val="1"/>
      </rPr>
      <t xml:space="preserve">1,100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MD&amp;A</t>
    </r>
    <r>
      <rPr>
        <sz val="9"/>
        <color rgb="FF595959"/>
        <rFont val="Noto Sans CJK SC"/>
        <family val="2"/>
      </rPr>
      <t xml:space="preserve">）；資本支出相關短期融資淨流出 </t>
    </r>
    <r>
      <rPr>
        <sz val="9"/>
        <color rgb="FF595959"/>
        <rFont val="Arial"/>
        <family val="0"/>
        <charset val="1"/>
      </rPr>
      <t xml:space="preserve">830 </t>
    </r>
    <r>
      <rPr>
        <sz val="9"/>
        <color rgb="FF595959"/>
        <rFont val="Noto Sans CJK SC"/>
        <family val="2"/>
      </rPr>
      <t xml:space="preserve">列於調節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</si>
  <si>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</si>
  <si>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不適用</t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</si>
  <si>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</si>
  <si>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19,909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Noto Sans CJK SC"/>
        <family val="2"/>
      </rPr>
      <t xml:space="preserve">股、毛額均價約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</si>
  <si>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</si>
  <si>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1,428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</si>
  <si>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</si>
  <si>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950</t>
    </r>
    <r>
      <rPr>
        <sz val="9"/>
        <color rgb="FF595959"/>
        <rFont val="Noto Sans CJK SC"/>
        <family val="2"/>
      </rPr>
      <t xml:space="preserve">＋融資租賃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</si>
  <si>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</si>
  <si>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OCI 7,388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SaaS 4,219</t>
    </r>
    <r>
      <rPr>
        <sz val="9"/>
        <color rgb="FF595959"/>
        <rFont val="Noto Sans CJK SC"/>
        <family val="2"/>
      </rPr>
      <t xml:space="preserve">＋軟體 </t>
    </r>
    <r>
      <rPr>
        <sz val="9"/>
        <color rgb="FF595959"/>
        <rFont val="Arial"/>
        <family val="0"/>
        <charset val="1"/>
      </rPr>
      <t xml:space="preserve">5,550</t>
    </r>
    <r>
      <rPr>
        <sz val="9"/>
        <color rgb="FF595959"/>
        <rFont val="Noto Sans CJK SC"/>
        <family val="2"/>
      </rPr>
      <t xml:space="preserve">＋硬體 </t>
    </r>
    <r>
      <rPr>
        <sz val="9"/>
        <color rgb="FF595959"/>
        <rFont val="Arial"/>
        <family val="0"/>
        <charset val="1"/>
      </rPr>
      <t xml:space="preserve">774</t>
    </r>
    <r>
      <rPr>
        <sz val="9"/>
        <color rgb="FF595959"/>
        <rFont val="Noto Sans CJK SC"/>
        <family val="2"/>
      </rPr>
      <t xml:space="preserve">＋服務 </t>
    </r>
    <r>
      <rPr>
        <sz val="9"/>
        <color rgb="FF595959"/>
        <rFont val="Arial"/>
        <family val="0"/>
        <charset val="1"/>
      </rPr>
      <t xml:space="preserve">1,414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</si>
  <si>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</si>
  <si>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6,728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GAAP 8,151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</si>
  <si>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</si>
  <si>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Noto Sans CJK SC"/>
        <family val="2"/>
      </rPr>
      <t xml:space="preserve">（歸屬普通股 </t>
    </r>
    <r>
      <rPr>
        <sz val="9"/>
        <color rgb="FF595959"/>
        <rFont val="Arial"/>
        <family val="0"/>
        <charset val="1"/>
      </rPr>
      <t xml:space="preserve">4,679</t>
    </r>
    <r>
      <rPr>
        <sz val="9"/>
        <color rgb="FF595959"/>
        <rFont val="Noto Sans CJK SC"/>
        <family val="2"/>
      </rPr>
      <t xml:space="preserve">，扣特別股股利 </t>
    </r>
    <r>
      <rPr>
        <sz val="9"/>
        <color rgb="FF595959"/>
        <rFont val="Arial"/>
        <family val="0"/>
        <charset val="1"/>
      </rPr>
      <t xml:space="preserve">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</si>
  <si>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</si>
  <si>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客戶預付（重大財務組成）流入 </t>
    </r>
    <r>
      <rPr>
        <sz val="9"/>
        <color rgb="FF595959"/>
        <rFont val="Arial"/>
        <family val="0"/>
        <charset val="1"/>
      </rPr>
      <t xml:space="preserve">11,363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</si>
  <si>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D&amp;A</t>
  </si>
  <si>
    <r>
      <rPr>
        <sz val="9"/>
        <color rgb="FF595959"/>
        <rFont val="Noto Sans CJK SC"/>
        <family val="2"/>
      </rPr>
      <t xml:space="preserve">折舊 </t>
    </r>
    <r>
      <rPr>
        <sz val="9"/>
        <color rgb="FF595959"/>
        <rFont val="Arial"/>
        <family val="0"/>
        <charset val="1"/>
      </rPr>
      <t xml:space="preserve">3,156</t>
    </r>
    <r>
      <rPr>
        <sz val="9"/>
        <color rgb="FF595959"/>
        <rFont val="Noto Sans CJK SC"/>
        <family val="2"/>
      </rPr>
      <t xml:space="preserve">＋無形資產攤銷 </t>
    </r>
    <r>
      <rPr>
        <sz val="9"/>
        <color rgb="FF595959"/>
        <rFont val="Arial"/>
        <family val="0"/>
        <charset val="1"/>
      </rPr>
      <t xml:space="preserve">202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</si>
  <si>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</si>
  <si>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股份基礎給付 </t>
    </r>
    <r>
      <rPr>
        <sz val="9"/>
        <color rgb="FF595959"/>
        <rFont val="Arial"/>
        <family val="0"/>
        <charset val="1"/>
      </rPr>
      <t xml:space="preserve">1,127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</si>
  <si>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</si>
  <si>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</si>
  <si>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</si>
  <si>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4,760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SBC 1,127)÷</t>
    </r>
    <r>
      <rPr>
        <sz val="9"/>
        <color rgb="FF595959"/>
        <rFont val="Noto Sans CJK SC"/>
        <family val="2"/>
      </rPr>
      <t xml:space="preserve">稀釋加權股數 </t>
    </r>
    <r>
      <rPr>
        <sz val="9"/>
        <color rgb="FF595959"/>
        <rFont val="Arial"/>
        <family val="0"/>
        <charset val="1"/>
      </rPr>
      <t xml:space="preserve">3,000m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1.96 [Derived]</t>
    </r>
    <r>
      <rPr>
        <sz val="9"/>
        <color rgb="FF595959"/>
        <rFont val="Noto Sans CJK SC"/>
        <family val="2"/>
      </rPr>
      <t xml:space="preserve">（公司非 </t>
    </r>
    <r>
      <rPr>
        <sz val="9"/>
        <color rgb="FF595959"/>
        <rFont val="Arial"/>
        <family val="0"/>
        <charset val="1"/>
      </rPr>
      <t xml:space="preserve">GAAP EPS 1.92</t>
    </r>
    <r>
      <rPr>
        <sz val="9"/>
        <color rgb="FF595959"/>
        <rFont val="Noto Sans CJK SC"/>
        <family val="2"/>
      </rPr>
      <t xml:space="preserve">，口徑不同）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</si>
  <si>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</si>
  <si>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股利支付 </t>
    </r>
    <r>
      <rPr>
        <sz val="9"/>
        <color rgb="FF595959"/>
        <rFont val="Arial"/>
        <family val="0"/>
        <charset val="1"/>
      </rPr>
      <t xml:space="preserve">1,565</t>
    </r>
    <r>
      <rPr>
        <sz val="9"/>
        <color rgb="FF595959"/>
        <rFont val="Noto Sans CJK SC"/>
        <family val="2"/>
      </rPr>
      <t xml:space="preserve">（普通股＋特別股；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</si>
  <si>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</si>
  <si>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11.307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FY27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2026-09-10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口徑＝非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營業利益＋折舊（</t>
    </r>
    <r>
      <rPr>
        <sz val="9"/>
        <color rgb="FF595959"/>
        <rFont val="Arial"/>
        <family val="0"/>
        <charset val="1"/>
      </rPr>
      <t xml:space="preserve">FY26 36.549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28.926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7.623</t>
    </r>
    <r>
      <rPr>
        <sz val="9"/>
        <color rgb="FF595959"/>
        <rFont val="Noto Sans CJK SC"/>
        <family val="2"/>
      </rPr>
      <t xml:space="preserve">），本列同口徑。非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8.151</t>
    </r>
    <r>
      <rPr>
        <sz val="9"/>
        <color rgb="FF595959"/>
        <rFont val="Noto Sans CJK SC"/>
        <family val="2"/>
      </rPr>
      <t xml:space="preserve">（新聞稿）＋折舊 </t>
    </r>
    <r>
      <rPr>
        <sz val="9"/>
        <color rgb="FF595959"/>
        <rFont val="Arial"/>
        <family val="0"/>
        <charset val="1"/>
      </rPr>
      <t xml:space="preserve">3.156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；不含無形資產攤銷 </t>
    </r>
    <r>
      <rPr>
        <sz val="9"/>
        <color rgb="FF595959"/>
        <rFont val="Arial"/>
        <family val="0"/>
        <charset val="1"/>
      </rPr>
      <t xml:space="preserve">0.202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11.307 [Derived]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</si>
  <si>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</si>
  <si>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</si>
  <si>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</si>
  <si>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</si>
  <si>
    <r>
      <rPr>
        <sz val="10"/>
        <rFont val="Noto Sans CJK SC"/>
        <family val="2"/>
      </rPr>
      <t xml:space="preserve">情境區間運算表｜基準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</t>
    </r>
  </si>
  <si>
    <t xml:space="preserve">情境區間運算表｜積極 依公司時程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</si>
  <si>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data/consensus_orcl_20261007.json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</si>
  <si>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</si>
  <si>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</si>
  <si>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</si>
  <si>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</si>
  <si>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</si>
  <si>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</si>
  <si>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</si>
  <si>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</si>
  <si>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</si>
  <si>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https://stockanalysis.com/stocks/orcl/history/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</si>
  <si>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</si>
  <si>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</si>
  <si>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2026-10-07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</si>
  <si>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</si>
  <si>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</si>
  <si>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</si>
  <si>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</si>
  <si>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</si>
  <si>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</si>
  <si>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</si>
  <si>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</si>
  <si>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</si>
  <si>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https://www.marketbeat.com/stocks/NYSE/ORCL/forecast/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</si>
  <si>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</si>
  <si>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</si>
  <si>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</si>
  <si>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</si>
  <si>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https://finance.yahoo.com/quote/ORCL/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</si>
  <si>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</si>
  <si>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</si>
  <si>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</si>
  <si>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</si>
  <si>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</si>
  <si>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</si>
  <si>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</si>
  <si>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</si>
  <si>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</si>
  <si>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https://www.marketscreener.com/quote/stock/ORACLE-CORPORATION-13620698/finances/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</si>
  <si>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</si>
  <si>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</si>
  <si>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</si>
  <si>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共識｜年度｜利息支付</t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</si>
  <si>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</si>
  <si>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</si>
  <si>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</si>
  <si>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</si>
  <si>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</si>
  <si>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</si>
  <si>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</si>
  <si>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為非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營業利益口徑（</t>
    </r>
    <r>
      <rPr>
        <sz val="10"/>
        <rFont val="Arial"/>
        <family val="0"/>
        <charset val="1"/>
      </rPr>
      <t xml:space="preserve">MarketScreener 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EBIT 28.926 </t>
    </r>
    <r>
      <rPr>
        <sz val="10"/>
        <rFont val="Noto Sans CJK SC"/>
        <family val="2"/>
      </rPr>
      <t xml:space="preserve">與公司非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28.926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營業利益＋折舊（</t>
    </r>
    <r>
      <rPr>
        <sz val="10"/>
        <rFont val="Arial"/>
        <family val="0"/>
        <charset val="1"/>
      </rPr>
      <t xml:space="preserve">FY26 36.549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28.926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7.623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5.83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稀釋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）；淨負債是否含租賃負債未揭露（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97.647 ≈ </t>
    </r>
    <r>
      <rPr>
        <sz val="10"/>
        <rFont val="Noto Sans CJK SC"/>
        <family val="2"/>
      </rPr>
      <t xml:space="preserve">帳面借款 </t>
    </r>
    <r>
      <rPr>
        <sz val="10"/>
        <rFont val="Arial"/>
        <family val="0"/>
        <charset val="1"/>
      </rPr>
      <t xml:space="preserve">129.541 − </t>
    </r>
    <r>
      <rPr>
        <sz val="10"/>
        <rFont val="Noto Sans CJK SC"/>
        <family val="2"/>
      </rPr>
      <t xml:space="preserve">現金及有價證券 </t>
    </r>
    <r>
      <rPr>
        <sz val="10"/>
        <rFont val="Arial"/>
        <family val="0"/>
        <charset val="1"/>
      </rPr>
      <t xml:space="preserve">31.894</t>
    </r>
    <r>
      <rPr>
        <sz val="10"/>
        <rFont val="Noto Sans CJK SC"/>
        <family val="2"/>
      </rPr>
      <t xml:space="preserve">，即不含租賃）。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</si>
  <si>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</si>
  <si>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</si>
  <si>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</si>
  <si>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不同，不可混用）；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需付費。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提供 </t>
    </r>
    <r>
      <rPr>
        <sz val="9"/>
        <color rgb="FF595959"/>
        <rFont val="Arial"/>
        <family val="0"/>
        <charset val="1"/>
      </rPr>
      <t xml:space="preserve">FY27–FY28</t>
    </r>
    <r>
      <rPr>
        <sz val="9"/>
        <color rgb="FF595959"/>
        <rFont val="Noto Sans CJK SC"/>
        <family val="2"/>
      </rPr>
      <t xml:space="preserve">（獨立來源）。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</si>
  <si>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FY27Q2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FY27Q3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</si>
  <si>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</si>
  <si>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</si>
  <si>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</si>
  <si>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</si>
  <si>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</si>
  <si>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Q2 FY27</t>
    </r>
    <r>
      <rPr>
        <sz val="10"/>
        <rFont val="Noto Sans CJK SC"/>
        <family val="2"/>
      </rPr>
      <t xml:space="preserve">（季末 </t>
    </r>
    <r>
      <rPr>
        <sz val="10"/>
        <rFont val="Arial"/>
        <family val="0"/>
        <charset val="1"/>
      </rPr>
      <t xml:space="preserve">2026-11-30</t>
    </r>
    <r>
      <rPr>
        <sz val="10"/>
        <rFont val="Noto Sans CJK SC"/>
        <family val="2"/>
      </rPr>
      <t xml:space="preserve">）共識營收 </t>
    </r>
    <r>
      <rPr>
        <sz val="10"/>
        <rFont val="Arial"/>
        <family val="0"/>
        <charset val="1"/>
      </rPr>
      <t xml:space="preserve">21.322 </t>
    </r>
    <r>
      <rPr>
        <sz val="10"/>
        <rFont val="Noto Sans CJK SC"/>
        <family val="2"/>
      </rPr>
      <t xml:space="preserve">＝ 去年同季 </t>
    </r>
    <r>
      <rPr>
        <sz val="10"/>
        <rFont val="Arial"/>
        <family val="0"/>
        <charset val="1"/>
      </rPr>
      <t xml:space="preserve">16.058 × 1.328</t>
    </r>
    <r>
      <rPr>
        <sz val="10"/>
        <rFont val="Noto Sans CJK SC"/>
        <family val="2"/>
      </rPr>
      <t xml:space="preserve">，落在公司指引年增 </t>
    </r>
    <r>
      <rPr>
        <sz val="10"/>
        <rFont val="Arial"/>
        <family val="0"/>
        <charset val="1"/>
      </rPr>
      <t xml:space="preserve">30%–34%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20.875–21.518</t>
    </r>
    <r>
      <rPr>
        <sz val="10"/>
        <rFont val="Noto Sans CJK SC"/>
        <family val="2"/>
      </rPr>
      <t xml:space="preserve">）區間內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</si>
  <si>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</si>
  <si>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營收（下限）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</si>
  <si>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</si>
  <si>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）；資本支出與淨現金資本支出為法說會口述（二手逐字稿），融資額為 </t>
    </r>
    <r>
      <rPr>
        <sz val="9"/>
        <color rgb="FF595959"/>
        <rFont val="Arial"/>
        <family val="0"/>
        <charset val="1"/>
      </rPr>
      <t xml:space="preserve">Q4 FY26 </t>
    </r>
    <r>
      <rPr>
        <sz val="9"/>
        <color rgb="FF595959"/>
        <rFont val="Noto Sans CJK SC"/>
        <family val="2"/>
      </rPr>
      <t xml:space="preserve">新聞稿與簡報｜</t>
    </r>
    <r>
      <rPr>
        <sz val="9"/>
        <color rgb="FF595959"/>
        <rFont val="Arial"/>
        <family val="0"/>
        <charset val="1"/>
      </rPr>
      <t xml:space="preserve">https://www.sec.gov/Archives/edgar/data/1341439/000119312526387905/orcl-ex99_1.htm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</si>
  <si>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</si>
  <si>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淨現金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（上限）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</si>
  <si>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</si>
  <si>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資本市場融資</t>
    </r>
  </si>
  <si>
    <r>
      <rPr>
        <sz val="9"/>
        <color rgb="FF595959"/>
        <rFont val="Noto Sans CJK SC"/>
        <family val="2"/>
      </rPr>
      <t xml:space="preserve">公司指引屬利害關係人（管理層）預估；營收與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為新聞稿正式文字；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90–95 </t>
    </r>
    <r>
      <rPr>
        <sz val="9"/>
        <color rgb="FF595959"/>
        <rFont val="Noto Sans CJK SC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guide.fy27.capex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</si>
  <si>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Noto Sans CJK SC"/>
        <family val="2"/>
      </rPr>
      <t xml:space="preserve">（經 </t>
    </r>
    <r>
      <rPr>
        <b val="true"/>
        <sz val="11"/>
        <color rgb="FFFFFFFF"/>
        <rFont val="Arial"/>
        <family val="0"/>
        <charset val="1"/>
      </rPr>
      <t xml:space="preserve">Yahoo Finance</t>
    </r>
    <r>
      <rPr>
        <b val="true"/>
        <sz val="11"/>
        <color rgb="FFFFFFFF"/>
        <rFont val="Noto Sans CJK SC"/>
        <family val="2"/>
      </rPr>
      <t xml:space="preserve">））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</si>
  <si>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</si>
  <si>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）（經 </t>
    </r>
    <r>
      <rPr>
        <sz val="9"/>
        <color rgb="FF595959"/>
        <rFont val="Arial"/>
        <family val="0"/>
        <charset val="1"/>
      </rPr>
      <t xml:space="preserve">Yahoo Finance Analysis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https://finance.yahoo.com/quote/ORCL/analysis/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</si>
  <si>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</si>
  <si>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</si>
  <si>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） 對照｜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EPS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</si>
  <si>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系）</t>
    </r>
    <r>
      <rPr>
        <sz val="9"/>
        <color rgb="FF595959"/>
        <rFont val="Arial"/>
        <family val="0"/>
        <charset val="1"/>
      </rPr>
      <t xml:space="preserve">FY27 90.449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FY28 131.711 </t>
    </r>
    <r>
      <rPr>
        <sz val="9"/>
        <color rgb="FF595959"/>
        <rFont val="Noto Sans CJK SC"/>
        <family val="2"/>
      </rPr>
      <t xml:space="preserve">差異 </t>
    </r>
    <r>
      <rPr>
        <sz val="9"/>
        <color rgb="FF595959"/>
        <rFont val="Arial"/>
        <family val="0"/>
        <charset val="1"/>
      </rPr>
      <t xml:space="preserve">&lt;0.3%</t>
    </r>
    <r>
      <rPr>
        <sz val="9"/>
        <color rgb="FF595959"/>
        <rFont val="Noto Sans CJK SC"/>
        <family val="2"/>
      </rPr>
      <t xml:space="preserve">，兩個獨立供應商一致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</si>
  <si>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</si>
  <si>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2026-10-07 Yorkville Ives &amp; Co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Daniel Ives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</si>
  <si>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https://stockanalysis.com/stocks/orcl/forecast/</t>
    </r>
  </si>
  <si>
    <r>
      <rPr>
        <sz val="9"/>
        <color rgb="FF595959"/>
        <rFont val="Arial"/>
        <family val="0"/>
        <charset val="1"/>
      </rPr>
      <t xml:space="preserve">Hold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</si>
  <si>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Bernstein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Mark Moerdler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</si>
  <si>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</si>
  <si>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Stifel Nicolaus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Brad Reback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</si>
  <si>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Evercore ISI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Kirk Materne</t>
    </r>
    <r>
      <rPr>
        <sz val="10"/>
        <rFont val="Noto Sans CJK SC"/>
        <family val="2"/>
      </rPr>
      <t xml:space="preserve">）</t>
    </r>
  </si>
  <si>
    <t xml:space="preserve">目標價未列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</si>
  <si>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William Blair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Sebastien Naji</t>
    </r>
    <r>
      <rPr>
        <sz val="10"/>
        <rFont val="Noto Sans CJK SC"/>
        <family val="2"/>
      </rPr>
      <t xml:space="preserve">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</si>
  <si>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</si>
  <si>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</si>
  <si>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系（與 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90.45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90.449 </t>
    </r>
    <r>
      <rPr>
        <sz val="10"/>
        <rFont val="Noto Sans CJK SC"/>
        <family val="2"/>
      </rPr>
      <t xml:space="preserve">幾乎相同，視為同一底層來源的兩個呈現，不算獨立交叉驗證。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的營收與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預估來自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90.48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FY28 131.45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MarketScreener 90.449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131.711 </t>
    </r>
    <r>
      <rPr>
        <sz val="10"/>
        <rFont val="Noto Sans CJK SC"/>
        <family val="2"/>
      </rPr>
      <t xml:space="preserve">一致，可作 </t>
    </r>
    <r>
      <rPr>
        <sz val="10"/>
        <rFont val="Arial"/>
        <family val="0"/>
        <charset val="1"/>
      </rPr>
      <t xml:space="preserve">FY27–FY28 </t>
    </r>
    <r>
      <rPr>
        <sz val="10"/>
        <rFont val="Noto Sans CJK SC"/>
        <family val="2"/>
      </rPr>
      <t xml:space="preserve">營收的獨立交叉。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237.97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完全相同，推測同源，不算獨立。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</si>
  <si>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</si>
  <si>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</si>
  <si>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只到 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</si>
  <si>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</si>
  <si>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FY29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</si>
  <si>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</si>
  <si>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</si>
  <si>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</si>
  <si>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Q1 FY27 </t>
    </r>
    <r>
      <rPr>
        <sz val="10"/>
        <rFont val="Noto Sans CJK SC"/>
        <family val="2"/>
      </rPr>
      <t xml:space="preserve">財報後更新）：未公開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</si>
  <si>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</si>
  <si>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</si>
  <si>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</si>
  <si>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</si>
  <si>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</si>
  <si>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</si>
  <si>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</si>
  <si>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</si>
  <si>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</si>
  <si>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</si>
  <si>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</si>
  <si>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Q3 FY28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</si>
  <si>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</si>
  <si>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2Q–4Q27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</si>
  <si>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</si>
  <si>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</si>
  <si>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</si>
  <si>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Q1 FY27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</si>
  <si>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</si>
  <si>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</si>
  <si>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2026-08-31</t>
    </r>
    <r>
      <rPr>
        <sz val="9"/>
        <color rgb="FF595959"/>
        <rFont val="Noto Sans CJK SC"/>
        <family val="2"/>
      </rPr>
      <t xml:space="preserve">）已連網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1,835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defaults.mwYearEnd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交付 </t>
    </r>
    <r>
      <rPr>
        <sz val="9"/>
        <color rgb="FF595959"/>
        <rFont val="Arial"/>
        <family val="0"/>
        <charset val="1"/>
      </rPr>
      <t xml:space="preserve">850 MW ÷ 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708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2,543 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</si>
  <si>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</si>
  <si>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</si>
  <si>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</si>
  <si>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</si>
  <si>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</si>
  <si>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</si>
  <si>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</si>
  <si>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</si>
  <si>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</si>
  <si>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</si>
  <si>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Q1 FY27 </t>
    </r>
    <r>
      <rPr>
        <sz val="9"/>
        <color rgb="FF595959"/>
        <rFont val="Noto Sans CJK SC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營收年增 </t>
    </r>
    <r>
      <rPr>
        <sz val="9"/>
        <color rgb="FF595959"/>
        <rFont val="Arial"/>
        <family val="0"/>
        <charset val="1"/>
      </rPr>
      <t xml:space="preserve">30%–34%</t>
    </r>
    <r>
      <rPr>
        <sz val="9"/>
        <color rgb="FF595959"/>
        <rFont val="Noto Sans CJK SC"/>
        <family val="2"/>
      </rPr>
      <t xml:space="preserve">（美元）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去年同季 </t>
    </r>
    <r>
      <rPr>
        <sz val="9"/>
        <color rgb="FF595959"/>
        <rFont val="Arial"/>
        <family val="0"/>
        <charset val="1"/>
      </rPr>
      <t xml:space="preserve">16.058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20.875–21.518 [Derived] [Interested-party]</t>
    </r>
  </si>
  <si>
    <t xml:space="preserve">季度指引｜營收（高）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</si>
  <si>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</si>
  <si>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實際＝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；營收指引為下限（≥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Noto Sans CJK SC"/>
        <family val="2"/>
      </rPr>
      <t xml:space="preserve">），以下限作比較基準；只用於判斷季度差距是否為「拆法」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</si>
  <si>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2Q–4Q27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</si>
  <si>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</si>
  <si>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實際（季報現金流量表口徑）＋第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</si>
  <si>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</si>
  <si>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</si>
  <si>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</si>
  <si>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</si>
  <si>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</si>
  <si>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</si>
  <si>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成長型＋汰換 </t>
    </r>
    <r>
      <rPr>
        <sz val="9"/>
        <color rgb="FF595959"/>
        <rFont val="Arial"/>
        <family val="0"/>
        <charset val="1"/>
      </rPr>
      <t xml:space="preserve">CapEx)× </t>
    </r>
    <r>
      <rPr>
        <sz val="9"/>
        <color rgb="FF595959"/>
        <rFont val="Noto Sans CJK SC"/>
        <family val="2"/>
      </rPr>
      <t xml:space="preserve">預付比率（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：汰換同樣適用覆蓋比）；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</si>
  <si>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</si>
  <si>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</si>
  <si>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</si>
  <si>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</si>
  <si>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</si>
  <si>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</si>
  <si>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</si>
  <si>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</si>
  <si>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</si>
  <si>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</si>
  <si>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</si>
  <si>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39.283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2Q–4Q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1.136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</si>
  <si>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</si>
  <si>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288.0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</si>
  <si>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</si>
  <si>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租金已含在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率內（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營業租賃費用屬營業費用）：營運來源以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率＋租金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營收計（租前），此列再扣，淨效果中性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</si>
  <si>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</si>
  <si>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</si>
  <si>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</si>
  <si>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</si>
  <si>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</si>
  <si>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</si>
  <si>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</si>
  <si>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</si>
  <si>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</si>
  <si>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</si>
  <si>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</si>
  <si>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</si>
  <si>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</si>
  <si>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</si>
  <si>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</si>
  <si>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</si>
  <si>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</si>
  <si>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</si>
  <si>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</si>
  <si>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</si>
  <si>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</si>
  <si>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</si>
  <si>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</si>
  <si>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</si>
  <si>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1Q27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</si>
  <si>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</si>
  <si>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</si>
  <si>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</si>
  <si>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</si>
  <si>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</si>
  <si>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</si>
  <si>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傳統事業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</si>
  <si>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、軟體、硬體、服務四線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，視為現金（現金稅另列於用途；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</si>
  <si>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</si>
  <si>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</si>
  <si>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</si>
  <si>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</si>
  <si>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</si>
  <si>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ATM </t>
    </r>
    <r>
      <rPr>
        <sz val="9"/>
        <color rgb="FF595959"/>
        <rFont val="Noto Sans CJK SC"/>
        <family val="2"/>
      </rPr>
      <t xml:space="preserve">淨收入 </t>
    </r>
    <r>
      <rPr>
        <sz val="9"/>
        <color rgb="FF595959"/>
        <rFont val="Arial"/>
        <family val="0"/>
        <charset val="1"/>
      </rPr>
      <t xml:space="preserve">19.909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141m </t>
    </r>
    <r>
      <rPr>
        <sz val="9"/>
        <color rgb="FF595959"/>
        <rFont val="Noto Sans CJK SC"/>
        <family val="2"/>
      </rPr>
      <t xml:space="preserve">股、均價約 </t>
    </r>
    <r>
      <rPr>
        <sz val="9"/>
        <color rgb="FF595959"/>
        <rFont val="Arial"/>
        <family val="0"/>
        <charset val="1"/>
      </rPr>
      <t xml:space="preserve">$141.84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</si>
  <si>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Arial"/>
        <family val="0"/>
        <charset val="1"/>
      </rPr>
      <t xml:space="preserve">Ⓕ 1Q27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</si>
  <si>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</si>
  <si>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</si>
  <si>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</si>
  <si>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</si>
  <si>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</si>
  <si>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</si>
  <si>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</si>
  <si>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</si>
  <si>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</si>
  <si>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</si>
  <si>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</si>
  <si>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</si>
  <si>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</si>
  <si>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</si>
  <si>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</si>
  <si>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</si>
  <si>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</si>
  <si>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</si>
  <si>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</si>
  <si>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</si>
  <si>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</si>
  <si>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</si>
  <si>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</si>
  <si>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</si>
  <si>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</si>
  <si>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</si>
  <si>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</si>
  <si>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</si>
  <si>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</si>
  <si>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</si>
  <si>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8/31 RPO 664.0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</si>
  <si>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</si>
  <si>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</si>
  <si>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</si>
  <si>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</si>
  <si>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125.904)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</si>
  <si>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</si>
  <si>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</si>
  <si>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</si>
  <si>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</si>
  <si>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</si>
  <si>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</si>
  <si>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</si>
  <si>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</si>
  <si>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</si>
  <si>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</si>
  <si>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</si>
  <si>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</si>
  <si>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</si>
  <si>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</si>
  <si>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3.02374bn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</si>
  <si>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</si>
  <si>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</si>
  <si>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</si>
  <si>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</si>
  <si>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</si>
  <si>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</si>
  <si>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</si>
  <si>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</si>
  <si>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</si>
  <si>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</si>
  <si>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</si>
  <si>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</si>
  <si>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</si>
  <si>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</si>
  <si>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</si>
  <si>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2026-05-31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</si>
  <si>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</si>
  <si>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</si>
  <si>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</si>
  <si>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</si>
  <si>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</si>
  <si>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</si>
  <si>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</si>
  <si>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</si>
  <si>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</si>
  <si>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</si>
  <si>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</si>
  <si>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</si>
  <si>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</si>
  <si>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</si>
  <si>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1Q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</si>
  <si>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（法說會二手逐字稿；新聞稿與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</si>
  <si>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</si>
  <si>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</si>
  <si>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</si>
  <si>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1.136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</si>
  <si>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</si>
  <si>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4.202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3.007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</si>
  <si>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</si>
  <si>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</si>
  <si>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</si>
  <si>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</si>
  <si>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</si>
  <si>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</si>
  <si>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</si>
  <si>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</si>
  <si>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</si>
  <si>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</si>
  <si>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</si>
  <si>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</si>
  <si>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</si>
  <si>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</si>
  <si>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</si>
  <si>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</si>
  <si>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</si>
  <si>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</si>
  <si>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</si>
  <si>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</si>
  <si>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</si>
  <si>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</si>
  <si>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</si>
  <si>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</si>
  <si>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</si>
  <si>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</si>
  <si>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</si>
  <si>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</si>
  <si>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</si>
  <si>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</si>
  <si>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</si>
  <si>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</si>
  <si>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</si>
  <si>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</si>
  <si>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</si>
  <si>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</si>
  <si>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</si>
  <si>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</si>
  <si>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</si>
  <si>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2Q–4Q27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</si>
  <si>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</si>
  <si>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</si>
  <si>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</si>
  <si>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</si>
  <si>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</si>
  <si>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</si>
  <si>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</si>
  <si>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</si>
  <si>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</si>
  <si>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</si>
  <si>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</si>
  <si>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</si>
  <si>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</si>
  <si>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</si>
  <si>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</si>
  <si>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</si>
  <si>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</si>
  <si>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</si>
  <si>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</si>
  <si>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</si>
  <si>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共識非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營業利益（含 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調整，口徑不同）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</si>
  <si>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</si>
  <si>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</si>
  <si>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</si>
  <si>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</si>
  <si>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</si>
  <si>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</si>
  <si>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</si>
  <si>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實際｜季末已交付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</si>
  <si>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</si>
  <si>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</si>
  <si>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</si>
  <si>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</si>
  <si>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</si>
  <si>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</si>
  <si>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</si>
  <si>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</si>
  <si>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</si>
  <si>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</si>
  <si>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</si>
  <si>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</si>
  <si>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</si>
  <si>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</si>
  <si>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</si>
  <si>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</si>
  <si>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</si>
  <si>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</si>
  <si>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</si>
  <si>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</si>
  <si>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</si>
  <si>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</si>
  <si>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</si>
  <si>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</si>
  <si>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</si>
  <si>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</si>
  <si>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</si>
  <si>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</si>
  <si>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</si>
  <si>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</si>
  <si>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</si>
  <si>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</si>
  <si>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</si>
  <si>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</si>
  <si>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</si>
  <si>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</si>
  <si>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</si>
  <si>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</si>
  <si>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</si>
  <si>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</si>
  <si>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</si>
  <si>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</si>
  <si>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</si>
  <si>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</si>
  <si>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</si>
  <si>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</si>
  <si>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</si>
  <si>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Noto Sans CJK SC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</si>
  <si>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指引｜水準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</si>
  <si>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指引｜分配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</si>
  <si>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</si>
  <si>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</si>
  <si>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</si>
  <si>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</si>
  <si>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</si>
  <si>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</si>
  <si>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</si>
  <si>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</si>
  <si>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</si>
  <si>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</si>
  <si>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</si>
  <si>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</si>
  <si>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</si>
  <si>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</si>
  <si>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</si>
  <si>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</si>
  <si>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</si>
  <si>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</si>
  <si>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</si>
  <si>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</si>
  <si>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</si>
  <si>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</si>
  <si>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</si>
  <si>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</si>
  <si>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</si>
  <si>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</si>
  <si>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</si>
  <si>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</si>
  <si>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</si>
  <si>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</si>
  <si>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</si>
  <si>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</si>
  <si>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</si>
  <si>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</si>
  <si>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</si>
  <si>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</si>
  <si>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</si>
  <si>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</si>
  <si>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</si>
  <si>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</si>
  <si>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</si>
  <si>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</si>
  <si>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</si>
  <si>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</si>
  <si>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</si>
  <si>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2Q–4Q27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</si>
  <si>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</si>
  <si>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</si>
  <si>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</si>
  <si>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</si>
  <si>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</si>
  <si>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</si>
  <si>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</si>
  <si>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</si>
  <si>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的模型期只有第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季；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</si>
  <si>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</si>
  <si>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</si>
  <si>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</si>
  <si>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</si>
  <si>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</si>
  <si>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</si>
  <si>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</si>
  <si>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</si>
  <si>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欄為第 </t>
    </r>
    <r>
      <rPr>
        <sz val="10"/>
        <rFont val="Arial"/>
        <family val="0"/>
        <charset val="1"/>
      </rPr>
      <t xml:space="preserve">2–4 </t>
    </r>
    <r>
      <rPr>
        <sz val="10"/>
        <rFont val="Noto Sans CJK SC"/>
        <family val="2"/>
      </rPr>
      <t xml:space="preserve">季平均）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</si>
  <si>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</si>
  <si>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</si>
  <si>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</si>
  <si>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</si>
  <si>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</si>
  <si>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(8/31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</si>
  <si>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</si>
  <si>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</si>
  <si>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</si>
  <si>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</si>
  <si>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</si>
  <si>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</si>
  <si>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</si>
  <si>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</si>
  <si>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</si>
  <si>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</si>
  <si>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</si>
  <si>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</si>
  <si>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</si>
  <si>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</si>
  <si>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</si>
  <si>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</si>
  <si>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</si>
  <si>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</si>
  <si>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</si>
  <si>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664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（含傳統事業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</si>
  <si>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1Q27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</si>
  <si>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2026-06-01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08-31 </t>
    </r>
    <r>
      <rPr>
        <sz val="9"/>
        <color rgb="FF595959"/>
        <rFont val="Noto Sans CJK SC"/>
        <family val="2"/>
      </rPr>
      <t xml:space="preserve">已認列營收。已實現，不受第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</si>
  <si>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實際＋模型期算力＋服務＋傳統事業）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</si>
  <si>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欄對照公司全年指引 ≥</t>
    </r>
    <r>
      <rPr>
        <sz val="9"/>
        <color rgb="FF595959"/>
        <rFont val="Arial"/>
        <family val="0"/>
        <charset val="1"/>
      </rPr>
      <t xml:space="preserve">90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</si>
  <si>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</si>
  <si>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</si>
  <si>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</si>
  <si>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</si>
  <si>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</si>
  <si>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</si>
  <si>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</si>
  <si>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</si>
  <si>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</si>
  <si>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</si>
  <si>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</si>
  <si>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</si>
  <si>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</si>
  <si>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2Q–4Q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</si>
  <si>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</si>
  <si>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</si>
  <si>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</si>
  <si>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</si>
  <si>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</si>
  <si>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</si>
  <si>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</si>
  <si>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</si>
  <si>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</si>
  <si>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</si>
  <si>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</si>
  <si>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</si>
  <si>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</si>
  <si>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Abilene, TX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Stargate </t>
    </r>
    <r>
      <rPr>
        <sz val="10"/>
        <rFont val="Noto Sans CJK SC"/>
        <family val="2"/>
      </rPr>
      <t xml:space="preserve">一期）</t>
    </r>
  </si>
  <si>
    <r>
      <rPr>
        <sz val="9"/>
        <color rgb="FF595959"/>
        <rFont val="Arial"/>
        <family val="0"/>
        <charset val="1"/>
      </rPr>
      <t xml:space="preserve">Crusoe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Blue Owl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承租（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</si>
  <si>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</si>
  <si>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2026–2027</t>
  </si>
  <si>
    <t xml:space="preserve">—</t>
  </si>
  <si>
    <r>
      <rPr>
        <sz val="9"/>
        <color rgb="FF595959"/>
        <rFont val="Noto Sans CJK SC"/>
        <family val="2"/>
      </rPr>
      <t xml:space="preserve">法說：已交付 </t>
    </r>
    <r>
      <rPr>
        <sz val="9"/>
        <color rgb="FF595959"/>
        <rFont val="Arial"/>
        <family val="0"/>
        <charset val="1"/>
      </rPr>
      <t xml:space="preserve">618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515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1.2 GW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</si>
  <si>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Shackelford County, TX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Frontier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</si>
  <si>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Vantage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</si>
  <si>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</si>
  <si>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2.0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1,667 MW-IT</t>
    </r>
    <r>
      <rPr>
        <sz val="9"/>
        <color rgb="FF595959"/>
        <rFont val="Noto Sans CJK SC"/>
        <family val="2"/>
      </rPr>
      <t xml:space="preserve">）；開發商融資 </t>
    </r>
    <r>
      <rPr>
        <sz val="9"/>
        <color rgb="FF595959"/>
        <rFont val="Arial"/>
        <family val="0"/>
        <charset val="1"/>
      </rPr>
      <t xml:space="preserve">38B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Port Washington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</si>
  <si>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Doña Ana County, NM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Project Jupiter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</si>
  <si>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BorderPlex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STACK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</si>
  <si>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t xml:space="preserve">延後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</si>
  <si>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2.2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2026-09-24 Oracle </t>
    </r>
    <r>
      <rPr>
        <sz val="9"/>
        <color rgb="FF595959"/>
        <rFont val="Noto Sans CJK SC"/>
        <family val="2"/>
      </rPr>
      <t xml:space="preserve">發不可抗力通知（能源延誤）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</si>
  <si>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Port Washington, WI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</si>
  <si>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1.3 GW [Derived]</t>
    </r>
  </si>
  <si>
    <r>
      <rPr>
        <sz val="10"/>
        <rFont val="Arial"/>
        <family val="0"/>
        <charset val="1"/>
      </rPr>
      <t xml:space="preserve">Saline Township, MI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The Barn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</si>
  <si>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Related Digital </t>
    </r>
    <r>
      <rPr>
        <sz val="9"/>
        <color rgb="FF595959"/>
        <rFont val="Noto Sans CJK SC"/>
        <family val="2"/>
      </rPr>
      <t xml:space="preserve">開發、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承租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</si>
  <si>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估設施 </t>
    </r>
    <r>
      <rPr>
        <sz val="9"/>
        <color rgb="FF595959"/>
        <rFont val="Arial"/>
        <family val="0"/>
        <charset val="1"/>
      </rPr>
      <t xml:space="preserve">1.4 GW</t>
    </r>
    <r>
      <rPr>
        <sz val="9"/>
        <color rgb="FF595959"/>
        <rFont val="Noto Sans CJK SC"/>
        <family val="2"/>
      </rPr>
      <t xml:space="preserve">；開發商融資 </t>
    </r>
    <r>
      <rPr>
        <sz val="9"/>
        <color rgb="FF595959"/>
        <rFont val="Arial"/>
        <family val="0"/>
        <charset val="1"/>
      </rPr>
      <t xml:space="preserve">16B [Derived]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</si>
  <si>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</si>
  <si>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</si>
  <si>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</si>
  <si>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</si>
  <si>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</si>
  <si>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</si>
  <si>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</si>
  <si>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</si>
  <si>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</si>
  <si>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</si>
  <si>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</si>
  <si>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</si>
  <si>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</si>
  <si>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</si>
  <si>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</si>
  <si>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</si>
  <si>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</si>
  <si>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</si>
  <si>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</si>
  <si>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</si>
  <si>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</si>
  <si>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</si>
  <si>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</si>
  <si>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</si>
  <si>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</si>
  <si>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</si>
  <si>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</si>
  <si>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</si>
  <si>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</si>
  <si>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</si>
  <si>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</si>
  <si>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</si>
  <si>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</si>
  <si>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8/31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</si>
  <si>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</si>
  <si>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2027-04</t>
    </r>
  </si>
  <si>
    <t xml:space="preserve">無擔保</t>
  </si>
  <si>
    <t xml:space="preserve">2027-04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</si>
  <si>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</si>
  <si>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2027-11</t>
    </r>
  </si>
  <si>
    <t xml:space="preserve">2027-11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</si>
  <si>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2017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</si>
  <si>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2.30%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2028-03</t>
    </r>
  </si>
  <si>
    <t xml:space="preserve">2028-03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</si>
  <si>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March 2021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</si>
  <si>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2028-05</t>
    </r>
  </si>
  <si>
    <t xml:space="preserve">2028-05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</si>
  <si>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</si>
  <si>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2028-08</t>
    </r>
  </si>
  <si>
    <t xml:space="preserve">2028-08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</si>
  <si>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</si>
  <si>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2029-02</t>
    </r>
  </si>
  <si>
    <t xml:space="preserve">2029-02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</si>
  <si>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February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</si>
  <si>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4.20%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2029-09</t>
    </r>
  </si>
  <si>
    <t xml:space="preserve">2029-09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</si>
  <si>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</si>
  <si>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2029-11</t>
    </r>
  </si>
  <si>
    <t xml:space="preserve">2029-11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</si>
  <si>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November 2022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</si>
  <si>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2030-04</t>
    </r>
  </si>
  <si>
    <t xml:space="preserve">2030-04</t>
  </si>
  <si>
    <r>
      <rPr>
        <sz val="10"/>
        <rFont val="Arial"/>
        <family val="0"/>
        <charset val="1"/>
      </rPr>
      <t xml:space="preserve">4.65%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</si>
  <si>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t xml:space="preserve">2030-05</t>
  </si>
  <si>
    <r>
      <rPr>
        <sz val="10"/>
        <rFont val="Arial"/>
        <family val="0"/>
        <charset val="1"/>
      </rPr>
      <t xml:space="preserve">3.25%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2030-05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</si>
  <si>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May 2015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</si>
  <si>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4.45%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2030-09</t>
    </r>
  </si>
  <si>
    <t xml:space="preserve">2030-09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</si>
  <si>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September 2025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</si>
  <si>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2031-02</t>
    </r>
  </si>
  <si>
    <t xml:space="preserve">2031-02</t>
  </si>
  <si>
    <r>
      <rPr>
        <sz val="10"/>
        <rFont val="Arial"/>
        <family val="0"/>
        <charset val="1"/>
      </rPr>
      <t xml:space="preserve">2.875%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2031-03</t>
    </r>
  </si>
  <si>
    <t xml:space="preserve">2031-03</t>
  </si>
  <si>
    <r>
      <rPr>
        <sz val="10"/>
        <rFont val="Arial"/>
        <family val="0"/>
        <charset val="1"/>
      </rPr>
      <t xml:space="preserve">5.25%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2032-02</t>
    </r>
  </si>
  <si>
    <t xml:space="preserve">2032-02</t>
  </si>
  <si>
    <r>
      <rPr>
        <sz val="10"/>
        <rFont val="Arial"/>
        <family val="0"/>
        <charset val="1"/>
      </rPr>
      <t xml:space="preserve">4.80%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2032-09</t>
    </r>
  </si>
  <si>
    <t xml:space="preserve">2032-09</t>
  </si>
  <si>
    <r>
      <rPr>
        <sz val="10"/>
        <rFont val="Arial"/>
        <family val="0"/>
        <charset val="1"/>
      </rPr>
      <t xml:space="preserve">6.25%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2032-11</t>
    </r>
  </si>
  <si>
    <t xml:space="preserve">2032-11</t>
  </si>
  <si>
    <r>
      <rPr>
        <sz val="10"/>
        <rFont val="Arial"/>
        <family val="0"/>
        <charset val="1"/>
      </rPr>
      <t xml:space="preserve">4.90%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2033-02</t>
    </r>
  </si>
  <si>
    <t xml:space="preserve">2033-02</t>
  </si>
  <si>
    <r>
      <rPr>
        <sz val="10"/>
        <rFont val="Arial"/>
        <family val="0"/>
        <charset val="1"/>
      </rPr>
      <t xml:space="preserve">5.35%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2033-05</t>
    </r>
  </si>
  <si>
    <t xml:space="preserve">2033-05</t>
  </si>
  <si>
    <r>
      <rPr>
        <sz val="10"/>
        <rFont val="Arial"/>
        <family val="0"/>
        <charset val="1"/>
      </rPr>
      <t xml:space="preserve">4.30%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2034-07</t>
    </r>
  </si>
  <si>
    <t xml:space="preserve">2034-07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</si>
  <si>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</si>
  <si>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4.70%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2034-09</t>
    </r>
  </si>
  <si>
    <t xml:space="preserve">2034-09</t>
  </si>
  <si>
    <r>
      <rPr>
        <sz val="10"/>
        <rFont val="Arial"/>
        <family val="0"/>
        <charset val="1"/>
      </rPr>
      <t xml:space="preserve">3.90%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2035-05</t>
    </r>
  </si>
  <si>
    <t xml:space="preserve">2035-05</t>
  </si>
  <si>
    <r>
      <rPr>
        <sz val="10"/>
        <rFont val="Arial"/>
        <family val="0"/>
        <charset val="1"/>
      </rPr>
      <t xml:space="preserve">5.50%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2035-08</t>
    </r>
  </si>
  <si>
    <t xml:space="preserve">2035-08</t>
  </si>
  <si>
    <r>
      <rPr>
        <sz val="10"/>
        <rFont val="Arial"/>
        <family val="0"/>
        <charset val="1"/>
      </rPr>
      <t xml:space="preserve">5.20%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2035-09</t>
    </r>
  </si>
  <si>
    <t xml:space="preserve">2035-09</t>
  </si>
  <si>
    <r>
      <rPr>
        <sz val="10"/>
        <rFont val="Arial"/>
        <family val="0"/>
        <charset val="1"/>
      </rPr>
      <t xml:space="preserve">5.70%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2036-02</t>
    </r>
  </si>
  <si>
    <t xml:space="preserve">2036-02</t>
  </si>
  <si>
    <r>
      <rPr>
        <sz val="10"/>
        <rFont val="Arial"/>
        <family val="0"/>
        <charset val="1"/>
      </rPr>
      <t xml:space="preserve">3.85%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2036-07</t>
    </r>
  </si>
  <si>
    <t xml:space="preserve">2036-07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</si>
  <si>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</si>
  <si>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3.80%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2037-11</t>
    </r>
  </si>
  <si>
    <t xml:space="preserve">2037-11</t>
  </si>
  <si>
    <r>
      <rPr>
        <sz val="10"/>
        <rFont val="Arial"/>
        <family val="0"/>
        <charset val="1"/>
      </rPr>
      <t xml:space="preserve">6.50%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2038-04</t>
    </r>
  </si>
  <si>
    <t xml:space="preserve">2038-04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</si>
  <si>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April 2008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</si>
  <si>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6.125%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2039-07</t>
    </r>
  </si>
  <si>
    <t xml:space="preserve">2039-07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</si>
  <si>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2009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</si>
  <si>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2040-04</t>
    </r>
  </si>
  <si>
    <t xml:space="preserve">2040-04</t>
  </si>
  <si>
    <r>
      <rPr>
        <sz val="10"/>
        <rFont val="Arial"/>
        <family val="0"/>
        <charset val="1"/>
      </rPr>
      <t xml:space="preserve">5.375%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2040-07</t>
    </r>
  </si>
  <si>
    <t xml:space="preserve">2040-07</t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</si>
  <si>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（發行 </t>
    </r>
    <r>
      <rPr>
        <sz val="9"/>
        <color rgb="FF595959"/>
        <rFont val="Arial"/>
        <family val="0"/>
        <charset val="1"/>
      </rPr>
      <t xml:space="preserve">July 2010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</si>
  <si>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3.65%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2041-03</t>
    </r>
  </si>
  <si>
    <t xml:space="preserve">2041-03</t>
  </si>
  <si>
    <r>
      <rPr>
        <sz val="10"/>
        <rFont val="Arial"/>
        <family val="0"/>
        <charset val="1"/>
      </rPr>
      <t xml:space="preserve">4.50%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2044-07</t>
    </r>
  </si>
  <si>
    <t xml:space="preserve">2044-07</t>
  </si>
  <si>
    <r>
      <rPr>
        <sz val="10"/>
        <rFont val="Arial"/>
        <family val="0"/>
        <charset val="1"/>
      </rPr>
      <t xml:space="preserve">4.125%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2045-05</t>
    </r>
  </si>
  <si>
    <t xml:space="preserve">2045-05</t>
  </si>
  <si>
    <r>
      <rPr>
        <sz val="10"/>
        <rFont val="Arial"/>
        <family val="0"/>
        <charset val="1"/>
      </rPr>
      <t xml:space="preserve">5.875%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2045-09</t>
    </r>
  </si>
  <si>
    <t xml:space="preserve">2045-09</t>
  </si>
  <si>
    <r>
      <rPr>
        <sz val="10"/>
        <rFont val="Arial"/>
        <family val="0"/>
        <charset val="1"/>
      </rPr>
      <t xml:space="preserve">6.55%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2046-02</t>
    </r>
  </si>
  <si>
    <t xml:space="preserve">2046-02</t>
  </si>
  <si>
    <r>
      <rPr>
        <sz val="10"/>
        <rFont val="Arial"/>
        <family val="0"/>
        <charset val="1"/>
      </rPr>
      <t xml:space="preserve">4.00%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2046-07</t>
    </r>
  </si>
  <si>
    <t xml:space="preserve">2046-07</t>
  </si>
  <si>
    <r>
      <rPr>
        <sz val="10"/>
        <rFont val="Arial"/>
        <family val="0"/>
        <charset val="1"/>
      </rPr>
      <t xml:space="preserve">4.00%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2047-11</t>
    </r>
  </si>
  <si>
    <t xml:space="preserve">2047-11</t>
  </si>
  <si>
    <r>
      <rPr>
        <sz val="10"/>
        <rFont val="Arial"/>
        <family val="0"/>
        <charset val="1"/>
      </rPr>
      <t xml:space="preserve">3.60%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2050-04</t>
    </r>
  </si>
  <si>
    <t xml:space="preserve">2050-04</t>
  </si>
  <si>
    <r>
      <rPr>
        <sz val="10"/>
        <rFont val="Arial"/>
        <family val="0"/>
        <charset val="1"/>
      </rPr>
      <t xml:space="preserve">3.95%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2051-03</t>
    </r>
  </si>
  <si>
    <t xml:space="preserve">2051-03</t>
  </si>
  <si>
    <r>
      <rPr>
        <sz val="10"/>
        <rFont val="Arial"/>
        <family val="0"/>
        <charset val="1"/>
      </rPr>
      <t xml:space="preserve">6.90%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2052-11</t>
    </r>
  </si>
  <si>
    <t xml:space="preserve">2052-11</t>
  </si>
  <si>
    <r>
      <rPr>
        <sz val="10"/>
        <rFont val="Arial"/>
        <family val="0"/>
        <charset val="1"/>
      </rPr>
      <t xml:space="preserve">5.55%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2053-02</t>
    </r>
  </si>
  <si>
    <t xml:space="preserve">2053-02</t>
  </si>
  <si>
    <r>
      <rPr>
        <sz val="10"/>
        <rFont val="Arial"/>
        <family val="0"/>
        <charset val="1"/>
      </rPr>
      <t xml:space="preserve">5.375%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2054-09</t>
    </r>
  </si>
  <si>
    <t xml:space="preserve">2054-09</t>
  </si>
  <si>
    <r>
      <rPr>
        <sz val="10"/>
        <rFont val="Arial"/>
        <family val="0"/>
        <charset val="1"/>
      </rPr>
      <t xml:space="preserve">4.375%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2055-05</t>
    </r>
  </si>
  <si>
    <t xml:space="preserve">2055-05</t>
  </si>
  <si>
    <r>
      <rPr>
        <sz val="10"/>
        <rFont val="Arial"/>
        <family val="0"/>
        <charset val="1"/>
      </rPr>
      <t xml:space="preserve">6.00%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2055-08</t>
    </r>
  </si>
  <si>
    <t xml:space="preserve">2055-08</t>
  </si>
  <si>
    <r>
      <rPr>
        <sz val="10"/>
        <rFont val="Arial"/>
        <family val="0"/>
        <charset val="1"/>
      </rPr>
      <t xml:space="preserve">5.95%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2055-09</t>
    </r>
  </si>
  <si>
    <t xml:space="preserve">2055-09</t>
  </si>
  <si>
    <r>
      <rPr>
        <sz val="10"/>
        <rFont val="Arial"/>
        <family val="0"/>
        <charset val="1"/>
      </rPr>
      <t xml:space="preserve">6.70%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2056-02</t>
    </r>
  </si>
  <si>
    <t xml:space="preserve">2056-02</t>
  </si>
  <si>
    <r>
      <rPr>
        <sz val="10"/>
        <rFont val="Arial"/>
        <family val="0"/>
        <charset val="1"/>
      </rPr>
      <t xml:space="preserve">3.85%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2060-04</t>
    </r>
  </si>
  <si>
    <t xml:space="preserve">2060-04</t>
  </si>
  <si>
    <r>
      <rPr>
        <sz val="10"/>
        <rFont val="Arial"/>
        <family val="0"/>
        <charset val="1"/>
      </rPr>
      <t xml:space="preserve">4.10%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2061-03</t>
    </r>
  </si>
  <si>
    <t xml:space="preserve">2061-03</t>
  </si>
  <si>
    <r>
      <rPr>
        <sz val="10"/>
        <rFont val="Arial"/>
        <family val="0"/>
        <charset val="1"/>
      </rPr>
      <t xml:space="preserve">5.50%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2064-09</t>
    </r>
  </si>
  <si>
    <t xml:space="preserve">2064-09</t>
  </si>
  <si>
    <r>
      <rPr>
        <sz val="10"/>
        <rFont val="Arial"/>
        <family val="0"/>
        <charset val="1"/>
      </rPr>
      <t xml:space="preserve">6.125%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2065-08</t>
    </r>
  </si>
  <si>
    <t xml:space="preserve">2065-08</t>
  </si>
  <si>
    <r>
      <rPr>
        <sz val="10"/>
        <rFont val="Arial"/>
        <family val="0"/>
        <charset val="1"/>
      </rPr>
      <t xml:space="preserve">6.10%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2065-09</t>
    </r>
  </si>
  <si>
    <t xml:space="preserve">2065-09</t>
  </si>
  <si>
    <r>
      <rPr>
        <sz val="10"/>
        <rFont val="Arial"/>
        <family val="0"/>
        <charset val="1"/>
      </rPr>
      <t xml:space="preserve">6.85% </t>
    </r>
    <r>
      <rPr>
        <sz val="10"/>
        <rFont val="Noto Sans CJK SC"/>
        <family val="2"/>
      </rPr>
      <t xml:space="preserve">優先票據 </t>
    </r>
    <r>
      <rPr>
        <sz val="10"/>
        <rFont val="Arial"/>
        <family val="0"/>
        <charset val="1"/>
      </rPr>
      <t xml:space="preserve">2066-02</t>
    </r>
  </si>
  <si>
    <t xml:space="preserve">2066-02</t>
  </si>
  <si>
    <r>
      <rPr>
        <sz val="10"/>
        <rFont val="Noto Sans CJK SC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0.76% 2028-08</t>
    </r>
  </si>
  <si>
    <r>
      <rPr>
        <sz val="10"/>
        <rFont val="Noto Sans CJK SC"/>
        <family val="2"/>
      </rPr>
      <t xml:space="preserve">浮動利率票據 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1.11% 2029-02</t>
    </r>
  </si>
  <si>
    <r>
      <rPr>
        <sz val="10"/>
        <rFont val="Noto Sans CJK SC"/>
        <family val="2"/>
      </rPr>
      <t xml:space="preserve">定期貸款（</t>
    </r>
    <r>
      <rPr>
        <sz val="10"/>
        <rFont val="Arial"/>
        <family val="0"/>
        <charset val="1"/>
      </rPr>
      <t xml:space="preserve">Term Loan Credit Agreement 2</t>
    </r>
    <r>
      <rPr>
        <sz val="10"/>
        <rFont val="Noto Sans CJK SC"/>
        <family val="2"/>
      </rPr>
      <t xml:space="preserve">）</t>
    </r>
  </si>
  <si>
    <t xml:space="preserve">2027-08</t>
  </si>
  <si>
    <r>
      <rPr>
        <sz val="9"/>
        <color rgb="FF595959"/>
        <rFont val="Arial"/>
        <family val="0"/>
        <charset val="1"/>
      </rPr>
      <t xml:space="preserve">2026-05-31 </t>
    </r>
    <r>
      <rPr>
        <sz val="9"/>
        <color rgb="FF595959"/>
        <rFont val="Noto Sans CJK SC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5.137 − FY27Q1 </t>
    </r>
    <r>
      <rPr>
        <sz val="9"/>
        <color rgb="FF595959"/>
        <rFont val="Noto Sans CJK SC"/>
        <family val="2"/>
      </rPr>
      <t xml:space="preserve">攤還約 </t>
    </r>
    <r>
      <rPr>
        <sz val="9"/>
        <color rgb="FF595959"/>
        <rFont val="Arial"/>
        <family val="0"/>
        <charset val="1"/>
      </rPr>
      <t xml:space="preserve">0.070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4.7B </t>
    </r>
    <r>
      <rPr>
        <sz val="9"/>
        <color rgb="FF595959"/>
        <rFont val="Noto Sans CJK SC"/>
        <family val="2"/>
      </rPr>
      <t xml:space="preserve">以利率交換固定，有效約 </t>
    </r>
    <r>
      <rPr>
        <sz val="9"/>
        <color rgb="FF595959"/>
        <rFont val="Arial"/>
        <family val="0"/>
        <charset val="1"/>
      </rPr>
      <t xml:space="preserve">4.74%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起每季攤還約 </t>
    </r>
    <r>
      <rPr>
        <sz val="9"/>
        <color rgb="FF595959"/>
        <rFont val="Arial"/>
        <family val="0"/>
        <charset val="1"/>
      </rPr>
      <t xml:space="preserve">0.14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2027-08-16 </t>
    </r>
    <r>
      <rPr>
        <sz val="9"/>
        <color rgb="FF595959"/>
        <rFont val="Noto Sans CJK SC"/>
        <family val="2"/>
      </rPr>
      <t xml:space="preserve">到期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</si>
  <si>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t xml:space="preserve">商業本票</t>
  </si>
  <si>
    <t xml:space="preserve">2026-11</t>
  </si>
  <si>
    <r>
      <rPr>
        <sz val="9"/>
        <color rgb="FF595959"/>
        <rFont val="Noto Sans CJK SC"/>
        <family val="2"/>
      </rPr>
      <t xml:space="preserve">帳面總借款 − 附註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不含商本借款推得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</si>
  <si>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8/31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</si>
  <si>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125.904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</si>
  <si>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</si>
  <si>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</si>
  <si>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</si>
  <si>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</si>
  <si>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</si>
  <si>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</si>
  <si>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</si>
  <si>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</si>
  <si>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</si>
  <si>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</si>
  <si>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</si>
  <si>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</si>
  <si>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6.50% Series D </t>
    </r>
    <r>
      <rPr>
        <sz val="10"/>
        <rFont val="Noto Sans CJK SC"/>
        <family val="2"/>
      </rPr>
      <t xml:space="preserve">強制轉換特別股（</t>
    </r>
    <r>
      <rPr>
        <sz val="10"/>
        <rFont val="Arial"/>
        <family val="0"/>
        <charset val="1"/>
      </rPr>
      <t xml:space="preserve">2026-02</t>
    </r>
    <r>
      <rPr>
        <sz val="10"/>
        <rFont val="Noto Sans CJK SC"/>
        <family val="2"/>
      </rPr>
      <t xml:space="preserve">）</t>
    </r>
  </si>
  <si>
    <t xml:space="preserve">2029-01</t>
  </si>
  <si>
    <r>
      <rPr>
        <sz val="9"/>
        <color rgb="FF595959"/>
        <rFont val="Noto Sans CJK SC"/>
        <family val="2"/>
      </rPr>
      <t xml:space="preserve">清算價 </t>
    </r>
    <r>
      <rPr>
        <sz val="9"/>
        <color rgb="FF595959"/>
        <rFont val="Arial"/>
        <family val="0"/>
        <charset val="1"/>
      </rPr>
      <t xml:space="preserve">$5B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萬股 </t>
    </r>
    <r>
      <rPr>
        <sz val="9"/>
        <color rgb="FF595959"/>
        <rFont val="Arial"/>
        <family val="0"/>
        <charset val="1"/>
      </rPr>
      <t xml:space="preserve">× $100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2029-01-15 </t>
    </r>
    <r>
      <rPr>
        <sz val="9"/>
        <color rgb="FF595959"/>
        <rFont val="Noto Sans CJK SC"/>
        <family val="2"/>
      </rPr>
      <t xml:space="preserve">強制轉換為普通股，每股特別股轉 </t>
    </r>
    <r>
      <rPr>
        <sz val="9"/>
        <color rgb="FF595959"/>
        <rFont val="Arial"/>
        <family val="0"/>
        <charset val="1"/>
      </rPr>
      <t xml:space="preserve">499.8126–624.7657 </t>
    </r>
    <r>
      <rPr>
        <sz val="9"/>
        <color rgb="FF595959"/>
        <rFont val="Noto Sans CJK SC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2,499–3,124 </t>
    </r>
    <r>
      <rPr>
        <sz val="9"/>
        <color rgb="FF595959"/>
        <rFont val="Noto Sans CJK SC"/>
        <family val="2"/>
      </rPr>
      <t xml:space="preserve">萬股）；一律轉股，取稀釋最大 </t>
    </r>
    <r>
      <rPr>
        <sz val="9"/>
        <color rgb="FF595959"/>
        <rFont val="Arial"/>
        <family val="0"/>
        <charset val="1"/>
      </rPr>
      <t xml:space="preserve">31.238m </t>
    </r>
    <r>
      <rPr>
        <sz val="9"/>
        <color rgb="FF595959"/>
        <rFont val="Noto Sans CJK SC"/>
        <family val="2"/>
      </rPr>
      <t xml:space="preserve">股（轉換價下限 </t>
    </r>
    <r>
      <rPr>
        <sz val="9"/>
        <color rgb="FF595959"/>
        <rFont val="Arial"/>
        <family val="0"/>
        <charset val="1"/>
      </rPr>
      <t xml:space="preserve">$160.06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 8-K 2026-02]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6.50% </t>
    </r>
    <r>
      <rPr>
        <sz val="9"/>
        <color rgb="FF595959"/>
        <rFont val="Noto Sans CJK SC"/>
        <family val="2"/>
      </rPr>
      <t xml:space="preserve">股利列於 </t>
    </r>
    <r>
      <rPr>
        <sz val="9"/>
        <color rgb="FF595959"/>
        <rFont val="Arial"/>
        <family val="0"/>
        <charset val="1"/>
      </rPr>
      <t xml:space="preserve">defaults.dividend.preferred</t>
    </r>
    <r>
      <rPr>
        <sz val="9"/>
        <color rgb="FF595959"/>
        <rFont val="Noto Sans CJK SC"/>
        <family val="2"/>
      </rPr>
      <t xml:space="preserve">；權益，不列債務本金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</si>
  <si>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</si>
  <si>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</si>
  <si>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</si>
  <si>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</si>
  <si>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</si>
  <si>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</si>
  <si>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</si>
  <si>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</si>
  <si>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</si>
  <si>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</si>
  <si>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</si>
  <si>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</si>
  <si>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</si>
  <si>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</si>
  <si>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</si>
  <si>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</si>
  <si>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</si>
  <si>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</si>
  <si>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</si>
  <si>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</si>
  <si>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</si>
  <si>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</si>
  <si>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</si>
  <si>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</si>
  <si>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</si>
  <si>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</si>
  <si>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</si>
  <si>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</si>
  <si>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</si>
  <si>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</si>
  <si>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</si>
  <si>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</si>
  <si>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</si>
  <si>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</si>
  <si>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</si>
  <si>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</si>
  <si>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</si>
  <si>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</si>
  <si>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</si>
  <si>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</si>
  <si>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</si>
  <si>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</si>
  <si>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</si>
  <si>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</si>
  <si>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</si>
  <si>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</si>
  <si>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</si>
  <si>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</si>
  <si>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</si>
  <si>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</si>
  <si>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</si>
  <si>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</si>
  <si>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</si>
  <si>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</si>
  <si>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</si>
  <si>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</si>
  <si>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</si>
  <si>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</si>
  <si>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</si>
  <si>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</si>
  <si>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</si>
  <si>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</si>
  <si>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</si>
  <si>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</si>
  <si>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</si>
  <si>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</si>
  <si>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</si>
  <si>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</si>
  <si>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</si>
  <si>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</si>
  <si>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2026-08-31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</si>
  <si>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</si>
  <si>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</si>
  <si>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</si>
  <si>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</si>
  <si>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</si>
  <si>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</si>
  <si>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</si>
  <si>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</si>
  <si>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</si>
  <si>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</si>
  <si>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</si>
  <si>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34.621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9.185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</si>
  <si>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</si>
  <si>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</si>
  <si>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</si>
  <si>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</si>
  <si>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</si>
  <si>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</si>
  <si>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</si>
  <si>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</si>
  <si>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</si>
  <si>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</si>
  <si>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</si>
  <si>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</si>
  <si>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</si>
  <si>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（循環信用額度，未動用）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</si>
  <si>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</si>
  <si>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</si>
  <si>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</si>
  <si>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</si>
  <si>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</si>
  <si>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</si>
  <si>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</si>
  <si>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</si>
  <si>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</si>
  <si>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</si>
  <si>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</si>
  <si>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</si>
  <si>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</si>
  <si>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傳統事業</t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</si>
  <si>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</si>
  <si>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</si>
  <si>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</si>
  <si>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＋傳統事業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</si>
  <si>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</si>
  <si>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</si>
  <si>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</si>
  <si>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</si>
  <si>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</si>
  <si>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8/31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</si>
  <si>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</si>
  <si>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</si>
  <si>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</si>
  <si>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</si>
  <si>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</si>
  <si>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</si>
  <si>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</si>
  <si>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</si>
  <si>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</si>
  <si>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</si>
  <si>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</si>
  <si>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</si>
  <si>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</si>
  <si>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</si>
  <si>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1Q </t>
    </r>
    <r>
      <rPr>
        <b val="true"/>
        <sz val="10"/>
        <rFont val="Noto Sans CJK SC"/>
        <family val="2"/>
      </rPr>
      <t xml:space="preserve">實際＋第 </t>
    </r>
    <r>
      <rPr>
        <b val="true"/>
        <sz val="10"/>
        <rFont val="Arial"/>
        <family val="0"/>
        <charset val="1"/>
      </rPr>
      <t xml:space="preserve">2–4 </t>
    </r>
    <r>
      <rPr>
        <b val="true"/>
        <sz val="10"/>
        <rFont val="Noto Sans CJK SC"/>
        <family val="2"/>
      </rPr>
      <t xml:space="preserve">季模型；與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</si>
  <si>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1Q27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</si>
  <si>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</si>
  <si>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可對照指引 ≥</t>
    </r>
    <r>
      <rPr>
        <sz val="9"/>
        <color rgb="FF595959"/>
        <rFont val="Arial"/>
        <family val="0"/>
        <charset val="1"/>
      </rPr>
      <t xml:space="preserve">90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</si>
  <si>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</si>
  <si>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</si>
  <si>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</si>
  <si>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</si>
  <si>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</si>
  <si>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3.358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</si>
  <si>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</si>
  <si>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</si>
  <si>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</si>
  <si>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</si>
  <si>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</si>
  <si>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</si>
  <si>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1.56</t>
    </r>
    <r>
      <rPr>
        <sz val="9"/>
        <color rgb="FF595959"/>
        <rFont val="Noto Sans CJK SC"/>
        <family val="2"/>
      </rPr>
      <t xml:space="preserve">＋第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</si>
  <si>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</si>
  <si>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</si>
  <si>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</si>
  <si>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</si>
  <si>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2026-08-31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</si>
  <si>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2026-08-31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</si>
  <si>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8/31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28.499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</si>
  <si>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</si>
  <si>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67.357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</si>
  <si>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</si>
  <si>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</si>
  <si>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</si>
  <si>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</si>
  <si>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</si>
  <si>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</si>
  <si>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</si>
  <si>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</si>
  <si>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</si>
  <si>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</si>
  <si>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</si>
  <si>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</si>
  <si>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</si>
  <si>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2026-08-31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模型期（第 </t>
    </r>
    <r>
      <rPr>
        <sz val="9"/>
        <color rgb="FF595959"/>
        <rFont val="Arial"/>
        <family val="0"/>
        <charset val="1"/>
      </rPr>
      <t xml:space="preserve">2–4 </t>
    </r>
    <r>
      <rPr>
        <sz val="9"/>
        <color rgb="FF595959"/>
        <rFont val="Noto Sans CJK SC"/>
        <family val="2"/>
      </rPr>
      <t xml:space="preserve">季）的現金流平均落在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</si>
  <si>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</si>
  <si>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</si>
  <si>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</si>
  <si>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</si>
  <si>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</si>
  <si>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</si>
  <si>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</si>
  <si>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</si>
  <si>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</si>
  <si>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</si>
  <si>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</si>
  <si>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</si>
  <si>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</si>
  <si>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</si>
  <si>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</si>
  <si>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</si>
  <si>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</si>
  <si>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</si>
  <si>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</si>
  <si>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</si>
  <si>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</si>
  <si>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</si>
  <si>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</si>
  <si>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</si>
  <si>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</si>
  <si>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</si>
  <si>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</si>
  <si>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</si>
  <si>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</si>
  <si>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</si>
  <si>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</si>
  <si>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OCI EBITDA × EV/EBITDA </t>
    </r>
    <r>
      <rPr>
        <sz val="9"/>
        <color rgb="FF595959"/>
        <rFont val="Noto Sans CJK SC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</si>
  <si>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</si>
  <si>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</si>
  <si>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</si>
  <si>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</si>
  <si>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2027-08-31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</si>
  <si>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</si>
  <si>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</si>
  <si>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</si>
  <si>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錨定年度傳統事業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</si>
  <si>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傳統事業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倍數（軟體同業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</si>
  <si>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OCI 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</si>
  <si>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傳統事業；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</si>
  <si>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</si>
  <si>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</si>
  <si>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</si>
  <si>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</si>
  <si>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</si>
  <si>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</si>
  <si>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</si>
  <si>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</si>
  <si>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</si>
  <si>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</si>
  <si>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</si>
  <si>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</si>
  <si>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</si>
  <si>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</si>
  <si>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</si>
  <si>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</si>
  <si>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</si>
  <si>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</si>
  <si>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</si>
  <si>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</si>
  <si>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</si>
  <si>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</si>
  <si>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</si>
  <si>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</si>
  <si>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</si>
  <si>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</si>
  <si>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</si>
  <si>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</si>
  <si>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</si>
  <si>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</si>
  <si>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</si>
  <si>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</si>
  <si>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</si>
  <si>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</si>
  <si>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</si>
  <si>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</si>
  <si>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</si>
  <si>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</si>
  <si>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</si>
  <si>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</si>
  <si>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</si>
  <si>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</si>
  <si>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相關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</si>
  <si>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</si>
  <si>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已簽約站點依 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速度（加權目標價／評等代碼／距賣出門檻）</t>
    </r>
  </si>
  <si>
    <t xml:space="preserve">目標價區間｜積極 依公司時程（加權目標價／評等代碼／距賣出門檻）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</si>
  <si>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</si>
  <si>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</si>
  <si>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</si>
  <si>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</si>
  <si>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</si>
  <si>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</si>
  <si>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</si>
  <si>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</si>
  <si>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</si>
  <si>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</si>
  <si>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2027-08-31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</si>
  <si>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</si>
  <si>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</si>
  <si>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(OCI EBITDA × </t>
    </r>
    <r>
      <rPr>
        <sz val="9"/>
        <color rgb="FF595959"/>
        <rFont val="Noto Sans CJK SC"/>
        <family val="2"/>
      </rPr>
      <t xml:space="preserve">倍數＋傳統事業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傳統事業倍數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</si>
  <si>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</si>
  <si>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</si>
  <si>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</si>
  <si>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</si>
  <si>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</si>
  <si>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OCI </t>
    </r>
    <r>
      <rPr>
        <b val="true"/>
        <sz val="11"/>
        <color rgb="FFFFFFFF"/>
        <rFont val="Noto Sans CJK SC"/>
        <family val="2"/>
      </rPr>
      <t xml:space="preserve">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</si>
  <si>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</si>
  <si>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</si>
  <si>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</si>
  <si>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</si>
  <si>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</si>
  <si>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</si>
  <si>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</si>
  <si>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</si>
  <si>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</si>
  <si>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</si>
  <si>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</si>
  <si>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</si>
  <si>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</si>
  <si>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</si>
  <si>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</si>
  <si>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</si>
  <si>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</si>
  <si>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</si>
  <si>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</si>
  <si>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</si>
  <si>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</si>
  <si>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</si>
  <si>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</si>
  <si>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OCI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14.4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口徑不明）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</si>
  <si>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</si>
  <si>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90–95 ÷ </t>
    </r>
    <r>
      <rPr>
        <sz val="9"/>
        <color rgb="FF595959"/>
        <rFont val="Noto Sans CJK SC"/>
        <family val="2"/>
      </rPr>
      <t xml:space="preserve">估計新增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2,800 ≈ $32–34m</t>
    </r>
    <r>
      <rPr>
        <sz val="9"/>
        <color rgb="FF595959"/>
        <rFont val="Noto Sans CJK SC"/>
        <family val="2"/>
      </rPr>
      <t xml:space="preserve">（含客戶自帶硬體效果）</t>
    </r>
  </si>
  <si>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率；傳統事業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</si>
  <si>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</si>
  <si>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</si>
  <si>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</si>
  <si>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</si>
  <si>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OCI EBITDA </t>
    </r>
    <r>
      <rPr>
        <sz val="9"/>
        <color rgb="FF595959"/>
        <rFont val="Noto Sans CJK SC"/>
        <family val="2"/>
      </rPr>
      <t xml:space="preserve">率維度：傳統事業（約 </t>
    </r>
    <r>
      <rPr>
        <sz val="9"/>
        <color rgb="FF595959"/>
        <rFont val="Arial"/>
        <family val="0"/>
        <charset val="1"/>
      </rPr>
      <t xml:space="preserve">54% EBITDA </t>
    </r>
    <r>
      <rPr>
        <sz val="9"/>
        <color rgb="FF595959"/>
        <rFont val="Noto Sans CJK SC"/>
        <family val="2"/>
      </rPr>
      <t xml:space="preserve">率、軟體同業倍數）不隨此表變動，表內只測算力業務的單位經濟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</si>
  <si>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</si>
  <si>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</si>
  <si>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</si>
  <si>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</si>
  <si>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</si>
  <si>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</si>
  <si>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</si>
  <si>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</si>
  <si>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</si>
  <si>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</si>
  <si>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</si>
  <si>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</si>
  <si>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</si>
  <si>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</si>
  <si>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</si>
  <si>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</si>
  <si>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</si>
  <si>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</si>
  <si>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</si>
  <si>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</si>
  <si>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</si>
  <si>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</si>
  <si>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</si>
  <si>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</si>
  <si>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</si>
  <si>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</si>
  <si>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</si>
  <si>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</si>
  <si>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</si>
  <si>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</si>
  <si>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</si>
  <si>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</si>
  <si>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</si>
  <si>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</si>
  <si>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ORCL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Q1 2027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</si>
  <si>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Q1 2027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</si>
  <si>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34.621</t>
    </r>
  </si>
  <si>
    <r>
      <rPr>
        <sz val="10"/>
        <rFont val="Arial"/>
        <family val="0"/>
        <charset val="1"/>
      </rPr>
      <t xml:space="preserve">ORCL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</si>
  <si>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</si>
  <si>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為整體公司（傳統軟體＋</t>
    </r>
    <r>
      <rPr>
        <sz val="9"/>
        <color rgb="FF595959"/>
        <rFont val="Arial"/>
        <family val="0"/>
        <charset val="1"/>
      </rPr>
      <t xml:space="preserve">OCI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</si>
  <si>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同樣以租賃為主（未起租承諾 </t>
    </r>
    <r>
      <rPr>
        <sz val="9"/>
        <color rgb="FF595959"/>
        <rFont val="Arial"/>
        <family val="0"/>
        <charset val="1"/>
      </rPr>
      <t xml:space="preserve">288B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</si>
  <si>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ORCL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</si>
  <si>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</si>
  <si>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</si>
  <si>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</si>
  <si>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</si>
  <si>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</si>
  <si>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79.75%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</si>
  <si>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</si>
  <si>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</si>
  <si>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</si>
  <si>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</si>
  <si>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</si>
  <si>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</si>
  <si>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90–95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</si>
  <si>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28.499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90–95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</si>
  <si>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</si>
  <si>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≥90</t>
  </si>
  <si>
    <r>
      <rPr>
        <sz val="9"/>
        <color rgb="FF595959"/>
        <rFont val="Arial"/>
        <family val="0"/>
        <charset val="1"/>
      </rPr>
      <t xml:space="preserve">1Q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19.345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2Q–4Q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</si>
  <si>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</si>
  <si>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</si>
  <si>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</si>
  <si>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</si>
  <si>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</si>
  <si>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</si>
  <si>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2Q–4Q</t>
    </r>
    <r>
      <rPr>
        <sz val="10"/>
        <rFont val="Noto Sans CJK SC"/>
        <family val="2"/>
      </rPr>
      <t xml:space="preserve">）</t>
    </r>
  </si>
  <si>
    <t xml:space="preserve">≥1.4</t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</si>
  <si>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</si>
  <si>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</si>
  <si>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</si>
  <si>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</si>
  <si>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</si>
  <si>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</si>
  <si>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</si>
  <si>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</si>
  <si>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</si>
  <si>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</si>
  <si>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</si>
  <si>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</si>
  <si>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</si>
  <si>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</si>
  <si>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≥10.0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</si>
  <si>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</si>
  <si>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</si>
  <si>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125.904 − </t>
    </r>
    <r>
      <rPr>
        <sz val="10"/>
        <rFont val="Noto Sans CJK SC"/>
        <family val="2"/>
      </rPr>
      <t xml:space="preserve">以股換債 ＋ 期後新發</t>
    </r>
  </si>
  <si>
    <t xml:space="preserve">125.904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</si>
  <si>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57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</si>
  <si>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</si>
  <si>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</si>
  <si>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</si>
  <si>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</si>
  <si>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</si>
  <si>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</si>
  <si>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</si>
  <si>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</si>
  <si>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</si>
  <si>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</si>
  <si>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</si>
  <si>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664 × 50%</t>
    </r>
    <r>
      <rPr>
        <sz val="9"/>
        <color rgb="FF595959"/>
        <rFont val="Noto Sans CJK SC"/>
        <family val="2"/>
      </rPr>
      <t xml:space="preserve">（含傳統事業）−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</si>
  <si>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傳統事業：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</si>
  <si>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</si>
  <si>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</si>
  <si>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</si>
  <si>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</si>
  <si>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</si>
  <si>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</si>
  <si>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</si>
  <si>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</si>
  <si>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</si>
  <si>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</si>
  <si>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</si>
  <si>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8/31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</si>
  <si>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1Q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</si>
  <si>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</si>
  <si>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</si>
  <si>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</si>
  <si>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</si>
  <si>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</si>
  <si>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</si>
  <si>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</si>
  <si>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</si>
  <si>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v0.1</t>
  </si>
  <si>
    <t xml:space="preserve">10-08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</si>
  <si>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Nebius v0.1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收入、傳統事業、客戶出資、投資級融資瀑布、強制轉換特別股、分部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；審查修正：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觸頂後與終值年加穩態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、終值以末期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為基準、</t>
    </r>
    <r>
      <rPr>
        <sz val="10"/>
        <rFont val="Arial"/>
        <family val="0"/>
        <charset val="1"/>
      </rPr>
      <t xml:space="preserve">OCI </t>
    </r>
    <r>
      <rPr>
        <sz val="10"/>
        <rFont val="Noto Sans CJK SC"/>
        <family val="2"/>
      </rPr>
      <t xml:space="preserve">改為 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 − 固定租金</t>
    </r>
  </si>
  <si>
    <t xml:space="preserve">$144.5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</si>
  <si>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$79.8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$226.6</t>
    </r>
    <r>
      <rPr>
        <sz val="10"/>
        <rFont val="Noto Sans CJK SC"/>
        <family val="2"/>
      </rPr>
      <t xml:space="preserve">（買進）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</si>
  <si>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</si>
  <si>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</si>
  <si>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</si>
  <si>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FY27Q1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2026-09-11</t>
    </r>
    <r>
      <rPr>
        <sz val="10"/>
        <rFont val="Noto Sans CJK SC"/>
        <family val="2"/>
      </rPr>
      <t xml:space="preserve">，核閱、未查核）：營收 </t>
    </r>
    <r>
      <rPr>
        <sz val="10"/>
        <rFont val="Arial"/>
        <family val="0"/>
        <charset val="1"/>
      </rPr>
      <t xml:space="preserve">19.345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OCI 7.388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SaaS 4.219</t>
    </r>
    <r>
      <rPr>
        <sz val="10"/>
        <rFont val="Noto Sans CJK SC"/>
        <family val="2"/>
      </rPr>
      <t xml:space="preserve">、軟體 </t>
    </r>
    <r>
      <rPr>
        <sz val="10"/>
        <rFont val="Arial"/>
        <family val="0"/>
        <charset val="1"/>
      </rPr>
      <t xml:space="preserve">5.550</t>
    </r>
    <r>
      <rPr>
        <sz val="10"/>
        <rFont val="Noto Sans CJK SC"/>
        <family val="2"/>
      </rPr>
      <t xml:space="preserve">、硬體 </t>
    </r>
    <r>
      <rPr>
        <sz val="10"/>
        <rFont val="Arial"/>
        <family val="0"/>
        <charset val="1"/>
      </rPr>
      <t xml:space="preserve">0.774</t>
    </r>
    <r>
      <rPr>
        <sz val="10"/>
        <rFont val="Noto Sans CJK SC"/>
        <family val="2"/>
      </rPr>
      <t xml:space="preserve">、服務 </t>
    </r>
    <r>
      <rPr>
        <sz val="10"/>
        <rFont val="Arial"/>
        <family val="0"/>
        <charset val="1"/>
      </rPr>
      <t xml:space="preserve">1.414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6.728</t>
    </r>
    <r>
      <rPr>
        <sz val="10"/>
        <rFont val="Noto Sans CJK SC"/>
        <family val="2"/>
      </rPr>
      <t xml:space="preserve">（非 </t>
    </r>
    <r>
      <rPr>
        <sz val="10"/>
        <rFont val="Arial"/>
        <family val="0"/>
        <charset val="1"/>
      </rPr>
      <t xml:space="preserve">GAAP 8.151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D&amp;A 3.358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1.127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1.428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4.760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</si>
  <si>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2026-08-31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36.369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0.708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2.6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127.845</t>
    </r>
    <r>
      <rPr>
        <sz val="10"/>
        <rFont val="Noto Sans CJK SC"/>
        <family val="2"/>
      </rPr>
      <t xml:space="preserve">（在建 </t>
    </r>
    <r>
      <rPr>
        <sz val="10"/>
        <rFont val="Arial"/>
        <family val="0"/>
        <charset val="1"/>
      </rPr>
      <t xml:space="preserve">48.546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30.789</t>
    </r>
    <r>
      <rPr>
        <sz val="10"/>
        <rFont val="Noto Sans CJK SC"/>
        <family val="2"/>
      </rPr>
      <t xml:space="preserve">；借款帳面 </t>
    </r>
    <r>
      <rPr>
        <sz val="10"/>
        <rFont val="Arial"/>
        <family val="0"/>
        <charset val="1"/>
      </rPr>
      <t xml:space="preserve">125.337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34.621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9.185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288.0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67.196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</si>
  <si>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23.103</t>
    </r>
    <r>
      <rPr>
        <sz val="10"/>
        <rFont val="Noto Sans CJK SC"/>
        <family val="2"/>
      </rPr>
      <t xml:space="preserve">（客戶預付 </t>
    </r>
    <r>
      <rPr>
        <sz val="10"/>
        <rFont val="Arial"/>
        <family val="0"/>
        <charset val="1"/>
      </rPr>
      <t xml:space="preserve">11.363</t>
    </r>
    <r>
      <rPr>
        <sz val="10"/>
        <rFont val="Noto Sans CJK SC"/>
        <family val="2"/>
      </rPr>
      <t xml:space="preserve">）；資本支出 </t>
    </r>
    <r>
      <rPr>
        <sz val="10"/>
        <rFont val="Arial"/>
        <family val="0"/>
        <charset val="1"/>
      </rPr>
      <t xml:space="preserve">28.499</t>
    </r>
    <r>
      <rPr>
        <sz val="10"/>
        <rFont val="Noto Sans CJK SC"/>
        <family val="2"/>
      </rPr>
      <t xml:space="preserve">；公司定義淨現金資本支出 </t>
    </r>
    <r>
      <rPr>
        <sz val="10"/>
        <rFont val="Arial"/>
        <family val="0"/>
        <charset val="1"/>
      </rPr>
      <t xml:space="preserve">17.966</t>
    </r>
    <r>
      <rPr>
        <sz val="10"/>
        <rFont val="Noto Sans CJK SC"/>
        <family val="2"/>
      </rPr>
      <t xml:space="preserve">；還款 </t>
    </r>
    <r>
      <rPr>
        <sz val="10"/>
        <rFont val="Arial"/>
        <family val="0"/>
        <charset val="1"/>
      </rPr>
      <t xml:space="preserve">4.202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19.909</t>
    </r>
    <r>
      <rPr>
        <sz val="10"/>
        <rFont val="Noto Sans CJK SC"/>
        <family val="2"/>
      </rPr>
      <t xml:space="preserve">；股利 </t>
    </r>
    <r>
      <rPr>
        <sz val="10"/>
        <rFont val="Arial"/>
        <family val="0"/>
        <charset val="1"/>
      </rPr>
      <t xml:space="preserve">1.565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</si>
  <si>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664.0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個月內 </t>
    </r>
    <r>
      <rPr>
        <sz val="10"/>
        <rFont val="Arial"/>
        <family val="0"/>
        <charset val="1"/>
      </rPr>
      <t xml:space="preserve">13%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13–36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37%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37–60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34%</t>
    </r>
    <r>
      <rPr>
        <sz val="10"/>
        <rFont val="Noto Sans CJK SC"/>
        <family val="2"/>
      </rPr>
      <t xml:space="preserve">、其餘 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約占一半（二手）。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指引：營收 ≥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GAAP EPS 8.10</t>
    </r>
    <r>
      <rPr>
        <sz val="10"/>
        <rFont val="Noto Sans CJK SC"/>
        <family val="2"/>
      </rPr>
      <t xml:space="preserve">、資本支出 </t>
    </r>
    <r>
      <rPr>
        <sz val="10"/>
        <rFont val="Arial"/>
        <family val="0"/>
        <charset val="1"/>
      </rPr>
      <t xml:space="preserve">90–95</t>
    </r>
    <r>
      <rPr>
        <sz val="10"/>
        <rFont val="Noto Sans CJK SC"/>
        <family val="2"/>
      </rPr>
      <t xml:space="preserve">（法說）、淨現金資本支出 ≤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</si>
  <si>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FY2026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67.357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20.606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17.087</t>
    </r>
    <r>
      <rPr>
        <sz val="10"/>
        <rFont val="Noto Sans CJK SC"/>
        <family val="2"/>
      </rPr>
      <t xml:space="preserve">、稀釋 </t>
    </r>
    <r>
      <rPr>
        <sz val="10"/>
        <rFont val="Arial"/>
        <family val="0"/>
        <charset val="1"/>
      </rPr>
      <t xml:space="preserve">EPS 5.83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FY24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FY25 </t>
    </r>
    <r>
      <rPr>
        <sz val="10"/>
        <rFont val="Noto Sans CJK SC"/>
        <family val="2"/>
      </rPr>
      <t xml:space="preserve">損益取自 </t>
    </r>
    <r>
      <rPr>
        <sz val="10"/>
        <rFont val="Arial"/>
        <family val="0"/>
        <charset val="1"/>
      </rPr>
      <t xml:space="preserve">XBRL companyfacts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55 </t>
    </r>
    <r>
      <rPr>
        <sz val="10"/>
        <rFont val="Noto Sans CJK SC"/>
        <family val="2"/>
      </rPr>
      <t xml:space="preserve">檔優先票據逐檔（附註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</si>
  <si>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融資與信評：</t>
    </r>
    <r>
      <rPr>
        <sz val="10"/>
        <rFont val="Arial"/>
        <family val="0"/>
        <charset val="1"/>
      </rPr>
      <t xml:space="preserve">2026-02 </t>
    </r>
    <r>
      <rPr>
        <sz val="10"/>
        <rFont val="Noto Sans CJK SC"/>
        <family val="2"/>
      </rPr>
      <t xml:space="preserve">一次性投資級無擔保債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（八檔，加權票面約 </t>
    </r>
    <r>
      <rPr>
        <sz val="10"/>
        <rFont val="Arial"/>
        <family val="0"/>
        <charset val="1"/>
      </rPr>
      <t xml:space="preserve">5.8%</t>
    </r>
    <r>
      <rPr>
        <sz val="10"/>
        <rFont val="Noto Sans CJK SC"/>
        <family val="2"/>
      </rPr>
      <t xml:space="preserve">）＋強制轉換特別股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6.50%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2029-01-15</t>
    </r>
    <r>
      <rPr>
        <sz val="10"/>
        <rFont val="Noto Sans CJK SC"/>
        <family val="2"/>
      </rPr>
      <t xml:space="preserve">）＋</t>
    </r>
    <r>
      <rPr>
        <sz val="10"/>
        <rFont val="Arial"/>
        <family val="0"/>
        <charset val="1"/>
      </rPr>
      <t xml:space="preserve">FY27Q1 ATM 20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S&amp;P BBB-</t>
    </r>
    <r>
      <rPr>
        <sz val="10"/>
        <rFont val="Noto Sans CJK SC"/>
        <family val="2"/>
      </rPr>
      <t xml:space="preserve">／穩定（</t>
    </r>
    <r>
      <rPr>
        <sz val="10"/>
        <rFont val="Arial"/>
        <family val="0"/>
        <charset val="1"/>
      </rPr>
      <t xml:space="preserve">2026-07-09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Moody's Baa2</t>
    </r>
    <r>
      <rPr>
        <sz val="10"/>
        <rFont val="Noto Sans CJK SC"/>
        <family val="2"/>
      </rPr>
      <t xml:space="preserve">／負向、</t>
    </r>
    <r>
      <rPr>
        <sz val="10"/>
        <rFont val="Arial"/>
        <family val="0"/>
        <charset val="1"/>
      </rPr>
      <t xml:space="preserve">Fitch BBB</t>
    </r>
    <r>
      <rPr>
        <sz val="10"/>
        <rFont val="Noto Sans CJK SC"/>
        <family val="2"/>
      </rPr>
      <t xml:space="preserve">／穩定（二手）。</t>
    </r>
  </si>
  <si>
    <r>
      <rPr>
        <sz val="10"/>
        <rFont val="Noto Sans CJK SC"/>
        <family val="2"/>
      </rPr>
      <t xml:space="preserve">產能：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交付 </t>
    </r>
    <r>
      <rPr>
        <sz val="10"/>
        <rFont val="Arial"/>
        <family val="0"/>
        <charset val="1"/>
      </rPr>
      <t xml:space="preserve">1.2 GW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FY27Q1 850 MW</t>
    </r>
    <r>
      <rPr>
        <sz val="10"/>
        <rFont val="Noto Sans CJK SC"/>
        <family val="2"/>
      </rPr>
      <t xml:space="preserve">（口徑不明）、</t>
    </r>
    <r>
      <rPr>
        <sz val="10"/>
        <rFont val="Arial"/>
        <family val="0"/>
        <charset val="1"/>
      </rPr>
      <t xml:space="preserve">&gt;30 </t>
    </r>
    <r>
      <rPr>
        <sz val="10"/>
        <rFont val="Noto Sans CJK SC"/>
        <family val="2"/>
      </rPr>
      <t xml:space="preserve">萬顆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Abilene 618 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75%</t>
    </r>
    <r>
      <rPr>
        <sz val="10"/>
        <rFont val="Noto Sans CJK SC"/>
        <family val="2"/>
      </rPr>
      <t xml:space="preserve">；利用率 </t>
    </r>
    <r>
      <rPr>
        <sz val="10"/>
        <rFont val="Arial"/>
        <family val="0"/>
        <charset val="1"/>
      </rPr>
      <t xml:space="preserve">97.9%</t>
    </r>
    <r>
      <rPr>
        <sz val="10"/>
        <rFont val="Noto Sans CJK SC"/>
        <family val="2"/>
      </rPr>
      <t xml:space="preserve">；續約 </t>
    </r>
    <r>
      <rPr>
        <sz val="10"/>
        <rFont val="Arial"/>
        <family val="0"/>
        <charset val="1"/>
      </rPr>
      <t xml:space="preserve">+20%</t>
    </r>
    <r>
      <rPr>
        <sz val="10"/>
        <rFont val="Noto Sans CJK SC"/>
        <family val="2"/>
      </rPr>
      <t xml:space="preserve">。期後：</t>
    </r>
    <r>
      <rPr>
        <sz val="10"/>
        <rFont val="Arial"/>
        <family val="0"/>
        <charset val="1"/>
      </rPr>
      <t xml:space="preserve">2026-09-24 Project Jupiter </t>
    </r>
    <r>
      <rPr>
        <sz val="10"/>
        <rFont val="Noto Sans CJK SC"/>
        <family val="2"/>
      </rPr>
      <t xml:space="preserve">不可抗力通知（</t>
    </r>
    <r>
      <rPr>
        <sz val="10"/>
        <rFont val="Arial"/>
        <family val="0"/>
        <charset val="1"/>
      </rPr>
      <t xml:space="preserve">2.45 GW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</si>
  <si>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</si>
  <si>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v5.24 </t>
    </r>
    <r>
      <rPr>
        <sz val="10"/>
        <rFont val="Noto Sans CJK SC"/>
        <family val="2"/>
      </rPr>
      <t xml:space="preserve">正向推導，沿用 </t>
    </r>
    <r>
      <rPr>
        <sz val="10"/>
        <rFont val="Arial"/>
        <family val="0"/>
        <charset val="1"/>
      </rPr>
      <t xml:space="preserve">Nebius v0.1a</t>
    </r>
    <r>
      <rPr>
        <sz val="10"/>
        <rFont val="Noto Sans CJK SC"/>
        <family val="2"/>
      </rPr>
      <t xml:space="preserve">）：保守 </t>
    </r>
    <r>
      <rPr>
        <sz val="10"/>
        <rFont val="Arial"/>
        <family val="0"/>
        <charset val="1"/>
      </rPr>
      <t xml:space="preserve">11.62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Noto Sans CJK SC"/>
        <family val="2"/>
      </rPr>
      <t xml:space="preserve">年；每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IF_CapexIT 37.45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對照值只作對照。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</si>
  <si>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</si>
  <si>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Noto Sans CJK SC"/>
        <family val="2"/>
      </rPr>
      <t xml:space="preserve">：無可引用報價（不適用）。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</si>
  <si>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ORCL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$144.77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437.75bn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3,023.74m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</si>
  <si>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$237.97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$240.00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$110.00–$400.00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43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$251.72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47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</si>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</sst>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OpenAI 相關 60%","基準 已簽約站點依 Q1 速度","積極 依公司時程") &amp; "（預設＝基準）；共識＝data/consensus_orcl_20261007.json（2026-10-07）"</f>
        <v>模型端＝目前情境：基準 已簽約站點依 Q1 速度（預設＝基準）；共識＝data/consensus_orcl_20261007.json（2026-10-07）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評價_DCF與目標價!C78</f>
        <v>0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中立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144.526628137328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輸入與假設!$C$175</f>
        <v>144.77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-0.00168109320074306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評價_DCF與目標價!C83</f>
        <v>79.7929504474258</v>
      </c>
      <c r="D10" s="12" t="n">
        <f aca="false">評價_DCF與目標價!D83</f>
        <v>226.609587065156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評價_DCF與目標價!C85</f>
        <v>134.537004171439</v>
      </c>
      <c r="D11" s="12" t="n">
        <f aca="false">評價_DCF與目標價!D85</f>
        <v>144.526628137328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評價_DCF與目標價!$C$79</f>
        <v>123.0545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21.4721281373284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中立：點位 $144.5，較現價 $144.77 低 0%；情境區間 $79.8–$226.6，方法區間 $134.5–$144.5；點位高於賣出門檻 $123.1 達 $21.5。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評價_DCF與目標價!C91</f>
        <v>情境區間上緣 $226.6 不低於現價 $144.77：賣出並非在三個擴張情境下都成立。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IF(輸入與假設!$C$146="ebitda","需失去投資級才能融資的金額："&amp;IF(SUM(各期收支!C77:G77)&gt;0.05,"$"&amp;TEXT(SUM(各期收支!C77:G77),"0.0")&amp;"bn（五期高息債溢出）","$0")&amp;"；投資級上限＝總債務 ≤ "&amp;IF(輸入與假設!$C$147=INT(輸入與假設!$C$147),TEXT(輸入與假設!$C$147,"0"),TEXT(輸入與假設!$C$147,"0.0"))&amp;"× 當期 EBITDA，股權每年 ≤ 現市值 "&amp;IF(ROUND(ABS(輸入與假設!$C$154)*100,4)=INT(ROUND(ABS(輸入與假設!$C$154)*100,4)),TEXT(ROUND(ABS(輸入與假設!$C$154)*100,4),"0"),TEXT(ROUND(ABS(輸入與假設!$C$154)*100,4),"0.0"))&amp;"%"&amp;"。","")</f>
        <v>需失去投資級才能融資的金額：$0；投資級上限＝總債務 ≤ 4× 當期 EBITDA，股權每年 ≤ 現市值 5%。</v>
      </c>
    </row>
    <row r="18" customFormat="false" ht="15" hidden="false" customHeight="false" outlineLevel="0" collapsed="false">
      <c r="A18" s="7" t="s">
        <v>50</v>
      </c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1" collapsed="false">
      <c r="A19" s="14" t="s">
        <v>51</v>
      </c>
      <c r="B19" s="14" t="s">
        <v>52</v>
      </c>
      <c r="C19" s="15" t="s">
        <v>53</v>
      </c>
      <c r="D19" s="15" t="s">
        <v>54</v>
      </c>
      <c r="E19" s="15" t="s">
        <v>55</v>
      </c>
    </row>
    <row r="20" customFormat="false" ht="15" hidden="false" customHeight="false" outlineLevel="1" collapsed="false">
      <c r="A20" s="3" t="s">
        <v>56</v>
      </c>
      <c r="B20" s="11" t="s">
        <v>57</v>
      </c>
      <c r="C20" s="10" t="n">
        <f aca="false">損益!C28</f>
        <v>90.7274948</v>
      </c>
      <c r="D20" s="10" t="n">
        <f aca="false">損益!D28</f>
        <v>136.55822205094</v>
      </c>
      <c r="E20" s="10" t="n">
        <f aca="false">損益!E28</f>
        <v>178.141011541921</v>
      </c>
    </row>
    <row r="21" customFormat="false" ht="15" hidden="false" customHeight="false" outlineLevel="1" collapsed="false">
      <c r="A21" s="3" t="s">
        <v>58</v>
      </c>
      <c r="B21" s="11" t="s">
        <v>57</v>
      </c>
      <c r="C21" s="10" t="n">
        <f aca="false">輸入與假設!$C$289</f>
        <v>90.449</v>
      </c>
      <c r="D21" s="10" t="n">
        <f aca="false">輸入與假設!$D$289</f>
        <v>131.711</v>
      </c>
      <c r="E21" s="10" t="n">
        <f aca="false">輸入與假設!$E$289</f>
        <v>183.569</v>
      </c>
    </row>
    <row r="22" customFormat="false" ht="15" hidden="false" customHeight="false" outlineLevel="1" collapsed="false">
      <c r="A22" s="3" t="s">
        <v>59</v>
      </c>
      <c r="B22" s="11" t="s">
        <v>42</v>
      </c>
      <c r="C22" s="13" t="n">
        <f aca="false">C20/C21-1</f>
        <v>0.0030790257493174</v>
      </c>
      <c r="D22" s="13" t="n">
        <f aca="false">D20/D21-1</f>
        <v>0.0368019531469657</v>
      </c>
      <c r="E22" s="13" t="n">
        <f aca="false">E20/E21-1</f>
        <v>-0.0295691999089142</v>
      </c>
    </row>
    <row r="23" customFormat="false" ht="15" hidden="false" customHeight="false" outlineLevel="1" collapsed="false">
      <c r="A23" s="3" t="s">
        <v>60</v>
      </c>
      <c r="B23" s="11" t="s">
        <v>57</v>
      </c>
      <c r="C23" s="10" t="n">
        <f aca="false">輸入與假設!$C$260+損益!C21</f>
        <v>53.5233638500475</v>
      </c>
      <c r="D23" s="10" t="n">
        <f aca="false">損益!D33</f>
        <v>81.1755372872459</v>
      </c>
      <c r="E23" s="10" t="n">
        <f aca="false">損益!E33</f>
        <v>100.643844548665</v>
      </c>
    </row>
    <row r="24" customFormat="false" ht="15" hidden="false" customHeight="false" outlineLevel="1" collapsed="false">
      <c r="A24" s="3" t="s">
        <v>61</v>
      </c>
      <c r="B24" s="11" t="s">
        <v>57</v>
      </c>
      <c r="C24" s="10" t="n">
        <f aca="false">輸入與假設!$C$290</f>
        <v>51.664</v>
      </c>
      <c r="D24" s="10" t="n">
        <f aca="false">輸入與假設!$D$290</f>
        <v>74.642</v>
      </c>
      <c r="E24" s="10" t="n">
        <f aca="false">輸入與假設!$E$290</f>
        <v>107.543</v>
      </c>
    </row>
    <row r="25" customFormat="false" ht="15" hidden="false" customHeight="false" outlineLevel="1" collapsed="false">
      <c r="A25" s="3" t="s">
        <v>62</v>
      </c>
      <c r="B25" s="11" t="s">
        <v>42</v>
      </c>
      <c r="C25" s="13" t="n">
        <f aca="false">C23/C24-1</f>
        <v>0.0359895449451748</v>
      </c>
      <c r="D25" s="13" t="n">
        <f aca="false">D23/D24-1</f>
        <v>0.0875316482308344</v>
      </c>
      <c r="E25" s="13" t="n">
        <f aca="false">E23/E24-1</f>
        <v>-0.0641525292332804</v>
      </c>
      <c r="I25" s="11" t="s">
        <v>63</v>
      </c>
    </row>
    <row r="26" customFormat="false" ht="15" hidden="false" customHeight="false" outlineLevel="1" collapsed="false">
      <c r="A26" s="3" t="s">
        <v>64</v>
      </c>
      <c r="B26" s="11" t="s">
        <v>57</v>
      </c>
      <c r="C26" s="10" t="n">
        <f aca="false">C23-C24</f>
        <v>1.85936385004752</v>
      </c>
      <c r="D26" s="10" t="n">
        <f aca="false">D23-D24</f>
        <v>6.53353728724593</v>
      </c>
      <c r="E26" s="10" t="n">
        <f aca="false">E23-E24</f>
        <v>-6.89915545133468</v>
      </c>
      <c r="I26" s="6" t="s">
        <v>65</v>
      </c>
    </row>
    <row r="27" customFormat="false" ht="15" hidden="false" customHeight="false" outlineLevel="1" collapsed="false">
      <c r="A27" s="3" t="s">
        <v>66</v>
      </c>
      <c r="B27" s="11" t="s">
        <v>42</v>
      </c>
      <c r="C27" s="13" t="n">
        <f aca="false">C23/C20</f>
        <v>0.58993543212049</v>
      </c>
      <c r="D27" s="13" t="n">
        <f aca="false">D23/D20</f>
        <v>0.594439031704478</v>
      </c>
      <c r="E27" s="13" t="n">
        <f aca="false">E23/E20</f>
        <v>0.56496729011209</v>
      </c>
    </row>
    <row r="28" customFormat="false" ht="15" hidden="false" customHeight="false" outlineLevel="1" collapsed="false">
      <c r="A28" s="3" t="s">
        <v>67</v>
      </c>
      <c r="B28" s="11" t="s">
        <v>42</v>
      </c>
      <c r="C28" s="13" t="n">
        <f aca="false">輸入與假設!$C$291</f>
        <v>0.5712</v>
      </c>
      <c r="D28" s="13" t="n">
        <f aca="false">輸入與假設!$D$291</f>
        <v>0.5667</v>
      </c>
      <c r="E28" s="13" t="n">
        <f aca="false">輸入與假設!$E$291</f>
        <v>0.5858</v>
      </c>
    </row>
    <row r="29" customFormat="false" ht="15" hidden="false" customHeight="false" outlineLevel="1" collapsed="false">
      <c r="A29" s="3" t="s">
        <v>68</v>
      </c>
      <c r="B29" s="11" t="s">
        <v>69</v>
      </c>
      <c r="C29" s="13" t="n">
        <f aca="false">C27-C28</f>
        <v>0.01873543212049</v>
      </c>
      <c r="D29" s="13" t="n">
        <f aca="false">D27-D28</f>
        <v>0.0277390317044784</v>
      </c>
      <c r="E29" s="13" t="n">
        <f aca="false">E27-E28</f>
        <v>-0.0208327098879103</v>
      </c>
      <c r="I29" s="11" t="s">
        <v>70</v>
      </c>
    </row>
    <row r="30" customFormat="false" ht="15" hidden="false" customHeight="false" outlineLevel="1" collapsed="false">
      <c r="A30" s="3" t="s">
        <v>71</v>
      </c>
      <c r="B30" s="11" t="s">
        <v>57</v>
      </c>
      <c r="C30" s="10" t="n">
        <f aca="false">輸入與假設!$C$243+輸入與假設!C$135</f>
        <v>106.09585</v>
      </c>
      <c r="D30" s="10" t="n">
        <f aca="false">輸入與假設!D$135</f>
        <v>86.020956</v>
      </c>
      <c r="E30" s="10" t="n">
        <f aca="false">輸入與假設!E$135</f>
        <v>31.2015795</v>
      </c>
    </row>
    <row r="31" customFormat="false" ht="15" hidden="false" customHeight="false" outlineLevel="1" collapsed="false">
      <c r="A31" s="3" t="s">
        <v>72</v>
      </c>
      <c r="B31" s="11" t="s">
        <v>57</v>
      </c>
      <c r="C31" s="10" t="n">
        <f aca="false">輸入與假設!$C$296</f>
        <v>93.961</v>
      </c>
      <c r="D31" s="10" t="n">
        <f aca="false">輸入與假設!$D$296</f>
        <v>100.962</v>
      </c>
      <c r="E31" s="10" t="n">
        <f aca="false">輸入與假設!$E$296</f>
        <v>84.848</v>
      </c>
    </row>
    <row r="32" customFormat="false" ht="15" hidden="false" customHeight="false" outlineLevel="1" collapsed="false">
      <c r="A32" s="3" t="s">
        <v>73</v>
      </c>
      <c r="B32" s="11" t="s">
        <v>42</v>
      </c>
      <c r="C32" s="13" t="n">
        <f aca="false">C30/C31-1</f>
        <v>0.129147731505625</v>
      </c>
      <c r="D32" s="13" t="n">
        <f aca="false">D30/D31-1</f>
        <v>-0.147986806917454</v>
      </c>
      <c r="E32" s="13" t="n">
        <f aca="false">E30/E31-1</f>
        <v>-0.632264997407128</v>
      </c>
      <c r="I32" s="6" t="s">
        <v>74</v>
      </c>
    </row>
    <row r="33" customFormat="false" ht="15" hidden="false" customHeight="false" outlineLevel="1" collapsed="false">
      <c r="A33" s="3" t="s">
        <v>75</v>
      </c>
      <c r="B33" s="11" t="s">
        <v>57</v>
      </c>
      <c r="C33" s="10" t="n">
        <f aca="false">資產負債_新債與新股!C24</f>
        <v>121.940485375387</v>
      </c>
      <c r="D33" s="10" t="n">
        <f aca="false">資產負債_新債與新股!D24</f>
        <v>133.975336807211</v>
      </c>
      <c r="E33" s="10" t="n">
        <f aca="false">資產負債_新債與新股!E24</f>
        <v>90.0286338574402</v>
      </c>
    </row>
    <row r="34" customFormat="false" ht="15" hidden="false" customHeight="false" outlineLevel="1" collapsed="false">
      <c r="A34" s="3" t="s">
        <v>76</v>
      </c>
      <c r="B34" s="11" t="s">
        <v>57</v>
      </c>
      <c r="C34" s="10" t="n">
        <f aca="false">輸入與假設!$C$298</f>
        <v>117.047</v>
      </c>
      <c r="D34" s="10" t="n">
        <f aca="false">輸入與假設!$D$298</f>
        <v>147.351</v>
      </c>
      <c r="E34" s="10" t="n">
        <f aca="false">輸入與假設!$E$298</f>
        <v>146.812</v>
      </c>
    </row>
    <row r="35" customFormat="false" ht="15" hidden="false" customHeight="false" outlineLevel="1" collapsed="false">
      <c r="A35" s="3" t="s">
        <v>77</v>
      </c>
      <c r="B35" s="11" t="s">
        <v>42</v>
      </c>
      <c r="C35" s="13" t="n">
        <f aca="false">C33/C34-1</f>
        <v>0.0418078667149651</v>
      </c>
      <c r="D35" s="13" t="n">
        <f aca="false">D33/D34-1</f>
        <v>-0.0907741596106525</v>
      </c>
      <c r="E35" s="13" t="n">
        <f aca="false">E33/E34-1</f>
        <v>-0.386776054699615</v>
      </c>
      <c r="I35" s="6" t="s">
        <v>78</v>
      </c>
    </row>
    <row r="36" customFormat="false" ht="15" hidden="false" customHeight="false" outlineLevel="1" collapsed="false">
      <c r="A36" s="3" t="s">
        <v>79</v>
      </c>
      <c r="B36" s="11" t="s">
        <v>57</v>
      </c>
      <c r="C36" s="10" t="n">
        <f aca="false">C33-C34</f>
        <v>4.89348537538652</v>
      </c>
      <c r="D36" s="10" t="n">
        <f aca="false">D33-D34</f>
        <v>-13.3756631927893</v>
      </c>
      <c r="E36" s="10" t="n">
        <f aca="false">E33-E34</f>
        <v>-56.7833661425598</v>
      </c>
      <c r="I36" s="6" t="s">
        <v>65</v>
      </c>
    </row>
    <row r="37" customFormat="false" ht="15" hidden="false" customHeight="false" outlineLevel="1" collapsed="false">
      <c r="A37" s="3" t="s">
        <v>80</v>
      </c>
      <c r="C37" s="10" t="str">
        <f aca="false">MID(IF(ABS(C22)&gt;輸入與假設!$C$333,"、營收 "&amp;IF(C22&lt;0,"−","+")&amp;TEXT(ABS(C22)*100,"0.0")&amp;"%","")&amp;IF(ABS(C25)&gt;輸入與假設!$C$333,"、EBITDA "&amp;IF(C26&lt;0,"−","+")&amp;"$"&amp;TEXT(ABS(C26),"#,##0.00")&amp;"bn"&amp;"／"&amp;IF(C29&lt;0,"−","+")&amp;TEXT(ABS(C29)*100,"0.0")&amp;"pt","")&amp;IF(ABS(C32)&gt;輸入與假設!$C$333,"、CapEx "&amp;IF(C32&lt;0,"−","+")&amp;TEXT(ABS(C32)*100,"0.0")&amp;"%",""),2,999)</f>
        <v>CapEx +12.9%</v>
      </c>
      <c r="D37" s="10" t="str">
        <f aca="false">MID(IF(ABS(D22)&gt;輸入與假設!$C$333,"、營收 "&amp;IF(D22&lt;0,"−","+")&amp;TEXT(ABS(D22)*100,"0.0")&amp;"%","")&amp;IF(ABS(D25)&gt;輸入與假設!$C$333,"、EBITDA "&amp;IF(D26&lt;0,"−","+")&amp;"$"&amp;TEXT(ABS(D26),"#,##0.00")&amp;"bn"&amp;"／"&amp;IF(D29&lt;0,"−","+")&amp;TEXT(ABS(D29)*100,"0.0")&amp;"pt","")&amp;IF(ABS(D32)&gt;輸入與假設!$C$333,"、CapEx "&amp;IF(D32&lt;0,"−","+")&amp;TEXT(ABS(D32)*100,"0.0")&amp;"%",""),2,999)</f>
        <v>EBITDA +$6.53bn／+2.8pt、CapEx −14.8%</v>
      </c>
      <c r="E37" s="10" t="str">
        <f aca="false">MID(IF(ABS(E22)&gt;輸入與假設!$C$333,"、營收 "&amp;IF(E22&lt;0,"−","+")&amp;TEXT(ABS(E22)*100,"0.0")&amp;"%","")&amp;IF(ABS(E25)&gt;輸入與假設!$C$333,"、EBITDA "&amp;IF(E26&lt;0,"−","+")&amp;"$"&amp;TEXT(ABS(E26),"#,##0.00")&amp;"bn"&amp;"／"&amp;IF(E29&lt;0,"−","+")&amp;TEXT(ABS(E29)*100,"0.0")&amp;"pt","")&amp;IF(ABS(E32)&gt;輸入與假設!$C$333,"、CapEx "&amp;IF(E32&lt;0,"−","+")&amp;TEXT(ABS(E32)*100,"0.0")&amp;"%",""),2,999)</f>
        <v>EBITDA −$6.90bn／−2.1pt、CapEx −63.2%</v>
      </c>
      <c r="I37" s="6" t="s">
        <v>81</v>
      </c>
    </row>
    <row r="38" customFormat="false" ht="15" hidden="false" customHeight="false" outlineLevel="1" collapsed="false">
      <c r="A38" s="3" t="s">
        <v>82</v>
      </c>
      <c r="C38" s="9" t="n">
        <f aca="false">IF(C37&lt;&gt;"",1,IF(D37&lt;&gt;"",2,IF(E37&lt;&gt;"",3,0)))</f>
        <v>1</v>
      </c>
    </row>
    <row r="39" customFormat="false" ht="15" hidden="false" customHeight="false" outlineLevel="1" collapsed="false">
      <c r="A39" s="2" t="s">
        <v>83</v>
      </c>
      <c r="C39" s="10" t="str">
        <f aca="false">CHOOSE(C38+1,"FY27–FY29 營收、EBITDA、CapEx 與共識差距皆在 "&amp;IF(ROUND(ABS(輸入與假設!$C$333)*100,4)=INT(ROUND(ABS(輸入與假設!$C$333)*100,4)),TEXT(ROUND(ABS(輸入與假設!$C$333)*100,4),"0"),TEXT(ROUND(ABS(輸入與假設!$C$333)*100,4),"0.0"))&amp;"%"&amp;" 以內。","分歧始於 FY27（"&amp;C37&amp;"）"&amp;"；FY28 "&amp;IF(D37="","回到 "&amp;IF(ROUND(ABS(輸入與假設!$C$333)*100,4)=INT(ROUND(ABS(輸入與假設!$C$333)*100,4)),TEXT(ROUND(ABS(輸入與假設!$C$333)*100,4),"0"),TEXT(ROUND(ABS(輸入與假設!$C$333)*100,4),"0.0"))&amp;"%"&amp;" 以內",D37)&amp;"；FY29 "&amp;IF(E37="","回到 "&amp;IF(ROUND(ABS(輸入與假設!$C$333)*100,4)=INT(ROUND(ABS(輸入與假設!$C$333)*100,4)),TEXT(ROUND(ABS(輸入與假設!$C$333)*100,4),"0"),TEXT(ROUND(ABS(輸入與假設!$C$333)*100,4),"0.0"))&amp;"%"&amp;" 以內",E37)&amp;"。","FY27 營收、EBITDA、CapEx 與共識差距在 "&amp;IF(ROUND(ABS(輸入與假設!$C$333)*100,4)=INT(ROUND(ABS(輸入與假設!$C$333)*100,4)),TEXT(ROUND(ABS(輸入與假設!$C$333)*100,4),"0"),TEXT(ROUND(ABS(輸入與假設!$C$333)*100,4),"0.0"))&amp;"%"&amp;" 以內；分歧始於 FY28（"&amp;D37&amp;"）"&amp;"；FY29 "&amp;IF(E37="","回到 "&amp;IF(ROUND(ABS(輸入與假設!$C$333)*100,4)=INT(ROUND(ABS(輸入與假設!$C$333)*100,4)),TEXT(ROUND(ABS(輸入與假設!$C$333)*100,4),"0"),TEXT(ROUND(ABS(輸入與假設!$C$333)*100,4),"0.0"))&amp;"%"&amp;" 以內",E37)&amp;"。","FY27–FY28 營收、EBITDA、CapEx 與共識差距在 "&amp;IF(ROUND(ABS(輸入與假設!$C$333)*100,4)=INT(ROUND(ABS(輸入與假設!$C$333)*100,4)),TEXT(ROUND(ABS(輸入與假設!$C$333)*100,4),"0"),TEXT(ROUND(ABS(輸入與假設!$C$333)*100,4),"0.0"))&amp;"%"&amp;" 以內；分歧始於 FY29（"&amp;E37&amp;"）。")</f>
        <v>分歧始於 FY27（CapEx +12.9%）；FY28 EBITDA +$6.53bn／+2.8pt、CapEx −14.8%；FY29 EBITDA −$6.90bn／−2.1pt、CapEx −63.2%。</v>
      </c>
    </row>
    <row r="40" customFormat="false" ht="15" hidden="false" customHeight="false" outlineLevel="1" collapsed="false">
      <c r="A40" s="3" t="s">
        <v>84</v>
      </c>
      <c r="C40" s="10" t="str">
        <f aca="false">IF(ABS(C22)&gt;輸入與假設!$C$333,"觀點","")</f>
        <v/>
      </c>
      <c r="D40" s="10" t="str">
        <f aca="false">IF(ABS(C22)&gt;輸入與假設!$C$333,"營收＝OCI（在役 MW × 每 MW 年收入，Tokenomics 正向推導；年底已連網 "&amp;IF((輸入與假設!C$43)&lt;0,"−","")&amp;TEXT(ABS((輸入與假設!C$43)),"#,##0")&amp;" MW-IT）＋傳統事業四線（近四季年增率收斂）；共識未揭露 MW 假設","")</f>
        <v/>
      </c>
      <c r="I40" s="11" t="s">
        <v>85</v>
      </c>
    </row>
    <row r="41" customFormat="false" ht="15" hidden="false" customHeight="false" outlineLevel="1" collapsed="false">
      <c r="A41" s="3" t="s">
        <v>86</v>
      </c>
      <c r="C41" s="10" t="str">
        <f aca="false">IF(ABS(C29)&gt;輸入與假設!$C$334,"觀點","")</f>
        <v/>
      </c>
      <c r="D41" s="10" t="str">
        <f aca="false">IF(ABS(C29)&gt;輸入與假設!$C$334,"營收差距 "&amp;IF((C22)&lt;0,"−","+")&amp;TEXT(ABS((C22))*100,"#,##0.0")&amp;"%"&amp;"；EBITDA 率 "&amp;IF((C27)&lt;0,"−","")&amp;TEXT(ABS((C27))*100,"#,##0.0")&amp;"%"&amp;" 對共識 "&amp;IF((C28)&lt;0,"−","")&amp;TEXT(ABS((C28))*100,"#,##0.0")&amp;"%"&amp;"（OCI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/>
      </c>
    </row>
    <row r="42" customFormat="false" ht="15" hidden="false" customHeight="false" outlineLevel="1" collapsed="false">
      <c r="A42" s="3" t="s">
        <v>87</v>
      </c>
      <c r="C42" s="10" t="str">
        <f aca="false">IF(ABS(C32)&gt;輸入與假設!$C$333,"觀點","")</f>
        <v>觀點</v>
      </c>
      <c r="D42" s="10" t="str">
        <f aca="false">IF(ABS(C32)&gt;輸入與假設!$C$333,"CapEx 依新增 MW 計算：新增 "&amp;IF((輸入與假設!C$125)&lt;0,"−","")&amp;TEXT(ABS((輸入與假設!C$125)),"#,##0")&amp;" MW × 每 MW $"&amp;IF((輸入與假設!C$109)&lt;0,"−","")&amp;TEXT(ABS((輸入與假設!C$109)),"#,##0")&amp;"m（IT 設備，含次年預建）；客戶自帶硬體不建模；共識口徑未揭露","")</f>
        <v>CapEx 依新增 MW 計算：新增 2,833 MW × 每 MW $37m（IT 設備，含次年預建）；客戶自帶硬體不建模；共識口徑未揭露</v>
      </c>
    </row>
    <row r="43" customFormat="false" ht="15" hidden="false" customHeight="false" outlineLevel="1" collapsed="false">
      <c r="A43" s="3" t="s">
        <v>88</v>
      </c>
      <c r="C43" s="10" t="str">
        <f aca="false">IF(ABS(C35)&gt;輸入與假設!$C$333,"觀點","")</f>
        <v/>
      </c>
      <c r="D43" s="10" t="str">
        <f aca="false">IF(ABS(C35)&gt;輸入與假設!$C$333,"淨負債隨 CapEx、客戶預付、股利與融資瀑布而定（模型 CapEx 差距 "&amp;IF((C32)&lt;0,"−","+")&amp;TEXT(ABS((C32))*100,"#,##0.0")&amp;"%"&amp;"）；共識淨負債不含租賃","")</f>
        <v/>
      </c>
    </row>
    <row r="44" customFormat="false" ht="15" hidden="false" customHeight="false" outlineLevel="1" collapsed="false">
      <c r="A44" s="3" t="s">
        <v>89</v>
      </c>
      <c r="C44" s="10" t="str">
        <f aca="false">IF(ABS(D22)&gt;輸入與假設!$C$333,"觀點","")</f>
        <v/>
      </c>
      <c r="D44" s="10" t="str">
        <f aca="false">IF(ABS(D22)&gt;輸入與假設!$C$333,"營收＝OCI（在役 MW × 每 MW 年收入，Tokenomics 正向推導；年底已連網 "&amp;IF((輸入與假設!D$43)&lt;0,"−","")&amp;TEXT(ABS((輸入與假設!D$43)),"#,##0")&amp;" MW-IT）＋傳統事業四線（近四季年增率收斂）；共識未揭露 MW 假設","")</f>
        <v/>
      </c>
    </row>
    <row r="45" customFormat="false" ht="15" hidden="false" customHeight="false" outlineLevel="1" collapsed="false">
      <c r="A45" s="3" t="s">
        <v>90</v>
      </c>
      <c r="C45" s="10" t="str">
        <f aca="false">IF(ABS(D29)&gt;輸入與假設!$C$334,"觀點","")</f>
        <v>觀點</v>
      </c>
      <c r="D45" s="10" t="str">
        <f aca="false">IF(ABS(D29)&gt;輸入與假設!$C$334,"營收差距 "&amp;IF((D22)&lt;0,"−","+")&amp;TEXT(ABS((D22))*100,"#,##0.0")&amp;"%"&amp;"；EBITDA 率 "&amp;IF((D27)&lt;0,"−","")&amp;TEXT(ABS((D27))*100,"#,##0.0")&amp;"%"&amp;" 對共識 "&amp;IF((D28)&lt;0,"−","")&amp;TEXT(ABS((D28))*100,"#,##0.0")&amp;"%"&amp;"（OCI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>營收差距 +3.7%；EBITDA 率 59.4% 對共識 56.7%（OCI EBITDA 率由 65% 走向穩態 47%，取可觀察 neocloud 區間）</v>
      </c>
    </row>
    <row r="46" customFormat="false" ht="15" hidden="false" customHeight="false" outlineLevel="1" collapsed="false">
      <c r="A46" s="3" t="s">
        <v>91</v>
      </c>
      <c r="C46" s="10" t="str">
        <f aca="false">IF(ABS(D32)&gt;輸入與假設!$C$333,"觀點","")</f>
        <v>觀點</v>
      </c>
      <c r="D46" s="10" t="str">
        <f aca="false">IF(ABS(D32)&gt;輸入與假設!$C$333,"CapEx 依新增 MW 計算：新增 "&amp;IF((輸入與假設!D$125)&lt;0,"−","")&amp;TEXT(ABS((輸入與假設!D$125)),"#,##0")&amp;" MW × 每 MW $"&amp;IF((輸入與假設!D$109)&lt;0,"−","")&amp;TEXT(ABS((輸入與假設!D$109)),"#,##0")&amp;"m（IT 設備，含次年預建）；客戶自帶硬體不建模；共識口徑未揭露","")</f>
        <v>CapEx 依新增 MW 計算：新增 2,833 MW × 每 MW $38m（IT 設備，含次年預建）；客戶自帶硬體不建模；共識口徑未揭露</v>
      </c>
    </row>
    <row r="47" customFormat="false" ht="15" hidden="false" customHeight="false" outlineLevel="1" collapsed="false">
      <c r="A47" s="3" t="s">
        <v>92</v>
      </c>
      <c r="C47" s="10" t="str">
        <f aca="false">IF(ABS(D35)&gt;輸入與假設!$C$333,"觀點","")</f>
        <v>觀點</v>
      </c>
      <c r="D47" s="10" t="str">
        <f aca="false">IF(ABS(D35)&gt;輸入與假設!$C$333,"淨負債隨 CapEx、客戶預付、股利與融資瀑布而定（模型 CapEx 差距 "&amp;IF((D32)&lt;0,"−","+")&amp;TEXT(ABS((D32))*100,"#,##0.0")&amp;"%"&amp;"）；共識淨負債不含租賃","")</f>
        <v>淨負債隨 CapEx、客戶預付、股利與融資瀑布而定（模型 CapEx 差距 −14.8%）；共識淨負債不含租賃</v>
      </c>
    </row>
    <row r="48" customFormat="false" ht="15" hidden="false" customHeight="false" outlineLevel="1" collapsed="false">
      <c r="A48" s="3" t="s">
        <v>93</v>
      </c>
      <c r="C48" s="10" t="str">
        <f aca="false">IF(ABS(E22)&gt;輸入與假設!$C$333,"觀點","")</f>
        <v/>
      </c>
      <c r="D48" s="10" t="str">
        <f aca="false">IF(ABS(E22)&gt;輸入與假設!$C$333,"營收＝OCI（在役 MW × 每 MW 年收入，Tokenomics 正向推導；年底已連網 "&amp;IF((輸入與假設!E$43)&lt;0,"−","")&amp;TEXT(ABS((輸入與假設!E$43)),"#,##0")&amp;" MW-IT）＋傳統事業四線（近四季年增率收斂）；共識未揭露 MW 假設","")</f>
        <v/>
      </c>
    </row>
    <row r="49" customFormat="false" ht="15" hidden="false" customHeight="false" outlineLevel="1" collapsed="false">
      <c r="A49" s="3" t="s">
        <v>94</v>
      </c>
      <c r="C49" s="10" t="str">
        <f aca="false">IF(ABS(E29)&gt;輸入與假設!$C$334,"觀點","")</f>
        <v>觀點</v>
      </c>
      <c r="D49" s="10" t="str">
        <f aca="false">IF(ABS(E29)&gt;輸入與假設!$C$334,"營收差距 "&amp;IF((E22)&lt;0,"−","+")&amp;TEXT(ABS((E22))*100,"#,##0.0")&amp;"%"&amp;"；EBITDA 率 "&amp;IF((E27)&lt;0,"−","")&amp;TEXT(ABS((E27))*100,"#,##0.0")&amp;"%"&amp;" 對共識 "&amp;IF((E28)&lt;0,"−","")&amp;TEXT(ABS((E28))*100,"#,##0.0")&amp;"%"&amp;"（OCI EBITDA 率由 "&amp;IF((輸入與假設!$C$87)&lt;0,"−","")&amp;TEXT(ABS((輸入與假設!$C$87))*100,"#,##0")&amp;"%"&amp;" 走向穩態 "&amp;IF((輸入與假設!$C$88)&lt;0,"−","")&amp;TEXT(ABS((輸入與假設!$C$88))*100,"#,##0")&amp;"%"&amp;"，取可觀察 neocloud 區間）","")</f>
        <v>營收差距 −3.0%；EBITDA 率 56.5% 對共識 58.6%（OCI EBITDA 率由 65% 走向穩態 47%，取可觀察 neocloud 區間）</v>
      </c>
    </row>
    <row r="50" customFormat="false" ht="15" hidden="false" customHeight="false" outlineLevel="1" collapsed="false">
      <c r="A50" s="3" t="s">
        <v>95</v>
      </c>
      <c r="C50" s="10" t="str">
        <f aca="false">IF(ABS(E32)&gt;輸入與假設!$C$333,"觀點","")</f>
        <v>觀點</v>
      </c>
      <c r="D50" s="10" t="str">
        <f aca="false">IF(ABS(E32)&gt;輸入與假設!$C$333,"CapEx 依新增 MW 計算：新增 "&amp;IF((輸入與假設!E$125)&lt;0,"−","")&amp;TEXT(ABS((輸入與假設!E$125)),"#,##0")&amp;" MW × 每 MW $"&amp;IF((輸入與假設!E$109)&lt;0,"−","")&amp;TEXT(ABS((輸入與假設!E$109)),"#,##0")&amp;"m（IT 設備，含次年預建）；客戶自帶硬體不建模；共識口徑未揭露","")</f>
        <v>CapEx 依新增 MW 計算：新增 1,277 MW × 每 MW $38m（IT 設備，含次年預建）；客戶自帶硬體不建模；共識口徑未揭露</v>
      </c>
    </row>
    <row r="51" customFormat="false" ht="15" hidden="false" customHeight="false" outlineLevel="1" collapsed="false">
      <c r="A51" s="3" t="s">
        <v>96</v>
      </c>
      <c r="C51" s="10" t="str">
        <f aca="false">IF(ABS(E35)&gt;輸入與假設!$C$333,"觀點","")</f>
        <v>觀點</v>
      </c>
      <c r="D51" s="10" t="str">
        <f aca="false">IF(ABS(E35)&gt;輸入與假設!$C$333,"淨負債隨 CapEx、客戶預付、股利與融資瀑布而定（模型 CapEx 差距 "&amp;IF((E32)&lt;0,"−","+")&amp;TEXT(ABS((E32))*100,"#,##0.0")&amp;"%"&amp;"）；共識淨負債不含租賃","")</f>
        <v>淨負債隨 CapEx、客戶預付、股利與融資瀑布而定（模型 CapEx 差距 −63.2%）；共識淨負債不含租賃</v>
      </c>
    </row>
    <row r="52" customFormat="false" ht="15" hidden="false" customHeight="false" outlineLevel="1" collapsed="false">
      <c r="A52" s="3" t="s">
        <v>97</v>
      </c>
      <c r="C52" s="9" t="n">
        <f aca="false">SUMPRODUCT(--(ABS(C22:E22)&gt;輸入與假設!$C$333))+SUMPRODUCT(--(ABS(C29:E29)&gt;輸入與假設!$C$334))+SUMPRODUCT(--(ABS(C32:E32)&gt;輸入與假設!$C$333))+SUMPRODUCT(--(ABS(C35:E35)&gt;輸入與假設!$C$333))</f>
        <v>7</v>
      </c>
      <c r="I52" s="6" t="s">
        <v>98</v>
      </c>
    </row>
    <row r="53" customFormat="false" ht="15" hidden="false" customHeight="false" outlineLevel="1" collapsed="false">
      <c r="A53" s="3" t="s">
        <v>99</v>
      </c>
      <c r="C53" s="10" t="str">
        <f aca="false">IF(C52=0,"","需附原因的 "&amp;C52&amp;" 項差距："&amp;MID(IF((COUNTIF(C40,"觀點")+COUNTIF(C41,"觀點")+COUNTIF(C42,"觀點")+COUNTIF(C43,"觀點")+COUNTIF(C44,"觀點")+COUNTIF(C45,"觀點")+COUNTIF(C46,"觀點")+COUNTIF(C47,"觀點")+COUNTIF(C48,"觀點")+COUNTIF(C49,"觀點")+COUNTIF(C50,"觀點")+COUNTIF(C51,"觀點"))&gt;0,"、觀點 "&amp;(COUNTIF(C40,"觀點")+COUNTIF(C41,"觀點")+COUNTIF(C42,"觀點")+COUNTIF(C43,"觀點")+COUNTIF(C44,"觀點")+COUNTIF(C45,"觀點")+COUNTIF(C46,"觀點")+COUNTIF(C47,"觀點")+COUNTIF(C48,"觀點")+COUNTIF(C49,"觀點")+COUNTIF(C50,"觀點")+COUNTIF(C51,"觀點"))&amp;" 項","")&amp;IF((COUNTIF(C40,"拆法")+COUNTIF(C41,"拆法")+COUNTIF(C42,"拆法")+COUNTIF(C43,"拆法")+COUNTIF(C44,"拆法")+COUNTIF(C45,"拆法")+COUNTIF(C46,"拆法")+COUNTIF(C47,"拆法")+COUNTIF(C48,"拆法")+COUNTIF(C49,"拆法")+COUNTIF(C50,"拆法")+COUNTIF(C51,"拆法"))&gt;0,"、拆法 "&amp;(COUNTIF(C40,"拆法")+COUNTIF(C41,"拆法")+COUNTIF(C42,"拆法")+COUNTIF(C43,"拆法")+COUNTIF(C44,"拆法")+COUNTIF(C45,"拆法")+COUNTIF(C46,"拆法")+COUNTIF(C47,"拆法")+COUNTIF(C48,"拆法")+COUNTIF(C49,"拆法")+COUNTIF(C50,"拆法")+COUNTIF(C51,"拆法"))&amp;" 項","")&amp;IF(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gt;0,"、已知限制 "&amp;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&amp;" 項","")&amp;IF(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gt;0,"、未歸類 "&amp;(C52-((COUNTIF(C40,"觀點")+COUNTIF(C41,"觀點")+COUNTIF(C42,"觀點")+COUNTIF(C43,"觀點")+COUNTIF(C44,"觀點")+COUNTIF(C45,"觀點")+COUNTIF(C46,"觀點")+COUNTIF(C47,"觀點")+COUNTIF(C48,"觀點")+COUNTIF(C49,"觀點")+COUNTIF(C50,"觀點")+COUNTIF(C51,"觀點"))+(COUNTIF(C40,"拆法")+COUNTIF(C41,"拆法")+COUNTIF(C42,"拆法")+COUNTIF(C43,"拆法")+COUNTIF(C44,"拆法")+COUNTIF(C45,"拆法")+COUNTIF(C46,"拆法")+COUNTIF(C47,"拆法")+COUNTIF(C48,"拆法")+COUNTIF(C49,"拆法")+COUNTIF(C50,"拆法")+COUNTIF(C51,"拆法"))+(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+COUNTIF(C51,"已知限制"))))&amp;" 項",""),2,999)&amp;"；原因見「損益與評價 → 市場共識」。")</f>
        <v>需附原因的 7 項差距：觀點 7 項；原因見「損益與評價 → 市場共識」。</v>
      </c>
      <c r="I53" s="6" t="s">
        <v>100</v>
      </c>
    </row>
    <row r="55" customFormat="false" ht="15" hidden="false" customHeight="false" outlineLevel="0" collapsed="false">
      <c r="A55" s="7" t="s">
        <v>101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102</v>
      </c>
      <c r="B56" s="11" t="s">
        <v>103</v>
      </c>
      <c r="C56" s="16" t="n">
        <f aca="false">(輸入與假設!$C$271*輸入與假設!$C$176+輸入與假設!$E$298)/輸入與假設!$E$290</f>
        <v>8.1312724763118</v>
      </c>
      <c r="I56" s="6" t="s">
        <v>104</v>
      </c>
    </row>
    <row r="57" customFormat="false" ht="15" hidden="false" customHeight="false" outlineLevel="1" collapsed="false">
      <c r="A57" s="3" t="s">
        <v>105</v>
      </c>
      <c r="B57" s="11" t="s">
        <v>103</v>
      </c>
      <c r="C57" s="16" t="n">
        <f aca="false">(輸入與假設!$C$175*輸入與假設!$C$176+輸入與假設!$E$298)/輸入與假設!$E$290</f>
        <v>5.48134644486391</v>
      </c>
      <c r="I57" s="6" t="s">
        <v>106</v>
      </c>
    </row>
    <row r="58" customFormat="false" ht="15" hidden="false" customHeight="false" outlineLevel="1" collapsed="false">
      <c r="A58" s="3" t="s">
        <v>107</v>
      </c>
      <c r="B58" s="11" t="s">
        <v>103</v>
      </c>
      <c r="C58" s="16" t="n">
        <f aca="false">MAX(輸入與假設!$C$208,輸入與假設!$C$209)</f>
        <v>6</v>
      </c>
      <c r="I58" s="6" t="s">
        <v>108</v>
      </c>
    </row>
    <row r="59" customFormat="false" ht="15" hidden="false" customHeight="false" outlineLevel="1" collapsed="false">
      <c r="A59" s="3" t="s">
        <v>109</v>
      </c>
      <c r="B59" s="11" t="s">
        <v>57</v>
      </c>
      <c r="C59" s="10" t="n">
        <f aca="false">輸入與假設!E$83</f>
        <v>30.3062781426461</v>
      </c>
      <c r="I59" s="11" t="s">
        <v>110</v>
      </c>
    </row>
    <row r="60" customFormat="false" ht="15" hidden="false" customHeight="false" outlineLevel="1" collapsed="false">
      <c r="A60" s="3" t="s">
        <v>111</v>
      </c>
      <c r="B60" s="11" t="s">
        <v>103</v>
      </c>
      <c r="C60" s="16" t="n">
        <f aca="false">(輸入與假設!$C$271*輸入與假設!$C$176+輸入與假設!$E$298-輸入與假設!E$83*輸入與假設!$C$204)/MAX(輸入與假設!$E$290-輸入與假設!E$83,0.01)</f>
        <v>5.42826168867933</v>
      </c>
      <c r="I60" s="6" t="s">
        <v>112</v>
      </c>
    </row>
    <row r="61" customFormat="false" ht="15" hidden="false" customHeight="false" outlineLevel="1" collapsed="false">
      <c r="A61" s="3" t="s">
        <v>113</v>
      </c>
      <c r="B61" s="11" t="s">
        <v>103</v>
      </c>
      <c r="C61" s="16" t="n">
        <f aca="false">(輸入與假設!$C$175*輸入與假設!$C$176+輸入與假設!$E$298-輸入與假設!E$83*輸入與假設!$C$204)/MAX(輸入與假設!$E$290-輸入與假設!E$83,0.01)</f>
        <v>1.73855311033854</v>
      </c>
      <c r="I61" s="6" t="s">
        <v>114</v>
      </c>
    </row>
    <row r="62" customFormat="false" ht="15" hidden="false" customHeight="false" outlineLevel="1" collapsed="false">
      <c r="A62" s="2" t="s">
        <v>115</v>
      </c>
      <c r="C62" s="10" t="str">
        <f aca="false">"共識平均目標價 $"&amp;TEXT(輸入與假設!$C$271,"0.00")&amp;" 隱含 FY29 EV/EBITDA "&amp;TEXT(C56,"0.0")&amp;"x（扣除傳統事業 "&amp;TEXT(輸入與假設!$C$204,"0.0")&amp;"x × 模型 EBITDA $"&amp;TEXT(C59,"0.0")&amp;"bn 後，OCI "&amp;TEXT(C60,"0.0")&amp;"x），OCI 倍數"&amp;IF(ROUND(C60,1)&gt;C58,"高於",IF(ROUND(C60,1)&lt;C58,"低於","等於"))&amp;"模型方法區間上緣 "&amp;IF(C58=INT(C58),TEXT(C58,"0"),TEXT(C58,"0.0"))&amp;"x；現價 $"&amp;TEXT(輸入與假設!$C$175,"0.00")&amp;" 隱含 "&amp;TEXT(C57,"0.0")&amp;"x（OCI "&amp;TEXT(C61,"0.0")&amp;"x）。"</f>
        <v>共識平均目標價 $237.97 隱含 FY29 EV/EBITDA 8.1x（扣除傳統事業 15.0x × 模型 EBITDA $30.3bn 後，OCI 5.4x），OCI 倍數低於模型方法區間上緣 6x；現價 $144.77 隱含 5.5x（OCI 1.7x）。</v>
      </c>
    </row>
    <row r="63" customFormat="false" ht="15" hidden="false" customHeight="false" outlineLevel="1" collapsed="false">
      <c r="A63" s="3" t="s">
        <v>116</v>
      </c>
      <c r="C63" s="17" t="n">
        <f aca="false">評價_反向DCF!B18</f>
        <v>17.4</v>
      </c>
      <c r="D63" s="17" t="n">
        <f aca="false">評價_反向DCF!C18</f>
        <v>23.7781</v>
      </c>
      <c r="E63" s="13" t="n">
        <f aca="false">評價_反向DCF!D18</f>
        <v>0.3666</v>
      </c>
      <c r="I63" s="6" t="s">
        <v>117</v>
      </c>
    </row>
    <row r="64" customFormat="false" ht="15" hidden="false" customHeight="false" outlineLevel="1" collapsed="false">
      <c r="A64" s="3" t="s">
        <v>118</v>
      </c>
      <c r="C64" s="17" t="n">
        <f aca="false">評價_反向DCF!B19</f>
        <v>37.59</v>
      </c>
      <c r="D64" s="17" t="n">
        <f aca="false">評價_反向DCF!C19</f>
        <v>16.3658</v>
      </c>
      <c r="E64" s="13" t="n">
        <f aca="false">評價_反向DCF!D19</f>
        <v>-0.5646</v>
      </c>
    </row>
    <row r="65" customFormat="false" ht="15" hidden="false" customHeight="false" outlineLevel="1" collapsed="false">
      <c r="A65" s="3" t="s">
        <v>119</v>
      </c>
      <c r="C65" s="13" t="n">
        <f aca="false">評價_反向DCF!B20</f>
        <v>0.47</v>
      </c>
      <c r="D65" s="13" t="n">
        <f aca="false">評價_反向DCF!C20</f>
        <v>0.7407</v>
      </c>
      <c r="E65" s="13" t="n">
        <f aca="false">評價_反向DCF!D20</f>
        <v>0.2707</v>
      </c>
    </row>
    <row r="66" customFormat="false" ht="15" hidden="false" customHeight="false" outlineLevel="1" collapsed="false">
      <c r="A66" s="3" t="s">
        <v>120</v>
      </c>
      <c r="C66" s="17" t="n">
        <f aca="false">評價_反向DCF!B21</f>
        <v>17.4</v>
      </c>
      <c r="D66" s="17" t="n">
        <f aca="false">評價_反向DCF!C21</f>
        <v>17.4201</v>
      </c>
      <c r="E66" s="13" t="n">
        <f aca="false">評價_反向DCF!D21</f>
        <v>0.0012</v>
      </c>
    </row>
    <row r="68" customFormat="false" ht="15" hidden="false" customHeight="false" outlineLevel="0" collapsed="false">
      <c r="A68" s="7" t="s">
        <v>121</v>
      </c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1" collapsed="false">
      <c r="A69" s="3" t="s">
        <v>122</v>
      </c>
      <c r="C69" s="10" t="str">
        <f aca="false">季度追蹤!C12</f>
        <v>Q2 FY27</v>
      </c>
      <c r="I69" s="6" t="s">
        <v>123</v>
      </c>
    </row>
    <row r="70" customFormat="false" ht="15" hidden="false" customHeight="false" outlineLevel="1" collapsed="false">
      <c r="A70" s="3" t="s">
        <v>124</v>
      </c>
      <c r="B70" s="11" t="s">
        <v>57</v>
      </c>
      <c r="C70" s="10" t="n">
        <f aca="false">季度追蹤!C6</f>
        <v>21.5695824666667</v>
      </c>
      <c r="D70" s="10" t="n">
        <f aca="false">季度追蹤!D6</f>
        <v>21.322</v>
      </c>
      <c r="E70" s="10" t="n">
        <f aca="false">季度追蹤!F6</f>
        <v>20.875</v>
      </c>
      <c r="F70" s="10" t="n">
        <f aca="false">季度追蹤!G6</f>
        <v>21.518</v>
      </c>
      <c r="G70" s="10" t="str">
        <f aca="false">季度追蹤!I6</f>
        <v>待公布</v>
      </c>
      <c r="I70" s="6" t="s">
        <v>125</v>
      </c>
    </row>
    <row r="71" customFormat="false" ht="15" hidden="false" customHeight="false" outlineLevel="1" collapsed="false">
      <c r="A71" s="2" t="s">
        <v>126</v>
      </c>
      <c r="C71" s="10" t="str">
        <f aca="false">INDEX(季度追蹤!$C$129:$H$129,輸入與假設!$C$339)</f>
        <v>營收：模型 $21.57bn｜共識 $21.32bn（+1.2%）｜指引 $20.88–21.52bn（中點 +1.8%，高於上緣）〔觀點〕</v>
      </c>
    </row>
    <row r="72" customFormat="false" ht="15" hidden="false" customHeight="false" outlineLevel="1" collapsed="false">
      <c r="A72" s="3" t="s">
        <v>127</v>
      </c>
      <c r="B72" s="11" t="s">
        <v>57</v>
      </c>
      <c r="C72" s="10" t="n">
        <f aca="false">季度追蹤!C7</f>
        <v>12.7339858742758</v>
      </c>
      <c r="D72" s="10" t="n">
        <f aca="false">季度追蹤!D7</f>
        <v>12.359</v>
      </c>
      <c r="E72" s="10" t="str">
        <f aca="false">季度追蹤!F7</f>
        <v>不適用</v>
      </c>
      <c r="F72" s="10" t="str">
        <f aca="false">季度追蹤!G7</f>
        <v>不適用</v>
      </c>
      <c r="G72" s="10" t="str">
        <f aca="false">季度追蹤!I7</f>
        <v>待公布</v>
      </c>
      <c r="I72" s="6" t="s">
        <v>125</v>
      </c>
    </row>
    <row r="73" customFormat="false" ht="15" hidden="false" customHeight="false" outlineLevel="1" collapsed="false">
      <c r="A73" s="2" t="s">
        <v>128</v>
      </c>
      <c r="C73" s="10" t="str">
        <f aca="false">INDEX(季度追蹤!$C$130:$H$130,輸入與假設!$C$339)</f>
        <v>調整後 EBITDA：模型 $12.73bn｜共識 $12.36bn（+$0.37bn／+1.1pt）</v>
      </c>
    </row>
    <row r="74" customFormat="false" ht="15" hidden="false" customHeight="false" outlineLevel="1" collapsed="false">
      <c r="A74" s="3" t="s">
        <v>129</v>
      </c>
      <c r="B74" s="11" t="s">
        <v>57</v>
      </c>
      <c r="C74" s="10" t="n">
        <f aca="false">季度追蹤!C10</f>
        <v>25.8656166666667</v>
      </c>
      <c r="D74" s="10" t="str">
        <f aca="false">季度追蹤!D10</f>
        <v>不適用</v>
      </c>
      <c r="E74" s="10" t="str">
        <f aca="false">季度追蹤!F10</f>
        <v>不適用</v>
      </c>
      <c r="F74" s="10" t="str">
        <f aca="false">季度追蹤!G10</f>
        <v>不適用</v>
      </c>
      <c r="G74" s="10" t="str">
        <f aca="false">季度追蹤!I10</f>
        <v>待公布</v>
      </c>
      <c r="I74" s="6" t="s">
        <v>125</v>
      </c>
    </row>
    <row r="75" customFormat="false" ht="15" hidden="false" customHeight="false" outlineLevel="1" collapsed="false">
      <c r="A75" s="2" t="s">
        <v>130</v>
      </c>
      <c r="C75" s="10" t="str">
        <f aca="false">INDEX(季度追蹤!$C$133:$H$133,輸入與假設!$C$339)</f>
        <v>CapEx（毛額）：模型 $25.87bn</v>
      </c>
    </row>
    <row r="76" customFormat="false" ht="15" hidden="false" customHeight="false" outlineLevel="1" collapsed="false">
      <c r="A76" s="3" t="s">
        <v>131</v>
      </c>
      <c r="B76" s="6" t="s">
        <v>132</v>
      </c>
      <c r="C76" s="9" t="n">
        <f aca="false">輸入與假設!$C$282</f>
        <v>28</v>
      </c>
      <c r="D76" s="9" t="n">
        <f aca="false">輸入與假設!$C$283</f>
        <v>7</v>
      </c>
      <c r="E76" s="9" t="n">
        <f aca="false">輸入與假設!$C$284</f>
        <v>7</v>
      </c>
      <c r="F76" s="9" t="n">
        <f aca="false">輸入與假設!$C$285</f>
        <v>0</v>
      </c>
      <c r="G76" s="9" t="n">
        <f aca="false">輸入與假設!$C$286</f>
        <v>1</v>
      </c>
      <c r="I76" s="11" t="s">
        <v>133</v>
      </c>
    </row>
    <row r="77" customFormat="false" ht="15" hidden="false" customHeight="false" outlineLevel="1" collapsed="false">
      <c r="A77" s="3" t="s">
        <v>134</v>
      </c>
      <c r="B77" s="11" t="s">
        <v>39</v>
      </c>
      <c r="C77" s="12" t="n">
        <f aca="false">輸入與假設!$C$271</f>
        <v>237.97</v>
      </c>
      <c r="D77" s="12" t="n">
        <f aca="false">輸入與假設!$C$272</f>
        <v>240</v>
      </c>
      <c r="E77" s="12" t="n">
        <f aca="false">輸入與假設!$C$273</f>
        <v>110</v>
      </c>
      <c r="F77" s="12" t="n">
        <f aca="false">輸入與假設!$C$274</f>
        <v>400</v>
      </c>
      <c r="I77" s="11" t="s">
        <v>135</v>
      </c>
    </row>
    <row r="78" customFormat="false" ht="15" hidden="false" customHeight="false" outlineLevel="1" collapsed="false"/>
    <row r="79" customFormat="false" ht="15" hidden="false" customHeight="false" outlineLevel="1" collapsed="false">
      <c r="A79" s="6" t="s">
        <v>136</v>
      </c>
    </row>
    <row r="80" customFormat="false" ht="15" hidden="false" customHeight="false" outlineLevel="1" collapsed="false">
      <c r="A80" s="6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138</v>
      </c>
    </row>
    <row r="2" customFormat="false" ht="15" hidden="false" customHeight="false" outlineLevel="0" collapsed="false">
      <c r="A2" s="11" t="s">
        <v>139</v>
      </c>
    </row>
    <row r="4" customFormat="false" ht="15" hidden="false" customHeight="false" outlineLevel="0" collapsed="false">
      <c r="A4" s="7" t="s">
        <v>140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141</v>
      </c>
      <c r="C5" s="18" t="n">
        <v>2</v>
      </c>
      <c r="D5" s="2" t="str">
        <f aca="false">CHOOSE(C5,"保守 OpenAI 相關 60%","基準 已簽約站點依 Q1 速度","積極 依公司時程")</f>
        <v>基準 已簽約站點依 Q1 速度</v>
      </c>
      <c r="I5" s="6" t="s">
        <v>142</v>
      </c>
    </row>
    <row r="6" customFormat="false" ht="15" hidden="false" customHeight="false" outlineLevel="1" collapsed="false">
      <c r="A6" s="19" t="s">
        <v>143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144</v>
      </c>
      <c r="B7" s="14" t="s">
        <v>52</v>
      </c>
      <c r="C7" s="15" t="s">
        <v>53</v>
      </c>
      <c r="D7" s="15" t="s">
        <v>54</v>
      </c>
      <c r="E7" s="15" t="s">
        <v>55</v>
      </c>
      <c r="F7" s="15" t="s">
        <v>145</v>
      </c>
      <c r="G7" s="15" t="s">
        <v>146</v>
      </c>
      <c r="I7" s="15" t="s">
        <v>147</v>
      </c>
    </row>
    <row r="8" customFormat="false" ht="15" hidden="false" customHeight="false" outlineLevel="2" collapsed="false">
      <c r="A8" s="3" t="s">
        <v>148</v>
      </c>
      <c r="B8" s="11" t="s">
        <v>149</v>
      </c>
      <c r="C8" s="21" t="n">
        <v>4668</v>
      </c>
      <c r="I8" s="6" t="s">
        <v>150</v>
      </c>
    </row>
    <row r="9" customFormat="false" ht="15" hidden="false" customHeight="false" outlineLevel="2" collapsed="false">
      <c r="A9" s="3" t="s">
        <v>151</v>
      </c>
      <c r="B9" s="11" t="s">
        <v>149</v>
      </c>
      <c r="C9" s="21" t="n">
        <v>6284</v>
      </c>
      <c r="D9" s="21" t="n">
        <v>6284</v>
      </c>
      <c r="E9" s="21" t="n">
        <v>6284</v>
      </c>
      <c r="F9" s="21" t="n">
        <v>6284</v>
      </c>
      <c r="G9" s="21" t="n">
        <v>6284</v>
      </c>
      <c r="I9" s="11" t="s">
        <v>152</v>
      </c>
    </row>
    <row r="10" customFormat="false" ht="15" hidden="false" customHeight="false" outlineLevel="2" collapsed="false">
      <c r="A10" s="3" t="s">
        <v>153</v>
      </c>
      <c r="B10" s="11" t="s">
        <v>154</v>
      </c>
      <c r="C10" s="21" t="n">
        <v>1000</v>
      </c>
      <c r="I10" s="11" t="s">
        <v>155</v>
      </c>
    </row>
    <row r="11" customFormat="false" ht="15" hidden="false" customHeight="false" outlineLevel="2" collapsed="false">
      <c r="A11" s="3" t="s">
        <v>156</v>
      </c>
      <c r="B11" s="11" t="s">
        <v>149</v>
      </c>
      <c r="C11" s="22" t="n">
        <f aca="false">MIN(C9,輸入與假設!$C$8)</f>
        <v>4668</v>
      </c>
      <c r="D11" s="22" t="n">
        <f aca="false">MIN(D9,C11+輸入與假設!$C$10*D$41)</f>
        <v>5668</v>
      </c>
      <c r="E11" s="22" t="n">
        <f aca="false">MIN(E9,D11+輸入與假設!$C$10*E$41)</f>
        <v>6284</v>
      </c>
      <c r="F11" s="22" t="n">
        <f aca="false">MIN(F9,E11+輸入與假設!$C$10*F$41)</f>
        <v>6284</v>
      </c>
      <c r="G11" s="22" t="n">
        <f aca="false">MIN(G9,F11+輸入與假設!$C$10*G$41)</f>
        <v>6284</v>
      </c>
      <c r="I11" s="21" t="n">
        <v>0</v>
      </c>
      <c r="J11" s="6" t="s">
        <v>157</v>
      </c>
    </row>
    <row r="12" customFormat="false" ht="15" hidden="false" customHeight="false" outlineLevel="2" collapsed="false">
      <c r="A12" s="3" t="s">
        <v>158</v>
      </c>
      <c r="B12" s="11" t="s">
        <v>149</v>
      </c>
      <c r="C12" s="21" t="n">
        <v>8778</v>
      </c>
      <c r="D12" s="21" t="n">
        <v>8778</v>
      </c>
      <c r="E12" s="21" t="n">
        <v>8778</v>
      </c>
      <c r="F12" s="21" t="n">
        <v>8778</v>
      </c>
      <c r="G12" s="21" t="n">
        <v>8778</v>
      </c>
      <c r="I12" s="11" t="s">
        <v>152</v>
      </c>
    </row>
    <row r="13" customFormat="false" ht="15" hidden="false" customHeight="false" outlineLevel="2" collapsed="false">
      <c r="A13" s="3" t="s">
        <v>159</v>
      </c>
      <c r="B13" s="11" t="s">
        <v>154</v>
      </c>
      <c r="C13" s="21" t="n">
        <v>2833</v>
      </c>
      <c r="I13" s="11" t="s">
        <v>155</v>
      </c>
    </row>
    <row r="14" customFormat="false" ht="15" hidden="false" customHeight="false" outlineLevel="2" collapsed="false">
      <c r="A14" s="3" t="s">
        <v>160</v>
      </c>
      <c r="B14" s="11" t="s">
        <v>149</v>
      </c>
      <c r="C14" s="22" t="n">
        <f aca="false">MIN(C12,輸入與假設!$C$8)</f>
        <v>4668</v>
      </c>
      <c r="D14" s="22" t="n">
        <f aca="false">MIN(D12,C14+輸入與假設!$C$13*D$41)</f>
        <v>7501</v>
      </c>
      <c r="E14" s="22" t="n">
        <f aca="false">MIN(E12,D14+輸入與假設!$C$13*E$41)</f>
        <v>8778</v>
      </c>
      <c r="F14" s="22" t="n">
        <f aca="false">MIN(F12,E14+輸入與假設!$C$13*F$41)</f>
        <v>8778</v>
      </c>
      <c r="G14" s="22" t="n">
        <f aca="false">MIN(G12,F14+輸入與假設!$C$13*G$41)</f>
        <v>8778</v>
      </c>
      <c r="I14" s="21" t="n">
        <v>0</v>
      </c>
      <c r="J14" s="11" t="s">
        <v>161</v>
      </c>
    </row>
    <row r="15" customFormat="false" ht="15" hidden="false" customHeight="false" outlineLevel="2" collapsed="false">
      <c r="A15" s="3" t="s">
        <v>162</v>
      </c>
      <c r="B15" s="11" t="s">
        <v>149</v>
      </c>
      <c r="C15" s="21" t="n">
        <v>8778</v>
      </c>
      <c r="D15" s="21" t="n">
        <v>8778</v>
      </c>
      <c r="E15" s="21" t="n">
        <v>8778</v>
      </c>
      <c r="F15" s="21" t="n">
        <v>8778</v>
      </c>
      <c r="G15" s="21" t="n">
        <v>8778</v>
      </c>
      <c r="I15" s="11" t="s">
        <v>152</v>
      </c>
    </row>
    <row r="16" customFormat="false" ht="15" hidden="false" customHeight="false" outlineLevel="2" collapsed="false">
      <c r="A16" s="3" t="s">
        <v>163</v>
      </c>
      <c r="B16" s="11" t="s">
        <v>154</v>
      </c>
      <c r="C16" s="21" t="n">
        <v>3333</v>
      </c>
      <c r="I16" s="11" t="s">
        <v>155</v>
      </c>
    </row>
    <row r="17" customFormat="false" ht="15" hidden="false" customHeight="false" outlineLevel="2" collapsed="false">
      <c r="A17" s="3" t="s">
        <v>164</v>
      </c>
      <c r="B17" s="11" t="s">
        <v>149</v>
      </c>
      <c r="C17" s="22" t="n">
        <f aca="false">MIN(C15,輸入與假設!$C$8)</f>
        <v>4668</v>
      </c>
      <c r="D17" s="22" t="n">
        <f aca="false">MIN(D15,C17+輸入與假設!$C$16*D$41)</f>
        <v>8001</v>
      </c>
      <c r="E17" s="22" t="n">
        <f aca="false">MIN(E15,D17+輸入與假設!$C$16*E$41)</f>
        <v>8778</v>
      </c>
      <c r="F17" s="22" t="n">
        <f aca="false">MIN(F15,E17+輸入與假設!$C$16*F$41)</f>
        <v>8778</v>
      </c>
      <c r="G17" s="22" t="n">
        <f aca="false">MIN(G15,F17+輸入與假設!$C$16*G$41)</f>
        <v>8778</v>
      </c>
      <c r="I17" s="21" t="n">
        <v>0</v>
      </c>
      <c r="J17" s="6" t="s">
        <v>165</v>
      </c>
    </row>
    <row r="18" customFormat="false" ht="15" hidden="false" customHeight="false" outlineLevel="2" collapsed="false">
      <c r="A18" s="3" t="s">
        <v>166</v>
      </c>
      <c r="B18" s="11" t="s">
        <v>167</v>
      </c>
      <c r="C18" s="23" t="n">
        <v>0.01162</v>
      </c>
      <c r="D18" s="23" t="n">
        <v>0.01162</v>
      </c>
      <c r="E18" s="23" t="n">
        <v>0.01162</v>
      </c>
      <c r="F18" s="23" t="n">
        <v>0.01162</v>
      </c>
      <c r="G18" s="23" t="n">
        <v>0.01162</v>
      </c>
      <c r="I18" s="11" t="s">
        <v>168</v>
      </c>
    </row>
    <row r="19" customFormat="false" ht="15" hidden="false" customHeight="false" outlineLevel="2" collapsed="false">
      <c r="A19" s="3" t="s">
        <v>169</v>
      </c>
      <c r="B19" s="11" t="s">
        <v>167</v>
      </c>
      <c r="C19" s="23" t="n">
        <v>0.0174</v>
      </c>
      <c r="D19" s="23" t="n">
        <v>0.0174</v>
      </c>
      <c r="E19" s="23" t="n">
        <v>0.0174</v>
      </c>
      <c r="F19" s="23" t="n">
        <v>0.0174</v>
      </c>
      <c r="G19" s="23" t="n">
        <v>0.0174</v>
      </c>
      <c r="I19" s="11" t="s">
        <v>168</v>
      </c>
    </row>
    <row r="20" customFormat="false" ht="15" hidden="false" customHeight="false" outlineLevel="2" collapsed="false">
      <c r="A20" s="3" t="s">
        <v>170</v>
      </c>
      <c r="B20" s="11" t="s">
        <v>167</v>
      </c>
      <c r="C20" s="23" t="n">
        <v>0.0242</v>
      </c>
      <c r="D20" s="23" t="n">
        <v>0.0242</v>
      </c>
      <c r="E20" s="23" t="n">
        <v>0.0242</v>
      </c>
      <c r="F20" s="23" t="n">
        <v>0.0242</v>
      </c>
      <c r="G20" s="23" t="n">
        <v>0.0242</v>
      </c>
      <c r="I20" s="11" t="s">
        <v>168</v>
      </c>
    </row>
    <row r="21" customFormat="false" ht="15" hidden="false" customHeight="false" outlineLevel="2" collapsed="false">
      <c r="A21" s="3" t="s">
        <v>171</v>
      </c>
      <c r="B21" s="11" t="s">
        <v>42</v>
      </c>
      <c r="C21" s="24" t="n">
        <v>0.5</v>
      </c>
      <c r="D21" s="24" t="n">
        <v>0.8</v>
      </c>
      <c r="E21" s="24" t="n">
        <v>0.85</v>
      </c>
      <c r="F21" s="24" t="n">
        <v>0.9</v>
      </c>
      <c r="G21" s="24" t="n">
        <v>0.9</v>
      </c>
      <c r="I21" s="6" t="s">
        <v>172</v>
      </c>
    </row>
    <row r="22" customFormat="false" ht="15" hidden="false" customHeight="false" outlineLevel="2" collapsed="false">
      <c r="A22" s="3" t="s">
        <v>173</v>
      </c>
      <c r="B22" s="11" t="s">
        <v>57</v>
      </c>
      <c r="C22" s="25" t="n">
        <v>29.552</v>
      </c>
      <c r="I22" s="6" t="s">
        <v>174</v>
      </c>
    </row>
    <row r="23" customFormat="false" ht="15" hidden="false" customHeight="false" outlineLevel="2" collapsed="false">
      <c r="A23" s="3" t="s">
        <v>175</v>
      </c>
      <c r="B23" s="11" t="s">
        <v>149</v>
      </c>
      <c r="C23" s="22" t="n">
        <f aca="false">ROUND(輸入與假設!$C$22/C18,0)</f>
        <v>2543</v>
      </c>
      <c r="I23" s="6" t="s">
        <v>176</v>
      </c>
    </row>
    <row r="24" customFormat="false" ht="15" hidden="false" customHeight="false" outlineLevel="2" collapsed="false">
      <c r="A24" s="3" t="s">
        <v>177</v>
      </c>
      <c r="B24" s="11" t="s">
        <v>149</v>
      </c>
      <c r="C24" s="22" t="n">
        <f aca="false">ROUND(輸入與假設!$C$22/C19,0)</f>
        <v>1698</v>
      </c>
      <c r="I24" s="6" t="s">
        <v>176</v>
      </c>
    </row>
    <row r="25" customFormat="false" ht="15" hidden="false" customHeight="false" outlineLevel="2" collapsed="false">
      <c r="A25" s="3" t="s">
        <v>178</v>
      </c>
      <c r="B25" s="11" t="s">
        <v>149</v>
      </c>
      <c r="C25" s="22" t="n">
        <f aca="false">ROUND(輸入與假設!$C$22/C20,0)</f>
        <v>1221</v>
      </c>
      <c r="I25" s="6" t="s">
        <v>176</v>
      </c>
    </row>
    <row r="26" customFormat="false" ht="15" hidden="false" customHeight="false" outlineLevel="2" collapsed="false">
      <c r="A26" s="3" t="s">
        <v>179</v>
      </c>
      <c r="B26" s="11" t="s">
        <v>57</v>
      </c>
      <c r="C26" s="25" t="n">
        <v>288</v>
      </c>
      <c r="I26" s="6" t="s">
        <v>180</v>
      </c>
    </row>
    <row r="27" customFormat="false" ht="15" hidden="false" customHeight="false" outlineLevel="2" collapsed="false">
      <c r="A27" s="3" t="s">
        <v>181</v>
      </c>
      <c r="B27" s="6" t="s">
        <v>182</v>
      </c>
      <c r="C27" s="21" t="n">
        <v>0</v>
      </c>
      <c r="I27" s="11" t="s">
        <v>183</v>
      </c>
    </row>
    <row r="28" customFormat="false" ht="15" hidden="false" customHeight="false" outlineLevel="2" collapsed="false">
      <c r="A28" s="3" t="s">
        <v>184</v>
      </c>
      <c r="B28" s="6" t="s">
        <v>182</v>
      </c>
      <c r="C28" s="21" t="n">
        <v>11</v>
      </c>
      <c r="I28" s="6" t="s">
        <v>185</v>
      </c>
    </row>
    <row r="29" customFormat="false" ht="15" hidden="false" customHeight="false" outlineLevel="2" collapsed="false">
      <c r="A29" s="3" t="s">
        <v>186</v>
      </c>
      <c r="B29" s="6" t="s">
        <v>187</v>
      </c>
      <c r="C29" s="26" t="n">
        <v>17</v>
      </c>
      <c r="I29" s="6" t="s">
        <v>188</v>
      </c>
    </row>
    <row r="30" customFormat="false" ht="15" hidden="false" customHeight="false" outlineLevel="0" collapsed="false">
      <c r="A30" s="7" t="s">
        <v>189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190</v>
      </c>
      <c r="B31" s="11" t="s">
        <v>57</v>
      </c>
      <c r="C31" s="25" t="n">
        <v>664</v>
      </c>
      <c r="I31" s="6" t="s">
        <v>191</v>
      </c>
    </row>
    <row r="32" customFormat="false" ht="15" hidden="false" customHeight="false" outlineLevel="1" collapsed="false">
      <c r="A32" s="3" t="s">
        <v>192</v>
      </c>
      <c r="B32" s="11" t="s">
        <v>57</v>
      </c>
      <c r="C32" s="25" t="n">
        <v>0</v>
      </c>
      <c r="I32" s="6" t="s">
        <v>193</v>
      </c>
    </row>
    <row r="33" customFormat="false" ht="15" hidden="false" customHeight="false" outlineLevel="1" collapsed="false">
      <c r="A33" s="3" t="s">
        <v>194</v>
      </c>
      <c r="B33" s="11" t="s">
        <v>42</v>
      </c>
      <c r="C33" s="24" t="n">
        <v>0.7975</v>
      </c>
      <c r="I33" s="6" t="s">
        <v>195</v>
      </c>
    </row>
    <row r="34" customFormat="false" ht="15" hidden="false" customHeight="false" outlineLevel="1" collapsed="false">
      <c r="A34" s="4" t="s">
        <v>196</v>
      </c>
      <c r="B34" s="11" t="s">
        <v>42</v>
      </c>
      <c r="C34" s="24" t="n">
        <v>0.7975</v>
      </c>
      <c r="I34" s="6" t="s">
        <v>197</v>
      </c>
    </row>
    <row r="35" customFormat="false" ht="15" hidden="false" customHeight="false" outlineLevel="1" collapsed="false">
      <c r="A35" s="4" t="s">
        <v>198</v>
      </c>
      <c r="B35" s="11" t="s">
        <v>149</v>
      </c>
      <c r="C35" s="21" t="n">
        <v>1835</v>
      </c>
      <c r="I35" s="11" t="s">
        <v>199</v>
      </c>
    </row>
    <row r="36" customFormat="false" ht="15" hidden="false" customHeight="false" outlineLevel="1" collapsed="false">
      <c r="A36" s="4" t="s">
        <v>200</v>
      </c>
      <c r="B36" s="11" t="s">
        <v>149</v>
      </c>
      <c r="C36" s="22" t="n">
        <f aca="false">CHOOSE(輸入與假設!$C$5,輸入與假設!$C$23,輸入與假設!$C$24,輸入與假設!$C$25)</f>
        <v>1698</v>
      </c>
      <c r="I36" s="6" t="s">
        <v>201</v>
      </c>
    </row>
    <row r="37" customFormat="false" ht="15" hidden="false" customHeight="false" outlineLevel="1" collapsed="false">
      <c r="A37" s="3" t="s">
        <v>202</v>
      </c>
      <c r="B37" s="6"/>
      <c r="C37" s="21" t="n">
        <v>1</v>
      </c>
      <c r="I37" s="11" t="s">
        <v>203</v>
      </c>
    </row>
    <row r="38" customFormat="false" ht="15" hidden="false" customHeight="false" outlineLevel="1" collapsed="false">
      <c r="A38" s="3" t="s">
        <v>204</v>
      </c>
      <c r="B38" s="6"/>
      <c r="C38" s="27" t="s">
        <v>205</v>
      </c>
      <c r="I38" s="11" t="s">
        <v>206</v>
      </c>
    </row>
    <row r="39" customFormat="false" ht="15" hidden="false" customHeight="false" outlineLevel="1" collapsed="false">
      <c r="A39" s="3" t="s">
        <v>207</v>
      </c>
      <c r="B39" s="11" t="s">
        <v>42</v>
      </c>
      <c r="C39" s="24" t="n">
        <v>1</v>
      </c>
      <c r="I39" s="6" t="s">
        <v>208</v>
      </c>
    </row>
    <row r="40" customFormat="false" ht="15" hidden="false" customHeight="false" outlineLevel="1" collapsed="false">
      <c r="A40" s="14" t="s">
        <v>51</v>
      </c>
      <c r="B40" s="14" t="s">
        <v>52</v>
      </c>
      <c r="C40" s="28" t="s">
        <v>53</v>
      </c>
      <c r="D40" s="28" t="s">
        <v>54</v>
      </c>
      <c r="E40" s="28" t="s">
        <v>55</v>
      </c>
      <c r="F40" s="28" t="s">
        <v>145</v>
      </c>
      <c r="G40" s="28" t="s">
        <v>146</v>
      </c>
      <c r="I40" s="14" t="s">
        <v>209</v>
      </c>
    </row>
    <row r="41" customFormat="false" ht="15" hidden="false" customHeight="false" outlineLevel="1" collapsed="false">
      <c r="A41" s="3" t="s">
        <v>210</v>
      </c>
      <c r="B41" s="6"/>
      <c r="C41" s="25" t="n">
        <v>0.75</v>
      </c>
      <c r="D41" s="25" t="n">
        <v>1</v>
      </c>
      <c r="E41" s="25" t="n">
        <v>1</v>
      </c>
      <c r="F41" s="25" t="n">
        <v>1</v>
      </c>
      <c r="G41" s="25" t="n">
        <v>1</v>
      </c>
      <c r="I41" s="6" t="s">
        <v>211</v>
      </c>
    </row>
    <row r="42" customFormat="false" ht="15" hidden="false" customHeight="false" outlineLevel="1" collapsed="false">
      <c r="A42" s="4" t="s">
        <v>212</v>
      </c>
      <c r="B42" s="11" t="s">
        <v>42</v>
      </c>
      <c r="C42" s="24" t="n">
        <v>0.0975</v>
      </c>
      <c r="D42" s="24" t="n">
        <v>0.17125</v>
      </c>
      <c r="E42" s="24" t="n">
        <v>0.185</v>
      </c>
      <c r="F42" s="24" t="n">
        <v>0.17375</v>
      </c>
      <c r="G42" s="24" t="n">
        <v>0.17</v>
      </c>
      <c r="H42" s="29" t="n">
        <f aca="false">SUM(C42:G42)</f>
        <v>0.7975</v>
      </c>
      <c r="I42" s="6" t="s">
        <v>213</v>
      </c>
    </row>
    <row r="43" customFormat="false" ht="15" hidden="false" customHeight="false" outlineLevel="1" collapsed="false">
      <c r="A43" s="4" t="s">
        <v>214</v>
      </c>
      <c r="B43" s="11" t="s">
        <v>149</v>
      </c>
      <c r="C43" s="22" t="n">
        <f aca="false">CHOOSE(輸入與假設!$C$5,C11,C14,C17)</f>
        <v>4668</v>
      </c>
      <c r="D43" s="22" t="n">
        <f aca="false">CHOOSE(輸入與假設!$C$5,D11,D14,D17)</f>
        <v>7501</v>
      </c>
      <c r="E43" s="22" t="n">
        <f aca="false">CHOOSE(輸入與假設!$C$5,E11,E14,E17)</f>
        <v>8778</v>
      </c>
      <c r="F43" s="22" t="n">
        <f aca="false">CHOOSE(輸入與假設!$C$5,F11,F14,F17)</f>
        <v>8778</v>
      </c>
      <c r="G43" s="22" t="n">
        <f aca="false">CHOOSE(輸入與假設!$C$5,G11,G14,G17)</f>
        <v>8778</v>
      </c>
      <c r="I43" s="6" t="s">
        <v>215</v>
      </c>
    </row>
    <row r="44" customFormat="false" ht="15" hidden="false" customHeight="false" outlineLevel="1" collapsed="false">
      <c r="A44" s="4" t="s">
        <v>216</v>
      </c>
      <c r="B44" s="11" t="s">
        <v>149</v>
      </c>
      <c r="C44" s="22" t="n">
        <f aca="false">ROUND(輸入與假設!$C$36+(C43-輸入與假設!$C$36)*C21,0)</f>
        <v>3183</v>
      </c>
      <c r="D44" s="22" t="n">
        <f aca="false">ROUND(輸入與假設!$C$36+(D43-輸入與假設!$C$36)*D21,0)</f>
        <v>6340</v>
      </c>
      <c r="E44" s="22" t="n">
        <f aca="false">ROUND(輸入與假設!$C$36+(E43-輸入與假設!$C$36)*E21,0)</f>
        <v>7716</v>
      </c>
      <c r="F44" s="22" t="n">
        <f aca="false">ROUND(輸入與假設!$C$36+(F43-輸入與假設!$C$36)*F21,0)</f>
        <v>8070</v>
      </c>
      <c r="G44" s="22" t="n">
        <f aca="false">ROUND(輸入與假設!$C$36+(G43-輸入與假設!$C$36)*G21,0)</f>
        <v>8070</v>
      </c>
      <c r="I44" s="6" t="s">
        <v>217</v>
      </c>
    </row>
    <row r="45" customFormat="false" ht="15" hidden="false" customHeight="false" outlineLevel="1" collapsed="false">
      <c r="A45" s="3" t="s">
        <v>218</v>
      </c>
      <c r="B45" s="11" t="s">
        <v>42</v>
      </c>
      <c r="C45" s="24" t="n">
        <v>1</v>
      </c>
      <c r="D45" s="24" t="n">
        <v>1</v>
      </c>
      <c r="E45" s="24" t="n">
        <v>1</v>
      </c>
      <c r="F45" s="24" t="n">
        <v>1</v>
      </c>
      <c r="G45" s="24" t="n">
        <v>1</v>
      </c>
      <c r="I45" s="11" t="s">
        <v>219</v>
      </c>
    </row>
    <row r="46" customFormat="false" ht="15" hidden="false" customHeight="false" outlineLevel="1" collapsed="false">
      <c r="A46" s="3" t="s">
        <v>220</v>
      </c>
      <c r="B46" s="11" t="s">
        <v>167</v>
      </c>
      <c r="C46" s="30" t="n">
        <f aca="false">CHOOSE(輸入與假設!$C$5,C18,C19,C20)</f>
        <v>0.0174</v>
      </c>
      <c r="D46" s="30" t="n">
        <f aca="false">CHOOSE(輸入與假設!$C$5,D18,D19,D20)</f>
        <v>0.0174</v>
      </c>
      <c r="E46" s="30" t="n">
        <f aca="false">CHOOSE(輸入與假設!$C$5,E18,E19,E20)</f>
        <v>0.0174</v>
      </c>
      <c r="F46" s="30" t="n">
        <f aca="false">CHOOSE(輸入與假設!$C$5,F18,F19,F20)</f>
        <v>0.0174</v>
      </c>
      <c r="G46" s="30" t="n">
        <f aca="false">CHOOSE(輸入與假設!$C$5,G18,G19,G20)</f>
        <v>0.0174</v>
      </c>
      <c r="I46" s="6" t="s">
        <v>221</v>
      </c>
    </row>
    <row r="47" customFormat="false" ht="15" hidden="false" customHeight="false" outlineLevel="1" collapsed="false">
      <c r="A47" s="3" t="s">
        <v>222</v>
      </c>
      <c r="B47" s="11" t="s">
        <v>42</v>
      </c>
      <c r="C47" s="24" t="n">
        <v>1</v>
      </c>
      <c r="D47" s="24" t="n">
        <v>1</v>
      </c>
      <c r="E47" s="24" t="n">
        <v>1</v>
      </c>
      <c r="F47" s="24" t="n">
        <v>1</v>
      </c>
      <c r="G47" s="24" t="n">
        <v>1</v>
      </c>
      <c r="I47" s="11" t="s">
        <v>223</v>
      </c>
    </row>
    <row r="48" customFormat="false" ht="15" hidden="false" customHeight="false" outlineLevel="1" collapsed="false">
      <c r="A48" s="3" t="s">
        <v>224</v>
      </c>
      <c r="B48" s="11" t="s">
        <v>42</v>
      </c>
      <c r="C48" s="24" t="n">
        <v>0.005</v>
      </c>
      <c r="D48" s="24" t="n">
        <v>0.01</v>
      </c>
      <c r="E48" s="24" t="n">
        <v>0.015</v>
      </c>
      <c r="F48" s="24" t="n">
        <v>0.02</v>
      </c>
      <c r="G48" s="24" t="n">
        <v>0.025</v>
      </c>
      <c r="I48" s="6" t="s">
        <v>225</v>
      </c>
    </row>
    <row r="49" customFormat="false" ht="15" hidden="false" customHeight="false" outlineLevel="1" collapsed="false">
      <c r="A49" s="3" t="s">
        <v>226</v>
      </c>
      <c r="B49" s="11" t="s">
        <v>42</v>
      </c>
      <c r="C49" s="24" t="n">
        <v>0.5</v>
      </c>
      <c r="D49" s="24" t="n">
        <v>0.5</v>
      </c>
      <c r="E49" s="24" t="n">
        <v>0.5</v>
      </c>
      <c r="F49" s="24" t="n">
        <v>0.5</v>
      </c>
      <c r="G49" s="24" t="n">
        <v>0.5</v>
      </c>
      <c r="I49" s="11" t="s">
        <v>227</v>
      </c>
    </row>
    <row r="50" customFormat="false" ht="15" hidden="false" customHeight="false" outlineLevel="1" collapsed="false">
      <c r="A50" s="3" t="s">
        <v>228</v>
      </c>
      <c r="B50" s="11" t="s">
        <v>57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I50" s="6" t="s">
        <v>229</v>
      </c>
    </row>
    <row r="51" customFormat="false" ht="15" hidden="false" customHeight="false" outlineLevel="1" collapsed="false">
      <c r="A51" s="3" t="s">
        <v>230</v>
      </c>
      <c r="B51" s="11" t="s">
        <v>57</v>
      </c>
      <c r="C51" s="25" t="n">
        <v>0</v>
      </c>
      <c r="D51" s="25" t="n">
        <v>0</v>
      </c>
      <c r="E51" s="25" t="n">
        <v>0</v>
      </c>
      <c r="F51" s="25" t="n">
        <v>0</v>
      </c>
      <c r="G51" s="25" t="n">
        <v>0</v>
      </c>
      <c r="I51" s="6" t="s">
        <v>231</v>
      </c>
    </row>
    <row r="52" customFormat="false" ht="15" hidden="false" customHeight="false" outlineLevel="1" collapsed="false">
      <c r="A52" s="31" t="s">
        <v>232</v>
      </c>
      <c r="B52" s="20"/>
      <c r="C52" s="20"/>
      <c r="D52" s="20"/>
      <c r="E52" s="20"/>
      <c r="F52" s="20"/>
      <c r="G52" s="20"/>
      <c r="H52" s="20"/>
    </row>
    <row r="53" customFormat="false" ht="15" hidden="false" customHeight="false" outlineLevel="2" collapsed="false">
      <c r="A53" s="3" t="s">
        <v>233</v>
      </c>
      <c r="B53" s="11" t="s">
        <v>57</v>
      </c>
      <c r="C53" s="25" t="n">
        <v>15.888</v>
      </c>
      <c r="I53" s="6" t="s">
        <v>234</v>
      </c>
    </row>
    <row r="54" customFormat="false" ht="15" hidden="false" customHeight="false" outlineLevel="2" collapsed="false">
      <c r="A54" s="3" t="s">
        <v>235</v>
      </c>
      <c r="B54" s="11" t="s">
        <v>57</v>
      </c>
      <c r="C54" s="25" t="n">
        <v>4.219</v>
      </c>
      <c r="I54" s="6" t="s">
        <v>236</v>
      </c>
    </row>
    <row r="55" customFormat="false" ht="15" hidden="false" customHeight="false" outlineLevel="2" collapsed="false">
      <c r="A55" s="3" t="s">
        <v>237</v>
      </c>
      <c r="B55" s="11" t="s">
        <v>42</v>
      </c>
      <c r="C55" s="24" t="n">
        <v>0.1111</v>
      </c>
      <c r="I55" s="6" t="s">
        <v>238</v>
      </c>
    </row>
    <row r="56" customFormat="false" ht="15" hidden="false" customHeight="false" outlineLevel="2" collapsed="false">
      <c r="A56" s="3" t="s">
        <v>239</v>
      </c>
      <c r="B56" s="11" t="s">
        <v>42</v>
      </c>
      <c r="C56" s="24" t="n">
        <v>0.08</v>
      </c>
      <c r="I56" s="6" t="s">
        <v>240</v>
      </c>
    </row>
    <row r="57" customFormat="false" ht="15" hidden="false" customHeight="false" outlineLevel="2" collapsed="false">
      <c r="A57" s="3" t="s">
        <v>241</v>
      </c>
      <c r="B57" s="11" t="s">
        <v>42</v>
      </c>
      <c r="C57" s="32" t="n">
        <f aca="false">輸入與假設!$C$55+(輸入與假設!$C$56-輸入與假設!$C$55)*0/4</f>
        <v>0.1111</v>
      </c>
      <c r="D57" s="32" t="n">
        <f aca="false">輸入與假設!$C$55+(輸入與假設!$C$56-輸入與假設!$C$55)*1/4</f>
        <v>0.103325</v>
      </c>
      <c r="E57" s="32" t="n">
        <f aca="false">輸入與假設!$C$55+(輸入與假設!$C$56-輸入與假設!$C$55)*2/4</f>
        <v>0.09555</v>
      </c>
      <c r="F57" s="32" t="n">
        <f aca="false">輸入與假設!$C$55+(輸入與假設!$C$56-輸入與假設!$C$55)*3/4</f>
        <v>0.087775</v>
      </c>
      <c r="G57" s="32" t="n">
        <f aca="false">輸入與假設!$C$55+(輸入與假設!$C$56-輸入與假設!$C$55)*4/4</f>
        <v>0.08</v>
      </c>
      <c r="I57" s="6" t="s">
        <v>242</v>
      </c>
    </row>
    <row r="58" customFormat="false" ht="15" hidden="false" customHeight="false" outlineLevel="2" collapsed="false">
      <c r="A58" s="3" t="s">
        <v>243</v>
      </c>
      <c r="B58" s="11" t="s">
        <v>57</v>
      </c>
      <c r="C58" s="33" t="n">
        <f aca="false">輸入與假設!$C$53*(1+C57)</f>
        <v>17.6531568</v>
      </c>
      <c r="D58" s="33" t="n">
        <f aca="false">C58*(1+D57)</f>
        <v>19.47716922636</v>
      </c>
      <c r="E58" s="33" t="n">
        <f aca="false">D58*(1+E57)</f>
        <v>21.3382127459387</v>
      </c>
      <c r="F58" s="33" t="n">
        <f aca="false">E58*(1+F57)</f>
        <v>23.2111743697135</v>
      </c>
      <c r="G58" s="33" t="n">
        <f aca="false">F58*(1+G57)</f>
        <v>25.0680683192905</v>
      </c>
      <c r="I58" s="6" t="s">
        <v>244</v>
      </c>
    </row>
    <row r="59" customFormat="false" ht="15" hidden="false" customHeight="false" outlineLevel="2" collapsed="false">
      <c r="A59" s="3" t="s">
        <v>245</v>
      </c>
      <c r="B59" s="11" t="s">
        <v>57</v>
      </c>
      <c r="C59" s="33" t="n">
        <f aca="false">C58-輸入與假設!$C$54</f>
        <v>13.4341568</v>
      </c>
      <c r="D59" s="33" t="n">
        <f aca="false">D58</f>
        <v>19.47716922636</v>
      </c>
      <c r="E59" s="33" t="n">
        <f aca="false">E58</f>
        <v>21.3382127459387</v>
      </c>
      <c r="F59" s="33" t="n">
        <f aca="false">F58</f>
        <v>23.2111743697135</v>
      </c>
      <c r="G59" s="33" t="n">
        <f aca="false">G58</f>
        <v>25.0680683192905</v>
      </c>
      <c r="I59" s="11" t="s">
        <v>246</v>
      </c>
    </row>
    <row r="60" customFormat="false" ht="15" hidden="false" customHeight="false" outlineLevel="2" collapsed="false">
      <c r="A60" s="3" t="s">
        <v>247</v>
      </c>
      <c r="B60" s="11" t="s">
        <v>57</v>
      </c>
      <c r="C60" s="25" t="n">
        <v>24.541</v>
      </c>
      <c r="I60" s="6" t="s">
        <v>234</v>
      </c>
    </row>
    <row r="61" customFormat="false" ht="15" hidden="false" customHeight="false" outlineLevel="2" collapsed="false">
      <c r="A61" s="3" t="s">
        <v>248</v>
      </c>
      <c r="B61" s="11" t="s">
        <v>57</v>
      </c>
      <c r="C61" s="25" t="n">
        <v>5.55</v>
      </c>
      <c r="I61" s="6" t="s">
        <v>236</v>
      </c>
    </row>
    <row r="62" customFormat="false" ht="15" hidden="false" customHeight="false" outlineLevel="2" collapsed="false">
      <c r="A62" s="3" t="s">
        <v>249</v>
      </c>
      <c r="B62" s="11" t="s">
        <v>42</v>
      </c>
      <c r="C62" s="24" t="n">
        <v>-0.0125</v>
      </c>
      <c r="I62" s="6" t="s">
        <v>238</v>
      </c>
    </row>
    <row r="63" customFormat="false" ht="15" hidden="false" customHeight="false" outlineLevel="2" collapsed="false">
      <c r="A63" s="3" t="s">
        <v>250</v>
      </c>
      <c r="B63" s="11" t="s">
        <v>42</v>
      </c>
      <c r="C63" s="24" t="n">
        <v>-0.01</v>
      </c>
      <c r="I63" s="6" t="s">
        <v>240</v>
      </c>
    </row>
    <row r="64" customFormat="false" ht="15" hidden="false" customHeight="false" outlineLevel="2" collapsed="false">
      <c r="A64" s="3" t="s">
        <v>251</v>
      </c>
      <c r="B64" s="11" t="s">
        <v>42</v>
      </c>
      <c r="C64" s="32" t="n">
        <f aca="false">輸入與假設!$C$62+(輸入與假設!$C$63-輸入與假設!$C$62)*0/4</f>
        <v>-0.0125</v>
      </c>
      <c r="D64" s="32" t="n">
        <f aca="false">輸入與假設!$C$62+(輸入與假設!$C$63-輸入與假設!$C$62)*1/4</f>
        <v>-0.011875</v>
      </c>
      <c r="E64" s="32" t="n">
        <f aca="false">輸入與假設!$C$62+(輸入與假設!$C$63-輸入與假設!$C$62)*2/4</f>
        <v>-0.01125</v>
      </c>
      <c r="F64" s="32" t="n">
        <f aca="false">輸入與假設!$C$62+(輸入與假設!$C$63-輸入與假設!$C$62)*3/4</f>
        <v>-0.010625</v>
      </c>
      <c r="G64" s="32" t="n">
        <f aca="false">輸入與假設!$C$62+(輸入與假設!$C$63-輸入與假設!$C$62)*4/4</f>
        <v>-0.01</v>
      </c>
      <c r="I64" s="6" t="s">
        <v>242</v>
      </c>
    </row>
    <row r="65" customFormat="false" ht="15" hidden="false" customHeight="false" outlineLevel="2" collapsed="false">
      <c r="A65" s="3" t="s">
        <v>252</v>
      </c>
      <c r="B65" s="11" t="s">
        <v>57</v>
      </c>
      <c r="C65" s="33" t="n">
        <f aca="false">輸入與假設!$C$60*(1+C64)</f>
        <v>24.2342375</v>
      </c>
      <c r="D65" s="33" t="n">
        <f aca="false">C65*(1+D64)</f>
        <v>23.9464559296875</v>
      </c>
      <c r="E65" s="33" t="n">
        <f aca="false">D65*(1+E64)</f>
        <v>23.6770583004785</v>
      </c>
      <c r="F65" s="33" t="n">
        <f aca="false">E65*(1+F64)</f>
        <v>23.4254895560359</v>
      </c>
      <c r="G65" s="33" t="n">
        <f aca="false">F65*(1+G64)</f>
        <v>23.1912346604756</v>
      </c>
      <c r="I65" s="6" t="s">
        <v>244</v>
      </c>
    </row>
    <row r="66" customFormat="false" ht="15" hidden="false" customHeight="false" outlineLevel="2" collapsed="false">
      <c r="A66" s="3" t="s">
        <v>253</v>
      </c>
      <c r="B66" s="11" t="s">
        <v>57</v>
      </c>
      <c r="C66" s="33" t="n">
        <f aca="false">C65-輸入與假設!$C$61</f>
        <v>18.6842375</v>
      </c>
      <c r="D66" s="33" t="n">
        <f aca="false">D65</f>
        <v>23.9464559296875</v>
      </c>
      <c r="E66" s="33" t="n">
        <f aca="false">E65</f>
        <v>23.6770583004785</v>
      </c>
      <c r="F66" s="33" t="n">
        <f aca="false">F65</f>
        <v>23.4254895560359</v>
      </c>
      <c r="G66" s="33" t="n">
        <f aca="false">G65</f>
        <v>23.1912346604756</v>
      </c>
      <c r="I66" s="11" t="s">
        <v>246</v>
      </c>
    </row>
    <row r="67" customFormat="false" ht="15" hidden="false" customHeight="false" outlineLevel="2" collapsed="false">
      <c r="A67" s="3" t="s">
        <v>254</v>
      </c>
      <c r="B67" s="11" t="s">
        <v>57</v>
      </c>
      <c r="C67" s="25" t="n">
        <v>3.084</v>
      </c>
      <c r="I67" s="6" t="s">
        <v>234</v>
      </c>
    </row>
    <row r="68" customFormat="false" ht="15" hidden="false" customHeight="false" outlineLevel="2" collapsed="false">
      <c r="A68" s="3" t="s">
        <v>255</v>
      </c>
      <c r="B68" s="11" t="s">
        <v>57</v>
      </c>
      <c r="C68" s="25" t="n">
        <v>0.774</v>
      </c>
      <c r="I68" s="6" t="s">
        <v>236</v>
      </c>
    </row>
    <row r="69" customFormat="false" ht="15" hidden="false" customHeight="false" outlineLevel="2" collapsed="false">
      <c r="A69" s="3" t="s">
        <v>256</v>
      </c>
      <c r="B69" s="11" t="s">
        <v>42</v>
      </c>
      <c r="C69" s="24" t="n">
        <v>0.0803</v>
      </c>
      <c r="I69" s="6" t="s">
        <v>238</v>
      </c>
    </row>
    <row r="70" customFormat="false" ht="15" hidden="false" customHeight="false" outlineLevel="2" collapsed="false">
      <c r="A70" s="3" t="s">
        <v>257</v>
      </c>
      <c r="B70" s="11" t="s">
        <v>42</v>
      </c>
      <c r="C70" s="24" t="n">
        <v>0</v>
      </c>
      <c r="I70" s="6" t="s">
        <v>240</v>
      </c>
    </row>
    <row r="71" customFormat="false" ht="15" hidden="false" customHeight="false" outlineLevel="2" collapsed="false">
      <c r="A71" s="3" t="s">
        <v>258</v>
      </c>
      <c r="B71" s="11" t="s">
        <v>42</v>
      </c>
      <c r="C71" s="32" t="n">
        <f aca="false">輸入與假設!$C$69+(輸入與假設!$C$70-輸入與假設!$C$69)*0/4</f>
        <v>0.0803</v>
      </c>
      <c r="D71" s="32" t="n">
        <f aca="false">輸入與假設!$C$69+(輸入與假設!$C$70-輸入與假設!$C$69)*1/4</f>
        <v>0.060225</v>
      </c>
      <c r="E71" s="32" t="n">
        <f aca="false">輸入與假設!$C$69+(輸入與假設!$C$70-輸入與假設!$C$69)*2/4</f>
        <v>0.04015</v>
      </c>
      <c r="F71" s="32" t="n">
        <f aca="false">輸入與假設!$C$69+(輸入與假設!$C$70-輸入與假設!$C$69)*3/4</f>
        <v>0.020075</v>
      </c>
      <c r="G71" s="32" t="n">
        <f aca="false">輸入與假設!$C$69+(輸入與假設!$C$70-輸入與假設!$C$69)*4/4</f>
        <v>0</v>
      </c>
      <c r="I71" s="6" t="s">
        <v>242</v>
      </c>
    </row>
    <row r="72" customFormat="false" ht="15" hidden="false" customHeight="false" outlineLevel="2" collapsed="false">
      <c r="A72" s="3" t="s">
        <v>259</v>
      </c>
      <c r="B72" s="11" t="s">
        <v>57</v>
      </c>
      <c r="C72" s="33" t="n">
        <f aca="false">輸入與假設!$C$67*(1+C71)</f>
        <v>3.3316452</v>
      </c>
      <c r="D72" s="33" t="n">
        <f aca="false">C72*(1+D71)</f>
        <v>3.53229353217</v>
      </c>
      <c r="E72" s="33" t="n">
        <f aca="false">D72*(1+E71)</f>
        <v>3.67411511748663</v>
      </c>
      <c r="F72" s="33" t="n">
        <f aca="false">E72*(1+F71)</f>
        <v>3.74787297847017</v>
      </c>
      <c r="G72" s="33" t="n">
        <f aca="false">F72*(1+G71)</f>
        <v>3.74787297847017</v>
      </c>
      <c r="I72" s="6" t="s">
        <v>244</v>
      </c>
    </row>
    <row r="73" customFormat="false" ht="15" hidden="false" customHeight="false" outlineLevel="2" collapsed="false">
      <c r="A73" s="3" t="s">
        <v>260</v>
      </c>
      <c r="B73" s="11" t="s">
        <v>57</v>
      </c>
      <c r="C73" s="33" t="n">
        <f aca="false">C72-輸入與假設!$C$68</f>
        <v>2.5576452</v>
      </c>
      <c r="D73" s="33" t="n">
        <f aca="false">D72</f>
        <v>3.53229353217</v>
      </c>
      <c r="E73" s="33" t="n">
        <f aca="false">E72</f>
        <v>3.67411511748663</v>
      </c>
      <c r="F73" s="33" t="n">
        <f aca="false">F72</f>
        <v>3.74787297847017</v>
      </c>
      <c r="G73" s="33" t="n">
        <f aca="false">G72</f>
        <v>3.74787297847017</v>
      </c>
      <c r="I73" s="11" t="s">
        <v>246</v>
      </c>
    </row>
    <row r="74" customFormat="false" ht="15" hidden="false" customHeight="false" outlineLevel="2" collapsed="false">
      <c r="A74" s="3" t="s">
        <v>261</v>
      </c>
      <c r="B74" s="11" t="s">
        <v>57</v>
      </c>
      <c r="C74" s="25" t="n">
        <v>5.743</v>
      </c>
      <c r="I74" s="6" t="s">
        <v>234</v>
      </c>
    </row>
    <row r="75" customFormat="false" ht="15" hidden="false" customHeight="false" outlineLevel="2" collapsed="false">
      <c r="A75" s="3" t="s">
        <v>262</v>
      </c>
      <c r="B75" s="11" t="s">
        <v>57</v>
      </c>
      <c r="C75" s="25" t="n">
        <v>1.414</v>
      </c>
      <c r="I75" s="6" t="s">
        <v>236</v>
      </c>
    </row>
    <row r="76" customFormat="false" ht="15" hidden="false" customHeight="false" outlineLevel="2" collapsed="false">
      <c r="A76" s="3" t="s">
        <v>263</v>
      </c>
      <c r="B76" s="11" t="s">
        <v>42</v>
      </c>
      <c r="C76" s="24" t="n">
        <v>0.0921</v>
      </c>
      <c r="I76" s="6" t="s">
        <v>238</v>
      </c>
    </row>
    <row r="77" customFormat="false" ht="15" hidden="false" customHeight="false" outlineLevel="2" collapsed="false">
      <c r="A77" s="3" t="s">
        <v>264</v>
      </c>
      <c r="B77" s="11" t="s">
        <v>42</v>
      </c>
      <c r="C77" s="24" t="n">
        <v>0.03</v>
      </c>
      <c r="I77" s="6" t="s">
        <v>240</v>
      </c>
    </row>
    <row r="78" customFormat="false" ht="15" hidden="false" customHeight="false" outlineLevel="2" collapsed="false">
      <c r="A78" s="3" t="s">
        <v>265</v>
      </c>
      <c r="B78" s="11" t="s">
        <v>42</v>
      </c>
      <c r="C78" s="32" t="n">
        <f aca="false">輸入與假設!$C$76+(輸入與假設!$C$77-輸入與假設!$C$76)*0/4</f>
        <v>0.0921</v>
      </c>
      <c r="D78" s="32" t="n">
        <f aca="false">輸入與假設!$C$76+(輸入與假設!$C$77-輸入與假設!$C$76)*1/4</f>
        <v>0.076575</v>
      </c>
      <c r="E78" s="32" t="n">
        <f aca="false">輸入與假設!$C$76+(輸入與假設!$C$77-輸入與假設!$C$76)*2/4</f>
        <v>0.06105</v>
      </c>
      <c r="F78" s="32" t="n">
        <f aca="false">輸入與假設!$C$76+(輸入與假設!$C$77-輸入與假設!$C$76)*3/4</f>
        <v>0.045525</v>
      </c>
      <c r="G78" s="32" t="n">
        <f aca="false">輸入與假設!$C$76+(輸入與假設!$C$77-輸入與假設!$C$76)*4/4</f>
        <v>0.03</v>
      </c>
      <c r="I78" s="6" t="s">
        <v>242</v>
      </c>
    </row>
    <row r="79" customFormat="false" ht="15" hidden="false" customHeight="false" outlineLevel="2" collapsed="false">
      <c r="A79" s="3" t="s">
        <v>266</v>
      </c>
      <c r="B79" s="11" t="s">
        <v>57</v>
      </c>
      <c r="C79" s="33" t="n">
        <f aca="false">輸入與假設!$C$74*(1+C78)</f>
        <v>6.2719303</v>
      </c>
      <c r="D79" s="33" t="n">
        <f aca="false">C79*(1+D78)</f>
        <v>6.7522033627225</v>
      </c>
      <c r="E79" s="33" t="n">
        <f aca="false">D79*(1+E78)</f>
        <v>7.16442537801671</v>
      </c>
      <c r="F79" s="33" t="n">
        <f aca="false">E79*(1+F78)</f>
        <v>7.49058584335092</v>
      </c>
      <c r="G79" s="33" t="n">
        <f aca="false">F79*(1+G78)</f>
        <v>7.71530341865145</v>
      </c>
      <c r="I79" s="6" t="s">
        <v>244</v>
      </c>
    </row>
    <row r="80" customFormat="false" ht="15" hidden="false" customHeight="false" outlineLevel="2" collapsed="false">
      <c r="A80" s="3" t="s">
        <v>267</v>
      </c>
      <c r="B80" s="11" t="s">
        <v>57</v>
      </c>
      <c r="C80" s="33" t="n">
        <f aca="false">C79-輸入與假設!$C$75</f>
        <v>4.8579303</v>
      </c>
      <c r="D80" s="33" t="n">
        <f aca="false">D79</f>
        <v>6.7522033627225</v>
      </c>
      <c r="E80" s="33" t="n">
        <f aca="false">E79</f>
        <v>7.16442537801671</v>
      </c>
      <c r="F80" s="33" t="n">
        <f aca="false">F79</f>
        <v>7.49058584335092</v>
      </c>
      <c r="G80" s="33" t="n">
        <f aca="false">G79</f>
        <v>7.71530341865145</v>
      </c>
      <c r="I80" s="11" t="s">
        <v>246</v>
      </c>
    </row>
    <row r="81" customFormat="false" ht="15" hidden="false" customHeight="false" outlineLevel="2" collapsed="false">
      <c r="A81" s="3" t="s">
        <v>268</v>
      </c>
      <c r="B81" s="11" t="s">
        <v>57</v>
      </c>
      <c r="C81" s="33" t="n">
        <f aca="false">C59+C66+C73+C80</f>
        <v>39.5339698</v>
      </c>
      <c r="D81" s="33" t="n">
        <f aca="false">D59+D66+D73+D80</f>
        <v>53.70812205094</v>
      </c>
      <c r="E81" s="33" t="n">
        <f aca="false">E59+E66+E73+E80</f>
        <v>55.8538115419205</v>
      </c>
      <c r="F81" s="33" t="n">
        <f aca="false">F59+F66+F73+F80</f>
        <v>57.8751227475705</v>
      </c>
      <c r="G81" s="33" t="n">
        <f aca="false">G59+G66+G73+G80</f>
        <v>59.7224793768877</v>
      </c>
      <c r="I81" s="6" t="s">
        <v>269</v>
      </c>
    </row>
    <row r="82" customFormat="false" ht="15" hidden="false" customHeight="false" outlineLevel="2" collapsed="false">
      <c r="A82" s="3" t="s">
        <v>270</v>
      </c>
      <c r="B82" s="11" t="s">
        <v>42</v>
      </c>
      <c r="C82" s="24" t="n">
        <v>0.5426</v>
      </c>
      <c r="D82" s="24" t="n">
        <v>0.5426</v>
      </c>
      <c r="E82" s="24" t="n">
        <v>0.5426</v>
      </c>
      <c r="F82" s="24" t="n">
        <v>0.5426</v>
      </c>
      <c r="G82" s="24" t="n">
        <v>0.5426</v>
      </c>
      <c r="I82" s="11" t="s">
        <v>271</v>
      </c>
    </row>
    <row r="83" customFormat="false" ht="15" hidden="false" customHeight="false" outlineLevel="2" collapsed="false">
      <c r="A83" s="3" t="s">
        <v>272</v>
      </c>
      <c r="B83" s="11" t="s">
        <v>57</v>
      </c>
      <c r="C83" s="33" t="n">
        <f aca="false">C81*C82</f>
        <v>21.45113201348</v>
      </c>
      <c r="D83" s="33" t="n">
        <f aca="false">D81*D82</f>
        <v>29.14202702484</v>
      </c>
      <c r="E83" s="33" t="n">
        <f aca="false">E81*E82</f>
        <v>30.3062781426461</v>
      </c>
      <c r="F83" s="33" t="n">
        <f aca="false">F81*F82</f>
        <v>31.4030416028317</v>
      </c>
      <c r="G83" s="33" t="n">
        <f aca="false">G81*G82</f>
        <v>32.4054173098993</v>
      </c>
      <c r="I83" s="6" t="s">
        <v>273</v>
      </c>
    </row>
    <row r="84" customFormat="false" ht="15" hidden="false" customHeight="false" outlineLevel="2" collapsed="false">
      <c r="A84" s="3" t="s">
        <v>274</v>
      </c>
      <c r="B84" s="11" t="s">
        <v>57</v>
      </c>
      <c r="C84" s="33" t="n">
        <f aca="false">輸入與假設!$C$54+C59-C58+輸入與假設!$C$61+C66-C65+輸入與假設!$C$68+C73-C72+輸入與假設!$C$75+C80-C79</f>
        <v>0</v>
      </c>
      <c r="I84" s="6" t="s">
        <v>275</v>
      </c>
    </row>
    <row r="86" customFormat="false" ht="15" hidden="false" customHeight="false" outlineLevel="0" collapsed="false">
      <c r="A86" s="7" t="s">
        <v>276</v>
      </c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1" collapsed="false">
      <c r="A87" s="3" t="s">
        <v>277</v>
      </c>
      <c r="B87" s="11" t="s">
        <v>42</v>
      </c>
      <c r="C87" s="34" t="n">
        <v>0.652</v>
      </c>
      <c r="I87" s="11" t="s">
        <v>278</v>
      </c>
    </row>
    <row r="88" customFormat="false" ht="15" hidden="false" customHeight="false" outlineLevel="1" collapsed="false">
      <c r="A88" s="3" t="s">
        <v>279</v>
      </c>
      <c r="B88" s="11" t="s">
        <v>42</v>
      </c>
      <c r="C88" s="34" t="n">
        <v>0.47</v>
      </c>
      <c r="I88" s="6" t="s">
        <v>280</v>
      </c>
    </row>
    <row r="89" customFormat="false" ht="15" hidden="false" customHeight="false" outlineLevel="1" collapsed="false">
      <c r="A89" s="3" t="s">
        <v>281</v>
      </c>
      <c r="B89" s="11" t="s">
        <v>42</v>
      </c>
      <c r="C89" s="24" t="n">
        <v>0.193075</v>
      </c>
      <c r="I89" s="11" t="s">
        <v>282</v>
      </c>
    </row>
    <row r="90" customFormat="false" ht="15" hidden="false" customHeight="false" outlineLevel="1" collapsed="false">
      <c r="A90" s="3" t="s">
        <v>283</v>
      </c>
      <c r="B90" s="11" t="s">
        <v>42</v>
      </c>
      <c r="C90" s="24" t="n">
        <v>0.156683</v>
      </c>
      <c r="I90" s="6" t="s">
        <v>284</v>
      </c>
    </row>
    <row r="91" customFormat="false" ht="15" hidden="false" customHeight="false" outlineLevel="1" collapsed="false">
      <c r="A91" s="14" t="s">
        <v>51</v>
      </c>
      <c r="B91" s="14" t="s">
        <v>52</v>
      </c>
      <c r="C91" s="28" t="s">
        <v>53</v>
      </c>
      <c r="D91" s="28" t="s">
        <v>54</v>
      </c>
      <c r="E91" s="28" t="s">
        <v>55</v>
      </c>
      <c r="F91" s="28" t="s">
        <v>145</v>
      </c>
      <c r="G91" s="28" t="s">
        <v>146</v>
      </c>
      <c r="I91" s="14" t="s">
        <v>209</v>
      </c>
    </row>
    <row r="92" customFormat="false" ht="15" hidden="false" customHeight="false" outlineLevel="1" collapsed="false">
      <c r="A92" s="4" t="s">
        <v>285</v>
      </c>
      <c r="B92" s="11" t="s">
        <v>42</v>
      </c>
      <c r="C92" s="32" t="n">
        <f aca="false">輸入與假設!$C$87+輸入與假設!$C$89+(輸入與假設!$C$88+輸入與假設!$C$90-輸入與假設!$C$87-輸入與假設!$C$89)*0/4</f>
        <v>0.845075</v>
      </c>
      <c r="D92" s="32" t="n">
        <f aca="false">輸入與假設!$C$87+輸入與假設!$C$89+(輸入與假設!$C$88+輸入與假設!$C$90-輸入與假設!$C$87-輸入與假設!$C$89)*1/4</f>
        <v>0.790477</v>
      </c>
      <c r="E92" s="32" t="n">
        <f aca="false">輸入與假設!$C$87+輸入與假設!$C$89+(輸入與假設!$C$88+輸入與假設!$C$90-輸入與假設!$C$87-輸入與假設!$C$89)*2/4</f>
        <v>0.735879</v>
      </c>
      <c r="F92" s="32" t="n">
        <f aca="false">輸入與假設!$C$87+輸入與假設!$C$89+(輸入與假設!$C$88+輸入與假設!$C$90-輸入與假設!$C$87-輸入與假設!$C$89)*3/4</f>
        <v>0.681281</v>
      </c>
      <c r="G92" s="32" t="n">
        <f aca="false">輸入與假設!$C$87+輸入與假設!$C$89+(輸入與假設!$C$88+輸入與假設!$C$90-輸入與假設!$C$87-輸入與假設!$C$89)*4/4</f>
        <v>0.626683</v>
      </c>
      <c r="I92" s="6" t="s">
        <v>286</v>
      </c>
    </row>
    <row r="93" customFormat="false" ht="15" hidden="false" customHeight="false" outlineLevel="1" collapsed="false">
      <c r="A93" s="4" t="s">
        <v>287</v>
      </c>
      <c r="B93" s="11" t="s">
        <v>42</v>
      </c>
      <c r="C93" s="32" t="n">
        <f aca="false">C92-各期收支!C16/MAX(0.01,運營_產能與收入!C37)</f>
        <v>0.651999797057085</v>
      </c>
      <c r="D93" s="32" t="n">
        <f aca="false">D92-各期收支!D16/MAX(0.01,運營_產能與收入!D37)</f>
        <v>0.628044024840114</v>
      </c>
      <c r="E93" s="32" t="n">
        <f aca="false">E92-各期收支!E16/MAX(0.01,運營_產能與收入!E37)</f>
        <v>0.575183391279048</v>
      </c>
      <c r="F93" s="32" t="n">
        <f aca="false">F92-各期收支!F16/MAX(0.01,運營_產能與收入!F37)</f>
        <v>0.521113060777058</v>
      </c>
      <c r="G93" s="32" t="n">
        <f aca="false">G92-各期收支!G16/MAX(0.01,運營_產能與收入!G37)</f>
        <v>0.469999551506301</v>
      </c>
      <c r="I93" s="6" t="s">
        <v>288</v>
      </c>
    </row>
    <row r="94" customFormat="false" ht="15" hidden="false" customHeight="false" outlineLevel="1" collapsed="false">
      <c r="A94" s="3" t="s">
        <v>289</v>
      </c>
      <c r="B94" s="11" t="s">
        <v>57</v>
      </c>
      <c r="C94" s="33" t="n">
        <f aca="false">輸入與假設!C$50*運營_產能與收入!C38</f>
        <v>0</v>
      </c>
      <c r="D94" s="33" t="n">
        <f aca="false">輸入與假設!D$50*運營_產能與收入!D38</f>
        <v>0</v>
      </c>
      <c r="E94" s="33" t="n">
        <f aca="false">輸入與假設!E$50*運營_產能與收入!E38</f>
        <v>0</v>
      </c>
      <c r="F94" s="33" t="n">
        <f aca="false">輸入與假設!F$50*運營_產能與收入!F38</f>
        <v>0</v>
      </c>
      <c r="G94" s="33" t="n">
        <f aca="false">輸入與假設!G$50*運營_產能與收入!G38</f>
        <v>0</v>
      </c>
      <c r="I94" s="6" t="s">
        <v>290</v>
      </c>
    </row>
    <row r="95" customFormat="false" ht="15" hidden="false" customHeight="false" outlineLevel="1" collapsed="true">
      <c r="A95" s="19" t="s">
        <v>291</v>
      </c>
      <c r="B95" s="20"/>
      <c r="C95" s="20"/>
      <c r="D95" s="20"/>
      <c r="E95" s="20"/>
      <c r="F95" s="20"/>
      <c r="G95" s="20"/>
      <c r="H95" s="20"/>
    </row>
    <row r="96" customFormat="false" ht="15" hidden="true" customHeight="false" outlineLevel="2" collapsed="false">
      <c r="A96" s="3" t="s">
        <v>292</v>
      </c>
      <c r="B96" s="6"/>
      <c r="C96" s="21" t="n">
        <v>0</v>
      </c>
      <c r="I96" s="11" t="s">
        <v>293</v>
      </c>
    </row>
    <row r="97" customFormat="false" ht="15" hidden="true" customHeight="false" outlineLevel="2" collapsed="false">
      <c r="A97" s="3" t="s">
        <v>294</v>
      </c>
      <c r="B97" s="11" t="s">
        <v>295</v>
      </c>
      <c r="C97" s="21" t="n">
        <v>60</v>
      </c>
      <c r="D97" s="21" t="n">
        <v>62</v>
      </c>
      <c r="E97" s="21" t="n">
        <v>64</v>
      </c>
      <c r="F97" s="21" t="n">
        <v>66</v>
      </c>
      <c r="G97" s="21" t="n">
        <v>68</v>
      </c>
      <c r="I97" s="11" t="s">
        <v>296</v>
      </c>
    </row>
    <row r="98" customFormat="false" ht="15" hidden="true" customHeight="false" outlineLevel="2" collapsed="false">
      <c r="A98" s="4" t="s">
        <v>297</v>
      </c>
      <c r="B98" s="6"/>
      <c r="C98" s="35" t="n">
        <v>1.2</v>
      </c>
      <c r="D98" s="35" t="n">
        <v>1.2</v>
      </c>
      <c r="E98" s="35" t="n">
        <v>1.2</v>
      </c>
      <c r="F98" s="35" t="n">
        <v>1.2</v>
      </c>
      <c r="G98" s="35" t="n">
        <v>1.2</v>
      </c>
      <c r="I98" s="11" t="s">
        <v>296</v>
      </c>
    </row>
    <row r="99" customFormat="false" ht="15" hidden="true" customHeight="false" outlineLevel="2" collapsed="false">
      <c r="A99" s="3" t="s">
        <v>298</v>
      </c>
      <c r="B99" s="11" t="s">
        <v>299</v>
      </c>
      <c r="C99" s="35" t="n">
        <v>0.15</v>
      </c>
      <c r="D99" s="35" t="n">
        <v>0.15</v>
      </c>
      <c r="E99" s="35" t="n">
        <v>0.16</v>
      </c>
      <c r="F99" s="35" t="n">
        <v>0.16</v>
      </c>
      <c r="G99" s="35" t="n">
        <v>0.17</v>
      </c>
      <c r="I99" s="11" t="s">
        <v>296</v>
      </c>
    </row>
    <row r="101" customFormat="false" ht="15" hidden="false" customHeight="false" outlineLevel="0" collapsed="false">
      <c r="A101" s="7" t="s">
        <v>300</v>
      </c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1" collapsed="false">
      <c r="A102" s="3" t="s">
        <v>301</v>
      </c>
      <c r="B102" s="11" t="s">
        <v>42</v>
      </c>
      <c r="C102" s="24" t="n">
        <v>0.35</v>
      </c>
      <c r="I102" s="6" t="s">
        <v>302</v>
      </c>
    </row>
    <row r="103" customFormat="false" ht="15" hidden="false" customHeight="false" outlineLevel="1" collapsed="false">
      <c r="A103" s="4" t="s">
        <v>303</v>
      </c>
      <c r="B103" s="11" t="s">
        <v>149</v>
      </c>
      <c r="C103" s="22" t="n">
        <f aca="false">CHOOSE(輸入與假設!$C$5,I11,I14,I17)</f>
        <v>0</v>
      </c>
      <c r="I103" s="6" t="s">
        <v>304</v>
      </c>
    </row>
    <row r="104" customFormat="false" ht="15" hidden="false" customHeight="false" outlineLevel="1" collapsed="false">
      <c r="A104" s="4" t="s">
        <v>305</v>
      </c>
      <c r="B104" s="11" t="s">
        <v>57</v>
      </c>
      <c r="C104" s="25" t="n">
        <v>90</v>
      </c>
      <c r="I104" s="6" t="s">
        <v>306</v>
      </c>
    </row>
    <row r="105" customFormat="false" ht="15" hidden="false" customHeight="false" outlineLevel="1" collapsed="false">
      <c r="A105" s="4" t="s">
        <v>307</v>
      </c>
      <c r="B105" s="6" t="s">
        <v>187</v>
      </c>
      <c r="C105" s="21" t="n">
        <v>6</v>
      </c>
      <c r="I105" s="6" t="s">
        <v>308</v>
      </c>
    </row>
    <row r="106" customFormat="false" ht="15" hidden="false" customHeight="false" outlineLevel="1" collapsed="false">
      <c r="A106" s="4" t="s">
        <v>309</v>
      </c>
      <c r="B106" s="11" t="s">
        <v>57</v>
      </c>
      <c r="C106" s="25" t="n">
        <v>75.74</v>
      </c>
      <c r="I106" s="6" t="s">
        <v>310</v>
      </c>
    </row>
    <row r="107" customFormat="false" ht="15" hidden="false" customHeight="false" outlineLevel="1" collapsed="false">
      <c r="A107" s="3" t="s">
        <v>311</v>
      </c>
      <c r="B107" s="11" t="s">
        <v>42</v>
      </c>
      <c r="C107" s="24" t="n">
        <v>1</v>
      </c>
      <c r="I107" s="6" t="s">
        <v>312</v>
      </c>
    </row>
    <row r="108" customFormat="false" ht="15" hidden="false" customHeight="false" outlineLevel="1" collapsed="false">
      <c r="A108" s="14" t="s">
        <v>51</v>
      </c>
      <c r="B108" s="14" t="s">
        <v>52</v>
      </c>
      <c r="C108" s="28" t="s">
        <v>53</v>
      </c>
      <c r="D108" s="28" t="s">
        <v>54</v>
      </c>
      <c r="E108" s="28" t="s">
        <v>55</v>
      </c>
      <c r="F108" s="28" t="s">
        <v>145</v>
      </c>
      <c r="G108" s="28" t="s">
        <v>146</v>
      </c>
      <c r="I108" s="14" t="s">
        <v>209</v>
      </c>
    </row>
    <row r="109" customFormat="false" ht="15" hidden="false" customHeight="false" outlineLevel="1" collapsed="false">
      <c r="A109" s="3" t="s">
        <v>313</v>
      </c>
      <c r="B109" s="11" t="s">
        <v>299</v>
      </c>
      <c r="C109" s="26" t="n">
        <v>37.45</v>
      </c>
      <c r="D109" s="26" t="n">
        <v>37.59</v>
      </c>
      <c r="E109" s="26" t="n">
        <v>37.59</v>
      </c>
      <c r="F109" s="26" t="n">
        <v>37.59</v>
      </c>
      <c r="G109" s="26" t="n">
        <v>37.59</v>
      </c>
      <c r="I109" s="11" t="s">
        <v>314</v>
      </c>
    </row>
    <row r="110" customFormat="false" ht="15" hidden="false" customHeight="false" outlineLevel="1" collapsed="false">
      <c r="A110" s="3" t="s">
        <v>315</v>
      </c>
      <c r="B110" s="11" t="s">
        <v>42</v>
      </c>
      <c r="C110" s="24" t="n">
        <v>1</v>
      </c>
      <c r="I110" s="6" t="s">
        <v>316</v>
      </c>
    </row>
    <row r="111" customFormat="false" ht="15" hidden="false" customHeight="false" outlineLevel="1" collapsed="false">
      <c r="A111" s="3" t="s">
        <v>317</v>
      </c>
      <c r="B111" s="11" t="s">
        <v>42</v>
      </c>
      <c r="C111" s="24" t="n">
        <v>0.243</v>
      </c>
      <c r="I111" s="11" t="s">
        <v>318</v>
      </c>
    </row>
    <row r="112" customFormat="false" ht="15" hidden="false" customHeight="false" outlineLevel="1" collapsed="false">
      <c r="A112" s="3" t="s">
        <v>319</v>
      </c>
      <c r="B112" s="6" t="s">
        <v>187</v>
      </c>
      <c r="C112" s="26" t="n">
        <v>5</v>
      </c>
      <c r="I112" s="6" t="s">
        <v>320</v>
      </c>
    </row>
    <row r="113" customFormat="false" ht="15" hidden="false" customHeight="false" outlineLevel="1" collapsed="false">
      <c r="A113" s="4" t="s">
        <v>321</v>
      </c>
      <c r="B113" s="11" t="s">
        <v>57</v>
      </c>
      <c r="C113" s="25" t="n">
        <v>15.955</v>
      </c>
      <c r="I113" s="6" t="s">
        <v>322</v>
      </c>
    </row>
    <row r="114" customFormat="false" ht="15" hidden="false" customHeight="false" outlineLevel="1" collapsed="false">
      <c r="A114" s="3" t="s">
        <v>323</v>
      </c>
      <c r="B114" s="11" t="s">
        <v>42</v>
      </c>
      <c r="C114" s="24" t="n">
        <v>0.0811</v>
      </c>
      <c r="I114" s="6" t="s">
        <v>324</v>
      </c>
    </row>
    <row r="115" customFormat="false" ht="15" hidden="false" customHeight="false" outlineLevel="1" collapsed="false">
      <c r="A115" s="14" t="s">
        <v>51</v>
      </c>
      <c r="B115" s="14" t="s">
        <v>52</v>
      </c>
      <c r="C115" s="28" t="s">
        <v>53</v>
      </c>
      <c r="D115" s="28" t="s">
        <v>54</v>
      </c>
      <c r="E115" s="28" t="s">
        <v>55</v>
      </c>
      <c r="F115" s="28" t="s">
        <v>145</v>
      </c>
      <c r="G115" s="28" t="s">
        <v>146</v>
      </c>
      <c r="I115" s="14" t="s">
        <v>209</v>
      </c>
    </row>
    <row r="116" customFormat="false" ht="15" hidden="false" customHeight="false" outlineLevel="1" collapsed="false">
      <c r="A116" s="3" t="s">
        <v>325</v>
      </c>
      <c r="B116" s="11" t="s">
        <v>42</v>
      </c>
      <c r="C116" s="32" t="n">
        <f aca="false">輸入與假設!$C$110*輸入與假設!$C$111</f>
        <v>0.243</v>
      </c>
      <c r="D116" s="32" t="n">
        <f aca="false">輸入與假設!$C$110*輸入與假設!$C$111</f>
        <v>0.243</v>
      </c>
      <c r="E116" s="32" t="n">
        <f aca="false">輸入與假設!$C$110*輸入與假設!$C$111</f>
        <v>0.243</v>
      </c>
      <c r="F116" s="32" t="n">
        <f aca="false">輸入與假設!$C$110*輸入與假設!$C$111</f>
        <v>0.243</v>
      </c>
      <c r="G116" s="32" t="n">
        <f aca="false">輸入與假設!$C$110*輸入與假設!$C$111</f>
        <v>0.243</v>
      </c>
      <c r="I116" s="6" t="s">
        <v>326</v>
      </c>
    </row>
    <row r="117" customFormat="false" ht="15" hidden="false" customHeight="false" outlineLevel="1" collapsed="false">
      <c r="A117" s="3" t="s">
        <v>327</v>
      </c>
      <c r="B117" s="11" t="s">
        <v>57</v>
      </c>
      <c r="C117" s="25" t="n">
        <v>3.839</v>
      </c>
      <c r="D117" s="25" t="n">
        <v>4.987</v>
      </c>
      <c r="E117" s="25" t="n">
        <v>5.02</v>
      </c>
      <c r="F117" s="25" t="n">
        <v>5.056</v>
      </c>
      <c r="G117" s="25" t="n">
        <v>5.06</v>
      </c>
      <c r="I117" s="6" t="s">
        <v>328</v>
      </c>
    </row>
    <row r="118" customFormat="false" ht="15" hidden="false" customHeight="false" outlineLevel="1" collapsed="false">
      <c r="A118" s="3" t="s">
        <v>329</v>
      </c>
      <c r="B118" s="6" t="s">
        <v>182</v>
      </c>
      <c r="C118" s="22" t="n">
        <f aca="false">ROUND(4*SUM($C$41:C$41),0)</f>
        <v>3</v>
      </c>
      <c r="D118" s="22" t="n">
        <f aca="false">ROUND(4*SUM($C$41:D$41),0)</f>
        <v>7</v>
      </c>
      <c r="E118" s="22" t="n">
        <f aca="false">ROUND(4*SUM($C$41:E$41),0)</f>
        <v>11</v>
      </c>
      <c r="F118" s="22" t="n">
        <f aca="false">ROUND(4*SUM($C$41:F$41),0)</f>
        <v>15</v>
      </c>
      <c r="G118" s="22" t="n">
        <f aca="false">ROUND(4*SUM($C$41:G$41),0)</f>
        <v>19</v>
      </c>
      <c r="I118" s="6" t="s">
        <v>330</v>
      </c>
    </row>
    <row r="119" customFormat="false" ht="15" hidden="false" customHeight="false" outlineLevel="1" collapsed="false">
      <c r="A119" s="3" t="s">
        <v>331</v>
      </c>
      <c r="B119" s="11" t="s">
        <v>57</v>
      </c>
      <c r="C119" s="33" t="n">
        <f aca="false">輸入與假設!$C$26/輸入與假設!$C$28/輸入與假設!$C$29/4*((MIN(MAX(0,C118-輸入與假設!$C$27),輸入與假設!$C$28)*(MIN(MAX(0,C118-輸入與假設!$C$27),輸入與假設!$C$28)+1)/2+輸入與假設!$C$28*MAX(0,MAX(0,C118-輸入與假設!$C$27)-輸入與假設!$C$28))-(MIN(MAX(0,0-輸入與假設!$C$27),輸入與假設!$C$28)*(MIN(MAX(0,0-輸入與假設!$C$27),輸入與假設!$C$28)+1)/2+輸入與假設!$C$28*MAX(0,MAX(0,0-輸入與假設!$C$27)-輸入與假設!$C$28)))</f>
        <v>2.31016042780749</v>
      </c>
      <c r="D119" s="33" t="n">
        <f aca="false">輸入與假設!$C$26/輸入與假設!$C$28/輸入與假設!$C$29/4*((MIN(MAX(0,D118-輸入與假設!$C$27),輸入與假設!$C$28)*(MIN(MAX(0,D118-輸入與假設!$C$27),輸入與假設!$C$28)+1)/2+輸入與假設!$C$28*MAX(0,MAX(0,D118-輸入與假設!$C$27)-輸入與假設!$C$28))-(MIN(MAX(0,C118-輸入與假設!$C$27),輸入與假設!$C$28)*(MIN(MAX(0,C118-輸入與假設!$C$27),輸入與假設!$C$28)+1)/2+輸入與假設!$C$28*MAX(0,MAX(0,C118-輸入與假設!$C$27)-輸入與假設!$C$28)))</f>
        <v>8.47058823529412</v>
      </c>
      <c r="E119" s="33" t="n">
        <f aca="false">輸入與假設!$C$26/輸入與假設!$C$28/輸入與假設!$C$29/4*((MIN(MAX(0,E118-輸入與假設!$C$27),輸入與假設!$C$28)*(MIN(MAX(0,E118-輸入與假設!$C$27),輸入與假設!$C$28)+1)/2+輸入與假設!$C$28*MAX(0,MAX(0,E118-輸入與假設!$C$27)-輸入與假設!$C$28))-(MIN(MAX(0,D118-輸入與假設!$C$27),輸入與假設!$C$28)*(MIN(MAX(0,D118-輸入與假設!$C$27),輸入與假設!$C$28)+1)/2+輸入與假設!$C$28*MAX(0,MAX(0,D118-輸入與假設!$C$27)-輸入與假設!$C$28)))</f>
        <v>14.6310160427808</v>
      </c>
      <c r="F119" s="33" t="n">
        <f aca="false">輸入與假設!$C$26/輸入與假設!$C$28/輸入與假設!$C$29/4*((MIN(MAX(0,F118-輸入與假設!$C$27),輸入與假設!$C$28)*(MIN(MAX(0,F118-輸入與假設!$C$27),輸入與假設!$C$28)+1)/2+輸入與假設!$C$28*MAX(0,MAX(0,F118-輸入與假設!$C$27)-輸入與假設!$C$28))-(MIN(MAX(0,E118-輸入與假設!$C$27),輸入與假設!$C$28)*(MIN(MAX(0,E118-輸入與假設!$C$27),輸入與假設!$C$28)+1)/2+輸入與假設!$C$28*MAX(0,MAX(0,E118-輸入與假設!$C$27)-輸入與假設!$C$28)))</f>
        <v>16.9411764705882</v>
      </c>
      <c r="G119" s="33" t="n">
        <f aca="false">輸入與假設!$C$26/輸入與假設!$C$28/輸入與假設!$C$29/4*((MIN(MAX(0,G118-輸入與假設!$C$27),輸入與假設!$C$28)*(MIN(MAX(0,G118-輸入與假設!$C$27),輸入與假設!$C$28)+1)/2+輸入與假設!$C$28*MAX(0,MAX(0,G118-輸入與假設!$C$27)-輸入與假設!$C$28))-(MIN(MAX(0,F118-輸入與假設!$C$27),輸入與假設!$C$28)*(MIN(MAX(0,F118-輸入與假設!$C$27),輸入與假設!$C$28)+1)/2+輸入與假設!$C$28*MAX(0,MAX(0,F118-輸入與假設!$C$27)-輸入與假設!$C$28)))</f>
        <v>16.9411764705882</v>
      </c>
      <c r="I119" s="6" t="s">
        <v>332</v>
      </c>
    </row>
    <row r="120" customFormat="false" ht="15" hidden="false" customHeight="false" outlineLevel="1" collapsed="false">
      <c r="A120" s="4" t="s">
        <v>333</v>
      </c>
      <c r="B120" s="11" t="s">
        <v>57</v>
      </c>
      <c r="C120" s="25" t="n">
        <v>0</v>
      </c>
      <c r="D120" s="25" t="n">
        <v>0</v>
      </c>
      <c r="E120" s="25" t="n">
        <v>0</v>
      </c>
      <c r="F120" s="25" t="n">
        <v>0</v>
      </c>
      <c r="G120" s="25" t="n">
        <v>0</v>
      </c>
      <c r="I120" s="6" t="s">
        <v>334</v>
      </c>
    </row>
    <row r="121" customFormat="false" ht="15" hidden="false" customHeight="false" outlineLevel="1" collapsed="false">
      <c r="A121" s="4" t="s">
        <v>335</v>
      </c>
      <c r="B121" s="11" t="s">
        <v>57</v>
      </c>
      <c r="C121" s="25" t="n">
        <v>0</v>
      </c>
      <c r="D121" s="25" t="n">
        <v>0</v>
      </c>
      <c r="E121" s="25" t="n">
        <v>0</v>
      </c>
      <c r="F121" s="25" t="n">
        <v>0</v>
      </c>
      <c r="G121" s="25" t="n">
        <v>0</v>
      </c>
      <c r="I121" s="6" t="s">
        <v>336</v>
      </c>
    </row>
    <row r="122" customFormat="false" ht="15" hidden="false" customHeight="false" outlineLevel="1" collapsed="false">
      <c r="A122" s="4" t="s">
        <v>337</v>
      </c>
      <c r="B122" s="11" t="s">
        <v>57</v>
      </c>
      <c r="C122" s="33" t="n">
        <f aca="false">C120+C121</f>
        <v>0</v>
      </c>
      <c r="D122" s="33" t="n">
        <f aca="false">D120+D121</f>
        <v>0</v>
      </c>
      <c r="E122" s="33" t="n">
        <f aca="false">E120+E121</f>
        <v>0</v>
      </c>
      <c r="F122" s="33" t="n">
        <f aca="false">F120+F121</f>
        <v>0</v>
      </c>
      <c r="G122" s="33" t="n">
        <f aca="false">G120+G121</f>
        <v>0</v>
      </c>
      <c r="I122" s="6" t="s">
        <v>338</v>
      </c>
    </row>
    <row r="123" customFormat="false" ht="15" hidden="false" customHeight="false" outlineLevel="1" collapsed="true">
      <c r="A123" s="31" t="s">
        <v>339</v>
      </c>
      <c r="B123" s="20"/>
      <c r="C123" s="20"/>
      <c r="D123" s="20"/>
      <c r="E123" s="20"/>
      <c r="F123" s="20"/>
      <c r="G123" s="20"/>
      <c r="H123" s="20"/>
    </row>
    <row r="124" customFormat="false" ht="15" hidden="true" customHeight="false" outlineLevel="2" collapsed="false">
      <c r="A124" s="3" t="s">
        <v>340</v>
      </c>
      <c r="B124" s="11" t="s">
        <v>149</v>
      </c>
      <c r="C124" s="22" t="n">
        <f aca="false">輸入與假設!$C$35</f>
        <v>1835</v>
      </c>
      <c r="D124" s="22" t="n">
        <f aca="false">C43</f>
        <v>4668</v>
      </c>
      <c r="E124" s="22" t="n">
        <f aca="false">D43</f>
        <v>7501</v>
      </c>
      <c r="F124" s="22" t="n">
        <f aca="false">E43</f>
        <v>8778</v>
      </c>
      <c r="G124" s="22" t="n">
        <f aca="false">F43</f>
        <v>8778</v>
      </c>
      <c r="I124" s="11" t="s">
        <v>341</v>
      </c>
    </row>
    <row r="125" customFormat="false" ht="15" hidden="true" customHeight="false" outlineLevel="2" collapsed="false">
      <c r="A125" s="3" t="s">
        <v>342</v>
      </c>
      <c r="B125" s="11" t="s">
        <v>149</v>
      </c>
      <c r="C125" s="22" t="n">
        <f aca="false">C43-C124</f>
        <v>2833</v>
      </c>
      <c r="D125" s="22" t="n">
        <f aca="false">D43-D124</f>
        <v>2833</v>
      </c>
      <c r="E125" s="22" t="n">
        <f aca="false">E43-E124</f>
        <v>1277</v>
      </c>
      <c r="F125" s="22" t="n">
        <f aca="false">F43-F124</f>
        <v>0</v>
      </c>
      <c r="G125" s="22" t="n">
        <f aca="false">G43-G124</f>
        <v>0</v>
      </c>
    </row>
    <row r="126" customFormat="false" ht="15" hidden="true" customHeight="false" outlineLevel="2" collapsed="false">
      <c r="A126" s="3" t="s">
        <v>343</v>
      </c>
      <c r="B126" s="11" t="s">
        <v>149</v>
      </c>
      <c r="C126" s="22" t="n">
        <f aca="false">D43-C43</f>
        <v>2833</v>
      </c>
      <c r="D126" s="22" t="n">
        <f aca="false">E43-D43</f>
        <v>1277</v>
      </c>
      <c r="E126" s="22" t="n">
        <f aca="false">F43-E43</f>
        <v>0</v>
      </c>
      <c r="F126" s="22" t="n">
        <f aca="false">G43-F43</f>
        <v>0</v>
      </c>
      <c r="G126" s="22" t="n">
        <f aca="false">輸入與假設!$C$103</f>
        <v>0</v>
      </c>
    </row>
    <row r="127" customFormat="false" ht="15" hidden="true" customHeight="false" outlineLevel="2" collapsed="false">
      <c r="A127" s="3" t="s">
        <v>344</v>
      </c>
      <c r="B127" s="11" t="s">
        <v>57</v>
      </c>
      <c r="C127" s="33" t="n">
        <f aca="false">(C125*(1-輸入與假設!$C$102)+C126*輸入與假設!$C$102)*C109*輸入與假設!$C$107/1000</f>
        <v>106.09585</v>
      </c>
      <c r="D127" s="33" t="n">
        <f aca="false">(D125*(1-輸入與假設!$C$102)+D126*輸入與假設!$C$102)*D109*輸入與假設!$C$107/1000</f>
        <v>86.020956</v>
      </c>
      <c r="E127" s="33" t="n">
        <f aca="false">(E125*(1-輸入與假設!$C$102)+E126*輸入與假設!$C$102)*E109*輸入與假設!$C$107/1000</f>
        <v>31.2015795</v>
      </c>
      <c r="F127" s="33" t="n">
        <f aca="false">(F125*(1-輸入與假設!$C$102)+F126*輸入與假設!$C$102)*F109*輸入與假設!$C$107/1000</f>
        <v>0</v>
      </c>
      <c r="G127" s="33" t="n">
        <f aca="false">(G125*(1-輸入與假設!$C$102)+G126*輸入與假設!$C$102)*G109*輸入與假設!$C$107/1000</f>
        <v>0</v>
      </c>
      <c r="I127" s="6" t="s">
        <v>345</v>
      </c>
    </row>
    <row r="128" customFormat="false" ht="15" hidden="true" customHeight="false" outlineLevel="2" collapsed="false">
      <c r="A128" s="3" t="s">
        <v>346</v>
      </c>
      <c r="B128" s="11" t="s">
        <v>57</v>
      </c>
      <c r="C128" s="33" t="n">
        <f aca="false">MAX(C127,輸入與假設!$C$104)-輸入與假設!$C$243</f>
        <v>77.59685</v>
      </c>
      <c r="D128" s="33" t="n">
        <f aca="false">D127</f>
        <v>86.020956</v>
      </c>
      <c r="E128" s="33" t="n">
        <f aca="false">E127</f>
        <v>31.2015795</v>
      </c>
      <c r="F128" s="33" t="n">
        <f aca="false">F127</f>
        <v>0</v>
      </c>
      <c r="G128" s="33" t="n">
        <f aca="false">G127</f>
        <v>0</v>
      </c>
      <c r="I128" s="11" t="s">
        <v>347</v>
      </c>
    </row>
    <row r="129" customFormat="false" ht="15" hidden="true" customHeight="false" outlineLevel="2" collapsed="false">
      <c r="A129" s="3" t="s">
        <v>348</v>
      </c>
      <c r="B129" s="11" t="s">
        <v>57</v>
      </c>
      <c r="C129" s="33" t="n">
        <f aca="false">IF(2027-輸入與假設!$C$105=2026,輸入與假設!$C$35,0)*C109*輸入與假設!$C$107/1000</f>
        <v>0</v>
      </c>
      <c r="D129" s="33" t="n">
        <f aca="false">IF(2028-輸入與假設!$C$105=2026,輸入與假設!$C$35,0)*D109*輸入與假設!$C$107/1000</f>
        <v>0</v>
      </c>
      <c r="E129" s="33" t="n">
        <f aca="false">IF(2029-輸入與假設!$C$105=2026,輸入與假設!$C$35,0)*E109*輸入與假設!$C$107/1000</f>
        <v>0</v>
      </c>
      <c r="F129" s="33" t="n">
        <f aca="false">IF(2030-輸入與假設!$C$105=2026,輸入與假設!$C$35,0)*F109*輸入與假設!$C$107/1000</f>
        <v>0</v>
      </c>
      <c r="G129" s="33" t="n">
        <f aca="false">IF(2031-輸入與假設!$C$105=2026,輸入與假設!$C$35,0)*G109*輸入與假設!$C$107/1000</f>
        <v>0</v>
      </c>
      <c r="I129" s="6" t="s">
        <v>349</v>
      </c>
    </row>
    <row r="130" customFormat="false" ht="15" hidden="true" customHeight="false" outlineLevel="2" collapsed="false">
      <c r="A130" s="3" t="s">
        <v>350</v>
      </c>
      <c r="B130" s="11" t="s">
        <v>57</v>
      </c>
      <c r="C130" s="33" t="n">
        <f aca="false">(C124+C43)/2*C109*輸入與假設!$C$107/1000/輸入與假設!$C$105*C41</f>
        <v>15.221084375</v>
      </c>
      <c r="D130" s="33" t="n">
        <f aca="false">(D124+D43)/2*D109*輸入與假設!$C$107/1000/輸入與假設!$C$105*D41</f>
        <v>38.1193925</v>
      </c>
      <c r="E130" s="33" t="n">
        <f aca="false">(E124+E43)/2*E109*輸入與假設!$C$107/1000/輸入與假設!$C$105*E41</f>
        <v>50.9939675</v>
      </c>
      <c r="F130" s="33" t="n">
        <f aca="false">(F124+F43)/2*F109*輸入與假設!$C$107/1000/輸入與假設!$C$105*F41</f>
        <v>54.99417</v>
      </c>
      <c r="G130" s="33" t="n">
        <f aca="false">(G124+G43)/2*G109*輸入與假設!$C$107/1000/輸入與假設!$C$105*G41</f>
        <v>54.99417</v>
      </c>
      <c r="I130" s="6" t="s">
        <v>351</v>
      </c>
    </row>
    <row r="131" customFormat="false" ht="15" hidden="true" customHeight="false" outlineLevel="2" collapsed="false">
      <c r="A131" s="3" t="s">
        <v>352</v>
      </c>
      <c r="B131" s="6"/>
      <c r="C131" s="22" t="n">
        <f aca="false">IF(C125&lt;=0,1,0)</f>
        <v>0</v>
      </c>
      <c r="D131" s="22" t="n">
        <f aca="false">IF(D125&lt;=0,1,0)</f>
        <v>0</v>
      </c>
      <c r="E131" s="22" t="n">
        <f aca="false">IF(E125&lt;=0,1,0)</f>
        <v>0</v>
      </c>
      <c r="F131" s="22" t="n">
        <f aca="false">IF(F125&lt;=0,1,0)</f>
        <v>1</v>
      </c>
      <c r="G131" s="22" t="n">
        <f aca="false">1</f>
        <v>1</v>
      </c>
      <c r="I131" s="6" t="s">
        <v>353</v>
      </c>
    </row>
    <row r="132" customFormat="false" ht="15" hidden="true" customHeight="false" outlineLevel="2" collapsed="false">
      <c r="A132" s="4" t="s">
        <v>354</v>
      </c>
      <c r="B132" s="11" t="s">
        <v>57</v>
      </c>
      <c r="C132" s="33" t="n">
        <f aca="false">IF(C131=1,C130,C129)</f>
        <v>0</v>
      </c>
      <c r="D132" s="33" t="n">
        <f aca="false">IF(D131=1,D130,D129)</f>
        <v>0</v>
      </c>
      <c r="E132" s="33" t="n">
        <f aca="false">IF(E131=1,E130,E129)</f>
        <v>0</v>
      </c>
      <c r="F132" s="33" t="n">
        <f aca="false">IF(F131=1,F130,F129)</f>
        <v>54.99417</v>
      </c>
      <c r="G132" s="33" t="n">
        <f aca="false">IF(G131=1,G130,G129)</f>
        <v>54.99417</v>
      </c>
      <c r="I132" s="6" t="s">
        <v>355</v>
      </c>
    </row>
    <row r="133" customFormat="false" ht="15" hidden="true" customHeight="false" outlineLevel="2" collapsed="false">
      <c r="A133" s="3" t="s">
        <v>356</v>
      </c>
      <c r="B133" s="11" t="s">
        <v>57</v>
      </c>
      <c r="C133" s="33" t="n">
        <f aca="false">輸入與假設!$C$106</f>
        <v>75.74</v>
      </c>
      <c r="D133" s="33" t="n">
        <f aca="false">C133+C128</f>
        <v>153.33685</v>
      </c>
      <c r="E133" s="33" t="n">
        <f aca="false">D133+D128</f>
        <v>239.357806</v>
      </c>
      <c r="F133" s="33" t="n">
        <f aca="false">E133+E128</f>
        <v>270.5593855</v>
      </c>
      <c r="G133" s="33" t="n">
        <f aca="false">F133+F128</f>
        <v>270.5593855</v>
      </c>
      <c r="I133" s="6" t="s">
        <v>357</v>
      </c>
    </row>
    <row r="134" customFormat="false" ht="15" hidden="false" customHeight="false" outlineLevel="1" collapsed="false">
      <c r="A134" s="31" t="s">
        <v>358</v>
      </c>
      <c r="B134" s="20"/>
      <c r="C134" s="20"/>
      <c r="D134" s="20"/>
      <c r="E134" s="20"/>
      <c r="F134" s="20"/>
      <c r="G134" s="20"/>
      <c r="H134" s="20"/>
    </row>
    <row r="135" customFormat="false" ht="15" hidden="false" customHeight="false" outlineLevel="2" collapsed="false">
      <c r="A135" s="3" t="s">
        <v>359</v>
      </c>
      <c r="B135" s="11" t="s">
        <v>57</v>
      </c>
      <c r="C135" s="36" t="n">
        <f aca="false">C128+C132</f>
        <v>77.59685</v>
      </c>
      <c r="D135" s="36" t="n">
        <f aca="false">D128+D132</f>
        <v>86.020956</v>
      </c>
      <c r="E135" s="36" t="n">
        <f aca="false">E128+E132</f>
        <v>31.2015795</v>
      </c>
      <c r="F135" s="36" t="n">
        <f aca="false">F128+F132</f>
        <v>54.99417</v>
      </c>
      <c r="G135" s="36" t="n">
        <f aca="false">G128+G132</f>
        <v>54.99417</v>
      </c>
      <c r="I135" s="6" t="s">
        <v>360</v>
      </c>
    </row>
    <row r="136" customFormat="false" ht="15" hidden="false" customHeight="false" outlineLevel="2" collapsed="false">
      <c r="A136" s="4" t="s">
        <v>361</v>
      </c>
      <c r="B136" s="11" t="s">
        <v>57</v>
      </c>
      <c r="C136" s="36" t="n">
        <f aca="false">(C133+0.5*C128)/輸入與假設!$C$105*C41</f>
        <v>14.317303125</v>
      </c>
      <c r="D136" s="36" t="n">
        <f aca="false">(D133+0.5*D128)/輸入與假設!$C$105*D41</f>
        <v>32.7245546666667</v>
      </c>
      <c r="E136" s="36" t="n">
        <f aca="false">(E133+0.5*E128)/輸入與假設!$C$105*E41</f>
        <v>42.4930992916667</v>
      </c>
      <c r="F136" s="36" t="n">
        <f aca="false">(F133+0.5*F128)/輸入與假設!$C$105*F41</f>
        <v>45.0932309166667</v>
      </c>
      <c r="G136" s="36" t="n">
        <f aca="false">(G133+0.5*G128)/輸入與假設!$C$105*G41</f>
        <v>45.0932309166667</v>
      </c>
      <c r="I136" s="6" t="s">
        <v>362</v>
      </c>
    </row>
    <row r="138" customFormat="false" ht="15" hidden="false" customHeight="false" outlineLevel="0" collapsed="false">
      <c r="A138" s="7" t="s">
        <v>363</v>
      </c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1" collapsed="false">
      <c r="A139" s="3" t="s">
        <v>364</v>
      </c>
      <c r="B139" s="11" t="s">
        <v>57</v>
      </c>
      <c r="C139" s="25" t="n">
        <v>36.369</v>
      </c>
      <c r="I139" s="6" t="s">
        <v>365</v>
      </c>
    </row>
    <row r="140" customFormat="false" ht="15" hidden="false" customHeight="false" outlineLevel="1" collapsed="false">
      <c r="A140" s="3" t="s">
        <v>366</v>
      </c>
      <c r="B140" s="11" t="s">
        <v>57</v>
      </c>
      <c r="C140" s="25" t="n">
        <v>0</v>
      </c>
      <c r="I140" s="6" t="s">
        <v>367</v>
      </c>
    </row>
    <row r="141" customFormat="false" ht="15" hidden="false" customHeight="false" outlineLevel="1" collapsed="false">
      <c r="A141" s="3" t="s">
        <v>368</v>
      </c>
      <c r="B141" s="6"/>
      <c r="C141" s="21" t="n">
        <v>1</v>
      </c>
      <c r="I141" s="6" t="s">
        <v>369</v>
      </c>
    </row>
    <row r="142" customFormat="false" ht="15" hidden="false" customHeight="false" outlineLevel="1" collapsed="false">
      <c r="A142" s="3" t="s">
        <v>370</v>
      </c>
      <c r="B142" s="11" t="s">
        <v>57</v>
      </c>
      <c r="C142" s="25" t="n">
        <v>10</v>
      </c>
      <c r="I142" s="6" t="s">
        <v>371</v>
      </c>
    </row>
    <row r="143" customFormat="false" ht="15" hidden="false" customHeight="false" outlineLevel="1" collapsed="false">
      <c r="A143" s="3" t="s">
        <v>372</v>
      </c>
      <c r="B143" s="6"/>
      <c r="C143" s="21" t="n">
        <v>0</v>
      </c>
      <c r="I143" s="6" t="s">
        <v>373</v>
      </c>
    </row>
    <row r="144" customFormat="false" ht="15" hidden="false" customHeight="false" outlineLevel="1" collapsed="false">
      <c r="A144" s="3" t="s">
        <v>374</v>
      </c>
      <c r="B144" s="6"/>
      <c r="C144" s="21" t="n">
        <v>1</v>
      </c>
      <c r="I144" s="6" t="s">
        <v>375</v>
      </c>
    </row>
    <row r="145" customFormat="false" ht="15" hidden="false" customHeight="false" outlineLevel="1" collapsed="false">
      <c r="A145" s="3" t="s">
        <v>376</v>
      </c>
      <c r="B145" s="11" t="s">
        <v>103</v>
      </c>
      <c r="C145" s="37" t="n">
        <v>0.5</v>
      </c>
      <c r="I145" s="6" t="s">
        <v>377</v>
      </c>
    </row>
    <row r="146" customFormat="false" ht="15" hidden="false" customHeight="false" outlineLevel="1" collapsed="false">
      <c r="A146" s="3" t="s">
        <v>378</v>
      </c>
      <c r="B146" s="6"/>
      <c r="C146" s="27" t="s">
        <v>379</v>
      </c>
      <c r="I146" s="11" t="s">
        <v>380</v>
      </c>
    </row>
    <row r="147" customFormat="false" ht="15" hidden="false" customHeight="false" outlineLevel="1" collapsed="false">
      <c r="A147" s="3" t="s">
        <v>381</v>
      </c>
      <c r="B147" s="11" t="s">
        <v>103</v>
      </c>
      <c r="C147" s="37" t="n">
        <v>4</v>
      </c>
      <c r="I147" s="6" t="s">
        <v>382</v>
      </c>
    </row>
    <row r="148" customFormat="false" ht="15" hidden="false" customHeight="false" outlineLevel="1" collapsed="false">
      <c r="A148" s="3" t="s">
        <v>383</v>
      </c>
      <c r="B148" s="6" t="s">
        <v>187</v>
      </c>
      <c r="C148" s="21" t="n">
        <v>3</v>
      </c>
      <c r="I148" s="11" t="s">
        <v>384</v>
      </c>
    </row>
    <row r="149" customFormat="false" ht="15" hidden="false" customHeight="false" outlineLevel="1" collapsed="false">
      <c r="A149" s="3" t="s">
        <v>385</v>
      </c>
      <c r="B149" s="11" t="s">
        <v>39</v>
      </c>
      <c r="C149" s="38" t="n">
        <v>0.5</v>
      </c>
      <c r="I149" s="6" t="s">
        <v>386</v>
      </c>
    </row>
    <row r="150" customFormat="false" ht="15" hidden="false" customHeight="false" outlineLevel="1" collapsed="false">
      <c r="A150" s="3" t="s">
        <v>387</v>
      </c>
      <c r="B150" s="11" t="s">
        <v>388</v>
      </c>
      <c r="C150" s="23" t="n">
        <v>3.023736</v>
      </c>
      <c r="I150" s="6" t="s">
        <v>389</v>
      </c>
    </row>
    <row r="151" customFormat="false" ht="15" hidden="false" customHeight="false" outlineLevel="1" collapsed="false">
      <c r="A151" s="3" t="s">
        <v>390</v>
      </c>
      <c r="B151" s="11" t="s">
        <v>57</v>
      </c>
      <c r="C151" s="25" t="n">
        <v>10</v>
      </c>
      <c r="I151" s="6" t="s">
        <v>391</v>
      </c>
    </row>
    <row r="152" customFormat="false" ht="15" hidden="false" customHeight="false" outlineLevel="1" collapsed="false">
      <c r="A152" s="3" t="s">
        <v>392</v>
      </c>
      <c r="B152" s="11" t="s">
        <v>39</v>
      </c>
      <c r="C152" s="38" t="n">
        <v>144.77</v>
      </c>
      <c r="I152" s="6" t="s">
        <v>393</v>
      </c>
    </row>
    <row r="153" customFormat="false" ht="15" hidden="false" customHeight="false" outlineLevel="1" collapsed="false">
      <c r="A153" s="3" t="s">
        <v>394</v>
      </c>
      <c r="B153" s="11" t="s">
        <v>42</v>
      </c>
      <c r="C153" s="24" t="n">
        <v>0.1</v>
      </c>
      <c r="I153" s="6" t="s">
        <v>395</v>
      </c>
    </row>
    <row r="154" customFormat="false" ht="15" hidden="false" customHeight="false" outlineLevel="1" collapsed="false">
      <c r="A154" s="3" t="s">
        <v>396</v>
      </c>
      <c r="B154" s="11" t="s">
        <v>42</v>
      </c>
      <c r="C154" s="24" t="n">
        <v>0.05</v>
      </c>
      <c r="I154" s="6" t="s">
        <v>397</v>
      </c>
    </row>
    <row r="155" customFormat="false" ht="15" hidden="false" customHeight="false" outlineLevel="1" collapsed="false">
      <c r="A155" s="3" t="s">
        <v>398</v>
      </c>
      <c r="B155" s="11" t="s">
        <v>388</v>
      </c>
      <c r="C155" s="23" t="n">
        <v>3.023736</v>
      </c>
      <c r="I155" s="6" t="s">
        <v>399</v>
      </c>
    </row>
    <row r="156" customFormat="false" ht="15" hidden="false" customHeight="false" outlineLevel="1" collapsed="false">
      <c r="A156" s="3" t="s">
        <v>400</v>
      </c>
      <c r="B156" s="11" t="s">
        <v>401</v>
      </c>
      <c r="C156" s="25" t="n">
        <v>0</v>
      </c>
      <c r="I156" s="6" t="s">
        <v>402</v>
      </c>
    </row>
    <row r="157" customFormat="false" ht="15" hidden="false" customHeight="false" outlineLevel="1" collapsed="false">
      <c r="A157" s="3" t="s">
        <v>403</v>
      </c>
      <c r="B157" s="11" t="s">
        <v>401</v>
      </c>
      <c r="C157" s="25" t="n">
        <v>0</v>
      </c>
      <c r="I157" s="6" t="s">
        <v>402</v>
      </c>
    </row>
    <row r="158" customFormat="false" ht="15" hidden="false" customHeight="false" outlineLevel="1" collapsed="false">
      <c r="A158" s="3" t="s">
        <v>404</v>
      </c>
      <c r="B158" s="11" t="s">
        <v>401</v>
      </c>
      <c r="C158" s="25" t="n">
        <v>0</v>
      </c>
      <c r="I158" s="6" t="s">
        <v>402</v>
      </c>
    </row>
    <row r="159" customFormat="false" ht="15" hidden="false" customHeight="false" outlineLevel="1" collapsed="false">
      <c r="A159" s="3" t="s">
        <v>405</v>
      </c>
      <c r="B159" s="11" t="s">
        <v>401</v>
      </c>
      <c r="C159" s="33" t="n">
        <f aca="false">CHOOSE(輸入與假設!$C$5,輸入與假設!$C$156,輸入與假設!$C$157,輸入與假設!$C$158)</f>
        <v>0</v>
      </c>
      <c r="I159" s="6" t="s">
        <v>406</v>
      </c>
    </row>
    <row r="160" customFormat="false" ht="15" hidden="false" customHeight="false" outlineLevel="1" collapsed="false">
      <c r="A160" s="3" t="s">
        <v>407</v>
      </c>
      <c r="B160" s="11" t="s">
        <v>42</v>
      </c>
      <c r="C160" s="24" t="n">
        <v>0</v>
      </c>
      <c r="I160" s="11" t="s">
        <v>408</v>
      </c>
    </row>
    <row r="161" customFormat="false" ht="15" hidden="false" customHeight="false" outlineLevel="1" collapsed="false">
      <c r="A161" s="3" t="s">
        <v>409</v>
      </c>
      <c r="B161" s="11" t="s">
        <v>42</v>
      </c>
      <c r="C161" s="24" t="n">
        <v>0</v>
      </c>
      <c r="I161" s="11" t="s">
        <v>410</v>
      </c>
    </row>
    <row r="162" customFormat="false" ht="15" hidden="false" customHeight="false" outlineLevel="1" collapsed="false">
      <c r="A162" s="3" t="s">
        <v>411</v>
      </c>
      <c r="B162" s="11" t="s">
        <v>42</v>
      </c>
      <c r="C162" s="24" t="n">
        <v>0.12</v>
      </c>
      <c r="I162" s="6" t="s">
        <v>412</v>
      </c>
    </row>
    <row r="163" customFormat="false" ht="15" hidden="false" customHeight="false" outlineLevel="1" collapsed="false">
      <c r="A163" s="3" t="s">
        <v>413</v>
      </c>
      <c r="B163" s="11" t="s">
        <v>42</v>
      </c>
      <c r="C163" s="24" t="n">
        <v>0.151</v>
      </c>
      <c r="I163" s="6" t="s">
        <v>414</v>
      </c>
    </row>
    <row r="164" customFormat="false" ht="15" hidden="false" customHeight="false" outlineLevel="1" collapsed="false">
      <c r="A164" s="4" t="s">
        <v>415</v>
      </c>
      <c r="B164" s="11" t="s">
        <v>416</v>
      </c>
      <c r="C164" s="21"/>
      <c r="I164" s="6" t="s">
        <v>417</v>
      </c>
    </row>
    <row r="165" customFormat="false" ht="15" hidden="false" customHeight="false" outlineLevel="1" collapsed="false">
      <c r="A165" s="4" t="s">
        <v>418</v>
      </c>
      <c r="B165" s="6"/>
      <c r="C165" s="21" t="n">
        <v>0</v>
      </c>
      <c r="I165" s="6" t="s">
        <v>419</v>
      </c>
    </row>
    <row r="166" customFormat="false" ht="15" hidden="false" customHeight="false" outlineLevel="1" collapsed="false">
      <c r="A166" s="4" t="s">
        <v>420</v>
      </c>
      <c r="B166" s="11" t="s">
        <v>416</v>
      </c>
      <c r="C166" s="21" t="n">
        <v>450</v>
      </c>
      <c r="I166" s="11" t="s">
        <v>421</v>
      </c>
    </row>
    <row r="167" customFormat="false" ht="15" hidden="false" customHeight="false" outlineLevel="1" collapsed="false">
      <c r="A167" s="4" t="s">
        <v>422</v>
      </c>
      <c r="B167" s="11" t="s">
        <v>42</v>
      </c>
      <c r="C167" s="24" t="n">
        <v>0.4</v>
      </c>
      <c r="I167" s="6" t="s">
        <v>423</v>
      </c>
    </row>
    <row r="168" customFormat="false" ht="15" hidden="false" customHeight="false" outlineLevel="1" collapsed="false">
      <c r="A168" s="14" t="s">
        <v>51</v>
      </c>
      <c r="B168" s="14" t="s">
        <v>52</v>
      </c>
      <c r="C168" s="28" t="s">
        <v>53</v>
      </c>
      <c r="D168" s="28" t="s">
        <v>54</v>
      </c>
      <c r="E168" s="28" t="s">
        <v>55</v>
      </c>
      <c r="F168" s="28" t="s">
        <v>145</v>
      </c>
      <c r="G168" s="28" t="s">
        <v>146</v>
      </c>
      <c r="I168" s="14" t="s">
        <v>209</v>
      </c>
    </row>
    <row r="169" customFormat="false" ht="15" hidden="false" customHeight="false" outlineLevel="1" collapsed="false">
      <c r="A169" s="3" t="s">
        <v>424</v>
      </c>
      <c r="B169" s="11" t="s">
        <v>57</v>
      </c>
      <c r="C169" s="25" t="n">
        <v>0.244</v>
      </c>
      <c r="D169" s="25" t="n">
        <v>0.325</v>
      </c>
      <c r="E169" s="25" t="n">
        <v>0.244</v>
      </c>
      <c r="F169" s="25" t="n">
        <v>0</v>
      </c>
      <c r="G169" s="25" t="n">
        <v>0</v>
      </c>
      <c r="I169" s="6" t="s">
        <v>425</v>
      </c>
    </row>
    <row r="170" customFormat="false" ht="15" hidden="false" customHeight="false" outlineLevel="1" collapsed="false">
      <c r="A170" s="3" t="s">
        <v>426</v>
      </c>
      <c r="B170" s="11" t="s">
        <v>57</v>
      </c>
      <c r="C170" s="25" t="n">
        <v>3.007</v>
      </c>
      <c r="D170" s="25" t="n">
        <v>10.147</v>
      </c>
      <c r="E170" s="25" t="n">
        <v>5.5</v>
      </c>
      <c r="F170" s="25" t="n">
        <v>7.25</v>
      </c>
      <c r="G170" s="25" t="n">
        <v>9.75</v>
      </c>
      <c r="I170" s="6" t="s">
        <v>427</v>
      </c>
    </row>
    <row r="171" customFormat="false" ht="15" hidden="false" customHeight="false" outlineLevel="1" collapsed="false">
      <c r="A171" s="3" t="s">
        <v>428</v>
      </c>
      <c r="B171" s="11" t="s">
        <v>42</v>
      </c>
      <c r="C171" s="24" t="n">
        <v>0.058</v>
      </c>
      <c r="D171" s="24" t="n">
        <v>0.058</v>
      </c>
      <c r="E171" s="24" t="n">
        <v>0.058</v>
      </c>
      <c r="F171" s="24" t="n">
        <v>0.058</v>
      </c>
      <c r="G171" s="24" t="n">
        <v>0.058</v>
      </c>
      <c r="I171" s="6" t="s">
        <v>429</v>
      </c>
    </row>
    <row r="172" customFormat="false" ht="15" hidden="false" customHeight="false" outlineLevel="1" collapsed="false">
      <c r="A172" s="3" t="s">
        <v>430</v>
      </c>
      <c r="B172" s="11" t="s">
        <v>57</v>
      </c>
      <c r="C172" s="39" t="n">
        <f aca="false">資產負債_既有債務!C88</f>
        <v>4.47957091589961</v>
      </c>
      <c r="D172" s="39" t="n">
        <f aca="false">資產負債_既有債務!D88</f>
        <v>5.65698394898732</v>
      </c>
      <c r="E172" s="39" t="n">
        <f aca="false">資產負債_既有債務!E88</f>
        <v>5.28135927373237</v>
      </c>
      <c r="F172" s="39" t="n">
        <f aca="false">資產負債_既有債務!F88</f>
        <v>4.97528049764106</v>
      </c>
      <c r="G172" s="39" t="n">
        <f aca="false">資產負債_既有債務!G88</f>
        <v>4.56717546285265</v>
      </c>
      <c r="I172" s="6" t="s">
        <v>431</v>
      </c>
    </row>
    <row r="174" customFormat="false" ht="15" hidden="false" customHeight="false" outlineLevel="0" collapsed="false">
      <c r="A174" s="7" t="s">
        <v>432</v>
      </c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1" collapsed="false">
      <c r="A175" s="3" t="s">
        <v>433</v>
      </c>
      <c r="B175" s="11" t="s">
        <v>39</v>
      </c>
      <c r="C175" s="38" t="n">
        <v>144.77</v>
      </c>
      <c r="I175" s="11" t="s">
        <v>434</v>
      </c>
    </row>
    <row r="176" customFormat="false" ht="15" hidden="false" customHeight="false" outlineLevel="1" collapsed="false">
      <c r="A176" s="3" t="s">
        <v>435</v>
      </c>
      <c r="B176" s="11" t="s">
        <v>388</v>
      </c>
      <c r="C176" s="23" t="n">
        <v>3.057736</v>
      </c>
      <c r="I176" s="6" t="s">
        <v>436</v>
      </c>
    </row>
    <row r="177" customFormat="false" ht="15" hidden="false" customHeight="false" outlineLevel="1" collapsed="false">
      <c r="A177" s="3" t="s">
        <v>437</v>
      </c>
      <c r="B177" s="11" t="s">
        <v>57</v>
      </c>
      <c r="C177" s="25" t="n">
        <v>88.827</v>
      </c>
      <c r="I177" s="6" t="s">
        <v>438</v>
      </c>
    </row>
    <row r="178" customFormat="false" ht="15" hidden="false" customHeight="false" outlineLevel="1" collapsed="false">
      <c r="A178" s="3" t="s">
        <v>439</v>
      </c>
      <c r="B178" s="11" t="s">
        <v>42</v>
      </c>
      <c r="C178" s="24" t="n">
        <v>0.3</v>
      </c>
      <c r="I178" s="6" t="s">
        <v>440</v>
      </c>
    </row>
    <row r="179" customFormat="false" ht="15" hidden="false" customHeight="false" outlineLevel="1" collapsed="false">
      <c r="A179" s="3" t="s">
        <v>441</v>
      </c>
      <c r="B179" s="11" t="s">
        <v>57</v>
      </c>
      <c r="C179" s="33" t="n">
        <f aca="false">0-(0)*(1-輸入與假設!$C$178)</f>
        <v>0</v>
      </c>
      <c r="I179" s="6" t="s">
        <v>442</v>
      </c>
    </row>
    <row r="180" customFormat="false" ht="15" hidden="false" customHeight="false" outlineLevel="1" collapsed="false">
      <c r="A180" s="3" t="s">
        <v>443</v>
      </c>
      <c r="B180" s="11" t="s">
        <v>42</v>
      </c>
      <c r="C180" s="24" t="n">
        <v>0.151</v>
      </c>
      <c r="I180" s="11" t="s">
        <v>444</v>
      </c>
    </row>
    <row r="181" customFormat="false" ht="15" hidden="false" customHeight="false" outlineLevel="1" collapsed="false">
      <c r="A181" s="3" t="s">
        <v>445</v>
      </c>
      <c r="B181" s="11" t="s">
        <v>42</v>
      </c>
      <c r="C181" s="24" t="n">
        <v>0.0527</v>
      </c>
      <c r="I181" s="11" t="s">
        <v>446</v>
      </c>
    </row>
    <row r="182" customFormat="false" ht="15" hidden="false" customHeight="false" outlineLevel="1" collapsed="false">
      <c r="A182" s="4" t="s">
        <v>447</v>
      </c>
      <c r="B182" s="11" t="s">
        <v>103</v>
      </c>
      <c r="C182" s="35" t="n">
        <v>1.77</v>
      </c>
      <c r="I182" s="11" t="s">
        <v>448</v>
      </c>
    </row>
    <row r="183" customFormat="false" ht="15" hidden="false" customHeight="false" outlineLevel="1" collapsed="false">
      <c r="A183" s="4" t="s">
        <v>449</v>
      </c>
      <c r="B183" s="11" t="s">
        <v>42</v>
      </c>
      <c r="C183" s="24" t="n">
        <v>0.05</v>
      </c>
      <c r="I183" s="11" t="s">
        <v>450</v>
      </c>
    </row>
    <row r="184" customFormat="false" ht="15" hidden="false" customHeight="false" outlineLevel="1" collapsed="false">
      <c r="A184" s="3" t="s">
        <v>451</v>
      </c>
      <c r="B184" s="11" t="s">
        <v>42</v>
      </c>
      <c r="C184" s="32" t="n">
        <f aca="false">輸入與假設!$C$181+輸入與假設!$C$182*輸入與假設!$C$183</f>
        <v>0.1412</v>
      </c>
      <c r="I184" s="11" t="s">
        <v>452</v>
      </c>
    </row>
    <row r="185" customFormat="false" ht="15" hidden="false" customHeight="false" outlineLevel="1" collapsed="false">
      <c r="A185" s="3" t="s">
        <v>453</v>
      </c>
      <c r="B185" s="11" t="s">
        <v>42</v>
      </c>
      <c r="C185" s="24" t="n">
        <v>0.0811</v>
      </c>
      <c r="I185" s="11" t="s">
        <v>454</v>
      </c>
    </row>
    <row r="186" customFormat="false" ht="15" hidden="false" customHeight="false" outlineLevel="1" collapsed="false">
      <c r="A186" s="3" t="s">
        <v>455</v>
      </c>
      <c r="B186" s="11" t="s">
        <v>57</v>
      </c>
      <c r="C186" s="33" t="n">
        <f aca="false">輸入與假設!$C$175*3.023736</f>
        <v>437.74626072</v>
      </c>
      <c r="I186" s="6" t="s">
        <v>456</v>
      </c>
    </row>
    <row r="187" customFormat="false" ht="15" hidden="false" customHeight="false" outlineLevel="1" collapsed="false">
      <c r="A187" s="3" t="s">
        <v>457</v>
      </c>
      <c r="B187" s="11" t="s">
        <v>57</v>
      </c>
      <c r="C187" s="25" t="n">
        <v>125.904</v>
      </c>
      <c r="I187" s="6" t="s">
        <v>458</v>
      </c>
    </row>
    <row r="188" customFormat="false" ht="15" hidden="false" customHeight="false" outlineLevel="1" collapsed="false">
      <c r="A188" s="4" t="s">
        <v>459</v>
      </c>
      <c r="B188" s="11" t="s">
        <v>42</v>
      </c>
      <c r="C188" s="32" t="n">
        <f aca="false">輸入與假設!$C$186/(輸入與假設!$C$187+輸入與假設!$C$186)*輸入與假設!$C$184+輸入與假設!$C$187/(輸入與假設!$C$187+輸入與假設!$C$186)*輸入與假設!$C$185*(1-輸入與假設!$C$180)</f>
        <v>0.125039866652834</v>
      </c>
      <c r="I188" s="11" t="s">
        <v>460</v>
      </c>
    </row>
    <row r="189" customFormat="false" ht="15" hidden="false" customHeight="false" outlineLevel="1" collapsed="false">
      <c r="A189" s="4" t="s">
        <v>461</v>
      </c>
      <c r="B189" s="11" t="s">
        <v>42</v>
      </c>
      <c r="C189" s="24"/>
      <c r="I189" s="11" t="s">
        <v>462</v>
      </c>
    </row>
    <row r="190" customFormat="false" ht="15" hidden="false" customHeight="false" outlineLevel="1" collapsed="false">
      <c r="A190" s="4" t="s">
        <v>463</v>
      </c>
      <c r="B190" s="11" t="s">
        <v>42</v>
      </c>
      <c r="C190" s="32" t="n">
        <f aca="false">IF(ISBLANK(輸入與假設!$C$189),輸入與假設!$C$188,輸入與假設!$C$189)</f>
        <v>0.125039866652834</v>
      </c>
      <c r="I190" s="6" t="s">
        <v>464</v>
      </c>
    </row>
    <row r="191" customFormat="false" ht="15" hidden="false" customHeight="false" outlineLevel="1" collapsed="false">
      <c r="A191" s="3" t="s">
        <v>465</v>
      </c>
      <c r="B191" s="11" t="s">
        <v>42</v>
      </c>
      <c r="C191" s="24" t="n">
        <v>0.03</v>
      </c>
      <c r="I191" s="11" t="s">
        <v>227</v>
      </c>
    </row>
    <row r="192" customFormat="false" ht="15" hidden="false" customHeight="false" outlineLevel="1" collapsed="false">
      <c r="A192" s="3" t="s">
        <v>466</v>
      </c>
      <c r="B192" s="11" t="s">
        <v>42</v>
      </c>
      <c r="C192" s="24" t="n">
        <v>0.8</v>
      </c>
      <c r="I192" s="11" t="s">
        <v>467</v>
      </c>
    </row>
    <row r="193" customFormat="false" ht="15" hidden="false" customHeight="false" outlineLevel="1" collapsed="false">
      <c r="A193" s="3" t="s">
        <v>468</v>
      </c>
      <c r="B193" s="11" t="s">
        <v>57</v>
      </c>
      <c r="C193" s="25" t="n">
        <v>0</v>
      </c>
      <c r="I193" s="11" t="s">
        <v>469</v>
      </c>
    </row>
    <row r="194" customFormat="false" ht="15" hidden="false" customHeight="false" outlineLevel="1" collapsed="false">
      <c r="A194" s="4" t="s">
        <v>470</v>
      </c>
      <c r="B194" s="11" t="s">
        <v>42</v>
      </c>
      <c r="C194" s="24" t="n">
        <v>0.8</v>
      </c>
      <c r="I194" s="6" t="s">
        <v>471</v>
      </c>
    </row>
    <row r="195" customFormat="false" ht="15" hidden="false" customHeight="false" outlineLevel="1" collapsed="false">
      <c r="A195" s="3" t="s">
        <v>472</v>
      </c>
      <c r="B195" s="11" t="s">
        <v>42</v>
      </c>
      <c r="C195" s="24" t="n">
        <v>0.02</v>
      </c>
      <c r="I195" s="6" t="s">
        <v>473</v>
      </c>
    </row>
    <row r="196" customFormat="false" ht="15" hidden="false" customHeight="false" outlineLevel="1" collapsed="false">
      <c r="A196" s="4" t="s">
        <v>474</v>
      </c>
      <c r="B196" s="11" t="s">
        <v>103</v>
      </c>
      <c r="C196" s="40" t="n">
        <v>6</v>
      </c>
      <c r="I196" s="11" t="s">
        <v>475</v>
      </c>
    </row>
    <row r="197" customFormat="false" ht="15" hidden="false" customHeight="false" outlineLevel="1" collapsed="false">
      <c r="A197" s="3" t="s">
        <v>476</v>
      </c>
      <c r="B197" s="11" t="s">
        <v>103</v>
      </c>
      <c r="C197" s="40" t="n">
        <v>15.59</v>
      </c>
      <c r="I197" s="11" t="s">
        <v>477</v>
      </c>
    </row>
    <row r="198" customFormat="false" ht="15" hidden="false" customHeight="false" outlineLevel="1" collapsed="false">
      <c r="A198" s="3" t="s">
        <v>478</v>
      </c>
      <c r="B198" s="11" t="s">
        <v>103</v>
      </c>
      <c r="C198" s="40" t="n">
        <v>15.02</v>
      </c>
      <c r="I198" s="11" t="s">
        <v>479</v>
      </c>
    </row>
    <row r="199" customFormat="false" ht="15" hidden="false" customHeight="false" outlineLevel="1" collapsed="false">
      <c r="A199" s="3" t="s">
        <v>480</v>
      </c>
      <c r="B199" s="11" t="s">
        <v>103</v>
      </c>
      <c r="C199" s="40" t="n">
        <v>10.8</v>
      </c>
      <c r="I199" s="11" t="s">
        <v>481</v>
      </c>
    </row>
    <row r="200" customFormat="false" ht="15" hidden="false" customHeight="false" outlineLevel="1" collapsed="false">
      <c r="A200" s="3" t="s">
        <v>482</v>
      </c>
      <c r="B200" s="11" t="s">
        <v>103</v>
      </c>
      <c r="C200" s="40" t="n">
        <v>6.6</v>
      </c>
      <c r="I200" s="11" t="s">
        <v>483</v>
      </c>
    </row>
    <row r="201" customFormat="false" ht="15" hidden="false" customHeight="false" outlineLevel="1" collapsed="false">
      <c r="A201" s="3" t="s">
        <v>484</v>
      </c>
      <c r="B201" s="11" t="s">
        <v>103</v>
      </c>
      <c r="C201" s="40" t="n">
        <v>20.65</v>
      </c>
      <c r="I201" s="11" t="s">
        <v>485</v>
      </c>
    </row>
    <row r="202" customFormat="false" ht="15" hidden="false" customHeight="false" outlineLevel="1" collapsed="false">
      <c r="A202" s="3" t="s">
        <v>486</v>
      </c>
      <c r="B202" s="11" t="s">
        <v>103</v>
      </c>
      <c r="C202" s="41" t="n">
        <f aca="false">MEDIAN(輸入與假設!$C$197,輸入與假設!$C$198,輸入與假設!$C$199,輸入與假設!$C$200,輸入與假設!$C$201)</f>
        <v>15.02</v>
      </c>
      <c r="I202" s="6" t="s">
        <v>487</v>
      </c>
    </row>
    <row r="203" customFormat="false" ht="15" hidden="false" customHeight="false" outlineLevel="1" collapsed="false">
      <c r="A203" s="3" t="s">
        <v>488</v>
      </c>
      <c r="B203" s="11" t="s">
        <v>103</v>
      </c>
      <c r="C203" s="40"/>
      <c r="I203" s="11" t="s">
        <v>489</v>
      </c>
    </row>
    <row r="204" customFormat="false" ht="15" hidden="false" customHeight="false" outlineLevel="1" collapsed="false">
      <c r="A204" s="3" t="s">
        <v>490</v>
      </c>
      <c r="B204" s="11" t="s">
        <v>103</v>
      </c>
      <c r="C204" s="41" t="n">
        <f aca="false">IF(ISBLANK(輸入與假設!$C$203),輸入與假設!$C$202,輸入與假設!$C$203)</f>
        <v>15.02</v>
      </c>
      <c r="I204" s="6" t="s">
        <v>491</v>
      </c>
    </row>
    <row r="205" customFormat="false" ht="15" hidden="false" customHeight="false" outlineLevel="1" collapsed="false">
      <c r="A205" s="4" t="s">
        <v>492</v>
      </c>
      <c r="B205" s="6"/>
      <c r="C205" s="18" t="n">
        <v>2</v>
      </c>
      <c r="I205" s="6" t="s">
        <v>493</v>
      </c>
    </row>
    <row r="206" customFormat="false" ht="15" hidden="false" customHeight="false" outlineLevel="1" collapsed="false">
      <c r="A206" s="3" t="s">
        <v>494</v>
      </c>
      <c r="B206" s="11" t="s">
        <v>42</v>
      </c>
      <c r="C206" s="24" t="n">
        <v>0.45</v>
      </c>
      <c r="I206" s="6"/>
    </row>
    <row r="207" customFormat="false" ht="15" hidden="false" customHeight="false" outlineLevel="1" collapsed="false">
      <c r="A207" s="3" t="s">
        <v>495</v>
      </c>
      <c r="B207" s="11" t="s">
        <v>42</v>
      </c>
      <c r="C207" s="24" t="n">
        <v>0.55</v>
      </c>
      <c r="I207" s="6"/>
    </row>
    <row r="208" customFormat="false" ht="15" hidden="false" customHeight="false" outlineLevel="1" collapsed="false">
      <c r="A208" s="3" t="s">
        <v>496</v>
      </c>
      <c r="B208" s="11" t="s">
        <v>103</v>
      </c>
      <c r="C208" s="40" t="n">
        <v>5</v>
      </c>
      <c r="I208" s="11" t="s">
        <v>497</v>
      </c>
    </row>
    <row r="209" customFormat="false" ht="15" hidden="false" customHeight="false" outlineLevel="1" collapsed="false">
      <c r="A209" s="3" t="s">
        <v>498</v>
      </c>
      <c r="B209" s="11" t="s">
        <v>103</v>
      </c>
      <c r="C209" s="40" t="n">
        <v>6</v>
      </c>
      <c r="I209" s="6"/>
    </row>
    <row r="210" customFormat="false" ht="15" hidden="false" customHeight="false" outlineLevel="1" collapsed="false">
      <c r="A210" s="3" t="s">
        <v>499</v>
      </c>
      <c r="B210" s="11" t="s">
        <v>42</v>
      </c>
      <c r="C210" s="24" t="n">
        <v>0.01</v>
      </c>
      <c r="I210" s="6" t="s">
        <v>500</v>
      </c>
    </row>
    <row r="211" customFormat="false" ht="15" hidden="false" customHeight="false" outlineLevel="1" collapsed="false">
      <c r="A211" s="3" t="s">
        <v>501</v>
      </c>
      <c r="B211" s="11" t="s">
        <v>57</v>
      </c>
      <c r="C211" s="25" t="n">
        <v>4.508</v>
      </c>
      <c r="I211" s="11" t="s">
        <v>502</v>
      </c>
    </row>
    <row r="212" customFormat="false" ht="15" hidden="false" customHeight="false" outlineLevel="1" collapsed="false">
      <c r="A212" s="31" t="s">
        <v>503</v>
      </c>
      <c r="B212" s="20"/>
      <c r="C212" s="20"/>
      <c r="D212" s="20"/>
      <c r="E212" s="20"/>
      <c r="F212" s="20"/>
      <c r="G212" s="20"/>
      <c r="H212" s="20"/>
    </row>
    <row r="213" customFormat="false" ht="15" hidden="false" customHeight="false" outlineLevel="2" collapsed="false">
      <c r="A213" s="4" t="s">
        <v>504</v>
      </c>
      <c r="B213" s="6"/>
      <c r="C213" s="18" t="n">
        <v>1</v>
      </c>
      <c r="I213" s="11" t="s">
        <v>505</v>
      </c>
    </row>
    <row r="214" customFormat="false" ht="15" hidden="false" customHeight="false" outlineLevel="2" collapsed="false">
      <c r="A214" s="3" t="s">
        <v>506</v>
      </c>
      <c r="B214" s="11" t="s">
        <v>42</v>
      </c>
      <c r="C214" s="24" t="n">
        <v>0.5</v>
      </c>
      <c r="I214" s="6" t="s">
        <v>507</v>
      </c>
    </row>
    <row r="215" customFormat="false" ht="15" hidden="false" customHeight="false" outlineLevel="2" collapsed="false">
      <c r="A215" s="3" t="s">
        <v>508</v>
      </c>
      <c r="B215" s="6" t="s">
        <v>187</v>
      </c>
      <c r="C215" s="26" t="n">
        <v>4.75</v>
      </c>
      <c r="I215" s="6" t="s">
        <v>509</v>
      </c>
    </row>
    <row r="216" customFormat="false" ht="15" hidden="false" customHeight="false" outlineLevel="1" collapsed="false">
      <c r="A216" s="19" t="s">
        <v>510</v>
      </c>
      <c r="B216" s="20"/>
      <c r="C216" s="20"/>
      <c r="D216" s="20"/>
      <c r="E216" s="20"/>
      <c r="F216" s="20"/>
      <c r="G216" s="20"/>
      <c r="H216" s="20"/>
    </row>
    <row r="217" customFormat="false" ht="15" hidden="false" customHeight="false" outlineLevel="2" collapsed="false">
      <c r="A217" s="3" t="s">
        <v>511</v>
      </c>
      <c r="B217" s="6" t="s">
        <v>512</v>
      </c>
      <c r="C217" s="22" t="n">
        <v>5</v>
      </c>
      <c r="I217" s="11" t="s">
        <v>513</v>
      </c>
    </row>
    <row r="218" customFormat="false" ht="15" hidden="false" customHeight="false" outlineLevel="2" collapsed="false">
      <c r="A218" s="3" t="s">
        <v>514</v>
      </c>
      <c r="B218" s="6"/>
      <c r="C218" s="42" t="s">
        <v>515</v>
      </c>
      <c r="I218" s="11" t="s">
        <v>516</v>
      </c>
    </row>
    <row r="219" customFormat="false" ht="15" hidden="false" customHeight="false" outlineLevel="2" collapsed="false">
      <c r="A219" s="3" t="s">
        <v>517</v>
      </c>
      <c r="B219" s="6"/>
      <c r="C219" s="42" t="s">
        <v>518</v>
      </c>
      <c r="I219" s="11" t="s">
        <v>519</v>
      </c>
    </row>
    <row r="220" customFormat="false" ht="15" hidden="false" customHeight="false" outlineLevel="2" collapsed="false">
      <c r="A220" s="3" t="s">
        <v>520</v>
      </c>
      <c r="B220" s="6"/>
      <c r="C220" s="42" t="s">
        <v>521</v>
      </c>
      <c r="I220" s="6" t="s">
        <v>522</v>
      </c>
    </row>
    <row r="221" customFormat="false" ht="15" hidden="false" customHeight="false" outlineLevel="2" collapsed="false">
      <c r="A221" s="3" t="s">
        <v>523</v>
      </c>
      <c r="B221" s="6" t="s">
        <v>187</v>
      </c>
      <c r="C221" s="33" t="n">
        <v>1</v>
      </c>
      <c r="I221" s="6"/>
    </row>
    <row r="222" customFormat="false" ht="15" hidden="false" customHeight="false" outlineLevel="2" collapsed="false">
      <c r="A222" s="3" t="s">
        <v>524</v>
      </c>
      <c r="B222" s="6"/>
      <c r="C222" s="42" t="s">
        <v>525</v>
      </c>
      <c r="I222" s="6" t="s">
        <v>526</v>
      </c>
    </row>
    <row r="223" customFormat="false" ht="15" hidden="false" customHeight="false" outlineLevel="2" collapsed="false">
      <c r="A223" s="3" t="s">
        <v>527</v>
      </c>
      <c r="B223" s="6"/>
      <c r="C223" s="42" t="s">
        <v>528</v>
      </c>
      <c r="I223" s="11" t="s">
        <v>529</v>
      </c>
    </row>
    <row r="224" customFormat="false" ht="15" hidden="false" customHeight="false" outlineLevel="2" collapsed="false">
      <c r="A224" s="3" t="s">
        <v>530</v>
      </c>
      <c r="B224" s="6"/>
      <c r="C224" s="42" t="s">
        <v>531</v>
      </c>
      <c r="I224" s="11" t="s">
        <v>532</v>
      </c>
    </row>
    <row r="225" customFormat="false" ht="15" hidden="false" customHeight="false" outlineLevel="2" collapsed="false">
      <c r="A225" s="3" t="s">
        <v>533</v>
      </c>
      <c r="B225" s="6" t="s">
        <v>187</v>
      </c>
      <c r="C225" s="33" t="n">
        <v>0.25</v>
      </c>
      <c r="I225" s="11" t="s">
        <v>534</v>
      </c>
    </row>
    <row r="226" customFormat="false" ht="15" hidden="false" customHeight="false" outlineLevel="2" collapsed="false">
      <c r="A226" s="14" t="s">
        <v>535</v>
      </c>
      <c r="B226" s="14" t="s">
        <v>52</v>
      </c>
      <c r="C226" s="28" t="s">
        <v>53</v>
      </c>
      <c r="D226" s="28" t="s">
        <v>54</v>
      </c>
      <c r="E226" s="28" t="s">
        <v>55</v>
      </c>
      <c r="F226" s="28" t="s">
        <v>145</v>
      </c>
      <c r="G226" s="28" t="s">
        <v>146</v>
      </c>
      <c r="I226" s="14" t="s">
        <v>209</v>
      </c>
    </row>
    <row r="227" customFormat="false" ht="15" hidden="false" customHeight="false" outlineLevel="2" collapsed="false">
      <c r="A227" s="3" t="s">
        <v>536</v>
      </c>
      <c r="B227" s="6"/>
      <c r="C227" s="42" t="s">
        <v>537</v>
      </c>
      <c r="D227" s="42" t="s">
        <v>538</v>
      </c>
      <c r="E227" s="42" t="s">
        <v>539</v>
      </c>
      <c r="F227" s="42" t="s">
        <v>540</v>
      </c>
      <c r="G227" s="42" t="s">
        <v>541</v>
      </c>
      <c r="I227" s="6" t="s">
        <v>542</v>
      </c>
    </row>
    <row r="228" customFormat="false" ht="15" hidden="false" customHeight="false" outlineLevel="2" collapsed="false">
      <c r="A228" s="3" t="s">
        <v>543</v>
      </c>
      <c r="B228" s="6" t="s">
        <v>187</v>
      </c>
      <c r="C228" s="33" t="n">
        <v>0.75</v>
      </c>
      <c r="D228" s="33" t="n">
        <v>1.75</v>
      </c>
      <c r="E228" s="33" t="n">
        <v>2.75</v>
      </c>
      <c r="F228" s="33" t="n">
        <v>3.75</v>
      </c>
      <c r="G228" s="33" t="n">
        <v>4.75</v>
      </c>
      <c r="I228" s="6" t="s">
        <v>542</v>
      </c>
    </row>
    <row r="229" customFormat="false" ht="15" hidden="false" customHeight="false" outlineLevel="2" collapsed="false">
      <c r="A229" s="3" t="s">
        <v>544</v>
      </c>
      <c r="B229" s="6" t="s">
        <v>187</v>
      </c>
      <c r="C229" s="33" t="n">
        <v>0</v>
      </c>
      <c r="D229" s="33" t="n">
        <v>0.75</v>
      </c>
      <c r="E229" s="33" t="n">
        <v>1.75</v>
      </c>
      <c r="F229" s="33" t="n">
        <v>2.75</v>
      </c>
      <c r="G229" s="33" t="n">
        <v>3.75</v>
      </c>
      <c r="I229" s="6" t="s">
        <v>542</v>
      </c>
    </row>
    <row r="230" customFormat="false" ht="15" hidden="false" customHeight="false" outlineLevel="1" collapsed="false">
      <c r="A230" s="19" t="s">
        <v>545</v>
      </c>
      <c r="B230" s="20"/>
      <c r="C230" s="20"/>
      <c r="D230" s="20"/>
      <c r="E230" s="20"/>
      <c r="F230" s="20"/>
      <c r="G230" s="20"/>
      <c r="H230" s="20"/>
    </row>
    <row r="231" customFormat="false" ht="15" hidden="false" customHeight="false" outlineLevel="2" collapsed="false">
      <c r="A231" s="3" t="s">
        <v>546</v>
      </c>
      <c r="B231" s="11" t="s">
        <v>42</v>
      </c>
      <c r="C231" s="24" t="n">
        <v>0.25</v>
      </c>
      <c r="I231" s="6" t="s">
        <v>547</v>
      </c>
    </row>
    <row r="232" customFormat="false" ht="15" hidden="false" customHeight="false" outlineLevel="2" collapsed="false">
      <c r="A232" s="3" t="s">
        <v>548</v>
      </c>
      <c r="B232" s="11" t="s">
        <v>42</v>
      </c>
      <c r="C232" s="24" t="n">
        <v>0.9</v>
      </c>
      <c r="I232" s="6" t="s">
        <v>549</v>
      </c>
    </row>
    <row r="233" customFormat="false" ht="15" hidden="false" customHeight="false" outlineLevel="2" collapsed="false">
      <c r="A233" s="3" t="s">
        <v>550</v>
      </c>
      <c r="B233" s="11" t="s">
        <v>42</v>
      </c>
      <c r="C233" s="24" t="n">
        <v>-0.15</v>
      </c>
      <c r="I233" s="6" t="s">
        <v>551</v>
      </c>
    </row>
    <row r="234" customFormat="false" ht="15" hidden="false" customHeight="false" outlineLevel="2" collapsed="false">
      <c r="A234" s="3" t="s">
        <v>552</v>
      </c>
      <c r="B234" s="11" t="s">
        <v>103</v>
      </c>
      <c r="C234" s="40" t="n">
        <v>1.5</v>
      </c>
      <c r="I234" s="6" t="s">
        <v>553</v>
      </c>
    </row>
    <row r="235" customFormat="false" ht="15" hidden="false" customHeight="false" outlineLevel="2" collapsed="false">
      <c r="A235" s="3" t="s">
        <v>554</v>
      </c>
      <c r="B235" s="11" t="s">
        <v>42</v>
      </c>
      <c r="C235" s="24" t="n">
        <v>-0.08</v>
      </c>
      <c r="I235" s="6" t="s">
        <v>555</v>
      </c>
    </row>
    <row r="236" customFormat="false" ht="15" hidden="false" customHeight="false" outlineLevel="2" collapsed="false">
      <c r="A236" s="3" t="s">
        <v>556</v>
      </c>
      <c r="B236" s="11" t="s">
        <v>42</v>
      </c>
      <c r="C236" s="24" t="n">
        <v>0.05</v>
      </c>
      <c r="I236" s="6" t="s">
        <v>557</v>
      </c>
    </row>
    <row r="237" customFormat="false" ht="15" hidden="false" customHeight="false" outlineLevel="2" collapsed="false">
      <c r="A237" s="3" t="s">
        <v>558</v>
      </c>
      <c r="B237" s="11" t="s">
        <v>42</v>
      </c>
      <c r="C237" s="24" t="n">
        <v>0.85</v>
      </c>
      <c r="I237" s="6" t="s">
        <v>559</v>
      </c>
    </row>
    <row r="239" customFormat="false" ht="15" hidden="false" customHeight="false" outlineLevel="0" collapsed="true">
      <c r="A239" s="7" t="s">
        <v>560</v>
      </c>
      <c r="B239" s="8"/>
      <c r="C239" s="8"/>
      <c r="D239" s="8"/>
      <c r="E239" s="8"/>
      <c r="F239" s="8"/>
      <c r="G239" s="8"/>
      <c r="H239" s="8"/>
    </row>
    <row r="240" customFormat="false" ht="15" hidden="true" customHeight="false" outlineLevel="1" collapsed="false">
      <c r="A240" s="4" t="s">
        <v>561</v>
      </c>
      <c r="B240" s="11" t="s">
        <v>57</v>
      </c>
      <c r="C240" s="25" t="n">
        <v>31.289</v>
      </c>
      <c r="I240" s="6" t="s">
        <v>562</v>
      </c>
    </row>
    <row r="241" customFormat="false" ht="15" hidden="true" customHeight="false" outlineLevel="1" collapsed="false">
      <c r="A241" s="3" t="s">
        <v>563</v>
      </c>
      <c r="B241" s="11" t="s">
        <v>57</v>
      </c>
      <c r="C241" s="25" t="n">
        <v>23.103</v>
      </c>
      <c r="I241" s="11" t="s">
        <v>564</v>
      </c>
    </row>
    <row r="242" customFormat="false" ht="15" hidden="true" customHeight="false" outlineLevel="1" collapsed="false">
      <c r="A242" s="3" t="s">
        <v>565</v>
      </c>
      <c r="B242" s="11" t="s">
        <v>57</v>
      </c>
      <c r="C242" s="25" t="n">
        <v>28.499</v>
      </c>
      <c r="I242" s="11" t="s">
        <v>566</v>
      </c>
    </row>
    <row r="243" customFormat="false" ht="15" hidden="true" customHeight="false" outlineLevel="1" collapsed="false">
      <c r="A243" s="4" t="s">
        <v>567</v>
      </c>
      <c r="B243" s="11" t="s">
        <v>57</v>
      </c>
      <c r="C243" s="25" t="n">
        <v>28.499</v>
      </c>
      <c r="I243" s="6" t="s">
        <v>568</v>
      </c>
    </row>
    <row r="244" customFormat="false" ht="15" hidden="true" customHeight="false" outlineLevel="1" collapsed="false">
      <c r="A244" s="4" t="s">
        <v>569</v>
      </c>
      <c r="B244" s="11" t="s">
        <v>57</v>
      </c>
      <c r="C244" s="25" t="n">
        <v>0</v>
      </c>
      <c r="I244" s="6" t="s">
        <v>570</v>
      </c>
    </row>
    <row r="245" customFormat="false" ht="15" hidden="true" customHeight="false" outlineLevel="1" collapsed="false">
      <c r="A245" s="3" t="s">
        <v>571</v>
      </c>
      <c r="B245" s="11" t="s">
        <v>57</v>
      </c>
      <c r="C245" s="25" t="n">
        <v>0</v>
      </c>
      <c r="I245" s="11" t="s">
        <v>572</v>
      </c>
    </row>
    <row r="246" customFormat="false" ht="15" hidden="true" customHeight="false" outlineLevel="1" collapsed="false">
      <c r="A246" s="3" t="s">
        <v>573</v>
      </c>
      <c r="B246" s="11" t="s">
        <v>57</v>
      </c>
      <c r="C246" s="25" t="n">
        <v>4.202</v>
      </c>
      <c r="I246" s="6" t="s">
        <v>574</v>
      </c>
    </row>
    <row r="247" customFormat="false" ht="15" hidden="true" customHeight="false" outlineLevel="1" collapsed="false">
      <c r="A247" s="4" t="s">
        <v>575</v>
      </c>
      <c r="B247" s="11" t="s">
        <v>57</v>
      </c>
      <c r="C247" s="25" t="n">
        <v>0</v>
      </c>
      <c r="I247" s="6" t="s">
        <v>576</v>
      </c>
    </row>
    <row r="248" customFormat="false" ht="15" hidden="true" customHeight="false" outlineLevel="1" collapsed="false">
      <c r="A248" s="3" t="s">
        <v>577</v>
      </c>
      <c r="B248" s="11" t="s">
        <v>57</v>
      </c>
      <c r="C248" s="25" t="n">
        <v>19.909</v>
      </c>
      <c r="I248" s="11" t="s">
        <v>578</v>
      </c>
    </row>
    <row r="249" customFormat="false" ht="15" hidden="true" customHeight="false" outlineLevel="1" collapsed="false">
      <c r="A249" s="3" t="s">
        <v>579</v>
      </c>
      <c r="B249" s="11" t="s">
        <v>57</v>
      </c>
      <c r="C249" s="25" t="n">
        <v>1.428</v>
      </c>
      <c r="I249" s="11" t="s">
        <v>580</v>
      </c>
    </row>
    <row r="250" customFormat="false" ht="15" hidden="true" customHeight="false" outlineLevel="1" collapsed="false">
      <c r="A250" s="3" t="s">
        <v>581</v>
      </c>
      <c r="B250" s="11" t="s">
        <v>57</v>
      </c>
      <c r="C250" s="25" t="n">
        <v>1.136</v>
      </c>
      <c r="I250" s="6" t="s">
        <v>582</v>
      </c>
    </row>
    <row r="251" customFormat="false" ht="15" hidden="true" customHeight="false" outlineLevel="1" collapsed="false">
      <c r="A251" s="3" t="s">
        <v>583</v>
      </c>
      <c r="B251" s="11" t="s">
        <v>57</v>
      </c>
      <c r="C251" s="25" t="n">
        <v>19.345</v>
      </c>
      <c r="I251" s="11" t="s">
        <v>584</v>
      </c>
    </row>
    <row r="252" customFormat="false" ht="15" hidden="true" customHeight="false" outlineLevel="1" collapsed="false">
      <c r="A252" s="4" t="s">
        <v>585</v>
      </c>
      <c r="B252" s="11" t="s">
        <v>57</v>
      </c>
      <c r="C252" s="25" t="n">
        <v>6.728</v>
      </c>
      <c r="I252" s="11" t="s">
        <v>586</v>
      </c>
    </row>
    <row r="253" customFormat="false" ht="15" hidden="true" customHeight="false" outlineLevel="1" collapsed="false">
      <c r="A253" s="3" t="s">
        <v>587</v>
      </c>
      <c r="B253" s="11" t="s">
        <v>57</v>
      </c>
      <c r="C253" s="25" t="n">
        <v>4.76</v>
      </c>
      <c r="I253" s="6" t="s">
        <v>588</v>
      </c>
    </row>
    <row r="254" customFormat="false" ht="15" hidden="true" customHeight="false" outlineLevel="1" collapsed="false">
      <c r="A254" s="3" t="s">
        <v>589</v>
      </c>
      <c r="B254" s="11" t="s">
        <v>57</v>
      </c>
      <c r="C254" s="25" t="n">
        <v>11.363</v>
      </c>
      <c r="I254" s="6" t="s">
        <v>590</v>
      </c>
    </row>
    <row r="255" customFormat="false" ht="15" hidden="true" customHeight="false" outlineLevel="1" collapsed="false">
      <c r="A255" s="4" t="s">
        <v>591</v>
      </c>
      <c r="B255" s="11" t="s">
        <v>57</v>
      </c>
      <c r="C255" s="25" t="n">
        <v>3.358</v>
      </c>
      <c r="I255" s="6" t="s">
        <v>592</v>
      </c>
    </row>
    <row r="256" customFormat="false" ht="15" hidden="true" customHeight="false" outlineLevel="1" collapsed="false">
      <c r="A256" s="4" t="s">
        <v>593</v>
      </c>
      <c r="B256" s="11" t="s">
        <v>57</v>
      </c>
      <c r="C256" s="25" t="n">
        <v>1.127</v>
      </c>
      <c r="I256" s="6" t="s">
        <v>594</v>
      </c>
    </row>
    <row r="257" customFormat="false" ht="15" hidden="true" customHeight="false" outlineLevel="1" collapsed="false">
      <c r="A257" s="4" t="s">
        <v>595</v>
      </c>
      <c r="B257" s="11" t="s">
        <v>39</v>
      </c>
      <c r="C257" s="25" t="n">
        <v>1.56</v>
      </c>
      <c r="I257" s="11" t="s">
        <v>596</v>
      </c>
    </row>
    <row r="258" customFormat="false" ht="15" hidden="true" customHeight="false" outlineLevel="1" collapsed="false">
      <c r="A258" s="4" t="s">
        <v>597</v>
      </c>
      <c r="B258" s="11" t="s">
        <v>39</v>
      </c>
      <c r="C258" s="25" t="n">
        <v>1.96</v>
      </c>
      <c r="I258" s="11" t="s">
        <v>598</v>
      </c>
    </row>
    <row r="259" customFormat="false" ht="15" hidden="true" customHeight="false" outlineLevel="1" collapsed="false">
      <c r="A259" s="3" t="s">
        <v>599</v>
      </c>
      <c r="B259" s="11" t="s">
        <v>57</v>
      </c>
      <c r="C259" s="25" t="n">
        <v>1.565</v>
      </c>
      <c r="I259" s="6" t="s">
        <v>600</v>
      </c>
    </row>
    <row r="260" customFormat="false" ht="15" hidden="true" customHeight="false" outlineLevel="1" collapsed="false">
      <c r="A260" s="3" t="s">
        <v>601</v>
      </c>
      <c r="B260" s="11" t="s">
        <v>57</v>
      </c>
      <c r="C260" s="25" t="n">
        <v>11.307</v>
      </c>
      <c r="I260" s="11" t="s">
        <v>602</v>
      </c>
    </row>
    <row r="262" customFormat="false" ht="15" hidden="false" customHeight="false" outlineLevel="0" collapsed="false">
      <c r="A262" s="7" t="s">
        <v>603</v>
      </c>
      <c r="B262" s="8"/>
      <c r="C262" s="8"/>
      <c r="D262" s="8"/>
      <c r="E262" s="8"/>
      <c r="F262" s="8"/>
      <c r="G262" s="8"/>
      <c r="H262" s="8"/>
      <c r="I262" s="6" t="s">
        <v>604</v>
      </c>
    </row>
    <row r="263" customFormat="false" ht="15" hidden="false" customHeight="false" outlineLevel="1" collapsed="false">
      <c r="A263" s="3" t="s">
        <v>605</v>
      </c>
      <c r="D263" s="12" t="n">
        <f aca="false">評價_DCF與目標價!C51</f>
        <v>144.526628137328</v>
      </c>
      <c r="E263" s="9" t="n">
        <f aca="false">評價_DCF與目標價!C78</f>
        <v>0</v>
      </c>
    </row>
    <row r="264" customFormat="false" ht="15" hidden="false" customHeight="false" outlineLevel="1" collapsed="false">
      <c r="A264" s="3" t="s">
        <v>606</v>
      </c>
      <c r="C264" s="9" t="n">
        <v>1</v>
      </c>
      <c r="D264" s="43" t="n">
        <f t="dataTable" ref="D264:E266" dt2D="0" dtr="0" r1="C5"/>
        <v>79.7929504474258</v>
      </c>
      <c r="E264" s="44" t="n">
        <v>-1</v>
      </c>
    </row>
    <row r="265" customFormat="false" ht="15" hidden="false" customHeight="false" outlineLevel="1" collapsed="false">
      <c r="A265" s="3" t="s">
        <v>607</v>
      </c>
      <c r="C265" s="9" t="n">
        <v>2</v>
      </c>
      <c r="D265" s="43" t="n">
        <v>144.526628137328</v>
      </c>
      <c r="E265" s="44" t="n">
        <v>0</v>
      </c>
    </row>
    <row r="266" customFormat="false" ht="15" hidden="false" customHeight="false" outlineLevel="1" collapsed="false">
      <c r="A266" s="3" t="s">
        <v>608</v>
      </c>
      <c r="C266" s="9" t="n">
        <v>3</v>
      </c>
      <c r="D266" s="43" t="n">
        <v>226.609587065156</v>
      </c>
      <c r="E266" s="44" t="n">
        <v>1</v>
      </c>
    </row>
    <row r="268" customFormat="false" ht="15" hidden="false" customHeight="false" outlineLevel="0" collapsed="false">
      <c r="A268" s="7" t="s">
        <v>609</v>
      </c>
      <c r="B268" s="8"/>
      <c r="C268" s="8"/>
      <c r="D268" s="8"/>
      <c r="E268" s="8"/>
      <c r="F268" s="8"/>
      <c r="G268" s="8"/>
      <c r="H268" s="8"/>
      <c r="I268" s="6" t="s">
        <v>610</v>
      </c>
    </row>
    <row r="269" customFormat="false" ht="15" hidden="false" customHeight="false" outlineLevel="1" collapsed="false">
      <c r="A269" s="14" t="s">
        <v>611</v>
      </c>
      <c r="B269" s="14" t="s">
        <v>52</v>
      </c>
      <c r="C269" s="14" t="s">
        <v>612</v>
      </c>
      <c r="D269" s="14"/>
      <c r="E269" s="14"/>
      <c r="F269" s="14" t="s">
        <v>613</v>
      </c>
      <c r="G269" s="14" t="s">
        <v>614</v>
      </c>
      <c r="H269" s="14"/>
      <c r="I269" s="14" t="s">
        <v>615</v>
      </c>
      <c r="J269" s="14" t="s">
        <v>616</v>
      </c>
    </row>
    <row r="270" customFormat="false" ht="15" hidden="false" customHeight="false" outlineLevel="1" collapsed="false">
      <c r="A270" s="3" t="s">
        <v>617</v>
      </c>
      <c r="B270" s="11" t="s">
        <v>39</v>
      </c>
      <c r="C270" s="38" t="n">
        <v>144.77</v>
      </c>
      <c r="F270" s="11" t="s">
        <v>531</v>
      </c>
      <c r="G270" s="11" t="s">
        <v>618</v>
      </c>
      <c r="I270" s="11" t="s">
        <v>619</v>
      </c>
      <c r="J270" s="6" t="s">
        <v>620</v>
      </c>
    </row>
    <row r="271" customFormat="false" ht="15" hidden="false" customHeight="false" outlineLevel="1" collapsed="false">
      <c r="A271" s="3" t="s">
        <v>621</v>
      </c>
      <c r="B271" s="11" t="s">
        <v>39</v>
      </c>
      <c r="C271" s="38" t="n">
        <v>237.97</v>
      </c>
      <c r="F271" s="11" t="s">
        <v>622</v>
      </c>
      <c r="G271" s="11" t="s">
        <v>623</v>
      </c>
      <c r="I271" s="11" t="s">
        <v>624</v>
      </c>
      <c r="J271" s="6"/>
    </row>
    <row r="272" customFormat="false" ht="15" hidden="false" customHeight="false" outlineLevel="1" collapsed="false">
      <c r="A272" s="3" t="s">
        <v>625</v>
      </c>
      <c r="B272" s="11" t="s">
        <v>39</v>
      </c>
      <c r="C272" s="38" t="n">
        <v>240</v>
      </c>
      <c r="F272" s="11" t="s">
        <v>622</v>
      </c>
      <c r="G272" s="11" t="s">
        <v>623</v>
      </c>
      <c r="I272" s="11" t="s">
        <v>624</v>
      </c>
      <c r="J272" s="6"/>
    </row>
    <row r="273" customFormat="false" ht="15" hidden="false" customHeight="false" outlineLevel="1" collapsed="false">
      <c r="A273" s="3" t="s">
        <v>626</v>
      </c>
      <c r="B273" s="11" t="s">
        <v>39</v>
      </c>
      <c r="C273" s="38" t="n">
        <v>110</v>
      </c>
      <c r="F273" s="11" t="s">
        <v>622</v>
      </c>
      <c r="G273" s="11" t="s">
        <v>623</v>
      </c>
      <c r="I273" s="11" t="s">
        <v>624</v>
      </c>
      <c r="J273" s="6"/>
    </row>
    <row r="274" customFormat="false" ht="15" hidden="false" customHeight="false" outlineLevel="1" collapsed="false">
      <c r="A274" s="3" t="s">
        <v>627</v>
      </c>
      <c r="B274" s="11" t="s">
        <v>39</v>
      </c>
      <c r="C274" s="38" t="n">
        <v>400</v>
      </c>
      <c r="F274" s="11" t="s">
        <v>622</v>
      </c>
      <c r="G274" s="11" t="s">
        <v>623</v>
      </c>
      <c r="I274" s="11" t="s">
        <v>624</v>
      </c>
      <c r="J274" s="6"/>
    </row>
    <row r="275" customFormat="false" ht="15" hidden="false" customHeight="false" outlineLevel="1" collapsed="false">
      <c r="A275" s="3" t="s">
        <v>628</v>
      </c>
      <c r="B275" s="6" t="s">
        <v>132</v>
      </c>
      <c r="C275" s="21" t="n">
        <v>43</v>
      </c>
      <c r="F275" s="11" t="s">
        <v>622</v>
      </c>
      <c r="G275" s="11" t="s">
        <v>623</v>
      </c>
      <c r="I275" s="11" t="s">
        <v>624</v>
      </c>
      <c r="J275" s="6"/>
    </row>
    <row r="276" customFormat="false" ht="15" hidden="false" customHeight="false" outlineLevel="1" collapsed="false">
      <c r="A276" s="3" t="s">
        <v>629</v>
      </c>
      <c r="B276" s="6"/>
      <c r="C276" s="4" t="s">
        <v>630</v>
      </c>
      <c r="F276" s="11" t="s">
        <v>622</v>
      </c>
      <c r="G276" s="11" t="s">
        <v>623</v>
      </c>
      <c r="I276" s="11" t="s">
        <v>624</v>
      </c>
      <c r="J276" s="6"/>
    </row>
    <row r="277" customFormat="false" ht="15" hidden="false" customHeight="false" outlineLevel="1" collapsed="false">
      <c r="A277" s="3" t="s">
        <v>631</v>
      </c>
      <c r="B277" s="11" t="s">
        <v>39</v>
      </c>
      <c r="C277" s="38" t="n">
        <v>251.72</v>
      </c>
      <c r="F277" s="11" t="s">
        <v>622</v>
      </c>
      <c r="G277" s="11" t="s">
        <v>623</v>
      </c>
      <c r="I277" s="11" t="s">
        <v>632</v>
      </c>
      <c r="J277" s="6"/>
    </row>
    <row r="278" customFormat="false" ht="15" hidden="false" customHeight="false" outlineLevel="1" collapsed="false">
      <c r="A278" s="3" t="s">
        <v>633</v>
      </c>
      <c r="B278" s="6" t="s">
        <v>132</v>
      </c>
      <c r="C278" s="21" t="n">
        <v>47</v>
      </c>
      <c r="F278" s="11" t="s">
        <v>622</v>
      </c>
      <c r="G278" s="11" t="s">
        <v>623</v>
      </c>
      <c r="I278" s="11" t="s">
        <v>632</v>
      </c>
      <c r="J278" s="6"/>
    </row>
    <row r="279" customFormat="false" ht="15" hidden="false" customHeight="false" outlineLevel="1" collapsed="false">
      <c r="A279" s="3" t="s">
        <v>634</v>
      </c>
      <c r="B279" s="6"/>
      <c r="C279" s="4" t="s">
        <v>635</v>
      </c>
      <c r="F279" s="11" t="s">
        <v>622</v>
      </c>
      <c r="G279" s="11" t="s">
        <v>623</v>
      </c>
      <c r="I279" s="11" t="s">
        <v>632</v>
      </c>
      <c r="J279" s="6"/>
    </row>
    <row r="280" customFormat="false" ht="15" hidden="false" customHeight="false" outlineLevel="1" collapsed="false">
      <c r="A280" s="3" t="s">
        <v>636</v>
      </c>
      <c r="B280" s="11" t="s">
        <v>39</v>
      </c>
      <c r="C280" s="38" t="n">
        <v>237.97</v>
      </c>
      <c r="F280" s="11" t="s">
        <v>622</v>
      </c>
      <c r="G280" s="11" t="s">
        <v>623</v>
      </c>
      <c r="I280" s="11" t="s">
        <v>637</v>
      </c>
      <c r="J280" s="6"/>
    </row>
    <row r="281" customFormat="false" ht="17.15" hidden="false" customHeight="false" outlineLevel="1" collapsed="false">
      <c r="A281" s="14" t="s">
        <v>638</v>
      </c>
      <c r="B281" s="14" t="s">
        <v>52</v>
      </c>
      <c r="C281" s="14" t="s">
        <v>612</v>
      </c>
      <c r="D281" s="14"/>
      <c r="E281" s="14"/>
      <c r="F281" s="14" t="s">
        <v>613</v>
      </c>
      <c r="G281" s="14" t="s">
        <v>614</v>
      </c>
      <c r="H281" s="14"/>
      <c r="I281" s="14" t="s">
        <v>615</v>
      </c>
      <c r="J281" s="14" t="s">
        <v>616</v>
      </c>
    </row>
    <row r="282" customFormat="false" ht="15" hidden="false" customHeight="false" outlineLevel="1" collapsed="false">
      <c r="A282" s="3" t="s">
        <v>639</v>
      </c>
      <c r="B282" s="6" t="s">
        <v>132</v>
      </c>
      <c r="C282" s="21" t="n">
        <v>28</v>
      </c>
      <c r="F282" s="11" t="s">
        <v>622</v>
      </c>
      <c r="G282" s="11" t="s">
        <v>623</v>
      </c>
      <c r="I282" s="11" t="s">
        <v>624</v>
      </c>
      <c r="J282" s="6"/>
    </row>
    <row r="283" customFormat="false" ht="15" hidden="false" customHeight="false" outlineLevel="1" collapsed="false">
      <c r="A283" s="3" t="s">
        <v>640</v>
      </c>
      <c r="B283" s="6" t="s">
        <v>132</v>
      </c>
      <c r="C283" s="21" t="n">
        <v>7</v>
      </c>
      <c r="F283" s="11" t="s">
        <v>622</v>
      </c>
      <c r="G283" s="11" t="s">
        <v>623</v>
      </c>
      <c r="I283" s="11" t="s">
        <v>624</v>
      </c>
      <c r="J283" s="6"/>
    </row>
    <row r="284" customFormat="false" ht="15" hidden="false" customHeight="false" outlineLevel="1" collapsed="false">
      <c r="A284" s="3" t="s">
        <v>641</v>
      </c>
      <c r="B284" s="6" t="s">
        <v>132</v>
      </c>
      <c r="C284" s="21" t="n">
        <v>7</v>
      </c>
      <c r="F284" s="11" t="s">
        <v>622</v>
      </c>
      <c r="G284" s="11" t="s">
        <v>623</v>
      </c>
      <c r="I284" s="11" t="s">
        <v>624</v>
      </c>
      <c r="J284" s="6"/>
    </row>
    <row r="285" customFormat="false" ht="15" hidden="false" customHeight="false" outlineLevel="1" collapsed="false">
      <c r="A285" s="3" t="s">
        <v>642</v>
      </c>
      <c r="B285" s="6" t="s">
        <v>132</v>
      </c>
      <c r="C285" s="21" t="n">
        <v>0</v>
      </c>
      <c r="F285" s="11" t="s">
        <v>622</v>
      </c>
      <c r="G285" s="11" t="s">
        <v>623</v>
      </c>
      <c r="I285" s="11" t="s">
        <v>624</v>
      </c>
      <c r="J285" s="6"/>
    </row>
    <row r="286" customFormat="false" ht="15" hidden="false" customHeight="false" outlineLevel="1" collapsed="false">
      <c r="A286" s="3" t="s">
        <v>643</v>
      </c>
      <c r="B286" s="6" t="s">
        <v>132</v>
      </c>
      <c r="C286" s="21" t="n">
        <v>1</v>
      </c>
      <c r="F286" s="11" t="s">
        <v>622</v>
      </c>
      <c r="G286" s="11" t="s">
        <v>623</v>
      </c>
      <c r="I286" s="11" t="s">
        <v>624</v>
      </c>
      <c r="J286" s="6"/>
    </row>
    <row r="287" customFormat="false" ht="15" hidden="false" customHeight="false" outlineLevel="1" collapsed="false">
      <c r="A287" s="3" t="s">
        <v>644</v>
      </c>
      <c r="B287" s="6" t="s">
        <v>132</v>
      </c>
      <c r="C287" s="21" t="n">
        <v>43</v>
      </c>
      <c r="F287" s="11" t="s">
        <v>622</v>
      </c>
      <c r="G287" s="11" t="s">
        <v>623</v>
      </c>
      <c r="I287" s="11" t="s">
        <v>624</v>
      </c>
      <c r="J287" s="6"/>
    </row>
    <row r="288" customFormat="false" ht="17.15" hidden="false" customHeight="false" outlineLevel="1" collapsed="false">
      <c r="A288" s="14" t="s">
        <v>645</v>
      </c>
      <c r="B288" s="14" t="s">
        <v>52</v>
      </c>
      <c r="C288" s="14" t="s">
        <v>612</v>
      </c>
      <c r="D288" s="14"/>
      <c r="E288" s="14"/>
      <c r="F288" s="14" t="s">
        <v>613</v>
      </c>
      <c r="G288" s="14" t="s">
        <v>614</v>
      </c>
      <c r="H288" s="14"/>
      <c r="I288" s="14" t="s">
        <v>615</v>
      </c>
      <c r="J288" s="14" t="s">
        <v>616</v>
      </c>
    </row>
    <row r="289" customFormat="false" ht="15" hidden="false" customHeight="false" outlineLevel="1" collapsed="false">
      <c r="A289" s="3" t="s">
        <v>646</v>
      </c>
      <c r="B289" s="11" t="s">
        <v>57</v>
      </c>
      <c r="C289" s="45" t="n">
        <v>90.449</v>
      </c>
      <c r="D289" s="45" t="n">
        <v>131.711</v>
      </c>
      <c r="E289" s="45" t="n">
        <v>183.569</v>
      </c>
      <c r="F289" s="11" t="s">
        <v>622</v>
      </c>
      <c r="G289" s="11" t="s">
        <v>623</v>
      </c>
      <c r="I289" s="11" t="s">
        <v>647</v>
      </c>
      <c r="J289" s="6"/>
    </row>
    <row r="290" customFormat="false" ht="15" hidden="false" customHeight="false" outlineLevel="1" collapsed="false">
      <c r="A290" s="3" t="s">
        <v>648</v>
      </c>
      <c r="B290" s="11" t="s">
        <v>57</v>
      </c>
      <c r="C290" s="45" t="n">
        <v>51.664</v>
      </c>
      <c r="D290" s="45" t="n">
        <v>74.642</v>
      </c>
      <c r="E290" s="45" t="n">
        <v>107.543</v>
      </c>
      <c r="F290" s="11" t="s">
        <v>622</v>
      </c>
      <c r="G290" s="11" t="s">
        <v>623</v>
      </c>
      <c r="I290" s="11" t="s">
        <v>647</v>
      </c>
      <c r="J290" s="6"/>
    </row>
    <row r="291" customFormat="false" ht="15" hidden="false" customHeight="false" outlineLevel="1" collapsed="false">
      <c r="A291" s="3" t="s">
        <v>649</v>
      </c>
      <c r="B291" s="11" t="s">
        <v>42</v>
      </c>
      <c r="C291" s="24" t="n">
        <v>0.5712</v>
      </c>
      <c r="D291" s="24" t="n">
        <v>0.5667</v>
      </c>
      <c r="E291" s="24" t="n">
        <v>0.5858</v>
      </c>
      <c r="F291" s="11" t="s">
        <v>622</v>
      </c>
      <c r="G291" s="11" t="s">
        <v>623</v>
      </c>
      <c r="I291" s="11" t="s">
        <v>647</v>
      </c>
      <c r="J291" s="6"/>
    </row>
    <row r="292" customFormat="false" ht="15" hidden="false" customHeight="false" outlineLevel="1" collapsed="false">
      <c r="A292" s="3" t="s">
        <v>650</v>
      </c>
      <c r="B292" s="11" t="s">
        <v>57</v>
      </c>
      <c r="C292" s="45" t="n">
        <v>36.309</v>
      </c>
      <c r="D292" s="45" t="n">
        <v>49.476</v>
      </c>
      <c r="E292" s="45" t="n">
        <v>69.462</v>
      </c>
      <c r="F292" s="11" t="s">
        <v>622</v>
      </c>
      <c r="G292" s="11" t="s">
        <v>623</v>
      </c>
      <c r="I292" s="11" t="s">
        <v>647</v>
      </c>
      <c r="J292" s="6"/>
    </row>
    <row r="293" customFormat="false" ht="15" hidden="false" customHeight="false" outlineLevel="1" collapsed="false">
      <c r="A293" s="3" t="s">
        <v>651</v>
      </c>
      <c r="B293" s="11" t="s">
        <v>57</v>
      </c>
      <c r="C293" s="45" t="n">
        <v>6.207</v>
      </c>
      <c r="D293" s="45" t="n">
        <v>7.401</v>
      </c>
      <c r="E293" s="45" t="n">
        <v>8.051</v>
      </c>
      <c r="F293" s="11" t="s">
        <v>622</v>
      </c>
      <c r="G293" s="11" t="s">
        <v>623</v>
      </c>
      <c r="I293" s="11" t="s">
        <v>647</v>
      </c>
      <c r="J293" s="6"/>
    </row>
    <row r="294" customFormat="false" ht="15" hidden="false" customHeight="false" outlineLevel="1" collapsed="false">
      <c r="A294" s="3" t="s">
        <v>652</v>
      </c>
      <c r="B294" s="11" t="s">
        <v>57</v>
      </c>
      <c r="C294" s="45" t="n">
        <v>20.397</v>
      </c>
      <c r="D294" s="45" t="n">
        <v>29.077</v>
      </c>
      <c r="E294" s="45" t="n">
        <v>44.339</v>
      </c>
      <c r="F294" s="11" t="s">
        <v>622</v>
      </c>
      <c r="G294" s="11" t="s">
        <v>623</v>
      </c>
      <c r="I294" s="11" t="s">
        <v>647</v>
      </c>
      <c r="J294" s="6"/>
    </row>
    <row r="295" customFormat="false" ht="15" hidden="false" customHeight="false" outlineLevel="1" collapsed="false">
      <c r="A295" s="3" t="s">
        <v>653</v>
      </c>
      <c r="B295" s="11" t="s">
        <v>39</v>
      </c>
      <c r="C295" s="38" t="n">
        <v>6.643</v>
      </c>
      <c r="D295" s="38" t="n">
        <v>9.144</v>
      </c>
      <c r="E295" s="38" t="n">
        <v>13.43</v>
      </c>
      <c r="F295" s="11" t="s">
        <v>622</v>
      </c>
      <c r="G295" s="11" t="s">
        <v>623</v>
      </c>
      <c r="I295" s="11" t="s">
        <v>647</v>
      </c>
      <c r="J295" s="6"/>
    </row>
    <row r="296" customFormat="false" ht="15" hidden="false" customHeight="false" outlineLevel="1" collapsed="false">
      <c r="A296" s="3" t="s">
        <v>654</v>
      </c>
      <c r="B296" s="11" t="s">
        <v>57</v>
      </c>
      <c r="C296" s="45" t="n">
        <v>93.961</v>
      </c>
      <c r="D296" s="45" t="n">
        <v>100.962</v>
      </c>
      <c r="E296" s="45" t="n">
        <v>84.848</v>
      </c>
      <c r="F296" s="11" t="s">
        <v>622</v>
      </c>
      <c r="G296" s="11" t="s">
        <v>623</v>
      </c>
      <c r="I296" s="11" t="s">
        <v>647</v>
      </c>
      <c r="J296" s="6"/>
    </row>
    <row r="297" customFormat="false" ht="15" hidden="false" customHeight="false" outlineLevel="1" collapsed="false">
      <c r="A297" s="3" t="s">
        <v>655</v>
      </c>
      <c r="B297" s="11" t="s">
        <v>57</v>
      </c>
      <c r="C297" s="45" t="n">
        <v>-37.32</v>
      </c>
      <c r="D297" s="45" t="n">
        <v>-32.56</v>
      </c>
      <c r="E297" s="45" t="n">
        <v>6.154</v>
      </c>
      <c r="F297" s="11" t="s">
        <v>622</v>
      </c>
      <c r="G297" s="11" t="s">
        <v>623</v>
      </c>
      <c r="I297" s="11" t="s">
        <v>647</v>
      </c>
      <c r="J297" s="6"/>
    </row>
    <row r="298" customFormat="false" ht="15" hidden="false" customHeight="false" outlineLevel="1" collapsed="false">
      <c r="A298" s="3" t="s">
        <v>656</v>
      </c>
      <c r="B298" s="11" t="s">
        <v>57</v>
      </c>
      <c r="C298" s="45" t="n">
        <v>117.047</v>
      </c>
      <c r="D298" s="45" t="n">
        <v>147.351</v>
      </c>
      <c r="E298" s="45" t="n">
        <v>146.812</v>
      </c>
      <c r="F298" s="11" t="s">
        <v>622</v>
      </c>
      <c r="G298" s="11" t="s">
        <v>623</v>
      </c>
      <c r="I298" s="11" t="s">
        <v>647</v>
      </c>
      <c r="J298" s="6"/>
    </row>
    <row r="299" customFormat="false" ht="15" hidden="false" customHeight="false" outlineLevel="1" collapsed="false">
      <c r="A299" s="3" t="s">
        <v>657</v>
      </c>
      <c r="B299" s="11" t="s">
        <v>39</v>
      </c>
      <c r="C299" s="38" t="n">
        <v>1.995</v>
      </c>
      <c r="D299" s="38" t="n">
        <v>2.074</v>
      </c>
      <c r="E299" s="38" t="n">
        <v>2.179</v>
      </c>
      <c r="F299" s="11" t="s">
        <v>622</v>
      </c>
      <c r="G299" s="11" t="s">
        <v>623</v>
      </c>
      <c r="I299" s="11" t="s">
        <v>647</v>
      </c>
      <c r="J299" s="6"/>
    </row>
    <row r="300" customFormat="false" ht="15" hidden="false" customHeight="false" outlineLevel="1" collapsed="false">
      <c r="A300" s="3" t="s">
        <v>658</v>
      </c>
      <c r="B300" s="6"/>
      <c r="C300" s="4" t="s">
        <v>659</v>
      </c>
      <c r="F300" s="11" t="s">
        <v>622</v>
      </c>
      <c r="G300" s="11" t="s">
        <v>623</v>
      </c>
      <c r="I300" s="11" t="s">
        <v>647</v>
      </c>
      <c r="J300" s="6"/>
    </row>
    <row r="301" customFormat="false" ht="17.15" hidden="false" customHeight="false" outlineLevel="1" collapsed="false">
      <c r="A301" s="15" t="s">
        <v>660</v>
      </c>
      <c r="B301" s="14" t="s">
        <v>52</v>
      </c>
      <c r="C301" s="14" t="s">
        <v>612</v>
      </c>
      <c r="D301" s="14"/>
      <c r="E301" s="14"/>
      <c r="F301" s="14" t="s">
        <v>613</v>
      </c>
      <c r="G301" s="14" t="s">
        <v>614</v>
      </c>
      <c r="H301" s="14"/>
      <c r="I301" s="14" t="s">
        <v>615</v>
      </c>
      <c r="J301" s="14" t="s">
        <v>616</v>
      </c>
    </row>
    <row r="302" customFormat="false" ht="15" hidden="false" customHeight="false" outlineLevel="1" collapsed="false">
      <c r="A302" s="3" t="s">
        <v>661</v>
      </c>
      <c r="B302" s="11" t="s">
        <v>57</v>
      </c>
      <c r="C302" s="45" t="n">
        <v>90.45</v>
      </c>
      <c r="F302" s="11" t="s">
        <v>622</v>
      </c>
      <c r="G302" s="11" t="s">
        <v>623</v>
      </c>
      <c r="I302" s="11" t="s">
        <v>624</v>
      </c>
      <c r="J302" s="6"/>
    </row>
    <row r="303" customFormat="false" ht="15" hidden="false" customHeight="false" outlineLevel="1" collapsed="false">
      <c r="A303" s="3" t="s">
        <v>662</v>
      </c>
      <c r="B303" s="11" t="s">
        <v>39</v>
      </c>
      <c r="C303" s="38" t="n">
        <v>8.14</v>
      </c>
      <c r="F303" s="11" t="s">
        <v>622</v>
      </c>
      <c r="G303" s="11" t="s">
        <v>623</v>
      </c>
      <c r="I303" s="11" t="s">
        <v>624</v>
      </c>
      <c r="J303" s="11" t="s">
        <v>663</v>
      </c>
    </row>
    <row r="304" customFormat="false" ht="17.15" hidden="false" customHeight="false" outlineLevel="1" collapsed="false">
      <c r="A304" s="14" t="s">
        <v>664</v>
      </c>
      <c r="B304" s="14" t="s">
        <v>52</v>
      </c>
      <c r="C304" s="14" t="s">
        <v>612</v>
      </c>
      <c r="D304" s="14"/>
      <c r="E304" s="14"/>
      <c r="F304" s="14" t="s">
        <v>613</v>
      </c>
      <c r="G304" s="14" t="s">
        <v>614</v>
      </c>
      <c r="H304" s="14"/>
      <c r="I304" s="14" t="s">
        <v>615</v>
      </c>
      <c r="J304" s="14" t="s">
        <v>616</v>
      </c>
    </row>
    <row r="305" customFormat="false" ht="15" hidden="false" customHeight="false" outlineLevel="1" collapsed="false">
      <c r="A305" s="3" t="s">
        <v>665</v>
      </c>
      <c r="B305" s="11" t="s">
        <v>57</v>
      </c>
      <c r="C305" s="45" t="n">
        <v>21.322</v>
      </c>
      <c r="D305" s="45" t="n">
        <v>23.38</v>
      </c>
      <c r="F305" s="11" t="s">
        <v>622</v>
      </c>
      <c r="G305" s="11" t="s">
        <v>623</v>
      </c>
      <c r="I305" s="11" t="s">
        <v>647</v>
      </c>
      <c r="J305" s="6"/>
    </row>
    <row r="306" customFormat="false" ht="15" hidden="false" customHeight="false" outlineLevel="1" collapsed="false">
      <c r="A306" s="3" t="s">
        <v>666</v>
      </c>
      <c r="B306" s="11" t="s">
        <v>57</v>
      </c>
      <c r="C306" s="45" t="n">
        <v>12.359</v>
      </c>
      <c r="D306" s="45" t="n">
        <v>13.515</v>
      </c>
      <c r="F306" s="11" t="s">
        <v>622</v>
      </c>
      <c r="G306" s="11" t="s">
        <v>623</v>
      </c>
      <c r="I306" s="11" t="s">
        <v>647</v>
      </c>
      <c r="J306" s="6"/>
    </row>
    <row r="307" customFormat="false" ht="15" hidden="false" customHeight="false" outlineLevel="1" collapsed="false">
      <c r="A307" s="3" t="s">
        <v>667</v>
      </c>
      <c r="B307" s="11" t="s">
        <v>57</v>
      </c>
      <c r="C307" s="45" t="n">
        <v>8.536</v>
      </c>
      <c r="D307" s="45" t="n">
        <v>9.23</v>
      </c>
      <c r="F307" s="11" t="s">
        <v>622</v>
      </c>
      <c r="G307" s="11" t="s">
        <v>623</v>
      </c>
      <c r="I307" s="11" t="s">
        <v>647</v>
      </c>
      <c r="J307" s="6"/>
    </row>
    <row r="308" customFormat="false" ht="15" hidden="false" customHeight="false" outlineLevel="1" collapsed="false">
      <c r="A308" s="3" t="s">
        <v>668</v>
      </c>
      <c r="B308" s="11" t="s">
        <v>57</v>
      </c>
      <c r="C308" s="45" t="n">
        <v>4.762</v>
      </c>
      <c r="D308" s="45" t="n">
        <v>5.105</v>
      </c>
      <c r="F308" s="11" t="s">
        <v>622</v>
      </c>
      <c r="G308" s="11" t="s">
        <v>623</v>
      </c>
      <c r="I308" s="11" t="s">
        <v>647</v>
      </c>
      <c r="J308" s="6"/>
    </row>
    <row r="309" customFormat="false" ht="15" hidden="false" customHeight="false" outlineLevel="1" collapsed="false">
      <c r="A309" s="3" t="s">
        <v>669</v>
      </c>
      <c r="B309" s="6"/>
      <c r="C309" s="4" t="s">
        <v>670</v>
      </c>
      <c r="F309" s="11" t="s">
        <v>622</v>
      </c>
      <c r="G309" s="11" t="s">
        <v>623</v>
      </c>
      <c r="I309" s="11" t="s">
        <v>647</v>
      </c>
      <c r="J309" s="6"/>
    </row>
    <row r="310" customFormat="false" ht="15" hidden="false" customHeight="false" outlineLevel="1" collapsed="false">
      <c r="A310" s="14" t="s">
        <v>671</v>
      </c>
      <c r="B310" s="14" t="s">
        <v>52</v>
      </c>
      <c r="C310" s="14" t="s">
        <v>612</v>
      </c>
      <c r="D310" s="14"/>
      <c r="E310" s="14"/>
      <c r="F310" s="14" t="s">
        <v>613</v>
      </c>
      <c r="G310" s="14" t="s">
        <v>614</v>
      </c>
      <c r="H310" s="14"/>
      <c r="I310" s="14" t="s">
        <v>615</v>
      </c>
      <c r="J310" s="14" t="s">
        <v>616</v>
      </c>
    </row>
    <row r="311" customFormat="false" ht="15" hidden="false" customHeight="false" outlineLevel="1" collapsed="false">
      <c r="A311" s="3" t="s">
        <v>672</v>
      </c>
      <c r="B311" s="11" t="s">
        <v>57</v>
      </c>
      <c r="C311" s="45" t="n">
        <v>90</v>
      </c>
      <c r="F311" s="6" t="s">
        <v>673</v>
      </c>
      <c r="G311" s="11" t="s">
        <v>623</v>
      </c>
      <c r="I311" s="11" t="s">
        <v>674</v>
      </c>
      <c r="J311" s="6"/>
    </row>
    <row r="312" customFormat="false" ht="15" hidden="false" customHeight="false" outlineLevel="1" collapsed="false">
      <c r="A312" s="3" t="s">
        <v>675</v>
      </c>
      <c r="B312" s="11" t="s">
        <v>57</v>
      </c>
      <c r="C312" s="45" t="n">
        <v>90</v>
      </c>
      <c r="D312" s="45" t="n">
        <v>95</v>
      </c>
      <c r="F312" s="6" t="s">
        <v>673</v>
      </c>
      <c r="G312" s="11" t="s">
        <v>623</v>
      </c>
      <c r="I312" s="11" t="s">
        <v>674</v>
      </c>
      <c r="J312" s="6"/>
    </row>
    <row r="313" customFormat="false" ht="15" hidden="false" customHeight="false" outlineLevel="1" collapsed="false">
      <c r="A313" s="3" t="s">
        <v>676</v>
      </c>
      <c r="B313" s="11" t="s">
        <v>57</v>
      </c>
      <c r="C313" s="45" t="n">
        <v>70</v>
      </c>
      <c r="F313" s="6" t="s">
        <v>673</v>
      </c>
      <c r="G313" s="11" t="s">
        <v>623</v>
      </c>
      <c r="I313" s="11" t="s">
        <v>674</v>
      </c>
      <c r="J313" s="6"/>
    </row>
    <row r="314" customFormat="false" ht="15" hidden="false" customHeight="false" outlineLevel="1" collapsed="false">
      <c r="A314" s="3" t="s">
        <v>677</v>
      </c>
      <c r="B314" s="11" t="s">
        <v>39</v>
      </c>
      <c r="C314" s="38" t="n">
        <v>8.1</v>
      </c>
      <c r="F314" s="6" t="s">
        <v>673</v>
      </c>
      <c r="G314" s="11" t="s">
        <v>623</v>
      </c>
      <c r="I314" s="11" t="s">
        <v>674</v>
      </c>
      <c r="J314" s="6"/>
    </row>
    <row r="315" customFormat="false" ht="15" hidden="false" customHeight="false" outlineLevel="1" collapsed="false">
      <c r="A315" s="3" t="s">
        <v>678</v>
      </c>
      <c r="B315" s="11" t="s">
        <v>57</v>
      </c>
      <c r="C315" s="45" t="n">
        <v>40</v>
      </c>
      <c r="F315" s="6" t="s">
        <v>673</v>
      </c>
      <c r="G315" s="11" t="s">
        <v>623</v>
      </c>
      <c r="I315" s="11" t="s">
        <v>674</v>
      </c>
      <c r="J315" s="6" t="s">
        <v>679</v>
      </c>
    </row>
    <row r="316" customFormat="false" ht="17.15" hidden="false" customHeight="false" outlineLevel="1" collapsed="false">
      <c r="A316" s="14" t="s">
        <v>680</v>
      </c>
      <c r="B316" s="14" t="s">
        <v>52</v>
      </c>
      <c r="C316" s="14" t="s">
        <v>612</v>
      </c>
      <c r="D316" s="14"/>
      <c r="E316" s="14"/>
      <c r="F316" s="14" t="s">
        <v>613</v>
      </c>
      <c r="G316" s="14" t="s">
        <v>614</v>
      </c>
      <c r="H316" s="14"/>
      <c r="I316" s="14" t="s">
        <v>615</v>
      </c>
      <c r="J316" s="14" t="s">
        <v>616</v>
      </c>
    </row>
    <row r="317" customFormat="false" ht="15" hidden="false" customHeight="false" outlineLevel="1" collapsed="false">
      <c r="A317" s="3" t="s">
        <v>681</v>
      </c>
      <c r="B317" s="11" t="s">
        <v>57</v>
      </c>
      <c r="C317" s="45" t="n">
        <v>90.48</v>
      </c>
      <c r="F317" s="11" t="s">
        <v>622</v>
      </c>
      <c r="G317" s="11" t="s">
        <v>623</v>
      </c>
      <c r="I317" s="11" t="s">
        <v>682</v>
      </c>
      <c r="J317" s="6"/>
    </row>
    <row r="318" customFormat="false" ht="15" hidden="false" customHeight="false" outlineLevel="1" collapsed="false">
      <c r="A318" s="3" t="s">
        <v>683</v>
      </c>
      <c r="B318" s="11" t="s">
        <v>57</v>
      </c>
      <c r="C318" s="45" t="n">
        <v>131.45</v>
      </c>
      <c r="F318" s="11" t="s">
        <v>622</v>
      </c>
      <c r="G318" s="11" t="s">
        <v>623</v>
      </c>
      <c r="I318" s="11" t="s">
        <v>682</v>
      </c>
      <c r="J318" s="6"/>
    </row>
    <row r="319" customFormat="false" ht="15" hidden="false" customHeight="false" outlineLevel="1" collapsed="false">
      <c r="A319" s="3" t="s">
        <v>684</v>
      </c>
      <c r="B319" s="11" t="s">
        <v>39</v>
      </c>
      <c r="C319" s="38" t="n">
        <v>8.14</v>
      </c>
      <c r="F319" s="11" t="s">
        <v>622</v>
      </c>
      <c r="G319" s="11" t="s">
        <v>623</v>
      </c>
      <c r="I319" s="11" t="s">
        <v>682</v>
      </c>
      <c r="J319" s="6"/>
    </row>
    <row r="320" customFormat="false" ht="15" hidden="false" customHeight="false" outlineLevel="1" collapsed="false">
      <c r="A320" s="3" t="s">
        <v>685</v>
      </c>
      <c r="B320" s="11" t="s">
        <v>39</v>
      </c>
      <c r="C320" s="38" t="n">
        <v>11</v>
      </c>
      <c r="F320" s="11" t="s">
        <v>622</v>
      </c>
      <c r="G320" s="11" t="s">
        <v>623</v>
      </c>
      <c r="I320" s="11" t="s">
        <v>682</v>
      </c>
      <c r="J320" s="6" t="s">
        <v>686</v>
      </c>
    </row>
    <row r="321" customFormat="false" ht="15" hidden="false" customHeight="false" outlineLevel="1" collapsed="false">
      <c r="A321" s="14" t="s">
        <v>687</v>
      </c>
      <c r="B321" s="14" t="s">
        <v>52</v>
      </c>
      <c r="C321" s="14" t="s">
        <v>612</v>
      </c>
      <c r="D321" s="14"/>
      <c r="E321" s="14"/>
      <c r="F321" s="14" t="s">
        <v>613</v>
      </c>
      <c r="G321" s="14" t="s">
        <v>614</v>
      </c>
      <c r="H321" s="14"/>
      <c r="I321" s="14" t="s">
        <v>615</v>
      </c>
      <c r="J321" s="14" t="s">
        <v>616</v>
      </c>
    </row>
    <row r="322" customFormat="false" ht="15" hidden="false" customHeight="false" outlineLevel="1" collapsed="false">
      <c r="A322" s="3" t="s">
        <v>688</v>
      </c>
      <c r="B322" s="11" t="s">
        <v>39</v>
      </c>
      <c r="C322" s="38" t="n">
        <v>155</v>
      </c>
      <c r="F322" s="11" t="s">
        <v>622</v>
      </c>
      <c r="G322" s="11" t="s">
        <v>623</v>
      </c>
      <c r="I322" s="11" t="s">
        <v>689</v>
      </c>
      <c r="J322" s="11" t="s">
        <v>690</v>
      </c>
    </row>
    <row r="323" customFormat="false" ht="15" hidden="false" customHeight="false" outlineLevel="1" collapsed="false">
      <c r="A323" s="3" t="s">
        <v>691</v>
      </c>
      <c r="B323" s="11" t="s">
        <v>39</v>
      </c>
      <c r="C323" s="38" t="n">
        <v>325</v>
      </c>
      <c r="F323" s="11" t="s">
        <v>622</v>
      </c>
      <c r="G323" s="11" t="s">
        <v>623</v>
      </c>
      <c r="I323" s="11" t="s">
        <v>689</v>
      </c>
      <c r="J323" s="11" t="s">
        <v>692</v>
      </c>
    </row>
    <row r="324" customFormat="false" ht="15" hidden="false" customHeight="false" outlineLevel="1" collapsed="false">
      <c r="A324" s="3" t="s">
        <v>693</v>
      </c>
      <c r="B324" s="11" t="s">
        <v>39</v>
      </c>
      <c r="C324" s="38" t="n">
        <v>200</v>
      </c>
      <c r="F324" s="11" t="s">
        <v>622</v>
      </c>
      <c r="G324" s="11" t="s">
        <v>623</v>
      </c>
      <c r="I324" s="11" t="s">
        <v>689</v>
      </c>
      <c r="J324" s="11" t="s">
        <v>692</v>
      </c>
    </row>
    <row r="325" customFormat="false" ht="15" hidden="false" customHeight="false" outlineLevel="1" collapsed="false">
      <c r="A325" s="3" t="s">
        <v>694</v>
      </c>
      <c r="B325" s="11" t="s">
        <v>39</v>
      </c>
      <c r="C325" s="3" t="s">
        <v>695</v>
      </c>
      <c r="F325" s="11" t="s">
        <v>622</v>
      </c>
      <c r="G325" s="11" t="s">
        <v>623</v>
      </c>
      <c r="I325" s="11" t="s">
        <v>689</v>
      </c>
      <c r="J325" s="11" t="s">
        <v>692</v>
      </c>
    </row>
    <row r="326" customFormat="false" ht="15" hidden="false" customHeight="false" outlineLevel="1" collapsed="false">
      <c r="A326" s="3" t="s">
        <v>696</v>
      </c>
      <c r="B326" s="11" t="s">
        <v>39</v>
      </c>
      <c r="C326" s="3" t="s">
        <v>695</v>
      </c>
      <c r="F326" s="11" t="s">
        <v>622</v>
      </c>
      <c r="G326" s="11" t="s">
        <v>623</v>
      </c>
      <c r="I326" s="11" t="s">
        <v>689</v>
      </c>
      <c r="J326" s="11" t="s">
        <v>692</v>
      </c>
    </row>
    <row r="327" customFormat="false" ht="15" hidden="false" customHeight="false" outlineLevel="1" collapsed="false">
      <c r="A327" s="14" t="s">
        <v>697</v>
      </c>
      <c r="B327" s="14" t="s">
        <v>52</v>
      </c>
      <c r="C327" s="14" t="s">
        <v>612</v>
      </c>
      <c r="D327" s="14"/>
      <c r="E327" s="14"/>
      <c r="F327" s="14" t="s">
        <v>613</v>
      </c>
      <c r="G327" s="14" t="s">
        <v>614</v>
      </c>
      <c r="H327" s="14"/>
      <c r="I327" s="14" t="s">
        <v>615</v>
      </c>
      <c r="J327" s="14" t="s">
        <v>616</v>
      </c>
    </row>
    <row r="328" customFormat="false" ht="15" hidden="false" customHeight="false" outlineLevel="1" collapsed="false">
      <c r="A328" s="3" t="s">
        <v>698</v>
      </c>
      <c r="B328" s="6"/>
      <c r="C328" s="4" t="s">
        <v>699</v>
      </c>
      <c r="F328" s="11" t="s">
        <v>622</v>
      </c>
      <c r="G328" s="6"/>
      <c r="I328" s="6" t="s">
        <v>700</v>
      </c>
      <c r="J328" s="6"/>
    </row>
    <row r="329" customFormat="false" ht="15" hidden="false" customHeight="false" outlineLevel="1" collapsed="false">
      <c r="A329" s="3" t="s">
        <v>701</v>
      </c>
      <c r="B329" s="6"/>
      <c r="C329" s="4" t="s">
        <v>702</v>
      </c>
      <c r="F329" s="11" t="s">
        <v>622</v>
      </c>
      <c r="G329" s="6"/>
      <c r="I329" s="6" t="s">
        <v>700</v>
      </c>
      <c r="J329" s="6"/>
    </row>
    <row r="330" customFormat="false" ht="15" hidden="false" customHeight="false" outlineLevel="1" collapsed="false">
      <c r="A330" s="3" t="s">
        <v>703</v>
      </c>
      <c r="B330" s="6"/>
      <c r="C330" s="4" t="s">
        <v>704</v>
      </c>
      <c r="F330" s="11" t="s">
        <v>622</v>
      </c>
      <c r="G330" s="6"/>
      <c r="I330" s="6" t="s">
        <v>700</v>
      </c>
      <c r="J330" s="6"/>
    </row>
    <row r="331" customFormat="false" ht="15" hidden="false" customHeight="false" outlineLevel="1" collapsed="false">
      <c r="A331" s="3" t="s">
        <v>705</v>
      </c>
      <c r="B331" s="6"/>
      <c r="C331" s="4" t="s">
        <v>706</v>
      </c>
      <c r="F331" s="11" t="s">
        <v>622</v>
      </c>
      <c r="G331" s="6"/>
      <c r="I331" s="6" t="s">
        <v>700</v>
      </c>
      <c r="J331" s="6"/>
    </row>
    <row r="332" customFormat="false" ht="15" hidden="false" customHeight="false" outlineLevel="1" collapsed="false">
      <c r="A332" s="3" t="s">
        <v>707</v>
      </c>
      <c r="B332" s="6"/>
      <c r="C332" s="3" t="s">
        <v>708</v>
      </c>
      <c r="F332" s="11" t="s">
        <v>622</v>
      </c>
      <c r="G332" s="6"/>
      <c r="I332" s="6" t="s">
        <v>700</v>
      </c>
      <c r="J332" s="6"/>
    </row>
    <row r="333" customFormat="false" ht="15" hidden="false" customHeight="false" outlineLevel="1" collapsed="false">
      <c r="A333" s="3" t="s">
        <v>709</v>
      </c>
      <c r="B333" s="11" t="s">
        <v>42</v>
      </c>
      <c r="C333" s="24" t="n">
        <v>0.05</v>
      </c>
      <c r="I333" s="6" t="s">
        <v>710</v>
      </c>
    </row>
    <row r="334" customFormat="false" ht="15" hidden="false" customHeight="false" outlineLevel="1" collapsed="false">
      <c r="A334" s="3" t="s">
        <v>711</v>
      </c>
      <c r="B334" s="11" t="s">
        <v>69</v>
      </c>
      <c r="C334" s="24" t="n">
        <v>0.02</v>
      </c>
      <c r="I334" s="6" t="s">
        <v>712</v>
      </c>
    </row>
    <row r="336" customFormat="false" ht="15" hidden="false" customHeight="false" outlineLevel="0" collapsed="false">
      <c r="A336" s="7" t="s">
        <v>713</v>
      </c>
      <c r="B336" s="8"/>
      <c r="C336" s="8"/>
      <c r="D336" s="8"/>
      <c r="E336" s="8"/>
      <c r="F336" s="8"/>
      <c r="G336" s="8"/>
      <c r="H336" s="8"/>
    </row>
    <row r="337" customFormat="false" ht="15" hidden="false" customHeight="false" outlineLevel="1" collapsed="false">
      <c r="A337" s="14" t="s">
        <v>714</v>
      </c>
      <c r="B337" s="14" t="s">
        <v>52</v>
      </c>
      <c r="C337" s="15" t="s">
        <v>715</v>
      </c>
      <c r="D337" s="15" t="s">
        <v>716</v>
      </c>
      <c r="E337" s="15" t="s">
        <v>717</v>
      </c>
      <c r="F337" s="15" t="s">
        <v>718</v>
      </c>
      <c r="G337" s="15" t="s">
        <v>719</v>
      </c>
      <c r="H337" s="15" t="s">
        <v>720</v>
      </c>
      <c r="J337" s="14" t="s">
        <v>721</v>
      </c>
    </row>
    <row r="338" customFormat="false" ht="15" hidden="false" customHeight="false" outlineLevel="1" collapsed="false">
      <c r="A338" s="3" t="s">
        <v>722</v>
      </c>
      <c r="C338" s="22" t="n">
        <v>1</v>
      </c>
      <c r="D338" s="22" t="n">
        <v>1</v>
      </c>
      <c r="E338" s="22" t="n">
        <v>1</v>
      </c>
      <c r="F338" s="22" t="n">
        <v>2</v>
      </c>
      <c r="G338" s="22" t="n">
        <v>2</v>
      </c>
      <c r="H338" s="22" t="n">
        <v>2</v>
      </c>
      <c r="J338" s="6" t="s">
        <v>723</v>
      </c>
    </row>
    <row r="339" customFormat="false" ht="15" hidden="false" customHeight="false" outlineLevel="1" collapsed="false">
      <c r="A339" s="3" t="s">
        <v>724</v>
      </c>
      <c r="C339" s="18" t="n">
        <v>1</v>
      </c>
      <c r="J339" s="6" t="s">
        <v>725</v>
      </c>
    </row>
    <row r="340" customFormat="false" ht="15" hidden="false" customHeight="false" outlineLevel="1" collapsed="false">
      <c r="A340" s="3" t="s">
        <v>726</v>
      </c>
      <c r="B340" s="11" t="s">
        <v>57</v>
      </c>
      <c r="C340" s="45" t="n">
        <v>19.345</v>
      </c>
      <c r="J340" s="6" t="s">
        <v>727</v>
      </c>
    </row>
    <row r="341" customFormat="false" ht="15" hidden="false" customHeight="false" outlineLevel="1" collapsed="false">
      <c r="A341" s="3" t="s">
        <v>728</v>
      </c>
      <c r="B341" s="11" t="s">
        <v>149</v>
      </c>
      <c r="C341" s="21" t="n">
        <v>2543</v>
      </c>
      <c r="J341" s="6" t="s">
        <v>729</v>
      </c>
    </row>
    <row r="342" customFormat="false" ht="15" hidden="false" customHeight="false" outlineLevel="1" collapsed="false">
      <c r="A342" s="3" t="s">
        <v>730</v>
      </c>
      <c r="B342" s="11" t="s">
        <v>57</v>
      </c>
      <c r="C342" s="45"/>
      <c r="D342" s="45"/>
      <c r="E342" s="45"/>
      <c r="F342" s="45"/>
      <c r="G342" s="45"/>
      <c r="H342" s="45"/>
      <c r="J342" s="6" t="s">
        <v>731</v>
      </c>
    </row>
    <row r="343" customFormat="false" ht="15" hidden="false" customHeight="false" outlineLevel="1" collapsed="false">
      <c r="A343" s="3" t="s">
        <v>732</v>
      </c>
      <c r="B343" s="11" t="s">
        <v>57</v>
      </c>
      <c r="C343" s="45"/>
      <c r="D343" s="45"/>
      <c r="E343" s="45"/>
      <c r="F343" s="45"/>
      <c r="G343" s="45"/>
      <c r="H343" s="45"/>
    </row>
    <row r="344" customFormat="false" ht="15" hidden="false" customHeight="false" outlineLevel="1" collapsed="false">
      <c r="A344" s="3" t="s">
        <v>733</v>
      </c>
      <c r="B344" s="11" t="s">
        <v>57</v>
      </c>
      <c r="C344" s="45"/>
      <c r="D344" s="45"/>
      <c r="E344" s="45"/>
      <c r="F344" s="45"/>
      <c r="G344" s="45"/>
      <c r="H344" s="45"/>
    </row>
    <row r="345" customFormat="false" ht="15" hidden="false" customHeight="false" outlineLevel="1" collapsed="false">
      <c r="A345" s="3" t="s">
        <v>734</v>
      </c>
      <c r="B345" s="11" t="s">
        <v>57</v>
      </c>
      <c r="C345" s="45"/>
      <c r="D345" s="45"/>
      <c r="E345" s="45"/>
      <c r="F345" s="45"/>
      <c r="G345" s="45"/>
      <c r="H345" s="45"/>
    </row>
    <row r="346" customFormat="false" ht="15" hidden="false" customHeight="false" outlineLevel="1" collapsed="false">
      <c r="A346" s="3" t="s">
        <v>735</v>
      </c>
      <c r="B346" s="11" t="s">
        <v>149</v>
      </c>
      <c r="C346" s="21"/>
      <c r="D346" s="21"/>
      <c r="E346" s="21"/>
      <c r="F346" s="21"/>
      <c r="G346" s="21"/>
      <c r="H346" s="21"/>
    </row>
    <row r="347" customFormat="false" ht="15" hidden="false" customHeight="false" outlineLevel="1" collapsed="false">
      <c r="A347" s="3" t="s">
        <v>736</v>
      </c>
      <c r="C347" s="27"/>
      <c r="D347" s="27"/>
      <c r="E347" s="27"/>
      <c r="F347" s="27"/>
      <c r="G347" s="27"/>
      <c r="H347" s="27"/>
    </row>
    <row r="348" customFormat="false" ht="15" hidden="false" customHeight="false" outlineLevel="1" collapsed="false">
      <c r="A348" s="3" t="s">
        <v>737</v>
      </c>
      <c r="C348" s="27"/>
      <c r="D348" s="27"/>
      <c r="E348" s="27"/>
      <c r="F348" s="27"/>
      <c r="G348" s="27"/>
      <c r="H348" s="27"/>
    </row>
    <row r="349" customFormat="false" ht="15" hidden="false" customHeight="false" outlineLevel="1" collapsed="false">
      <c r="A349" s="3" t="s">
        <v>738</v>
      </c>
      <c r="C349" s="27"/>
      <c r="D349" s="27"/>
      <c r="E349" s="27"/>
      <c r="F349" s="27"/>
      <c r="G349" s="27"/>
      <c r="H349" s="27"/>
    </row>
    <row r="350" customFormat="false" ht="15" hidden="false" customHeight="false" outlineLevel="1" collapsed="false">
      <c r="A350" s="3" t="s">
        <v>739</v>
      </c>
      <c r="B350" s="11" t="s">
        <v>57</v>
      </c>
      <c r="C350" s="45" t="n">
        <v>20.875</v>
      </c>
      <c r="D350" s="45"/>
      <c r="E350" s="45"/>
      <c r="F350" s="45"/>
      <c r="G350" s="45"/>
      <c r="H350" s="45"/>
      <c r="J350" s="11" t="s">
        <v>740</v>
      </c>
    </row>
    <row r="351" customFormat="false" ht="15" hidden="false" customHeight="false" outlineLevel="1" collapsed="false">
      <c r="A351" s="3" t="s">
        <v>741</v>
      </c>
      <c r="B351" s="11" t="s">
        <v>57</v>
      </c>
      <c r="C351" s="45" t="n">
        <v>21.518</v>
      </c>
      <c r="D351" s="45"/>
      <c r="E351" s="45"/>
      <c r="F351" s="45"/>
      <c r="G351" s="45"/>
      <c r="H351" s="45"/>
    </row>
    <row r="352" customFormat="false" ht="15" hidden="false" customHeight="false" outlineLevel="1" collapsed="false">
      <c r="A352" s="3" t="s">
        <v>742</v>
      </c>
      <c r="B352" s="11" t="s">
        <v>57</v>
      </c>
      <c r="C352" s="45" t="n">
        <v>90</v>
      </c>
      <c r="D352" s="45" t="n">
        <v>90</v>
      </c>
      <c r="E352" s="45" t="n">
        <v>19.345</v>
      </c>
      <c r="J352" s="6" t="s">
        <v>743</v>
      </c>
    </row>
    <row r="353" customFormat="false" ht="15" hidden="false" customHeight="false" outlineLevel="1" collapsed="false">
      <c r="A353" s="3" t="s">
        <v>744</v>
      </c>
      <c r="B353" s="11" t="s">
        <v>57</v>
      </c>
      <c r="C353" s="45" t="n">
        <v>90</v>
      </c>
      <c r="D353" s="45" t="n">
        <v>95</v>
      </c>
      <c r="E353" s="45" t="n">
        <v>28.499</v>
      </c>
      <c r="J353" s="6" t="s">
        <v>743</v>
      </c>
    </row>
  </sheetData>
  <dataValidations count="1">
    <dataValidation allowBlank="false" error="請輸入 1–4" errorStyle="stop" errorTitle="錨定年度" operator="between" showDropDown="false" showErrorMessage="true" showInputMessage="false" sqref="C20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745</v>
      </c>
    </row>
    <row r="2" customFormat="false" ht="15" hidden="false" customHeight="false" outlineLevel="0" collapsed="false">
      <c r="A2" s="11" t="s">
        <v>746</v>
      </c>
    </row>
    <row r="4" customFormat="false" ht="15" hidden="false" customHeight="false" outlineLevel="0" collapsed="false">
      <c r="A4" s="14" t="s">
        <v>51</v>
      </c>
      <c r="B4" s="14" t="s">
        <v>52</v>
      </c>
      <c r="C4" s="28" t="s">
        <v>53</v>
      </c>
      <c r="D4" s="28" t="s">
        <v>54</v>
      </c>
      <c r="E4" s="28" t="s">
        <v>55</v>
      </c>
      <c r="F4" s="28" t="s">
        <v>145</v>
      </c>
      <c r="G4" s="28" t="s">
        <v>146</v>
      </c>
      <c r="I4" s="14" t="s">
        <v>747</v>
      </c>
    </row>
    <row r="5" customFormat="false" ht="15" hidden="false" customHeight="false" outlineLevel="0" collapsed="false">
      <c r="A5" s="46" t="s">
        <v>748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749</v>
      </c>
      <c r="B6" s="11" t="s">
        <v>57</v>
      </c>
      <c r="C6" s="33" t="n">
        <f aca="false">輸入與假設!$C$243+輸入與假設!C$135</f>
        <v>106.09585</v>
      </c>
      <c r="D6" s="33" t="n">
        <f aca="false">輸入與假設!D$135</f>
        <v>86.020956</v>
      </c>
      <c r="E6" s="33" t="n">
        <f aca="false">輸入與假設!E$135</f>
        <v>31.2015795</v>
      </c>
      <c r="F6" s="33" t="n">
        <f aca="false">輸入與假設!F$135</f>
        <v>54.99417</v>
      </c>
      <c r="G6" s="33" t="n">
        <f aca="false">輸入與假設!G$135</f>
        <v>54.99417</v>
      </c>
      <c r="I6" s="11" t="s">
        <v>750</v>
      </c>
    </row>
    <row r="7" customFormat="false" ht="15" hidden="false" customHeight="false" outlineLevel="1" collapsed="false">
      <c r="A7" s="3" t="s">
        <v>751</v>
      </c>
      <c r="B7" s="11" t="s">
        <v>42</v>
      </c>
      <c r="C7" s="47" t="n">
        <f aca="false">輸入與假設!C$116</f>
        <v>0.243</v>
      </c>
      <c r="D7" s="47" t="n">
        <f aca="false">輸入與假設!D$116</f>
        <v>0.243</v>
      </c>
      <c r="E7" s="47" t="n">
        <f aca="false">輸入與假設!E$116</f>
        <v>0.243</v>
      </c>
      <c r="F7" s="47" t="n">
        <f aca="false">輸入與假設!F$116</f>
        <v>0.243</v>
      </c>
      <c r="G7" s="47" t="n">
        <f aca="false">輸入與假設!G$116</f>
        <v>0.243</v>
      </c>
    </row>
    <row r="8" customFormat="false" ht="15" hidden="false" customHeight="false" outlineLevel="1" collapsed="false">
      <c r="A8" s="3" t="s">
        <v>752</v>
      </c>
      <c r="B8" s="11" t="s">
        <v>57</v>
      </c>
      <c r="C8" s="33" t="n">
        <f aca="false">(輸入與假設!C$128+輸入與假設!C$132)*C7</f>
        <v>18.85603455</v>
      </c>
      <c r="D8" s="33" t="n">
        <f aca="false">(輸入與假設!D$128+輸入與假設!D$132)*D7</f>
        <v>20.903092308</v>
      </c>
      <c r="E8" s="33" t="n">
        <f aca="false">(輸入與假設!E$128+輸入與假設!E$132)*E7</f>
        <v>7.5819838185</v>
      </c>
      <c r="F8" s="33" t="n">
        <f aca="false">(輸入與假設!F$128+輸入與假設!F$132)*F7</f>
        <v>13.36358331</v>
      </c>
      <c r="G8" s="33" t="n">
        <f aca="false">(輸入與假設!G$128+輸入與假設!G$132)*G7</f>
        <v>13.36358331</v>
      </c>
      <c r="I8" s="6" t="s">
        <v>753</v>
      </c>
    </row>
    <row r="9" customFormat="false" ht="15" hidden="false" customHeight="false" outlineLevel="1" collapsed="false">
      <c r="A9" s="3" t="s">
        <v>754</v>
      </c>
      <c r="B9" s="11" t="s">
        <v>57</v>
      </c>
      <c r="C9" s="33" t="n">
        <f aca="false">輸入與假設!$C$113</f>
        <v>15.955</v>
      </c>
      <c r="D9" s="33" t="n">
        <f aca="false">C12</f>
        <v>33.7301182718891</v>
      </c>
      <c r="E9" s="33" t="n">
        <f aca="false">D12</f>
        <v>50.753693313463</v>
      </c>
      <c r="F9" s="33" t="n">
        <f aca="false">E12</f>
        <v>51.72379764652</v>
      </c>
      <c r="G9" s="33" t="n">
        <f aca="false">F12</f>
        <v>58.5319760610986</v>
      </c>
      <c r="I9" s="11" t="s">
        <v>755</v>
      </c>
    </row>
    <row r="10" customFormat="false" ht="15" hidden="false" customHeight="false" outlineLevel="1" collapsed="false">
      <c r="A10" s="3" t="s">
        <v>756</v>
      </c>
      <c r="B10" s="11" t="s">
        <v>57</v>
      </c>
      <c r="C10" s="33" t="n">
        <f aca="false">輸入與假設!$C$114*(C9+0.5*C8)*運營_產能與收入!C7</f>
        <v>1.54392202575188</v>
      </c>
      <c r="D10" s="33" t="n">
        <f aca="false">輸入與假設!$C$114*(D9+0.5*D8)*運營_產能與收入!D7</f>
        <v>3.58313298493961</v>
      </c>
      <c r="E10" s="33" t="n">
        <f aca="false">輸入與假設!$C$114*(E9+0.5*E8)*運營_產能與收入!E7</f>
        <v>4.42357397156202</v>
      </c>
      <c r="F10" s="33" t="n">
        <f aca="false">輸入與假設!$C$114*(F9+0.5*F8)*運營_產能與收入!F7</f>
        <v>4.73669329235327</v>
      </c>
      <c r="G10" s="33" t="n">
        <f aca="false">輸入與假設!$C$114*(G9+0.5*G8)*運營_產能與收入!G7</f>
        <v>5.2888365617756</v>
      </c>
      <c r="I10" s="6" t="s">
        <v>757</v>
      </c>
    </row>
    <row r="11" customFormat="false" ht="15" hidden="false" customHeight="false" outlineLevel="1" collapsed="false">
      <c r="A11" s="3" t="s">
        <v>758</v>
      </c>
      <c r="B11" s="11" t="s">
        <v>57</v>
      </c>
      <c r="C11" s="33" t="n">
        <f aca="false">MIN(C9+C10,(C9+C10)/輸入與假設!$C$112*運營_產能與收入!C7)</f>
        <v>2.62483830386278</v>
      </c>
      <c r="D11" s="33" t="n">
        <f aca="false">MIN(D9+D10,(D9+D10)/輸入與假設!$C$112*運營_產能與收入!D7)</f>
        <v>7.46265025136574</v>
      </c>
      <c r="E11" s="33" t="n">
        <f aca="false">MIN(E9+E10,(E9+E10)/輸入與假設!$C$112*運營_產能與收入!E7)</f>
        <v>11.035453457005</v>
      </c>
      <c r="F11" s="33" t="n">
        <f aca="false">MIN(F9+F10,(F9+F10)/輸入與假設!$C$112*運營_產能與收入!F7)</f>
        <v>11.2920981877747</v>
      </c>
      <c r="G11" s="33" t="n">
        <f aca="false">MIN(G9+G10,(G9+G10)/輸入與假設!$C$112*運營_產能與收入!G7)</f>
        <v>12.7641625245748</v>
      </c>
      <c r="I11" s="6" t="s">
        <v>759</v>
      </c>
    </row>
    <row r="12" customFormat="false" ht="15" hidden="false" customHeight="false" outlineLevel="1" collapsed="false">
      <c r="A12" s="3" t="s">
        <v>760</v>
      </c>
      <c r="B12" s="11" t="s">
        <v>57</v>
      </c>
      <c r="C12" s="33" t="n">
        <f aca="false">C9+C8+C10-C11</f>
        <v>33.7301182718891</v>
      </c>
      <c r="D12" s="33" t="n">
        <f aca="false">D9+D8+D10-D11</f>
        <v>50.753693313463</v>
      </c>
      <c r="E12" s="33" t="n">
        <f aca="false">E9+E8+E10-E11</f>
        <v>51.72379764652</v>
      </c>
      <c r="F12" s="33" t="n">
        <f aca="false">F9+F8+F10-F11</f>
        <v>58.5319760610986</v>
      </c>
      <c r="G12" s="33" t="n">
        <f aca="false">G9+G8+G10-G11</f>
        <v>64.4202334082993</v>
      </c>
      <c r="I12" s="6" t="s">
        <v>761</v>
      </c>
    </row>
    <row r="13" customFormat="false" ht="15" hidden="false" customHeight="false" outlineLevel="1" collapsed="false">
      <c r="A13" s="4" t="s">
        <v>762</v>
      </c>
      <c r="B13" s="11" t="s">
        <v>57</v>
      </c>
      <c r="C13" s="33" t="n">
        <f aca="false">輸入與假設!$C$242+輸入與假設!C$135</f>
        <v>106.09585</v>
      </c>
      <c r="D13" s="33" t="n">
        <f aca="false">輸入與假設!D$135</f>
        <v>86.020956</v>
      </c>
      <c r="E13" s="33" t="n">
        <f aca="false">輸入與假設!E$135</f>
        <v>31.2015795</v>
      </c>
      <c r="F13" s="33" t="n">
        <f aca="false">輸入與假設!F$135</f>
        <v>54.99417</v>
      </c>
      <c r="G13" s="33" t="n">
        <f aca="false">輸入與假設!G$135</f>
        <v>54.99417</v>
      </c>
      <c r="I13" s="11" t="s">
        <v>763</v>
      </c>
    </row>
    <row r="14" customFormat="false" ht="15" hidden="false" customHeight="false" outlineLevel="1" collapsed="false">
      <c r="A14" s="3" t="s">
        <v>764</v>
      </c>
      <c r="B14" s="11" t="s">
        <v>57</v>
      </c>
      <c r="C14" s="39" t="n">
        <f aca="false">輸入與假設!C$117</f>
        <v>3.839</v>
      </c>
      <c r="D14" s="39" t="n">
        <f aca="false">輸入與假設!D$117</f>
        <v>4.987</v>
      </c>
      <c r="E14" s="39" t="n">
        <f aca="false">輸入與假設!E$117</f>
        <v>5.02</v>
      </c>
      <c r="F14" s="39" t="n">
        <f aca="false">輸入與假設!F$117</f>
        <v>5.056</v>
      </c>
      <c r="G14" s="39" t="n">
        <f aca="false">輸入與假設!G$117</f>
        <v>5.06</v>
      </c>
      <c r="I14" s="6" t="s">
        <v>765</v>
      </c>
    </row>
    <row r="15" customFormat="false" ht="15" hidden="false" customHeight="false" outlineLevel="1" collapsed="false">
      <c r="A15" s="3" t="s">
        <v>766</v>
      </c>
      <c r="B15" s="11" t="s">
        <v>57</v>
      </c>
      <c r="C15" s="39" t="n">
        <f aca="false">輸入與假設!C$119</f>
        <v>2.31016042780749</v>
      </c>
      <c r="D15" s="39" t="n">
        <f aca="false">輸入與假設!D$119</f>
        <v>8.47058823529412</v>
      </c>
      <c r="E15" s="39" t="n">
        <f aca="false">輸入與假設!E$119</f>
        <v>14.6310160427808</v>
      </c>
      <c r="F15" s="39" t="n">
        <f aca="false">輸入與假設!F$119</f>
        <v>16.9411764705882</v>
      </c>
      <c r="G15" s="39" t="n">
        <f aca="false">輸入與假設!G$119</f>
        <v>16.9411764705882</v>
      </c>
      <c r="I15" s="6" t="s">
        <v>767</v>
      </c>
    </row>
    <row r="16" customFormat="false" ht="15" hidden="false" customHeight="false" outlineLevel="1" collapsed="false">
      <c r="A16" s="3" t="s">
        <v>768</v>
      </c>
      <c r="B16" s="11" t="s">
        <v>57</v>
      </c>
      <c r="C16" s="33" t="n">
        <f aca="false">C14+C15</f>
        <v>6.14916042780749</v>
      </c>
      <c r="D16" s="33" t="n">
        <f aca="false">D14+D15</f>
        <v>13.4575882352941</v>
      </c>
      <c r="E16" s="33" t="n">
        <f aca="false">E14+E15</f>
        <v>19.6510160427808</v>
      </c>
      <c r="F16" s="33" t="n">
        <f aca="false">F14+F15</f>
        <v>21.9971764705882</v>
      </c>
      <c r="G16" s="33" t="n">
        <f aca="false">G14+G15</f>
        <v>22.0011764705882</v>
      </c>
      <c r="I16" s="6" t="s">
        <v>769</v>
      </c>
    </row>
    <row r="17" customFormat="false" ht="15" hidden="false" customHeight="false" outlineLevel="1" collapsed="false">
      <c r="A17" s="3" t="s">
        <v>770</v>
      </c>
      <c r="B17" s="11" t="s">
        <v>57</v>
      </c>
      <c r="C17" s="39" t="n">
        <f aca="false">輸入與假設!C$172</f>
        <v>4.47957091589961</v>
      </c>
      <c r="D17" s="39" t="n">
        <f aca="false">輸入與假設!D$172</f>
        <v>5.65698394898732</v>
      </c>
      <c r="E17" s="39" t="n">
        <f aca="false">輸入與假設!E$172</f>
        <v>5.28135927373237</v>
      </c>
      <c r="F17" s="39" t="n">
        <f aca="false">輸入與假設!F$172</f>
        <v>4.97528049764106</v>
      </c>
      <c r="G17" s="39" t="n">
        <f aca="false">輸入與假設!G$172</f>
        <v>4.56717546285265</v>
      </c>
      <c r="I17" s="6" t="str">
        <f aca="false">"8/31 債務餘額的利息。FY27 全年利息＝1Q 實際 1.428＋2Q–4Q "&amp;TEXT(C17,"0.0")&amp;"＝"&amp;TEXT(1.428+C17,"0.00")&amp;"（見下方備忘）"</f>
        <v>8/31 債務餘額的利息。FY27 全年利息＝1Q 實際 1.428＋2Q–4Q 4.5＝5.91（見下方備忘）</v>
      </c>
    </row>
    <row r="18" customFormat="false" ht="15" hidden="false" customHeight="false" outlineLevel="1" collapsed="false">
      <c r="A18" s="3" t="s">
        <v>771</v>
      </c>
      <c r="B18" s="11" t="s">
        <v>57</v>
      </c>
      <c r="C18" s="33" t="n">
        <f aca="false">輸入與假設!$C$240</f>
        <v>31.289</v>
      </c>
      <c r="D18" s="33" t="n">
        <f aca="false">C51</f>
        <v>10</v>
      </c>
      <c r="E18" s="33" t="n">
        <f aca="false">D51</f>
        <v>10</v>
      </c>
      <c r="F18" s="33" t="n">
        <f aca="false">E51</f>
        <v>48.4467029497706</v>
      </c>
      <c r="G18" s="33" t="n">
        <f aca="false">F51</f>
        <v>69.4254395195799</v>
      </c>
      <c r="I18" s="11" t="s">
        <v>772</v>
      </c>
    </row>
    <row r="19" customFormat="false" ht="15" hidden="false" customHeight="false" outlineLevel="1" collapsed="false">
      <c r="A19" s="3" t="s">
        <v>773</v>
      </c>
      <c r="B19" s="11" t="s">
        <v>42</v>
      </c>
      <c r="C19" s="32" t="n">
        <f aca="false">IF(輸入與假設!$C$165=1,輸入與假設!C$171+MAX(0,輸入與假設!$C$164-450)/100*0.004,輸入與假設!C$171)</f>
        <v>0.058</v>
      </c>
      <c r="D19" s="32" t="n">
        <f aca="false">IF(輸入與假設!$C$165=1,輸入與假設!D$171+MAX(0,輸入與假設!$C$164-450)/100*0.004,輸入與假設!D$171)</f>
        <v>0.058</v>
      </c>
      <c r="E19" s="32" t="n">
        <f aca="false">IF(輸入與假設!$C$165=1,輸入與假設!E$171+MAX(0,輸入與假設!$C$164-450)/100*0.004,輸入與假設!E$171)</f>
        <v>0.058</v>
      </c>
      <c r="F19" s="32" t="n">
        <f aca="false">IF(輸入與假設!$C$165=1,輸入與假設!F$171+MAX(0,輸入與假設!$C$164-450)/100*0.004,輸入與假設!F$171)</f>
        <v>0.058</v>
      </c>
      <c r="G19" s="32" t="n">
        <f aca="false">IF(輸入與假設!$C$165=1,輸入與假設!G$171+MAX(0,輸入與假設!$C$164-450)/100*0.004,輸入與假設!G$171)</f>
        <v>0.058</v>
      </c>
      <c r="I19" s="11" t="s">
        <v>774</v>
      </c>
    </row>
    <row r="20" customFormat="false" ht="15" hidden="false" customHeight="false" outlineLevel="1" collapsed="false">
      <c r="A20" s="3" t="s">
        <v>775</v>
      </c>
      <c r="B20" s="11" t="s">
        <v>57</v>
      </c>
      <c r="C20" s="33" t="n">
        <f aca="false">C78</f>
        <v>0.393391613829313</v>
      </c>
      <c r="D20" s="33" t="n">
        <f aca="false">D78</f>
        <v>1.81106953481822</v>
      </c>
      <c r="E20" s="33" t="n">
        <f aca="false">E78</f>
        <v>1.81106953481822</v>
      </c>
      <c r="F20" s="33" t="n">
        <f aca="false">F78</f>
        <v>1.81106953481822</v>
      </c>
      <c r="G20" s="33" t="n">
        <f aca="false">G78</f>
        <v>1.81106953481822</v>
      </c>
      <c r="I20" s="6" t="s">
        <v>776</v>
      </c>
    </row>
    <row r="21" customFormat="false" ht="15" hidden="false" customHeight="false" outlineLevel="1" collapsed="false">
      <c r="A21" s="3" t="s">
        <v>777</v>
      </c>
      <c r="B21" s="11" t="s">
        <v>57</v>
      </c>
      <c r="C21" s="33" t="n">
        <f aca="false">C17+C20</f>
        <v>4.87296252972893</v>
      </c>
      <c r="D21" s="33" t="n">
        <f aca="false">D17+D20</f>
        <v>7.46805348380555</v>
      </c>
      <c r="E21" s="33" t="n">
        <f aca="false">E17+E20</f>
        <v>7.09242880855059</v>
      </c>
      <c r="F21" s="33" t="n">
        <f aca="false">F17+F20</f>
        <v>6.78635003245928</v>
      </c>
      <c r="G21" s="33" t="n">
        <f aca="false">G17+G20</f>
        <v>6.37824499767087</v>
      </c>
    </row>
    <row r="22" customFormat="false" ht="15" hidden="false" customHeight="false" outlineLevel="1" collapsed="false">
      <c r="A22" s="4" t="s">
        <v>778</v>
      </c>
      <c r="B22" s="11" t="s">
        <v>57</v>
      </c>
      <c r="C22" s="33" t="n">
        <f aca="false">輸入與假設!$C$244+輸入與假設!C$122</f>
        <v>0</v>
      </c>
      <c r="D22" s="33" t="n">
        <f aca="false">輸入與假設!D$122</f>
        <v>0</v>
      </c>
      <c r="E22" s="33" t="n">
        <f aca="false">輸入與假設!E$122</f>
        <v>0</v>
      </c>
      <c r="F22" s="33" t="n">
        <f aca="false">輸入與假設!F$122</f>
        <v>0</v>
      </c>
      <c r="G22" s="33" t="n">
        <f aca="false">輸入與假設!G$122</f>
        <v>0</v>
      </c>
      <c r="I22" s="11" t="s">
        <v>779</v>
      </c>
    </row>
    <row r="23" customFormat="false" ht="15" hidden="false" customHeight="false" outlineLevel="1" collapsed="false">
      <c r="A23" s="3" t="s">
        <v>780</v>
      </c>
      <c r="B23" s="11" t="s">
        <v>57</v>
      </c>
      <c r="C23" s="33" t="n">
        <f aca="false">輸入與假設!$C$259+4*輸入與假設!$C$149*運營_產能與收入!C7*(輸入與假設!$C$150+0+SUMPRODUCT(資產負債_既有債務!$D$73:$D$73*資產負債_既有債務!$H$69:$H$69*(資產負債_既有債務!$G$69:$G$69&lt;0)))+輸入與假設!C$169</f>
        <v>6.344604</v>
      </c>
      <c r="D23" s="33" t="n">
        <f aca="false">4*輸入與假設!$C$149*運營_產能與收入!D7*(輸入與假設!$C$150+C81+SUMPRODUCT(資產負債_既有債務!$D$73:$D$73*資產負債_既有債務!$H$69:$H$69*(資產負債_既有債務!$G$69:$G$69&lt;1)))+輸入與假設!D$169</f>
        <v>6.372472</v>
      </c>
      <c r="E23" s="33" t="n">
        <f aca="false">4*輸入與假設!$C$149*運營_產能與收入!E7*(輸入與假設!$C$150+D81+SUMPRODUCT(資產負債_既有債務!$D$73:$D$73*資產負債_既有債務!$H$69:$H$69*(資產負債_既有債務!$G$69:$G$69&lt;2)))+輸入與假設!E$169</f>
        <v>6.291472</v>
      </c>
      <c r="F23" s="33" t="n">
        <f aca="false">4*輸入與假設!$C$149*運營_產能與收入!F7*(輸入與假設!$C$150+E81+SUMPRODUCT(資產負債_既有債務!$D$73:$D$73*資產負債_既有債務!$H$69:$H$69*(資產負債_既有債務!$G$69:$G$69&lt;3)))+輸入與假設!F$169</f>
        <v>6.10994857128577</v>
      </c>
      <c r="G23" s="33" t="n">
        <f aca="false">4*輸入與假設!$C$149*運營_產能與收入!G7*(輸入與假設!$C$150+F81+SUMPRODUCT(資產負債_既有債務!$D$73:$D$73*資產負債_既有債務!$H$69:$H$69*(資產負債_既有債務!$G$69:$G$69&lt;4)))+輸入與假設!G$169</f>
        <v>6.10994857128577</v>
      </c>
      <c r="I23" s="6" t="s">
        <v>781</v>
      </c>
    </row>
    <row r="24" customFormat="false" ht="15" hidden="false" customHeight="false" outlineLevel="1" collapsed="false">
      <c r="A24" s="3" t="s">
        <v>782</v>
      </c>
      <c r="B24" s="11" t="s">
        <v>57</v>
      </c>
      <c r="C24" s="33" t="n">
        <f aca="false">IF(輸入與假設!$C$96=1,運營_產能與收入!C9*8760*輸入與假設!C$98*輸入與假設!C$97/1000000000*運營_產能與收入!C7,0)</f>
        <v>0</v>
      </c>
      <c r="D24" s="33" t="n">
        <f aca="false">IF(輸入與假設!$C$96=1,運營_產能與收入!D9*8760*輸入與假設!D$98*輸入與假設!D$97/1000000000*運營_產能與收入!D7,0)</f>
        <v>0</v>
      </c>
      <c r="E24" s="33" t="n">
        <f aca="false">IF(輸入與假設!$C$96=1,運營_產能與收入!E9*8760*輸入與假設!E$98*輸入與假設!E$97/1000000000*運營_產能與收入!E7,0)</f>
        <v>0</v>
      </c>
      <c r="F24" s="33" t="n">
        <f aca="false">IF(輸入與假設!$C$96=1,運營_產能與收入!F9*8760*輸入與假設!F$98*輸入與假設!F$97/1000000000*運營_產能與收入!F7,0)</f>
        <v>0</v>
      </c>
      <c r="G24" s="33" t="n">
        <f aca="false">IF(輸入與假設!$C$96=1,運營_產能與收入!G9*8760*輸入與假設!G$98*輸入與假設!G$97/1000000000*運營_產能與收入!G7,0)</f>
        <v>0</v>
      </c>
      <c r="I24" s="6" t="s">
        <v>783</v>
      </c>
    </row>
    <row r="25" customFormat="false" ht="15" hidden="false" customHeight="false" outlineLevel="1" collapsed="false">
      <c r="A25" s="3" t="s">
        <v>784</v>
      </c>
      <c r="B25" s="11" t="s">
        <v>57</v>
      </c>
      <c r="C25" s="33" t="n">
        <f aca="false">IF(輸入與假設!$C$96=1,運營_產能與收入!C9*輸入與假設!C$99/1000*運營_產能與收入!C7,0)</f>
        <v>0</v>
      </c>
      <c r="D25" s="33" t="n">
        <f aca="false">IF(輸入與假設!$C$96=1,運營_產能與收入!D9*輸入與假設!D$99/1000*運營_產能與收入!D7,0)</f>
        <v>0</v>
      </c>
      <c r="E25" s="33" t="n">
        <f aca="false">IF(輸入與假設!$C$96=1,運營_產能與收入!E9*輸入與假設!E$99/1000*運營_產能與收入!E7,0)</f>
        <v>0</v>
      </c>
      <c r="F25" s="33" t="n">
        <f aca="false">IF(輸入與假設!$C$96=1,運營_產能與收入!F9*輸入與假設!F$99/1000*運營_產能與收入!F7,0)</f>
        <v>0</v>
      </c>
      <c r="G25" s="33" t="n">
        <f aca="false">IF(輸入與假設!$C$96=1,運營_產能與收入!G9*輸入與假設!G$99/1000*運營_產能與收入!G7,0)</f>
        <v>0</v>
      </c>
    </row>
    <row r="26" customFormat="false" ht="15" hidden="false" customHeight="false" outlineLevel="1" collapsed="false">
      <c r="A26" s="3" t="s">
        <v>785</v>
      </c>
      <c r="B26" s="11" t="s">
        <v>57</v>
      </c>
      <c r="C26" s="33" t="n">
        <f aca="false">輸入與假設!$C$246+IF(輸入與假設!$C$144=1,輸入與假設!C$170,0)+資產負債_既有債務!C84</f>
        <v>7.209</v>
      </c>
      <c r="D26" s="33" t="n">
        <f aca="false">IF(輸入與假設!$C$144=1,輸入與假設!D$170,0)+資產負債_既有債務!D84</f>
        <v>10.147</v>
      </c>
      <c r="E26" s="33" t="n">
        <f aca="false">IF(輸入與假設!$C$144=1,輸入與假設!E$170,0)+資產負債_既有債務!E84</f>
        <v>5.5</v>
      </c>
      <c r="F26" s="33" t="n">
        <f aca="false">IF(輸入與假設!$C$144=1,輸入與假設!F$170,0)+資產負債_既有債務!F84</f>
        <v>7.25</v>
      </c>
      <c r="G26" s="33" t="n">
        <f aca="false">IF(輸入與假設!$C$144=1,輸入與假設!G$170,0)+資產負債_既有債務!G84</f>
        <v>9.75</v>
      </c>
      <c r="I26" s="11" t="s">
        <v>786</v>
      </c>
    </row>
    <row r="27" customFormat="false" ht="15" hidden="false" customHeight="false" outlineLevel="1" collapsed="false">
      <c r="A27" s="4" t="s">
        <v>787</v>
      </c>
      <c r="B27" s="11" t="s">
        <v>57</v>
      </c>
      <c r="C27" s="33" t="n">
        <f aca="false">輸入與假設!$C$247</f>
        <v>0</v>
      </c>
      <c r="D27" s="33" t="n">
        <f aca="false">0</f>
        <v>0</v>
      </c>
      <c r="E27" s="33" t="n">
        <f aca="false">0</f>
        <v>0</v>
      </c>
      <c r="F27" s="33" t="n">
        <f aca="false">0</f>
        <v>0</v>
      </c>
      <c r="G27" s="33" t="n">
        <f aca="false">0</f>
        <v>0</v>
      </c>
      <c r="I27" s="6" t="s">
        <v>788</v>
      </c>
    </row>
    <row r="28" customFormat="false" ht="15" hidden="false" customHeight="false" outlineLevel="1" collapsed="false">
      <c r="A28" s="3" t="s">
        <v>789</v>
      </c>
      <c r="B28" s="11" t="s">
        <v>57</v>
      </c>
      <c r="C28" s="33" t="n">
        <f aca="false">輸入與假設!$C$163*MAX(0,運營_產能與收入!C37*輸入與假設!C$93+輸入與假設!C$51+輸入與假設!C$83-輸入與假設!C$136-輸入與假設!C$172)</f>
        <v>3.53634296118133</v>
      </c>
      <c r="D28" s="33" t="n">
        <f aca="false">輸入與假設!$C$163*MAX(0,運營_產能與收入!D37*輸入與假設!D$93+輸入與假設!D$51+輸入與假設!D$83-輸入與假設!D$136-輸入與假設!D$172)</f>
        <v>6.46189379941038</v>
      </c>
      <c r="E28" s="33" t="n">
        <f aca="false">輸入與假設!$C$163*MAX(0,運營_產能與收入!E37*輸入與假設!E$93+輸入與假設!E$51+輸入與假設!E$83-輸入與假設!E$136-輸入與假設!E$172)</f>
        <v>7.98327728347321</v>
      </c>
      <c r="F28" s="33" t="n">
        <f aca="false">輸入與假設!$C$163*MAX(0,運營_產能與收入!F37*輸入與假設!F$93+輸入與假設!F$51+輸入與假設!F$83-輸入與假設!F$136-輸入與假設!F$172)</f>
        <v>7.9883922527725</v>
      </c>
      <c r="G28" s="33" t="n">
        <f aca="false">輸入與假設!$C$163*MAX(0,運營_產能與收入!G37*輸入與假設!G$93+輸入與假設!G$51+輸入與假設!G$83-輸入與假設!G$136-輸入與假設!G$172)</f>
        <v>7.35995260102255</v>
      </c>
      <c r="I28" s="6" t="s">
        <v>790</v>
      </c>
    </row>
    <row r="29" customFormat="false" ht="15" hidden="false" customHeight="false" outlineLevel="1" collapsed="false">
      <c r="A29" s="2" t="s">
        <v>791</v>
      </c>
      <c r="B29" s="11" t="s">
        <v>57</v>
      </c>
      <c r="C29" s="36" t="n">
        <f aca="false">C13+C16+C21+C22+C24+C25+C26+C27+C28+C23</f>
        <v>134.207919918718</v>
      </c>
      <c r="D29" s="36" t="n">
        <f aca="false">D13+D16+D21+D22+D24+D25+D26+D27+D28+D23</f>
        <v>129.92796351851</v>
      </c>
      <c r="E29" s="36" t="n">
        <f aca="false">E13+E16+E21+E22+E24+E25+E26+E27+E28+E23</f>
        <v>77.7197736348046</v>
      </c>
      <c r="F29" s="36" t="n">
        <f aca="false">F13+F16+F21+F22+F24+F25+F26+F27+F28+F23</f>
        <v>105.126037327106</v>
      </c>
      <c r="G29" s="36" t="n">
        <f aca="false">G13+G16+G21+G22+G24+G25+G26+G27+G28+G23</f>
        <v>106.593492640567</v>
      </c>
      <c r="I29" s="11" t="s">
        <v>792</v>
      </c>
    </row>
    <row r="30" customFormat="false" ht="15" hidden="false" customHeight="false" outlineLevel="0" collapsed="false">
      <c r="A30" s="46" t="s">
        <v>793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794</v>
      </c>
      <c r="B31" s="11" t="s">
        <v>57</v>
      </c>
      <c r="C31" s="39" t="n">
        <f aca="false">輸入與假設!$C$241</f>
        <v>23.103</v>
      </c>
      <c r="D31" s="39" t="n">
        <f aca="false">0</f>
        <v>0</v>
      </c>
      <c r="E31" s="39" t="n">
        <f aca="false">0</f>
        <v>0</v>
      </c>
      <c r="F31" s="39" t="n">
        <f aca="false">0</f>
        <v>0</v>
      </c>
      <c r="G31" s="39" t="n">
        <f aca="false">0</f>
        <v>0</v>
      </c>
      <c r="I31" s="6" t="s">
        <v>795</v>
      </c>
    </row>
    <row r="32" customFormat="false" ht="15" hidden="false" customHeight="false" outlineLevel="1" collapsed="false">
      <c r="A32" s="4" t="s">
        <v>796</v>
      </c>
      <c r="B32" s="11" t="s">
        <v>57</v>
      </c>
      <c r="C32" s="39" t="n">
        <f aca="false">運營_產能與收入!C39</f>
        <v>26.8471062837141</v>
      </c>
      <c r="D32" s="39" t="n">
        <f aca="false">運營_產能與收入!D39</f>
        <v>65.1636430052115</v>
      </c>
      <c r="E32" s="39" t="n">
        <f aca="false">運營_產能與收入!E39</f>
        <v>89.313668080434</v>
      </c>
      <c r="F32" s="39" t="n">
        <f aca="false">運營_產能與收入!F39</f>
        <v>77.8133950803</v>
      </c>
      <c r="G32" s="39" t="n">
        <f aca="false">運營_產能與收入!G39</f>
        <v>69.855727327</v>
      </c>
    </row>
    <row r="33" customFormat="false" ht="15" hidden="false" customHeight="false" outlineLevel="1" collapsed="false">
      <c r="A33" s="3" t="s">
        <v>797</v>
      </c>
      <c r="B33" s="11" t="s">
        <v>57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14.816852091558</v>
      </c>
      <c r="G33" s="39" t="n">
        <f aca="false">運營_產能與收入!G40</f>
        <v>17.041876498325</v>
      </c>
    </row>
    <row r="34" customFormat="false" ht="15" hidden="false" customHeight="false" outlineLevel="1" collapsed="false">
      <c r="A34" s="3" t="s">
        <v>798</v>
      </c>
      <c r="B34" s="11" t="s">
        <v>57</v>
      </c>
      <c r="C34" s="39" t="n">
        <f aca="false">輸入與假設!C$94</f>
        <v>0</v>
      </c>
      <c r="D34" s="39" t="n">
        <f aca="false">輸入與假設!D$94</f>
        <v>0</v>
      </c>
      <c r="E34" s="39" t="n">
        <f aca="false">輸入與假設!E$94</f>
        <v>0</v>
      </c>
      <c r="F34" s="39" t="n">
        <f aca="false">輸入與假設!F$94</f>
        <v>0</v>
      </c>
      <c r="G34" s="39" t="n">
        <f aca="false">輸入與假設!G$94</f>
        <v>0</v>
      </c>
    </row>
    <row r="35" customFormat="false" ht="15" hidden="false" customHeight="false" outlineLevel="1" collapsed="false">
      <c r="A35" s="4" t="s">
        <v>799</v>
      </c>
      <c r="B35" s="11" t="s">
        <v>57</v>
      </c>
      <c r="C35" s="39" t="n">
        <f aca="false">輸入與假設!C$51</f>
        <v>0</v>
      </c>
      <c r="D35" s="39" t="n">
        <f aca="false">輸入與假設!D$51</f>
        <v>0</v>
      </c>
      <c r="E35" s="39" t="n">
        <f aca="false">輸入與假設!E$51</f>
        <v>0</v>
      </c>
      <c r="F35" s="39" t="n">
        <f aca="false">輸入與假設!F$51</f>
        <v>0</v>
      </c>
      <c r="G35" s="39" t="n">
        <f aca="false">輸入與假設!G$51</f>
        <v>0</v>
      </c>
      <c r="I35" s="6" t="s">
        <v>800</v>
      </c>
    </row>
    <row r="36" customFormat="false" ht="15" hidden="false" customHeight="false" outlineLevel="1" collapsed="false">
      <c r="A36" s="4" t="s">
        <v>801</v>
      </c>
      <c r="B36" s="11" t="s">
        <v>57</v>
      </c>
      <c r="C36" s="39" t="n">
        <f aca="false">輸入與假設!C$83</f>
        <v>21.45113201348</v>
      </c>
      <c r="D36" s="39" t="n">
        <f aca="false">輸入與假設!D$83</f>
        <v>29.14202702484</v>
      </c>
      <c r="E36" s="39" t="n">
        <f aca="false">輸入與假設!E$83</f>
        <v>30.3062781426461</v>
      </c>
      <c r="F36" s="39" t="n">
        <f aca="false">輸入與假設!F$83</f>
        <v>31.4030416028317</v>
      </c>
      <c r="G36" s="39" t="n">
        <f aca="false">輸入與假設!G$83</f>
        <v>32.4054173098993</v>
      </c>
      <c r="I36" s="11" t="s">
        <v>802</v>
      </c>
    </row>
    <row r="37" customFormat="false" ht="15" hidden="false" customHeight="false" outlineLevel="1" collapsed="false">
      <c r="A37" s="3" t="s">
        <v>803</v>
      </c>
      <c r="B37" s="11" t="s">
        <v>57</v>
      </c>
      <c r="C37" s="33" t="n">
        <f aca="false">C8</f>
        <v>18.85603455</v>
      </c>
      <c r="D37" s="33" t="n">
        <f aca="false">D8</f>
        <v>20.903092308</v>
      </c>
      <c r="E37" s="33" t="n">
        <f aca="false">E8</f>
        <v>7.5819838185</v>
      </c>
      <c r="F37" s="33" t="n">
        <f aca="false">F8</f>
        <v>13.36358331</v>
      </c>
      <c r="G37" s="33" t="n">
        <f aca="false">G8</f>
        <v>13.36358331</v>
      </c>
    </row>
    <row r="38" customFormat="false" ht="15" hidden="false" customHeight="false" outlineLevel="1" collapsed="false">
      <c r="A38" s="4" t="s">
        <v>804</v>
      </c>
      <c r="B38" s="11" t="s">
        <v>57</v>
      </c>
      <c r="C38" s="33" t="n">
        <f aca="false">-C11</f>
        <v>-2.62483830386278</v>
      </c>
      <c r="D38" s="33" t="n">
        <f aca="false">-D11</f>
        <v>-7.46265025136574</v>
      </c>
      <c r="E38" s="33" t="n">
        <f aca="false">-E11</f>
        <v>-11.035453457005</v>
      </c>
      <c r="F38" s="33" t="n">
        <f aca="false">-F11</f>
        <v>-11.2920981877747</v>
      </c>
      <c r="G38" s="33" t="n">
        <f aca="false">-G11</f>
        <v>-12.7641625245748</v>
      </c>
      <c r="I38" s="6" t="s">
        <v>805</v>
      </c>
    </row>
    <row r="39" customFormat="false" ht="15" hidden="false" customHeight="false" outlineLevel="1" collapsed="false">
      <c r="A39" s="2" t="s">
        <v>806</v>
      </c>
      <c r="B39" s="11" t="s">
        <v>57</v>
      </c>
      <c r="C39" s="36" t="n">
        <f aca="false">C31+C32+C33+C34+C35+C36+C37+C38</f>
        <v>87.6324345433313</v>
      </c>
      <c r="D39" s="36" t="n">
        <f aca="false">D31+D32+D33+D34+D35+D36+D37+D38</f>
        <v>107.746112086686</v>
      </c>
      <c r="E39" s="36" t="n">
        <f aca="false">E31+E32+E33+E34+E35+E36+E37+E38</f>
        <v>116.166476584575</v>
      </c>
      <c r="F39" s="36" t="n">
        <f aca="false">F31+F32+F33+F34+F35+F36+F37+F38</f>
        <v>126.104773896915</v>
      </c>
      <c r="G39" s="36" t="n">
        <f aca="false">G31+G32+G33+G34+G35+G36+G37+G38</f>
        <v>119.902441920649</v>
      </c>
    </row>
    <row r="40" customFormat="false" ht="15" hidden="false" customHeight="false" outlineLevel="1" collapsed="false">
      <c r="A40" s="3" t="s">
        <v>807</v>
      </c>
      <c r="B40" s="11" t="s">
        <v>57</v>
      </c>
      <c r="C40" s="33" t="n">
        <f aca="false">輸入與假設!$C$248+IF(輸入與假設!$C$141=1,輸入與假設!$C$140,0)</f>
        <v>19.909</v>
      </c>
      <c r="D40" s="33" t="n">
        <f aca="false">0</f>
        <v>0</v>
      </c>
      <c r="E40" s="33" t="n">
        <f aca="false">0</f>
        <v>0</v>
      </c>
      <c r="F40" s="33" t="n">
        <f aca="false">0</f>
        <v>0</v>
      </c>
      <c r="G40" s="33" t="n">
        <f aca="false">0</f>
        <v>0</v>
      </c>
      <c r="I40" s="11" t="s">
        <v>808</v>
      </c>
    </row>
    <row r="41" customFormat="false" ht="15" hidden="false" customHeight="false" outlineLevel="1" collapsed="false">
      <c r="A41" s="4" t="s">
        <v>809</v>
      </c>
      <c r="B41" s="11" t="s">
        <v>57</v>
      </c>
      <c r="C41" s="39" t="n">
        <f aca="false">輸入與假設!$C$245</f>
        <v>0</v>
      </c>
      <c r="D41" s="39" t="n">
        <f aca="false">0</f>
        <v>0</v>
      </c>
      <c r="E41" s="39" t="n">
        <f aca="false">0</f>
        <v>0</v>
      </c>
      <c r="F41" s="39" t="n">
        <f aca="false">0</f>
        <v>0</v>
      </c>
      <c r="G41" s="39" t="n">
        <f aca="false">0</f>
        <v>0</v>
      </c>
      <c r="I41" s="6" t="s">
        <v>810</v>
      </c>
    </row>
    <row r="42" customFormat="false" ht="15" hidden="false" customHeight="false" outlineLevel="1" collapsed="false">
      <c r="A42" s="3" t="s">
        <v>811</v>
      </c>
      <c r="B42" s="11" t="s">
        <v>57</v>
      </c>
      <c r="C42" s="33" t="n">
        <f aca="false">C70</f>
        <v>9.04348537538652</v>
      </c>
      <c r="D42" s="33" t="n">
        <f aca="false">D70</f>
        <v>22.1818514318242</v>
      </c>
      <c r="E42" s="33" t="n">
        <f aca="false">E70</f>
        <v>0</v>
      </c>
      <c r="F42" s="33" t="n">
        <f aca="false">F70</f>
        <v>0</v>
      </c>
      <c r="G42" s="33" t="n">
        <f aca="false">G70</f>
        <v>0</v>
      </c>
      <c r="I42" s="6" t="s">
        <v>812</v>
      </c>
    </row>
    <row r="43" customFormat="false" ht="15" hidden="false" customHeight="false" outlineLevel="1" collapsed="false">
      <c r="A43" s="4" t="s">
        <v>813</v>
      </c>
      <c r="B43" s="11" t="s">
        <v>57</v>
      </c>
      <c r="C43" s="33" t="n">
        <f aca="false">C73</f>
        <v>0</v>
      </c>
      <c r="D43" s="33" t="n">
        <f aca="false">D73</f>
        <v>0</v>
      </c>
      <c r="E43" s="33" t="n">
        <f aca="false">E73</f>
        <v>0</v>
      </c>
      <c r="F43" s="33" t="n">
        <f aca="false">F73</f>
        <v>0</v>
      </c>
      <c r="G43" s="33" t="n">
        <f aca="false">G73</f>
        <v>0</v>
      </c>
      <c r="I43" s="6" t="s">
        <v>814</v>
      </c>
    </row>
    <row r="44" customFormat="false" ht="15" hidden="false" customHeight="false" outlineLevel="1" collapsed="false">
      <c r="A44" s="3" t="s">
        <v>815</v>
      </c>
      <c r="B44" s="11" t="s">
        <v>57</v>
      </c>
      <c r="C44" s="33" t="n">
        <f aca="false">C76</f>
        <v>0</v>
      </c>
      <c r="D44" s="33" t="n">
        <f aca="false">D76</f>
        <v>0</v>
      </c>
      <c r="E44" s="33" t="n">
        <f aca="false">E76</f>
        <v>0</v>
      </c>
      <c r="F44" s="33" t="n">
        <f aca="false">F76</f>
        <v>0</v>
      </c>
      <c r="G44" s="33" t="n">
        <f aca="false">G76</f>
        <v>0</v>
      </c>
      <c r="I44" s="6" t="s">
        <v>816</v>
      </c>
    </row>
    <row r="45" customFormat="false" ht="15" hidden="false" customHeight="false" outlineLevel="1" collapsed="false">
      <c r="A45" s="3" t="s">
        <v>817</v>
      </c>
      <c r="B45" s="11" t="s">
        <v>57</v>
      </c>
      <c r="C45" s="33" t="n">
        <f aca="false">C77</f>
        <v>0</v>
      </c>
      <c r="D45" s="33" t="n">
        <f aca="false">D77</f>
        <v>0</v>
      </c>
      <c r="E45" s="33" t="n">
        <f aca="false">E77</f>
        <v>0</v>
      </c>
      <c r="F45" s="33" t="n">
        <f aca="false">F77</f>
        <v>0</v>
      </c>
      <c r="G45" s="33" t="n">
        <f aca="false">G77</f>
        <v>0</v>
      </c>
      <c r="I45" s="6" t="s">
        <v>818</v>
      </c>
    </row>
    <row r="46" customFormat="false" ht="15" hidden="false" customHeight="false" outlineLevel="1" collapsed="false">
      <c r="A46" s="2" t="s">
        <v>819</v>
      </c>
      <c r="B46" s="11" t="s">
        <v>57</v>
      </c>
      <c r="C46" s="36" t="n">
        <f aca="false">C39+C40+C41+C42+C43+C44+C45</f>
        <v>116.584919918718</v>
      </c>
      <c r="D46" s="36" t="n">
        <f aca="false">D39+D40+D41+D42+D43+D44+D45</f>
        <v>129.92796351851</v>
      </c>
      <c r="E46" s="36" t="n">
        <f aca="false">E39+E40+E41+E42+E43+E44+E45</f>
        <v>116.166476584575</v>
      </c>
      <c r="F46" s="36" t="n">
        <f aca="false">F39+F40+F41+F42+F43+F44+F45</f>
        <v>126.104773896915</v>
      </c>
      <c r="G46" s="36" t="n">
        <f aca="false">G39+G40+G41+G42+G43+G44+G45</f>
        <v>119.902441920649</v>
      </c>
    </row>
    <row r="47" customFormat="false" ht="15" hidden="false" customHeight="false" outlineLevel="0" collapsed="false">
      <c r="A47" s="46" t="s">
        <v>820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3" t="s">
        <v>821</v>
      </c>
      <c r="B48" s="11" t="s">
        <v>57</v>
      </c>
      <c r="C48" s="33" t="n">
        <f aca="false">輸入與假設!$C$139-(輸入與假設!$C$240+輸入與假設!$C$241+輸入與假設!$C$245+輸入與假設!$C$248-輸入與假設!$C$242-輸入與假設!$C$244-輸入與假設!$C$246-輸入與假設!$C$247-輸入與假設!$C$259)</f>
        <v>-3.66600000000001</v>
      </c>
      <c r="D48" s="33" t="n">
        <f aca="false">0</f>
        <v>0</v>
      </c>
      <c r="E48" s="33" t="n">
        <f aca="false">0</f>
        <v>0</v>
      </c>
      <c r="F48" s="33" t="n">
        <f aca="false">0</f>
        <v>0</v>
      </c>
      <c r="G48" s="33" t="n">
        <f aca="false">0</f>
        <v>0</v>
      </c>
      <c r="I48" s="6" t="s">
        <v>822</v>
      </c>
    </row>
    <row r="49" customFormat="false" ht="15" hidden="false" customHeight="false" outlineLevel="1" collapsed="false">
      <c r="A49" s="2" t="s">
        <v>823</v>
      </c>
      <c r="B49" s="11" t="s">
        <v>57</v>
      </c>
      <c r="C49" s="36" t="n">
        <f aca="false">C39-(C29-C26-C27)</f>
        <v>-39.3664853753865</v>
      </c>
      <c r="D49" s="36" t="n">
        <f aca="false">D39-(D29-D26-D27)</f>
        <v>-12.0348514318242</v>
      </c>
      <c r="E49" s="36" t="n">
        <f aca="false">E39-(E29-E26-E27)</f>
        <v>43.9467029497705</v>
      </c>
      <c r="F49" s="36" t="n">
        <f aca="false">F39-(F29-F26-F27)</f>
        <v>28.2287365698093</v>
      </c>
      <c r="G49" s="36" t="n">
        <f aca="false">G39-(G29-G26-G27)</f>
        <v>23.058949280082</v>
      </c>
      <c r="I49" s="6" t="s">
        <v>824</v>
      </c>
    </row>
    <row r="50" customFormat="false" ht="15" hidden="false" customHeight="false" outlineLevel="1" collapsed="false">
      <c r="A50" s="3" t="s">
        <v>825</v>
      </c>
      <c r="B50" s="11" t="s">
        <v>57</v>
      </c>
      <c r="C50" s="33" t="n">
        <f aca="false">C46-C29+C48</f>
        <v>-21.289</v>
      </c>
      <c r="D50" s="33" t="n">
        <f aca="false">D46-D29+D48</f>
        <v>0</v>
      </c>
      <c r="E50" s="33" t="n">
        <f aca="false">E46-E29+E48</f>
        <v>38.4467029497705</v>
      </c>
      <c r="F50" s="33" t="n">
        <f aca="false">F46-F29+F48</f>
        <v>20.9787365698093</v>
      </c>
      <c r="G50" s="33" t="n">
        <f aca="false">G46-G29+G48</f>
        <v>13.308949280082</v>
      </c>
    </row>
    <row r="51" customFormat="false" ht="15" hidden="false" customHeight="false" outlineLevel="1" collapsed="false">
      <c r="A51" s="2" t="s">
        <v>826</v>
      </c>
      <c r="B51" s="11" t="s">
        <v>57</v>
      </c>
      <c r="C51" s="36" t="n">
        <f aca="false">C18+C50</f>
        <v>10</v>
      </c>
      <c r="D51" s="36" t="n">
        <f aca="false">D18+D50</f>
        <v>10</v>
      </c>
      <c r="E51" s="36" t="n">
        <f aca="false">E18+E50</f>
        <v>48.4467029497706</v>
      </c>
      <c r="F51" s="36" t="n">
        <f aca="false">F18+F50</f>
        <v>69.4254395195799</v>
      </c>
      <c r="G51" s="36" t="n">
        <f aca="false">G18+G50</f>
        <v>82.7343887996619</v>
      </c>
      <c r="I51" s="6" t="s">
        <v>827</v>
      </c>
    </row>
    <row r="53" customFormat="false" ht="15" hidden="false" customHeight="false" outlineLevel="0" collapsed="false">
      <c r="A53" s="46" t="s">
        <v>828</v>
      </c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1" collapsed="false">
      <c r="A54" s="3" t="s">
        <v>829</v>
      </c>
      <c r="B54" s="11" t="s">
        <v>57</v>
      </c>
      <c r="C54" s="33" t="n">
        <f aca="false">C13+C16+C17+C22+C24+C25+C26+C27+C28+C23</f>
        <v>133.814528304888</v>
      </c>
      <c r="D54" s="33" t="n">
        <f aca="false">D13+D16+D17+D22+D24+D25+D26+D27+D28+D23</f>
        <v>128.116893983692</v>
      </c>
      <c r="E54" s="33" t="n">
        <f aca="false">E13+E16+E17+E22+E24+E25+E26+E27+E28+E23</f>
        <v>75.9087040999863</v>
      </c>
      <c r="F54" s="33" t="n">
        <f aca="false">F13+F16+F17+F22+F24+F25+F26+F27+F28+F23</f>
        <v>103.314967792288</v>
      </c>
      <c r="G54" s="33" t="n">
        <f aca="false">G13+G16+G17+G22+G24+G25+G26+G27+G28+G23</f>
        <v>104.782423105749</v>
      </c>
      <c r="I54" s="6" t="s">
        <v>830</v>
      </c>
    </row>
    <row r="55" customFormat="false" ht="15" hidden="false" customHeight="false" outlineLevel="1" collapsed="false">
      <c r="A55" s="3" t="s">
        <v>831</v>
      </c>
      <c r="B55" s="11" t="s">
        <v>57</v>
      </c>
      <c r="C55" s="33" t="n">
        <f aca="false">0</f>
        <v>0</v>
      </c>
      <c r="D55" s="33" t="n">
        <f aca="false">C82</f>
        <v>9.04348537538652</v>
      </c>
      <c r="E55" s="33" t="n">
        <f aca="false">D82</f>
        <v>31.2253368072108</v>
      </c>
      <c r="F55" s="33" t="n">
        <f aca="false">E82</f>
        <v>31.2253368072108</v>
      </c>
      <c r="G55" s="33" t="n">
        <f aca="false">F82</f>
        <v>31.2253368072108</v>
      </c>
    </row>
    <row r="56" customFormat="false" ht="15" hidden="false" customHeight="false" outlineLevel="1" collapsed="false">
      <c r="A56" s="3" t="s">
        <v>832</v>
      </c>
      <c r="B56" s="11" t="s">
        <v>42</v>
      </c>
      <c r="C56" s="48" t="n">
        <f aca="false">C19*運營_產能與收入!C7</f>
        <v>0.0435</v>
      </c>
      <c r="D56" s="48" t="n">
        <f aca="false">D19*運營_產能與收入!D7</f>
        <v>0.058</v>
      </c>
      <c r="E56" s="48" t="n">
        <f aca="false">E19*運營_產能與收入!E7</f>
        <v>0.058</v>
      </c>
      <c r="F56" s="48" t="n">
        <f aca="false">F19*運營_產能與收入!F7</f>
        <v>0.058</v>
      </c>
      <c r="G56" s="48" t="n">
        <f aca="false">G19*運營_產能與收入!G7</f>
        <v>0.058</v>
      </c>
    </row>
    <row r="57" customFormat="false" ht="15" hidden="false" customHeight="false" outlineLevel="1" collapsed="false">
      <c r="A57" s="3" t="s">
        <v>833</v>
      </c>
      <c r="B57" s="11" t="s">
        <v>57</v>
      </c>
      <c r="C57" s="33" t="n">
        <f aca="false">0</f>
        <v>0</v>
      </c>
      <c r="D57" s="33" t="n">
        <f aca="false">C84</f>
        <v>0</v>
      </c>
      <c r="E57" s="33" t="n">
        <f aca="false">D84</f>
        <v>0</v>
      </c>
      <c r="F57" s="33" t="n">
        <f aca="false">E84</f>
        <v>0</v>
      </c>
      <c r="G57" s="33" t="n">
        <f aca="false">F84</f>
        <v>0</v>
      </c>
    </row>
    <row r="58" customFormat="false" ht="15" hidden="false" customHeight="false" outlineLevel="1" collapsed="false">
      <c r="A58" s="3" t="s">
        <v>834</v>
      </c>
      <c r="B58" s="11" t="s">
        <v>57</v>
      </c>
      <c r="C58" s="33" t="n">
        <f aca="false">0</f>
        <v>0</v>
      </c>
      <c r="D58" s="33" t="n">
        <f aca="false">C85</f>
        <v>0</v>
      </c>
      <c r="E58" s="33" t="n">
        <f aca="false">D85</f>
        <v>0</v>
      </c>
      <c r="F58" s="33" t="n">
        <f aca="false">E85</f>
        <v>0</v>
      </c>
      <c r="G58" s="33" t="n">
        <f aca="false">F85</f>
        <v>0</v>
      </c>
    </row>
    <row r="59" customFormat="false" ht="15" hidden="false" customHeight="false" outlineLevel="1" collapsed="false">
      <c r="A59" s="3" t="s">
        <v>835</v>
      </c>
      <c r="B59" s="11" t="s">
        <v>42</v>
      </c>
      <c r="C59" s="48" t="n">
        <f aca="false">輸入與假設!$C$160*運營_產能與收入!C7</f>
        <v>0</v>
      </c>
      <c r="D59" s="48" t="n">
        <f aca="false">輸入與假設!$C$160*運營_產能與收入!D7</f>
        <v>0</v>
      </c>
      <c r="E59" s="48" t="n">
        <f aca="false">輸入與假設!$C$160*運營_產能與收入!E7</f>
        <v>0</v>
      </c>
      <c r="F59" s="48" t="n">
        <f aca="false">輸入與假設!$C$160*運營_產能與收入!F7</f>
        <v>0</v>
      </c>
      <c r="G59" s="48" t="n">
        <f aca="false">輸入與假設!$C$160*運營_產能與收入!G7</f>
        <v>0</v>
      </c>
    </row>
    <row r="60" customFormat="false" ht="15" hidden="false" customHeight="false" outlineLevel="1" collapsed="false">
      <c r="A60" s="3" t="s">
        <v>836</v>
      </c>
      <c r="B60" s="11" t="s">
        <v>42</v>
      </c>
      <c r="C60" s="48" t="n">
        <f aca="false">(輸入與假設!$C$162+IF(輸入與假設!$C$165=1,MAX(0,輸入與假設!$C$164-輸入與假設!$C$166)/10000*輸入與假設!$C$167,0))*運營_產能與收入!C7</f>
        <v>0.09</v>
      </c>
      <c r="D60" s="48" t="n">
        <f aca="false">(輸入與假設!$C$162+IF(輸入與假設!$C$165=1,MAX(0,輸入與假設!$C$164-輸入與假設!$C$166)/10000*輸入與假設!$C$167,0))*運營_產能與收入!D7</f>
        <v>0.12</v>
      </c>
      <c r="E60" s="48" t="n">
        <f aca="false">(輸入與假設!$C$162+IF(輸入與假設!$C$165=1,MAX(0,輸入與假設!$C$164-輸入與假設!$C$166)/10000*輸入與假設!$C$167,0))*運營_產能與收入!E7</f>
        <v>0.12</v>
      </c>
      <c r="F60" s="48" t="n">
        <f aca="false">(輸入與假設!$C$162+IF(輸入與假設!$C$165=1,MAX(0,輸入與假設!$C$164-輸入與假設!$C$166)/10000*輸入與假設!$C$167,0))*運營_產能與收入!F7</f>
        <v>0.12</v>
      </c>
      <c r="G60" s="48" t="n">
        <f aca="false">(輸入與假設!$C$162+IF(輸入與假設!$C$165=1,MAX(0,輸入與假設!$C$164-輸入與假設!$C$166)/10000*輸入與假設!$C$167,0))*運營_產能與收入!G7</f>
        <v>0.12</v>
      </c>
    </row>
    <row r="61" customFormat="false" ht="15" hidden="false" customHeight="false" outlineLevel="1" collapsed="false">
      <c r="A61" s="3" t="s">
        <v>837</v>
      </c>
      <c r="B61" s="11" t="s">
        <v>57</v>
      </c>
      <c r="C61" s="33" t="n">
        <f aca="false">C18+C39+C40+C41+C48-C54-C56*C55-C60*C57-C59*C58</f>
        <v>1.3499062384428</v>
      </c>
      <c r="D61" s="33" t="n">
        <f aca="false">D18+D39+D40+D41+D48-D54-D56*D55-D60*D57-D59*D58</f>
        <v>-10.8953040487784</v>
      </c>
      <c r="E61" s="33" t="n">
        <f aca="false">E18+E39+E40+E41+E48-E54-E56*E55-E60*E57-E59*E58</f>
        <v>48.4467029497706</v>
      </c>
      <c r="F61" s="33" t="n">
        <f aca="false">F18+F39+F40+F41+F48-F54-F56*F55-F60*F57-F59*F58</f>
        <v>69.4254395195799</v>
      </c>
      <c r="G61" s="33" t="n">
        <f aca="false">G18+G39+G40+G41+G48-G54-G56*G55-G60*G57-G59*G58</f>
        <v>82.7343887996619</v>
      </c>
    </row>
    <row r="62" customFormat="false" ht="15" hidden="false" customHeight="false" outlineLevel="1" collapsed="false">
      <c r="A62" s="2" t="s">
        <v>838</v>
      </c>
      <c r="B62" s="11" t="s">
        <v>57</v>
      </c>
      <c r="C62" s="36" t="n">
        <f aca="false">MAX(0,輸入與假設!$C$151-C61)</f>
        <v>8.6500937615572</v>
      </c>
      <c r="D62" s="36" t="n">
        <f aca="false">MAX(0,輸入與假設!$C$151-D61)</f>
        <v>20.8953040487784</v>
      </c>
      <c r="E62" s="36" t="n">
        <f aca="false">MAX(0,輸入與假設!$C$151-E61)</f>
        <v>0</v>
      </c>
      <c r="F62" s="36" t="n">
        <f aca="false">MAX(0,輸入與假設!$C$151-F61)</f>
        <v>0</v>
      </c>
      <c r="G62" s="36" t="n">
        <f aca="false">MAX(0,輸入與假設!$C$151-G61)</f>
        <v>0</v>
      </c>
    </row>
    <row r="63" customFormat="false" ht="15" hidden="false" customHeight="false" outlineLevel="1" collapsed="false">
      <c r="A63" s="3" t="s">
        <v>839</v>
      </c>
      <c r="B63" s="11" t="s">
        <v>57</v>
      </c>
      <c r="C63" s="33" t="n">
        <f aca="false">輸入與假設!$C$31+輸入與假設!$C$32</f>
        <v>664</v>
      </c>
      <c r="D63" s="33" t="n">
        <f aca="false">C65</f>
        <v>599.26</v>
      </c>
      <c r="E63" s="33" t="n">
        <f aca="false">D65</f>
        <v>485.55</v>
      </c>
      <c r="F63" s="33" t="n">
        <f aca="false">E65</f>
        <v>362.71</v>
      </c>
      <c r="G63" s="33" t="n">
        <f aca="false">F65</f>
        <v>291.2764</v>
      </c>
      <c r="I63" s="11" t="s">
        <v>840</v>
      </c>
    </row>
    <row r="64" customFormat="false" ht="15" hidden="false" customHeight="false" outlineLevel="1" collapsed="false">
      <c r="A64" s="3" t="s">
        <v>841</v>
      </c>
      <c r="B64" s="11" t="s">
        <v>57</v>
      </c>
      <c r="C64" s="33" t="n">
        <f aca="false">MAX(0,運營_產能與收入!C23/運營_產能與收入!C7-0)*輸入與假設!$C$148</f>
        <v>0</v>
      </c>
      <c r="D64" s="33" t="n">
        <f aca="false">MAX(0,運營_產能與收入!D23/運營_產能與收入!D7-運營_產能與收入!C23/運營_產能與收入!C7)*輸入與假設!$C$148</f>
        <v>0</v>
      </c>
      <c r="E64" s="33" t="n">
        <f aca="false">MAX(0,運營_產能與收入!E23/運營_產能與收入!E7-運營_產能與收入!D23/運營_產能與收入!D7)*輸入與假設!$C$148</f>
        <v>0</v>
      </c>
      <c r="F64" s="33" t="n">
        <f aca="false">MAX(0,運營_產能與收入!F23/運營_產能與收入!F7-運營_產能與收入!E23/運營_產能與收入!E7)*輸入與假設!$C$148</f>
        <v>65.9046</v>
      </c>
      <c r="G64" s="33" t="n">
        <f aca="false">MAX(0,運營_產能與收入!G23/運營_產能與收入!G7-運營_產能與收入!F23/運營_產能與收入!F7)*輸入與假設!$C$148</f>
        <v>16.7093999999999</v>
      </c>
    </row>
    <row r="65" customFormat="false" ht="15" hidden="false" customHeight="false" outlineLevel="1" collapsed="false">
      <c r="A65" s="3" t="s">
        <v>842</v>
      </c>
      <c r="B65" s="11" t="s">
        <v>57</v>
      </c>
      <c r="C65" s="33" t="n">
        <f aca="false">C63-運營_產能與收入!C17-運營_產能與收入!C23+C64</f>
        <v>599.26</v>
      </c>
      <c r="D65" s="33" t="n">
        <f aca="false">D63-運營_產能與收入!D17-運營_產能與收入!D23+D64</f>
        <v>485.55</v>
      </c>
      <c r="E65" s="33" t="n">
        <f aca="false">E63-運營_產能與收入!E17-運營_產能與收入!E23+E64</f>
        <v>362.71</v>
      </c>
      <c r="F65" s="33" t="n">
        <f aca="false">F63-運營_產能與收入!F17-運營_產能與收入!F23+F64</f>
        <v>291.2764</v>
      </c>
      <c r="G65" s="33" t="n">
        <f aca="false">G63-運營_產能與收入!G17-運營_產能與收入!G23+G64</f>
        <v>167.5678</v>
      </c>
      <c r="I65" s="6" t="s">
        <v>843</v>
      </c>
    </row>
    <row r="66" customFormat="false" ht="15" hidden="false" customHeight="false" outlineLevel="1" collapsed="false">
      <c r="A66" s="3" t="s">
        <v>844</v>
      </c>
      <c r="B66" s="11" t="s">
        <v>57</v>
      </c>
      <c r="C66" s="33" t="n">
        <f aca="false">IF(輸入與假設!$C$144=1,資產負債_既有債務!C80,資產負債_既有債務!$E$62)+資產負債_既有債務!$E$65+資產負債_既有債務!C85</f>
        <v>122.897</v>
      </c>
      <c r="D66" s="33" t="n">
        <f aca="false">IF(輸入與假設!$C$144=1,資產負債_既有債務!D80,資產負債_既有債務!$E$62)+資產負債_既有債務!$E$65+資產負債_既有債務!D85</f>
        <v>112.75</v>
      </c>
      <c r="E66" s="33" t="n">
        <f aca="false">IF(輸入與假設!$C$144=1,資產負債_既有債務!E80,資產負債_既有債務!$E$62)+資產負債_既有債務!$E$65+資產負債_既有債務!E85</f>
        <v>107.25</v>
      </c>
      <c r="F66" s="33" t="n">
        <f aca="false">IF(輸入與假設!$C$144=1,資產負債_既有債務!F80,資產負債_既有債務!$E$62)+資產負債_既有債務!$E$65+資產負債_既有債務!F85</f>
        <v>100</v>
      </c>
      <c r="G66" s="33" t="n">
        <f aca="false">IF(輸入與假設!$C$144=1,資產負債_既有債務!G80,資產負債_既有債務!$E$62)+資產負債_既有債務!$E$65+資產負債_既有債務!G85</f>
        <v>90.25</v>
      </c>
      <c r="I66" s="6" t="s">
        <v>845</v>
      </c>
    </row>
    <row r="67" customFormat="false" ht="15" hidden="false" customHeight="false" outlineLevel="1" collapsed="false">
      <c r="A67" s="3" t="s">
        <v>846</v>
      </c>
      <c r="B67" s="11" t="s">
        <v>57</v>
      </c>
      <c r="C67" s="33" t="n">
        <f aca="false">IF(輸入與假設!$C$146="ebitda",輸入與假設!$C$147*損益!C21/運營_產能與收入!C7,輸入與假設!$C$145*C65)</f>
        <v>225.153940533587</v>
      </c>
      <c r="D67" s="33" t="n">
        <f aca="false">IF(輸入與假設!$C$146="ebitda",輸入與假設!$C$147*損益!D21/運營_產能與收入!D7,輸入與假設!$C$145*D65)</f>
        <v>324.702149148984</v>
      </c>
      <c r="E67" s="33" t="n">
        <f aca="false">IF(輸入與假設!$C$146="ebitda",輸入與假設!$C$147*損益!E21/運營_產能與收入!E7,輸入與假設!$C$145*E65)</f>
        <v>402.575378194661</v>
      </c>
      <c r="F67" s="33" t="n">
        <f aca="false">IF(輸入與假設!$C$146="ebitda",輸入與假設!$C$147*損益!F21/運營_產能與收入!F7,輸入與假設!$C$145*F65)</f>
        <v>411.887085465774</v>
      </c>
      <c r="G67" s="33" t="n">
        <f aca="false">IF(輸入與假設!$C$146="ebitda",輸入與假設!$C$147*損益!G21/運營_產能與收入!G7,輸入與假設!$C$145*G65)</f>
        <v>393.607257333244</v>
      </c>
      <c r="I67" s="11" t="s">
        <v>847</v>
      </c>
    </row>
    <row r="68" customFormat="false" ht="15" hidden="false" customHeight="false" outlineLevel="1" collapsed="false">
      <c r="A68" s="3" t="s">
        <v>848</v>
      </c>
      <c r="B68" s="11" t="s">
        <v>57</v>
      </c>
      <c r="C68" s="33" t="n">
        <f aca="false">IF(輸入與假設!$C$143=1,輸入與假設!$C$142,0)</f>
        <v>0</v>
      </c>
      <c r="D68" s="33" t="n">
        <f aca="false">C83</f>
        <v>0</v>
      </c>
      <c r="E68" s="33" t="n">
        <f aca="false">D83</f>
        <v>0</v>
      </c>
      <c r="F68" s="33" t="n">
        <f aca="false">E83</f>
        <v>0</v>
      </c>
      <c r="G68" s="33" t="n">
        <f aca="false">F83</f>
        <v>0</v>
      </c>
    </row>
    <row r="69" customFormat="false" ht="15" hidden="false" customHeight="false" outlineLevel="1" collapsed="false">
      <c r="A69" s="3" t="s">
        <v>849</v>
      </c>
      <c r="B69" s="11" t="s">
        <v>57</v>
      </c>
      <c r="C69" s="33" t="n">
        <f aca="false">MAX(0,C67-(C66+C55+C58),C68)</f>
        <v>102.256940533587</v>
      </c>
      <c r="D69" s="33" t="n">
        <f aca="false">MAX(0,D67-(D66+D55+D58),D68)</f>
        <v>202.908663773597</v>
      </c>
      <c r="E69" s="33" t="n">
        <f aca="false">MAX(0,E67-(E66+E55+E58),E68)</f>
        <v>264.100041387451</v>
      </c>
      <c r="F69" s="33" t="n">
        <f aca="false">MAX(0,F67-(F66+F55+F58),F68)</f>
        <v>280.661748658563</v>
      </c>
      <c r="G69" s="33" t="n">
        <f aca="false">MAX(0,G67-(G66+G55+G58),G68)</f>
        <v>272.131920526033</v>
      </c>
      <c r="I69" s="6" t="s">
        <v>850</v>
      </c>
    </row>
    <row r="70" customFormat="false" ht="15" hidden="false" customHeight="false" outlineLevel="1" collapsed="false">
      <c r="A70" s="2" t="s">
        <v>851</v>
      </c>
      <c r="B70" s="11" t="s">
        <v>57</v>
      </c>
      <c r="C70" s="36" t="n">
        <f aca="false">MIN(C69,C62/(1-C56))</f>
        <v>9.04348537538652</v>
      </c>
      <c r="D70" s="36" t="n">
        <f aca="false">MIN(D69,D62/(1-D56))</f>
        <v>22.1818514318242</v>
      </c>
      <c r="E70" s="36" t="n">
        <f aca="false">MIN(E69,E62/(1-E56))</f>
        <v>0</v>
      </c>
      <c r="F70" s="36" t="n">
        <f aca="false">MIN(F69,F62/(1-F56))</f>
        <v>0</v>
      </c>
      <c r="G70" s="36" t="n">
        <f aca="false">MIN(G69,G62/(1-G56))</f>
        <v>0</v>
      </c>
      <c r="I70" s="6" t="s">
        <v>852</v>
      </c>
    </row>
    <row r="71" customFormat="false" ht="15" hidden="false" customHeight="false" outlineLevel="1" collapsed="false">
      <c r="A71" s="3" t="s">
        <v>853</v>
      </c>
      <c r="B71" s="11" t="s">
        <v>57</v>
      </c>
      <c r="C71" s="33" t="n">
        <f aca="false">MAX(0,C62+C56*C70-C70)</f>
        <v>0</v>
      </c>
      <c r="D71" s="33" t="n">
        <f aca="false">MAX(0,D62+D56*D70-D70)</f>
        <v>0</v>
      </c>
      <c r="E71" s="33" t="n">
        <f aca="false">MAX(0,E62+E56*E70-E70)</f>
        <v>0</v>
      </c>
      <c r="F71" s="33" t="n">
        <f aca="false">MAX(0,F62+F56*F70-F70)</f>
        <v>0</v>
      </c>
      <c r="G71" s="33" t="n">
        <f aca="false">MAX(0,G62+G56*G70-G70)</f>
        <v>0</v>
      </c>
    </row>
    <row r="72" customFormat="false" ht="15" hidden="false" customHeight="false" outlineLevel="1" collapsed="false">
      <c r="A72" s="3" t="s">
        <v>854</v>
      </c>
      <c r="B72" s="11" t="s">
        <v>57</v>
      </c>
      <c r="C72" s="33" t="n">
        <f aca="false">MAX(0,輸入與假設!$C$159)*運營_產能與收入!C7</f>
        <v>0</v>
      </c>
      <c r="D72" s="33" t="n">
        <f aca="false">MAX(0,輸入與假設!$C$159)*運營_產能與收入!D7</f>
        <v>0</v>
      </c>
      <c r="E72" s="33" t="n">
        <f aca="false">MAX(0,輸入與假設!$C$159)*運營_產能與收入!E7</f>
        <v>0</v>
      </c>
      <c r="F72" s="33" t="n">
        <f aca="false">MAX(0,輸入與假設!$C$159)*運營_產能與收入!F7</f>
        <v>0</v>
      </c>
      <c r="G72" s="33" t="n">
        <f aca="false">MAX(0,輸入與假設!$C$159)*運營_產能與收入!G7</f>
        <v>0</v>
      </c>
      <c r="I72" s="6" t="s">
        <v>855</v>
      </c>
    </row>
    <row r="73" customFormat="false" ht="15" hidden="false" customHeight="false" outlineLevel="1" collapsed="false">
      <c r="A73" s="2" t="s">
        <v>856</v>
      </c>
      <c r="B73" s="11" t="s">
        <v>57</v>
      </c>
      <c r="C73" s="36" t="n">
        <f aca="false">MIN(C72,C71/(1-C59))</f>
        <v>0</v>
      </c>
      <c r="D73" s="36" t="n">
        <f aca="false">MIN(D72,D71/(1-D59))</f>
        <v>0</v>
      </c>
      <c r="E73" s="36" t="n">
        <f aca="false">MIN(E72,E71/(1-E59))</f>
        <v>0</v>
      </c>
      <c r="F73" s="36" t="n">
        <f aca="false">MIN(F72,F71/(1-F59))</f>
        <v>0</v>
      </c>
      <c r="G73" s="36" t="n">
        <f aca="false">MIN(G72,G71/(1-G59))</f>
        <v>0</v>
      </c>
      <c r="I73" s="6" t="s">
        <v>857</v>
      </c>
    </row>
    <row r="74" customFormat="false" ht="15" hidden="false" customHeight="false" outlineLevel="1" collapsed="false">
      <c r="A74" s="3" t="s">
        <v>858</v>
      </c>
      <c r="B74" s="11" t="s">
        <v>57</v>
      </c>
      <c r="C74" s="33" t="n">
        <f aca="false">MAX(0,C71+C59*C73-C73)</f>
        <v>0</v>
      </c>
      <c r="D74" s="33" t="n">
        <f aca="false">MAX(0,D71+D59*D73-D73)</f>
        <v>0</v>
      </c>
      <c r="E74" s="33" t="n">
        <f aca="false">MAX(0,E71+E59*E73-E73)</f>
        <v>0</v>
      </c>
      <c r="F74" s="33" t="n">
        <f aca="false">MAX(0,F71+F59*F73-F73)</f>
        <v>0</v>
      </c>
      <c r="G74" s="33" t="n">
        <f aca="false">MAX(0,G71+G59*G73-G73)</f>
        <v>0</v>
      </c>
    </row>
    <row r="75" customFormat="false" ht="15" hidden="false" customHeight="false" outlineLevel="1" collapsed="false">
      <c r="A75" s="3" t="s">
        <v>859</v>
      </c>
      <c r="B75" s="11" t="s">
        <v>57</v>
      </c>
      <c r="C75" s="33" t="n">
        <f aca="false">IF(輸入與假設!$C$154&gt;=9,1E+099,輸入與假設!$C$154*輸入與假設!$C$152*輸入與假設!$C$155*運營_產能與收入!C7)</f>
        <v>16.415484777</v>
      </c>
      <c r="D75" s="33" t="n">
        <f aca="false">IF(輸入與假設!$C$154&gt;=9,1E+099,輸入與假設!$C$154*輸入與假設!$C$152*輸入與假設!$C$155*運營_產能與收入!D7)</f>
        <v>21.887313036</v>
      </c>
      <c r="E75" s="33" t="n">
        <f aca="false">IF(輸入與假設!$C$154&gt;=9,1E+099,輸入與假設!$C$154*輸入與假設!$C$152*輸入與假設!$C$155*運營_產能與收入!E7)</f>
        <v>21.887313036</v>
      </c>
      <c r="F75" s="33" t="n">
        <f aca="false">IF(輸入與假設!$C$154&gt;=9,1E+099,輸入與假設!$C$154*輸入與假設!$C$152*輸入與假設!$C$155*運營_產能與收入!F7)</f>
        <v>21.887313036</v>
      </c>
      <c r="G75" s="33" t="n">
        <f aca="false">IF(輸入與假設!$C$154&gt;=9,1E+099,輸入與假設!$C$154*輸入與假設!$C$152*輸入與假設!$C$155*運營_產能與收入!G7)</f>
        <v>21.887313036</v>
      </c>
      <c r="I75" s="6" t="s">
        <v>860</v>
      </c>
    </row>
    <row r="76" customFormat="false" ht="15" hidden="false" customHeight="false" outlineLevel="1" collapsed="false">
      <c r="A76" s="2" t="s">
        <v>861</v>
      </c>
      <c r="B76" s="11" t="s">
        <v>57</v>
      </c>
      <c r="C76" s="36" t="n">
        <f aca="false">MIN(C74,C75)</f>
        <v>0</v>
      </c>
      <c r="D76" s="36" t="n">
        <f aca="false">MIN(D74,D75)</f>
        <v>0</v>
      </c>
      <c r="E76" s="36" t="n">
        <f aca="false">MIN(E74,E75)</f>
        <v>0</v>
      </c>
      <c r="F76" s="36" t="n">
        <f aca="false">MIN(F74,F75)</f>
        <v>0</v>
      </c>
      <c r="G76" s="36" t="n">
        <f aca="false">MIN(G74,G75)</f>
        <v>0</v>
      </c>
    </row>
    <row r="77" customFormat="false" ht="15" hidden="false" customHeight="false" outlineLevel="1" collapsed="false">
      <c r="A77" s="2" t="s">
        <v>862</v>
      </c>
      <c r="B77" s="11" t="s">
        <v>57</v>
      </c>
      <c r="C77" s="36" t="n">
        <f aca="false">(C74-C76)/(1-C60)</f>
        <v>0</v>
      </c>
      <c r="D77" s="36" t="n">
        <f aca="false">(D74-D76)/(1-D60)</f>
        <v>0</v>
      </c>
      <c r="E77" s="36" t="n">
        <f aca="false">(E74-E76)/(1-E60)</f>
        <v>0</v>
      </c>
      <c r="F77" s="36" t="n">
        <f aca="false">(F74-F76)/(1-F60)</f>
        <v>0</v>
      </c>
      <c r="G77" s="36" t="n">
        <f aca="false">(G74-G76)/(1-G60)</f>
        <v>0</v>
      </c>
    </row>
    <row r="78" customFormat="false" ht="15" hidden="false" customHeight="false" outlineLevel="1" collapsed="false">
      <c r="A78" s="3" t="s">
        <v>863</v>
      </c>
      <c r="B78" s="11" t="s">
        <v>57</v>
      </c>
      <c r="C78" s="33" t="n">
        <f aca="false">C56*(C55+C70)+C60*(C57+C77)+C59*(C58+C73)</f>
        <v>0.393391613829313</v>
      </c>
      <c r="D78" s="33" t="n">
        <f aca="false">D56*(D55+D70)+D60*(D57+D77)+D59*(D58+D73)</f>
        <v>1.81106953481822</v>
      </c>
      <c r="E78" s="33" t="n">
        <f aca="false">E56*(E55+E70)+E60*(E57+E77)+E59*(E58+E73)</f>
        <v>1.81106953481822</v>
      </c>
      <c r="F78" s="33" t="n">
        <f aca="false">F56*(F55+F70)+F60*(F57+F77)+F59*(F58+F73)</f>
        <v>1.81106953481822</v>
      </c>
      <c r="G78" s="33" t="n">
        <f aca="false">G56*(G55+G70)+G60*(G57+G77)+G59*(G58+G73)</f>
        <v>1.81106953481822</v>
      </c>
      <c r="I78" s="6" t="s">
        <v>864</v>
      </c>
    </row>
    <row r="79" customFormat="false" ht="15" hidden="false" customHeight="false" outlineLevel="1" collapsed="false">
      <c r="A79" s="3" t="s">
        <v>865</v>
      </c>
      <c r="B79" s="11" t="s">
        <v>39</v>
      </c>
      <c r="C79" s="49" t="n">
        <f aca="false">輸入與假設!$C$152*(1-輸入與假設!$C$153)</f>
        <v>130.293</v>
      </c>
      <c r="D79" s="49" t="n">
        <f aca="false">輸入與假設!$C$152*(1-輸入與假設!$C$153)</f>
        <v>130.293</v>
      </c>
      <c r="E79" s="49" t="n">
        <f aca="false">輸入與假設!$C$152*(1-輸入與假設!$C$153)</f>
        <v>130.293</v>
      </c>
      <c r="F79" s="49" t="n">
        <f aca="false">輸入與假設!$C$152*(1-輸入與假設!$C$153)</f>
        <v>130.293</v>
      </c>
      <c r="G79" s="49" t="n">
        <f aca="false">輸入與假設!$C$152*(1-輸入與假設!$C$153)</f>
        <v>130.293</v>
      </c>
    </row>
    <row r="80" customFormat="false" ht="15" hidden="false" customHeight="false" outlineLevel="1" collapsed="false">
      <c r="A80" s="3" t="s">
        <v>866</v>
      </c>
      <c r="B80" s="11" t="s">
        <v>388</v>
      </c>
      <c r="C80" s="50" t="n">
        <f aca="false">C76/C79</f>
        <v>0</v>
      </c>
      <c r="D80" s="50" t="n">
        <f aca="false">D76/D79</f>
        <v>0</v>
      </c>
      <c r="E80" s="50" t="n">
        <f aca="false">E76/E79</f>
        <v>0</v>
      </c>
      <c r="F80" s="50" t="n">
        <f aca="false">F76/F79</f>
        <v>0</v>
      </c>
      <c r="G80" s="50" t="n">
        <f aca="false">G76/G79</f>
        <v>0</v>
      </c>
    </row>
    <row r="81" customFormat="false" ht="15" hidden="false" customHeight="false" outlineLevel="1" collapsed="false">
      <c r="A81" s="2" t="s">
        <v>867</v>
      </c>
      <c r="B81" s="11" t="s">
        <v>388</v>
      </c>
      <c r="C81" s="51" t="n">
        <f aca="false">C80</f>
        <v>0</v>
      </c>
      <c r="D81" s="51" t="n">
        <f aca="false">C81+D80</f>
        <v>0</v>
      </c>
      <c r="E81" s="51" t="n">
        <f aca="false">D81+E80</f>
        <v>0</v>
      </c>
      <c r="F81" s="51" t="n">
        <f aca="false">E81+F80</f>
        <v>0</v>
      </c>
      <c r="G81" s="51" t="n">
        <f aca="false">F81+G80</f>
        <v>0</v>
      </c>
    </row>
    <row r="82" customFormat="false" ht="15" hidden="false" customHeight="false" outlineLevel="1" collapsed="false">
      <c r="A82" s="3" t="s">
        <v>868</v>
      </c>
      <c r="B82" s="11" t="s">
        <v>57</v>
      </c>
      <c r="C82" s="33" t="n">
        <f aca="false">C55+C70</f>
        <v>9.04348537538652</v>
      </c>
      <c r="D82" s="33" t="n">
        <f aca="false">D55+D70</f>
        <v>31.2253368072108</v>
      </c>
      <c r="E82" s="33" t="n">
        <f aca="false">E55+E70</f>
        <v>31.2253368072108</v>
      </c>
      <c r="F82" s="33" t="n">
        <f aca="false">F55+F70</f>
        <v>31.2253368072108</v>
      </c>
      <c r="G82" s="33" t="n">
        <f aca="false">G55+G70</f>
        <v>31.2253368072108</v>
      </c>
    </row>
    <row r="83" customFormat="false" ht="15" hidden="false" customHeight="false" outlineLevel="1" collapsed="false">
      <c r="A83" s="3" t="s">
        <v>869</v>
      </c>
      <c r="B83" s="11" t="s">
        <v>57</v>
      </c>
      <c r="C83" s="33" t="n">
        <f aca="false">C68-MIN(C68,C70)</f>
        <v>0</v>
      </c>
      <c r="D83" s="33" t="n">
        <f aca="false">D68-MIN(D68,D70)</f>
        <v>0</v>
      </c>
      <c r="E83" s="33" t="n">
        <f aca="false">E68-MIN(E68,E70)</f>
        <v>0</v>
      </c>
      <c r="F83" s="33" t="n">
        <f aca="false">F68-MIN(F68,F70)</f>
        <v>0</v>
      </c>
      <c r="G83" s="33" t="n">
        <f aca="false">G68-MIN(G68,G70)</f>
        <v>0</v>
      </c>
    </row>
    <row r="84" customFormat="false" ht="15" hidden="false" customHeight="false" outlineLevel="1" collapsed="false">
      <c r="A84" s="3" t="s">
        <v>870</v>
      </c>
      <c r="B84" s="11" t="s">
        <v>57</v>
      </c>
      <c r="C84" s="33" t="n">
        <f aca="false">C57+C77</f>
        <v>0</v>
      </c>
      <c r="D84" s="33" t="n">
        <f aca="false">D57+D77</f>
        <v>0</v>
      </c>
      <c r="E84" s="33" t="n">
        <f aca="false">E57+E77</f>
        <v>0</v>
      </c>
      <c r="F84" s="33" t="n">
        <f aca="false">F57+F77</f>
        <v>0</v>
      </c>
      <c r="G84" s="33" t="n">
        <f aca="false">G57+G77</f>
        <v>0</v>
      </c>
    </row>
    <row r="85" customFormat="false" ht="15" hidden="false" customHeight="false" outlineLevel="1" collapsed="false">
      <c r="A85" s="3" t="s">
        <v>871</v>
      </c>
      <c r="B85" s="11" t="s">
        <v>57</v>
      </c>
      <c r="C85" s="33" t="n">
        <f aca="false">C58+C73</f>
        <v>0</v>
      </c>
      <c r="D85" s="33" t="n">
        <f aca="false">D58+D73</f>
        <v>0</v>
      </c>
      <c r="E85" s="33" t="n">
        <f aca="false">E58+E73</f>
        <v>0</v>
      </c>
      <c r="F85" s="33" t="n">
        <f aca="false">F58+F73</f>
        <v>0</v>
      </c>
      <c r="G85" s="33" t="n">
        <f aca="false">G58+G73</f>
        <v>0</v>
      </c>
    </row>
    <row r="86" customFormat="false" ht="15" hidden="false" customHeight="false" outlineLevel="1" collapsed="false">
      <c r="A86" s="2" t="s">
        <v>872</v>
      </c>
      <c r="B86" s="11" t="s">
        <v>57</v>
      </c>
      <c r="C86" s="36" t="n">
        <f aca="false">C66+C82+C85+C84</f>
        <v>131.940485375387</v>
      </c>
      <c r="D86" s="36" t="n">
        <f aca="false">D66+D82+D85+D84</f>
        <v>143.975336807211</v>
      </c>
      <c r="E86" s="36" t="n">
        <f aca="false">E66+E82+E85+E84</f>
        <v>138.475336807211</v>
      </c>
      <c r="F86" s="36" t="n">
        <f aca="false">F66+F82+F85+F84</f>
        <v>131.225336807211</v>
      </c>
      <c r="G86" s="36" t="n">
        <f aca="false">G66+G82+G85+G84</f>
        <v>121.475336807211</v>
      </c>
    </row>
    <row r="87" customFormat="false" ht="15" hidden="false" customHeight="false" outlineLevel="1" collapsed="false">
      <c r="A87" s="2" t="s">
        <v>873</v>
      </c>
      <c r="B87" s="11" t="s">
        <v>57</v>
      </c>
      <c r="C87" s="36" t="n">
        <f aca="false">C18+C39+C40+C41+C48-C54</f>
        <v>1.3499062384428</v>
      </c>
      <c r="D87" s="36" t="n">
        <f aca="false">C87+D39+D40-D54</f>
        <v>-19.0208756585632</v>
      </c>
      <c r="E87" s="36" t="n">
        <f aca="false">D87+E39+E40-E54</f>
        <v>21.2368968260255</v>
      </c>
      <c r="F87" s="36" t="n">
        <f aca="false">E87+F39+F40-F54</f>
        <v>44.0267029306531</v>
      </c>
      <c r="G87" s="36" t="n">
        <f aca="false">F87+G39+G40-G54</f>
        <v>59.1467217455533</v>
      </c>
      <c r="I87" s="6" t="s">
        <v>874</v>
      </c>
    </row>
    <row r="89" customFormat="false" ht="15" hidden="false" customHeight="false" outlineLevel="0" collapsed="true">
      <c r="A89" s="46" t="s">
        <v>875</v>
      </c>
      <c r="B89" s="8"/>
      <c r="C89" s="8"/>
      <c r="D89" s="8"/>
      <c r="E89" s="8"/>
      <c r="F89" s="8"/>
      <c r="G89" s="8"/>
      <c r="H89" s="8"/>
    </row>
    <row r="90" customFormat="false" ht="15" hidden="true" customHeight="false" outlineLevel="1" collapsed="false">
      <c r="A90" s="3" t="s">
        <v>876</v>
      </c>
      <c r="C90" s="52" t="n">
        <f aca="false">輸入與假設!$C$240</f>
        <v>31.289</v>
      </c>
    </row>
    <row r="91" customFormat="false" ht="15" hidden="true" customHeight="false" outlineLevel="1" collapsed="false">
      <c r="A91" s="3" t="s">
        <v>877</v>
      </c>
      <c r="C91" s="52" t="n">
        <f aca="false">SUM(C49:G49)</f>
        <v>43.8330519924511</v>
      </c>
    </row>
    <row r="92" customFormat="false" ht="15" hidden="true" customHeight="false" outlineLevel="1" collapsed="false">
      <c r="A92" s="3" t="s">
        <v>878</v>
      </c>
      <c r="C92" s="52" t="n">
        <f aca="false">SUM(C40:G40)</f>
        <v>19.909</v>
      </c>
    </row>
    <row r="93" customFormat="false" ht="15" hidden="true" customHeight="false" outlineLevel="1" collapsed="false">
      <c r="A93" s="3" t="s">
        <v>879</v>
      </c>
      <c r="C93" s="52" t="n">
        <f aca="false">SUM(C41:G41)</f>
        <v>0</v>
      </c>
    </row>
    <row r="94" customFormat="false" ht="15" hidden="true" customHeight="false" outlineLevel="1" collapsed="false">
      <c r="A94" s="4" t="s">
        <v>880</v>
      </c>
      <c r="C94" s="52" t="n">
        <f aca="false">-SUM(C27:G27)</f>
        <v>-0</v>
      </c>
    </row>
    <row r="95" customFormat="false" ht="15" hidden="true" customHeight="false" outlineLevel="1" collapsed="false">
      <c r="A95" s="3" t="s">
        <v>881</v>
      </c>
      <c r="C95" s="52" t="n">
        <f aca="false">SUM(C48:G48)</f>
        <v>-3.66600000000001</v>
      </c>
    </row>
    <row r="96" customFormat="false" ht="15" hidden="true" customHeight="false" outlineLevel="1" collapsed="false">
      <c r="A96" s="3" t="s">
        <v>882</v>
      </c>
      <c r="C96" s="52" t="n">
        <f aca="false">SUM(C42:G42)+SUM(C43:G43)+SUM(C44:G44)+SUM(C45:G45)</f>
        <v>31.2253368072108</v>
      </c>
    </row>
    <row r="97" customFormat="false" ht="15" hidden="true" customHeight="false" outlineLevel="1" collapsed="false">
      <c r="A97" s="3" t="s">
        <v>883</v>
      </c>
      <c r="C97" s="52" t="n">
        <f aca="false">-SUM(C26:G26)</f>
        <v>-39.856</v>
      </c>
    </row>
    <row r="98" customFormat="false" ht="15" hidden="true" customHeight="false" outlineLevel="1" collapsed="false">
      <c r="A98" s="2" t="s">
        <v>884</v>
      </c>
      <c r="C98" s="53" t="n">
        <f aca="false">SUM(C90:C97)</f>
        <v>82.7343887996619</v>
      </c>
    </row>
    <row r="99" customFormat="false" ht="15" hidden="true" customHeight="false" outlineLevel="1" collapsed="false">
      <c r="A99" s="3" t="s">
        <v>885</v>
      </c>
      <c r="C99" s="52" t="n">
        <f aca="false">G51</f>
        <v>82.7343887996619</v>
      </c>
    </row>
    <row r="100" customFormat="false" ht="15" hidden="true" customHeight="false" outlineLevel="1" collapsed="false">
      <c r="A100" s="2" t="s">
        <v>886</v>
      </c>
      <c r="C100" s="52" t="n">
        <f aca="false">C98-C99</f>
        <v>0</v>
      </c>
      <c r="I100" s="6" t="s">
        <v>887</v>
      </c>
    </row>
    <row r="102" customFormat="false" ht="15" hidden="false" customHeight="false" outlineLevel="0" collapsed="true">
      <c r="A102" s="7" t="s">
        <v>888</v>
      </c>
      <c r="B102" s="8"/>
      <c r="C102" s="8"/>
      <c r="D102" s="8"/>
      <c r="E102" s="8"/>
      <c r="F102" s="8"/>
      <c r="G102" s="8"/>
      <c r="H102" s="8"/>
    </row>
    <row r="103" customFormat="false" ht="15" hidden="true" customHeight="false" outlineLevel="1" collapsed="false">
      <c r="A103" s="4" t="s">
        <v>889</v>
      </c>
      <c r="C103" s="10" t="n">
        <f aca="false">運營_產能與收入!C30</f>
        <v>90.7274948</v>
      </c>
      <c r="I103" s="6" t="s">
        <v>890</v>
      </c>
    </row>
    <row r="104" customFormat="false" ht="15" hidden="true" customHeight="false" outlineLevel="1" collapsed="false">
      <c r="A104" s="4" t="s">
        <v>891</v>
      </c>
      <c r="C104" s="10" t="n">
        <f aca="false">C6</f>
        <v>106.09585</v>
      </c>
      <c r="I104" s="6" t="s">
        <v>892</v>
      </c>
    </row>
    <row r="105" customFormat="false" ht="15" hidden="true" customHeight="false" outlineLevel="1" collapsed="false">
      <c r="A105" s="4" t="s">
        <v>893</v>
      </c>
      <c r="C105" s="10" t="n">
        <f aca="false">輸入與假設!$C$249+輸入與假設!C$172+C20</f>
        <v>6.30096252972893</v>
      </c>
      <c r="I105" s="6" t="s">
        <v>894</v>
      </c>
    </row>
    <row r="106" customFormat="false" ht="15" hidden="true" customHeight="false" outlineLevel="1" collapsed="false">
      <c r="A106" s="4" t="s">
        <v>895</v>
      </c>
      <c r="C106" s="10" t="n">
        <f aca="false">輸入與假設!$C$250+C16</f>
        <v>7.28516042780749</v>
      </c>
      <c r="I106" s="11" t="s">
        <v>896</v>
      </c>
    </row>
    <row r="107" customFormat="false" ht="15" hidden="true" customHeight="false" outlineLevel="1" collapsed="false">
      <c r="A107" s="4" t="s">
        <v>897</v>
      </c>
      <c r="C107" s="10" t="n">
        <f aca="false">C26</f>
        <v>7.209</v>
      </c>
      <c r="I107" s="11" t="s">
        <v>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899</v>
      </c>
    </row>
    <row r="2" customFormat="false" ht="15" hidden="false" customHeight="false" outlineLevel="0" collapsed="false">
      <c r="A2" s="6" t="s">
        <v>900</v>
      </c>
    </row>
    <row r="4" customFormat="false" ht="15" hidden="false" customHeight="false" outlineLevel="0" collapsed="false">
      <c r="A4" s="7" t="s">
        <v>901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902</v>
      </c>
      <c r="B5" s="14" t="s">
        <v>52</v>
      </c>
      <c r="C5" s="14" t="s">
        <v>903</v>
      </c>
      <c r="D5" s="14" t="s">
        <v>904</v>
      </c>
      <c r="E5" s="14" t="s">
        <v>905</v>
      </c>
      <c r="F5" s="14" t="s">
        <v>906</v>
      </c>
      <c r="G5" s="14" t="s">
        <v>907</v>
      </c>
      <c r="H5" s="14" t="s">
        <v>908</v>
      </c>
      <c r="I5" s="14" t="s">
        <v>909</v>
      </c>
      <c r="J5" s="14" t="s">
        <v>910</v>
      </c>
      <c r="K5" s="14" t="s">
        <v>911</v>
      </c>
      <c r="L5" s="14" t="s">
        <v>912</v>
      </c>
      <c r="M5" s="14" t="s">
        <v>913</v>
      </c>
      <c r="N5" s="14" t="s">
        <v>914</v>
      </c>
      <c r="O5" s="14" t="s">
        <v>910</v>
      </c>
      <c r="P5" s="14" t="s">
        <v>911</v>
      </c>
      <c r="Q5" s="14" t="s">
        <v>915</v>
      </c>
    </row>
    <row r="6" customFormat="false" ht="15" hidden="false" customHeight="false" outlineLevel="1" collapsed="false">
      <c r="A6" s="3" t="s">
        <v>916</v>
      </c>
      <c r="B6" s="11" t="s">
        <v>57</v>
      </c>
      <c r="C6" s="54" t="n">
        <f aca="false">INDEX($C$22:$H$22,輸入與假設!$C$339)</f>
        <v>21.5695824666667</v>
      </c>
      <c r="D6" s="54" t="n">
        <f aca="false">INDEX($C$34:$H$34,輸入與假設!$C$339)</f>
        <v>21.322</v>
      </c>
      <c r="E6" s="55" t="n">
        <f aca="false">INDEX($C$44:$H$44,輸入與假設!$C$339)</f>
        <v>0.0116115967857926</v>
      </c>
      <c r="F6" s="54" t="n">
        <f aca="false">IF(ISNUMBER(INDEX($C$31:$H$31,輸入與假設!$C$339)),INDEX($C$31:$H$31,輸入與假設!$C$339),"不適用")</f>
        <v>20.875</v>
      </c>
      <c r="G6" s="54" t="n">
        <f aca="false">INDEX($C$32:$H$32,輸入與假設!$C$339)</f>
        <v>21.518</v>
      </c>
      <c r="H6" s="55" t="n">
        <f aca="false">INDEX($C$45:$H$45,輸入與假設!$C$339)</f>
        <v>0.0176011354075751</v>
      </c>
      <c r="I6" s="54" t="str">
        <f aca="false">IF(ISNUMBER(INDEX($C$38:$H$38,輸入與假設!$C$339)),INDEX($C$38:$H$38,輸入與假設!$C$339),"待公布")</f>
        <v>待公布</v>
      </c>
      <c r="J6" s="55" t="str">
        <f aca="false">INDEX($C$46:$H$46,輸入與假設!$C$339)</f>
        <v/>
      </c>
      <c r="K6" s="55" t="str">
        <f aca="false">INDEX($C$47:$H$47,輸入與假設!$C$339)</f>
        <v/>
      </c>
      <c r="L6" s="55" t="str">
        <f aca="false">INDEX($C$48:$H$48,輸入與假設!$C$339)</f>
        <v/>
      </c>
      <c r="M6" s="55"/>
      <c r="N6" s="55"/>
      <c r="O6" s="55"/>
      <c r="P6" s="55"/>
      <c r="Q6" s="55"/>
    </row>
    <row r="7" customFormat="false" ht="15" hidden="false" customHeight="false" outlineLevel="1" collapsed="false">
      <c r="A7" s="3" t="s">
        <v>917</v>
      </c>
      <c r="B7" s="11" t="s">
        <v>57</v>
      </c>
      <c r="C7" s="54" t="n">
        <f aca="false">INDEX($C$28:$H$28,輸入與假設!$C$339)</f>
        <v>12.7339858742758</v>
      </c>
      <c r="D7" s="54" t="n">
        <f aca="false">INDEX($C$35:$H$35,輸入與假設!$C$339)</f>
        <v>12.359</v>
      </c>
      <c r="E7" s="54" t="n">
        <f aca="false">INDEX($C$49:$H$49,輸入與假設!$C$339)</f>
        <v>0.374985874275817</v>
      </c>
      <c r="F7" s="56" t="s">
        <v>576</v>
      </c>
      <c r="G7" s="56" t="s">
        <v>576</v>
      </c>
      <c r="H7" s="54" t="str">
        <f aca="false">INDEX($C$50:$H$50,輸入與假設!$C$339)</f>
        <v>不適用</v>
      </c>
      <c r="I7" s="54" t="str">
        <f aca="false">IF(ISNUMBER(INDEX($C$39:$H$39,輸入與假設!$C$339)),INDEX($C$39:$H$39,輸入與假設!$C$339),"待公布")</f>
        <v>待公布</v>
      </c>
      <c r="J7" s="54" t="str">
        <f aca="false">INDEX($C$51:$H$51,輸入與假設!$C$339)</f>
        <v/>
      </c>
      <c r="K7" s="54" t="str">
        <f aca="false">INDEX($C$52:$H$52,輸入與假設!$C$339)</f>
        <v/>
      </c>
      <c r="L7" s="54" t="str">
        <f aca="false">INDEX($C$53:$H$53,輸入與假設!$C$339)</f>
        <v/>
      </c>
      <c r="M7" s="55" t="n">
        <f aca="false">INDEX($C$54:$H$54,輸入與假設!$C$339)</f>
        <v>0.0107316935762632</v>
      </c>
      <c r="N7" s="55" t="str">
        <f aca="false">INDEX($C$55:$H$55,輸入與假設!$C$339)</f>
        <v>不適用</v>
      </c>
      <c r="O7" s="55" t="str">
        <f aca="false">INDEX($C$56:$H$56,輸入與假設!$C$339)</f>
        <v/>
      </c>
      <c r="P7" s="55" t="str">
        <f aca="false">INDEX($C$57:$H$57,輸入與假設!$C$339)</f>
        <v/>
      </c>
      <c r="Q7" s="55" t="str">
        <f aca="false">INDEX($C$58:$H$58,輸入與假設!$C$339)</f>
        <v/>
      </c>
    </row>
    <row r="8" customFormat="false" ht="15" hidden="false" customHeight="false" outlineLevel="1" collapsed="false">
      <c r="A8" s="3" t="s">
        <v>918</v>
      </c>
      <c r="B8" s="11" t="s">
        <v>42</v>
      </c>
      <c r="C8" s="55" t="n">
        <f aca="false">INDEX($C$27:$H$27,輸入與假設!$C$339)</f>
        <v>0.590367750231361</v>
      </c>
      <c r="D8" s="55" t="n">
        <f aca="false">INDEX($C$36:$H$36,輸入與假設!$C$339)</f>
        <v>0.579636056655098</v>
      </c>
      <c r="E8" s="55" t="n">
        <f aca="false">INDEX($C$59:$H$59,輸入與假設!$C$339)</f>
        <v>0.0107316935762632</v>
      </c>
      <c r="F8" s="57" t="s">
        <v>576</v>
      </c>
      <c r="G8" s="57" t="s">
        <v>576</v>
      </c>
      <c r="H8" s="55" t="str">
        <f aca="false">INDEX($C$60:$H$60,輸入與假設!$C$339)</f>
        <v>不適用</v>
      </c>
      <c r="I8" s="55" t="str">
        <f aca="false">IF(ISNUMBER(INDEX($C$40:$H$40,輸入與假設!$C$339)),INDEX($C$40:$H$40,輸入與假設!$C$339),"待公布")</f>
        <v>待公布</v>
      </c>
      <c r="J8" s="55" t="str">
        <f aca="false">INDEX($C$61:$H$61,輸入與假設!$C$339)</f>
        <v/>
      </c>
      <c r="K8" s="55" t="str">
        <f aca="false">INDEX($C$62:$H$62,輸入與假設!$C$339)</f>
        <v/>
      </c>
      <c r="L8" s="55" t="str">
        <f aca="false">INDEX($C$63:$H$63,輸入與假設!$C$339)</f>
        <v/>
      </c>
      <c r="M8" s="55"/>
      <c r="N8" s="55"/>
      <c r="O8" s="55"/>
      <c r="P8" s="55"/>
      <c r="Q8" s="55"/>
    </row>
    <row r="9" customFormat="false" ht="15" hidden="false" customHeight="false" outlineLevel="1" collapsed="false">
      <c r="A9" s="3" t="s">
        <v>919</v>
      </c>
      <c r="B9" s="11" t="s">
        <v>57</v>
      </c>
      <c r="C9" s="54" t="n">
        <f aca="false">INDEX($C$30:$H$30,輸入與假設!$C$339)</f>
        <v>9.0392855270536</v>
      </c>
      <c r="D9" s="56" t="s">
        <v>576</v>
      </c>
      <c r="E9" s="54" t="str">
        <f aca="false">INDEX($C$64:$H$64,輸入與假設!$C$339)</f>
        <v>不適用</v>
      </c>
      <c r="F9" s="56" t="s">
        <v>576</v>
      </c>
      <c r="G9" s="56" t="s">
        <v>576</v>
      </c>
      <c r="H9" s="54" t="str">
        <f aca="false">INDEX($C$65:$H$65,輸入與假設!$C$339)</f>
        <v>不適用</v>
      </c>
      <c r="I9" s="54" t="str">
        <f aca="false">IF(ISNUMBER(INDEX($C$41:$H$41,輸入與假設!$C$339)),INDEX($C$41:$H$41,輸入與假設!$C$339),"待公布")</f>
        <v>待公布</v>
      </c>
      <c r="J9" s="54" t="str">
        <f aca="false">INDEX($C$66:$H$66,輸入與假設!$C$339)</f>
        <v/>
      </c>
      <c r="K9" s="54" t="str">
        <f aca="false">INDEX($C$67:$H$67,輸入與假設!$C$339)</f>
        <v/>
      </c>
      <c r="L9" s="54" t="str">
        <f aca="false">INDEX($C$68:$H$68,輸入與假設!$C$339)</f>
        <v/>
      </c>
      <c r="M9" s="55" t="str">
        <f aca="false">INDEX($C$69:$H$69,輸入與假設!$C$339)</f>
        <v>不適用</v>
      </c>
      <c r="N9" s="55" t="str">
        <f aca="false">INDEX($C$70:$H$70,輸入與假設!$C$339)</f>
        <v>不適用</v>
      </c>
      <c r="O9" s="55" t="str">
        <f aca="false">INDEX($C$71:$H$71,輸入與假設!$C$339)</f>
        <v/>
      </c>
      <c r="P9" s="55" t="str">
        <f aca="false">INDEX($C$72:$H$72,輸入與假設!$C$339)</f>
        <v/>
      </c>
      <c r="Q9" s="55" t="str">
        <f aca="false">INDEX($C$73:$H$73,輸入與假設!$C$339)</f>
        <v/>
      </c>
    </row>
    <row r="10" customFormat="false" ht="15" hidden="false" customHeight="false" outlineLevel="1" collapsed="false">
      <c r="A10" s="3" t="s">
        <v>920</v>
      </c>
      <c r="B10" s="11" t="s">
        <v>57</v>
      </c>
      <c r="C10" s="54" t="n">
        <f aca="false">INDEX($C$33:$H$33,輸入與假設!$C$339)</f>
        <v>25.8656166666667</v>
      </c>
      <c r="D10" s="56" t="s">
        <v>576</v>
      </c>
      <c r="E10" s="55" t="str">
        <f aca="false">INDEX($C$74:$H$74,輸入與假設!$C$339)</f>
        <v>不適用</v>
      </c>
      <c r="F10" s="56" t="s">
        <v>576</v>
      </c>
      <c r="G10" s="56" t="s">
        <v>576</v>
      </c>
      <c r="H10" s="55" t="str">
        <f aca="false">INDEX($C$75:$H$75,輸入與假設!$C$339)</f>
        <v>不適用</v>
      </c>
      <c r="I10" s="54" t="str">
        <f aca="false">IF(ISNUMBER(INDEX($C$42:$H$42,輸入與假設!$C$339)),INDEX($C$42:$H$42,輸入與假設!$C$339),"待公布")</f>
        <v>待公布</v>
      </c>
      <c r="J10" s="55" t="str">
        <f aca="false">INDEX($C$76:$H$76,輸入與假設!$C$339)</f>
        <v/>
      </c>
      <c r="K10" s="55" t="str">
        <f aca="false">INDEX($C$77:$H$77,輸入與假設!$C$339)</f>
        <v/>
      </c>
      <c r="L10" s="55" t="str">
        <f aca="false">INDEX($C$78:$H$78,輸入與假設!$C$339)</f>
        <v/>
      </c>
      <c r="M10" s="55"/>
      <c r="N10" s="55"/>
      <c r="O10" s="55"/>
      <c r="P10" s="55"/>
      <c r="Q10" s="55"/>
    </row>
    <row r="11" customFormat="false" ht="15" hidden="false" customHeight="false" outlineLevel="1" collapsed="false">
      <c r="A11" s="3" t="s">
        <v>921</v>
      </c>
      <c r="B11" s="11" t="s">
        <v>149</v>
      </c>
      <c r="C11" s="58" t="n">
        <f aca="false">INDEX($C$19:$H$19,輸入與假設!$C$339)</f>
        <v>3251.33333333333</v>
      </c>
      <c r="D11" s="59" t="s">
        <v>576</v>
      </c>
      <c r="E11" s="58" t="str">
        <f aca="false">INDEX($C$79:$H$79,輸入與假設!$C$339)</f>
        <v>不適用</v>
      </c>
      <c r="F11" s="59" t="s">
        <v>576</v>
      </c>
      <c r="G11" s="59" t="s">
        <v>576</v>
      </c>
      <c r="H11" s="58" t="str">
        <f aca="false">INDEX($C$80:$H$80,輸入與假設!$C$339)</f>
        <v>不適用</v>
      </c>
      <c r="I11" s="58" t="str">
        <f aca="false">IF(ISNUMBER(INDEX($C$43:$H$43,輸入與假設!$C$339)),INDEX($C$43:$H$43,輸入與假設!$C$339),"待公布")</f>
        <v>待公布</v>
      </c>
      <c r="J11" s="58" t="str">
        <f aca="false">INDEX($C$81:$H$81,輸入與假設!$C$339)</f>
        <v/>
      </c>
      <c r="K11" s="58" t="str">
        <f aca="false">INDEX($C$82:$H$82,輸入與假設!$C$339)</f>
        <v/>
      </c>
      <c r="L11" s="58" t="str">
        <f aca="false">INDEX($C$83:$H$83,輸入與假設!$C$339)</f>
        <v/>
      </c>
      <c r="M11" s="55"/>
      <c r="N11" s="55"/>
      <c r="O11" s="55"/>
      <c r="P11" s="55"/>
      <c r="Q11" s="55"/>
    </row>
    <row r="12" customFormat="false" ht="15" hidden="false" customHeight="false" outlineLevel="1" collapsed="false">
      <c r="A12" s="2" t="s">
        <v>922</v>
      </c>
      <c r="C12" s="2" t="str">
        <f aca="false">INDEX($C$16:$H$16,輸入與假設!$C$339)</f>
        <v>Q2 FY27</v>
      </c>
    </row>
    <row r="13" customFormat="false" ht="17.15" hidden="false" customHeight="false" outlineLevel="1" collapsed="false">
      <c r="A13" s="2" t="s">
        <v>923</v>
      </c>
      <c r="C13" s="0" t="str">
        <f aca="false">IF(INDEX($C$123:$H$123,輸入與假設!$C$339)="","無（差距皆在 "&amp;IF(ROUND(ABS(輸入與假設!$C$333)*100,4)=INT(ROUND(ABS(輸入與假設!$C$333)*100,4)),TEXT(ROUND(ABS(輸入與假設!$C$333)*100,4),"0"),TEXT(ROUND(ABS(輸入與假設!$C$333)*100,4),"0.0"))&amp;"%"&amp;" 以內）",INDEX($C$123:$H$123,輸入與假設!$C$339))</f>
        <v>營收 vs 指引中點 +1.8%：觀點（水準 +$0.218bn（2Q–4Q27 模型 $71.382bn，指引隱含 $70.655bn）；分配 +$0.155bn；OCI 營收＝在役 MW × 每 MW 年收入（Tokenomics 正向推導），期初可計費 MW 以 Q1 實際 OCI 年化校準；傳統事業四線依近四季年增率；共識未揭露 MW 與單價假設）</v>
      </c>
    </row>
    <row r="15" customFormat="false" ht="15" hidden="false" customHeight="false" outlineLevel="0" collapsed="true">
      <c r="A15" s="7" t="s">
        <v>924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51</v>
      </c>
      <c r="B16" s="14" t="s">
        <v>52</v>
      </c>
      <c r="C16" s="15" t="s">
        <v>715</v>
      </c>
      <c r="D16" s="15" t="s">
        <v>716</v>
      </c>
      <c r="E16" s="15" t="s">
        <v>717</v>
      </c>
      <c r="F16" s="15" t="s">
        <v>718</v>
      </c>
      <c r="G16" s="15" t="s">
        <v>719</v>
      </c>
      <c r="H16" s="15" t="s">
        <v>720</v>
      </c>
    </row>
    <row r="17" customFormat="false" ht="15" hidden="true" customHeight="false" outlineLevel="1" collapsed="false">
      <c r="A17" s="3" t="s">
        <v>925</v>
      </c>
      <c r="C17" s="60" t="n">
        <f aca="false">輸入與假設!C$338</f>
        <v>1</v>
      </c>
      <c r="D17" s="60" t="n">
        <f aca="false">輸入與假設!D$338</f>
        <v>1</v>
      </c>
      <c r="E17" s="60" t="n">
        <f aca="false">輸入與假設!E$338</f>
        <v>1</v>
      </c>
      <c r="F17" s="60" t="n">
        <f aca="false">輸入與假設!F$338</f>
        <v>2</v>
      </c>
      <c r="G17" s="60" t="n">
        <f aca="false">輸入與假設!G$338</f>
        <v>2</v>
      </c>
      <c r="H17" s="60" t="n">
        <f aca="false">輸入與假設!H$338</f>
        <v>2</v>
      </c>
      <c r="J17" s="11" t="s">
        <v>926</v>
      </c>
    </row>
    <row r="18" customFormat="false" ht="15" hidden="true" customHeight="false" outlineLevel="1" collapsed="false">
      <c r="A18" s="3" t="s">
        <v>927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928</v>
      </c>
    </row>
    <row r="19" customFormat="false" ht="15" hidden="true" customHeight="false" outlineLevel="1" collapsed="false">
      <c r="A19" s="3" t="s">
        <v>929</v>
      </c>
      <c r="B19" s="11" t="s">
        <v>149</v>
      </c>
      <c r="C19" s="22" t="n">
        <f aca="false">輸入與假設!$C$341+(輸入與假設!C$43-輸入與假設!$C$341)*1/3</f>
        <v>3251.33333333333</v>
      </c>
      <c r="D19" s="22" t="n">
        <f aca="false">輸入與假設!$C$341+(輸入與假設!C$43-輸入與假設!$C$341)*2/3</f>
        <v>3959.66666666667</v>
      </c>
      <c r="E19" s="22" t="n">
        <f aca="false">輸入與假設!$C$341+(輸入與假設!C$43-輸入與假設!$C$341)*3/3</f>
        <v>4668</v>
      </c>
      <c r="F19" s="22" t="n">
        <f aca="false">輸入與假設!C$43+(輸入與假設!D$43-輸入與假設!C$43)*1/3</f>
        <v>5612.33333333333</v>
      </c>
      <c r="G19" s="22" t="n">
        <f aca="false">輸入與假設!C$43+(輸入與假設!D$43-輸入與假設!C$43)*2/3</f>
        <v>6556.66666666667</v>
      </c>
      <c r="H19" s="22" t="n">
        <f aca="false">輸入與假設!C$43+(輸入與假設!D$43-輸入與假設!C$43)*3/3</f>
        <v>7501</v>
      </c>
      <c r="J19" s="6" t="s">
        <v>930</v>
      </c>
    </row>
    <row r="20" customFormat="false" ht="15" hidden="true" customHeight="false" outlineLevel="1" collapsed="false">
      <c r="A20" s="3" t="s">
        <v>931</v>
      </c>
      <c r="B20" s="11" t="s">
        <v>149</v>
      </c>
      <c r="C20" s="22" t="n">
        <f aca="false">輸入與假設!$C$36+(輸入與假設!C$44-輸入與假設!$C$36)*1/6</f>
        <v>1945.5</v>
      </c>
      <c r="D20" s="22" t="n">
        <f aca="false">輸入與假設!$C$36+(輸入與假設!C$44-輸入與假設!$C$36)*3/6</f>
        <v>2440.5</v>
      </c>
      <c r="E20" s="22" t="n">
        <f aca="false">輸入與假設!$C$36+(輸入與假設!C$44-輸入與假設!$C$36)*5/6</f>
        <v>2935.5</v>
      </c>
      <c r="F20" s="22" t="n">
        <f aca="false">輸入與假設!C$44+(輸入與假設!D$44-輸入與假設!C$44)*1/6</f>
        <v>3709.16666666667</v>
      </c>
      <c r="G20" s="22" t="n">
        <f aca="false">輸入與假設!C$44+(輸入與假設!D$44-輸入與假設!C$44)*3/6</f>
        <v>4761.5</v>
      </c>
      <c r="H20" s="22" t="n">
        <f aca="false">輸入與假設!C$44+(輸入與假設!D$44-輸入與假設!C$44)*5/6</f>
        <v>5813.83333333333</v>
      </c>
      <c r="J20" s="6" t="s">
        <v>932</v>
      </c>
    </row>
    <row r="21" customFormat="false" ht="15" hidden="true" customHeight="false" outlineLevel="1" collapsed="false">
      <c r="A21" s="3" t="s">
        <v>933</v>
      </c>
      <c r="B21" s="11" t="s">
        <v>149</v>
      </c>
      <c r="C21" s="22" t="n">
        <f aca="false">C19-輸入與假設!$C$341</f>
        <v>708.333333333334</v>
      </c>
      <c r="D21" s="22" t="n">
        <f aca="false">D19-C19</f>
        <v>708.333333333334</v>
      </c>
      <c r="E21" s="22" t="n">
        <f aca="false">E19-D19</f>
        <v>708.333333333333</v>
      </c>
      <c r="F21" s="22" t="n">
        <f aca="false">F19-輸入與假設!C$43</f>
        <v>944.333333333333</v>
      </c>
      <c r="G21" s="22" t="n">
        <f aca="false">G19-F19</f>
        <v>944.333333333334</v>
      </c>
      <c r="H21" s="22" t="n">
        <f aca="false">H19-G19</f>
        <v>944.333333333333</v>
      </c>
      <c r="J21" s="11" t="s">
        <v>934</v>
      </c>
    </row>
    <row r="22" customFormat="false" ht="15" hidden="true" customHeight="false" outlineLevel="1" collapsed="false">
      <c r="A22" s="3" t="s">
        <v>935</v>
      </c>
      <c r="B22" s="11" t="s">
        <v>57</v>
      </c>
      <c r="C22" s="33" t="n">
        <f aca="false">輸入與假設!$C$340+1*(損益!C9-3*輸入與假設!$C$340)/6</f>
        <v>21.5695824666667</v>
      </c>
      <c r="D22" s="33" t="n">
        <f aca="false">輸入與假設!$C$340+2*(損益!C9-3*輸入與假設!$C$340)/6</f>
        <v>23.7941649333333</v>
      </c>
      <c r="E22" s="33" t="n">
        <f aca="false">輸入與假設!$C$340+3*(損益!C9-3*輸入與假設!$C$340)/6</f>
        <v>26.0187474</v>
      </c>
      <c r="F22" s="33" t="n">
        <f aca="false">損益!D9*F20/(F20+G20+H20)</f>
        <v>35.4592184039071</v>
      </c>
      <c r="G22" s="33" t="n">
        <f aca="false">損益!D9*G20/(F20+G20+H20)</f>
        <v>45.5194073503133</v>
      </c>
      <c r="H22" s="33" t="n">
        <f aca="false">損益!D9*H20/(F20+G20+H20)</f>
        <v>55.5795962967195</v>
      </c>
      <c r="J22" s="6" t="s">
        <v>936</v>
      </c>
    </row>
    <row r="23" customFormat="false" ht="15" hidden="true" customHeight="false" outlineLevel="1" collapsed="false">
      <c r="A23" s="4" t="s">
        <v>937</v>
      </c>
      <c r="C23" s="54" t="n">
        <f aca="false">C22+D22+E22</f>
        <v>71.3824948</v>
      </c>
      <c r="D23" s="54" t="n">
        <f aca="false">F22+G22+H22</f>
        <v>136.55822205094</v>
      </c>
      <c r="J23" s="6" t="s">
        <v>938</v>
      </c>
    </row>
    <row r="24" customFormat="false" ht="15" hidden="true" customHeight="false" outlineLevel="1" collapsed="false">
      <c r="A24" s="4" t="s">
        <v>939</v>
      </c>
      <c r="C24" s="54" t="n">
        <f aca="false">C22*C18+D22*D18+E22*E18</f>
        <v>147.214154533333</v>
      </c>
      <c r="D24" s="54" t="n">
        <f aca="false">F22*F18+G22*G18+H22*H18</f>
        <v>702.911488147513</v>
      </c>
      <c r="J24" s="6" t="s">
        <v>938</v>
      </c>
    </row>
    <row r="25" customFormat="false" ht="15" hidden="true" customHeight="false" outlineLevel="1" collapsed="false">
      <c r="A25" s="4" t="s">
        <v>940</v>
      </c>
      <c r="C25" s="54" t="n">
        <f aca="false">損益!C21</f>
        <v>42.2163638500475</v>
      </c>
      <c r="D25" s="54" t="n">
        <f aca="false">損益!D21</f>
        <v>81.1755372872459</v>
      </c>
      <c r="J25" s="6" t="s">
        <v>938</v>
      </c>
    </row>
    <row r="26" customFormat="false" ht="15" hidden="true" customHeight="false" outlineLevel="1" collapsed="false">
      <c r="A26" s="4" t="s">
        <v>941</v>
      </c>
      <c r="C26" s="61" t="n">
        <f aca="false">(C25*D24-C24*D25)/(C23*D24-C24*D23)</f>
        <v>0.589386089150337</v>
      </c>
      <c r="D26" s="61" t="n">
        <f aca="false">(C23*D25-D23*C25)/(C23*D24-C24*D23)</f>
        <v>0.000981661081023959</v>
      </c>
      <c r="J26" s="6" t="s">
        <v>942</v>
      </c>
    </row>
    <row r="27" customFormat="false" ht="15" hidden="true" customHeight="false" outlineLevel="1" collapsed="false">
      <c r="A27" s="4" t="s">
        <v>943</v>
      </c>
      <c r="B27" s="11" t="s">
        <v>42</v>
      </c>
      <c r="C27" s="32" t="n">
        <f aca="false">$C$26+$D$26*C18</f>
        <v>0.590367750231361</v>
      </c>
      <c r="D27" s="32" t="n">
        <f aca="false">$C$26+$D$26*D18</f>
        <v>0.591349411312385</v>
      </c>
      <c r="E27" s="32" t="n">
        <f aca="false">$C$26+$D$26*E18</f>
        <v>0.592331072393409</v>
      </c>
      <c r="F27" s="32" t="n">
        <f aca="false">$C$26+$D$26*F18</f>
        <v>0.593312733474433</v>
      </c>
      <c r="G27" s="32" t="n">
        <f aca="false">$C$26+$D$26*G18</f>
        <v>0.594294394555457</v>
      </c>
      <c r="H27" s="32" t="n">
        <f aca="false">$C$26+$D$26*H18</f>
        <v>0.595276055636481</v>
      </c>
      <c r="J27" s="6" t="s">
        <v>944</v>
      </c>
    </row>
    <row r="28" customFormat="false" ht="15" hidden="true" customHeight="false" outlineLevel="1" collapsed="false">
      <c r="A28" s="3" t="s">
        <v>945</v>
      </c>
      <c r="B28" s="11" t="s">
        <v>57</v>
      </c>
      <c r="C28" s="33" t="n">
        <f aca="false">C22*C27</f>
        <v>12.7339858742758</v>
      </c>
      <c r="D28" s="33" t="n">
        <f aca="false">D22*D27</f>
        <v>14.0706654259965</v>
      </c>
      <c r="E28" s="33" t="n">
        <f aca="false">E22*E27</f>
        <v>15.4117125497752</v>
      </c>
      <c r="F28" s="33" t="n">
        <f aca="false">F22*F27</f>
        <v>21.0384057980891</v>
      </c>
      <c r="G28" s="33" t="n">
        <f aca="false">G22*G27</f>
        <v>27.0519286317777</v>
      </c>
      <c r="H28" s="33" t="n">
        <f aca="false">H22*H27</f>
        <v>33.0852028573792</v>
      </c>
    </row>
    <row r="29" customFormat="false" ht="15" hidden="true" customHeight="false" outlineLevel="1" collapsed="false">
      <c r="A29" s="3" t="s">
        <v>946</v>
      </c>
      <c r="B29" s="11" t="s">
        <v>57</v>
      </c>
      <c r="C29" s="33" t="n">
        <f aca="false">(輸入與假設!C$133+輸入與假設!C$128*1/6)/輸入與假設!$C$105*輸入與假設!C$41/3</f>
        <v>3.69470034722222</v>
      </c>
      <c r="D29" s="33" t="n">
        <f aca="false">(輸入與假設!C$133+輸入與假設!C$128*3/6)/輸入與假設!$C$105*輸入與假設!C$41/3</f>
        <v>4.772434375</v>
      </c>
      <c r="E29" s="33" t="n">
        <f aca="false">(輸入與假設!C$133+輸入與假設!C$128*5/6)/輸入與假設!$C$105*輸入與假設!C$41/3</f>
        <v>5.85016840277778</v>
      </c>
      <c r="F29" s="33" t="n">
        <f aca="false">(輸入與假設!D$133+輸入與假設!D$128*1/6)/輸入與假設!$C$105*輸入與假設!D$41/3</f>
        <v>9.31520422222222</v>
      </c>
      <c r="G29" s="33" t="n">
        <f aca="false">(輸入與假設!D$133+輸入與假設!D$128*3/6)/輸入與假設!$C$105*輸入與假設!D$41/3</f>
        <v>10.9081848888889</v>
      </c>
      <c r="H29" s="33" t="n">
        <f aca="false">(輸入與假設!D$133+輸入與假設!D$128*5/6)/輸入與假設!$C$105*輸入與假設!D$41/3</f>
        <v>12.5011655555556</v>
      </c>
      <c r="J29" s="6" t="s">
        <v>947</v>
      </c>
    </row>
    <row r="30" customFormat="false" ht="15" hidden="true" customHeight="false" outlineLevel="1" collapsed="false">
      <c r="A30" s="3" t="s">
        <v>948</v>
      </c>
      <c r="B30" s="11" t="s">
        <v>57</v>
      </c>
      <c r="C30" s="33" t="n">
        <f aca="false">C28-C29</f>
        <v>9.0392855270536</v>
      </c>
      <c r="D30" s="33" t="n">
        <f aca="false">D28-D29</f>
        <v>9.29823105099647</v>
      </c>
      <c r="E30" s="33" t="n">
        <f aca="false">E28-E29</f>
        <v>9.56154414699745</v>
      </c>
      <c r="F30" s="33" t="n">
        <f aca="false">F28-F29</f>
        <v>11.7232015758669</v>
      </c>
      <c r="G30" s="33" t="n">
        <f aca="false">G28-G29</f>
        <v>16.1437437428888</v>
      </c>
      <c r="H30" s="33" t="n">
        <f aca="false">H28-H29</f>
        <v>20.5840373018236</v>
      </c>
      <c r="J30" s="6" t="s">
        <v>949</v>
      </c>
    </row>
    <row r="31" customFormat="false" ht="15" hidden="true" customHeight="false" outlineLevel="1" collapsed="false">
      <c r="A31" s="3" t="s">
        <v>950</v>
      </c>
      <c r="B31" s="11" t="s">
        <v>57</v>
      </c>
      <c r="C31" s="33" t="n">
        <f aca="false">IF(ISNUMBER(輸入與假設!C$350),輸入與假設!C$350,"不適用")</f>
        <v>20.875</v>
      </c>
      <c r="D31" s="33" t="str">
        <f aca="false">IF(ISNUMBER(輸入與假設!D$350),輸入與假設!D$350,"不適用")</f>
        <v>不適用</v>
      </c>
      <c r="E31" s="33" t="str">
        <f aca="false">IF(ISNUMBER(輸入與假設!E$350),輸入與假設!E$350,"不適用")</f>
        <v>不適用</v>
      </c>
      <c r="F31" s="33" t="str">
        <f aca="false">IF(ISNUMBER(輸入與假設!F$350),輸入與假設!F$350,"不適用")</f>
        <v>不適用</v>
      </c>
      <c r="G31" s="33" t="str">
        <f aca="false">IF(ISNUMBER(輸入與假設!G$350),輸入與假設!G$350,"不適用")</f>
        <v>不適用</v>
      </c>
      <c r="H31" s="33" t="str">
        <f aca="false">IF(ISNUMBER(輸入與假設!H$350),輸入與假設!H$350,"不適用")</f>
        <v>不適用</v>
      </c>
    </row>
    <row r="32" customFormat="false" ht="15" hidden="true" customHeight="false" outlineLevel="1" collapsed="false">
      <c r="A32" s="3" t="s">
        <v>951</v>
      </c>
      <c r="B32" s="11" t="s">
        <v>57</v>
      </c>
      <c r="C32" s="33" t="n">
        <f aca="false">IF(ISNUMBER(輸入與假設!C$351),輸入與假設!C$351,"不適用")</f>
        <v>21.518</v>
      </c>
      <c r="D32" s="33" t="str">
        <f aca="false">IF(ISNUMBER(輸入與假設!D$351),輸入與假設!D$351,"不適用")</f>
        <v>不適用</v>
      </c>
      <c r="E32" s="33" t="str">
        <f aca="false">IF(ISNUMBER(輸入與假設!E$351),輸入與假設!E$351,"不適用")</f>
        <v>不適用</v>
      </c>
      <c r="F32" s="33" t="str">
        <f aca="false">IF(ISNUMBER(輸入與假設!F$351),輸入與假設!F$351,"不適用")</f>
        <v>不適用</v>
      </c>
      <c r="G32" s="33" t="str">
        <f aca="false">IF(ISNUMBER(輸入與假設!G$351),輸入與假設!G$351,"不適用")</f>
        <v>不適用</v>
      </c>
      <c r="H32" s="33" t="str">
        <f aca="false">IF(ISNUMBER(輸入與假設!H$351),輸入與假設!H$351,"不適用")</f>
        <v>不適用</v>
      </c>
    </row>
    <row r="33" customFormat="false" ht="15" hidden="true" customHeight="false" outlineLevel="1" collapsed="false">
      <c r="A33" s="4" t="s">
        <v>952</v>
      </c>
      <c r="B33" s="11" t="s">
        <v>57</v>
      </c>
      <c r="C33" s="33" t="n">
        <f aca="false">IF((C21+D21+E21)&gt;0,輸入與假設!C$135*C21/(C21+D21+E21),輸入與假設!C$135/3)</f>
        <v>25.8656166666667</v>
      </c>
      <c r="D33" s="33" t="n">
        <f aca="false">IF((C21+D21+E21)&gt;0,輸入與假設!C$135*D21/(C21+D21+E21),輸入與假設!C$135/3)</f>
        <v>25.8656166666667</v>
      </c>
      <c r="E33" s="33" t="n">
        <f aca="false">IF((C21+D21+E21)&gt;0,輸入與假設!C$135*E21/(C21+D21+E21),輸入與假設!C$135/3)</f>
        <v>25.8656166666667</v>
      </c>
      <c r="F33" s="33" t="n">
        <f aca="false">IF((F21+G21+H21)&gt;0,輸入與假設!D$135*F21/(F21+G21+H21),輸入與假設!D$135/3)</f>
        <v>28.673652</v>
      </c>
      <c r="G33" s="33" t="n">
        <f aca="false">IF((F21+G21+H21)&gt;0,輸入與假設!D$135*G21/(F21+G21+H21),輸入與假設!D$135/3)</f>
        <v>28.673652</v>
      </c>
      <c r="H33" s="33" t="n">
        <f aca="false">IF((F21+G21+H21)&gt;0,輸入與假設!D$135*H21/(F21+G21+H21),輸入與假設!D$135/3)</f>
        <v>28.673652</v>
      </c>
      <c r="J33" s="6" t="s">
        <v>953</v>
      </c>
    </row>
    <row r="34" customFormat="false" ht="15" hidden="true" customHeight="false" outlineLevel="1" collapsed="false">
      <c r="A34" s="3" t="s">
        <v>954</v>
      </c>
      <c r="B34" s="11" t="s">
        <v>57</v>
      </c>
      <c r="C34" s="33" t="n">
        <f aca="false">IF(ISNUMBER(輸入與假設!$C$305),輸入與假設!$C$305,"不適用")</f>
        <v>21.322</v>
      </c>
      <c r="D34" s="33" t="n">
        <f aca="false">IF(ISNUMBER(輸入與假設!$D$305),輸入與假設!$D$305,"不適用")</f>
        <v>23.38</v>
      </c>
      <c r="E34" s="62" t="s">
        <v>576</v>
      </c>
      <c r="F34" s="62" t="s">
        <v>576</v>
      </c>
      <c r="G34" s="62" t="s">
        <v>576</v>
      </c>
      <c r="H34" s="62" t="s">
        <v>576</v>
      </c>
      <c r="J34" s="11" t="s">
        <v>955</v>
      </c>
    </row>
    <row r="35" customFormat="false" ht="15" hidden="true" customHeight="false" outlineLevel="1" collapsed="false">
      <c r="A35" s="3" t="s">
        <v>956</v>
      </c>
      <c r="B35" s="11" t="s">
        <v>57</v>
      </c>
      <c r="C35" s="62" t="n">
        <f aca="false">IF(ISNUMBER(輸入與假設!$C$306),輸入與假設!$C$306,"不適用")</f>
        <v>12.359</v>
      </c>
      <c r="D35" s="62" t="n">
        <f aca="false">IF(ISNUMBER(輸入與假設!$D$306),輸入與假設!$D$306,"不適用")</f>
        <v>13.515</v>
      </c>
      <c r="E35" s="62" t="s">
        <v>576</v>
      </c>
      <c r="F35" s="62" t="s">
        <v>576</v>
      </c>
      <c r="G35" s="62" t="s">
        <v>576</v>
      </c>
      <c r="H35" s="62" t="s">
        <v>576</v>
      </c>
      <c r="J35" s="11" t="s">
        <v>955</v>
      </c>
    </row>
    <row r="36" customFormat="false" ht="15" hidden="true" customHeight="false" outlineLevel="1" collapsed="false">
      <c r="A36" s="3" t="s">
        <v>957</v>
      </c>
      <c r="B36" s="11" t="s">
        <v>42</v>
      </c>
      <c r="C36" s="32" t="n">
        <f aca="false">IF(AND(ISNUMBER(輸入與假設!$C$306),ISNUMBER(輸入與假設!$C$305)),輸入與假設!$C$306/輸入與假設!$C$305,"不適用")</f>
        <v>0.579636056655098</v>
      </c>
      <c r="D36" s="32" t="n">
        <f aca="false">IF(AND(ISNUMBER(輸入與假設!$D$306),ISNUMBER(輸入與假設!$D$305)),輸入與假設!$D$306/輸入與假設!$D$305,"不適用")</f>
        <v>0.578058169375535</v>
      </c>
      <c r="E36" s="63" t="s">
        <v>576</v>
      </c>
      <c r="F36" s="63" t="s">
        <v>576</v>
      </c>
      <c r="G36" s="63" t="s">
        <v>576</v>
      </c>
      <c r="H36" s="63" t="s">
        <v>576</v>
      </c>
      <c r="J36" s="6" t="s">
        <v>958</v>
      </c>
    </row>
    <row r="37" customFormat="false" ht="15" hidden="true" customHeight="false" outlineLevel="1" collapsed="false">
      <c r="A37" s="3" t="s">
        <v>959</v>
      </c>
      <c r="B37" s="11" t="s">
        <v>57</v>
      </c>
      <c r="C37" s="62" t="n">
        <f aca="false">IF(ISNUMBER(輸入與假設!$C$307),輸入與假設!$C$307,"不適用")</f>
        <v>8.536</v>
      </c>
      <c r="D37" s="62" t="n">
        <f aca="false">IF(ISNUMBER(輸入與假設!$D$307),輸入與假設!$D$307,"不適用")</f>
        <v>9.23</v>
      </c>
      <c r="E37" s="62" t="s">
        <v>576</v>
      </c>
      <c r="F37" s="62" t="s">
        <v>576</v>
      </c>
      <c r="G37" s="62" t="s">
        <v>576</v>
      </c>
      <c r="H37" s="62" t="s">
        <v>576</v>
      </c>
      <c r="J37" s="6" t="s">
        <v>960</v>
      </c>
    </row>
    <row r="38" customFormat="false" ht="15" hidden="true" customHeight="false" outlineLevel="1" collapsed="false">
      <c r="A38" s="3" t="s">
        <v>961</v>
      </c>
      <c r="B38" s="11" t="s">
        <v>57</v>
      </c>
      <c r="C38" s="39" t="str">
        <f aca="false">IF(ISNUMBER(輸入與假設!C$342),輸入與假設!C$342,"")</f>
        <v/>
      </c>
      <c r="D38" s="39" t="str">
        <f aca="false">IF(ISNUMBER(輸入與假設!D$342),輸入與假設!D$342,"")</f>
        <v/>
      </c>
      <c r="E38" s="39" t="str">
        <f aca="false">IF(ISNUMBER(輸入與假設!E$342),輸入與假設!E$342,"")</f>
        <v/>
      </c>
      <c r="F38" s="39" t="str">
        <f aca="false">IF(ISNUMBER(輸入與假設!F$342),輸入與假設!F$342,"")</f>
        <v/>
      </c>
      <c r="G38" s="39" t="str">
        <f aca="false">IF(ISNUMBER(輸入與假設!G$342),輸入與假設!G$342,"")</f>
        <v/>
      </c>
      <c r="H38" s="39" t="str">
        <f aca="false">IF(ISNUMBER(輸入與假設!H$342),輸入與假設!H$342,"")</f>
        <v/>
      </c>
    </row>
    <row r="39" customFormat="false" ht="15" hidden="true" customHeight="false" outlineLevel="1" collapsed="false">
      <c r="A39" s="3" t="s">
        <v>962</v>
      </c>
      <c r="B39" s="11" t="s">
        <v>57</v>
      </c>
      <c r="C39" s="39" t="str">
        <f aca="false">IF(ISNUMBER(輸入與假設!C$343),輸入與假設!C$343,"")</f>
        <v/>
      </c>
      <c r="D39" s="39" t="str">
        <f aca="false">IF(ISNUMBER(輸入與假設!D$343),輸入與假設!D$343,"")</f>
        <v/>
      </c>
      <c r="E39" s="39" t="str">
        <f aca="false">IF(ISNUMBER(輸入與假設!E$343),輸入與假設!E$343,"")</f>
        <v/>
      </c>
      <c r="F39" s="39" t="str">
        <f aca="false">IF(ISNUMBER(輸入與假設!F$343),輸入與假設!F$343,"")</f>
        <v/>
      </c>
      <c r="G39" s="39" t="str">
        <f aca="false">IF(ISNUMBER(輸入與假設!G$343),輸入與假設!G$343,"")</f>
        <v/>
      </c>
      <c r="H39" s="39" t="str">
        <f aca="false">IF(ISNUMBER(輸入與假設!H$343),輸入與假設!H$343,"")</f>
        <v/>
      </c>
    </row>
    <row r="40" customFormat="false" ht="15" hidden="true" customHeight="false" outlineLevel="1" collapsed="false">
      <c r="A40" s="3" t="s">
        <v>963</v>
      </c>
      <c r="B40" s="11" t="s">
        <v>42</v>
      </c>
      <c r="C40" s="63" t="str">
        <f aca="false">IF(AND(ISNUMBER(輸入與假設!C$343),ISNUMBER(輸入與假設!C$342)),輸入與假設!C$343/輸入與假設!C$342,"")</f>
        <v/>
      </c>
      <c r="D40" s="63" t="str">
        <f aca="false">IF(AND(ISNUMBER(輸入與假設!D$343),ISNUMBER(輸入與假設!D$342)),輸入與假設!D$343/輸入與假設!D$342,"")</f>
        <v/>
      </c>
      <c r="E40" s="63" t="str">
        <f aca="false">IF(AND(ISNUMBER(輸入與假設!E$343),ISNUMBER(輸入與假設!E$342)),輸入與假設!E$343/輸入與假設!E$342,"")</f>
        <v/>
      </c>
      <c r="F40" s="63" t="str">
        <f aca="false">IF(AND(ISNUMBER(輸入與假設!F$343),ISNUMBER(輸入與假設!F$342)),輸入與假設!F$343/輸入與假設!F$342,"")</f>
        <v/>
      </c>
      <c r="G40" s="63" t="str">
        <f aca="false">IF(AND(ISNUMBER(輸入與假設!G$343),ISNUMBER(輸入與假設!G$342)),輸入與假設!G$343/輸入與假設!G$342,"")</f>
        <v/>
      </c>
      <c r="H40" s="63" t="str">
        <f aca="false">IF(AND(ISNUMBER(輸入與假設!H$343),ISNUMBER(輸入與假設!H$342)),輸入與假設!H$343/輸入與假設!H$342,"")</f>
        <v/>
      </c>
      <c r="J40" s="6" t="s">
        <v>964</v>
      </c>
    </row>
    <row r="41" customFormat="false" ht="15" hidden="true" customHeight="false" outlineLevel="1" collapsed="false">
      <c r="A41" s="3" t="s">
        <v>965</v>
      </c>
      <c r="B41" s="11" t="s">
        <v>57</v>
      </c>
      <c r="C41" s="39" t="str">
        <f aca="false">IF(ISNUMBER(輸入與假設!C$344),輸入與假設!C$344,"")</f>
        <v/>
      </c>
      <c r="D41" s="39" t="str">
        <f aca="false">IF(ISNUMBER(輸入與假設!D$344),輸入與假設!D$344,"")</f>
        <v/>
      </c>
      <c r="E41" s="39" t="str">
        <f aca="false">IF(ISNUMBER(輸入與假設!E$344),輸入與假設!E$344,"")</f>
        <v/>
      </c>
      <c r="F41" s="39" t="str">
        <f aca="false">IF(ISNUMBER(輸入與假設!F$344),輸入與假設!F$344,"")</f>
        <v/>
      </c>
      <c r="G41" s="39" t="str">
        <f aca="false">IF(ISNUMBER(輸入與假設!G$344),輸入與假設!G$344,"")</f>
        <v/>
      </c>
      <c r="H41" s="39" t="str">
        <f aca="false">IF(ISNUMBER(輸入與假設!H$344),輸入與假設!H$344,"")</f>
        <v/>
      </c>
    </row>
    <row r="42" customFormat="false" ht="15" hidden="true" customHeight="false" outlineLevel="1" collapsed="false">
      <c r="A42" s="3" t="s">
        <v>966</v>
      </c>
      <c r="B42" s="11" t="s">
        <v>57</v>
      </c>
      <c r="C42" s="39" t="str">
        <f aca="false">IF(ISNUMBER(輸入與假設!C$345),輸入與假設!C$345,"")</f>
        <v/>
      </c>
      <c r="D42" s="39" t="str">
        <f aca="false">IF(ISNUMBER(輸入與假設!D$345),輸入與假設!D$345,"")</f>
        <v/>
      </c>
      <c r="E42" s="39" t="str">
        <f aca="false">IF(ISNUMBER(輸入與假設!E$345),輸入與假設!E$345,"")</f>
        <v/>
      </c>
      <c r="F42" s="39" t="str">
        <f aca="false">IF(ISNUMBER(輸入與假設!F$345),輸入與假設!F$345,"")</f>
        <v/>
      </c>
      <c r="G42" s="39" t="str">
        <f aca="false">IF(ISNUMBER(輸入與假設!G$345),輸入與假設!G$345,"")</f>
        <v/>
      </c>
      <c r="H42" s="39" t="str">
        <f aca="false">IF(ISNUMBER(輸入與假設!H$345),輸入與假設!H$345,"")</f>
        <v/>
      </c>
    </row>
    <row r="43" customFormat="false" ht="15" hidden="true" customHeight="false" outlineLevel="1" collapsed="false">
      <c r="A43" s="3" t="s">
        <v>967</v>
      </c>
      <c r="B43" s="11" t="s">
        <v>149</v>
      </c>
      <c r="C43" s="39" t="str">
        <f aca="false">IF(ISNUMBER(輸入與假設!C$346),輸入與假設!C$346,"")</f>
        <v/>
      </c>
      <c r="D43" s="39" t="str">
        <f aca="false">IF(ISNUMBER(輸入與假設!D$346),輸入與假設!D$346,"")</f>
        <v/>
      </c>
      <c r="E43" s="39" t="str">
        <f aca="false">IF(ISNUMBER(輸入與假設!E$346),輸入與假設!E$346,"")</f>
        <v/>
      </c>
      <c r="F43" s="39" t="str">
        <f aca="false">IF(ISNUMBER(輸入與假設!F$346),輸入與假設!F$346,"")</f>
        <v/>
      </c>
      <c r="G43" s="39" t="str">
        <f aca="false">IF(ISNUMBER(輸入與假設!G$346),輸入與假設!G$346,"")</f>
        <v/>
      </c>
      <c r="H43" s="39" t="str">
        <f aca="false">IF(ISNUMBER(輸入與假設!H$346),輸入與假設!H$346,"")</f>
        <v/>
      </c>
    </row>
    <row r="44" customFormat="false" ht="15" hidden="true" customHeight="false" outlineLevel="1" collapsed="false">
      <c r="A44" s="3" t="s">
        <v>968</v>
      </c>
      <c r="B44" s="11" t="s">
        <v>42</v>
      </c>
      <c r="C44" s="63" t="n">
        <f aca="false">IF(AND(ISNUMBER(C22),ISNUMBER(C34),C34&lt;&gt;0),C22/(C34)-1,"不適用")</f>
        <v>0.0116115967857926</v>
      </c>
      <c r="D44" s="63" t="n">
        <f aca="false">IF(AND(ISNUMBER(D22),ISNUMBER(D34),D34&lt;&gt;0),D22/(D34)-1,"不適用")</f>
        <v>0.017714496720844</v>
      </c>
      <c r="E44" s="63" t="str">
        <f aca="false">IF(AND(ISNUMBER(E22),ISNUMBER(E34),E34&lt;&gt;0),E22/(E34)-1,"不適用")</f>
        <v>不適用</v>
      </c>
      <c r="F44" s="63" t="str">
        <f aca="false">IF(AND(ISNUMBER(F22),ISNUMBER(F34),F34&lt;&gt;0),F22/(F34)-1,"不適用")</f>
        <v>不適用</v>
      </c>
      <c r="G44" s="63" t="str">
        <f aca="false">IF(AND(ISNUMBER(G22),ISNUMBER(G34),G34&lt;&gt;0),G22/(G34)-1,"不適用")</f>
        <v>不適用</v>
      </c>
      <c r="H44" s="63" t="str">
        <f aca="false">IF(AND(ISNUMBER(H22),ISNUMBER(H34),H34&lt;&gt;0),H22/(H34)-1,"不適用")</f>
        <v>不適用</v>
      </c>
    </row>
    <row r="45" customFormat="false" ht="15" hidden="true" customHeight="false" outlineLevel="1" collapsed="false">
      <c r="A45" s="3" t="s">
        <v>969</v>
      </c>
      <c r="B45" s="11" t="s">
        <v>42</v>
      </c>
      <c r="C45" s="63" t="n">
        <f aca="false">IF(AND(ISNUMBER(C22),ISNUMBER(C31),ISNUMBER(C32)),C22/(((C31+C32)/2))-1,"不適用")</f>
        <v>0.0176011354075751</v>
      </c>
      <c r="D45" s="63" t="str">
        <f aca="false">IF(AND(ISNUMBER(D22),ISNUMBER(D31),ISNUMBER(D32)),D22/(((D31+D32)/2))-1,"不適用")</f>
        <v>不適用</v>
      </c>
      <c r="E45" s="63" t="str">
        <f aca="false">IF(AND(ISNUMBER(E22),ISNUMBER(E31),ISNUMBER(E32)),E22/(((E31+E32)/2))-1,"不適用")</f>
        <v>不適用</v>
      </c>
      <c r="F45" s="63" t="str">
        <f aca="false">IF(AND(ISNUMBER(F22),ISNUMBER(F31),ISNUMBER(F32)),F22/(((F31+F32)/2))-1,"不適用")</f>
        <v>不適用</v>
      </c>
      <c r="G45" s="63" t="str">
        <f aca="false">IF(AND(ISNUMBER(G22),ISNUMBER(G31),ISNUMBER(G32)),G22/(((G31+G32)/2))-1,"不適用")</f>
        <v>不適用</v>
      </c>
      <c r="H45" s="63" t="str">
        <f aca="false">IF(AND(ISNUMBER(H22),ISNUMBER(H31),ISNUMBER(H32)),H22/(((H31+H32)/2))-1,"不適用")</f>
        <v>不適用</v>
      </c>
    </row>
    <row r="46" customFormat="false" ht="15" hidden="true" customHeight="false" outlineLevel="1" collapsed="false">
      <c r="A46" s="3" t="s">
        <v>970</v>
      </c>
      <c r="B46" s="11" t="s">
        <v>42</v>
      </c>
      <c r="C46" s="63" t="str">
        <f aca="false">IF(ISNUMBER(C38),IF(AND(ISNUMBER(C22),C22&lt;&gt;0),C38/(C22)-1,"不適用"),"")</f>
        <v/>
      </c>
      <c r="D46" s="63" t="str">
        <f aca="false">IF(ISNUMBER(D38),IF(AND(ISNUMBER(D22),D22&lt;&gt;0),D38/(D22)-1,"不適用"),"")</f>
        <v/>
      </c>
      <c r="E46" s="63" t="str">
        <f aca="false">IF(ISNUMBER(E38),IF(AND(ISNUMBER(E22),E22&lt;&gt;0),E38/(E22)-1,"不適用"),"")</f>
        <v/>
      </c>
      <c r="F46" s="63" t="str">
        <f aca="false">IF(ISNUMBER(F38),IF(AND(ISNUMBER(F22),F22&lt;&gt;0),F38/(F22)-1,"不適用"),"")</f>
        <v/>
      </c>
      <c r="G46" s="63" t="str">
        <f aca="false">IF(ISNUMBER(G38),IF(AND(ISNUMBER(G22),G22&lt;&gt;0),G38/(G22)-1,"不適用"),"")</f>
        <v/>
      </c>
      <c r="H46" s="63" t="str">
        <f aca="false">IF(ISNUMBER(H38),IF(AND(ISNUMBER(H22),H22&lt;&gt;0),H38/(H22)-1,"不適用"),"")</f>
        <v/>
      </c>
    </row>
    <row r="47" customFormat="false" ht="15" hidden="true" customHeight="false" outlineLevel="1" collapsed="false">
      <c r="A47" s="3" t="s">
        <v>971</v>
      </c>
      <c r="B47" s="11" t="s">
        <v>42</v>
      </c>
      <c r="C47" s="63" t="str">
        <f aca="false">IF(ISNUMBER(C38),IF(AND(ISNUMBER(C34),C34&lt;&gt;0),C38/(C34)-1,"不適用"),"")</f>
        <v/>
      </c>
      <c r="D47" s="63" t="str">
        <f aca="false">IF(ISNUMBER(D38),IF(AND(ISNUMBER(D34),D34&lt;&gt;0),D38/(D34)-1,"不適用"),"")</f>
        <v/>
      </c>
      <c r="E47" s="63" t="str">
        <f aca="false">IF(ISNUMBER(E38),IF(AND(ISNUMBER(E34),E34&lt;&gt;0),E38/(E34)-1,"不適用"),"")</f>
        <v/>
      </c>
      <c r="F47" s="63" t="str">
        <f aca="false">IF(ISNUMBER(F38),IF(AND(ISNUMBER(F34),F34&lt;&gt;0),F38/(F34)-1,"不適用"),"")</f>
        <v/>
      </c>
      <c r="G47" s="63" t="str">
        <f aca="false">IF(ISNUMBER(G38),IF(AND(ISNUMBER(G34),G34&lt;&gt;0),G38/(G34)-1,"不適用"),"")</f>
        <v/>
      </c>
      <c r="H47" s="63" t="str">
        <f aca="false">IF(ISNUMBER(H38),IF(AND(ISNUMBER(H34),H34&lt;&gt;0),H38/(H34)-1,"不適用"),"")</f>
        <v/>
      </c>
    </row>
    <row r="48" customFormat="false" ht="15" hidden="true" customHeight="false" outlineLevel="1" collapsed="false">
      <c r="A48" s="3" t="s">
        <v>972</v>
      </c>
      <c r="B48" s="11" t="s">
        <v>42</v>
      </c>
      <c r="C48" s="63" t="str">
        <f aca="false">IF(ISNUMBER(C38),IF(AND(ISNUMBER(C31),ISNUMBER(C32)),C38/(((C31+C32)/2))-1,"不適用"),"")</f>
        <v/>
      </c>
      <c r="D48" s="63" t="str">
        <f aca="false">IF(ISNUMBER(D38),IF(AND(ISNUMBER(D31),ISNUMBER(D32)),D38/(((D31+D32)/2))-1,"不適用"),"")</f>
        <v/>
      </c>
      <c r="E48" s="63" t="str">
        <f aca="false">IF(ISNUMBER(E38),IF(AND(ISNUMBER(E31),ISNUMBER(E32)),E38/(((E31+E32)/2))-1,"不適用"),"")</f>
        <v/>
      </c>
      <c r="F48" s="63" t="str">
        <f aca="false">IF(ISNUMBER(F38),IF(AND(ISNUMBER(F31),ISNUMBER(F32)),F38/(((F31+F32)/2))-1,"不適用"),"")</f>
        <v/>
      </c>
      <c r="G48" s="63" t="str">
        <f aca="false">IF(ISNUMBER(G38),IF(AND(ISNUMBER(G31),ISNUMBER(G32)),G38/(((G31+G32)/2))-1,"不適用"),"")</f>
        <v/>
      </c>
      <c r="H48" s="63" t="str">
        <f aca="false">IF(ISNUMBER(H38),IF(AND(ISNUMBER(H31),ISNUMBER(H32)),H38/(((H31+H32)/2))-1,"不適用"),"")</f>
        <v/>
      </c>
    </row>
    <row r="49" customFormat="false" ht="15" hidden="true" customHeight="false" outlineLevel="1" collapsed="false">
      <c r="A49" s="3" t="s">
        <v>973</v>
      </c>
      <c r="B49" s="11" t="s">
        <v>57</v>
      </c>
      <c r="C49" s="62" t="n">
        <f aca="false">IF(AND(ISNUMBER(C28),ISNUMBER(C35)),C28-(C35),"不適用")</f>
        <v>0.374985874275817</v>
      </c>
      <c r="D49" s="62" t="n">
        <f aca="false">IF(AND(ISNUMBER(D28),ISNUMBER(D35)),D28-(D35),"不適用")</f>
        <v>0.555665425996468</v>
      </c>
      <c r="E49" s="62" t="str">
        <f aca="false">IF(AND(ISNUMBER(E28),ISNUMBER(E35)),E28-(E35),"不適用")</f>
        <v>不適用</v>
      </c>
      <c r="F49" s="62" t="str">
        <f aca="false">IF(AND(ISNUMBER(F28),ISNUMBER(F35)),F28-(F35),"不適用")</f>
        <v>不適用</v>
      </c>
      <c r="G49" s="62" t="str">
        <f aca="false">IF(AND(ISNUMBER(G28),ISNUMBER(G35)),G28-(G35),"不適用")</f>
        <v>不適用</v>
      </c>
      <c r="H49" s="62" t="str">
        <f aca="false">IF(AND(ISNUMBER(H28),ISNUMBER(H35)),H28-(H35),"不適用")</f>
        <v>不適用</v>
      </c>
    </row>
    <row r="50" customFormat="false" ht="15" hidden="true" customHeight="false" outlineLevel="1" collapsed="false">
      <c r="A50" s="3" t="s">
        <v>974</v>
      </c>
      <c r="B50" s="11" t="s">
        <v>57</v>
      </c>
      <c r="C50" s="62" t="s">
        <v>576</v>
      </c>
      <c r="D50" s="62" t="s">
        <v>576</v>
      </c>
      <c r="E50" s="62" t="s">
        <v>576</v>
      </c>
      <c r="F50" s="62" t="s">
        <v>576</v>
      </c>
      <c r="G50" s="62" t="s">
        <v>576</v>
      </c>
      <c r="H50" s="62" t="s">
        <v>576</v>
      </c>
    </row>
    <row r="51" customFormat="false" ht="15" hidden="true" customHeight="false" outlineLevel="1" collapsed="false">
      <c r="A51" s="3" t="s">
        <v>975</v>
      </c>
      <c r="B51" s="11" t="s">
        <v>57</v>
      </c>
      <c r="C51" s="62" t="str">
        <f aca="false">IF(ISNUMBER(C39),IF(AND(ISNUMBER(C28)),C39-(C28),"不適用"),"")</f>
        <v/>
      </c>
      <c r="D51" s="62" t="str">
        <f aca="false">IF(ISNUMBER(D39),IF(AND(ISNUMBER(D28)),D39-(D28),"不適用"),"")</f>
        <v/>
      </c>
      <c r="E51" s="62" t="str">
        <f aca="false">IF(ISNUMBER(E39),IF(AND(ISNUMBER(E28)),E39-(E28),"不適用"),"")</f>
        <v/>
      </c>
      <c r="F51" s="62" t="str">
        <f aca="false">IF(ISNUMBER(F39),IF(AND(ISNUMBER(F28)),F39-(F28),"不適用"),"")</f>
        <v/>
      </c>
      <c r="G51" s="62" t="str">
        <f aca="false">IF(ISNUMBER(G39),IF(AND(ISNUMBER(G28)),G39-(G28),"不適用"),"")</f>
        <v/>
      </c>
      <c r="H51" s="62" t="str">
        <f aca="false">IF(ISNUMBER(H39),IF(AND(ISNUMBER(H28)),H39-(H28),"不適用"),"")</f>
        <v/>
      </c>
    </row>
    <row r="52" customFormat="false" ht="15" hidden="true" customHeight="false" outlineLevel="1" collapsed="false">
      <c r="A52" s="3" t="s">
        <v>976</v>
      </c>
      <c r="B52" s="11" t="s">
        <v>57</v>
      </c>
      <c r="C52" s="62" t="str">
        <f aca="false">IF(ISNUMBER(C39),IF(AND(ISNUMBER(C35)),C39-(C35),"不適用"),"")</f>
        <v/>
      </c>
      <c r="D52" s="62" t="str">
        <f aca="false">IF(ISNUMBER(D39),IF(AND(ISNUMBER(D35)),D39-(D35),"不適用"),"")</f>
        <v/>
      </c>
      <c r="E52" s="62" t="str">
        <f aca="false">IF(ISNUMBER(E39),IF(AND(ISNUMBER(E35)),E39-(E35),"不適用"),"")</f>
        <v/>
      </c>
      <c r="F52" s="62" t="str">
        <f aca="false">IF(ISNUMBER(F39),IF(AND(ISNUMBER(F35)),F39-(F35),"不適用"),"")</f>
        <v/>
      </c>
      <c r="G52" s="62" t="str">
        <f aca="false">IF(ISNUMBER(G39),IF(AND(ISNUMBER(G35)),G39-(G35),"不適用"),"")</f>
        <v/>
      </c>
      <c r="H52" s="62" t="str">
        <f aca="false">IF(ISNUMBER(H39),IF(AND(ISNUMBER(H35)),H39-(H35),"不適用"),"")</f>
        <v/>
      </c>
    </row>
    <row r="53" customFormat="false" ht="15" hidden="true" customHeight="false" outlineLevel="1" collapsed="false">
      <c r="A53" s="3" t="s">
        <v>977</v>
      </c>
      <c r="B53" s="11" t="s">
        <v>57</v>
      </c>
      <c r="C53" s="62" t="str">
        <f aca="false">IF(ISNUMBER(C39),"不適用","")</f>
        <v/>
      </c>
      <c r="D53" s="62" t="str">
        <f aca="false">IF(ISNUMBER(D39),"不適用","")</f>
        <v/>
      </c>
      <c r="E53" s="62" t="str">
        <f aca="false">IF(ISNUMBER(E39),"不適用","")</f>
        <v/>
      </c>
      <c r="F53" s="62" t="str">
        <f aca="false">IF(ISNUMBER(F39),"不適用","")</f>
        <v/>
      </c>
      <c r="G53" s="62" t="str">
        <f aca="false">IF(ISNUMBER(G39),"不適用","")</f>
        <v/>
      </c>
      <c r="H53" s="62" t="str">
        <f aca="false">IF(ISNUMBER(H39),"不適用","")</f>
        <v/>
      </c>
    </row>
    <row r="54" customFormat="false" ht="15" hidden="true" customHeight="false" outlineLevel="1" collapsed="false">
      <c r="A54" s="3" t="s">
        <v>978</v>
      </c>
      <c r="B54" s="11" t="s">
        <v>69</v>
      </c>
      <c r="C54" s="63" t="n">
        <f aca="false">IF(AND(ISNUMBER(C28),ISNUMBER(C22),C22&lt;&gt;0,ISNUMBER(C35),ISNUMBER(C34),C34&lt;&gt;0),C28/C22-C35/C34,"不適用")</f>
        <v>0.0107316935762632</v>
      </c>
      <c r="D54" s="63" t="n">
        <f aca="false">IF(AND(ISNUMBER(D28),ISNUMBER(D22),D22&lt;&gt;0,ISNUMBER(D35),ISNUMBER(D34),D34&lt;&gt;0),D28/D22-D35/D34,"不適用")</f>
        <v>0.0132912419368506</v>
      </c>
      <c r="E54" s="63" t="str">
        <f aca="false">IF(AND(ISNUMBER(E28),ISNUMBER(E22),E22&lt;&gt;0,ISNUMBER(E35),ISNUMBER(E34),E34&lt;&gt;0),E28/E22-E35/E34,"不適用")</f>
        <v>不適用</v>
      </c>
      <c r="F54" s="63" t="str">
        <f aca="false">IF(AND(ISNUMBER(F28),ISNUMBER(F22),F22&lt;&gt;0,ISNUMBER(F35),ISNUMBER(F34),F34&lt;&gt;0),F28/F22-F35/F34,"不適用")</f>
        <v>不適用</v>
      </c>
      <c r="G54" s="63" t="str">
        <f aca="false">IF(AND(ISNUMBER(G28),ISNUMBER(G22),G22&lt;&gt;0,ISNUMBER(G35),ISNUMBER(G34),G34&lt;&gt;0),G28/G22-G35/G34,"不適用")</f>
        <v>不適用</v>
      </c>
      <c r="H54" s="63" t="str">
        <f aca="false">IF(AND(ISNUMBER(H28),ISNUMBER(H22),H22&lt;&gt;0,ISNUMBER(H35),ISNUMBER(H34),H34&lt;&gt;0),H28/H22-H35/H34,"不適用")</f>
        <v>不適用</v>
      </c>
    </row>
    <row r="55" customFormat="false" ht="15" hidden="true" customHeight="false" outlineLevel="1" collapsed="false">
      <c r="A55" s="3" t="s">
        <v>979</v>
      </c>
      <c r="B55" s="11" t="s">
        <v>69</v>
      </c>
      <c r="C55" s="63" t="s">
        <v>576</v>
      </c>
      <c r="D55" s="63" t="s">
        <v>576</v>
      </c>
      <c r="E55" s="63" t="s">
        <v>576</v>
      </c>
      <c r="F55" s="63" t="s">
        <v>576</v>
      </c>
      <c r="G55" s="63" t="s">
        <v>576</v>
      </c>
      <c r="H55" s="63" t="s">
        <v>576</v>
      </c>
    </row>
    <row r="56" customFormat="false" ht="15" hidden="true" customHeight="false" outlineLevel="1" collapsed="false">
      <c r="A56" s="3" t="s">
        <v>980</v>
      </c>
      <c r="B56" s="11" t="s">
        <v>69</v>
      </c>
      <c r="C56" s="63" t="str">
        <f aca="false">IF(ISNUMBER(C39),IF(AND(ISNUMBER(C39),ISNUMBER(C38),C38&lt;&gt;0,ISNUMBER(C28),ISNUMBER(C22),C22&lt;&gt;0),C39/C38-C28/C22,"不適用"),"")</f>
        <v/>
      </c>
      <c r="D56" s="63" t="str">
        <f aca="false">IF(ISNUMBER(D39),IF(AND(ISNUMBER(D39),ISNUMBER(D38),D38&lt;&gt;0,ISNUMBER(D28),ISNUMBER(D22),D22&lt;&gt;0),D39/D38-D28/D22,"不適用"),"")</f>
        <v/>
      </c>
      <c r="E56" s="63" t="str">
        <f aca="false">IF(ISNUMBER(E39),IF(AND(ISNUMBER(E39),ISNUMBER(E38),E38&lt;&gt;0,ISNUMBER(E28),ISNUMBER(E22),E22&lt;&gt;0),E39/E38-E28/E22,"不適用"),"")</f>
        <v/>
      </c>
      <c r="F56" s="63" t="str">
        <f aca="false">IF(ISNUMBER(F39),IF(AND(ISNUMBER(F39),ISNUMBER(F38),F38&lt;&gt;0,ISNUMBER(F28),ISNUMBER(F22),F22&lt;&gt;0),F39/F38-F28/F22,"不適用"),"")</f>
        <v/>
      </c>
      <c r="G56" s="63" t="str">
        <f aca="false">IF(ISNUMBER(G39),IF(AND(ISNUMBER(G39),ISNUMBER(G38),G38&lt;&gt;0,ISNUMBER(G28),ISNUMBER(G22),G22&lt;&gt;0),G39/G38-G28/G22,"不適用"),"")</f>
        <v/>
      </c>
      <c r="H56" s="63" t="str">
        <f aca="false">IF(ISNUMBER(H39),IF(AND(ISNUMBER(H39),ISNUMBER(H38),H38&lt;&gt;0,ISNUMBER(H28),ISNUMBER(H22),H22&lt;&gt;0),H39/H38-H28/H22,"不適用"),"")</f>
        <v/>
      </c>
    </row>
    <row r="57" customFormat="false" ht="15" hidden="true" customHeight="false" outlineLevel="1" collapsed="false">
      <c r="A57" s="3" t="s">
        <v>981</v>
      </c>
      <c r="B57" s="11" t="s">
        <v>69</v>
      </c>
      <c r="C57" s="63" t="str">
        <f aca="false">IF(ISNUMBER(C39),IF(AND(ISNUMBER(C39),ISNUMBER(C38),C38&lt;&gt;0,ISNUMBER(C35),ISNUMBER(C34),C34&lt;&gt;0),C39/C38-C35/C34,"不適用"),"")</f>
        <v/>
      </c>
      <c r="D57" s="63" t="str">
        <f aca="false">IF(ISNUMBER(D39),IF(AND(ISNUMBER(D39),ISNUMBER(D38),D38&lt;&gt;0,ISNUMBER(D35),ISNUMBER(D34),D34&lt;&gt;0),D39/D38-D35/D34,"不適用"),"")</f>
        <v/>
      </c>
      <c r="E57" s="63" t="str">
        <f aca="false">IF(ISNUMBER(E39),IF(AND(ISNUMBER(E39),ISNUMBER(E38),E38&lt;&gt;0,ISNUMBER(E35),ISNUMBER(E34),E34&lt;&gt;0),E39/E38-E35/E34,"不適用"),"")</f>
        <v/>
      </c>
      <c r="F57" s="63" t="str">
        <f aca="false">IF(ISNUMBER(F39),IF(AND(ISNUMBER(F39),ISNUMBER(F38),F38&lt;&gt;0,ISNUMBER(F35),ISNUMBER(F34),F34&lt;&gt;0),F39/F38-F35/F34,"不適用"),"")</f>
        <v/>
      </c>
      <c r="G57" s="63" t="str">
        <f aca="false">IF(ISNUMBER(G39),IF(AND(ISNUMBER(G39),ISNUMBER(G38),G38&lt;&gt;0,ISNUMBER(G35),ISNUMBER(G34),G34&lt;&gt;0),G39/G38-G35/G34,"不適用"),"")</f>
        <v/>
      </c>
      <c r="H57" s="63" t="str">
        <f aca="false">IF(ISNUMBER(H39),IF(AND(ISNUMBER(H39),ISNUMBER(H38),H38&lt;&gt;0,ISNUMBER(H35),ISNUMBER(H34),H34&lt;&gt;0),H39/H38-H35/H34,"不適用"),"")</f>
        <v/>
      </c>
    </row>
    <row r="58" customFormat="false" ht="15" hidden="true" customHeight="false" outlineLevel="1" collapsed="false">
      <c r="A58" s="3" t="s">
        <v>982</v>
      </c>
      <c r="B58" s="11" t="s">
        <v>69</v>
      </c>
      <c r="C58" s="63" t="str">
        <f aca="false">IF(ISNUMBER(C39),"不適用","")</f>
        <v/>
      </c>
      <c r="D58" s="63" t="str">
        <f aca="false">IF(ISNUMBER(D39),"不適用","")</f>
        <v/>
      </c>
      <c r="E58" s="63" t="str">
        <f aca="false">IF(ISNUMBER(E39),"不適用","")</f>
        <v/>
      </c>
      <c r="F58" s="63" t="str">
        <f aca="false">IF(ISNUMBER(F39),"不適用","")</f>
        <v/>
      </c>
      <c r="G58" s="63" t="str">
        <f aca="false">IF(ISNUMBER(G39),"不適用","")</f>
        <v/>
      </c>
      <c r="H58" s="63" t="str">
        <f aca="false">IF(ISNUMBER(H39),"不適用","")</f>
        <v/>
      </c>
    </row>
    <row r="59" customFormat="false" ht="15" hidden="true" customHeight="false" outlineLevel="1" collapsed="false">
      <c r="A59" s="3" t="s">
        <v>983</v>
      </c>
      <c r="B59" s="11" t="s">
        <v>69</v>
      </c>
      <c r="C59" s="63" t="n">
        <f aca="false">IF(AND(ISNUMBER(C27),ISNUMBER(C36)),C27-(C36),"不適用")</f>
        <v>0.0107316935762632</v>
      </c>
      <c r="D59" s="63" t="n">
        <f aca="false">IF(AND(ISNUMBER(D27),ISNUMBER(D36)),D27-(D36),"不適用")</f>
        <v>0.0132912419368506</v>
      </c>
      <c r="E59" s="63" t="str">
        <f aca="false">IF(AND(ISNUMBER(E27),ISNUMBER(E36)),E27-(E36),"不適用")</f>
        <v>不適用</v>
      </c>
      <c r="F59" s="63" t="str">
        <f aca="false">IF(AND(ISNUMBER(F27),ISNUMBER(F36)),F27-(F36),"不適用")</f>
        <v>不適用</v>
      </c>
      <c r="G59" s="63" t="str">
        <f aca="false">IF(AND(ISNUMBER(G27),ISNUMBER(G36)),G27-(G36),"不適用")</f>
        <v>不適用</v>
      </c>
      <c r="H59" s="63" t="str">
        <f aca="false">IF(AND(ISNUMBER(H27),ISNUMBER(H36)),H27-(H36),"不適用")</f>
        <v>不適用</v>
      </c>
    </row>
    <row r="60" customFormat="false" ht="15" hidden="true" customHeight="false" outlineLevel="1" collapsed="false">
      <c r="A60" s="3" t="s">
        <v>984</v>
      </c>
      <c r="B60" s="11" t="s">
        <v>69</v>
      </c>
      <c r="C60" s="63" t="s">
        <v>576</v>
      </c>
      <c r="D60" s="63" t="s">
        <v>576</v>
      </c>
      <c r="E60" s="63" t="s">
        <v>576</v>
      </c>
      <c r="F60" s="63" t="s">
        <v>576</v>
      </c>
      <c r="G60" s="63" t="s">
        <v>576</v>
      </c>
      <c r="H60" s="63" t="s">
        <v>576</v>
      </c>
    </row>
    <row r="61" customFormat="false" ht="15" hidden="true" customHeight="false" outlineLevel="1" collapsed="false">
      <c r="A61" s="3" t="s">
        <v>985</v>
      </c>
      <c r="B61" s="11" t="s">
        <v>69</v>
      </c>
      <c r="C61" s="63" t="str">
        <f aca="false">IF(ISNUMBER(C40),IF(AND(ISNUMBER(C27)),C40-(C27),"不適用"),"")</f>
        <v/>
      </c>
      <c r="D61" s="63" t="str">
        <f aca="false">IF(ISNUMBER(D40),IF(AND(ISNUMBER(D27)),D40-(D27),"不適用"),"")</f>
        <v/>
      </c>
      <c r="E61" s="63" t="str">
        <f aca="false">IF(ISNUMBER(E40),IF(AND(ISNUMBER(E27)),E40-(E27),"不適用"),"")</f>
        <v/>
      </c>
      <c r="F61" s="63" t="str">
        <f aca="false">IF(ISNUMBER(F40),IF(AND(ISNUMBER(F27)),F40-(F27),"不適用"),"")</f>
        <v/>
      </c>
      <c r="G61" s="63" t="str">
        <f aca="false">IF(ISNUMBER(G40),IF(AND(ISNUMBER(G27)),G40-(G27),"不適用"),"")</f>
        <v/>
      </c>
      <c r="H61" s="63" t="str">
        <f aca="false">IF(ISNUMBER(H40),IF(AND(ISNUMBER(H27)),H40-(H27),"不適用"),"")</f>
        <v/>
      </c>
    </row>
    <row r="62" customFormat="false" ht="15" hidden="true" customHeight="false" outlineLevel="1" collapsed="false">
      <c r="A62" s="3" t="s">
        <v>986</v>
      </c>
      <c r="B62" s="11" t="s">
        <v>69</v>
      </c>
      <c r="C62" s="63" t="str">
        <f aca="false">IF(ISNUMBER(C40),IF(AND(ISNUMBER(C36)),C40-(C36),"不適用"),"")</f>
        <v/>
      </c>
      <c r="D62" s="63" t="str">
        <f aca="false">IF(ISNUMBER(D40),IF(AND(ISNUMBER(D36)),D40-(D36),"不適用"),"")</f>
        <v/>
      </c>
      <c r="E62" s="63" t="str">
        <f aca="false">IF(ISNUMBER(E40),IF(AND(ISNUMBER(E36)),E40-(E36),"不適用"),"")</f>
        <v/>
      </c>
      <c r="F62" s="63" t="str">
        <f aca="false">IF(ISNUMBER(F40),IF(AND(ISNUMBER(F36)),F40-(F36),"不適用"),"")</f>
        <v/>
      </c>
      <c r="G62" s="63" t="str">
        <f aca="false">IF(ISNUMBER(G40),IF(AND(ISNUMBER(G36)),G40-(G36),"不適用"),"")</f>
        <v/>
      </c>
      <c r="H62" s="63" t="str">
        <f aca="false">IF(ISNUMBER(H40),IF(AND(ISNUMBER(H36)),H40-(H36),"不適用"),"")</f>
        <v/>
      </c>
    </row>
    <row r="63" customFormat="false" ht="15" hidden="true" customHeight="false" outlineLevel="1" collapsed="false">
      <c r="A63" s="3" t="s">
        <v>987</v>
      </c>
      <c r="B63" s="11" t="s">
        <v>69</v>
      </c>
      <c r="C63" s="63" t="str">
        <f aca="false">IF(ISNUMBER(C40),"不適用","")</f>
        <v/>
      </c>
      <c r="D63" s="63" t="str">
        <f aca="false">IF(ISNUMBER(D40),"不適用","")</f>
        <v/>
      </c>
      <c r="E63" s="63" t="str">
        <f aca="false">IF(ISNUMBER(E40),"不適用","")</f>
        <v/>
      </c>
      <c r="F63" s="63" t="str">
        <f aca="false">IF(ISNUMBER(F40),"不適用","")</f>
        <v/>
      </c>
      <c r="G63" s="63" t="str">
        <f aca="false">IF(ISNUMBER(G40),"不適用","")</f>
        <v/>
      </c>
      <c r="H63" s="63" t="str">
        <f aca="false">IF(ISNUMBER(H40),"不適用","")</f>
        <v/>
      </c>
    </row>
    <row r="64" customFormat="false" ht="15" hidden="true" customHeight="false" outlineLevel="1" collapsed="false">
      <c r="A64" s="3" t="s">
        <v>988</v>
      </c>
      <c r="B64" s="11" t="s">
        <v>57</v>
      </c>
      <c r="C64" s="62" t="s">
        <v>576</v>
      </c>
      <c r="D64" s="62" t="s">
        <v>576</v>
      </c>
      <c r="E64" s="62" t="s">
        <v>576</v>
      </c>
      <c r="F64" s="62" t="s">
        <v>576</v>
      </c>
      <c r="G64" s="62" t="s">
        <v>576</v>
      </c>
      <c r="H64" s="62" t="s">
        <v>576</v>
      </c>
    </row>
    <row r="65" customFormat="false" ht="15" hidden="true" customHeight="false" outlineLevel="1" collapsed="false">
      <c r="A65" s="3" t="s">
        <v>989</v>
      </c>
      <c r="B65" s="11" t="s">
        <v>57</v>
      </c>
      <c r="C65" s="62" t="s">
        <v>576</v>
      </c>
      <c r="D65" s="62" t="s">
        <v>576</v>
      </c>
      <c r="E65" s="62" t="s">
        <v>576</v>
      </c>
      <c r="F65" s="62" t="s">
        <v>576</v>
      </c>
      <c r="G65" s="62" t="s">
        <v>576</v>
      </c>
      <c r="H65" s="62" t="s">
        <v>576</v>
      </c>
    </row>
    <row r="66" customFormat="false" ht="15" hidden="true" customHeight="false" outlineLevel="1" collapsed="false">
      <c r="A66" s="3" t="s">
        <v>990</v>
      </c>
      <c r="B66" s="11" t="s">
        <v>57</v>
      </c>
      <c r="C66" s="62" t="str">
        <f aca="false">IF(ISNUMBER(C41),IF(AND(ISNUMBER(C30)),C41-(C30),"不適用"),"")</f>
        <v/>
      </c>
      <c r="D66" s="62" t="str">
        <f aca="false">IF(ISNUMBER(D41),IF(AND(ISNUMBER(D30)),D41-(D30),"不適用"),"")</f>
        <v/>
      </c>
      <c r="E66" s="62" t="str">
        <f aca="false">IF(ISNUMBER(E41),IF(AND(ISNUMBER(E30)),E41-(E30),"不適用"),"")</f>
        <v/>
      </c>
      <c r="F66" s="62" t="str">
        <f aca="false">IF(ISNUMBER(F41),IF(AND(ISNUMBER(F30)),F41-(F30),"不適用"),"")</f>
        <v/>
      </c>
      <c r="G66" s="62" t="str">
        <f aca="false">IF(ISNUMBER(G41),IF(AND(ISNUMBER(G30)),G41-(G30),"不適用"),"")</f>
        <v/>
      </c>
      <c r="H66" s="62" t="str">
        <f aca="false">IF(ISNUMBER(H41),IF(AND(ISNUMBER(H30)),H41-(H30),"不適用"),"")</f>
        <v/>
      </c>
    </row>
    <row r="67" customFormat="false" ht="15" hidden="true" customHeight="false" outlineLevel="1" collapsed="false">
      <c r="A67" s="3" t="s">
        <v>991</v>
      </c>
      <c r="B67" s="11" t="s">
        <v>57</v>
      </c>
      <c r="C67" s="62" t="str">
        <f aca="false">IF(ISNUMBER(C41),"不適用","")</f>
        <v/>
      </c>
      <c r="D67" s="62" t="str">
        <f aca="false">IF(ISNUMBER(D41),"不適用","")</f>
        <v/>
      </c>
      <c r="E67" s="62" t="str">
        <f aca="false">IF(ISNUMBER(E41),"不適用","")</f>
        <v/>
      </c>
      <c r="F67" s="62" t="str">
        <f aca="false">IF(ISNUMBER(F41),"不適用","")</f>
        <v/>
      </c>
      <c r="G67" s="62" t="str">
        <f aca="false">IF(ISNUMBER(G41),"不適用","")</f>
        <v/>
      </c>
      <c r="H67" s="62" t="str">
        <f aca="false">IF(ISNUMBER(H41),"不適用","")</f>
        <v/>
      </c>
    </row>
    <row r="68" customFormat="false" ht="15" hidden="true" customHeight="false" outlineLevel="1" collapsed="false">
      <c r="A68" s="3" t="s">
        <v>992</v>
      </c>
      <c r="B68" s="11" t="s">
        <v>57</v>
      </c>
      <c r="C68" s="62" t="str">
        <f aca="false">IF(ISNUMBER(C41),"不適用","")</f>
        <v/>
      </c>
      <c r="D68" s="62" t="str">
        <f aca="false">IF(ISNUMBER(D41),"不適用","")</f>
        <v/>
      </c>
      <c r="E68" s="62" t="str">
        <f aca="false">IF(ISNUMBER(E41),"不適用","")</f>
        <v/>
      </c>
      <c r="F68" s="62" t="str">
        <f aca="false">IF(ISNUMBER(F41),"不適用","")</f>
        <v/>
      </c>
      <c r="G68" s="62" t="str">
        <f aca="false">IF(ISNUMBER(G41),"不適用","")</f>
        <v/>
      </c>
      <c r="H68" s="62" t="str">
        <f aca="false">IF(ISNUMBER(H41),"不適用","")</f>
        <v/>
      </c>
    </row>
    <row r="69" customFormat="false" ht="15" hidden="true" customHeight="false" outlineLevel="1" collapsed="false">
      <c r="A69" s="3" t="s">
        <v>993</v>
      </c>
      <c r="B69" s="11" t="s">
        <v>69</v>
      </c>
      <c r="C69" s="63" t="s">
        <v>576</v>
      </c>
      <c r="D69" s="63" t="s">
        <v>576</v>
      </c>
      <c r="E69" s="63" t="s">
        <v>576</v>
      </c>
      <c r="F69" s="63" t="s">
        <v>576</v>
      </c>
      <c r="G69" s="63" t="s">
        <v>576</v>
      </c>
      <c r="H69" s="63" t="s">
        <v>576</v>
      </c>
    </row>
    <row r="70" customFormat="false" ht="15" hidden="true" customHeight="false" outlineLevel="1" collapsed="false">
      <c r="A70" s="3" t="s">
        <v>994</v>
      </c>
      <c r="B70" s="11" t="s">
        <v>69</v>
      </c>
      <c r="C70" s="63" t="s">
        <v>576</v>
      </c>
      <c r="D70" s="63" t="s">
        <v>576</v>
      </c>
      <c r="E70" s="63" t="s">
        <v>576</v>
      </c>
      <c r="F70" s="63" t="s">
        <v>576</v>
      </c>
      <c r="G70" s="63" t="s">
        <v>576</v>
      </c>
      <c r="H70" s="63" t="s">
        <v>576</v>
      </c>
    </row>
    <row r="71" customFormat="false" ht="15" hidden="true" customHeight="false" outlineLevel="1" collapsed="false">
      <c r="A71" s="3" t="s">
        <v>995</v>
      </c>
      <c r="B71" s="11" t="s">
        <v>69</v>
      </c>
      <c r="C71" s="63" t="str">
        <f aca="false">IF(ISNUMBER(C41),IF(AND(ISNUMBER(C41),ISNUMBER(C38),C38&lt;&gt;0,ISNUMBER(C30),ISNUMBER(C22),C22&lt;&gt;0),C41/C38-C30/C22,"不適用"),"")</f>
        <v/>
      </c>
      <c r="D71" s="63" t="str">
        <f aca="false">IF(ISNUMBER(D41),IF(AND(ISNUMBER(D41),ISNUMBER(D38),D38&lt;&gt;0,ISNUMBER(D30),ISNUMBER(D22),D22&lt;&gt;0),D41/D38-D30/D22,"不適用"),"")</f>
        <v/>
      </c>
      <c r="E71" s="63" t="str">
        <f aca="false">IF(ISNUMBER(E41),IF(AND(ISNUMBER(E41),ISNUMBER(E38),E38&lt;&gt;0,ISNUMBER(E30),ISNUMBER(E22),E22&lt;&gt;0),E41/E38-E30/E22,"不適用"),"")</f>
        <v/>
      </c>
      <c r="F71" s="63" t="str">
        <f aca="false">IF(ISNUMBER(F41),IF(AND(ISNUMBER(F41),ISNUMBER(F38),F38&lt;&gt;0,ISNUMBER(F30),ISNUMBER(F22),F22&lt;&gt;0),F41/F38-F30/F22,"不適用"),"")</f>
        <v/>
      </c>
      <c r="G71" s="63" t="str">
        <f aca="false">IF(ISNUMBER(G41),IF(AND(ISNUMBER(G41),ISNUMBER(G38),G38&lt;&gt;0,ISNUMBER(G30),ISNUMBER(G22),G22&lt;&gt;0),G41/G38-G30/G22,"不適用"),"")</f>
        <v/>
      </c>
      <c r="H71" s="63" t="str">
        <f aca="false">IF(ISNUMBER(H41),IF(AND(ISNUMBER(H41),ISNUMBER(H38),H38&lt;&gt;0,ISNUMBER(H30),ISNUMBER(H22),H22&lt;&gt;0),H41/H38-H30/H22,"不適用"),"")</f>
        <v/>
      </c>
    </row>
    <row r="72" customFormat="false" ht="15" hidden="true" customHeight="false" outlineLevel="1" collapsed="false">
      <c r="A72" s="3" t="s">
        <v>996</v>
      </c>
      <c r="B72" s="11" t="s">
        <v>69</v>
      </c>
      <c r="C72" s="63" t="str">
        <f aca="false">IF(ISNUMBER(C41),"不適用","")</f>
        <v/>
      </c>
      <c r="D72" s="63" t="str">
        <f aca="false">IF(ISNUMBER(D41),"不適用","")</f>
        <v/>
      </c>
      <c r="E72" s="63" t="str">
        <f aca="false">IF(ISNUMBER(E41),"不適用","")</f>
        <v/>
      </c>
      <c r="F72" s="63" t="str">
        <f aca="false">IF(ISNUMBER(F41),"不適用","")</f>
        <v/>
      </c>
      <c r="G72" s="63" t="str">
        <f aca="false">IF(ISNUMBER(G41),"不適用","")</f>
        <v/>
      </c>
      <c r="H72" s="63" t="str">
        <f aca="false">IF(ISNUMBER(H41),"不適用","")</f>
        <v/>
      </c>
    </row>
    <row r="73" customFormat="false" ht="15" hidden="true" customHeight="false" outlineLevel="1" collapsed="false">
      <c r="A73" s="3" t="s">
        <v>997</v>
      </c>
      <c r="B73" s="11" t="s">
        <v>69</v>
      </c>
      <c r="C73" s="63" t="str">
        <f aca="false">IF(ISNUMBER(C41),"不適用","")</f>
        <v/>
      </c>
      <c r="D73" s="63" t="str">
        <f aca="false">IF(ISNUMBER(D41),"不適用","")</f>
        <v/>
      </c>
      <c r="E73" s="63" t="str">
        <f aca="false">IF(ISNUMBER(E41),"不適用","")</f>
        <v/>
      </c>
      <c r="F73" s="63" t="str">
        <f aca="false">IF(ISNUMBER(F41),"不適用","")</f>
        <v/>
      </c>
      <c r="G73" s="63" t="str">
        <f aca="false">IF(ISNUMBER(G41),"不適用","")</f>
        <v/>
      </c>
      <c r="H73" s="63" t="str">
        <f aca="false">IF(ISNUMBER(H41),"不適用","")</f>
        <v/>
      </c>
    </row>
    <row r="74" customFormat="false" ht="15" hidden="true" customHeight="false" outlineLevel="1" collapsed="false">
      <c r="A74" s="3" t="s">
        <v>998</v>
      </c>
      <c r="B74" s="11" t="s">
        <v>42</v>
      </c>
      <c r="C74" s="63" t="s">
        <v>576</v>
      </c>
      <c r="D74" s="63" t="s">
        <v>576</v>
      </c>
      <c r="E74" s="63" t="s">
        <v>576</v>
      </c>
      <c r="F74" s="63" t="s">
        <v>576</v>
      </c>
      <c r="G74" s="63" t="s">
        <v>576</v>
      </c>
      <c r="H74" s="63" t="s">
        <v>576</v>
      </c>
    </row>
    <row r="75" customFormat="false" ht="15" hidden="true" customHeight="false" outlineLevel="1" collapsed="false">
      <c r="A75" s="3" t="s">
        <v>999</v>
      </c>
      <c r="B75" s="11" t="s">
        <v>42</v>
      </c>
      <c r="C75" s="63" t="s">
        <v>576</v>
      </c>
      <c r="D75" s="63" t="s">
        <v>576</v>
      </c>
      <c r="E75" s="63" t="s">
        <v>576</v>
      </c>
      <c r="F75" s="63" t="s">
        <v>576</v>
      </c>
      <c r="G75" s="63" t="s">
        <v>576</v>
      </c>
      <c r="H75" s="63" t="s">
        <v>576</v>
      </c>
    </row>
    <row r="76" customFormat="false" ht="15" hidden="true" customHeight="false" outlineLevel="1" collapsed="false">
      <c r="A76" s="3" t="s">
        <v>1000</v>
      </c>
      <c r="B76" s="11" t="s">
        <v>42</v>
      </c>
      <c r="C76" s="63" t="str">
        <f aca="false">IF(ISNUMBER(C42),IF(AND(ISNUMBER(C33),C33&lt;&gt;0),C42/(C33)-1,"不適用"),"")</f>
        <v/>
      </c>
      <c r="D76" s="63" t="str">
        <f aca="false">IF(ISNUMBER(D42),IF(AND(ISNUMBER(D33),D33&lt;&gt;0),D42/(D33)-1,"不適用"),"")</f>
        <v/>
      </c>
      <c r="E76" s="63" t="str">
        <f aca="false">IF(ISNUMBER(E42),IF(AND(ISNUMBER(E33),E33&lt;&gt;0),E42/(E33)-1,"不適用"),"")</f>
        <v/>
      </c>
      <c r="F76" s="63" t="str">
        <f aca="false">IF(ISNUMBER(F42),IF(AND(ISNUMBER(F33),F33&lt;&gt;0),F42/(F33)-1,"不適用"),"")</f>
        <v/>
      </c>
      <c r="G76" s="63" t="str">
        <f aca="false">IF(ISNUMBER(G42),IF(AND(ISNUMBER(G33),G33&lt;&gt;0),G42/(G33)-1,"不適用"),"")</f>
        <v/>
      </c>
      <c r="H76" s="63" t="str">
        <f aca="false">IF(ISNUMBER(H42),IF(AND(ISNUMBER(H33),H33&lt;&gt;0),H42/(H33)-1,"不適用"),"")</f>
        <v/>
      </c>
    </row>
    <row r="77" customFormat="false" ht="15" hidden="true" customHeight="false" outlineLevel="1" collapsed="false">
      <c r="A77" s="3" t="s">
        <v>1001</v>
      </c>
      <c r="B77" s="11" t="s">
        <v>42</v>
      </c>
      <c r="C77" s="63" t="str">
        <f aca="false">IF(ISNUMBER(C42),"不適用","")</f>
        <v/>
      </c>
      <c r="D77" s="63" t="str">
        <f aca="false">IF(ISNUMBER(D42),"不適用","")</f>
        <v/>
      </c>
      <c r="E77" s="63" t="str">
        <f aca="false">IF(ISNUMBER(E42),"不適用","")</f>
        <v/>
      </c>
      <c r="F77" s="63" t="str">
        <f aca="false">IF(ISNUMBER(F42),"不適用","")</f>
        <v/>
      </c>
      <c r="G77" s="63" t="str">
        <f aca="false">IF(ISNUMBER(G42),"不適用","")</f>
        <v/>
      </c>
      <c r="H77" s="63" t="str">
        <f aca="false">IF(ISNUMBER(H42),"不適用","")</f>
        <v/>
      </c>
    </row>
    <row r="78" customFormat="false" ht="15" hidden="true" customHeight="false" outlineLevel="1" collapsed="false">
      <c r="A78" s="3" t="s">
        <v>1002</v>
      </c>
      <c r="B78" s="11" t="s">
        <v>42</v>
      </c>
      <c r="C78" s="63" t="str">
        <f aca="false">IF(ISNUMBER(C42),"不適用","")</f>
        <v/>
      </c>
      <c r="D78" s="63" t="str">
        <f aca="false">IF(ISNUMBER(D42),"不適用","")</f>
        <v/>
      </c>
      <c r="E78" s="63" t="str">
        <f aca="false">IF(ISNUMBER(E42),"不適用","")</f>
        <v/>
      </c>
      <c r="F78" s="63" t="str">
        <f aca="false">IF(ISNUMBER(F42),"不適用","")</f>
        <v/>
      </c>
      <c r="G78" s="63" t="str">
        <f aca="false">IF(ISNUMBER(G42),"不適用","")</f>
        <v/>
      </c>
      <c r="H78" s="63" t="str">
        <f aca="false">IF(ISNUMBER(H42),"不適用","")</f>
        <v/>
      </c>
    </row>
    <row r="79" customFormat="false" ht="15" hidden="true" customHeight="false" outlineLevel="1" collapsed="false">
      <c r="A79" s="3" t="s">
        <v>1003</v>
      </c>
      <c r="B79" s="11" t="s">
        <v>149</v>
      </c>
      <c r="C79" s="64" t="s">
        <v>576</v>
      </c>
      <c r="D79" s="64" t="s">
        <v>576</v>
      </c>
      <c r="E79" s="64" t="s">
        <v>576</v>
      </c>
      <c r="F79" s="64" t="s">
        <v>576</v>
      </c>
      <c r="G79" s="64" t="s">
        <v>576</v>
      </c>
      <c r="H79" s="64" t="s">
        <v>576</v>
      </c>
    </row>
    <row r="80" customFormat="false" ht="15" hidden="true" customHeight="false" outlineLevel="1" collapsed="false">
      <c r="A80" s="3" t="s">
        <v>1004</v>
      </c>
      <c r="B80" s="11" t="s">
        <v>149</v>
      </c>
      <c r="C80" s="64" t="s">
        <v>576</v>
      </c>
      <c r="D80" s="64" t="s">
        <v>576</v>
      </c>
      <c r="E80" s="64" t="s">
        <v>576</v>
      </c>
      <c r="F80" s="64" t="s">
        <v>576</v>
      </c>
      <c r="G80" s="64" t="s">
        <v>576</v>
      </c>
      <c r="H80" s="64" t="s">
        <v>576</v>
      </c>
    </row>
    <row r="81" customFormat="false" ht="15" hidden="true" customHeight="false" outlineLevel="1" collapsed="false">
      <c r="A81" s="3" t="s">
        <v>1005</v>
      </c>
      <c r="B81" s="11" t="s">
        <v>149</v>
      </c>
      <c r="C81" s="64" t="str">
        <f aca="false">IF(ISNUMBER(C43),IF(AND(ISNUMBER(C19)),C43-(C19),"不適用"),"")</f>
        <v/>
      </c>
      <c r="D81" s="64" t="str">
        <f aca="false">IF(ISNUMBER(D43),IF(AND(ISNUMBER(D19)),D43-(D19),"不適用"),"")</f>
        <v/>
      </c>
      <c r="E81" s="64" t="str">
        <f aca="false">IF(ISNUMBER(E43),IF(AND(ISNUMBER(E19)),E43-(E19),"不適用"),"")</f>
        <v/>
      </c>
      <c r="F81" s="64" t="str">
        <f aca="false">IF(ISNUMBER(F43),IF(AND(ISNUMBER(F19)),F43-(F19),"不適用"),"")</f>
        <v/>
      </c>
      <c r="G81" s="64" t="str">
        <f aca="false">IF(ISNUMBER(G43),IF(AND(ISNUMBER(G19)),G43-(G19),"不適用"),"")</f>
        <v/>
      </c>
      <c r="H81" s="64" t="str">
        <f aca="false">IF(ISNUMBER(H43),IF(AND(ISNUMBER(H19)),H43-(H19),"不適用"),"")</f>
        <v/>
      </c>
    </row>
    <row r="82" customFormat="false" ht="15" hidden="true" customHeight="false" outlineLevel="1" collapsed="false">
      <c r="A82" s="3" t="s">
        <v>1006</v>
      </c>
      <c r="B82" s="11" t="s">
        <v>149</v>
      </c>
      <c r="C82" s="64" t="str">
        <f aca="false">IF(ISNUMBER(C43),"不適用","")</f>
        <v/>
      </c>
      <c r="D82" s="64" t="str">
        <f aca="false">IF(ISNUMBER(D43),"不適用","")</f>
        <v/>
      </c>
      <c r="E82" s="64" t="str">
        <f aca="false">IF(ISNUMBER(E43),"不適用","")</f>
        <v/>
      </c>
      <c r="F82" s="64" t="str">
        <f aca="false">IF(ISNUMBER(F43),"不適用","")</f>
        <v/>
      </c>
      <c r="G82" s="64" t="str">
        <f aca="false">IF(ISNUMBER(G43),"不適用","")</f>
        <v/>
      </c>
      <c r="H82" s="64" t="str">
        <f aca="false">IF(ISNUMBER(H43),"不適用","")</f>
        <v/>
      </c>
    </row>
    <row r="83" customFormat="false" ht="15" hidden="true" customHeight="false" outlineLevel="1" collapsed="false">
      <c r="A83" s="3" t="s">
        <v>1007</v>
      </c>
      <c r="B83" s="11" t="s">
        <v>149</v>
      </c>
      <c r="C83" s="64" t="str">
        <f aca="false">IF(ISNUMBER(C43),"不適用","")</f>
        <v/>
      </c>
      <c r="D83" s="64" t="str">
        <f aca="false">IF(ISNUMBER(D43),"不適用","")</f>
        <v/>
      </c>
      <c r="E83" s="64" t="str">
        <f aca="false">IF(ISNUMBER(E43),"不適用","")</f>
        <v/>
      </c>
      <c r="F83" s="64" t="str">
        <f aca="false">IF(ISNUMBER(F43),"不適用","")</f>
        <v/>
      </c>
      <c r="G83" s="64" t="str">
        <f aca="false">IF(ISNUMBER(G43),"不適用","")</f>
        <v/>
      </c>
      <c r="H83" s="64" t="str">
        <f aca="false">IF(ISNUMBER(H43),"不適用","")</f>
        <v/>
      </c>
    </row>
    <row r="84" customFormat="false" ht="15" hidden="true" customHeight="false" outlineLevel="1" collapsed="false">
      <c r="A84" s="3" t="s">
        <v>1008</v>
      </c>
      <c r="B84" s="11" t="s">
        <v>57</v>
      </c>
      <c r="C84" s="62" t="str">
        <f aca="false">IF(COUNT(C34,D34,E34)=3,C34+D34+E34,"不適用")</f>
        <v>不適用</v>
      </c>
      <c r="D84" s="62" t="str">
        <f aca="false">IF(COUNT(C34,D34,E34)=3,C34+D34+E34,"不適用")</f>
        <v>不適用</v>
      </c>
      <c r="E84" s="62" t="str">
        <f aca="false">IF(COUNT(C34,D34,E34)=3,C34+D34+E34,"不適用")</f>
        <v>不適用</v>
      </c>
      <c r="F84" s="62" t="str">
        <f aca="false">IF(COUNT(F34,G34,H34)=3,F34+G34+H34,"不適用")</f>
        <v>不適用</v>
      </c>
      <c r="G84" s="62" t="str">
        <f aca="false">IF(COUNT(F34,G34,H34)=3,F34+G34+H34,"不適用")</f>
        <v>不適用</v>
      </c>
      <c r="H84" s="62" t="str">
        <f aca="false">IF(COUNT(F34,G34,H34)=3,F34+G34+H34,"不適用")</f>
        <v>不適用</v>
      </c>
      <c r="J84" s="6" t="s">
        <v>1009</v>
      </c>
    </row>
    <row r="85" customFormat="false" ht="15" hidden="true" customHeight="false" outlineLevel="1" collapsed="false">
      <c r="A85" s="3" t="s">
        <v>1010</v>
      </c>
      <c r="B85" s="11" t="s">
        <v>57</v>
      </c>
      <c r="C85" s="62" t="str">
        <f aca="false">IF(AND(ISNUMBER(C84),C84&lt;&gt;0,ISNUMBER(C34),ISNUMBER(C22)),(損益!C9-C84)*(C34)/C84,"不適用")</f>
        <v>不適用</v>
      </c>
      <c r="D85" s="62" t="str">
        <f aca="false">IF(AND(ISNUMBER(D84),D84&lt;&gt;0,ISNUMBER(D34),ISNUMBER(D22)),(損益!C9-D84)*(D34)/D84,"不適用")</f>
        <v>不適用</v>
      </c>
      <c r="E85" s="62" t="str">
        <f aca="false">IF(AND(ISNUMBER(E84),E84&lt;&gt;0,ISNUMBER(E34),ISNUMBER(E22)),(損益!C9-E84)*(E34)/E84,"不適用")</f>
        <v>不適用</v>
      </c>
      <c r="F85" s="62" t="str">
        <f aca="false">IF(AND(ISNUMBER(F84),F84&lt;&gt;0,ISNUMBER(F34),ISNUMBER(F22)),(損益!D9-F84)*(F34)/F84,"不適用")</f>
        <v>不適用</v>
      </c>
      <c r="G85" s="62" t="str">
        <f aca="false">IF(AND(ISNUMBER(G84),G84&lt;&gt;0,ISNUMBER(G34),ISNUMBER(G22)),(損益!D9-G84)*(G34)/G84,"不適用")</f>
        <v>不適用</v>
      </c>
      <c r="H85" s="62" t="str">
        <f aca="false">IF(AND(ISNUMBER(H84),H84&lt;&gt;0,ISNUMBER(H34),ISNUMBER(H22)),(損益!D9-H84)*(H34)/H84,"不適用")</f>
        <v>不適用</v>
      </c>
      <c r="J85" s="11" t="s">
        <v>1011</v>
      </c>
    </row>
    <row r="86" customFormat="false" ht="15" hidden="true" customHeight="false" outlineLevel="1" collapsed="false">
      <c r="A86" s="3" t="s">
        <v>1012</v>
      </c>
      <c r="B86" s="11" t="s">
        <v>57</v>
      </c>
      <c r="C86" s="62" t="str">
        <f aca="false">IF(AND(ISNUMBER(C84),C84&lt;&gt;0,ISNUMBER(C34),ISNUMBER(C22)),(C22/損益!C9-(C34)/C84)*損益!C9,"不適用")</f>
        <v>不適用</v>
      </c>
      <c r="D86" s="62" t="str">
        <f aca="false">IF(AND(ISNUMBER(D84),D84&lt;&gt;0,ISNUMBER(D34),ISNUMBER(D22)),(D22/損益!C9-(D34)/D84)*損益!C9,"不適用")</f>
        <v>不適用</v>
      </c>
      <c r="E86" s="62" t="str">
        <f aca="false">IF(AND(ISNUMBER(E84),E84&lt;&gt;0,ISNUMBER(E34),ISNUMBER(E22)),(E22/損益!C9-(E34)/E84)*損益!C9,"不適用")</f>
        <v>不適用</v>
      </c>
      <c r="F86" s="62" t="str">
        <f aca="false">IF(AND(ISNUMBER(F84),F84&lt;&gt;0,ISNUMBER(F34),ISNUMBER(F22)),(F22/損益!D9-(F34)/F84)*損益!D9,"不適用")</f>
        <v>不適用</v>
      </c>
      <c r="G86" s="62" t="str">
        <f aca="false">IF(AND(ISNUMBER(G84),G84&lt;&gt;0,ISNUMBER(G34),ISNUMBER(G22)),(G22/損益!D9-(G34)/G84)*損益!D9,"不適用")</f>
        <v>不適用</v>
      </c>
      <c r="H86" s="62" t="str">
        <f aca="false">IF(AND(ISNUMBER(H84),H84&lt;&gt;0,ISNUMBER(H34),ISNUMBER(H22)),(H22/損益!D9-(H34)/H84)*損益!D9,"不適用")</f>
        <v>不適用</v>
      </c>
      <c r="J86" s="11" t="s">
        <v>1013</v>
      </c>
    </row>
    <row r="87" customFormat="false" ht="15" hidden="true" customHeight="false" outlineLevel="1" collapsed="false">
      <c r="A87" s="3" t="s">
        <v>1014</v>
      </c>
      <c r="B87" s="11" t="s">
        <v>57</v>
      </c>
      <c r="C87" s="62" t="n">
        <f aca="false">(輸入與假設!$C$352+輸入與假設!$D$352)/2-輸入與假設!$E$352</f>
        <v>70.655</v>
      </c>
      <c r="D87" s="62" t="n">
        <f aca="false">(輸入與假設!$C$352+輸入與假設!$D$352)/2-輸入與假設!$E$352</f>
        <v>70.655</v>
      </c>
      <c r="E87" s="62" t="n">
        <f aca="false">(輸入與假設!$C$352+輸入與假設!$D$352)/2-輸入與假設!$E$352</f>
        <v>70.655</v>
      </c>
      <c r="F87" s="62" t="s">
        <v>576</v>
      </c>
      <c r="G87" s="62" t="s">
        <v>576</v>
      </c>
      <c r="H87" s="62" t="s">
        <v>576</v>
      </c>
      <c r="J87" s="6" t="s">
        <v>1015</v>
      </c>
    </row>
    <row r="88" customFormat="false" ht="15" hidden="true" customHeight="false" outlineLevel="1" collapsed="false">
      <c r="A88" s="3" t="s">
        <v>1016</v>
      </c>
      <c r="B88" s="11" t="s">
        <v>57</v>
      </c>
      <c r="C88" s="62" t="n">
        <f aca="false">IF(AND(ISNUMBER(C87),C87&lt;&gt;0,ISNUMBER(((C31+C32)/2)),ISNUMBER(C22)),(損益!C9-C87)*(((C31+C32)/2))/C87,"不適用")</f>
        <v>0.218248440000001</v>
      </c>
      <c r="D88" s="62" t="str">
        <f aca="false">IF(AND(ISNUMBER(D87),D87&lt;&gt;0,ISNUMBER(((D31+D32)/2)),ISNUMBER(D22)),(損益!C9-D87)*(((D31+D32)/2))/D87,"不適用")</f>
        <v>不適用</v>
      </c>
      <c r="E88" s="62" t="str">
        <f aca="false">IF(AND(ISNUMBER(E87),E87&lt;&gt;0,ISNUMBER(((E31+E32)/2)),ISNUMBER(E22)),(損益!C9-E87)*(((E31+E32)/2))/E87,"不適用")</f>
        <v>不適用</v>
      </c>
      <c r="F88" s="62" t="str">
        <f aca="false">IF(AND(ISNUMBER(F87),F87&lt;&gt;0,ISNUMBER(((F31+F32)/2)),ISNUMBER(F22)),(損益!D9-F87)*(((F31+F32)/2))/F87,"不適用")</f>
        <v>不適用</v>
      </c>
      <c r="G88" s="62" t="str">
        <f aca="false">IF(AND(ISNUMBER(G87),G87&lt;&gt;0,ISNUMBER(((G31+G32)/2)),ISNUMBER(G22)),(損益!D9-G87)*(((G31+G32)/2))/G87,"不適用")</f>
        <v>不適用</v>
      </c>
      <c r="H88" s="62" t="str">
        <f aca="false">IF(AND(ISNUMBER(H87),H87&lt;&gt;0,ISNUMBER(((H31+H32)/2)),ISNUMBER(H22)),(損益!D9-H87)*(((H31+H32)/2))/H87,"不適用")</f>
        <v>不適用</v>
      </c>
      <c r="J88" s="11" t="s">
        <v>1011</v>
      </c>
    </row>
    <row r="89" customFormat="false" ht="15" hidden="true" customHeight="false" outlineLevel="1" collapsed="false">
      <c r="A89" s="3" t="s">
        <v>1017</v>
      </c>
      <c r="B89" s="11" t="s">
        <v>57</v>
      </c>
      <c r="C89" s="62" t="n">
        <f aca="false">IF(AND(ISNUMBER(C87),C87&lt;&gt;0,ISNUMBER(((C31+C32)/2)),ISNUMBER(C22)),(C22/損益!C9-(((C31+C32)/2))/C87)*損益!C9,"不適用")</f>
        <v>0.154834026666666</v>
      </c>
      <c r="D89" s="62" t="str">
        <f aca="false">IF(AND(ISNUMBER(D87),D87&lt;&gt;0,ISNUMBER(((D31+D32)/2)),ISNUMBER(D22)),(D22/損益!C9-(((D31+D32)/2))/D87)*損益!C9,"不適用")</f>
        <v>不適用</v>
      </c>
      <c r="E89" s="62" t="str">
        <f aca="false">IF(AND(ISNUMBER(E87),E87&lt;&gt;0,ISNUMBER(((E31+E32)/2)),ISNUMBER(E22)),(E22/損益!C9-(((E31+E32)/2))/E87)*損益!C9,"不適用")</f>
        <v>不適用</v>
      </c>
      <c r="F89" s="62" t="str">
        <f aca="false">IF(AND(ISNUMBER(F87),F87&lt;&gt;0,ISNUMBER(((F31+F32)/2)),ISNUMBER(F22)),(F22/損益!D9-(((F31+F32)/2))/F87)*損益!D9,"不適用")</f>
        <v>不適用</v>
      </c>
      <c r="G89" s="62" t="str">
        <f aca="false">IF(AND(ISNUMBER(G87),G87&lt;&gt;0,ISNUMBER(((G31+G32)/2)),ISNUMBER(G22)),(G22/損益!D9-(((G31+G32)/2))/G87)*損益!D9,"不適用")</f>
        <v>不適用</v>
      </c>
      <c r="H89" s="62" t="str">
        <f aca="false">IF(AND(ISNUMBER(H87),H87&lt;&gt;0,ISNUMBER(((H31+H32)/2)),ISNUMBER(H22)),(H22/損益!D9-(((H31+H32)/2))/H87)*損益!D9,"不適用")</f>
        <v>不適用</v>
      </c>
      <c r="J89" s="11" t="s">
        <v>1013</v>
      </c>
    </row>
    <row r="90" customFormat="false" ht="15" hidden="true" customHeight="false" outlineLevel="1" collapsed="false">
      <c r="A90" s="3" t="s">
        <v>1018</v>
      </c>
      <c r="C90" s="42" t="str">
        <f aca="false">IF(ISNUMBER(C44),IF(ABS(C44)&gt;輸入與假設!$C$333,IF(ISNUMBER(C85),IF(ABS(C86)&gt;ABS(C85),"營收 vs 共識 "&amp;IF(C44&lt;0,"−","+")&amp;TEXT(ABS(C44)*100,"#,##0.0")&amp;"%"&amp;"：拆法（分配 "&amp;IF(C86&lt;0,"−","+")&amp;IF(ABS(C86)&lt;0,"−","")&amp;"$"&amp;TEXT(ABS(ABS(C86)),"#,##0.000")&amp;"bn"&amp;"（Q2 FY27 占 2Q–4Q27 "&amp;TEXT((C22/損益!C9)*100,"#,##0.0")&amp;"%"&amp;"，共識合計 "&amp;TEXT(((C34)/C84)*100,"#,##0.0")&amp;"%"&amp;"）；水準 "&amp;IF(C85&lt;0,"−","+")&amp;IF(ABS(C85)&lt;0,"−","")&amp;"$"&amp;TEXT(ABS(ABS(C85)),"#,##0.000")&amp;"bn"&amp;"）","營收 vs 共識 "&amp;IF(C44&lt;0,"−","+")&amp;TEXT(ABS(C44)*100,"#,##0.0")&amp;"%"&amp;"：觀點（水準 "&amp;IF(C85&lt;0,"−","+")&amp;IF(ABS(C85)&lt;0,"−","")&amp;"$"&amp;TEXT(ABS(ABS(C85)),"#,##0.000")&amp;"bn"&amp;"（2Q–4Q27 模型 "&amp;IF(損益!C9&lt;0,"−","")&amp;"$"&amp;TEXT(ABS(損益!C9),"#,##0.000")&amp;"bn"&amp;"，共識合計 "&amp;IF(C84&lt;0,"−","")&amp;"$"&amp;TEXT(ABS(C84),"#,##0.000")&amp;"bn"&amp;"）；分配 "&amp;IF(C86&lt;0,"−","+")&amp;IF(ABS(C86)&lt;0,"−","")&amp;"$"&amp;TEXT(ABS(ABS(C86)),"#,##0.000")&amp;"bn"&amp;"；"&amp;"OCI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"&amp;IF(C44&lt;0,"−","+")&amp;TEXT(ABS(C44)*100,"#,##0.0")&amp;"%"&amp;"：觀點（"&amp;"OCI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D90" s="42" t="str">
        <f aca="false">IF(ISNUMBER(D44),IF(ABS(D44)&gt;輸入與假設!$C$333,IF(ISNUMBER(D85),IF(ABS(D86)&gt;ABS(D85),"營收 vs 共識 "&amp;IF(D44&lt;0,"−","+")&amp;TEXT(ABS(D44)*100,"#,##0.0")&amp;"%"&amp;"：拆法（分配 "&amp;IF(D86&lt;0,"−","+")&amp;IF(ABS(D86)&lt;0,"−","")&amp;"$"&amp;TEXT(ABS(ABS(D86)),"#,##0.000")&amp;"bn"&amp;"（Q3 FY27 占 2Q–4Q27 "&amp;TEXT((D22/損益!C9)*100,"#,##0.0")&amp;"%"&amp;"，共識合計 "&amp;TEXT(((D34)/D84)*100,"#,##0.0")&amp;"%"&amp;"）；水準 "&amp;IF(D85&lt;0,"−","+")&amp;IF(ABS(D85)&lt;0,"−","")&amp;"$"&amp;TEXT(ABS(ABS(D85)),"#,##0.000")&amp;"bn"&amp;"）","營收 vs 共識 "&amp;IF(D44&lt;0,"−","+")&amp;TEXT(ABS(D44)*100,"#,##0.0")&amp;"%"&amp;"：觀點（水準 "&amp;IF(D85&lt;0,"−","+")&amp;IF(ABS(D85)&lt;0,"−","")&amp;"$"&amp;TEXT(ABS(ABS(D85)),"#,##0.000")&amp;"bn"&amp;"（2Q–4Q27 模型 "&amp;IF(損益!C9&lt;0,"−","")&amp;"$"&amp;TEXT(ABS(損益!C9),"#,##0.000")&amp;"bn"&amp;"，共識合計 "&amp;IF(D84&lt;0,"−","")&amp;"$"&amp;TEXT(ABS(D84),"#,##0.000")&amp;"bn"&amp;"）；分配 "&amp;IF(D86&lt;0,"−","+")&amp;IF(ABS(D86)&lt;0,"−","")&amp;"$"&amp;TEXT(ABS(ABS(D86)),"#,##0.000")&amp;"bn"&amp;"；"&amp;"OCI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"&amp;IF(D44&lt;0,"−","+")&amp;TEXT(ABS(D44)*100,"#,##0.0")&amp;"%"&amp;"：觀點（"&amp;"OCI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E90" s="42" t="str">
        <f aca="false">IF(ISNUMBER(E44),IF(ABS(E44)&gt;輸入與假設!$C$333,IF(ISNUMBER(E85),IF(ABS(E86)&gt;ABS(E85),"營收 vs 共識 "&amp;IF(E44&lt;0,"−","+")&amp;TEXT(ABS(E44)*100,"#,##0.0")&amp;"%"&amp;"：拆法（分配 "&amp;IF(E86&lt;0,"−","+")&amp;IF(ABS(E86)&lt;0,"−","")&amp;"$"&amp;TEXT(ABS(ABS(E86)),"#,##0.000")&amp;"bn"&amp;"（Q4 FY27 占 2Q–4Q27 "&amp;TEXT((E22/損益!C9)*100,"#,##0.0")&amp;"%"&amp;"，共識合計 "&amp;TEXT(((E34)/E84)*100,"#,##0.0")&amp;"%"&amp;"）；水準 "&amp;IF(E85&lt;0,"−","+")&amp;IF(ABS(E85)&lt;0,"−","")&amp;"$"&amp;TEXT(ABS(ABS(E85)),"#,##0.000")&amp;"bn"&amp;"）","營收 vs 共識 "&amp;IF(E44&lt;0,"−","+")&amp;TEXT(ABS(E44)*100,"#,##0.0")&amp;"%"&amp;"：觀點（水準 "&amp;IF(E85&lt;0,"−","+")&amp;IF(ABS(E85)&lt;0,"−","")&amp;"$"&amp;TEXT(ABS(ABS(E85)),"#,##0.000")&amp;"bn"&amp;"（2Q–4Q27 模型 "&amp;IF(損益!C9&lt;0,"−","")&amp;"$"&amp;TEXT(ABS(損益!C9),"#,##0.000")&amp;"bn"&amp;"，共識合計 "&amp;IF(E84&lt;0,"−","")&amp;"$"&amp;TEXT(ABS(E84),"#,##0.000")&amp;"bn"&amp;"）；分配 "&amp;IF(E86&lt;0,"−","+")&amp;IF(ABS(E86)&lt;0,"−","")&amp;"$"&amp;TEXT(ABS(ABS(E86)),"#,##0.000")&amp;"bn"&amp;"；"&amp;"OCI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"&amp;IF(E44&lt;0,"−","+")&amp;TEXT(ABS(E44)*100,"#,##0.0")&amp;"%"&amp;"：觀點（"&amp;"OCI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F90" s="42" t="str">
        <f aca="false">IF(ISNUMBER(F44),IF(ABS(F44)&gt;輸入與假設!$C$333,IF(ISNUMBER(F85),IF(ABS(F86)&gt;ABS(F85),"營收 vs 共識 "&amp;IF(F44&lt;0,"−","+")&amp;TEXT(ABS(F44)*100,"#,##0.0")&amp;"%"&amp;"：拆法（分配 "&amp;IF(F86&lt;0,"−","+")&amp;IF(ABS(F86)&lt;0,"−","")&amp;"$"&amp;TEXT(ABS(ABS(F86)),"#,##0.000")&amp;"bn"&amp;"（Q1 FY28 占 FY28 "&amp;TEXT((F22/損益!D9)*100,"#,##0.0")&amp;"%"&amp;"，共識合計 "&amp;TEXT(((F34)/F84)*100,"#,##0.0")&amp;"%"&amp;"）；水準 "&amp;IF(F85&lt;0,"−","+")&amp;IF(ABS(F85)&lt;0,"−","")&amp;"$"&amp;TEXT(ABS(ABS(F85)),"#,##0.000")&amp;"bn"&amp;"）","營收 vs 共識 "&amp;IF(F44&lt;0,"−","+")&amp;TEXT(ABS(F44)*100,"#,##0.0")&amp;"%"&amp;"：觀點（水準 "&amp;IF(F85&lt;0,"−","+")&amp;IF(ABS(F85)&lt;0,"−","")&amp;"$"&amp;TEXT(ABS(ABS(F85)),"#,##0.000")&amp;"bn"&amp;"（FY28 模型 "&amp;IF(損益!D9&lt;0,"−","")&amp;"$"&amp;TEXT(ABS(損益!D9),"#,##0.000")&amp;"bn"&amp;"，共識合計 "&amp;IF(F84&lt;0,"−","")&amp;"$"&amp;TEXT(ABS(F84),"#,##0.000")&amp;"bn"&amp;"）；分配 "&amp;IF(F86&lt;0,"−","+")&amp;IF(ABS(F86)&lt;0,"−","")&amp;"$"&amp;TEXT(ABS(ABS(F86)),"#,##0.000")&amp;"bn"&amp;"；"&amp;"OCI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"&amp;IF(F44&lt;0,"−","+")&amp;TEXT(ABS(F44)*100,"#,##0.0")&amp;"%"&amp;"：觀點（"&amp;"OCI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G90" s="42" t="str">
        <f aca="false">IF(ISNUMBER(G44),IF(ABS(G44)&gt;輸入與假設!$C$333,IF(ISNUMBER(G85),IF(ABS(G86)&gt;ABS(G85),"營收 vs 共識 "&amp;IF(G44&lt;0,"−","+")&amp;TEXT(ABS(G44)*100,"#,##0.0")&amp;"%"&amp;"：拆法（分配 "&amp;IF(G86&lt;0,"−","+")&amp;IF(ABS(G86)&lt;0,"−","")&amp;"$"&amp;TEXT(ABS(ABS(G86)),"#,##0.000")&amp;"bn"&amp;"（Q2 FY28 占 FY28 "&amp;TEXT((G22/損益!D9)*100,"#,##0.0")&amp;"%"&amp;"，共識合計 "&amp;TEXT(((G34)/G84)*100,"#,##0.0")&amp;"%"&amp;"）；水準 "&amp;IF(G85&lt;0,"−","+")&amp;IF(ABS(G85)&lt;0,"−","")&amp;"$"&amp;TEXT(ABS(ABS(G85)),"#,##0.000")&amp;"bn"&amp;"）","營收 vs 共識 "&amp;IF(G44&lt;0,"−","+")&amp;TEXT(ABS(G44)*100,"#,##0.0")&amp;"%"&amp;"：觀點（水準 "&amp;IF(G85&lt;0,"−","+")&amp;IF(ABS(G85)&lt;0,"−","")&amp;"$"&amp;TEXT(ABS(ABS(G85)),"#,##0.000")&amp;"bn"&amp;"（FY28 模型 "&amp;IF(損益!D9&lt;0,"−","")&amp;"$"&amp;TEXT(ABS(損益!D9),"#,##0.000")&amp;"bn"&amp;"，共識合計 "&amp;IF(G84&lt;0,"−","")&amp;"$"&amp;TEXT(ABS(G84),"#,##0.000")&amp;"bn"&amp;"）；分配 "&amp;IF(G86&lt;0,"−","+")&amp;IF(ABS(G86)&lt;0,"−","")&amp;"$"&amp;TEXT(ABS(ABS(G86)),"#,##0.000")&amp;"bn"&amp;"；"&amp;"OCI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"&amp;IF(G44&lt;0,"−","+")&amp;TEXT(ABS(G44)*100,"#,##0.0")&amp;"%"&amp;"：觀點（"&amp;"OCI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H90" s="42" t="str">
        <f aca="false">IF(ISNUMBER(H44),IF(ABS(H44)&gt;輸入與假設!$C$333,IF(ISNUMBER(H85),IF(ABS(H86)&gt;ABS(H85),"營收 vs 共識 "&amp;IF(H44&lt;0,"−","+")&amp;TEXT(ABS(H44)*100,"#,##0.0")&amp;"%"&amp;"：拆法（分配 "&amp;IF(H86&lt;0,"−","+")&amp;IF(ABS(H86)&lt;0,"−","")&amp;"$"&amp;TEXT(ABS(ABS(H86)),"#,##0.000")&amp;"bn"&amp;"（Q3 FY28 占 FY28 "&amp;TEXT((H22/損益!D9)*100,"#,##0.0")&amp;"%"&amp;"，共識合計 "&amp;TEXT(((H34)/H84)*100,"#,##0.0")&amp;"%"&amp;"）；水準 "&amp;IF(H85&lt;0,"−","+")&amp;IF(ABS(H85)&lt;0,"−","")&amp;"$"&amp;TEXT(ABS(ABS(H85)),"#,##0.000")&amp;"bn"&amp;"）","營收 vs 共識 "&amp;IF(H44&lt;0,"−","+")&amp;TEXT(ABS(H44)*100,"#,##0.0")&amp;"%"&amp;"：觀點（水準 "&amp;IF(H85&lt;0,"−","+")&amp;IF(ABS(H85)&lt;0,"−","")&amp;"$"&amp;TEXT(ABS(ABS(H85)),"#,##0.000")&amp;"bn"&amp;"（FY28 模型 "&amp;IF(損益!D9&lt;0,"−","")&amp;"$"&amp;TEXT(ABS(損益!D9),"#,##0.000")&amp;"bn"&amp;"，共識合計 "&amp;IF(H84&lt;0,"−","")&amp;"$"&amp;TEXT(ABS(H84),"#,##0.000")&amp;"bn"&amp;"）；分配 "&amp;IF(H86&lt;0,"−","+")&amp;IF(ABS(H86)&lt;0,"−","")&amp;"$"&amp;TEXT(ABS(ABS(H86)),"#,##0.000")&amp;"bn"&amp;"；"&amp;"OCI 營收＝在役 MW × 每 MW 年收入（Tokenomics 正向推導），期初可計費 MW 以 Q1 實際 OCI 年化校準；傳統事業四線依近四季年增率；共識未揭露 MW 與單價假設"&amp;"）"),"營收 vs 共識 "&amp;IF(H44&lt;0,"−","+")&amp;TEXT(ABS(H44)*100,"#,##0.0")&amp;"%"&amp;"：觀點（"&amp;"OCI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</row>
    <row r="91" customFormat="false" ht="15" hidden="true" customHeight="false" outlineLevel="1" collapsed="false">
      <c r="A91" s="3" t="s">
        <v>1019</v>
      </c>
      <c r="C91" s="42" t="str">
        <f aca="false">IF(ISNUMBER(C44),IF(ABS(C44)&gt;輸入與假設!$C$333,IF(ISNUMBER(C85),IF(ABS(C86)&gt;ABS(C85),"拆法","觀點"),"觀點"),""),"")</f>
        <v/>
      </c>
      <c r="D91" s="42" t="str">
        <f aca="false">IF(ISNUMBER(D44),IF(ABS(D44)&gt;輸入與假設!$C$333,IF(ISNUMBER(D85),IF(ABS(D86)&gt;ABS(D85),"拆法","觀點"),"觀點"),""),"")</f>
        <v/>
      </c>
      <c r="E91" s="42" t="str">
        <f aca="false">IF(ISNUMBER(E44),IF(ABS(E44)&gt;輸入與假設!$C$333,IF(ISNUMBER(E85),IF(ABS(E86)&gt;ABS(E85),"拆法","觀點"),"觀點"),""),"")</f>
        <v/>
      </c>
      <c r="F91" s="42" t="str">
        <f aca="false">IF(ISNUMBER(F44),IF(ABS(F44)&gt;輸入與假設!$C$333,IF(ISNUMBER(F85),IF(ABS(F86)&gt;ABS(F85),"拆法","觀點"),"觀點"),""),"")</f>
        <v/>
      </c>
      <c r="G91" s="42" t="str">
        <f aca="false">IF(ISNUMBER(G44),IF(ABS(G44)&gt;輸入與假設!$C$333,IF(ISNUMBER(G85),IF(ABS(G86)&gt;ABS(G85),"拆法","觀點"),"觀點"),""),"")</f>
        <v/>
      </c>
      <c r="H91" s="42" t="str">
        <f aca="false">IF(ISNUMBER(H44),IF(ABS(H44)&gt;輸入與假設!$C$333,IF(ISNUMBER(H85),IF(ABS(H86)&gt;ABS(H85),"拆法","觀點"),"觀點"),""),"")</f>
        <v/>
      </c>
    </row>
    <row r="92" customFormat="false" ht="15" hidden="true" customHeight="false" outlineLevel="1" collapsed="false">
      <c r="A92" s="3" t="s">
        <v>1020</v>
      </c>
      <c r="C92" s="42" t="str">
        <f aca="false">IF(ISNUMBER(C45),IF(OR(ABS(C45)&gt;輸入與假設!$C$333,C22&gt;C32,C22&lt;C31),IF(ISNUMBER(C88),IF(ABS(C89)&gt;ABS(C88),"營收 vs 指引中點 "&amp;IF(C45&lt;0,"−","+")&amp;TEXT(ABS(C45)*100,"#,##0.0")&amp;"%"&amp;"：拆法（分配 "&amp;IF(C89&lt;0,"−","+")&amp;IF(ABS(C89)&lt;0,"−","")&amp;"$"&amp;TEXT(ABS(ABS(C89)),"#,##0.000")&amp;"bn"&amp;"（Q2 FY27 占 2Q–4Q27 "&amp;TEXT((C22/損益!C9)*100,"#,##0.0")&amp;"%"&amp;"，指引隱含 "&amp;TEXT(((((C31+C32)/2))/C87)*100,"#,##0.0")&amp;"%"&amp;"）；水準 "&amp;IF(C88&lt;0,"−","+")&amp;IF(ABS(C88)&lt;0,"−","")&amp;"$"&amp;TEXT(ABS(ABS(C88)),"#,##0.000")&amp;"bn"&amp;"）","營收 vs 指引中點 "&amp;IF(C45&lt;0,"−","+")&amp;TEXT(ABS(C45)*100,"#,##0.0")&amp;"%"&amp;"：觀點（水準 "&amp;IF(C88&lt;0,"−","+")&amp;IF(ABS(C88)&lt;0,"−","")&amp;"$"&amp;TEXT(ABS(ABS(C88)),"#,##0.000")&amp;"bn"&amp;"（2Q–4Q27 模型 "&amp;IF(損益!C9&lt;0,"−","")&amp;"$"&amp;TEXT(ABS(損益!C9),"#,##0.000")&amp;"bn"&amp;"，指引隱含 "&amp;IF(C87&lt;0,"−","")&amp;"$"&amp;TEXT(ABS(C87),"#,##0.000")&amp;"bn"&amp;"）；分配 "&amp;IF(C89&lt;0,"−","+")&amp;IF(ABS(C89)&lt;0,"−","")&amp;"$"&amp;TEXT(ABS(ABS(C89)),"#,##0.000")&amp;"bn"&amp;"；"&amp;"OCI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"&amp;IF(C45&lt;0,"−","+")&amp;TEXT(ABS(C45)*100,"#,##0.0")&amp;"%"&amp;"：觀點（"&amp;"OCI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>營收 vs 指引中點 +1.8%：觀點（水準 +$0.218bn（2Q–4Q27 模型 $71.382bn，指引隱含 $70.655bn）；分配 +$0.155bn；OCI 營收＝在役 MW × 每 MW 年收入（Tokenomics 正向推導），期初可計費 MW 以 Q1 實際 OCI 年化校準；傳統事業四線依近四季年增率；共識未揭露 MW 與單價假設）</v>
      </c>
      <c r="D92" s="42" t="str">
        <f aca="false">IF(ISNUMBER(D45),IF(OR(ABS(D45)&gt;輸入與假設!$C$333,D22&gt;D32,D22&lt;D31),IF(ISNUMBER(D88),IF(ABS(D89)&gt;ABS(D88),"營收 vs 指引中點 "&amp;IF(D45&lt;0,"−","+")&amp;TEXT(ABS(D45)*100,"#,##0.0")&amp;"%"&amp;"：拆法（分配 "&amp;IF(D89&lt;0,"−","+")&amp;IF(ABS(D89)&lt;0,"−","")&amp;"$"&amp;TEXT(ABS(ABS(D89)),"#,##0.000")&amp;"bn"&amp;"（Q3 FY27 占 2Q–4Q27 "&amp;TEXT((D22/損益!C9)*100,"#,##0.0")&amp;"%"&amp;"，指引隱含 "&amp;TEXT(((((D31+D32)/2))/D87)*100,"#,##0.0")&amp;"%"&amp;"）；水準 "&amp;IF(D88&lt;0,"−","+")&amp;IF(ABS(D88)&lt;0,"−","")&amp;"$"&amp;TEXT(ABS(ABS(D88)),"#,##0.000")&amp;"bn"&amp;"）","營收 vs 指引中點 "&amp;IF(D45&lt;0,"−","+")&amp;TEXT(ABS(D45)*100,"#,##0.0")&amp;"%"&amp;"：觀點（水準 "&amp;IF(D88&lt;0,"−","+")&amp;IF(ABS(D88)&lt;0,"−","")&amp;"$"&amp;TEXT(ABS(ABS(D88)),"#,##0.000")&amp;"bn"&amp;"（2Q–4Q27 模型 "&amp;IF(損益!C9&lt;0,"−","")&amp;"$"&amp;TEXT(ABS(損益!C9),"#,##0.000")&amp;"bn"&amp;"，指引隱含 "&amp;IF(D87&lt;0,"−","")&amp;"$"&amp;TEXT(ABS(D87),"#,##0.000")&amp;"bn"&amp;"）；分配 "&amp;IF(D89&lt;0,"−","+")&amp;IF(ABS(D89)&lt;0,"−","")&amp;"$"&amp;TEXT(ABS(ABS(D89)),"#,##0.000")&amp;"bn"&amp;"；"&amp;"OCI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"&amp;IF(D45&lt;0,"−","+")&amp;TEXT(ABS(D45)*100,"#,##0.0")&amp;"%"&amp;"：觀點（"&amp;"OCI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E92" s="42" t="str">
        <f aca="false">IF(ISNUMBER(E45),IF(OR(ABS(E45)&gt;輸入與假設!$C$333,E22&gt;E32,E22&lt;E31),IF(ISNUMBER(E88),IF(ABS(E89)&gt;ABS(E88),"營收 vs 指引中點 "&amp;IF(E45&lt;0,"−","+")&amp;TEXT(ABS(E45)*100,"#,##0.0")&amp;"%"&amp;"：拆法（分配 "&amp;IF(E89&lt;0,"−","+")&amp;IF(ABS(E89)&lt;0,"−","")&amp;"$"&amp;TEXT(ABS(ABS(E89)),"#,##0.000")&amp;"bn"&amp;"（Q4 FY27 占 2Q–4Q27 "&amp;TEXT((E22/損益!C9)*100,"#,##0.0")&amp;"%"&amp;"，指引隱含 "&amp;TEXT(((((E31+E32)/2))/E87)*100,"#,##0.0")&amp;"%"&amp;"）；水準 "&amp;IF(E88&lt;0,"−","+")&amp;IF(ABS(E88)&lt;0,"−","")&amp;"$"&amp;TEXT(ABS(ABS(E88)),"#,##0.000")&amp;"bn"&amp;"）","營收 vs 指引中點 "&amp;IF(E45&lt;0,"−","+")&amp;TEXT(ABS(E45)*100,"#,##0.0")&amp;"%"&amp;"：觀點（水準 "&amp;IF(E88&lt;0,"−","+")&amp;IF(ABS(E88)&lt;0,"−","")&amp;"$"&amp;TEXT(ABS(ABS(E88)),"#,##0.000")&amp;"bn"&amp;"（2Q–4Q27 模型 "&amp;IF(損益!C9&lt;0,"−","")&amp;"$"&amp;TEXT(ABS(損益!C9),"#,##0.000")&amp;"bn"&amp;"，指引隱含 "&amp;IF(E87&lt;0,"−","")&amp;"$"&amp;TEXT(ABS(E87),"#,##0.000")&amp;"bn"&amp;"）；分配 "&amp;IF(E89&lt;0,"−","+")&amp;IF(ABS(E89)&lt;0,"−","")&amp;"$"&amp;TEXT(ABS(ABS(E89)),"#,##0.000")&amp;"bn"&amp;"；"&amp;"OCI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"&amp;IF(E45&lt;0,"−","+")&amp;TEXT(ABS(E45)*100,"#,##0.0")&amp;"%"&amp;"：觀點（"&amp;"OCI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F92" s="42" t="str">
        <f aca="false">IF(ISNUMBER(F45),IF(OR(ABS(F45)&gt;輸入與假設!$C$333,F22&gt;F32,F22&lt;F31),IF(ISNUMBER(F88),IF(ABS(F89)&gt;ABS(F88),"營收 vs 指引中點 "&amp;IF(F45&lt;0,"−","+")&amp;TEXT(ABS(F45)*100,"#,##0.0")&amp;"%"&amp;"：拆法（分配 "&amp;IF(F89&lt;0,"−","+")&amp;IF(ABS(F89)&lt;0,"−","")&amp;"$"&amp;TEXT(ABS(ABS(F89)),"#,##0.000")&amp;"bn"&amp;"（Q1 FY28 占 FY28 "&amp;TEXT((F22/損益!D9)*100,"#,##0.0")&amp;"%"&amp;"，指引隱含 "&amp;TEXT(((((F31+F32)/2))/F87)*100,"#,##0.0")&amp;"%"&amp;"）；水準 "&amp;IF(F88&lt;0,"−","+")&amp;IF(ABS(F88)&lt;0,"−","")&amp;"$"&amp;TEXT(ABS(ABS(F88)),"#,##0.000")&amp;"bn"&amp;"）","營收 vs 指引中點 "&amp;IF(F45&lt;0,"−","+")&amp;TEXT(ABS(F45)*100,"#,##0.0")&amp;"%"&amp;"：觀點（水準 "&amp;IF(F88&lt;0,"−","+")&amp;IF(ABS(F88)&lt;0,"−","")&amp;"$"&amp;TEXT(ABS(ABS(F88)),"#,##0.000")&amp;"bn"&amp;"（FY28 模型 "&amp;IF(損益!D9&lt;0,"−","")&amp;"$"&amp;TEXT(ABS(損益!D9),"#,##0.000")&amp;"bn"&amp;"，指引隱含 "&amp;IF(F87&lt;0,"−","")&amp;"$"&amp;TEXT(ABS(F87),"#,##0.000")&amp;"bn"&amp;"）；分配 "&amp;IF(F89&lt;0,"−","+")&amp;IF(ABS(F89)&lt;0,"−","")&amp;"$"&amp;TEXT(ABS(ABS(F89)),"#,##0.000")&amp;"bn"&amp;"；"&amp;"OCI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"&amp;IF(F45&lt;0,"−","+")&amp;TEXT(ABS(F45)*100,"#,##0.0")&amp;"%"&amp;"：觀點（"&amp;"OCI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G92" s="42" t="str">
        <f aca="false">IF(ISNUMBER(G45),IF(OR(ABS(G45)&gt;輸入與假設!$C$333,G22&gt;G32,G22&lt;G31),IF(ISNUMBER(G88),IF(ABS(G89)&gt;ABS(G88),"營收 vs 指引中點 "&amp;IF(G45&lt;0,"−","+")&amp;TEXT(ABS(G45)*100,"#,##0.0")&amp;"%"&amp;"：拆法（分配 "&amp;IF(G89&lt;0,"−","+")&amp;IF(ABS(G89)&lt;0,"−","")&amp;"$"&amp;TEXT(ABS(ABS(G89)),"#,##0.000")&amp;"bn"&amp;"（Q2 FY28 占 FY28 "&amp;TEXT((G22/損益!D9)*100,"#,##0.0")&amp;"%"&amp;"，指引隱含 "&amp;TEXT(((((G31+G32)/2))/G87)*100,"#,##0.0")&amp;"%"&amp;"）；水準 "&amp;IF(G88&lt;0,"−","+")&amp;IF(ABS(G88)&lt;0,"−","")&amp;"$"&amp;TEXT(ABS(ABS(G88)),"#,##0.000")&amp;"bn"&amp;"）","營收 vs 指引中點 "&amp;IF(G45&lt;0,"−","+")&amp;TEXT(ABS(G45)*100,"#,##0.0")&amp;"%"&amp;"：觀點（水準 "&amp;IF(G88&lt;0,"−","+")&amp;IF(ABS(G88)&lt;0,"−","")&amp;"$"&amp;TEXT(ABS(ABS(G88)),"#,##0.000")&amp;"bn"&amp;"（FY28 模型 "&amp;IF(損益!D9&lt;0,"−","")&amp;"$"&amp;TEXT(ABS(損益!D9),"#,##0.000")&amp;"bn"&amp;"，指引隱含 "&amp;IF(G87&lt;0,"−","")&amp;"$"&amp;TEXT(ABS(G87),"#,##0.000")&amp;"bn"&amp;"）；分配 "&amp;IF(G89&lt;0,"−","+")&amp;IF(ABS(G89)&lt;0,"−","")&amp;"$"&amp;TEXT(ABS(ABS(G89)),"#,##0.000")&amp;"bn"&amp;"；"&amp;"OCI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"&amp;IF(G45&lt;0,"−","+")&amp;TEXT(ABS(G45)*100,"#,##0.0")&amp;"%"&amp;"：觀點（"&amp;"OCI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  <c r="H92" s="42" t="str">
        <f aca="false">IF(ISNUMBER(H45),IF(OR(ABS(H45)&gt;輸入與假設!$C$333,H22&gt;H32,H22&lt;H31),IF(ISNUMBER(H88),IF(ABS(H89)&gt;ABS(H88),"營收 vs 指引中點 "&amp;IF(H45&lt;0,"−","+")&amp;TEXT(ABS(H45)*100,"#,##0.0")&amp;"%"&amp;"：拆法（分配 "&amp;IF(H89&lt;0,"−","+")&amp;IF(ABS(H89)&lt;0,"−","")&amp;"$"&amp;TEXT(ABS(ABS(H89)),"#,##0.000")&amp;"bn"&amp;"（Q3 FY28 占 FY28 "&amp;TEXT((H22/損益!D9)*100,"#,##0.0")&amp;"%"&amp;"，指引隱含 "&amp;TEXT(((((H31+H32)/2))/H87)*100,"#,##0.0")&amp;"%"&amp;"）；水準 "&amp;IF(H88&lt;0,"−","+")&amp;IF(ABS(H88)&lt;0,"−","")&amp;"$"&amp;TEXT(ABS(ABS(H88)),"#,##0.000")&amp;"bn"&amp;"）","營收 vs 指引中點 "&amp;IF(H45&lt;0,"−","+")&amp;TEXT(ABS(H45)*100,"#,##0.0")&amp;"%"&amp;"：觀點（水準 "&amp;IF(H88&lt;0,"−","+")&amp;IF(ABS(H88)&lt;0,"−","")&amp;"$"&amp;TEXT(ABS(ABS(H88)),"#,##0.000")&amp;"bn"&amp;"（FY28 模型 "&amp;IF(損益!D9&lt;0,"−","")&amp;"$"&amp;TEXT(ABS(損益!D9),"#,##0.000")&amp;"bn"&amp;"，指引隱含 "&amp;IF(H87&lt;0,"−","")&amp;"$"&amp;TEXT(ABS(H87),"#,##0.000")&amp;"bn"&amp;"）；分配 "&amp;IF(H89&lt;0,"−","+")&amp;IF(ABS(H89)&lt;0,"−","")&amp;"$"&amp;TEXT(ABS(ABS(H89)),"#,##0.000")&amp;"bn"&amp;"；"&amp;"OCI 營收＝在役 MW × 每 MW 年收入（Tokenomics 正向推導），期初可計費 MW 以 Q1 實際 OCI 年化校準；傳統事業四線依近四季年增率；共識未揭露 MW 與單價假設"&amp;"）"),"營收 vs 指引中點 "&amp;IF(H45&lt;0,"−","+")&amp;TEXT(ABS(H45)*100,"#,##0.0")&amp;"%"&amp;"：觀點（"&amp;"OCI 營收＝在役 MW × 每 MW 年收入（Tokenomics 正向推導），期初可計費 MW 以 Q1 實際 OCI 年化校準；傳統事業四線依近四季年增率；共識未揭露 MW 與單價假設"&amp;"）"),""),"")</f>
        <v/>
      </c>
    </row>
    <row r="93" customFormat="false" ht="15" hidden="true" customHeight="false" outlineLevel="1" collapsed="false">
      <c r="A93" s="3" t="s">
        <v>1021</v>
      </c>
      <c r="C93" s="42" t="str">
        <f aca="false">IF(ISNUMBER(C45),IF(OR(ABS(C45)&gt;輸入與假設!$C$333,C22&gt;C32,C22&lt;C31),IF(ISNUMBER(C88),IF(ABS(C89)&gt;ABS(C88),"拆法","觀點"),"觀點"),""),"")</f>
        <v>觀點</v>
      </c>
      <c r="D93" s="42" t="str">
        <f aca="false">IF(ISNUMBER(D45),IF(OR(ABS(D45)&gt;輸入與假設!$C$333,D22&gt;D32,D22&lt;D31),IF(ISNUMBER(D88),IF(ABS(D89)&gt;ABS(D88),"拆法","觀點"),"觀點"),""),"")</f>
        <v/>
      </c>
      <c r="E93" s="42" t="str">
        <f aca="false">IF(ISNUMBER(E45),IF(OR(ABS(E45)&gt;輸入與假設!$C$333,E22&gt;E32,E22&lt;E31),IF(ISNUMBER(E88),IF(ABS(E89)&gt;ABS(E88),"拆法","觀點"),"觀點"),""),"")</f>
        <v/>
      </c>
      <c r="F93" s="42" t="str">
        <f aca="false">IF(ISNUMBER(F45),IF(OR(ABS(F45)&gt;輸入與假設!$C$333,F22&gt;F32,F22&lt;F31),IF(ISNUMBER(F88),IF(ABS(F89)&gt;ABS(F88),"拆法","觀點"),"觀點"),""),"")</f>
        <v/>
      </c>
      <c r="G93" s="42" t="str">
        <f aca="false">IF(ISNUMBER(G45),IF(OR(ABS(G45)&gt;輸入與假設!$C$333,G22&gt;G32,G22&lt;G31),IF(ISNUMBER(G88),IF(ABS(G89)&gt;ABS(G88),"拆法","觀點"),"觀點"),""),"")</f>
        <v/>
      </c>
      <c r="H93" s="42" t="str">
        <f aca="false">IF(ISNUMBER(H45),IF(OR(ABS(H45)&gt;輸入與假設!$C$333,H22&gt;H32,H22&lt;H31),IF(ISNUMBER(H88),IF(ABS(H89)&gt;ABS(H88),"拆法","觀點"),"觀點"),""),"")</f>
        <v/>
      </c>
    </row>
    <row r="94" customFormat="false" ht="15" hidden="true" customHeight="false" outlineLevel="1" collapsed="false">
      <c r="A94" s="3" t="s">
        <v>1022</v>
      </c>
      <c r="C94" s="42" t="str">
        <f aca="false">IF(ISNUMBER(C46),IF(ABS(C46)&gt;輸入與假設!$C$333,"營收 實際 vs 模型 "&amp;IF(C46&lt;0,"−","+")&amp;TEXT(ABS(C46)*100,"#,##0.0")&amp;"%"&amp;"：觀點（"&amp;"OCI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D94" s="42" t="str">
        <f aca="false">IF(ISNUMBER(D46),IF(ABS(D46)&gt;輸入與假設!$C$333,"營收 實際 vs 模型 "&amp;IF(D46&lt;0,"−","+")&amp;TEXT(ABS(D46)*100,"#,##0.0")&amp;"%"&amp;"：觀點（"&amp;"OCI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E94" s="42" t="str">
        <f aca="false">IF(ISNUMBER(E46),IF(ABS(E46)&gt;輸入與假設!$C$333,"營收 實際 vs 模型 "&amp;IF(E46&lt;0,"−","+")&amp;TEXT(ABS(E46)*100,"#,##0.0")&amp;"%"&amp;"：觀點（"&amp;"OCI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F94" s="42" t="str">
        <f aca="false">IF(ISNUMBER(F46),IF(ABS(F46)&gt;輸入與假設!$C$333,"營收 實際 vs 模型 "&amp;IF(F46&lt;0,"−","+")&amp;TEXT(ABS(F46)*100,"#,##0.0")&amp;"%"&amp;"：觀點（"&amp;"OCI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G94" s="42" t="str">
        <f aca="false">IF(ISNUMBER(G46),IF(ABS(G46)&gt;輸入與假設!$C$333,"營收 實際 vs 模型 "&amp;IF(G46&lt;0,"−","+")&amp;TEXT(ABS(G46)*100,"#,##0.0")&amp;"%"&amp;"：觀點（"&amp;"OCI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  <c r="H94" s="42" t="str">
        <f aca="false">IF(ISNUMBER(H46),IF(ABS(H46)&gt;輸入與假設!$C$333,"營收 實際 vs 模型 "&amp;IF(H46&lt;0,"−","+")&amp;TEXT(ABS(H46)*100,"#,##0.0")&amp;"%"&amp;"：觀點（"&amp;"OCI 營收＝在役 MW × 每 MW 年收入（Tokenomics 正向推導），期初可計費 MW 以 Q1 實際 OCI 年化校準；傳統事業四線依近四季年增率；共識未揭露 MW 與單價假設"&amp;"）",""),"")</f>
        <v/>
      </c>
    </row>
    <row r="95" customFormat="false" ht="15" hidden="true" customHeight="false" outlineLevel="1" collapsed="false">
      <c r="A95" s="3" t="s">
        <v>1023</v>
      </c>
      <c r="C95" s="42" t="str">
        <f aca="false">IF(ISNUMBER(C46),IF(ABS(C46)&gt;輸入與假設!$C$333,"觀點",""),"")</f>
        <v/>
      </c>
      <c r="D95" s="42" t="str">
        <f aca="false">IF(ISNUMBER(D46),IF(ABS(D46)&gt;輸入與假設!$C$333,"觀點",""),"")</f>
        <v/>
      </c>
      <c r="E95" s="42" t="str">
        <f aca="false">IF(ISNUMBER(E46),IF(ABS(E46)&gt;輸入與假設!$C$333,"觀點",""),"")</f>
        <v/>
      </c>
      <c r="F95" s="42" t="str">
        <f aca="false">IF(ISNUMBER(F46),IF(ABS(F46)&gt;輸入與假設!$C$333,"觀點",""),"")</f>
        <v/>
      </c>
      <c r="G95" s="42" t="str">
        <f aca="false">IF(ISNUMBER(G46),IF(ABS(G46)&gt;輸入與假設!$C$333,"觀點",""),"")</f>
        <v/>
      </c>
      <c r="H95" s="42" t="str">
        <f aca="false">IF(ISNUMBER(H46),IF(ABS(H46)&gt;輸入與假設!$C$333,"觀點",""),"")</f>
        <v/>
      </c>
    </row>
    <row r="96" customFormat="false" ht="15" hidden="true" customHeight="false" outlineLevel="1" collapsed="false">
      <c r="A96" s="3" t="s">
        <v>1024</v>
      </c>
      <c r="B96" s="11" t="s">
        <v>57</v>
      </c>
      <c r="C96" s="62" t="str">
        <f aca="false">IF(COUNT(C35,D35,E35)=3,C35+D35+E35,"不適用")</f>
        <v>不適用</v>
      </c>
      <c r="D96" s="62" t="str">
        <f aca="false">IF(COUNT(C35,D35,E35)=3,C35+D35+E35,"不適用")</f>
        <v>不適用</v>
      </c>
      <c r="E96" s="62" t="str">
        <f aca="false">IF(COUNT(C35,D35,E35)=3,C35+D35+E35,"不適用")</f>
        <v>不適用</v>
      </c>
      <c r="F96" s="62" t="str">
        <f aca="false">IF(COUNT(F35,G35,H35)=3,F35+G35+H35,"不適用")</f>
        <v>不適用</v>
      </c>
      <c r="G96" s="62" t="str">
        <f aca="false">IF(COUNT(F35,G35,H35)=3,F35+G35+H35,"不適用")</f>
        <v>不適用</v>
      </c>
      <c r="H96" s="62" t="str">
        <f aca="false">IF(COUNT(F35,G35,H35)=3,F35+G35+H35,"不適用")</f>
        <v>不適用</v>
      </c>
      <c r="J96" s="6" t="s">
        <v>1009</v>
      </c>
    </row>
    <row r="97" customFormat="false" ht="15" hidden="true" customHeight="false" outlineLevel="1" collapsed="false">
      <c r="A97" s="3" t="s">
        <v>1025</v>
      </c>
      <c r="B97" s="11" t="s">
        <v>57</v>
      </c>
      <c r="C97" s="62" t="str">
        <f aca="false">IF(AND(ISNUMBER(C96),C96&lt;&gt;0,ISNUMBER(C35),ISNUMBER(C28)),(損益!C21-C96)*(C35)/C96,"不適用")</f>
        <v>不適用</v>
      </c>
      <c r="D97" s="62" t="str">
        <f aca="false">IF(AND(ISNUMBER(D96),D96&lt;&gt;0,ISNUMBER(D35),ISNUMBER(D28)),(損益!C21-D96)*(D35)/D96,"不適用")</f>
        <v>不適用</v>
      </c>
      <c r="E97" s="62" t="str">
        <f aca="false">IF(AND(ISNUMBER(E96),E96&lt;&gt;0,ISNUMBER(E35),ISNUMBER(E28)),(損益!C21-E96)*(E35)/E96,"不適用")</f>
        <v>不適用</v>
      </c>
      <c r="F97" s="62" t="str">
        <f aca="false">IF(AND(ISNUMBER(F96),F96&lt;&gt;0,ISNUMBER(F35),ISNUMBER(F28)),(損益!D21-F96)*(F35)/F96,"不適用")</f>
        <v>不適用</v>
      </c>
      <c r="G97" s="62" t="str">
        <f aca="false">IF(AND(ISNUMBER(G96),G96&lt;&gt;0,ISNUMBER(G35),ISNUMBER(G28)),(損益!D21-G96)*(G35)/G96,"不適用")</f>
        <v>不適用</v>
      </c>
      <c r="H97" s="62" t="str">
        <f aca="false">IF(AND(ISNUMBER(H96),H96&lt;&gt;0,ISNUMBER(H35),ISNUMBER(H28)),(損益!D21-H96)*(H35)/H96,"不適用")</f>
        <v>不適用</v>
      </c>
      <c r="J97" s="11" t="s">
        <v>1011</v>
      </c>
    </row>
    <row r="98" customFormat="false" ht="15" hidden="true" customHeight="false" outlineLevel="1" collapsed="false">
      <c r="A98" s="3" t="s">
        <v>1026</v>
      </c>
      <c r="B98" s="11" t="s">
        <v>57</v>
      </c>
      <c r="C98" s="62" t="str">
        <f aca="false">IF(AND(ISNUMBER(C96),C96&lt;&gt;0,ISNUMBER(C35),ISNUMBER(C28)),(C28/損益!C21-(C35)/C96)*損益!C21,"不適用")</f>
        <v>不適用</v>
      </c>
      <c r="D98" s="62" t="str">
        <f aca="false">IF(AND(ISNUMBER(D96),D96&lt;&gt;0,ISNUMBER(D35),ISNUMBER(D28)),(D28/損益!C21-(D35)/D96)*損益!C21,"不適用")</f>
        <v>不適用</v>
      </c>
      <c r="E98" s="62" t="str">
        <f aca="false">IF(AND(ISNUMBER(E96),E96&lt;&gt;0,ISNUMBER(E35),ISNUMBER(E28)),(E28/損益!C21-(E35)/E96)*損益!C21,"不適用")</f>
        <v>不適用</v>
      </c>
      <c r="F98" s="62" t="str">
        <f aca="false">IF(AND(ISNUMBER(F96),F96&lt;&gt;0,ISNUMBER(F35),ISNUMBER(F28)),(F28/損益!D21-(F35)/F96)*損益!D21,"不適用")</f>
        <v>不適用</v>
      </c>
      <c r="G98" s="62" t="str">
        <f aca="false">IF(AND(ISNUMBER(G96),G96&lt;&gt;0,ISNUMBER(G35),ISNUMBER(G28)),(G28/損益!D21-(G35)/G96)*損益!D21,"不適用")</f>
        <v>不適用</v>
      </c>
      <c r="H98" s="62" t="str">
        <f aca="false">IF(AND(ISNUMBER(H96),H96&lt;&gt;0,ISNUMBER(H35),ISNUMBER(H28)),(H28/損益!D21-(H35)/H96)*損益!D21,"不適用")</f>
        <v>不適用</v>
      </c>
      <c r="J98" s="11" t="s">
        <v>1013</v>
      </c>
    </row>
    <row r="99" customFormat="false" ht="15" hidden="true" customHeight="false" outlineLevel="1" collapsed="false">
      <c r="A99" s="3" t="s">
        <v>1027</v>
      </c>
      <c r="C99" s="42" t="str">
        <f aca="false">IF(ISNUMBER(C49),IF(IF(ISNUMBER(C54),ABS(C54)&gt;輸入與假設!$C$334,OR(AND(C35&lt;&gt;0,ABS(C49)&gt;輸入與假設!$C$333*ABS(C35)),AND(C35=0,C49&lt;&gt;0))),IF(ISNUMBER(C97),IF(ABS(C98)&gt;ABS(C97),"調整後 EBITDA vs 共識 "&amp;IF(C49&lt;0,"−","+")&amp;IF(ABS(C49)&lt;0,"−","")&amp;"$"&amp;TEXT(ABS(ABS(C49)),"#,##0.00")&amp;"bn"&amp;IF(ISNUMBER(C54),"／"&amp;IF(C54&lt;0,"−","+")&amp;TEXT(ABS(C54)*100,"#,##0.0")&amp;"pt","")&amp;"：拆法（分配 "&amp;IF(C98&lt;0,"−","+")&amp;IF(ABS(C98)&lt;0,"−","")&amp;"$"&amp;TEXT(ABS(ABS(C98)),"#,##0.000")&amp;"bn"&amp;"（Q2 FY27 占 2Q–4Q27 "&amp;TEXT((C28/損益!C21)*100,"#,##0.0")&amp;"%"&amp;"，共識合計 "&amp;TEXT(((C35)/C96)*100,"#,##0.0")&amp;"%"&amp;"）；水準 "&amp;IF(C97&lt;0,"−","+")&amp;IF(ABS(C97)&lt;0,"−","")&amp;"$"&amp;TEXT(ABS(ABS(C97)),"#,##0.000")&amp;"bn"&amp;"）","調整後 EBITDA vs 共識 "&amp;IF(C49&lt;0,"−","+")&amp;IF(ABS(C49)&lt;0,"−","")&amp;"$"&amp;TEXT(ABS(ABS(C49)),"#,##0.00")&amp;"bn"&amp;IF(ISNUMBER(C54),"／"&amp;IF(C54&lt;0,"−","+")&amp;TEXT(ABS(C54)*100,"#,##0.0")&amp;"pt","")&amp;"：觀點（水準 "&amp;IF(C97&lt;0,"−","+")&amp;IF(ABS(C97)&lt;0,"−","")&amp;"$"&amp;TEXT(ABS(ABS(C97)),"#,##0.000")&amp;"bn"&amp;"（2Q–4Q27 模型 "&amp;IF(損益!C21&lt;0,"−","")&amp;"$"&amp;TEXT(ABS(損益!C21),"#,##0.000")&amp;"bn"&amp;"，共識合計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營業利益＋折舊）"&amp;"）"),"調整後 EBITDA vs 共識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營業利益＋折舊）"&amp;"）"),""),"")</f>
        <v/>
      </c>
      <c r="D99" s="42" t="str">
        <f aca="false">IF(ISNUMBER(D49),IF(IF(ISNUMBER(D54),ABS(D54)&gt;輸入與假設!$C$334,OR(AND(D35&lt;&gt;0,ABS(D49)&gt;輸入與假設!$C$333*ABS(D35)),AND(D35=0,D49&lt;&gt;0))),IF(ISNUMBER(D97),IF(ABS(D98)&gt;ABS(D97),"調整後 EBITDA vs 共識 "&amp;IF(D49&lt;0,"−","+")&amp;IF(ABS(D49)&lt;0,"−","")&amp;"$"&amp;TEXT(ABS(ABS(D49)),"#,##0.00")&amp;"bn"&amp;IF(ISNUMBER(D54),"／"&amp;IF(D54&lt;0,"−","+")&amp;TEXT(ABS(D54)*100,"#,##0.0")&amp;"pt","")&amp;"：拆法（分配 "&amp;IF(D98&lt;0,"−","+")&amp;IF(ABS(D98)&lt;0,"−","")&amp;"$"&amp;TEXT(ABS(ABS(D98)),"#,##0.000")&amp;"bn"&amp;"（Q3 FY27 占 2Q–4Q27 "&amp;TEXT((D28/損益!C21)*100,"#,##0.0")&amp;"%"&amp;"，共識合計 "&amp;TEXT(((D35)/D96)*100,"#,##0.0")&amp;"%"&amp;"）；水準 "&amp;IF(D97&lt;0,"−","+")&amp;IF(ABS(D97)&lt;0,"−","")&amp;"$"&amp;TEXT(ABS(ABS(D97)),"#,##0.000")&amp;"bn"&amp;"）","調整後 EBITDA vs 共識 "&amp;IF(D49&lt;0,"−","+")&amp;IF(ABS(D49)&lt;0,"−","")&amp;"$"&amp;TEXT(ABS(ABS(D49)),"#,##0.00")&amp;"bn"&amp;IF(ISNUMBER(D54),"／"&amp;IF(D54&lt;0,"−","+")&amp;TEXT(ABS(D54)*100,"#,##0.0")&amp;"pt","")&amp;"：觀點（水準 "&amp;IF(D97&lt;0,"−","+")&amp;IF(ABS(D97)&lt;0,"−","")&amp;"$"&amp;TEXT(ABS(ABS(D97)),"#,##0.000")&amp;"bn"&amp;"（2Q–4Q27 模型 "&amp;IF(損益!C21&lt;0,"−","")&amp;"$"&amp;TEXT(ABS(損益!C21),"#,##0.000")&amp;"bn"&amp;"，共識合計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營業利益＋折舊）"&amp;"）"),"調整後 EBITDA vs 共識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營業利益＋折舊）"&amp;"）"),""),"")</f>
        <v/>
      </c>
      <c r="E99" s="42" t="str">
        <f aca="false">IF(ISNUMBER(E49),IF(IF(ISNUMBER(E54),ABS(E54)&gt;輸入與假設!$C$334,OR(AND(E35&lt;&gt;0,ABS(E49)&gt;輸入與假設!$C$333*ABS(E35)),AND(E35=0,E49&lt;&gt;0))),IF(ISNUMBER(E97),IF(ABS(E98)&gt;ABS(E97),"調整後 EBITDA vs 共識 "&amp;IF(E49&lt;0,"−","+")&amp;IF(ABS(E49)&lt;0,"−","")&amp;"$"&amp;TEXT(ABS(ABS(E49)),"#,##0.00")&amp;"bn"&amp;IF(ISNUMBER(E54),"／"&amp;IF(E54&lt;0,"−","+")&amp;TEXT(ABS(E54)*100,"#,##0.0")&amp;"pt","")&amp;"：拆法（分配 "&amp;IF(E98&lt;0,"−","+")&amp;IF(ABS(E98)&lt;0,"−","")&amp;"$"&amp;TEXT(ABS(ABS(E98)),"#,##0.000")&amp;"bn"&amp;"（Q4 FY27 占 2Q–4Q27 "&amp;TEXT((E28/損益!C21)*100,"#,##0.0")&amp;"%"&amp;"，共識合計 "&amp;TEXT(((E35)/E96)*100,"#,##0.0")&amp;"%"&amp;"）；水準 "&amp;IF(E97&lt;0,"−","+")&amp;IF(ABS(E97)&lt;0,"−","")&amp;"$"&amp;TEXT(ABS(ABS(E97)),"#,##0.000")&amp;"bn"&amp;"）","調整後 EBITDA vs 共識 "&amp;IF(E49&lt;0,"−","+")&amp;IF(ABS(E49)&lt;0,"−","")&amp;"$"&amp;TEXT(ABS(ABS(E49)),"#,##0.00")&amp;"bn"&amp;IF(ISNUMBER(E54),"／"&amp;IF(E54&lt;0,"−","+")&amp;TEXT(ABS(E54)*100,"#,##0.0")&amp;"pt","")&amp;"：觀點（水準 "&amp;IF(E97&lt;0,"−","+")&amp;IF(ABS(E97)&lt;0,"−","")&amp;"$"&amp;TEXT(ABS(ABS(E97)),"#,##0.000")&amp;"bn"&amp;"（2Q–4Q27 模型 "&amp;IF(損益!C21&lt;0,"−","")&amp;"$"&amp;TEXT(ABS(損益!C21),"#,##0.000")&amp;"bn"&amp;"，共識合計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"&amp;IF((E27)&lt;0,"−","")&amp;TEXT(ABS((E27))*100,"#,##0.0")&amp;"%"&amp;"；季度共識 EBITDA "&amp;"不適用"&amp;"、營收 "&amp;"不適用"&amp;"（共識 EBITDA＝非 GAAP 營業利益＋折舊）"&amp;"）"),"調整後 EBITDA vs 共識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營業利益＋折舊）"&amp;"）"),""),"")</f>
        <v/>
      </c>
      <c r="F99" s="42" t="str">
        <f aca="false">IF(ISNUMBER(F49),IF(IF(ISNUMBER(F54),ABS(F54)&gt;輸入與假設!$C$334,OR(AND(F35&lt;&gt;0,ABS(F49)&gt;輸入與假設!$C$333*ABS(F35)),AND(F35=0,F49&lt;&gt;0))),IF(ISNUMBER(F97),IF(ABS(F98)&gt;ABS(F97),"調整後 EBITDA vs 共識 "&amp;IF(F49&lt;0,"−","+")&amp;IF(ABS(F49)&lt;0,"−","")&amp;"$"&amp;TEXT(ABS(ABS(F49)),"#,##0.00")&amp;"bn"&amp;IF(ISNUMBER(F54),"／"&amp;IF(F54&lt;0,"−","+")&amp;TEXT(ABS(F54)*100,"#,##0.0")&amp;"pt","")&amp;"：拆法（分配 "&amp;IF(F98&lt;0,"−","+")&amp;IF(ABS(F98)&lt;0,"−","")&amp;"$"&amp;TEXT(ABS(ABS(F98)),"#,##0.000")&amp;"bn"&amp;"（Q1 FY28 占 FY28 "&amp;TEXT((F28/損益!D21)*100,"#,##0.0")&amp;"%"&amp;"，共識合計 "&amp;TEXT(((F35)/F96)*100,"#,##0.0")&amp;"%"&amp;"）；水準 "&amp;IF(F97&lt;0,"−","+")&amp;IF(ABS(F97)&lt;0,"−","")&amp;"$"&amp;TEXT(ABS(ABS(F97)),"#,##0.000")&amp;"bn"&amp;"）","調整後 EBITDA vs 共識 "&amp;IF(F49&lt;0,"−","+")&amp;IF(ABS(F49)&lt;0,"−","")&amp;"$"&amp;TEXT(ABS(ABS(F49)),"#,##0.00")&amp;"bn"&amp;IF(ISNUMBER(F54),"／"&amp;IF(F54&lt;0,"−","+")&amp;TEXT(ABS(F54)*100,"#,##0.0")&amp;"pt","")&amp;"：觀點（水準 "&amp;IF(F97&lt;0,"−","+")&amp;IF(ABS(F97)&lt;0,"−","")&amp;"$"&amp;TEXT(ABS(ABS(F97)),"#,##0.000")&amp;"bn"&amp;"（FY28 模型 "&amp;IF(損益!D21&lt;0,"−","")&amp;"$"&amp;TEXT(ABS(損益!D21),"#,##0.000")&amp;"bn"&amp;"，共識合計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"&amp;IF((F27)&lt;0,"−","")&amp;TEXT(ABS((F27))*100,"#,##0.0")&amp;"%"&amp;"；季度共識 EBITDA "&amp;"不適用"&amp;"、營收 "&amp;"不適用"&amp;"（共識 EBITDA＝非 GAAP 營業利益＋折舊）"&amp;"）"),"調整後 EBITDA vs 共識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營業利益＋折舊）"&amp;"）"),""),"")</f>
        <v/>
      </c>
      <c r="G99" s="42" t="str">
        <f aca="false">IF(ISNUMBER(G49),IF(IF(ISNUMBER(G54),ABS(G54)&gt;輸入與假設!$C$334,OR(AND(G35&lt;&gt;0,ABS(G49)&gt;輸入與假設!$C$333*ABS(G35)),AND(G35=0,G49&lt;&gt;0))),IF(ISNUMBER(G97),IF(ABS(G98)&gt;ABS(G97),"調整後 EBITDA vs 共識 "&amp;IF(G49&lt;0,"−","+")&amp;IF(ABS(G49)&lt;0,"−","")&amp;"$"&amp;TEXT(ABS(ABS(G49)),"#,##0.00")&amp;"bn"&amp;IF(ISNUMBER(G54),"／"&amp;IF(G54&lt;0,"−","+")&amp;TEXT(ABS(G54)*100,"#,##0.0")&amp;"pt","")&amp;"：拆法（分配 "&amp;IF(G98&lt;0,"−","+")&amp;IF(ABS(G98)&lt;0,"−","")&amp;"$"&amp;TEXT(ABS(ABS(G98)),"#,##0.000")&amp;"bn"&amp;"（Q2 FY28 占 FY28 "&amp;TEXT((G28/損益!D21)*100,"#,##0.0")&amp;"%"&amp;"，共識合計 "&amp;TEXT(((G35)/G96)*100,"#,##0.0")&amp;"%"&amp;"）；水準 "&amp;IF(G97&lt;0,"−","+")&amp;IF(ABS(G97)&lt;0,"−","")&amp;"$"&amp;TEXT(ABS(ABS(G97)),"#,##0.000")&amp;"bn"&amp;"）","調整後 EBITDA vs 共識 "&amp;IF(G49&lt;0,"−","+")&amp;IF(ABS(G49)&lt;0,"−","")&amp;"$"&amp;TEXT(ABS(ABS(G49)),"#,##0.00")&amp;"bn"&amp;IF(ISNUMBER(G54),"／"&amp;IF(G54&lt;0,"−","+")&amp;TEXT(ABS(G54)*100,"#,##0.0")&amp;"pt","")&amp;"：觀點（水準 "&amp;IF(G97&lt;0,"−","+")&amp;IF(ABS(G97)&lt;0,"−","")&amp;"$"&amp;TEXT(ABS(ABS(G97)),"#,##0.000")&amp;"bn"&amp;"（FY28 模型 "&amp;IF(損益!D21&lt;0,"−","")&amp;"$"&amp;TEXT(ABS(損益!D21),"#,##0.000")&amp;"bn"&amp;"，共識合計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"&amp;IF((G27)&lt;0,"−","")&amp;TEXT(ABS((G27))*100,"#,##0.0")&amp;"%"&amp;"；季度共識 EBITDA "&amp;"不適用"&amp;"、營收 "&amp;"不適用"&amp;"（共識 EBITDA＝非 GAAP 營業利益＋折舊）"&amp;"）"),"調整後 EBITDA vs 共識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營業利益＋折舊）"&amp;"）"),""),"")</f>
        <v/>
      </c>
      <c r="H99" s="42" t="str">
        <f aca="false">IF(ISNUMBER(H49),IF(IF(ISNUMBER(H54),ABS(H54)&gt;輸入與假設!$C$334,OR(AND(H35&lt;&gt;0,ABS(H49)&gt;輸入與假設!$C$333*ABS(H35)),AND(H35=0,H49&lt;&gt;0))),IF(ISNUMBER(H97),IF(ABS(H98)&gt;ABS(H97),"調整後 EBITDA vs 共識 "&amp;IF(H49&lt;0,"−","+")&amp;IF(ABS(H49)&lt;0,"−","")&amp;"$"&amp;TEXT(ABS(ABS(H49)),"#,##0.00")&amp;"bn"&amp;IF(ISNUMBER(H54),"／"&amp;IF(H54&lt;0,"−","+")&amp;TEXT(ABS(H54)*100,"#,##0.0")&amp;"pt","")&amp;"：拆法（分配 "&amp;IF(H98&lt;0,"−","+")&amp;IF(ABS(H98)&lt;0,"−","")&amp;"$"&amp;TEXT(ABS(ABS(H98)),"#,##0.000")&amp;"bn"&amp;"（Q3 FY28 占 FY28 "&amp;TEXT((H28/損益!D21)*100,"#,##0.0")&amp;"%"&amp;"，共識合計 "&amp;TEXT(((H35)/H96)*100,"#,##0.0")&amp;"%"&amp;"）；水準 "&amp;IF(H97&lt;0,"−","+")&amp;IF(ABS(H97)&lt;0,"−","")&amp;"$"&amp;TEXT(ABS(ABS(H97)),"#,##0.000")&amp;"bn"&amp;"）","調整後 EBITDA vs 共識 "&amp;IF(H49&lt;0,"−","+")&amp;IF(ABS(H49)&lt;0,"−","")&amp;"$"&amp;TEXT(ABS(ABS(H49)),"#,##0.00")&amp;"bn"&amp;IF(ISNUMBER(H54),"／"&amp;IF(H54&lt;0,"−","+")&amp;TEXT(ABS(H54)*100,"#,##0.0")&amp;"pt","")&amp;"：觀點（水準 "&amp;IF(H97&lt;0,"−","+")&amp;IF(ABS(H97)&lt;0,"−","")&amp;"$"&amp;TEXT(ABS(ABS(H97)),"#,##0.000")&amp;"bn"&amp;"（FY28 模型 "&amp;IF(損益!D21&lt;0,"−","")&amp;"$"&amp;TEXT(ABS(損益!D21),"#,##0.000")&amp;"bn"&amp;"，共識合計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"&amp;IF((H27)&lt;0,"−","")&amp;TEXT(ABS((H27))*100,"#,##0.0")&amp;"%"&amp;"；季度共識 EBITDA "&amp;"不適用"&amp;"、營收 "&amp;"不適用"&amp;"（共識 EBITDA＝非 GAAP 營業利益＋折舊）"&amp;"）"),"調整後 EBITDA vs 共識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營業利益＋折舊）"&amp;"）"),""),"")</f>
        <v/>
      </c>
    </row>
    <row r="100" customFormat="false" ht="15" hidden="true" customHeight="false" outlineLevel="1" collapsed="false">
      <c r="A100" s="3" t="s">
        <v>1028</v>
      </c>
      <c r="C100" s="42" t="str">
        <f aca="false">IF(ISNUMBER(C49),IF(IF(ISNUMBER(C54),ABS(C54)&gt;輸入與假設!$C$334,OR(AND(C35&lt;&gt;0,ABS(C49)&gt;輸入與假設!$C$333*ABS(C35)),AND(C35=0,C49&lt;&gt;0))),IF(ISNUMBER(C97),IF(ABS(C98)&gt;ABS(C97),"拆法","觀點"),"觀點"),""),"")</f>
        <v/>
      </c>
      <c r="D100" s="42" t="str">
        <f aca="false">IF(ISNUMBER(D49),IF(IF(ISNUMBER(D54),ABS(D54)&gt;輸入與假設!$C$334,OR(AND(D35&lt;&gt;0,ABS(D49)&gt;輸入與假設!$C$333*ABS(D35)),AND(D35=0,D49&lt;&gt;0))),IF(ISNUMBER(D97),IF(ABS(D98)&gt;ABS(D97),"拆法","觀點"),"觀點"),""),"")</f>
        <v/>
      </c>
      <c r="E100" s="42" t="str">
        <f aca="false">IF(ISNUMBER(E49),IF(IF(ISNUMBER(E54),ABS(E54)&gt;輸入與假設!$C$334,OR(AND(E35&lt;&gt;0,ABS(E49)&gt;輸入與假設!$C$333*ABS(E35)),AND(E35=0,E49&lt;&gt;0))),IF(ISNUMBER(E97),IF(ABS(E98)&gt;ABS(E97),"拆法","觀點"),"觀點"),""),"")</f>
        <v/>
      </c>
      <c r="F100" s="42" t="str">
        <f aca="false">IF(ISNUMBER(F49),IF(IF(ISNUMBER(F54),ABS(F54)&gt;輸入與假設!$C$334,OR(AND(F35&lt;&gt;0,ABS(F49)&gt;輸入與假設!$C$333*ABS(F35)),AND(F35=0,F49&lt;&gt;0))),IF(ISNUMBER(F97),IF(ABS(F98)&gt;ABS(F97),"拆法","觀點"),"觀點"),""),"")</f>
        <v/>
      </c>
      <c r="G100" s="42" t="str">
        <f aca="false">IF(ISNUMBER(G49),IF(IF(ISNUMBER(G54),ABS(G54)&gt;輸入與假設!$C$334,OR(AND(G35&lt;&gt;0,ABS(G49)&gt;輸入與假設!$C$333*ABS(G35)),AND(G35=0,G49&lt;&gt;0))),IF(ISNUMBER(G97),IF(ABS(G98)&gt;ABS(G97),"拆法","觀點"),"觀點"),""),"")</f>
        <v/>
      </c>
      <c r="H100" s="42" t="str">
        <f aca="false">IF(ISNUMBER(H49),IF(IF(ISNUMBER(H54),ABS(H54)&gt;輸入與假設!$C$334,OR(AND(H35&lt;&gt;0,ABS(H49)&gt;輸入與假設!$C$333*ABS(H35)),AND(H35=0,H49&lt;&gt;0))),IF(ISNUMBER(H97),IF(ABS(H98)&gt;ABS(H97),"拆法","觀點"),"觀點"),""),"")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1029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1030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1031</v>
      </c>
      <c r="C103" s="42" t="str">
        <f aca="false">IF(ISNUMBER(C51),IF(IF(ISNUMBER(C56),ABS(C56)&gt;輸入與假設!$C$334,OR(AND(C28&lt;&gt;0,ABS(C51)&gt;輸入與假設!$C$333*ABS(C28)),AND(C28=0,C51&lt;&gt;0))),"調整後 EBITDA 實際 vs 模型 "&amp;IF(C51&lt;0,"−","+")&amp;IF(ABS(C51)&lt;0,"−","")&amp;"$"&amp;TEXT(ABS(ABS(C51)),"#,##0.00")&amp;"bn"&amp;IF(ISNUMBER(C56),"／"&amp;IF(C56&lt;0,"−","+")&amp;TEXT(ABS(C56)*100,"#,##0.0")&amp;"pt","")&amp;"：觀點（"&amp;"模型 EBITDA 率 "&amp;IF((C27)&lt;0,"−","")&amp;TEXT(ABS((C27))*100,"#,##0.0")&amp;"%"&amp;"；季度共識 EBITDA "&amp;IF((輸入與假設!$C$306)&lt;0,"−","")&amp;TEXT(ABS((輸入與假設!$C$306)),"#,##0.00")&amp;"、營收 "&amp;IF((輸入與假設!$C$305)&lt;0,"−","")&amp;TEXT(ABS((輸入與假設!$C$305)),"#,##0.00")&amp;"（共識 EBITDA＝非 GAAP 營業利益＋折舊）"&amp;"）",""),"")</f>
        <v/>
      </c>
      <c r="D103" s="42" t="str">
        <f aca="false">IF(ISNUMBER(D51),IF(IF(ISNUMBER(D56),ABS(D56)&gt;輸入與假設!$C$334,OR(AND(D28&lt;&gt;0,ABS(D51)&gt;輸入與假設!$C$333*ABS(D28)),AND(D28=0,D51&lt;&gt;0))),"調整後 EBITDA 實際 vs 模型 "&amp;IF(D51&lt;0,"−","+")&amp;IF(ABS(D51)&lt;0,"−","")&amp;"$"&amp;TEXT(ABS(ABS(D51)),"#,##0.00")&amp;"bn"&amp;IF(ISNUMBER(D56),"／"&amp;IF(D56&lt;0,"−","+")&amp;TEXT(ABS(D56)*100,"#,##0.0")&amp;"pt","")&amp;"：觀點（"&amp;"模型 EBITDA 率 "&amp;IF((D27)&lt;0,"−","")&amp;TEXT(ABS((D27))*100,"#,##0.0")&amp;"%"&amp;"；季度共識 EBITDA "&amp;IF((輸入與假設!$D$306)&lt;0,"−","")&amp;TEXT(ABS((輸入與假設!$D$306)),"#,##0.00")&amp;"、營收 "&amp;IF((輸入與假設!$D$305)&lt;0,"−","")&amp;TEXT(ABS((輸入與假設!$D$305)),"#,##0.00")&amp;"（共識 EBITDA＝非 GAAP 營業利益＋折舊）"&amp;"）",""),"")</f>
        <v/>
      </c>
      <c r="E103" s="42" t="str">
        <f aca="false">IF(ISNUMBER(E51),IF(IF(ISNUMBER(E56),ABS(E56)&gt;輸入與假設!$C$334,OR(AND(E28&lt;&gt;0,ABS(E51)&gt;輸入與假設!$C$333*ABS(E28)),AND(E28=0,E51&lt;&gt;0))),"調整後 EBITDA 實際 vs 模型 "&amp;IF(E51&lt;0,"−","+")&amp;IF(ABS(E51)&lt;0,"−","")&amp;"$"&amp;TEXT(ABS(ABS(E51)),"#,##0.00")&amp;"bn"&amp;IF(ISNUMBER(E56),"／"&amp;IF(E56&lt;0,"−","+")&amp;TEXT(ABS(E56)*100,"#,##0.0")&amp;"pt","")&amp;"：觀點（"&amp;"模型 EBITDA 率 "&amp;IF((E27)&lt;0,"−","")&amp;TEXT(ABS((E27))*100,"#,##0.0")&amp;"%"&amp;"；季度共識 EBITDA "&amp;"不適用"&amp;"、營收 "&amp;"不適用"&amp;"（共識 EBITDA＝非 GAAP 營業利益＋折舊）"&amp;"）",""),"")</f>
        <v/>
      </c>
      <c r="F103" s="42" t="str">
        <f aca="false">IF(ISNUMBER(F51),IF(IF(ISNUMBER(F56),ABS(F56)&gt;輸入與假設!$C$334,OR(AND(F28&lt;&gt;0,ABS(F51)&gt;輸入與假設!$C$333*ABS(F28)),AND(F28=0,F51&lt;&gt;0))),"調整後 EBITDA 實際 vs 模型 "&amp;IF(F51&lt;0,"−","+")&amp;IF(ABS(F51)&lt;0,"−","")&amp;"$"&amp;TEXT(ABS(ABS(F51)),"#,##0.00")&amp;"bn"&amp;IF(ISNUMBER(F56),"／"&amp;IF(F56&lt;0,"−","+")&amp;TEXT(ABS(F56)*100,"#,##0.0")&amp;"pt","")&amp;"：觀點（"&amp;"模型 EBITDA 率 "&amp;IF((F27)&lt;0,"−","")&amp;TEXT(ABS((F27))*100,"#,##0.0")&amp;"%"&amp;"；季度共識 EBITDA "&amp;"不適用"&amp;"、營收 "&amp;"不適用"&amp;"（共識 EBITDA＝非 GAAP 營業利益＋折舊）"&amp;"）",""),"")</f>
        <v/>
      </c>
      <c r="G103" s="42" t="str">
        <f aca="false">IF(ISNUMBER(G51),IF(IF(ISNUMBER(G56),ABS(G56)&gt;輸入與假設!$C$334,OR(AND(G28&lt;&gt;0,ABS(G51)&gt;輸入與假設!$C$333*ABS(G28)),AND(G28=0,G51&lt;&gt;0))),"調整後 EBITDA 實際 vs 模型 "&amp;IF(G51&lt;0,"−","+")&amp;IF(ABS(G51)&lt;0,"−","")&amp;"$"&amp;TEXT(ABS(ABS(G51)),"#,##0.00")&amp;"bn"&amp;IF(ISNUMBER(G56),"／"&amp;IF(G56&lt;0,"−","+")&amp;TEXT(ABS(G56)*100,"#,##0.0")&amp;"pt","")&amp;"：觀點（"&amp;"模型 EBITDA 率 "&amp;IF((G27)&lt;0,"−","")&amp;TEXT(ABS((G27))*100,"#,##0.0")&amp;"%"&amp;"；季度共識 EBITDA "&amp;"不適用"&amp;"、營收 "&amp;"不適用"&amp;"（共識 EBITDA＝非 GAAP 營業利益＋折舊）"&amp;"）",""),"")</f>
        <v/>
      </c>
      <c r="H103" s="42" t="str">
        <f aca="false">IF(ISNUMBER(H51),IF(IF(ISNUMBER(H56),ABS(H56)&gt;輸入與假設!$C$334,OR(AND(H28&lt;&gt;0,ABS(H51)&gt;輸入與假設!$C$333*ABS(H28)),AND(H28=0,H51&lt;&gt;0))),"調整後 EBITDA 實際 vs 模型 "&amp;IF(H51&lt;0,"−","+")&amp;IF(ABS(H51)&lt;0,"−","")&amp;"$"&amp;TEXT(ABS(ABS(H51)),"#,##0.00")&amp;"bn"&amp;IF(ISNUMBER(H56),"／"&amp;IF(H56&lt;0,"−","+")&amp;TEXT(ABS(H56)*100,"#,##0.0")&amp;"pt","")&amp;"：觀點（"&amp;"模型 EBITDA 率 "&amp;IF((H27)&lt;0,"−","")&amp;TEXT(ABS((H27))*100,"#,##0.0")&amp;"%"&amp;"；季度共識 EBITDA "&amp;"不適用"&amp;"、營收 "&amp;"不適用"&amp;"（共識 EBITDA＝非 GAAP 營業利益＋折舊）"&amp;"）",""),"")</f>
        <v/>
      </c>
    </row>
    <row r="104" customFormat="false" ht="15" hidden="true" customHeight="false" outlineLevel="1" collapsed="false">
      <c r="A104" s="3" t="s">
        <v>1032</v>
      </c>
      <c r="C104" s="42" t="str">
        <f aca="false">IF(ISNUMBER(C51),IF(IF(ISNUMBER(C56),ABS(C56)&gt;輸入與假設!$C$334,OR(AND(C28&lt;&gt;0,ABS(C51)&gt;輸入與假設!$C$333*ABS(C28)),AND(C28=0,C51&lt;&gt;0))),"觀點",""),"")</f>
        <v/>
      </c>
      <c r="D104" s="42" t="str">
        <f aca="false">IF(ISNUMBER(D51),IF(IF(ISNUMBER(D56),ABS(D56)&gt;輸入與假設!$C$334,OR(AND(D28&lt;&gt;0,ABS(D51)&gt;輸入與假設!$C$333*ABS(D28)),AND(D28=0,D51&lt;&gt;0))),"觀點",""),"")</f>
        <v/>
      </c>
      <c r="E104" s="42" t="str">
        <f aca="false">IF(ISNUMBER(E51),IF(IF(ISNUMBER(E56),ABS(E56)&gt;輸入與假設!$C$334,OR(AND(E28&lt;&gt;0,ABS(E51)&gt;輸入與假設!$C$333*ABS(E28)),AND(E28=0,E51&lt;&gt;0))),"觀點",""),"")</f>
        <v/>
      </c>
      <c r="F104" s="42" t="str">
        <f aca="false">IF(ISNUMBER(F51),IF(IF(ISNUMBER(F56),ABS(F56)&gt;輸入與假設!$C$334,OR(AND(F28&lt;&gt;0,ABS(F51)&gt;輸入與假設!$C$333*ABS(F28)),AND(F28=0,F51&lt;&gt;0))),"觀點",""),"")</f>
        <v/>
      </c>
      <c r="G104" s="42" t="str">
        <f aca="false">IF(ISNUMBER(G51),IF(IF(ISNUMBER(G56),ABS(G56)&gt;輸入與假設!$C$334,OR(AND(G28&lt;&gt;0,ABS(G51)&gt;輸入與假設!$C$333*ABS(G28)),AND(G28=0,G51&lt;&gt;0))),"觀點",""),"")</f>
        <v/>
      </c>
      <c r="H104" s="42" t="str">
        <f aca="false">IF(ISNUMBER(H51),IF(IF(ISNUMBER(H56),ABS(H56)&gt;輸入與假設!$C$334,OR(AND(H28&lt;&gt;0,ABS(H51)&gt;輸入與假設!$C$333*ABS(H28)),AND(H28=0,H51&lt;&gt;0))),"觀點",""),"")</f>
        <v/>
      </c>
    </row>
    <row r="105" customFormat="false" ht="15" hidden="true" customHeight="false" outlineLevel="1" collapsed="false">
      <c r="A105" s="3" t="s">
        <v>1033</v>
      </c>
      <c r="C105" s="42"/>
      <c r="D105" s="42"/>
      <c r="E105" s="42"/>
      <c r="F105" s="42"/>
      <c r="G105" s="42"/>
      <c r="H105" s="42"/>
    </row>
    <row r="106" customFormat="false" ht="15" hidden="true" customHeight="false" outlineLevel="1" collapsed="false">
      <c r="A106" s="3" t="s">
        <v>1034</v>
      </c>
      <c r="C106" s="42"/>
      <c r="D106" s="42"/>
      <c r="E106" s="42"/>
      <c r="F106" s="42"/>
      <c r="G106" s="42"/>
      <c r="H106" s="42"/>
    </row>
    <row r="107" customFormat="false" ht="15" hidden="true" customHeight="false" outlineLevel="1" collapsed="false">
      <c r="A107" s="3" t="s">
        <v>1035</v>
      </c>
      <c r="C107" s="42"/>
      <c r="D107" s="42"/>
      <c r="E107" s="42"/>
      <c r="F107" s="42"/>
      <c r="G107" s="42"/>
      <c r="H107" s="42"/>
    </row>
    <row r="108" customFormat="false" ht="15" hidden="true" customHeight="false" outlineLevel="1" collapsed="false">
      <c r="A108" s="3" t="s">
        <v>1036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1037</v>
      </c>
      <c r="C109" s="42" t="str">
        <f aca="false">IF(ISNUMBER(C66),IF(IF(ISNUMBER(C71),ABS(C71)&gt;輸入與假設!$C$334,OR(AND(C30&lt;&gt;0,ABS(C66)&gt;輸入與假設!$C$333*ABS(C30)),AND(C30=0,C66&lt;&gt;0))),"調整後營業利益 實際 vs 模型 "&amp;IF(C66&lt;0,"−","+")&amp;IF(ABS(C66)&lt;0,"−","")&amp;"$"&amp;TEXT(ABS(ABS(C66)),"#,##0.00")&amp;"bn"&amp;IF(ISNUMBER(C71),"／"&amp;IF(C71&lt;0,"−","+")&amp;TEXT(ABS(C71)*100,"#,##0.0")&amp;"pt","")&amp;"：已知限制（"&amp;"模型車隊折舊 "&amp;IF((C29)&lt;0,"−","")&amp;TEXT(ABS((C29)),"#,##0.00")&amp;" 以校準後期初 PP&amp;E 與成長型 CapEx 計，未扣 SBC；與公司非 GAAP 營業利益口徑不同"&amp;"）",""),"")</f>
        <v/>
      </c>
      <c r="D109" s="42" t="str">
        <f aca="false">IF(ISNUMBER(D66),IF(IF(ISNUMBER(D71),ABS(D71)&gt;輸入與假設!$C$334,OR(AND(D30&lt;&gt;0,ABS(D66)&gt;輸入與假設!$C$333*ABS(D30)),AND(D30=0,D66&lt;&gt;0))),"調整後營業利益 實際 vs 模型 "&amp;IF(D66&lt;0,"−","+")&amp;IF(ABS(D66)&lt;0,"−","")&amp;"$"&amp;TEXT(ABS(ABS(D66)),"#,##0.00")&amp;"bn"&amp;IF(ISNUMBER(D71),"／"&amp;IF(D71&lt;0,"−","+")&amp;TEXT(ABS(D71)*100,"#,##0.0")&amp;"pt","")&amp;"：已知限制（"&amp;"模型車隊折舊 "&amp;IF((D29)&lt;0,"−","")&amp;TEXT(ABS((D29)),"#,##0.00")&amp;" 以校準後期初 PP&amp;E 與成長型 CapEx 計，未扣 SBC；與公司非 GAAP 營業利益口徑不同"&amp;"）",""),"")</f>
        <v/>
      </c>
      <c r="E109" s="42" t="str">
        <f aca="false">IF(ISNUMBER(E66),IF(IF(ISNUMBER(E71),ABS(E71)&gt;輸入與假設!$C$334,OR(AND(E30&lt;&gt;0,ABS(E66)&gt;輸入與假設!$C$333*ABS(E30)),AND(E30=0,E66&lt;&gt;0))),"調整後營業利益 實際 vs 模型 "&amp;IF(E66&lt;0,"−","+")&amp;IF(ABS(E66)&lt;0,"−","")&amp;"$"&amp;TEXT(ABS(ABS(E66)),"#,##0.00")&amp;"bn"&amp;IF(ISNUMBER(E71),"／"&amp;IF(E71&lt;0,"−","+")&amp;TEXT(ABS(E71)*100,"#,##0.0")&amp;"pt","")&amp;"：已知限制（"&amp;"模型車隊折舊 "&amp;IF((E29)&lt;0,"−","")&amp;TEXT(ABS((E29)),"#,##0.00")&amp;" 以校準後期初 PP&amp;E 與成長型 CapEx 計，未扣 SBC；與公司非 GAAP 營業利益口徑不同"&amp;"）",""),"")</f>
        <v/>
      </c>
      <c r="F109" s="42" t="str">
        <f aca="false">IF(ISNUMBER(F66),IF(IF(ISNUMBER(F71),ABS(F71)&gt;輸入與假設!$C$334,OR(AND(F30&lt;&gt;0,ABS(F66)&gt;輸入與假設!$C$333*ABS(F30)),AND(F30=0,F66&lt;&gt;0))),"調整後營業利益 實際 vs 模型 "&amp;IF(F66&lt;0,"−","+")&amp;IF(ABS(F66)&lt;0,"−","")&amp;"$"&amp;TEXT(ABS(ABS(F66)),"#,##0.00")&amp;"bn"&amp;IF(ISNUMBER(F71),"／"&amp;IF(F71&lt;0,"−","+")&amp;TEXT(ABS(F71)*100,"#,##0.0")&amp;"pt","")&amp;"：已知限制（"&amp;"模型車隊折舊 "&amp;IF((F29)&lt;0,"−","")&amp;TEXT(ABS((F29)),"#,##0.00")&amp;" 以校準後期初 PP&amp;E 與成長型 CapEx 計，未扣 SBC；與公司非 GAAP 營業利益口徑不同"&amp;"）",""),"")</f>
        <v/>
      </c>
      <c r="G109" s="42" t="str">
        <f aca="false">IF(ISNUMBER(G66),IF(IF(ISNUMBER(G71),ABS(G71)&gt;輸入與假設!$C$334,OR(AND(G30&lt;&gt;0,ABS(G66)&gt;輸入與假設!$C$333*ABS(G30)),AND(G30=0,G66&lt;&gt;0))),"調整後營業利益 實際 vs 模型 "&amp;IF(G66&lt;0,"−","+")&amp;IF(ABS(G66)&lt;0,"−","")&amp;"$"&amp;TEXT(ABS(ABS(G66)),"#,##0.00")&amp;"bn"&amp;IF(ISNUMBER(G71),"／"&amp;IF(G71&lt;0,"−","+")&amp;TEXT(ABS(G71)*100,"#,##0.0")&amp;"pt","")&amp;"：已知限制（"&amp;"模型車隊折舊 "&amp;IF((G29)&lt;0,"−","")&amp;TEXT(ABS((G29)),"#,##0.00")&amp;" 以校準後期初 PP&amp;E 與成長型 CapEx 計，未扣 SBC；與公司非 GAAP 營業利益口徑不同"&amp;"）",""),"")</f>
        <v/>
      </c>
      <c r="H109" s="42" t="str">
        <f aca="false">IF(ISNUMBER(H66),IF(IF(ISNUMBER(H71),ABS(H71)&gt;輸入與假設!$C$334,OR(AND(H30&lt;&gt;0,ABS(H66)&gt;輸入與假設!$C$333*ABS(H30)),AND(H30=0,H66&lt;&gt;0))),"調整後營業利益 實際 vs 模型 "&amp;IF(H66&lt;0,"−","+")&amp;IF(ABS(H66)&lt;0,"−","")&amp;"$"&amp;TEXT(ABS(ABS(H66)),"#,##0.00")&amp;"bn"&amp;IF(ISNUMBER(H71),"／"&amp;IF(H71&lt;0,"−","+")&amp;TEXT(ABS(H71)*100,"#,##0.0")&amp;"pt","")&amp;"：已知限制（"&amp;"模型車隊折舊 "&amp;IF((H29)&lt;0,"−","")&amp;TEXT(ABS((H29)),"#,##0.00")&amp;" 以校準後期初 PP&amp;E 與成長型 CapEx 計，未扣 SBC；與公司非 GAAP 營業利益口徑不同"&amp;"）",""),"")</f>
        <v/>
      </c>
    </row>
    <row r="110" customFormat="false" ht="15" hidden="true" customHeight="false" outlineLevel="1" collapsed="false">
      <c r="A110" s="3" t="s">
        <v>1038</v>
      </c>
      <c r="C110" s="42" t="str">
        <f aca="false">IF(ISNUMBER(C66),IF(IF(ISNUMBER(C71),ABS(C71)&gt;輸入與假設!$C$334,OR(AND(C30&lt;&gt;0,ABS(C66)&gt;輸入與假設!$C$333*ABS(C30)),AND(C30=0,C66&lt;&gt;0))),"已知限制",""),"")</f>
        <v/>
      </c>
      <c r="D110" s="42" t="str">
        <f aca="false">IF(ISNUMBER(D66),IF(IF(ISNUMBER(D71),ABS(D71)&gt;輸入與假設!$C$334,OR(AND(D30&lt;&gt;0,ABS(D66)&gt;輸入與假設!$C$333*ABS(D30)),AND(D30=0,D66&lt;&gt;0))),"已知限制",""),"")</f>
        <v/>
      </c>
      <c r="E110" s="42" t="str">
        <f aca="false">IF(ISNUMBER(E66),IF(IF(ISNUMBER(E71),ABS(E71)&gt;輸入與假設!$C$334,OR(AND(E30&lt;&gt;0,ABS(E66)&gt;輸入與假設!$C$333*ABS(E30)),AND(E30=0,E66&lt;&gt;0))),"已知限制",""),"")</f>
        <v/>
      </c>
      <c r="F110" s="42" t="str">
        <f aca="false">IF(ISNUMBER(F66),IF(IF(ISNUMBER(F71),ABS(F71)&gt;輸入與假設!$C$334,OR(AND(F30&lt;&gt;0,ABS(F66)&gt;輸入與假設!$C$333*ABS(F30)),AND(F30=0,F66&lt;&gt;0))),"已知限制",""),"")</f>
        <v/>
      </c>
      <c r="G110" s="42" t="str">
        <f aca="false">IF(ISNUMBER(G66),IF(IF(ISNUMBER(G71),ABS(G71)&gt;輸入與假設!$C$334,OR(AND(G30&lt;&gt;0,ABS(G66)&gt;輸入與假設!$C$333*ABS(G30)),AND(G30=0,G66&lt;&gt;0))),"已知限制",""),"")</f>
        <v/>
      </c>
      <c r="H110" s="42" t="str">
        <f aca="false">IF(ISNUMBER(H66),IF(IF(ISNUMBER(H71),ABS(H71)&gt;輸入與假設!$C$334,OR(AND(H30&lt;&gt;0,ABS(H66)&gt;輸入與假設!$C$333*ABS(H30)),AND(H30=0,H66&lt;&gt;0))),"已知限制",""),"")</f>
        <v/>
      </c>
    </row>
    <row r="111" customFormat="false" ht="15" hidden="true" customHeight="false" outlineLevel="1" collapsed="false">
      <c r="A111" s="3" t="s">
        <v>1039</v>
      </c>
      <c r="C111" s="42"/>
      <c r="D111" s="42"/>
      <c r="E111" s="42"/>
      <c r="F111" s="42"/>
      <c r="G111" s="42"/>
      <c r="H111" s="42"/>
    </row>
    <row r="112" customFormat="false" ht="15" hidden="true" customHeight="false" outlineLevel="1" collapsed="false">
      <c r="A112" s="3" t="s">
        <v>1040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1041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1042</v>
      </c>
      <c r="C114" s="42"/>
      <c r="D114" s="42"/>
      <c r="E114" s="42"/>
      <c r="F114" s="42"/>
      <c r="G114" s="42"/>
      <c r="H114" s="42"/>
    </row>
    <row r="115" customFormat="false" ht="15" hidden="true" customHeight="false" outlineLevel="1" collapsed="false">
      <c r="A115" s="3" t="s">
        <v>1043</v>
      </c>
      <c r="C115" s="42" t="str">
        <f aca="false">IF(ISNUMBER(C76),IF(ABS(C76)&gt;輸入與假設!$C$333,"CapEx（毛額） 實際 vs 模型 "&amp;IF(C76&lt;0,"−","+")&amp;TEXT(ABS(C76)*100,"#,##0.0")&amp;"%"&amp;"：觀點（"&amp;"CapEx 依新增已連網 MW × 每 MW IT 建置成本（Tokenomics IF_CapexIT；機房由開發商建、以租賃取得）計算；客戶自帶硬體不建模"&amp;"）",""),"")</f>
        <v/>
      </c>
      <c r="D115" s="42" t="str">
        <f aca="false">IF(ISNUMBER(D76),IF(ABS(D76)&gt;輸入與假設!$C$333,"CapEx（毛額） 實際 vs 模型 "&amp;IF(D76&lt;0,"−","+")&amp;TEXT(ABS(D76)*100,"#,##0.0")&amp;"%"&amp;"：觀點（"&amp;"CapEx 依新增已連網 MW × 每 MW IT 建置成本（Tokenomics IF_CapexIT；機房由開發商建、以租賃取得）計算；客戶自帶硬體不建模"&amp;"）",""),"")</f>
        <v/>
      </c>
      <c r="E115" s="42" t="str">
        <f aca="false">IF(ISNUMBER(E76),IF(ABS(E76)&gt;輸入與假設!$C$333,"CapEx（毛額） 實際 vs 模型 "&amp;IF(E76&lt;0,"−","+")&amp;TEXT(ABS(E76)*100,"#,##0.0")&amp;"%"&amp;"：觀點（"&amp;"CapEx 依新增已連網 MW × 每 MW IT 建置成本（Tokenomics IF_CapexIT；機房由開發商建、以租賃取得）計算；客戶自帶硬體不建模"&amp;"）",""),"")</f>
        <v/>
      </c>
      <c r="F115" s="42" t="str">
        <f aca="false">IF(ISNUMBER(F76),IF(ABS(F76)&gt;輸入與假設!$C$333,"CapEx（毛額） 實際 vs 模型 "&amp;IF(F76&lt;0,"−","+")&amp;TEXT(ABS(F76)*100,"#,##0.0")&amp;"%"&amp;"：觀點（"&amp;"CapEx 依新增已連網 MW × 每 MW IT 建置成本（Tokenomics IF_CapexIT；機房由開發商建、以租賃取得）計算；客戶自帶硬體不建模"&amp;"）",""),"")</f>
        <v/>
      </c>
      <c r="G115" s="42" t="str">
        <f aca="false">IF(ISNUMBER(G76),IF(ABS(G76)&gt;輸入與假設!$C$333,"CapEx（毛額） 實際 vs 模型 "&amp;IF(G76&lt;0,"−","+")&amp;TEXT(ABS(G76)*100,"#,##0.0")&amp;"%"&amp;"：觀點（"&amp;"CapEx 依新增已連網 MW × 每 MW IT 建置成本（Tokenomics IF_CapexIT；機房由開發商建、以租賃取得）計算；客戶自帶硬體不建模"&amp;"）",""),"")</f>
        <v/>
      </c>
      <c r="H115" s="42" t="str">
        <f aca="false">IF(ISNUMBER(H76),IF(ABS(H76)&gt;輸入與假設!$C$333,"CapEx（毛額） 實際 vs 模型 "&amp;IF(H76&lt;0,"−","+")&amp;TEXT(ABS(H76)*100,"#,##0.0")&amp;"%"&amp;"：觀點（"&amp;"CapEx 依新增已連網 MW × 每 MW IT 建置成本（Tokenomics IF_CapexIT；機房由開發商建、以租賃取得）計算；客戶自帶硬體不建模"&amp;"）",""),"")</f>
        <v/>
      </c>
    </row>
    <row r="116" customFormat="false" ht="15" hidden="true" customHeight="false" outlineLevel="1" collapsed="false">
      <c r="A116" s="3" t="s">
        <v>1044</v>
      </c>
      <c r="C116" s="42" t="str">
        <f aca="false">IF(ISNUMBER(C76),IF(ABS(C76)&gt;輸入與假設!$C$333,"觀點",""),"")</f>
        <v/>
      </c>
      <c r="D116" s="42" t="str">
        <f aca="false">IF(ISNUMBER(D76),IF(ABS(D76)&gt;輸入與假設!$C$333,"觀點",""),"")</f>
        <v/>
      </c>
      <c r="E116" s="42" t="str">
        <f aca="false">IF(ISNUMBER(E76),IF(ABS(E76)&gt;輸入與假設!$C$333,"觀點",""),"")</f>
        <v/>
      </c>
      <c r="F116" s="42" t="str">
        <f aca="false">IF(ISNUMBER(F76),IF(ABS(F76)&gt;輸入與假設!$C$333,"觀點",""),"")</f>
        <v/>
      </c>
      <c r="G116" s="42" t="str">
        <f aca="false">IF(ISNUMBER(G76),IF(ABS(G76)&gt;輸入與假設!$C$333,"觀點",""),"")</f>
        <v/>
      </c>
      <c r="H116" s="42" t="str">
        <f aca="false">IF(ISNUMBER(H76),IF(ABS(H76)&gt;輸入與假設!$C$333,"觀點",""),"")</f>
        <v/>
      </c>
    </row>
    <row r="117" customFormat="false" ht="15" hidden="true" customHeight="false" outlineLevel="1" collapsed="false">
      <c r="A117" s="3" t="s">
        <v>1045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1046</v>
      </c>
      <c r="C118" s="42"/>
      <c r="D118" s="42"/>
      <c r="E118" s="42"/>
      <c r="F118" s="42"/>
      <c r="G118" s="42"/>
      <c r="H118" s="42"/>
    </row>
    <row r="119" customFormat="false" ht="15" hidden="true" customHeight="false" outlineLevel="1" collapsed="false">
      <c r="A119" s="3" t="s">
        <v>1047</v>
      </c>
      <c r="C119" s="42"/>
      <c r="D119" s="42"/>
      <c r="E119" s="42"/>
      <c r="F119" s="42"/>
      <c r="G119" s="42"/>
      <c r="H119" s="42"/>
    </row>
    <row r="120" customFormat="false" ht="15" hidden="true" customHeight="false" outlineLevel="1" collapsed="false">
      <c r="A120" s="3" t="s">
        <v>1048</v>
      </c>
      <c r="C120" s="42"/>
      <c r="D120" s="42"/>
      <c r="E120" s="42"/>
      <c r="F120" s="42"/>
      <c r="G120" s="42"/>
      <c r="H120" s="42"/>
    </row>
    <row r="121" customFormat="false" ht="15" hidden="true" customHeight="false" outlineLevel="1" collapsed="false">
      <c r="A121" s="3" t="s">
        <v>1049</v>
      </c>
      <c r="C121" s="42"/>
      <c r="D121" s="42"/>
      <c r="E121" s="42"/>
      <c r="F121" s="42"/>
      <c r="G121" s="42"/>
      <c r="H121" s="42"/>
    </row>
    <row r="122" customFormat="false" ht="15" hidden="true" customHeight="false" outlineLevel="1" collapsed="false">
      <c r="A122" s="3" t="s">
        <v>1050</v>
      </c>
      <c r="C122" s="42"/>
      <c r="D122" s="42"/>
      <c r="E122" s="42"/>
      <c r="F122" s="42"/>
      <c r="G122" s="42"/>
      <c r="H122" s="42"/>
    </row>
    <row r="123" customFormat="false" ht="15" hidden="true" customHeight="false" outlineLevel="1" collapsed="false">
      <c r="A123" s="3" t="s">
        <v>1051</v>
      </c>
      <c r="C123" s="42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+1.8%：觀點（水準 +$0.218bn（2Q–4Q27 模型 $71.382bn，指引隱含 $70.655bn）；分配 +$0.155bn；OCI 營收＝在役 MW × 每 MW 年收入（Tokenomics 正向推導），期初可計費 MW 以 Q1 實際 OCI 年化校準；傳統事業四線依近四季年增率；共識未揭露 MW 與單價假設）</v>
      </c>
      <c r="D123" s="42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2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2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2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2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1052</v>
      </c>
      <c r="C124" s="42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2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2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2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2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2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1053</v>
      </c>
      <c r="C125" s="42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2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2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2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2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2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1054</v>
      </c>
      <c r="C126" s="42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/>
      </c>
      <c r="D126" s="42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2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2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2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2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1055</v>
      </c>
      <c r="C127" s="42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2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2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2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2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2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1056</v>
      </c>
      <c r="C128" s="42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2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2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2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2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2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1057</v>
      </c>
      <c r="C129" s="42" t="str">
        <f aca="false">"營收：模型 "&amp;IF(ISNUMBER(C22),IF(C22&lt;0,"−","")&amp;"$"&amp;TEXT(ABS(C22),"#,##0.00")&amp;"bn","不適用")&amp;IF(ISNUMBER(C34),"｜共識 "&amp;IF(C34&lt;0,"−","")&amp;"$"&amp;TEXT(ABS(C34),"#,##0.00")&amp;"bn"&amp;"（"&amp;IF(ISNUMBER(C44),IF(C44&lt;0,"−","+")&amp;TEXT(ABS(C44)*100,"#,##0.0")&amp;"%","不適用")&amp;"）","")&amp;IF(AND(ISNUMBER(C31),ISNUMBER(C32)),"｜指引 "&amp;"$"&amp;IF(C31&lt;0,"−","")&amp;TEXT(ABS(C31),"#,##0.00")&amp;"–"&amp;IF(C32&lt;0,"−","")&amp;TEXT(ABS(C32),"#,##0.00")&amp;"bn"&amp;"（中點 "&amp;IF(ISNUMBER(C45),IF(C45&lt;0,"−","+")&amp;TEXT(ABS(C45)*100,"#,##0.0")&amp;"%","不適用")&amp;"，"&amp;IF(C22&gt;C32,"高於上緣",IF(C22&lt;C31,"低於下緣",IF(C22&gt;=(C31+C32)/2,"區間上半部","區間下半部")))&amp;"）","")&amp;IF(ISNUMBER(C38),"｜實際 "&amp;IF(C38&lt;0,"−","")&amp;"$"&amp;TEXT(ABS(C38),"#,##0.00")&amp;"bn"&amp;"（較模型 "&amp;IF(ISNUMBER(C46),IF(C46&lt;0,"−","+")&amp;TEXT(ABS(C46)*100,"#,##0.0")&amp;"%","不適用")&amp;IF(ISNUMBER(C34),"、較共識 "&amp;IF(ISNUMBER(C47),IF(C47&lt;0,"−","+")&amp;TEXT(ABS(C47)*100,"#,##0.0")&amp;"%","不適用"),"")&amp;IF(AND(ISNUMBER(C31),ISNUMBER(C32)),"、"&amp;IF(C38&gt;C32,"高於上緣",IF(C38&lt;C31,"低於下緣",IF(C38&gt;=(C31+C32)/2,"區間上半部","區間下半部"))),"")&amp;"）","")&amp;C124</f>
        <v>營收：模型 $21.57bn｜共識 $21.32bn（+1.2%）｜指引 $20.88–21.52bn（中點 +1.8%，高於上緣）〔觀點〕</v>
      </c>
      <c r="D129" s="42" t="str">
        <f aca="false">"營收：模型 "&amp;IF(ISNUMBER(D22),IF(D22&lt;0,"−","")&amp;"$"&amp;TEXT(ABS(D22),"#,##0.00")&amp;"bn","不適用")&amp;IF(ISNUMBER(D34),"｜共識 "&amp;IF(D34&lt;0,"−","")&amp;"$"&amp;TEXT(ABS(D34),"#,##0.00")&amp;"bn"&amp;"（"&amp;IF(ISNUMBER(D44),IF(D44&lt;0,"−","+")&amp;TEXT(ABS(D44)*100,"#,##0.0")&amp;"%","不適用")&amp;"）","")&amp;IF(AND(ISNUMBER(D31),ISNUMBER(D32)),"｜指引 "&amp;"$"&amp;IF(D31&lt;0,"−","")&amp;TEXT(ABS(D31),"#,##0.00")&amp;"–"&amp;IF(D32&lt;0,"−","")&amp;TEXT(ABS(D32),"#,##0.00")&amp;"bn"&amp;"（中點 "&amp;IF(ISNUMBER(D45),IF(D45&lt;0,"−","+")&amp;TEXT(ABS(D45)*100,"#,##0.0")&amp;"%","不適用")&amp;"，"&amp;IF(D22&gt;D32,"高於上緣",IF(D22&lt;D31,"低於下緣",IF(D22&gt;=(D31+D32)/2,"區間上半部","區間下半部")))&amp;"）","")&amp;IF(ISNUMBER(D38),"｜實際 "&amp;IF(D38&lt;0,"−","")&amp;"$"&amp;TEXT(ABS(D38),"#,##0.00")&amp;"bn"&amp;"（較模型 "&amp;IF(ISNUMBER(D46),IF(D46&lt;0,"−","+")&amp;TEXT(ABS(D46)*100,"#,##0.0")&amp;"%","不適用")&amp;IF(ISNUMBER(D34),"、較共識 "&amp;IF(ISNUMBER(D47),IF(D47&lt;0,"−","+")&amp;TEXT(ABS(D47)*100,"#,##0.0")&amp;"%","不適用"),"")&amp;IF(AND(ISNUMBER(D31),ISNUMBER(D32)),"、"&amp;IF(D38&gt;D32,"高於上緣",IF(D38&lt;D31,"低於下緣",IF(D38&gt;=(D31+D32)/2,"區間上半部","區間下半部"))),"")&amp;"）","")&amp;D124</f>
        <v>營收：模型 $23.79bn｜共識 $23.38bn（+1.8%）</v>
      </c>
      <c r="E129" s="42" t="str">
        <f aca="false">"營收：模型 "&amp;IF(ISNUMBER(E22),IF(E22&lt;0,"−","")&amp;"$"&amp;TEXT(ABS(E22),"#,##0.00")&amp;"bn","不適用")&amp;IF(ISNUMBER(E34),"｜共識 "&amp;IF(E34&lt;0,"−","")&amp;"$"&amp;TEXT(ABS(E34),"#,##0.00")&amp;"bn"&amp;"（"&amp;IF(ISNUMBER(E44),IF(E44&lt;0,"−","+")&amp;TEXT(ABS(E44)*100,"#,##0.0")&amp;"%","不適用")&amp;"）","")&amp;IF(AND(ISNUMBER(E31),ISNUMBER(E32)),"｜指引 "&amp;"$"&amp;IF(E31&lt;0,"−","")&amp;TEXT(ABS(E31),"#,##0.00")&amp;"–"&amp;IF(E32&lt;0,"−","")&amp;TEXT(ABS(E32),"#,##0.00")&amp;"bn"&amp;"（中點 "&amp;IF(ISNUMBER(E45),IF(E45&lt;0,"−","+")&amp;TEXT(ABS(E45)*100,"#,##0.0")&amp;"%","不適用")&amp;"，"&amp;IF(E22&gt;E32,"高於上緣",IF(E22&lt;E31,"低於下緣",IF(E22&gt;=(E31+E32)/2,"區間上半部","區間下半部")))&amp;"）","")&amp;IF(ISNUMBER(E38),"｜實際 "&amp;IF(E38&lt;0,"−","")&amp;"$"&amp;TEXT(ABS(E38),"#,##0.00")&amp;"bn"&amp;"（較模型 "&amp;IF(ISNUMBER(E46),IF(E46&lt;0,"−","+")&amp;TEXT(ABS(E46)*100,"#,##0.0")&amp;"%","不適用")&amp;IF(ISNUMBER(E34),"、較共識 "&amp;IF(ISNUMBER(E47),IF(E47&lt;0,"−","+")&amp;TEXT(ABS(E47)*100,"#,##0.0")&amp;"%","不適用"),"")&amp;IF(AND(ISNUMBER(E31),ISNUMBER(E32)),"、"&amp;IF(E38&gt;E32,"高於上緣",IF(E38&lt;E31,"低於下緣",IF(E38&gt;=(E31+E32)/2,"區間上半部","區間下半部"))),"")&amp;"）","")&amp;E124</f>
        <v>營收：模型 $26.02bn</v>
      </c>
      <c r="F129" s="42" t="str">
        <f aca="false">"營收：模型 "&amp;IF(ISNUMBER(F22),IF(F22&lt;0,"−","")&amp;"$"&amp;TEXT(ABS(F22),"#,##0.00")&amp;"bn","不適用")&amp;IF(ISNUMBER(F34),"｜共識 "&amp;IF(F34&lt;0,"−","")&amp;"$"&amp;TEXT(ABS(F34),"#,##0.00")&amp;"bn"&amp;"（"&amp;IF(ISNUMBER(F44),IF(F44&lt;0,"−","+")&amp;TEXT(ABS(F44)*100,"#,##0.0")&amp;"%","不適用")&amp;"）","")&amp;IF(AND(ISNUMBER(F31),ISNUMBER(F32)),"｜指引 "&amp;"$"&amp;IF(F31&lt;0,"−","")&amp;TEXT(ABS(F31),"#,##0.00")&amp;"–"&amp;IF(F32&lt;0,"−","")&amp;TEXT(ABS(F32),"#,##0.00")&amp;"bn"&amp;"（中點 "&amp;IF(ISNUMBER(F45),IF(F45&lt;0,"−","+")&amp;TEXT(ABS(F45)*100,"#,##0.0")&amp;"%","不適用")&amp;"，"&amp;IF(F22&gt;F32,"高於上緣",IF(F22&lt;F31,"低於下緣",IF(F22&gt;=(F31+F32)/2,"區間上半部","區間下半部")))&amp;"）","")&amp;IF(ISNUMBER(F38),"｜實際 "&amp;IF(F38&lt;0,"−","")&amp;"$"&amp;TEXT(ABS(F38),"#,##0.00")&amp;"bn"&amp;"（較模型 "&amp;IF(ISNUMBER(F46),IF(F46&lt;0,"−","+")&amp;TEXT(ABS(F46)*100,"#,##0.0")&amp;"%","不適用")&amp;IF(ISNUMBER(F34),"、較共識 "&amp;IF(ISNUMBER(F47),IF(F47&lt;0,"−","+")&amp;TEXT(ABS(F47)*100,"#,##0.0")&amp;"%","不適用"),"")&amp;IF(AND(ISNUMBER(F31),ISNUMBER(F32)),"、"&amp;IF(F38&gt;F32,"高於上緣",IF(F38&lt;F31,"低於下緣",IF(F38&gt;=(F31+F32)/2,"區間上半部","區間下半部"))),"")&amp;"）","")&amp;F124</f>
        <v>營收：模型 $35.46bn</v>
      </c>
      <c r="G129" s="42" t="str">
        <f aca="false">"營收：模型 "&amp;IF(ISNUMBER(G22),IF(G22&lt;0,"−","")&amp;"$"&amp;TEXT(ABS(G22),"#,##0.00")&amp;"bn","不適用")&amp;IF(ISNUMBER(G34),"｜共識 "&amp;IF(G34&lt;0,"−","")&amp;"$"&amp;TEXT(ABS(G34),"#,##0.00")&amp;"bn"&amp;"（"&amp;IF(ISNUMBER(G44),IF(G44&lt;0,"−","+")&amp;TEXT(ABS(G44)*100,"#,##0.0")&amp;"%","不適用")&amp;"）","")&amp;IF(AND(ISNUMBER(G31),ISNUMBER(G32)),"｜指引 "&amp;"$"&amp;IF(G31&lt;0,"−","")&amp;TEXT(ABS(G31),"#,##0.00")&amp;"–"&amp;IF(G32&lt;0,"−","")&amp;TEXT(ABS(G32),"#,##0.00")&amp;"bn"&amp;"（中點 "&amp;IF(ISNUMBER(G45),IF(G45&lt;0,"−","+")&amp;TEXT(ABS(G45)*100,"#,##0.0")&amp;"%","不適用")&amp;"，"&amp;IF(G22&gt;G32,"高於上緣",IF(G22&lt;G31,"低於下緣",IF(G22&gt;=(G31+G32)/2,"區間上半部","區間下半部")))&amp;"）","")&amp;IF(ISNUMBER(G38),"｜實際 "&amp;IF(G38&lt;0,"−","")&amp;"$"&amp;TEXT(ABS(G38),"#,##0.00")&amp;"bn"&amp;"（較模型 "&amp;IF(ISNUMBER(G46),IF(G46&lt;0,"−","+")&amp;TEXT(ABS(G46)*100,"#,##0.0")&amp;"%","不適用")&amp;IF(ISNUMBER(G34),"、較共識 "&amp;IF(ISNUMBER(G47),IF(G47&lt;0,"−","+")&amp;TEXT(ABS(G47)*100,"#,##0.0")&amp;"%","不適用"),"")&amp;IF(AND(ISNUMBER(G31),ISNUMBER(G32)),"、"&amp;IF(G38&gt;G32,"高於上緣",IF(G38&lt;G31,"低於下緣",IF(G38&gt;=(G31+G32)/2,"區間上半部","區間下半部"))),"")&amp;"）","")&amp;G124</f>
        <v>營收：模型 $45.52bn</v>
      </c>
      <c r="H129" s="42" t="str">
        <f aca="false">"營收：模型 "&amp;IF(ISNUMBER(H22),IF(H22&lt;0,"−","")&amp;"$"&amp;TEXT(ABS(H22),"#,##0.00")&amp;"bn","不適用")&amp;IF(ISNUMBER(H34),"｜共識 "&amp;IF(H34&lt;0,"−","")&amp;"$"&amp;TEXT(ABS(H34),"#,##0.00")&amp;"bn"&amp;"（"&amp;IF(ISNUMBER(H44),IF(H44&lt;0,"−","+")&amp;TEXT(ABS(H44)*100,"#,##0.0")&amp;"%","不適用")&amp;"）","")&amp;IF(AND(ISNUMBER(H31),ISNUMBER(H32)),"｜指引 "&amp;"$"&amp;IF(H31&lt;0,"−","")&amp;TEXT(ABS(H31),"#,##0.00")&amp;"–"&amp;IF(H32&lt;0,"−","")&amp;TEXT(ABS(H32),"#,##0.00")&amp;"bn"&amp;"（中點 "&amp;IF(ISNUMBER(H45),IF(H45&lt;0,"−","+")&amp;TEXT(ABS(H45)*100,"#,##0.0")&amp;"%","不適用")&amp;"，"&amp;IF(H22&gt;H32,"高於上緣",IF(H22&lt;H31,"低於下緣",IF(H22&gt;=(H31+H32)/2,"區間上半部","區間下半部")))&amp;"）","")&amp;IF(ISNUMBER(H38),"｜實際 "&amp;IF(H38&lt;0,"−","")&amp;"$"&amp;TEXT(ABS(H38),"#,##0.00")&amp;"bn"&amp;"（較模型 "&amp;IF(ISNUMBER(H46),IF(H46&lt;0,"−","+")&amp;TEXT(ABS(H46)*100,"#,##0.0")&amp;"%","不適用")&amp;IF(ISNUMBER(H34),"、較共識 "&amp;IF(ISNUMBER(H47),IF(H47&lt;0,"−","+")&amp;TEXT(ABS(H47)*100,"#,##0.0")&amp;"%","不適用"),"")&amp;IF(AND(ISNUMBER(H31),ISNUMBER(H32)),"、"&amp;IF(H38&gt;H32,"高於上緣",IF(H38&lt;H31,"低於下緣",IF(H38&gt;=(H31+H32)/2,"區間上半部","區間下半部"))),"")&amp;"）","")&amp;H124</f>
        <v>營收：模型 $55.58bn</v>
      </c>
    </row>
    <row r="130" customFormat="false" ht="15" hidden="true" customHeight="false" outlineLevel="1" collapsed="false">
      <c r="A130" s="3" t="s">
        <v>1058</v>
      </c>
      <c r="C130" s="42" t="str">
        <f aca="false">"調整後 EBITDA：模型 "&amp;IF(ISNUMBER(C28),IF(C28&lt;0,"−","")&amp;"$"&amp;TEXT(ABS(C28),"#,##0.00")&amp;"bn","不適用")&amp;IF(ISNUMBER(C35),"｜共識 "&amp;IF(C35&lt;0,"−","")&amp;"$"&amp;TEXT(ABS(C35),"#,##0.00")&amp;"bn"&amp;"（"&amp;IF(ISNUMBER(C49),IF(C49&lt;0,"−","+")&amp;IF(ABS(C49)&lt;0,"−","")&amp;"$"&amp;TEXT(ABS(ABS(C49)),"#,##0.00")&amp;"bn"&amp;IF(ISNUMBER(C54),"／"&amp;IF(C54&lt;0,"−","+")&amp;TEXT(ABS(C54)*100,"#,##0.0")&amp;"pt",""),"不適用")&amp;"）","")&amp;IF(ISNUMBER(C39),"｜實際 "&amp;IF(C39&lt;0,"−","")&amp;"$"&amp;TEXT(ABS(C39),"#,##0.00")&amp;"bn"&amp;"（較模型 "&amp;IF(ISNUMBER(C51),IF(C51&lt;0,"−","+")&amp;IF(ABS(C51)&lt;0,"−","")&amp;"$"&amp;TEXT(ABS(ABS(C51)),"#,##0.00")&amp;"bn"&amp;IF(ISNUMBER(C56),"／"&amp;IF(C56&lt;0,"−","+")&amp;TEXT(ABS(C56)*100,"#,##0.0")&amp;"pt",""),"不適用")&amp;IF(ISNUMBER(C35),"、較共識 "&amp;IF(ISNUMBER(C52),IF(C52&lt;0,"−","+")&amp;IF(ABS(C52)&lt;0,"−","")&amp;"$"&amp;TEXT(ABS(ABS(C52)),"#,##0.00")&amp;"bn"&amp;IF(ISNUMBER(C57),"／"&amp;IF(C57&lt;0,"−","+")&amp;TEXT(ABS(C57)*100,"#,##0.0")&amp;"pt",""),"不適用"),"")&amp;"）","")&amp;C125</f>
        <v>調整後 EBITDA：模型 $12.73bn｜共識 $12.36bn（+$0.37bn／+1.1pt）</v>
      </c>
      <c r="D130" s="42" t="str">
        <f aca="false">"調整後 EBITDA：模型 "&amp;IF(ISNUMBER(D28),IF(D28&lt;0,"−","")&amp;"$"&amp;TEXT(ABS(D28),"#,##0.00")&amp;"bn","不適用")&amp;IF(ISNUMBER(D35),"｜共識 "&amp;IF(D35&lt;0,"−","")&amp;"$"&amp;TEXT(ABS(D35),"#,##0.00")&amp;"bn"&amp;"（"&amp;IF(ISNUMBER(D49),IF(D49&lt;0,"−","+")&amp;IF(ABS(D49)&lt;0,"−","")&amp;"$"&amp;TEXT(ABS(ABS(D49)),"#,##0.00")&amp;"bn"&amp;IF(ISNUMBER(D54),"／"&amp;IF(D54&lt;0,"−","+")&amp;TEXT(ABS(D54)*100,"#,##0.0")&amp;"pt",""),"不適用")&amp;"）","")&amp;IF(ISNUMBER(D39),"｜實際 "&amp;IF(D39&lt;0,"−","")&amp;"$"&amp;TEXT(ABS(D39),"#,##0.00")&amp;"bn"&amp;"（較模型 "&amp;IF(ISNUMBER(D51),IF(D51&lt;0,"−","+")&amp;IF(ABS(D51)&lt;0,"−","")&amp;"$"&amp;TEXT(ABS(ABS(D51)),"#,##0.00")&amp;"bn"&amp;IF(ISNUMBER(D56),"／"&amp;IF(D56&lt;0,"−","+")&amp;TEXT(ABS(D56)*100,"#,##0.0")&amp;"pt",""),"不適用")&amp;IF(ISNUMBER(D35),"、較共識 "&amp;IF(ISNUMBER(D52),IF(D52&lt;0,"−","+")&amp;IF(ABS(D52)&lt;0,"−","")&amp;"$"&amp;TEXT(ABS(ABS(D52)),"#,##0.00")&amp;"bn"&amp;IF(ISNUMBER(D57),"／"&amp;IF(D57&lt;0,"−","+")&amp;TEXT(ABS(D57)*100,"#,##0.0")&amp;"pt",""),"不適用"),"")&amp;"）","")&amp;D125</f>
        <v>調整後 EBITDA：模型 $14.07bn｜共識 $13.52bn（+$0.56bn／+1.3pt）</v>
      </c>
      <c r="E130" s="42" t="str">
        <f aca="false">"調整後 EBITDA：模型 "&amp;IF(ISNUMBER(E28),IF(E28&lt;0,"−","")&amp;"$"&amp;TEXT(ABS(E28),"#,##0.00")&amp;"bn","不適用")&amp;IF(ISNUMBER(E35),"｜共識 "&amp;IF(E35&lt;0,"−","")&amp;"$"&amp;TEXT(ABS(E35),"#,##0.00")&amp;"bn"&amp;"（"&amp;IF(ISNUMBER(E49),IF(E49&lt;0,"−","+")&amp;IF(ABS(E49)&lt;0,"−","")&amp;"$"&amp;TEXT(ABS(ABS(E49)),"#,##0.00")&amp;"bn"&amp;IF(ISNUMBER(E54),"／"&amp;IF(E54&lt;0,"−","+")&amp;TEXT(ABS(E54)*100,"#,##0.0")&amp;"pt",""),"不適用")&amp;"）","")&amp;IF(ISNUMBER(E39),"｜實際 "&amp;IF(E39&lt;0,"−","")&amp;"$"&amp;TEXT(ABS(E39),"#,##0.00")&amp;"bn"&amp;"（較模型 "&amp;IF(ISNUMBER(E51),IF(E51&lt;0,"−","+")&amp;IF(ABS(E51)&lt;0,"−","")&amp;"$"&amp;TEXT(ABS(ABS(E51)),"#,##0.00")&amp;"bn"&amp;IF(ISNUMBER(E56),"／"&amp;IF(E56&lt;0,"−","+")&amp;TEXT(ABS(E56)*100,"#,##0.0")&amp;"pt",""),"不適用")&amp;IF(ISNUMBER(E35),"、較共識 "&amp;IF(ISNUMBER(E52),IF(E52&lt;0,"−","+")&amp;IF(ABS(E52)&lt;0,"−","")&amp;"$"&amp;TEXT(ABS(ABS(E52)),"#,##0.00")&amp;"bn"&amp;IF(ISNUMBER(E57),"／"&amp;IF(E57&lt;0,"−","+")&amp;TEXT(ABS(E57)*100,"#,##0.0")&amp;"pt",""),"不適用"),"")&amp;"）","")&amp;E125</f>
        <v>調整後 EBITDA：模型 $15.41bn</v>
      </c>
      <c r="F130" s="42" t="str">
        <f aca="false">"調整後 EBITDA：模型 "&amp;IF(ISNUMBER(F28),IF(F28&lt;0,"−","")&amp;"$"&amp;TEXT(ABS(F28),"#,##0.00")&amp;"bn","不適用")&amp;IF(ISNUMBER(F35),"｜共識 "&amp;IF(F35&lt;0,"−","")&amp;"$"&amp;TEXT(ABS(F35),"#,##0.00")&amp;"bn"&amp;"（"&amp;IF(ISNUMBER(F49),IF(F49&lt;0,"−","+")&amp;IF(ABS(F49)&lt;0,"−","")&amp;"$"&amp;TEXT(ABS(ABS(F49)),"#,##0.00")&amp;"bn"&amp;IF(ISNUMBER(F54),"／"&amp;IF(F54&lt;0,"−","+")&amp;TEXT(ABS(F54)*100,"#,##0.0")&amp;"pt",""),"不適用")&amp;"）","")&amp;IF(ISNUMBER(F39),"｜實際 "&amp;IF(F39&lt;0,"−","")&amp;"$"&amp;TEXT(ABS(F39),"#,##0.00")&amp;"bn"&amp;"（較模型 "&amp;IF(ISNUMBER(F51),IF(F51&lt;0,"−","+")&amp;IF(ABS(F51)&lt;0,"−","")&amp;"$"&amp;TEXT(ABS(ABS(F51)),"#,##0.00")&amp;"bn"&amp;IF(ISNUMBER(F56),"／"&amp;IF(F56&lt;0,"−","+")&amp;TEXT(ABS(F56)*100,"#,##0.0")&amp;"pt",""),"不適用")&amp;IF(ISNUMBER(F35),"、較共識 "&amp;IF(ISNUMBER(F52),IF(F52&lt;0,"−","+")&amp;IF(ABS(F52)&lt;0,"−","")&amp;"$"&amp;TEXT(ABS(ABS(F52)),"#,##0.00")&amp;"bn"&amp;IF(ISNUMBER(F57),"／"&amp;IF(F57&lt;0,"−","+")&amp;TEXT(ABS(F57)*100,"#,##0.0")&amp;"pt",""),"不適用"),"")&amp;"）","")&amp;F125</f>
        <v>調整後 EBITDA：模型 $21.04bn</v>
      </c>
      <c r="G130" s="42" t="str">
        <f aca="false">"調整後 EBITDA：模型 "&amp;IF(ISNUMBER(G28),IF(G28&lt;0,"−","")&amp;"$"&amp;TEXT(ABS(G28),"#,##0.00")&amp;"bn","不適用")&amp;IF(ISNUMBER(G35),"｜共識 "&amp;IF(G35&lt;0,"−","")&amp;"$"&amp;TEXT(ABS(G35),"#,##0.00")&amp;"bn"&amp;"（"&amp;IF(ISNUMBER(G49),IF(G49&lt;0,"−","+")&amp;IF(ABS(G49)&lt;0,"−","")&amp;"$"&amp;TEXT(ABS(ABS(G49)),"#,##0.00")&amp;"bn"&amp;IF(ISNUMBER(G54),"／"&amp;IF(G54&lt;0,"−","+")&amp;TEXT(ABS(G54)*100,"#,##0.0")&amp;"pt",""),"不適用")&amp;"）","")&amp;IF(ISNUMBER(G39),"｜實際 "&amp;IF(G39&lt;0,"−","")&amp;"$"&amp;TEXT(ABS(G39),"#,##0.00")&amp;"bn"&amp;"（較模型 "&amp;IF(ISNUMBER(G51),IF(G51&lt;0,"−","+")&amp;IF(ABS(G51)&lt;0,"−","")&amp;"$"&amp;TEXT(ABS(ABS(G51)),"#,##0.00")&amp;"bn"&amp;IF(ISNUMBER(G56),"／"&amp;IF(G56&lt;0,"−","+")&amp;TEXT(ABS(G56)*100,"#,##0.0")&amp;"pt",""),"不適用")&amp;IF(ISNUMBER(G35),"、較共識 "&amp;IF(ISNUMBER(G52),IF(G52&lt;0,"−","+")&amp;IF(ABS(G52)&lt;0,"−","")&amp;"$"&amp;TEXT(ABS(ABS(G52)),"#,##0.00")&amp;"bn"&amp;IF(ISNUMBER(G57),"／"&amp;IF(G57&lt;0,"−","+")&amp;TEXT(ABS(G57)*100,"#,##0.0")&amp;"pt",""),"不適用"),"")&amp;"）","")&amp;G125</f>
        <v>調整後 EBITDA：模型 $27.05bn</v>
      </c>
      <c r="H130" s="42" t="str">
        <f aca="false">"調整後 EBITDA：模型 "&amp;IF(ISNUMBER(H28),IF(H28&lt;0,"−","")&amp;"$"&amp;TEXT(ABS(H28),"#,##0.00")&amp;"bn","不適用")&amp;IF(ISNUMBER(H35),"｜共識 "&amp;IF(H35&lt;0,"−","")&amp;"$"&amp;TEXT(ABS(H35),"#,##0.00")&amp;"bn"&amp;"（"&amp;IF(ISNUMBER(H49),IF(H49&lt;0,"−","+")&amp;IF(ABS(H49)&lt;0,"−","")&amp;"$"&amp;TEXT(ABS(ABS(H49)),"#,##0.00")&amp;"bn"&amp;IF(ISNUMBER(H54),"／"&amp;IF(H54&lt;0,"−","+")&amp;TEXT(ABS(H54)*100,"#,##0.0")&amp;"pt",""),"不適用")&amp;"）","")&amp;IF(ISNUMBER(H39),"｜實際 "&amp;IF(H39&lt;0,"−","")&amp;"$"&amp;TEXT(ABS(H39),"#,##0.00")&amp;"bn"&amp;"（較模型 "&amp;IF(ISNUMBER(H51),IF(H51&lt;0,"−","+")&amp;IF(ABS(H51)&lt;0,"−","")&amp;"$"&amp;TEXT(ABS(ABS(H51)),"#,##0.00")&amp;"bn"&amp;IF(ISNUMBER(H56),"／"&amp;IF(H56&lt;0,"−","+")&amp;TEXT(ABS(H56)*100,"#,##0.0")&amp;"pt",""),"不適用")&amp;IF(ISNUMBER(H35),"、較共識 "&amp;IF(ISNUMBER(H52),IF(H52&lt;0,"−","+")&amp;IF(ABS(H52)&lt;0,"−","")&amp;"$"&amp;TEXT(ABS(ABS(H52)),"#,##0.00")&amp;"bn"&amp;IF(ISNUMBER(H57),"／"&amp;IF(H57&lt;0,"−","+")&amp;TEXT(ABS(H57)*100,"#,##0.0")&amp;"pt",""),"不適用"),"")&amp;"）","")&amp;H125</f>
        <v>調整後 EBITDA：模型 $33.09bn</v>
      </c>
    </row>
    <row r="131" customFormat="false" ht="15" hidden="true" customHeight="false" outlineLevel="1" collapsed="false">
      <c r="A131" s="3" t="s">
        <v>1059</v>
      </c>
      <c r="C131" s="42" t="str">
        <f aca="false">"EBITDA 率：模型 "&amp;IF(ISNUMBER(C27),IF(C27&lt;0,"−","")&amp;TEXT(ABS(C27)*100,"#,##0.0")&amp;"%","不適用")&amp;IF(ISNUMBER(C36),"｜共識 "&amp;IF(C36&lt;0,"−","")&amp;TEXT(ABS(C36)*100,"#,##0.0")&amp;"%"&amp;"（"&amp;IF(ISNUMBER(C59),IF(C59&lt;0,"−","+")&amp;TEXT(ABS(C59)*100,"#,##0.0")&amp;"pt","不適用")&amp;"）","")&amp;IF(ISNUMBER(C40),"｜實際 "&amp;IF(C40&lt;0,"−","")&amp;TEXT(ABS(C40)*100,"#,##0.0")&amp;"%"&amp;"（較模型 "&amp;IF(ISNUMBER(C61),IF(C61&lt;0,"−","+")&amp;TEXT(ABS(C61)*100,"#,##0.0")&amp;"pt","不適用")&amp;IF(ISNUMBER(C36),"、較共識 "&amp;IF(ISNUMBER(C62),IF(C62&lt;0,"−","+")&amp;TEXT(ABS(C62)*100,"#,##0.0")&amp;"pt","不適用"),"")&amp;"）","")</f>
        <v>EBITDA 率：模型 59.0%｜共識 58.0%（+1.1pt）</v>
      </c>
      <c r="D131" s="42" t="str">
        <f aca="false">"EBITDA 率：模型 "&amp;IF(ISNUMBER(D27),IF(D27&lt;0,"−","")&amp;TEXT(ABS(D27)*100,"#,##0.0")&amp;"%","不適用")&amp;IF(ISNUMBER(D36),"｜共識 "&amp;IF(D36&lt;0,"−","")&amp;TEXT(ABS(D36)*100,"#,##0.0")&amp;"%"&amp;"（"&amp;IF(ISNUMBER(D59),IF(D59&lt;0,"−","+")&amp;TEXT(ABS(D59)*100,"#,##0.0")&amp;"pt","不適用")&amp;"）","")&amp;IF(ISNUMBER(D40),"｜實際 "&amp;IF(D40&lt;0,"−","")&amp;TEXT(ABS(D40)*100,"#,##0.0")&amp;"%"&amp;"（較模型 "&amp;IF(ISNUMBER(D61),IF(D61&lt;0,"−","+")&amp;TEXT(ABS(D61)*100,"#,##0.0")&amp;"pt","不適用")&amp;IF(ISNUMBER(D36),"、較共識 "&amp;IF(ISNUMBER(D62),IF(D62&lt;0,"−","+")&amp;TEXT(ABS(D62)*100,"#,##0.0")&amp;"pt","不適用"),"")&amp;"）","")</f>
        <v>EBITDA 率：模型 59.1%｜共識 57.8%（+1.3pt）</v>
      </c>
      <c r="E131" s="42" t="str">
        <f aca="false">"EBITDA 率：模型 "&amp;IF(ISNUMBER(E27),IF(E27&lt;0,"−","")&amp;TEXT(ABS(E27)*100,"#,##0.0")&amp;"%","不適用")&amp;IF(ISNUMBER(E36),"｜共識 "&amp;IF(E36&lt;0,"−","")&amp;TEXT(ABS(E36)*100,"#,##0.0")&amp;"%"&amp;"（"&amp;IF(ISNUMBER(E59),IF(E59&lt;0,"−","+")&amp;TEXT(ABS(E59)*100,"#,##0.0")&amp;"pt","不適用")&amp;"）","")&amp;IF(ISNUMBER(E40),"｜實際 "&amp;IF(E40&lt;0,"−","")&amp;TEXT(ABS(E40)*100,"#,##0.0")&amp;"%"&amp;"（較模型 "&amp;IF(ISNUMBER(E61),IF(E61&lt;0,"−","+")&amp;TEXT(ABS(E61)*100,"#,##0.0")&amp;"pt","不適用")&amp;IF(ISNUMBER(E36),"、較共識 "&amp;IF(ISNUMBER(E62),IF(E62&lt;0,"−","+")&amp;TEXT(ABS(E62)*100,"#,##0.0")&amp;"pt","不適用"),"")&amp;"）","")</f>
        <v>EBITDA 率：模型 59.2%</v>
      </c>
      <c r="F131" s="42" t="str">
        <f aca="false">"EBITDA 率：模型 "&amp;IF(ISNUMBER(F27),IF(F27&lt;0,"−","")&amp;TEXT(ABS(F27)*100,"#,##0.0")&amp;"%","不適用")&amp;IF(ISNUMBER(F36),"｜共識 "&amp;IF(F36&lt;0,"−","")&amp;TEXT(ABS(F36)*100,"#,##0.0")&amp;"%"&amp;"（"&amp;IF(ISNUMBER(F59),IF(F59&lt;0,"−","+")&amp;TEXT(ABS(F59)*100,"#,##0.0")&amp;"pt","不適用")&amp;"）","")&amp;IF(ISNUMBER(F40),"｜實際 "&amp;IF(F40&lt;0,"−","")&amp;TEXT(ABS(F40)*100,"#,##0.0")&amp;"%"&amp;"（較模型 "&amp;IF(ISNUMBER(F61),IF(F61&lt;0,"−","+")&amp;TEXT(ABS(F61)*100,"#,##0.0")&amp;"pt","不適用")&amp;IF(ISNUMBER(F36),"、較共識 "&amp;IF(ISNUMBER(F62),IF(F62&lt;0,"−","+")&amp;TEXT(ABS(F62)*100,"#,##0.0")&amp;"pt","不適用"),"")&amp;"）","")</f>
        <v>EBITDA 率：模型 59.3%</v>
      </c>
      <c r="G131" s="42" t="str">
        <f aca="false">"EBITDA 率：模型 "&amp;IF(ISNUMBER(G27),IF(G27&lt;0,"−","")&amp;TEXT(ABS(G27)*100,"#,##0.0")&amp;"%","不適用")&amp;IF(ISNUMBER(G36),"｜共識 "&amp;IF(G36&lt;0,"−","")&amp;TEXT(ABS(G36)*100,"#,##0.0")&amp;"%"&amp;"（"&amp;IF(ISNUMBER(G59),IF(G59&lt;0,"−","+")&amp;TEXT(ABS(G59)*100,"#,##0.0")&amp;"pt","不適用")&amp;"）","")&amp;IF(ISNUMBER(G40),"｜實際 "&amp;IF(G40&lt;0,"−","")&amp;TEXT(ABS(G40)*100,"#,##0.0")&amp;"%"&amp;"（較模型 "&amp;IF(ISNUMBER(G61),IF(G61&lt;0,"−","+")&amp;TEXT(ABS(G61)*100,"#,##0.0")&amp;"pt","不適用")&amp;IF(ISNUMBER(G36),"、較共識 "&amp;IF(ISNUMBER(G62),IF(G62&lt;0,"−","+")&amp;TEXT(ABS(G62)*100,"#,##0.0")&amp;"pt","不適用"),"")&amp;"）","")</f>
        <v>EBITDA 率：模型 59.4%</v>
      </c>
      <c r="H131" s="42" t="str">
        <f aca="false">"EBITDA 率：模型 "&amp;IF(ISNUMBER(H27),IF(H27&lt;0,"−","")&amp;TEXT(ABS(H27)*100,"#,##0.0")&amp;"%","不適用")&amp;IF(ISNUMBER(H36),"｜共識 "&amp;IF(H36&lt;0,"−","")&amp;TEXT(ABS(H36)*100,"#,##0.0")&amp;"%"&amp;"（"&amp;IF(ISNUMBER(H59),IF(H59&lt;0,"−","+")&amp;TEXT(ABS(H59)*100,"#,##0.0")&amp;"pt","不適用")&amp;"）","")&amp;IF(ISNUMBER(H40),"｜實際 "&amp;IF(H40&lt;0,"−","")&amp;TEXT(ABS(H40)*100,"#,##0.0")&amp;"%"&amp;"（較模型 "&amp;IF(ISNUMBER(H61),IF(H61&lt;0,"−","+")&amp;TEXT(ABS(H61)*100,"#,##0.0")&amp;"pt","不適用")&amp;IF(ISNUMBER(H36),"、較共識 "&amp;IF(ISNUMBER(H62),IF(H62&lt;0,"−","+")&amp;TEXT(ABS(H62)*100,"#,##0.0")&amp;"pt","不適用"),"")&amp;"）","")</f>
        <v>EBITDA 率：模型 59.5%</v>
      </c>
    </row>
    <row r="132" customFormat="false" ht="15" hidden="true" customHeight="false" outlineLevel="1" collapsed="false">
      <c r="A132" s="3" t="s">
        <v>1060</v>
      </c>
      <c r="C132" s="42" t="str">
        <f aca="false">"調整後營業利益：模型 "&amp;IF(ISNUMBER(C30),IF(C30&lt;0,"−","")&amp;"$"&amp;TEXT(ABS(C30),"#,##0.00")&amp;"bn","不適用")&amp;IF(ISNUMBER(C41),"｜實際 "&amp;IF(C41&lt;0,"−","")&amp;"$"&amp;TEXT(ABS(C41),"#,##0.00")&amp;"bn"&amp;"（較模型 "&amp;IF(ISNUMBER(C66),IF(C66&lt;0,"−","+")&amp;IF(ABS(C66)&lt;0,"−","")&amp;"$"&amp;TEXT(ABS(ABS(C66)),"#,##0.00")&amp;"bn"&amp;IF(ISNUMBER(C71),"／"&amp;IF(C71&lt;0,"−","+")&amp;TEXT(ABS(C71)*100,"#,##0.0")&amp;"pt",""),"不適用")&amp;"）","")&amp;C126</f>
        <v>調整後營業利益：模型 $9.04bn</v>
      </c>
      <c r="D132" s="42" t="str">
        <f aca="false">"調整後營業利益：模型 "&amp;IF(ISNUMBER(D30),IF(D30&lt;0,"−","")&amp;"$"&amp;TEXT(ABS(D30),"#,##0.00")&amp;"bn","不適用")&amp;IF(ISNUMBER(D41),"｜實際 "&amp;IF(D41&lt;0,"−","")&amp;"$"&amp;TEXT(ABS(D41),"#,##0.00")&amp;"bn"&amp;"（較模型 "&amp;IF(ISNUMBER(D66),IF(D66&lt;0,"−","+")&amp;IF(ABS(D66)&lt;0,"−","")&amp;"$"&amp;TEXT(ABS(ABS(D66)),"#,##0.00")&amp;"bn"&amp;IF(ISNUMBER(D71),"／"&amp;IF(D71&lt;0,"−","+")&amp;TEXT(ABS(D71)*100,"#,##0.0")&amp;"pt",""),"不適用")&amp;"）","")&amp;D126</f>
        <v>調整後營業利益：模型 $9.30bn</v>
      </c>
      <c r="E132" s="42" t="str">
        <f aca="false">"調整後營業利益：模型 "&amp;IF(ISNUMBER(E30),IF(E30&lt;0,"−","")&amp;"$"&amp;TEXT(ABS(E30),"#,##0.00")&amp;"bn","不適用")&amp;IF(ISNUMBER(E41),"｜實際 "&amp;IF(E41&lt;0,"−","")&amp;"$"&amp;TEXT(ABS(E41),"#,##0.00")&amp;"bn"&amp;"（較模型 "&amp;IF(ISNUMBER(E66),IF(E66&lt;0,"−","+")&amp;IF(ABS(E66)&lt;0,"−","")&amp;"$"&amp;TEXT(ABS(ABS(E66)),"#,##0.00")&amp;"bn"&amp;IF(ISNUMBER(E71),"／"&amp;IF(E71&lt;0,"−","+")&amp;TEXT(ABS(E71)*100,"#,##0.0")&amp;"pt",""),"不適用")&amp;"）","")&amp;E126</f>
        <v>調整後營業利益：模型 $9.56bn</v>
      </c>
      <c r="F132" s="42" t="str">
        <f aca="false">"調整後營業利益：模型 "&amp;IF(ISNUMBER(F30),IF(F30&lt;0,"−","")&amp;"$"&amp;TEXT(ABS(F30),"#,##0.00")&amp;"bn","不適用")&amp;IF(ISNUMBER(F41),"｜實際 "&amp;IF(F41&lt;0,"−","")&amp;"$"&amp;TEXT(ABS(F41),"#,##0.00")&amp;"bn"&amp;"（較模型 "&amp;IF(ISNUMBER(F66),IF(F66&lt;0,"−","+")&amp;IF(ABS(F66)&lt;0,"−","")&amp;"$"&amp;TEXT(ABS(ABS(F66)),"#,##0.00")&amp;"bn"&amp;IF(ISNUMBER(F71),"／"&amp;IF(F71&lt;0,"−","+")&amp;TEXT(ABS(F71)*100,"#,##0.0")&amp;"pt",""),"不適用")&amp;"）","")&amp;F126</f>
        <v>調整後營業利益：模型 $11.72bn</v>
      </c>
      <c r="G132" s="42" t="str">
        <f aca="false">"調整後營業利益：模型 "&amp;IF(ISNUMBER(G30),IF(G30&lt;0,"−","")&amp;"$"&amp;TEXT(ABS(G30),"#,##0.00")&amp;"bn","不適用")&amp;IF(ISNUMBER(G41),"｜實際 "&amp;IF(G41&lt;0,"−","")&amp;"$"&amp;TEXT(ABS(G41),"#,##0.00")&amp;"bn"&amp;"（較模型 "&amp;IF(ISNUMBER(G66),IF(G66&lt;0,"−","+")&amp;IF(ABS(G66)&lt;0,"−","")&amp;"$"&amp;TEXT(ABS(ABS(G66)),"#,##0.00")&amp;"bn"&amp;IF(ISNUMBER(G71),"／"&amp;IF(G71&lt;0,"−","+")&amp;TEXT(ABS(G71)*100,"#,##0.0")&amp;"pt",""),"不適用")&amp;"）","")&amp;G126</f>
        <v>調整後營業利益：模型 $16.14bn</v>
      </c>
      <c r="H132" s="42" t="str">
        <f aca="false">"調整後營業利益：模型 "&amp;IF(ISNUMBER(H30),IF(H30&lt;0,"−","")&amp;"$"&amp;TEXT(ABS(H30),"#,##0.00")&amp;"bn","不適用")&amp;IF(ISNUMBER(H41),"｜實際 "&amp;IF(H41&lt;0,"−","")&amp;"$"&amp;TEXT(ABS(H41),"#,##0.00")&amp;"bn"&amp;"（較模型 "&amp;IF(ISNUMBER(H66),IF(H66&lt;0,"−","+")&amp;IF(ABS(H66)&lt;0,"−","")&amp;"$"&amp;TEXT(ABS(ABS(H66)),"#,##0.00")&amp;"bn"&amp;IF(ISNUMBER(H71),"／"&amp;IF(H71&lt;0,"−","+")&amp;TEXT(ABS(H71)*100,"#,##0.0")&amp;"pt",""),"不適用")&amp;"）","")&amp;H126</f>
        <v>調整後營業利益：模型 $20.58bn</v>
      </c>
    </row>
    <row r="133" customFormat="false" ht="15" hidden="true" customHeight="false" outlineLevel="1" collapsed="false">
      <c r="A133" s="3" t="s">
        <v>1061</v>
      </c>
      <c r="C133" s="42" t="str">
        <f aca="false">"CapEx（毛額）：模型 "&amp;IF(ISNUMBER(C33),IF(C33&lt;0,"−","")&amp;"$"&amp;TEXT(ABS(C33),"#,##0.00")&amp;"bn","不適用")&amp;IF(ISNUMBER(C42),"｜實際 "&amp;IF(C42&lt;0,"−","")&amp;"$"&amp;TEXT(ABS(C42),"#,##0.00")&amp;"bn"&amp;"（較模型 "&amp;IF(ISNUMBER(C76),IF(C76&lt;0,"−","+")&amp;TEXT(ABS(C76)*100,"#,##0.0")&amp;"%","不適用")&amp;"）","")&amp;C127</f>
        <v>CapEx（毛額）：模型 $25.87bn</v>
      </c>
      <c r="D133" s="42" t="str">
        <f aca="false">"CapEx（毛額）：模型 "&amp;IF(ISNUMBER(D33),IF(D33&lt;0,"−","")&amp;"$"&amp;TEXT(ABS(D33),"#,##0.00")&amp;"bn","不適用")&amp;IF(ISNUMBER(D42),"｜實際 "&amp;IF(D42&lt;0,"−","")&amp;"$"&amp;TEXT(ABS(D42),"#,##0.00")&amp;"bn"&amp;"（較模型 "&amp;IF(ISNUMBER(D76),IF(D76&lt;0,"−","+")&amp;TEXT(ABS(D76)*100,"#,##0.0")&amp;"%","不適用")&amp;"）","")&amp;D127</f>
        <v>CapEx（毛額）：模型 $25.87bn</v>
      </c>
      <c r="E133" s="42" t="str">
        <f aca="false">"CapEx（毛額）：模型 "&amp;IF(ISNUMBER(E33),IF(E33&lt;0,"−","")&amp;"$"&amp;TEXT(ABS(E33),"#,##0.00")&amp;"bn","不適用")&amp;IF(ISNUMBER(E42),"｜實際 "&amp;IF(E42&lt;0,"−","")&amp;"$"&amp;TEXT(ABS(E42),"#,##0.00")&amp;"bn"&amp;"（較模型 "&amp;IF(ISNUMBER(E76),IF(E76&lt;0,"−","+")&amp;TEXT(ABS(E76)*100,"#,##0.0")&amp;"%","不適用")&amp;"）","")&amp;E127</f>
        <v>CapEx（毛額）：模型 $25.87bn</v>
      </c>
      <c r="F133" s="42" t="str">
        <f aca="false">"CapEx（毛額）：模型 "&amp;IF(ISNUMBER(F33),IF(F33&lt;0,"−","")&amp;"$"&amp;TEXT(ABS(F33),"#,##0.00")&amp;"bn","不適用")&amp;IF(ISNUMBER(F42),"｜實際 "&amp;IF(F42&lt;0,"−","")&amp;"$"&amp;TEXT(ABS(F42),"#,##0.00")&amp;"bn"&amp;"（較模型 "&amp;IF(ISNUMBER(F76),IF(F76&lt;0,"−","+")&amp;TEXT(ABS(F76)*100,"#,##0.0")&amp;"%","不適用")&amp;"）","")&amp;F127</f>
        <v>CapEx（毛額）：模型 $28.67bn</v>
      </c>
      <c r="G133" s="42" t="str">
        <f aca="false">"CapEx（毛額）：模型 "&amp;IF(ISNUMBER(G33),IF(G33&lt;0,"−","")&amp;"$"&amp;TEXT(ABS(G33),"#,##0.00")&amp;"bn","不適用")&amp;IF(ISNUMBER(G42),"｜實際 "&amp;IF(G42&lt;0,"−","")&amp;"$"&amp;TEXT(ABS(G42),"#,##0.00")&amp;"bn"&amp;"（較模型 "&amp;IF(ISNUMBER(G76),IF(G76&lt;0,"−","+")&amp;TEXT(ABS(G76)*100,"#,##0.0")&amp;"%","不適用")&amp;"）","")&amp;G127</f>
        <v>CapEx（毛額）：模型 $28.67bn</v>
      </c>
      <c r="H133" s="42" t="str">
        <f aca="false">"CapEx（毛額）：模型 "&amp;IF(ISNUMBER(H33),IF(H33&lt;0,"−","")&amp;"$"&amp;TEXT(ABS(H33),"#,##0.00")&amp;"bn","不適用")&amp;IF(ISNUMBER(H42),"｜實際 "&amp;IF(H42&lt;0,"−","")&amp;"$"&amp;TEXT(ABS(H42),"#,##0.00")&amp;"bn"&amp;"（較模型 "&amp;IF(ISNUMBER(H76),IF(H76&lt;0,"−","+")&amp;TEXT(ABS(H76)*100,"#,##0.0")&amp;"%","不適用")&amp;"）","")&amp;H127</f>
        <v>CapEx（毛額）：模型 $28.67bn</v>
      </c>
    </row>
    <row r="134" customFormat="false" ht="15" hidden="true" customHeight="false" outlineLevel="1" collapsed="false">
      <c r="A134" s="3" t="s">
        <v>1062</v>
      </c>
      <c r="C134" s="42" t="str">
        <f aca="false">"季末已連網 MW-IT：模型 "&amp;IF(ISNUMBER(C19),IF(C19&lt;0,"−","")&amp;TEXT(ABS(C19),"#,##0")&amp;" MW","不適用")&amp;IF(ISNUMBER(C43),"｜實際 "&amp;IF(C43&lt;0,"−","")&amp;TEXT(ABS(C43),"#,##0")&amp;" MW"&amp;"（較模型 "&amp;IF(ISNUMBER(C81),IF(C81&lt;0,"−","+")&amp;IF(ABS(C81)&lt;0,"−","")&amp;TEXT(ABS(ABS(C81)),"#,##0")&amp;" MW","不適用")&amp;"）","")&amp;C128</f>
        <v>季末已連網 MW-IT：模型 3,251 MW</v>
      </c>
      <c r="D134" s="42" t="str">
        <f aca="false">"季末已連網 MW-IT：模型 "&amp;IF(ISNUMBER(D19),IF(D19&lt;0,"−","")&amp;TEXT(ABS(D19),"#,##0")&amp;" MW","不適用")&amp;IF(ISNUMBER(D43),"｜實際 "&amp;IF(D43&lt;0,"−","")&amp;TEXT(ABS(D43),"#,##0")&amp;" MW"&amp;"（較模型 "&amp;IF(ISNUMBER(D81),IF(D81&lt;0,"−","+")&amp;IF(ABS(D81)&lt;0,"−","")&amp;TEXT(ABS(ABS(D81)),"#,##0")&amp;" MW","不適用")&amp;"）","")&amp;D128</f>
        <v>季末已連網 MW-IT：模型 3,960 MW</v>
      </c>
      <c r="E134" s="42" t="str">
        <f aca="false">"季末已連網 MW-IT：模型 "&amp;IF(ISNUMBER(E19),IF(E19&lt;0,"−","")&amp;TEXT(ABS(E19),"#,##0")&amp;" MW","不適用")&amp;IF(ISNUMBER(E43),"｜實際 "&amp;IF(E43&lt;0,"−","")&amp;TEXT(ABS(E43),"#,##0")&amp;" MW"&amp;"（較模型 "&amp;IF(ISNUMBER(E81),IF(E81&lt;0,"−","+")&amp;IF(ABS(E81)&lt;0,"−","")&amp;TEXT(ABS(ABS(E81)),"#,##0")&amp;" MW","不適用")&amp;"）","")&amp;E128</f>
        <v>季末已連網 MW-IT：模型 4,668 MW</v>
      </c>
      <c r="F134" s="42" t="str">
        <f aca="false">"季末已連網 MW-IT：模型 "&amp;IF(ISNUMBER(F19),IF(F19&lt;0,"−","")&amp;TEXT(ABS(F19),"#,##0")&amp;" MW","不適用")&amp;IF(ISNUMBER(F43),"｜實際 "&amp;IF(F43&lt;0,"−","")&amp;TEXT(ABS(F43),"#,##0")&amp;" MW"&amp;"（較模型 "&amp;IF(ISNUMBER(F81),IF(F81&lt;0,"−","+")&amp;IF(ABS(F81)&lt;0,"−","")&amp;TEXT(ABS(ABS(F81)),"#,##0")&amp;" MW","不適用")&amp;"）","")&amp;F128</f>
        <v>季末已連網 MW-IT：模型 5,612 MW</v>
      </c>
      <c r="G134" s="42" t="str">
        <f aca="false">"季末已連網 MW-IT：模型 "&amp;IF(ISNUMBER(G19),IF(G19&lt;0,"−","")&amp;TEXT(ABS(G19),"#,##0")&amp;" MW","不適用")&amp;IF(ISNUMBER(G43),"｜實際 "&amp;IF(G43&lt;0,"−","")&amp;TEXT(ABS(G43),"#,##0")&amp;" MW"&amp;"（較模型 "&amp;IF(ISNUMBER(G81),IF(G81&lt;0,"−","+")&amp;IF(ABS(G81)&lt;0,"−","")&amp;TEXT(ABS(ABS(G81)),"#,##0")&amp;" MW","不適用")&amp;"）","")&amp;G128</f>
        <v>季末已連網 MW-IT：模型 6,557 MW</v>
      </c>
      <c r="H134" s="42" t="str">
        <f aca="false">"季末已連網 MW-IT：模型 "&amp;IF(ISNUMBER(H19),IF(H19&lt;0,"−","")&amp;TEXT(ABS(H19),"#,##0")&amp;" MW","不適用")&amp;IF(ISNUMBER(H43),"｜實際 "&amp;IF(H43&lt;0,"−","")&amp;TEXT(ABS(H43),"#,##0")&amp;" MW"&amp;"（較模型 "&amp;IF(ISNUMBER(H81),IF(H81&lt;0,"−","+")&amp;IF(ABS(H81)&lt;0,"−","")&amp;TEXT(ABS(ABS(H81)),"#,##0")&amp;" MW","不適用")&amp;"）","")&amp;H128</f>
        <v>季末已連網 MW-IT：模型 7,501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1063</v>
      </c>
    </row>
    <row r="137" customFormat="false" ht="15" hidden="true" customHeight="false" outlineLevel="1" collapsed="false">
      <c r="A137" s="3" t="s">
        <v>1064</v>
      </c>
      <c r="C137" s="65" t="n">
        <f aca="false">C22+D22+E22-損益!C9</f>
        <v>0</v>
      </c>
      <c r="D137" s="65" t="n">
        <f aca="false">F22+G22+H22-損益!D9</f>
        <v>0</v>
      </c>
    </row>
    <row r="138" customFormat="false" ht="15" hidden="true" customHeight="false" outlineLevel="1" collapsed="false">
      <c r="A138" s="3" t="s">
        <v>1065</v>
      </c>
      <c r="C138" s="65" t="n">
        <f aca="false">C28+D28+E28-損益!C21</f>
        <v>0</v>
      </c>
      <c r="D138" s="65" t="n">
        <f aca="false">F28+G28+H28-損益!D21</f>
        <v>0</v>
      </c>
    </row>
    <row r="139" customFormat="false" ht="15" hidden="true" customHeight="false" outlineLevel="1" collapsed="false">
      <c r="A139" s="3" t="s">
        <v>1066</v>
      </c>
      <c r="C139" s="65" t="n">
        <f aca="false">C30+D30+E30-損益!C11</f>
        <v>0</v>
      </c>
      <c r="D139" s="65" t="n">
        <f aca="false">F30+G30+H30-損益!D11</f>
        <v>0</v>
      </c>
    </row>
    <row r="140" customFormat="false" ht="15" hidden="true" customHeight="false" outlineLevel="1" collapsed="false">
      <c r="A140" s="3" t="s">
        <v>1067</v>
      </c>
      <c r="C140" s="65" t="n">
        <f aca="false">C33+D33+E33-輸入與假設!C$135</f>
        <v>0</v>
      </c>
      <c r="D140" s="65" t="n">
        <f aca="false">F33+G33+H33-輸入與假設!D$135</f>
        <v>0</v>
      </c>
    </row>
    <row r="141" customFormat="false" ht="15" hidden="true" customHeight="false" outlineLevel="1" collapsed="false">
      <c r="A141" s="3" t="s">
        <v>1068</v>
      </c>
      <c r="C141" s="65" t="n">
        <f aca="false">C29+D29+E29-輸入與假設!C$136</f>
        <v>0</v>
      </c>
      <c r="D141" s="65" t="n">
        <f aca="false">F29+G29+H29-輸入與假設!D$136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1069</v>
      </c>
    </row>
    <row r="2" customFormat="false" ht="15" hidden="false" customHeight="false" outlineLevel="0" collapsed="false">
      <c r="A2" s="6" t="s">
        <v>1070</v>
      </c>
    </row>
    <row r="3" customFormat="false" ht="15" hidden="false" customHeight="false" outlineLevel="0" collapsed="false">
      <c r="A3" s="11" t="s">
        <v>1071</v>
      </c>
    </row>
    <row r="5" customFormat="false" ht="15" hidden="false" customHeight="false" outlineLevel="0" collapsed="false">
      <c r="A5" s="14" t="s">
        <v>51</v>
      </c>
      <c r="B5" s="14" t="s">
        <v>52</v>
      </c>
      <c r="C5" s="28" t="s">
        <v>53</v>
      </c>
      <c r="D5" s="28" t="s">
        <v>54</v>
      </c>
      <c r="E5" s="28" t="s">
        <v>55</v>
      </c>
      <c r="F5" s="28" t="s">
        <v>145</v>
      </c>
      <c r="G5" s="28" t="s">
        <v>146</v>
      </c>
      <c r="I5" s="14" t="s">
        <v>747</v>
      </c>
    </row>
    <row r="6" customFormat="false" ht="15" hidden="false" customHeight="false" outlineLevel="0" collapsed="false">
      <c r="A6" s="3" t="s">
        <v>524</v>
      </c>
      <c r="B6" s="6"/>
      <c r="C6" s="62" t="str">
        <f aca="false">"2026-09-01~05-31"</f>
        <v>2026-09-01~05-31</v>
      </c>
      <c r="D6" s="62" t="str">
        <f aca="false">"2028 全年"</f>
        <v>2028 全年</v>
      </c>
      <c r="E6" s="62" t="str">
        <f aca="false">"2029 全年"</f>
        <v>2029 全年</v>
      </c>
      <c r="F6" s="62" t="str">
        <f aca="false">"2030 全年"</f>
        <v>2030 全年</v>
      </c>
      <c r="G6" s="62" t="str">
        <f aca="false">"2031 全年"</f>
        <v>2031 全年</v>
      </c>
      <c r="I6" s="11" t="s">
        <v>1072</v>
      </c>
    </row>
    <row r="7" customFormat="false" ht="15" hidden="false" customHeight="false" outlineLevel="0" collapsed="false">
      <c r="A7" s="3" t="s">
        <v>210</v>
      </c>
      <c r="B7" s="6"/>
      <c r="C7" s="39" t="n">
        <f aca="false">輸入與假設!C$41</f>
        <v>0.75</v>
      </c>
      <c r="D7" s="39" t="n">
        <f aca="false">輸入與假設!D$41</f>
        <v>1</v>
      </c>
      <c r="E7" s="39" t="n">
        <f aca="false">輸入與假設!E$41</f>
        <v>1</v>
      </c>
      <c r="F7" s="39" t="n">
        <f aca="false">輸入與假設!F$41</f>
        <v>1</v>
      </c>
      <c r="G7" s="39" t="n">
        <f aca="false">輸入與假設!G$41</f>
        <v>1</v>
      </c>
      <c r="I7" s="6" t="s">
        <v>1073</v>
      </c>
    </row>
    <row r="8" customFormat="false" ht="15" hidden="false" customHeight="false" outlineLevel="0" collapsed="false">
      <c r="A8" s="46" t="s">
        <v>1074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1075</v>
      </c>
      <c r="B9" s="11" t="s">
        <v>149</v>
      </c>
      <c r="C9" s="64" t="n">
        <f aca="false">MAX(0,輸入與假設!C$43)</f>
        <v>4668</v>
      </c>
      <c r="D9" s="64" t="n">
        <f aca="false">MAX(輸入與假設!D$43,C9)</f>
        <v>7501</v>
      </c>
      <c r="E9" s="64" t="n">
        <f aca="false">MAX(輸入與假設!E$43,D9)</f>
        <v>8778</v>
      </c>
      <c r="F9" s="64" t="n">
        <f aca="false">MAX(輸入與假設!F$43,E9)</f>
        <v>8778</v>
      </c>
      <c r="G9" s="64" t="n">
        <f aca="false">MAX(輸入與假設!G$43,F9)</f>
        <v>8778</v>
      </c>
      <c r="I9" s="6" t="s">
        <v>1076</v>
      </c>
    </row>
    <row r="10" customFormat="false" ht="15" hidden="false" customHeight="false" outlineLevel="1" collapsed="false">
      <c r="A10" s="4" t="s">
        <v>1077</v>
      </c>
      <c r="B10" s="11" t="s">
        <v>149</v>
      </c>
      <c r="C10" s="64" t="n">
        <f aca="false">MIN(MAX(0,輸入與假設!C$44),C9)</f>
        <v>3183</v>
      </c>
      <c r="D10" s="64" t="n">
        <f aca="false">MIN(MAX(0,輸入與假設!D$44),D9)</f>
        <v>6340</v>
      </c>
      <c r="E10" s="64" t="n">
        <f aca="false">MIN(MAX(0,輸入與假設!E$44),E9)</f>
        <v>7716</v>
      </c>
      <c r="F10" s="64" t="n">
        <f aca="false">MIN(MAX(0,輸入與假設!F$44),F9)</f>
        <v>8070</v>
      </c>
      <c r="G10" s="64" t="n">
        <f aca="false">MIN(MAX(0,輸入與假設!G$44),G9)</f>
        <v>8070</v>
      </c>
      <c r="I10" s="6" t="s">
        <v>1078</v>
      </c>
    </row>
    <row r="11" customFormat="false" ht="15" hidden="false" customHeight="false" outlineLevel="1" collapsed="false">
      <c r="A11" s="3" t="s">
        <v>1079</v>
      </c>
      <c r="B11" s="11" t="s">
        <v>149</v>
      </c>
      <c r="C11" s="64" t="n">
        <f aca="false">輸入與假設!$C$36</f>
        <v>1698</v>
      </c>
      <c r="D11" s="64" t="n">
        <f aca="false">C10</f>
        <v>3183</v>
      </c>
      <c r="E11" s="64" t="n">
        <f aca="false">D10</f>
        <v>6340</v>
      </c>
      <c r="F11" s="64" t="n">
        <f aca="false">E10</f>
        <v>7716</v>
      </c>
      <c r="G11" s="64" t="n">
        <f aca="false">F10</f>
        <v>8070</v>
      </c>
      <c r="I11" s="6" t="s">
        <v>1080</v>
      </c>
    </row>
    <row r="12" customFormat="false" ht="15" hidden="false" customHeight="false" outlineLevel="1" collapsed="false">
      <c r="A12" s="3" t="s">
        <v>1081</v>
      </c>
      <c r="B12" s="11" t="s">
        <v>149</v>
      </c>
      <c r="C12" s="64" t="n">
        <f aca="false">IF(輸入與假設!$C$37=1,(C11+C10)/2,C10)</f>
        <v>2440.5</v>
      </c>
      <c r="D12" s="64" t="n">
        <f aca="false">IF(輸入與假設!$C$37=1,(D11+D10)/2,D10)</f>
        <v>4761.5</v>
      </c>
      <c r="E12" s="64" t="n">
        <f aca="false">IF(輸入與假設!$C$37=1,(E11+E10)/2,E10)</f>
        <v>7028</v>
      </c>
      <c r="F12" s="64" t="n">
        <f aca="false">IF(輸入與假設!$C$37=1,(F11+F10)/2,F10)</f>
        <v>7893</v>
      </c>
      <c r="G12" s="64" t="n">
        <f aca="false">IF(輸入與假設!$C$37=1,(G11+G10)/2,G10)</f>
        <v>8070</v>
      </c>
      <c r="I12" s="6" t="s">
        <v>1082</v>
      </c>
    </row>
    <row r="13" customFormat="false" ht="15" hidden="false" customHeight="false" outlineLevel="1" collapsed="false">
      <c r="A13" s="3" t="s">
        <v>218</v>
      </c>
      <c r="B13" s="11" t="s">
        <v>42</v>
      </c>
      <c r="C13" s="47" t="n">
        <f aca="false">輸入與假設!C$45</f>
        <v>1</v>
      </c>
      <c r="D13" s="47" t="n">
        <f aca="false">輸入與假設!D$45</f>
        <v>1</v>
      </c>
      <c r="E13" s="47" t="n">
        <f aca="false">輸入與假設!E$45</f>
        <v>1</v>
      </c>
      <c r="F13" s="47" t="n">
        <f aca="false">輸入與假設!F$45</f>
        <v>1</v>
      </c>
      <c r="G13" s="47" t="n">
        <f aca="false">輸入與假設!G$45</f>
        <v>1</v>
      </c>
    </row>
    <row r="14" customFormat="false" ht="15" hidden="false" customHeight="false" outlineLevel="1" collapsed="false">
      <c r="A14" s="3" t="s">
        <v>220</v>
      </c>
      <c r="B14" s="11" t="s">
        <v>167</v>
      </c>
      <c r="C14" s="66" t="n">
        <f aca="false">輸入與假設!C$46</f>
        <v>0.0174</v>
      </c>
      <c r="D14" s="66" t="n">
        <f aca="false">輸入與假設!D$46</f>
        <v>0.0174</v>
      </c>
      <c r="E14" s="66" t="n">
        <f aca="false">輸入與假設!E$46</f>
        <v>0.0174</v>
      </c>
      <c r="F14" s="66" t="n">
        <f aca="false">輸入與假設!F$46</f>
        <v>0.0174</v>
      </c>
      <c r="G14" s="66" t="n">
        <f aca="false">輸入與假設!G$46</f>
        <v>0.0174</v>
      </c>
    </row>
    <row r="15" customFormat="false" ht="15" hidden="false" customHeight="false" outlineLevel="1" collapsed="false">
      <c r="A15" s="3" t="s">
        <v>1083</v>
      </c>
      <c r="B15" s="11" t="s">
        <v>57</v>
      </c>
      <c r="C15" s="36" t="n">
        <f aca="false">C12*輸入與假設!C$46*輸入與假設!$C$39*輸入與假設!C$45*C7</f>
        <v>31.848525</v>
      </c>
      <c r="D15" s="36" t="n">
        <f aca="false">D12*輸入與假設!D$46*輸入與假設!$C$39*輸入與假設!D$45*D7</f>
        <v>82.8501</v>
      </c>
      <c r="E15" s="36" t="n">
        <f aca="false">E12*輸入與假設!E$46*輸入與假設!$C$39*輸入與假設!E$45*E7</f>
        <v>122.2872</v>
      </c>
      <c r="F15" s="36" t="n">
        <f aca="false">F12*輸入與假設!F$46*輸入與假設!$C$39*輸入與假設!F$45*F7</f>
        <v>137.3382</v>
      </c>
      <c r="G15" s="36" t="n">
        <f aca="false">G12*輸入與假設!G$46*輸入與假設!$C$39*輸入與假設!G$45*G7</f>
        <v>140.418</v>
      </c>
      <c r="I15" s="6" t="s">
        <v>1084</v>
      </c>
    </row>
    <row r="16" customFormat="false" ht="15" hidden="false" customHeight="false" outlineLevel="0" collapsed="false">
      <c r="A16" s="46" t="s">
        <v>1085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1086</v>
      </c>
      <c r="B17" s="11" t="s">
        <v>57</v>
      </c>
      <c r="C17" s="62" t="n">
        <f aca="false">(輸入與假設!$C$31+輸入與假設!$C$32)*(輸入與假設!C$42/輸入與假設!$C$34)*輸入與假設!$C$33</f>
        <v>64.74</v>
      </c>
      <c r="D17" s="62" t="n">
        <f aca="false">(輸入與假設!$C$31+輸入與假設!$C$32)*(輸入與假設!D$42/輸入與假設!$C$34)*輸入與假設!$C$33</f>
        <v>113.71</v>
      </c>
      <c r="E17" s="62" t="n">
        <f aca="false">(輸入與假設!$C$31+輸入與假設!$C$32)*(輸入與假設!E$42/輸入與假設!$C$34)*輸入與假設!$C$33</f>
        <v>122.84</v>
      </c>
      <c r="F17" s="62" t="n">
        <f aca="false">(輸入與假設!$C$31+輸入與假設!$C$32)*(輸入與假設!F$42/輸入與假設!$C$34)*輸入與假設!$C$33</f>
        <v>115.37</v>
      </c>
      <c r="G17" s="62" t="n">
        <f aca="false">(輸入與假設!$C$31+輸入與假設!$C$32)*(輸入與假設!G$42/輸入與假設!$C$34)*輸入與假設!$C$33</f>
        <v>112.88</v>
      </c>
      <c r="I17" s="6" t="s">
        <v>1087</v>
      </c>
    </row>
    <row r="18" customFormat="false" ht="15" hidden="false" customHeight="false" outlineLevel="0" collapsed="false">
      <c r="A18" s="46" t="s">
        <v>1088</v>
      </c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1" collapsed="false">
      <c r="A19" s="3" t="s">
        <v>1089</v>
      </c>
      <c r="B19" s="11" t="s">
        <v>57</v>
      </c>
      <c r="C19" s="36" t="n">
        <f aca="false">MAX(0,C17-C15)</f>
        <v>32.891475</v>
      </c>
      <c r="D19" s="36" t="n">
        <f aca="false">MAX(0,D17-D15)</f>
        <v>30.8599</v>
      </c>
      <c r="E19" s="36" t="n">
        <f aca="false">MAX(0,E17-E15)</f>
        <v>0.552799999999991</v>
      </c>
      <c r="F19" s="36" t="n">
        <f aca="false">MAX(0,F17-F15)</f>
        <v>0</v>
      </c>
      <c r="G19" s="36" t="n">
        <f aca="false">MAX(0,G17-G15)</f>
        <v>0</v>
      </c>
      <c r="I19" s="6" t="s">
        <v>1090</v>
      </c>
    </row>
    <row r="20" customFormat="false" ht="15" hidden="false" customHeight="false" outlineLevel="1" collapsed="false">
      <c r="A20" s="3" t="s">
        <v>1091</v>
      </c>
      <c r="B20" s="11" t="s">
        <v>57</v>
      </c>
      <c r="C20" s="62" t="n">
        <f aca="false">C17-C19</f>
        <v>31.848525</v>
      </c>
      <c r="D20" s="62" t="n">
        <f aca="false">D17-D19</f>
        <v>82.8501</v>
      </c>
      <c r="E20" s="62" t="n">
        <f aca="false">E17-E19</f>
        <v>122.2872</v>
      </c>
      <c r="F20" s="62" t="n">
        <f aca="false">F17-F19</f>
        <v>115.37</v>
      </c>
      <c r="G20" s="62" t="n">
        <f aca="false">G17-G19</f>
        <v>112.88</v>
      </c>
      <c r="I20" s="6" t="s">
        <v>1092</v>
      </c>
    </row>
    <row r="21" customFormat="false" ht="15" hidden="false" customHeight="false" outlineLevel="1" collapsed="false">
      <c r="A21" s="3" t="s">
        <v>1093</v>
      </c>
      <c r="B21" s="11" t="s">
        <v>57</v>
      </c>
      <c r="C21" s="62" t="n">
        <f aca="false">MAX(0,C15-C17)</f>
        <v>0</v>
      </c>
      <c r="D21" s="62" t="n">
        <f aca="false">MAX(0,D15-D17)</f>
        <v>0</v>
      </c>
      <c r="E21" s="62" t="n">
        <f aca="false">MAX(0,E15-E17)</f>
        <v>0</v>
      </c>
      <c r="F21" s="62" t="n">
        <f aca="false">MAX(0,F15-F17)</f>
        <v>21.9682</v>
      </c>
      <c r="G21" s="62" t="n">
        <f aca="false">MAX(0,G15-G17)</f>
        <v>27.538</v>
      </c>
      <c r="I21" s="6" t="s">
        <v>1094</v>
      </c>
    </row>
    <row r="22" customFormat="false" ht="15" hidden="false" customHeight="false" outlineLevel="1" collapsed="false">
      <c r="A22" s="3" t="s">
        <v>222</v>
      </c>
      <c r="B22" s="11" t="s">
        <v>42</v>
      </c>
      <c r="C22" s="47" t="n">
        <f aca="false">IF(輸入與假設!$C$38="mw",1,輸入與假設!C$47)</f>
        <v>1</v>
      </c>
      <c r="D22" s="47" t="n">
        <f aca="false">IF(輸入與假設!$C$38="mw",1,輸入與假設!D$47)</f>
        <v>1</v>
      </c>
      <c r="E22" s="47" t="n">
        <f aca="false">IF(輸入與假設!$C$38="mw",1,輸入與假設!E$47)</f>
        <v>1</v>
      </c>
      <c r="F22" s="47" t="n">
        <f aca="false">IF(輸入與假設!$C$38="mw",1,輸入與假設!F$47)</f>
        <v>1</v>
      </c>
      <c r="G22" s="47" t="n">
        <f aca="false">IF(輸入與假設!$C$38="mw",1,輸入與假設!G$47)</f>
        <v>1</v>
      </c>
      <c r="I22" s="11" t="s">
        <v>1095</v>
      </c>
    </row>
    <row r="23" customFormat="false" ht="15" hidden="false" customHeight="false" outlineLevel="1" collapsed="false">
      <c r="A23" s="3" t="s">
        <v>1096</v>
      </c>
      <c r="B23" s="11" t="s">
        <v>57</v>
      </c>
      <c r="C23" s="62" t="n">
        <f aca="false">C21*C22</f>
        <v>0</v>
      </c>
      <c r="D23" s="62" t="n">
        <f aca="false">D21*D22</f>
        <v>0</v>
      </c>
      <c r="E23" s="62" t="n">
        <f aca="false">E21*E22</f>
        <v>0</v>
      </c>
      <c r="F23" s="62" t="n">
        <f aca="false">F21*F22</f>
        <v>21.9682</v>
      </c>
      <c r="G23" s="62" t="n">
        <f aca="false">G21*G22</f>
        <v>27.538</v>
      </c>
      <c r="I23" s="6" t="s">
        <v>1097</v>
      </c>
    </row>
    <row r="24" customFormat="false" ht="15" hidden="false" customHeight="false" outlineLevel="1" collapsed="false">
      <c r="A24" s="3" t="s">
        <v>1098</v>
      </c>
      <c r="B24" s="11" t="s">
        <v>57</v>
      </c>
      <c r="C24" s="62" t="n">
        <f aca="false">MAX(0,C15-C20-C23)</f>
        <v>0</v>
      </c>
      <c r="D24" s="62" t="n">
        <f aca="false">MAX(0,D15-D20-D23)</f>
        <v>0</v>
      </c>
      <c r="E24" s="62" t="n">
        <f aca="false">MAX(0,E15-E20-E23)</f>
        <v>0</v>
      </c>
      <c r="F24" s="62" t="n">
        <f aca="false">MAX(0,F15-F20-F23)</f>
        <v>0</v>
      </c>
      <c r="G24" s="62" t="n">
        <f aca="false">MAX(0,G15-G20-G23)</f>
        <v>0</v>
      </c>
      <c r="I24" s="6" t="s">
        <v>1099</v>
      </c>
    </row>
    <row r="25" customFormat="false" ht="15" hidden="false" customHeight="false" outlineLevel="1" collapsed="false">
      <c r="A25" s="3" t="s">
        <v>1100</v>
      </c>
      <c r="B25" s="11" t="s">
        <v>57</v>
      </c>
      <c r="C25" s="36" t="n">
        <f aca="false">C20+C23</f>
        <v>31.848525</v>
      </c>
      <c r="D25" s="36" t="n">
        <f aca="false">D20+D23</f>
        <v>82.8501</v>
      </c>
      <c r="E25" s="36" t="n">
        <f aca="false">E20+E23</f>
        <v>122.2872</v>
      </c>
      <c r="F25" s="36" t="n">
        <f aca="false">F20+F23</f>
        <v>137.3382</v>
      </c>
      <c r="G25" s="36" t="n">
        <f aca="false">G20+G23</f>
        <v>140.418</v>
      </c>
      <c r="I25" s="6" t="s">
        <v>1101</v>
      </c>
    </row>
    <row r="26" customFormat="false" ht="15" hidden="false" customHeight="false" outlineLevel="1" collapsed="false">
      <c r="A26" s="3" t="s">
        <v>1102</v>
      </c>
      <c r="B26" s="11" t="s">
        <v>57</v>
      </c>
      <c r="C26" s="62" t="n">
        <f aca="false">C25-C12*輸入與假設!C$46*輸入與假設!$C$39*輸入與假設!C$45*C7</f>
        <v>0</v>
      </c>
      <c r="D26" s="62" t="n">
        <f aca="false">D25-D12*輸入與假設!D$46*輸入與假設!$C$39*輸入與假設!D$45*D7</f>
        <v>0</v>
      </c>
      <c r="E26" s="62" t="n">
        <f aca="false">E25-E12*輸入與假設!E$46*輸入與假設!$C$39*輸入與假設!E$45*E7</f>
        <v>0</v>
      </c>
      <c r="F26" s="62" t="n">
        <f aca="false">F25-F12*輸入與假設!F$46*輸入與假設!$C$39*輸入與假設!F$45*F7</f>
        <v>0</v>
      </c>
      <c r="G26" s="62" t="n">
        <f aca="false">G25-G12*輸入與假設!G$46*輸入與假設!$C$39*輸入與假設!G$45*G7</f>
        <v>0</v>
      </c>
      <c r="I26" s="11" t="s">
        <v>1103</v>
      </c>
    </row>
    <row r="27" customFormat="false" ht="15" hidden="false" customHeight="false" outlineLevel="1" collapsed="false">
      <c r="A27" s="3" t="s">
        <v>1104</v>
      </c>
      <c r="B27" s="11" t="s">
        <v>42</v>
      </c>
      <c r="C27" s="63" t="n">
        <v>1</v>
      </c>
      <c r="D27" s="63" t="n">
        <v>1</v>
      </c>
      <c r="E27" s="63" t="n">
        <v>1</v>
      </c>
      <c r="F27" s="63" t="n">
        <v>0.25</v>
      </c>
      <c r="G27" s="63" t="n">
        <v>0</v>
      </c>
      <c r="I27" s="11" t="s">
        <v>1105</v>
      </c>
    </row>
    <row r="28" customFormat="false" ht="15" hidden="false" customHeight="false" outlineLevel="1" collapsed="false">
      <c r="A28" s="3" t="s">
        <v>1106</v>
      </c>
      <c r="B28" s="11" t="s">
        <v>57</v>
      </c>
      <c r="C28" s="62" t="n">
        <f aca="false">C25*C27</f>
        <v>31.848525</v>
      </c>
      <c r="D28" s="62" t="n">
        <f aca="false">D25*D27</f>
        <v>82.8501</v>
      </c>
      <c r="E28" s="62" t="n">
        <f aca="false">E25*E27</f>
        <v>122.2872</v>
      </c>
      <c r="F28" s="62" t="n">
        <f aca="false">F25*F27</f>
        <v>34.33455</v>
      </c>
      <c r="G28" s="62" t="n">
        <f aca="false">G25*G27</f>
        <v>0</v>
      </c>
      <c r="I28" s="6" t="s">
        <v>1107</v>
      </c>
    </row>
    <row r="29" customFormat="false" ht="15" hidden="false" customHeight="false" outlineLevel="1" collapsed="false">
      <c r="A29" s="4" t="s">
        <v>1108</v>
      </c>
      <c r="B29" s="11" t="s">
        <v>57</v>
      </c>
      <c r="C29" s="39" t="n">
        <f aca="false">輸入與假設!$C$251</f>
        <v>19.345</v>
      </c>
      <c r="D29" s="39" t="n">
        <f aca="false">0</f>
        <v>0</v>
      </c>
      <c r="E29" s="39" t="n">
        <f aca="false">0</f>
        <v>0</v>
      </c>
      <c r="F29" s="39" t="n">
        <f aca="false">0</f>
        <v>0</v>
      </c>
      <c r="G29" s="39" t="n">
        <f aca="false">0</f>
        <v>0</v>
      </c>
      <c r="I29" s="11" t="s">
        <v>1109</v>
      </c>
    </row>
    <row r="30" customFormat="false" ht="15" hidden="false" customHeight="false" outlineLevel="1" collapsed="false">
      <c r="A30" s="4" t="s">
        <v>1110</v>
      </c>
      <c r="B30" s="11" t="s">
        <v>57</v>
      </c>
      <c r="C30" s="67" t="n">
        <f aca="false">C29+C25+輸入與假設!C$50+輸入與假設!C$81</f>
        <v>90.7274948</v>
      </c>
      <c r="D30" s="36" t="n">
        <f aca="false">D29+D25+輸入與假設!D$50+輸入與假設!D$81</f>
        <v>136.55822205094</v>
      </c>
      <c r="E30" s="36" t="n">
        <f aca="false">E29+E25+輸入與假設!E$50+輸入與假設!E$81</f>
        <v>178.141011541921</v>
      </c>
      <c r="F30" s="36" t="n">
        <f aca="false">F29+F25+輸入與假設!F$50+輸入與假設!F$81</f>
        <v>195.213322747571</v>
      </c>
      <c r="G30" s="36" t="n">
        <f aca="false">G29+G25+輸入與假設!G$50+輸入與假設!G$81</f>
        <v>200.140479376888</v>
      </c>
      <c r="I30" s="11" t="s">
        <v>1111</v>
      </c>
    </row>
    <row r="31" customFormat="false" ht="15" hidden="false" customHeight="false" outlineLevel="0" collapsed="false">
      <c r="A31" s="46" t="s">
        <v>1112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3" t="s">
        <v>224</v>
      </c>
      <c r="B32" s="11" t="s">
        <v>42</v>
      </c>
      <c r="C32" s="47" t="n">
        <f aca="false">輸入與假設!C$48</f>
        <v>0.005</v>
      </c>
      <c r="D32" s="47" t="n">
        <f aca="false">輸入與假設!D$48</f>
        <v>0.01</v>
      </c>
      <c r="E32" s="47" t="n">
        <f aca="false">輸入與假設!E$48</f>
        <v>0.015</v>
      </c>
      <c r="F32" s="47" t="n">
        <f aca="false">輸入與假設!F$48</f>
        <v>0.02</v>
      </c>
      <c r="G32" s="47" t="n">
        <f aca="false">輸入與假設!G$48</f>
        <v>0.025</v>
      </c>
    </row>
    <row r="33" customFormat="false" ht="15" hidden="false" customHeight="false" outlineLevel="1" collapsed="false">
      <c r="A33" s="3" t="s">
        <v>226</v>
      </c>
      <c r="B33" s="11" t="s">
        <v>42</v>
      </c>
      <c r="C33" s="47" t="n">
        <f aca="false">輸入與假設!C$49</f>
        <v>0.5</v>
      </c>
      <c r="D33" s="47" t="n">
        <f aca="false">輸入與假設!D$49</f>
        <v>0.5</v>
      </c>
      <c r="E33" s="47" t="n">
        <f aca="false">輸入與假設!E$49</f>
        <v>0.5</v>
      </c>
      <c r="F33" s="47" t="n">
        <f aca="false">輸入與假設!F$49</f>
        <v>0.5</v>
      </c>
      <c r="G33" s="47" t="n">
        <f aca="false">輸入與假設!G$49</f>
        <v>0.5</v>
      </c>
    </row>
    <row r="34" customFormat="false" ht="15" hidden="false" customHeight="false" outlineLevel="1" collapsed="false">
      <c r="A34" s="3" t="s">
        <v>1113</v>
      </c>
      <c r="B34" s="11" t="s">
        <v>57</v>
      </c>
      <c r="C34" s="62" t="n">
        <f aca="false">C20*輸入與假設!C$48*(1-輸入與假設!C$49)</f>
        <v>0.0796213125</v>
      </c>
      <c r="D34" s="62" t="n">
        <f aca="false">D20*輸入與假設!D$48*(1-輸入與假設!D$49)</f>
        <v>0.4142505</v>
      </c>
      <c r="E34" s="62" t="n">
        <f aca="false">E20*輸入與假設!E$48*(1-輸入與假設!E$49)</f>
        <v>0.917154</v>
      </c>
      <c r="F34" s="62" t="n">
        <f aca="false">F20*輸入與假設!F$48*(1-輸入與假設!F$49)</f>
        <v>1.1537</v>
      </c>
      <c r="G34" s="62" t="n">
        <f aca="false">G20*輸入與假設!G$48*(1-輸入與假設!G$49)</f>
        <v>1.411</v>
      </c>
      <c r="I34" s="6" t="s">
        <v>1114</v>
      </c>
    </row>
    <row r="35" customFormat="false" ht="15" hidden="false" customHeight="false" outlineLevel="1" collapsed="false">
      <c r="A35" s="3" t="s">
        <v>1115</v>
      </c>
      <c r="B35" s="11" t="s">
        <v>57</v>
      </c>
      <c r="C35" s="62" t="n">
        <f aca="false">C20-C34</f>
        <v>31.7689036875</v>
      </c>
      <c r="D35" s="62" t="n">
        <f aca="false">D20-D34</f>
        <v>82.4358495</v>
      </c>
      <c r="E35" s="62" t="n">
        <f aca="false">E20-E34</f>
        <v>121.370046</v>
      </c>
      <c r="F35" s="62" t="n">
        <f aca="false">F20-F34</f>
        <v>114.2163</v>
      </c>
      <c r="G35" s="62" t="n">
        <f aca="false">G20-G34</f>
        <v>111.469</v>
      </c>
    </row>
    <row r="36" customFormat="false" ht="15" hidden="false" customHeight="false" outlineLevel="1" collapsed="false">
      <c r="A36" s="4" t="s">
        <v>1116</v>
      </c>
      <c r="B36" s="11" t="s">
        <v>42</v>
      </c>
      <c r="C36" s="47" t="n">
        <f aca="false">輸入與假設!C$93</f>
        <v>0.651999797057085</v>
      </c>
      <c r="D36" s="47" t="n">
        <f aca="false">輸入與假設!D$93</f>
        <v>0.628044024840114</v>
      </c>
      <c r="E36" s="47" t="n">
        <f aca="false">輸入與假設!E$93</f>
        <v>0.575183391279048</v>
      </c>
      <c r="F36" s="47" t="n">
        <f aca="false">輸入與假設!F$93</f>
        <v>0.521113060777058</v>
      </c>
      <c r="G36" s="47" t="n">
        <f aca="false">輸入與假設!G$93</f>
        <v>0.469999551506301</v>
      </c>
      <c r="I36" s="6" t="s">
        <v>1117</v>
      </c>
    </row>
    <row r="37" customFormat="false" ht="15" hidden="false" customHeight="false" outlineLevel="1" collapsed="false">
      <c r="A37" s="3" t="s">
        <v>1118</v>
      </c>
      <c r="B37" s="11" t="s">
        <v>57</v>
      </c>
      <c r="C37" s="62" t="n">
        <f aca="false">C25+輸入與假設!C$50</f>
        <v>31.848525</v>
      </c>
      <c r="D37" s="62" t="n">
        <f aca="false">D25+輸入與假設!D$50</f>
        <v>82.8501</v>
      </c>
      <c r="E37" s="62" t="n">
        <f aca="false">E25+輸入與假設!E$50</f>
        <v>122.2872</v>
      </c>
      <c r="F37" s="62" t="n">
        <f aca="false">F25+輸入與假設!F$50</f>
        <v>137.3382</v>
      </c>
      <c r="G37" s="62" t="n">
        <f aca="false">G25+輸入與假設!G$50</f>
        <v>140.418</v>
      </c>
    </row>
    <row r="38" customFormat="false" ht="15" hidden="false" customHeight="false" outlineLevel="1" collapsed="false">
      <c r="A38" s="4" t="s">
        <v>1119</v>
      </c>
      <c r="B38" s="11" t="s">
        <v>42</v>
      </c>
      <c r="C38" s="68" t="n">
        <f aca="false">輸入與假設!C$93+各期收支!C16/MAX(0.01,C37)</f>
        <v>0.845075</v>
      </c>
      <c r="D38" s="68" t="n">
        <f aca="false">輸入與假設!D$93+各期收支!D16/MAX(0.01,D37)</f>
        <v>0.790477</v>
      </c>
      <c r="E38" s="68" t="n">
        <f aca="false">輸入與假設!E$93+各期收支!E16/MAX(0.01,E37)</f>
        <v>0.735879</v>
      </c>
      <c r="F38" s="68" t="n">
        <f aca="false">輸入與假設!F$93+各期收支!F16/MAX(0.01,F37)</f>
        <v>0.681281</v>
      </c>
      <c r="G38" s="68" t="n">
        <f aca="false">輸入與假設!G$93+各期收支!G16/MAX(0.01,G37)</f>
        <v>0.626683</v>
      </c>
      <c r="I38" s="6" t="s">
        <v>1120</v>
      </c>
    </row>
    <row r="39" customFormat="false" ht="15" hidden="false" customHeight="false" outlineLevel="1" collapsed="false">
      <c r="A39" s="4" t="s">
        <v>1121</v>
      </c>
      <c r="B39" s="11" t="s">
        <v>57</v>
      </c>
      <c r="C39" s="36" t="n">
        <f aca="false">C35*C38</f>
        <v>26.8471062837141</v>
      </c>
      <c r="D39" s="36" t="n">
        <f aca="false">D35*D38</f>
        <v>65.1636430052115</v>
      </c>
      <c r="E39" s="36" t="n">
        <f aca="false">E35*E38</f>
        <v>89.313668080434</v>
      </c>
      <c r="F39" s="36" t="n">
        <f aca="false">F35*F38</f>
        <v>77.8133950803</v>
      </c>
      <c r="G39" s="36" t="n">
        <f aca="false">G35*G38</f>
        <v>69.855727327</v>
      </c>
      <c r="I39" s="11" t="s">
        <v>1122</v>
      </c>
    </row>
    <row r="40" customFormat="false" ht="15" hidden="false" customHeight="false" outlineLevel="1" collapsed="false">
      <c r="A40" s="3" t="s">
        <v>1123</v>
      </c>
      <c r="B40" s="11" t="s">
        <v>57</v>
      </c>
      <c r="C40" s="62" t="n">
        <f aca="false">C23*(1-輸入與假設!C$48*(1-輸入與假設!C$49))*C38</f>
        <v>0</v>
      </c>
      <c r="D40" s="62" t="n">
        <f aca="false">D23*(1-輸入與假設!D$48*(1-輸入與假設!D$49))*D38</f>
        <v>0</v>
      </c>
      <c r="E40" s="62" t="n">
        <f aca="false">E23*(1-輸入與假設!E$48*(1-輸入與假設!E$49))*E38</f>
        <v>0</v>
      </c>
      <c r="F40" s="62" t="n">
        <f aca="false">F23*(1-輸入與假設!F$48*(1-輸入與假設!F$49))*F38</f>
        <v>14.816852091558</v>
      </c>
      <c r="G40" s="62" t="n">
        <f aca="false">G23*(1-輸入與假設!G$48*(1-輸入與假設!G$49))*G38</f>
        <v>17.041876498325</v>
      </c>
      <c r="I40" s="6" t="s">
        <v>1124</v>
      </c>
    </row>
    <row r="41" customFormat="false" ht="15" hidden="false" customHeight="false" outlineLevel="1" collapsed="false"/>
    <row r="42" customFormat="false" ht="15" hidden="false" customHeight="false" outlineLevel="1" collapsed="false">
      <c r="A42" s="2" t="s">
        <v>1125</v>
      </c>
    </row>
    <row r="43" customFormat="false" ht="15" hidden="false" customHeight="false" outlineLevel="1" collapsed="false">
      <c r="A43" s="6" t="s">
        <v>1126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1127</v>
      </c>
    </row>
    <row r="2" customFormat="false" ht="15" hidden="false" customHeight="false" outlineLevel="0" collapsed="false">
      <c r="A2" s="6" t="s">
        <v>1128</v>
      </c>
    </row>
    <row r="4" customFormat="false" ht="17.15" hidden="false" customHeight="false" outlineLevel="0" collapsed="false">
      <c r="A4" s="14" t="s">
        <v>1129</v>
      </c>
      <c r="B4" s="14" t="s">
        <v>1130</v>
      </c>
      <c r="C4" s="14" t="s">
        <v>1131</v>
      </c>
      <c r="D4" s="14" t="s">
        <v>1132</v>
      </c>
      <c r="E4" s="14" t="s">
        <v>1133</v>
      </c>
      <c r="F4" s="14" t="s">
        <v>1134</v>
      </c>
      <c r="G4" s="14" t="s">
        <v>1135</v>
      </c>
      <c r="H4" s="14" t="s">
        <v>1136</v>
      </c>
      <c r="I4" s="14" t="s">
        <v>1137</v>
      </c>
      <c r="J4" s="14" t="s">
        <v>1138</v>
      </c>
      <c r="K4" s="14" t="s">
        <v>721</v>
      </c>
    </row>
    <row r="5" customFormat="false" ht="15" hidden="false" customHeight="false" outlineLevel="0" collapsed="false">
      <c r="A5" s="4" t="s">
        <v>1139</v>
      </c>
      <c r="B5" s="11" t="s">
        <v>1140</v>
      </c>
      <c r="C5" s="21" t="n">
        <v>1000</v>
      </c>
      <c r="D5" s="21" t="n">
        <v>515</v>
      </c>
      <c r="E5" s="69" t="s">
        <v>1141</v>
      </c>
      <c r="F5" s="69" t="s">
        <v>1141</v>
      </c>
      <c r="I5" s="11" t="s">
        <v>1142</v>
      </c>
      <c r="J5" s="11" t="s">
        <v>1143</v>
      </c>
      <c r="K5" s="6" t="s">
        <v>1144</v>
      </c>
    </row>
    <row r="6" customFormat="false" ht="15" hidden="false" customHeight="false" outlineLevel="0" collapsed="false">
      <c r="A6" s="4" t="s">
        <v>1145</v>
      </c>
      <c r="B6" s="11" t="s">
        <v>1146</v>
      </c>
      <c r="C6" s="21" t="n">
        <v>1667</v>
      </c>
      <c r="D6" s="21" t="n">
        <v>0</v>
      </c>
      <c r="E6" s="69" t="s">
        <v>1141</v>
      </c>
      <c r="F6" s="69" t="s">
        <v>1141</v>
      </c>
      <c r="I6" s="11" t="s">
        <v>1147</v>
      </c>
      <c r="J6" s="11" t="s">
        <v>1143</v>
      </c>
      <c r="K6" s="11" t="s">
        <v>1148</v>
      </c>
    </row>
    <row r="7" customFormat="false" ht="15" hidden="false" customHeight="false" outlineLevel="0" collapsed="false">
      <c r="A7" s="4" t="s">
        <v>1149</v>
      </c>
      <c r="B7" s="11" t="s">
        <v>1150</v>
      </c>
      <c r="C7" s="21" t="n">
        <v>1833</v>
      </c>
      <c r="D7" s="21" t="n">
        <v>0</v>
      </c>
      <c r="E7" s="69" t="s">
        <v>1141</v>
      </c>
      <c r="F7" s="69" t="s">
        <v>1141</v>
      </c>
      <c r="I7" s="6" t="s">
        <v>1151</v>
      </c>
      <c r="J7" s="11" t="s">
        <v>1143</v>
      </c>
      <c r="K7" s="11" t="s">
        <v>1152</v>
      </c>
    </row>
    <row r="8" customFormat="false" ht="15" hidden="false" customHeight="false" outlineLevel="0" collapsed="false">
      <c r="A8" s="4" t="s">
        <v>1153</v>
      </c>
      <c r="B8" s="11" t="s">
        <v>1146</v>
      </c>
      <c r="C8" s="21" t="n">
        <v>1083</v>
      </c>
      <c r="D8" s="21" t="n">
        <v>0</v>
      </c>
      <c r="E8" s="69" t="s">
        <v>1141</v>
      </c>
      <c r="F8" s="69" t="s">
        <v>1141</v>
      </c>
      <c r="I8" s="11" t="s">
        <v>1147</v>
      </c>
      <c r="J8" s="11" t="s">
        <v>1143</v>
      </c>
      <c r="K8" s="11" t="s">
        <v>1154</v>
      </c>
    </row>
    <row r="9" customFormat="false" ht="15" hidden="false" customHeight="false" outlineLevel="0" collapsed="false">
      <c r="A9" s="4" t="s">
        <v>1155</v>
      </c>
      <c r="B9" s="11" t="s">
        <v>1156</v>
      </c>
      <c r="C9" s="21" t="n">
        <v>1167</v>
      </c>
      <c r="D9" s="21" t="n">
        <v>0</v>
      </c>
      <c r="E9" s="69" t="s">
        <v>1141</v>
      </c>
      <c r="F9" s="69" t="s">
        <v>1141</v>
      </c>
      <c r="I9" s="11" t="s">
        <v>1147</v>
      </c>
      <c r="J9" s="11" t="s">
        <v>1143</v>
      </c>
      <c r="K9" s="11" t="s">
        <v>1157</v>
      </c>
    </row>
    <row r="10" customFormat="false" ht="15" hidden="false" customHeight="false" outlineLevel="0" collapsed="false">
      <c r="A10" s="2" t="s">
        <v>1158</v>
      </c>
      <c r="C10" s="70" t="n">
        <f aca="false">SUM(C5:C9)</f>
        <v>6750</v>
      </c>
      <c r="D10" s="70" t="n">
        <f aca="false">SUM(D5:D9)</f>
        <v>515</v>
      </c>
      <c r="E10" s="53" t="n">
        <f aca="false">SUM(E5:E9)</f>
        <v>0</v>
      </c>
      <c r="G10" s="53" t="n">
        <f aca="false">SUM(G5:G9)</f>
        <v>0</v>
      </c>
      <c r="H10" s="71" t="n">
        <f aca="false">IF(I10&gt;0,G10/I10*1000,0)</f>
        <v>0</v>
      </c>
      <c r="I10" s="44" t="n">
        <f aca="false">SUMPRODUCT(ISNUMBER(G5:G9)*C5:C9)</f>
        <v>0</v>
      </c>
      <c r="K10" s="6" t="s">
        <v>1159</v>
      </c>
    </row>
    <row r="12" customFormat="false" ht="15" hidden="false" customHeight="false" outlineLevel="0" collapsed="false">
      <c r="A12" s="46" t="s">
        <v>1160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1" collapsed="false">
      <c r="A13" s="3" t="s">
        <v>1161</v>
      </c>
      <c r="E13" s="25" t="n">
        <v>63.245</v>
      </c>
      <c r="K13" s="11" t="s">
        <v>1162</v>
      </c>
    </row>
    <row r="14" customFormat="false" ht="15" hidden="false" customHeight="false" outlineLevel="1" collapsed="false">
      <c r="A14" s="3" t="s">
        <v>1163</v>
      </c>
      <c r="E14" s="25" t="n">
        <v>288</v>
      </c>
      <c r="K14" s="11" t="s">
        <v>1164</v>
      </c>
    </row>
    <row r="15" customFormat="false" ht="15" hidden="false" customHeight="false" outlineLevel="1" collapsed="false">
      <c r="A15" s="3" t="s">
        <v>1165</v>
      </c>
      <c r="E15" s="25" t="n">
        <v>0</v>
      </c>
      <c r="K15" s="11" t="s">
        <v>1166</v>
      </c>
    </row>
    <row r="16" customFormat="false" ht="15" hidden="false" customHeight="false" outlineLevel="1" collapsed="false">
      <c r="A16" s="2" t="s">
        <v>1167</v>
      </c>
      <c r="E16" s="53" t="n">
        <f aca="false">SUM(E13:E15)</f>
        <v>351.245</v>
      </c>
      <c r="K16" s="6" t="s">
        <v>1168</v>
      </c>
    </row>
    <row r="17" customFormat="false" ht="15" hidden="false" customHeight="false" outlineLevel="1" collapsed="false">
      <c r="A17" s="3" t="s">
        <v>1169</v>
      </c>
      <c r="E17" s="52" t="n">
        <f aca="false">-E10</f>
        <v>-0</v>
      </c>
    </row>
    <row r="18" customFormat="false" ht="15" hidden="false" customHeight="false" outlineLevel="1" collapsed="false">
      <c r="A18" s="2" t="s">
        <v>1170</v>
      </c>
      <c r="E18" s="53" t="n">
        <f aca="false">E16+E17</f>
        <v>351.245</v>
      </c>
      <c r="K18" s="6" t="s">
        <v>1171</v>
      </c>
    </row>
    <row r="19" customFormat="false" ht="15" hidden="false" customHeight="false" outlineLevel="1" collapsed="false">
      <c r="A19" s="3" t="s">
        <v>1172</v>
      </c>
      <c r="E19" s="29" t="n">
        <f aca="false">IF(E16&lt;&gt;0,E18/E16,0)</f>
        <v>1</v>
      </c>
    </row>
    <row r="21" customFormat="false" ht="15" hidden="false" customHeight="false" outlineLevel="0" collapsed="false">
      <c r="A21" s="46" t="s">
        <v>1173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1" collapsed="false">
      <c r="A22" s="14" t="s">
        <v>51</v>
      </c>
      <c r="B22" s="14" t="s">
        <v>52</v>
      </c>
      <c r="C22" s="15" t="s">
        <v>53</v>
      </c>
      <c r="D22" s="15" t="s">
        <v>54</v>
      </c>
      <c r="E22" s="15" t="s">
        <v>55</v>
      </c>
      <c r="F22" s="15" t="s">
        <v>145</v>
      </c>
      <c r="G22" s="15" t="s">
        <v>146</v>
      </c>
    </row>
    <row r="23" customFormat="false" ht="15" hidden="false" customHeight="false" outlineLevel="1" collapsed="false">
      <c r="A23" s="3" t="s">
        <v>1174</v>
      </c>
      <c r="B23" s="11" t="s">
        <v>57</v>
      </c>
      <c r="C23" s="62" t="n">
        <f aca="false">各期收支!C16</f>
        <v>6.14916042780749</v>
      </c>
      <c r="D23" s="62" t="n">
        <f aca="false">各期收支!D16</f>
        <v>13.4575882352941</v>
      </c>
      <c r="E23" s="62" t="n">
        <f aca="false">各期收支!E16</f>
        <v>19.6510160427808</v>
      </c>
      <c r="F23" s="62" t="n">
        <f aca="false">各期收支!F16</f>
        <v>21.9971764705882</v>
      </c>
      <c r="G23" s="62" t="n">
        <f aca="false">各期收支!G16</f>
        <v>22.0011764705882</v>
      </c>
    </row>
    <row r="24" customFormat="false" ht="15" hidden="false" customHeight="false" outlineLevel="1" collapsed="false">
      <c r="A24" s="3" t="s">
        <v>1175</v>
      </c>
      <c r="B24" s="11" t="s">
        <v>149</v>
      </c>
      <c r="C24" s="64" t="n">
        <f aca="false">(輸入與假設!C$124+輸入與假設!C$43)/2</f>
        <v>3251.5</v>
      </c>
      <c r="D24" s="64" t="n">
        <f aca="false">(輸入與假設!D$124+輸入與假設!D$43)/2</f>
        <v>6084.5</v>
      </c>
      <c r="E24" s="64" t="n">
        <f aca="false">(輸入與假設!E$124+輸入與假設!E$43)/2</f>
        <v>8139.5</v>
      </c>
      <c r="F24" s="64" t="n">
        <f aca="false">(輸入與假設!F$124+輸入與假設!F$43)/2</f>
        <v>8778</v>
      </c>
      <c r="G24" s="64" t="n">
        <f aca="false">(輸入與假設!G$124+輸入與假設!G$43)/2</f>
        <v>8778</v>
      </c>
    </row>
    <row r="25" customFormat="false" ht="15" hidden="false" customHeight="false" outlineLevel="1" collapsed="false">
      <c r="A25" s="3" t="s">
        <v>210</v>
      </c>
      <c r="B25" s="6" t="s">
        <v>187</v>
      </c>
      <c r="C25" s="62" t="n">
        <f aca="false">輸入與假設!C$41</f>
        <v>0.75</v>
      </c>
      <c r="D25" s="62" t="n">
        <f aca="false">輸入與假設!D$41</f>
        <v>1</v>
      </c>
      <c r="E25" s="62" t="n">
        <f aca="false">輸入與假設!E$41</f>
        <v>1</v>
      </c>
      <c r="F25" s="62" t="n">
        <f aca="false">輸入與假設!F$41</f>
        <v>1</v>
      </c>
      <c r="G25" s="62" t="n">
        <f aca="false">輸入與假設!G$41</f>
        <v>1</v>
      </c>
    </row>
    <row r="26" customFormat="false" ht="15" hidden="false" customHeight="false" outlineLevel="1" collapsed="false">
      <c r="A26" s="2" t="s">
        <v>1176</v>
      </c>
      <c r="B26" s="11" t="s">
        <v>299</v>
      </c>
      <c r="C26" s="36" t="n">
        <f aca="false">C23/C25/C24*1000</f>
        <v>2.52156868227279</v>
      </c>
      <c r="D26" s="36" t="n">
        <f aca="false">D23/D25/D24*1000</f>
        <v>2.21178210786328</v>
      </c>
      <c r="E26" s="36" t="n">
        <f aca="false">E23/E25/E24*1000</f>
        <v>2.41427803216177</v>
      </c>
      <c r="F26" s="36" t="n">
        <f aca="false">F23/F25/F24*1000</f>
        <v>2.50594400439602</v>
      </c>
      <c r="G26" s="36" t="n">
        <f aca="false">G23/G25/G24*1000</f>
        <v>2.50639968906223</v>
      </c>
      <c r="K26" s="11" t="s">
        <v>1177</v>
      </c>
    </row>
    <row r="27" customFormat="false" ht="15" hidden="false" customHeight="false" outlineLevel="1" collapsed="false">
      <c r="A27" s="3" t="s">
        <v>1178</v>
      </c>
      <c r="C27" s="24" t="n">
        <v>1</v>
      </c>
      <c r="K27" s="6" t="s">
        <v>1179</v>
      </c>
    </row>
    <row r="28" customFormat="false" ht="15" hidden="false" customHeight="false" outlineLevel="1" collapsed="false">
      <c r="A28" s="3" t="s">
        <v>1180</v>
      </c>
      <c r="B28" s="11" t="s">
        <v>57</v>
      </c>
      <c r="C28" s="62" t="n">
        <f aca="false">C24*運營_站點!$H$10/1000*$C$27*C25</f>
        <v>0</v>
      </c>
      <c r="D28" s="62" t="n">
        <f aca="false">D24*運營_站點!$H$10/1000*$C$27*D25</f>
        <v>0</v>
      </c>
      <c r="E28" s="62" t="n">
        <f aca="false">E24*運營_站點!$H$10/1000*$C$27*E25</f>
        <v>0</v>
      </c>
      <c r="F28" s="62" t="n">
        <f aca="false">F24*運營_站點!$H$10/1000*$C$27*F25</f>
        <v>0</v>
      </c>
      <c r="G28" s="62" t="n">
        <f aca="false">G24*運營_站點!$H$10/1000*$C$27*G25</f>
        <v>0</v>
      </c>
      <c r="K28" s="6" t="s">
        <v>1181</v>
      </c>
    </row>
    <row r="29" customFormat="false" ht="15" hidden="false" customHeight="false" outlineLevel="1" collapsed="false">
      <c r="A29" s="2" t="s">
        <v>1182</v>
      </c>
      <c r="B29" s="11" t="s">
        <v>57</v>
      </c>
      <c r="C29" s="36" t="n">
        <f aca="false">C28-C23</f>
        <v>-6.14916042780749</v>
      </c>
      <c r="D29" s="36" t="n">
        <f aca="false">D28-D23</f>
        <v>-13.4575882352941</v>
      </c>
      <c r="E29" s="36" t="n">
        <f aca="false">E28-E23</f>
        <v>-19.6510160427808</v>
      </c>
      <c r="F29" s="36" t="n">
        <f aca="false">F28-F23</f>
        <v>-21.9971764705882</v>
      </c>
      <c r="G29" s="36" t="n">
        <f aca="false">G28-G23</f>
        <v>-22.0011764705882</v>
      </c>
      <c r="K29" s="6" t="s">
        <v>1183</v>
      </c>
    </row>
    <row r="30" customFormat="false" ht="15" hidden="false" customHeight="false" outlineLevel="1" collapsed="false">
      <c r="A30" s="2" t="s">
        <v>1184</v>
      </c>
      <c r="C30" s="71" t="n">
        <f aca="false">SUM(C29:G29)</f>
        <v>-83.2561176470588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1185</v>
      </c>
    </row>
    <row r="2" customFormat="false" ht="15" hidden="false" customHeight="false" outlineLevel="0" collapsed="false">
      <c r="A2" s="6" t="s">
        <v>1186</v>
      </c>
    </row>
    <row r="4" customFormat="false" ht="17.15" hidden="false" customHeight="false" outlineLevel="0" collapsed="false">
      <c r="A4" s="14" t="s">
        <v>1187</v>
      </c>
      <c r="B4" s="14" t="s">
        <v>1188</v>
      </c>
      <c r="C4" s="14" t="s">
        <v>1189</v>
      </c>
      <c r="D4" s="14" t="s">
        <v>1190</v>
      </c>
      <c r="E4" s="15" t="s">
        <v>1191</v>
      </c>
      <c r="F4" s="14" t="s">
        <v>1192</v>
      </c>
      <c r="I4" s="14" t="s">
        <v>616</v>
      </c>
    </row>
    <row r="5" customFormat="false" ht="15" hidden="false" customHeight="false" outlineLevel="0" collapsed="false">
      <c r="A5" s="4" t="s">
        <v>1193</v>
      </c>
      <c r="B5" s="6" t="s">
        <v>1194</v>
      </c>
      <c r="C5" s="11" t="s">
        <v>1195</v>
      </c>
      <c r="D5" s="24" t="n">
        <v>0.028</v>
      </c>
      <c r="E5" s="25" t="n">
        <v>2.25</v>
      </c>
      <c r="F5" s="62" t="n">
        <f aca="false">D5*E5</f>
        <v>0.063</v>
      </c>
      <c r="I5" s="11" t="s">
        <v>1196</v>
      </c>
    </row>
    <row r="6" customFormat="false" ht="15" hidden="false" customHeight="false" outlineLevel="0" collapsed="false">
      <c r="A6" s="4" t="s">
        <v>1197</v>
      </c>
      <c r="B6" s="6" t="s">
        <v>1194</v>
      </c>
      <c r="C6" s="11" t="s">
        <v>1198</v>
      </c>
      <c r="D6" s="24" t="n">
        <v>0.0325</v>
      </c>
      <c r="E6" s="25" t="n">
        <v>2.75</v>
      </c>
      <c r="F6" s="62" t="n">
        <f aca="false">D6*E6</f>
        <v>0.089375</v>
      </c>
      <c r="I6" s="11" t="s">
        <v>1199</v>
      </c>
    </row>
    <row r="7" customFormat="false" ht="15" hidden="false" customHeight="false" outlineLevel="0" collapsed="false">
      <c r="A7" s="4" t="s">
        <v>1200</v>
      </c>
      <c r="B7" s="6" t="s">
        <v>1194</v>
      </c>
      <c r="C7" s="11" t="s">
        <v>1201</v>
      </c>
      <c r="D7" s="24" t="n">
        <v>0.023</v>
      </c>
      <c r="E7" s="25" t="n">
        <v>2</v>
      </c>
      <c r="F7" s="62" t="n">
        <f aca="false">D7*E7</f>
        <v>0.046</v>
      </c>
      <c r="I7" s="11" t="s">
        <v>1202</v>
      </c>
    </row>
    <row r="8" customFormat="false" ht="15" hidden="false" customHeight="false" outlineLevel="0" collapsed="false">
      <c r="A8" s="4" t="s">
        <v>1203</v>
      </c>
      <c r="B8" s="6" t="s">
        <v>1194</v>
      </c>
      <c r="C8" s="11" t="s">
        <v>1204</v>
      </c>
      <c r="D8" s="24" t="n">
        <v>0.045</v>
      </c>
      <c r="E8" s="25" t="n">
        <v>0.75</v>
      </c>
      <c r="F8" s="62" t="n">
        <f aca="false">D8*E8</f>
        <v>0.03375</v>
      </c>
      <c r="I8" s="11" t="s">
        <v>1205</v>
      </c>
    </row>
    <row r="9" customFormat="false" ht="15" hidden="false" customHeight="false" outlineLevel="0" collapsed="false">
      <c r="A9" s="4" t="s">
        <v>1206</v>
      </c>
      <c r="B9" s="6" t="s">
        <v>1194</v>
      </c>
      <c r="C9" s="11" t="s">
        <v>1207</v>
      </c>
      <c r="D9" s="24" t="n">
        <v>0.048</v>
      </c>
      <c r="E9" s="25" t="n">
        <v>1.5</v>
      </c>
      <c r="F9" s="62" t="n">
        <f aca="false">D9*E9</f>
        <v>0.072</v>
      </c>
      <c r="I9" s="11" t="s">
        <v>1208</v>
      </c>
    </row>
    <row r="10" customFormat="false" ht="15" hidden="false" customHeight="false" outlineLevel="0" collapsed="false">
      <c r="A10" s="4" t="s">
        <v>1209</v>
      </c>
      <c r="B10" s="6" t="s">
        <v>1194</v>
      </c>
      <c r="C10" s="11" t="s">
        <v>1210</v>
      </c>
      <c r="D10" s="24" t="n">
        <v>0.0455</v>
      </c>
      <c r="E10" s="25" t="n">
        <v>3</v>
      </c>
      <c r="F10" s="62" t="n">
        <f aca="false">D10*E10</f>
        <v>0.1365</v>
      </c>
      <c r="I10" s="11" t="s">
        <v>1211</v>
      </c>
    </row>
    <row r="11" customFormat="false" ht="15" hidden="false" customHeight="false" outlineLevel="0" collapsed="false">
      <c r="A11" s="4" t="s">
        <v>1212</v>
      </c>
      <c r="B11" s="6" t="s">
        <v>1194</v>
      </c>
      <c r="C11" s="11" t="s">
        <v>1213</v>
      </c>
      <c r="D11" s="24" t="n">
        <v>0.042</v>
      </c>
      <c r="E11" s="25" t="n">
        <v>1.5</v>
      </c>
      <c r="F11" s="62" t="n">
        <f aca="false">D11*E11</f>
        <v>0.063</v>
      </c>
      <c r="I11" s="11" t="s">
        <v>1214</v>
      </c>
    </row>
    <row r="12" customFormat="false" ht="15" hidden="false" customHeight="false" outlineLevel="0" collapsed="false">
      <c r="A12" s="4" t="s">
        <v>1215</v>
      </c>
      <c r="B12" s="6" t="s">
        <v>1194</v>
      </c>
      <c r="C12" s="11" t="s">
        <v>1216</v>
      </c>
      <c r="D12" s="24" t="n">
        <v>0.0615</v>
      </c>
      <c r="E12" s="25" t="n">
        <v>1.25</v>
      </c>
      <c r="F12" s="62" t="n">
        <f aca="false">D12*E12</f>
        <v>0.076875</v>
      </c>
      <c r="I12" s="11" t="s">
        <v>1217</v>
      </c>
    </row>
    <row r="13" customFormat="false" ht="15" hidden="false" customHeight="false" outlineLevel="0" collapsed="false">
      <c r="A13" s="4" t="s">
        <v>1218</v>
      </c>
      <c r="B13" s="6" t="s">
        <v>1194</v>
      </c>
      <c r="C13" s="11" t="s">
        <v>1219</v>
      </c>
      <c r="D13" s="24" t="n">
        <v>0.0295</v>
      </c>
      <c r="E13" s="25" t="n">
        <v>3.25</v>
      </c>
      <c r="F13" s="62" t="n">
        <f aca="false">D13*E13</f>
        <v>0.095875</v>
      </c>
      <c r="I13" s="11" t="s">
        <v>1196</v>
      </c>
    </row>
    <row r="14" customFormat="false" ht="15" hidden="false" customHeight="false" outlineLevel="0" collapsed="false">
      <c r="A14" s="4" t="s">
        <v>1220</v>
      </c>
      <c r="B14" s="6" t="s">
        <v>1194</v>
      </c>
      <c r="C14" s="11" t="s">
        <v>1221</v>
      </c>
      <c r="D14" s="24" t="n">
        <v>0.0465</v>
      </c>
      <c r="E14" s="25" t="n">
        <v>0.75</v>
      </c>
      <c r="F14" s="62" t="n">
        <f aca="false">D14*E14</f>
        <v>0.034875</v>
      </c>
      <c r="I14" s="11" t="s">
        <v>1205</v>
      </c>
    </row>
    <row r="15" customFormat="false" ht="15" hidden="false" customHeight="false" outlineLevel="0" collapsed="false">
      <c r="A15" s="4" t="s">
        <v>1222</v>
      </c>
      <c r="B15" s="6" t="s">
        <v>1194</v>
      </c>
      <c r="C15" s="11" t="s">
        <v>1221</v>
      </c>
      <c r="D15" s="24" t="n">
        <v>0.0325</v>
      </c>
      <c r="E15" s="25" t="n">
        <v>0.5</v>
      </c>
      <c r="F15" s="62" t="n">
        <f aca="false">D15*E15</f>
        <v>0.01625</v>
      </c>
      <c r="I15" s="11" t="s">
        <v>1223</v>
      </c>
    </row>
    <row r="16" customFormat="false" ht="15" hidden="false" customHeight="false" outlineLevel="0" collapsed="false">
      <c r="A16" s="4" t="s">
        <v>1224</v>
      </c>
      <c r="B16" s="6" t="s">
        <v>1194</v>
      </c>
      <c r="C16" s="11" t="s">
        <v>1225</v>
      </c>
      <c r="D16" s="24" t="n">
        <v>0.0445</v>
      </c>
      <c r="E16" s="25" t="n">
        <v>3</v>
      </c>
      <c r="F16" s="62" t="n">
        <f aca="false">D16*E16</f>
        <v>0.1335</v>
      </c>
      <c r="I16" s="11" t="s">
        <v>1226</v>
      </c>
    </row>
    <row r="17" customFormat="false" ht="15" hidden="false" customHeight="false" outlineLevel="0" collapsed="false">
      <c r="A17" s="4" t="s">
        <v>1227</v>
      </c>
      <c r="B17" s="6" t="s">
        <v>1194</v>
      </c>
      <c r="C17" s="11" t="s">
        <v>1228</v>
      </c>
      <c r="D17" s="24" t="n">
        <v>0.0495</v>
      </c>
      <c r="E17" s="25" t="n">
        <v>3.5</v>
      </c>
      <c r="F17" s="62" t="n">
        <f aca="false">D17*E17</f>
        <v>0.17325</v>
      </c>
      <c r="I17" s="11" t="s">
        <v>1211</v>
      </c>
    </row>
    <row r="18" customFormat="false" ht="15" hidden="false" customHeight="false" outlineLevel="0" collapsed="false">
      <c r="A18" s="4" t="s">
        <v>1229</v>
      </c>
      <c r="B18" s="6" t="s">
        <v>1194</v>
      </c>
      <c r="C18" s="11" t="s">
        <v>1230</v>
      </c>
      <c r="D18" s="24" t="n">
        <v>0.02875</v>
      </c>
      <c r="E18" s="25" t="n">
        <v>3.25</v>
      </c>
      <c r="F18" s="62" t="n">
        <f aca="false">D18*E18</f>
        <v>0.0934375</v>
      </c>
      <c r="I18" s="11" t="s">
        <v>1202</v>
      </c>
    </row>
    <row r="19" customFormat="false" ht="15" hidden="false" customHeight="false" outlineLevel="0" collapsed="false">
      <c r="A19" s="4" t="s">
        <v>1231</v>
      </c>
      <c r="B19" s="6" t="s">
        <v>1194</v>
      </c>
      <c r="C19" s="11" t="s">
        <v>1232</v>
      </c>
      <c r="D19" s="24" t="n">
        <v>0.0525</v>
      </c>
      <c r="E19" s="25" t="n">
        <v>1.25</v>
      </c>
      <c r="F19" s="62" t="n">
        <f aca="false">D19*E19</f>
        <v>0.065625</v>
      </c>
      <c r="I19" s="11" t="s">
        <v>1208</v>
      </c>
    </row>
    <row r="20" customFormat="false" ht="15" hidden="false" customHeight="false" outlineLevel="0" collapsed="false">
      <c r="A20" s="4" t="s">
        <v>1233</v>
      </c>
      <c r="B20" s="6" t="s">
        <v>1194</v>
      </c>
      <c r="C20" s="11" t="s">
        <v>1234</v>
      </c>
      <c r="D20" s="24" t="n">
        <v>0.048</v>
      </c>
      <c r="E20" s="25" t="n">
        <v>3</v>
      </c>
      <c r="F20" s="62" t="n">
        <f aca="false">D20*E20</f>
        <v>0.144</v>
      </c>
      <c r="I20" s="11" t="s">
        <v>1226</v>
      </c>
    </row>
    <row r="21" customFormat="false" ht="15" hidden="false" customHeight="false" outlineLevel="0" collapsed="false">
      <c r="A21" s="4" t="s">
        <v>1235</v>
      </c>
      <c r="B21" s="6" t="s">
        <v>1194</v>
      </c>
      <c r="C21" s="11" t="s">
        <v>1236</v>
      </c>
      <c r="D21" s="24" t="n">
        <v>0.0625</v>
      </c>
      <c r="E21" s="25" t="n">
        <v>2.25</v>
      </c>
      <c r="F21" s="62" t="n">
        <f aca="false">D21*E21</f>
        <v>0.140625</v>
      </c>
      <c r="I21" s="11" t="s">
        <v>1217</v>
      </c>
    </row>
    <row r="22" customFormat="false" ht="15" hidden="false" customHeight="false" outlineLevel="0" collapsed="false">
      <c r="A22" s="4" t="s">
        <v>1237</v>
      </c>
      <c r="B22" s="6" t="s">
        <v>1194</v>
      </c>
      <c r="C22" s="11" t="s">
        <v>1238</v>
      </c>
      <c r="D22" s="24" t="n">
        <v>0.049</v>
      </c>
      <c r="E22" s="25" t="n">
        <v>1.5</v>
      </c>
      <c r="F22" s="62" t="n">
        <f aca="false">D22*E22</f>
        <v>0.0735</v>
      </c>
      <c r="I22" s="11" t="s">
        <v>1205</v>
      </c>
    </row>
    <row r="23" customFormat="false" ht="15" hidden="false" customHeight="false" outlineLevel="0" collapsed="false">
      <c r="A23" s="4" t="s">
        <v>1239</v>
      </c>
      <c r="B23" s="6" t="s">
        <v>1194</v>
      </c>
      <c r="C23" s="11" t="s">
        <v>1240</v>
      </c>
      <c r="D23" s="24" t="n">
        <v>0.0535</v>
      </c>
      <c r="E23" s="25" t="n">
        <v>3</v>
      </c>
      <c r="F23" s="62" t="n">
        <f aca="false">D23*E23</f>
        <v>0.1605</v>
      </c>
      <c r="I23" s="11" t="s">
        <v>1211</v>
      </c>
    </row>
    <row r="24" customFormat="false" ht="15" hidden="false" customHeight="false" outlineLevel="0" collapsed="false">
      <c r="A24" s="4" t="s">
        <v>1241</v>
      </c>
      <c r="B24" s="6" t="s">
        <v>1194</v>
      </c>
      <c r="C24" s="11" t="s">
        <v>1242</v>
      </c>
      <c r="D24" s="24" t="n">
        <v>0.043</v>
      </c>
      <c r="E24" s="25" t="n">
        <v>1.75</v>
      </c>
      <c r="F24" s="62" t="n">
        <f aca="false">D24*E24</f>
        <v>0.07525</v>
      </c>
      <c r="I24" s="11" t="s">
        <v>1243</v>
      </c>
    </row>
    <row r="25" customFormat="false" ht="15" hidden="false" customHeight="false" outlineLevel="0" collapsed="false">
      <c r="A25" s="4" t="s">
        <v>1244</v>
      </c>
      <c r="B25" s="6" t="s">
        <v>1194</v>
      </c>
      <c r="C25" s="11" t="s">
        <v>1245</v>
      </c>
      <c r="D25" s="24" t="n">
        <v>0.047</v>
      </c>
      <c r="E25" s="25" t="n">
        <v>1.75</v>
      </c>
      <c r="F25" s="62" t="n">
        <f aca="false">D25*E25</f>
        <v>0.08225</v>
      </c>
      <c r="I25" s="11" t="s">
        <v>1214</v>
      </c>
    </row>
    <row r="26" customFormat="false" ht="15" hidden="false" customHeight="false" outlineLevel="0" collapsed="false">
      <c r="A26" s="4" t="s">
        <v>1246</v>
      </c>
      <c r="B26" s="6" t="s">
        <v>1194</v>
      </c>
      <c r="C26" s="11" t="s">
        <v>1247</v>
      </c>
      <c r="D26" s="24" t="n">
        <v>0.039</v>
      </c>
      <c r="E26" s="25" t="n">
        <v>1.25</v>
      </c>
      <c r="F26" s="62" t="n">
        <f aca="false">D26*E26</f>
        <v>0.04875</v>
      </c>
      <c r="I26" s="11" t="s">
        <v>1223</v>
      </c>
    </row>
    <row r="27" customFormat="false" ht="15" hidden="false" customHeight="false" outlineLevel="0" collapsed="false">
      <c r="A27" s="4" t="s">
        <v>1248</v>
      </c>
      <c r="B27" s="6" t="s">
        <v>1194</v>
      </c>
      <c r="C27" s="11" t="s">
        <v>1249</v>
      </c>
      <c r="D27" s="24" t="n">
        <v>0.055</v>
      </c>
      <c r="E27" s="25" t="n">
        <v>1.75</v>
      </c>
      <c r="F27" s="62" t="n">
        <f aca="false">D27*E27</f>
        <v>0.09625</v>
      </c>
      <c r="I27" s="11" t="s">
        <v>1208</v>
      </c>
    </row>
    <row r="28" customFormat="false" ht="15" hidden="false" customHeight="false" outlineLevel="0" collapsed="false">
      <c r="A28" s="4" t="s">
        <v>1250</v>
      </c>
      <c r="B28" s="6" t="s">
        <v>1194</v>
      </c>
      <c r="C28" s="11" t="s">
        <v>1251</v>
      </c>
      <c r="D28" s="24" t="n">
        <v>0.052</v>
      </c>
      <c r="E28" s="25" t="n">
        <v>4</v>
      </c>
      <c r="F28" s="62" t="n">
        <f aca="false">D28*E28</f>
        <v>0.208</v>
      </c>
      <c r="I28" s="11" t="s">
        <v>1226</v>
      </c>
    </row>
    <row r="29" customFormat="false" ht="15" hidden="false" customHeight="false" outlineLevel="0" collapsed="false">
      <c r="A29" s="4" t="s">
        <v>1252</v>
      </c>
      <c r="B29" s="6" t="s">
        <v>1194</v>
      </c>
      <c r="C29" s="11" t="s">
        <v>1253</v>
      </c>
      <c r="D29" s="24" t="n">
        <v>0.057</v>
      </c>
      <c r="E29" s="25" t="n">
        <v>5</v>
      </c>
      <c r="F29" s="62" t="n">
        <f aca="false">D29*E29</f>
        <v>0.285</v>
      </c>
      <c r="I29" s="11" t="s">
        <v>1211</v>
      </c>
    </row>
    <row r="30" customFormat="false" ht="15" hidden="false" customHeight="false" outlineLevel="0" collapsed="false">
      <c r="A30" s="4" t="s">
        <v>1254</v>
      </c>
      <c r="B30" s="6" t="s">
        <v>1194</v>
      </c>
      <c r="C30" s="11" t="s">
        <v>1255</v>
      </c>
      <c r="D30" s="24" t="n">
        <v>0.0385</v>
      </c>
      <c r="E30" s="25" t="n">
        <v>1.25</v>
      </c>
      <c r="F30" s="62" t="n">
        <f aca="false">D30*E30</f>
        <v>0.048125</v>
      </c>
      <c r="I30" s="11" t="s">
        <v>1256</v>
      </c>
    </row>
    <row r="31" customFormat="false" ht="15" hidden="false" customHeight="false" outlineLevel="0" collapsed="false">
      <c r="A31" s="4" t="s">
        <v>1257</v>
      </c>
      <c r="B31" s="6" t="s">
        <v>1194</v>
      </c>
      <c r="C31" s="11" t="s">
        <v>1258</v>
      </c>
      <c r="D31" s="24" t="n">
        <v>0.038</v>
      </c>
      <c r="E31" s="25" t="n">
        <v>1.75</v>
      </c>
      <c r="F31" s="62" t="n">
        <f aca="false">D31*E31</f>
        <v>0.0665</v>
      </c>
      <c r="I31" s="11" t="s">
        <v>1199</v>
      </c>
    </row>
    <row r="32" customFormat="false" ht="15" hidden="false" customHeight="false" outlineLevel="0" collapsed="false">
      <c r="A32" s="4" t="s">
        <v>1259</v>
      </c>
      <c r="B32" s="6" t="s">
        <v>1194</v>
      </c>
      <c r="C32" s="11" t="s">
        <v>1260</v>
      </c>
      <c r="D32" s="24" t="n">
        <v>0.065</v>
      </c>
      <c r="E32" s="25" t="n">
        <v>1.25</v>
      </c>
      <c r="F32" s="62" t="n">
        <f aca="false">D32*E32</f>
        <v>0.08125</v>
      </c>
      <c r="I32" s="11" t="s">
        <v>1261</v>
      </c>
    </row>
    <row r="33" customFormat="false" ht="15" hidden="false" customHeight="false" outlineLevel="0" collapsed="false">
      <c r="A33" s="4" t="s">
        <v>1262</v>
      </c>
      <c r="B33" s="6" t="s">
        <v>1194</v>
      </c>
      <c r="C33" s="11" t="s">
        <v>1263</v>
      </c>
      <c r="D33" s="24" t="n">
        <v>0.06125</v>
      </c>
      <c r="E33" s="25" t="n">
        <v>1.25</v>
      </c>
      <c r="F33" s="62" t="n">
        <f aca="false">D33*E33</f>
        <v>0.0765625</v>
      </c>
      <c r="I33" s="11" t="s">
        <v>1264</v>
      </c>
    </row>
    <row r="34" customFormat="false" ht="15" hidden="false" customHeight="false" outlineLevel="0" collapsed="false">
      <c r="A34" s="4" t="s">
        <v>1265</v>
      </c>
      <c r="B34" s="6" t="s">
        <v>1194</v>
      </c>
      <c r="C34" s="11" t="s">
        <v>1266</v>
      </c>
      <c r="D34" s="24" t="n">
        <v>0.036</v>
      </c>
      <c r="E34" s="25" t="n">
        <v>3</v>
      </c>
      <c r="F34" s="62" t="n">
        <f aca="false">D34*E34</f>
        <v>0.108</v>
      </c>
      <c r="I34" s="11" t="s">
        <v>1196</v>
      </c>
    </row>
    <row r="35" customFormat="false" ht="15" hidden="false" customHeight="false" outlineLevel="0" collapsed="false">
      <c r="A35" s="4" t="s">
        <v>1267</v>
      </c>
      <c r="B35" s="6" t="s">
        <v>1194</v>
      </c>
      <c r="C35" s="11" t="s">
        <v>1268</v>
      </c>
      <c r="D35" s="24" t="n">
        <v>0.05375</v>
      </c>
      <c r="E35" s="25" t="n">
        <v>2.25</v>
      </c>
      <c r="F35" s="62" t="n">
        <f aca="false">D35*E35</f>
        <v>0.1209375</v>
      </c>
      <c r="I35" s="11" t="s">
        <v>1269</v>
      </c>
    </row>
    <row r="36" customFormat="false" ht="15" hidden="false" customHeight="false" outlineLevel="0" collapsed="false">
      <c r="A36" s="4" t="s">
        <v>1270</v>
      </c>
      <c r="B36" s="6" t="s">
        <v>1194</v>
      </c>
      <c r="C36" s="11" t="s">
        <v>1271</v>
      </c>
      <c r="D36" s="24" t="n">
        <v>0.0365</v>
      </c>
      <c r="E36" s="25" t="n">
        <v>2.25</v>
      </c>
      <c r="F36" s="62" t="n">
        <f aca="false">D36*E36</f>
        <v>0.082125</v>
      </c>
      <c r="I36" s="11" t="s">
        <v>1202</v>
      </c>
    </row>
    <row r="37" customFormat="false" ht="15" hidden="false" customHeight="false" outlineLevel="0" collapsed="false">
      <c r="A37" s="4" t="s">
        <v>1272</v>
      </c>
      <c r="B37" s="6" t="s">
        <v>1194</v>
      </c>
      <c r="C37" s="11" t="s">
        <v>1273</v>
      </c>
      <c r="D37" s="24" t="n">
        <v>0.045</v>
      </c>
      <c r="E37" s="25" t="n">
        <v>1</v>
      </c>
      <c r="F37" s="62" t="n">
        <f aca="false">D37*E37</f>
        <v>0.045</v>
      </c>
      <c r="I37" s="11" t="s">
        <v>1243</v>
      </c>
    </row>
    <row r="38" customFormat="false" ht="15" hidden="false" customHeight="false" outlineLevel="0" collapsed="false">
      <c r="A38" s="4" t="s">
        <v>1274</v>
      </c>
      <c r="B38" s="6" t="s">
        <v>1194</v>
      </c>
      <c r="C38" s="11" t="s">
        <v>1275</v>
      </c>
      <c r="D38" s="24" t="n">
        <v>0.04125</v>
      </c>
      <c r="E38" s="25" t="n">
        <v>2</v>
      </c>
      <c r="F38" s="62" t="n">
        <f aca="false">D38*E38</f>
        <v>0.0825</v>
      </c>
      <c r="I38" s="11" t="s">
        <v>1223</v>
      </c>
    </row>
    <row r="39" customFormat="false" ht="15" hidden="false" customHeight="false" outlineLevel="0" collapsed="false">
      <c r="A39" s="4" t="s">
        <v>1276</v>
      </c>
      <c r="B39" s="6" t="s">
        <v>1194</v>
      </c>
      <c r="C39" s="11" t="s">
        <v>1277</v>
      </c>
      <c r="D39" s="24" t="n">
        <v>0.05875</v>
      </c>
      <c r="E39" s="25" t="n">
        <v>2.5</v>
      </c>
      <c r="F39" s="62" t="n">
        <f aca="false">D39*E39</f>
        <v>0.146875</v>
      </c>
      <c r="I39" s="11" t="s">
        <v>1226</v>
      </c>
    </row>
    <row r="40" customFormat="false" ht="15" hidden="false" customHeight="false" outlineLevel="0" collapsed="false">
      <c r="A40" s="4" t="s">
        <v>1278</v>
      </c>
      <c r="B40" s="6" t="s">
        <v>1194</v>
      </c>
      <c r="C40" s="11" t="s">
        <v>1279</v>
      </c>
      <c r="D40" s="24" t="n">
        <v>0.0655</v>
      </c>
      <c r="E40" s="25" t="n">
        <v>2.25</v>
      </c>
      <c r="F40" s="62" t="n">
        <f aca="false">D40*E40</f>
        <v>0.147375</v>
      </c>
      <c r="I40" s="11" t="s">
        <v>1211</v>
      </c>
    </row>
    <row r="41" customFormat="false" ht="15" hidden="false" customHeight="false" outlineLevel="0" collapsed="false">
      <c r="A41" s="4" t="s">
        <v>1280</v>
      </c>
      <c r="B41" s="6" t="s">
        <v>1194</v>
      </c>
      <c r="C41" s="11" t="s">
        <v>1281</v>
      </c>
      <c r="D41" s="24" t="n">
        <v>0.04</v>
      </c>
      <c r="E41" s="25" t="n">
        <v>3</v>
      </c>
      <c r="F41" s="62" t="n">
        <f aca="false">D41*E41</f>
        <v>0.12</v>
      </c>
      <c r="I41" s="11" t="s">
        <v>1256</v>
      </c>
    </row>
    <row r="42" customFormat="false" ht="15" hidden="false" customHeight="false" outlineLevel="0" collapsed="false">
      <c r="A42" s="4" t="s">
        <v>1282</v>
      </c>
      <c r="B42" s="6" t="s">
        <v>1194</v>
      </c>
      <c r="C42" s="11" t="s">
        <v>1283</v>
      </c>
      <c r="D42" s="24" t="n">
        <v>0.04</v>
      </c>
      <c r="E42" s="25" t="n">
        <v>2.25</v>
      </c>
      <c r="F42" s="62" t="n">
        <f aca="false">D42*E42</f>
        <v>0.09</v>
      </c>
      <c r="I42" s="11" t="s">
        <v>1199</v>
      </c>
    </row>
    <row r="43" customFormat="false" ht="15" hidden="false" customHeight="false" outlineLevel="0" collapsed="false">
      <c r="A43" s="4" t="s">
        <v>1284</v>
      </c>
      <c r="B43" s="6" t="s">
        <v>1194</v>
      </c>
      <c r="C43" s="11" t="s">
        <v>1285</v>
      </c>
      <c r="D43" s="24" t="n">
        <v>0.036</v>
      </c>
      <c r="E43" s="25" t="n">
        <v>4.5</v>
      </c>
      <c r="F43" s="62" t="n">
        <f aca="false">D43*E43</f>
        <v>0.162</v>
      </c>
      <c r="I43" s="11" t="s">
        <v>1196</v>
      </c>
    </row>
    <row r="44" customFormat="false" ht="15" hidden="false" customHeight="false" outlineLevel="0" collapsed="false">
      <c r="A44" s="4" t="s">
        <v>1286</v>
      </c>
      <c r="B44" s="6" t="s">
        <v>1194</v>
      </c>
      <c r="C44" s="11" t="s">
        <v>1287</v>
      </c>
      <c r="D44" s="24" t="n">
        <v>0.0395</v>
      </c>
      <c r="E44" s="25" t="n">
        <v>3.25</v>
      </c>
      <c r="F44" s="62" t="n">
        <f aca="false">D44*E44</f>
        <v>0.128375</v>
      </c>
      <c r="I44" s="11" t="s">
        <v>1202</v>
      </c>
    </row>
    <row r="45" customFormat="false" ht="15" hidden="false" customHeight="false" outlineLevel="0" collapsed="false">
      <c r="A45" s="4" t="s">
        <v>1288</v>
      </c>
      <c r="B45" s="6" t="s">
        <v>1194</v>
      </c>
      <c r="C45" s="11" t="s">
        <v>1289</v>
      </c>
      <c r="D45" s="24" t="n">
        <v>0.069</v>
      </c>
      <c r="E45" s="25" t="n">
        <v>2.5</v>
      </c>
      <c r="F45" s="62" t="n">
        <f aca="false">D45*E45</f>
        <v>0.1725</v>
      </c>
      <c r="I45" s="11" t="s">
        <v>1217</v>
      </c>
    </row>
    <row r="46" customFormat="false" ht="15" hidden="false" customHeight="false" outlineLevel="0" collapsed="false">
      <c r="A46" s="4" t="s">
        <v>1290</v>
      </c>
      <c r="B46" s="6" t="s">
        <v>1194</v>
      </c>
      <c r="C46" s="11" t="s">
        <v>1291</v>
      </c>
      <c r="D46" s="24" t="n">
        <v>0.0555</v>
      </c>
      <c r="E46" s="25" t="n">
        <v>2.25</v>
      </c>
      <c r="F46" s="62" t="n">
        <f aca="false">D46*E46</f>
        <v>0.124875</v>
      </c>
      <c r="I46" s="11" t="s">
        <v>1205</v>
      </c>
    </row>
    <row r="47" customFormat="false" ht="15" hidden="false" customHeight="false" outlineLevel="0" collapsed="false">
      <c r="A47" s="4" t="s">
        <v>1292</v>
      </c>
      <c r="B47" s="6" t="s">
        <v>1194</v>
      </c>
      <c r="C47" s="11" t="s">
        <v>1293</v>
      </c>
      <c r="D47" s="24" t="n">
        <v>0.05375</v>
      </c>
      <c r="E47" s="25" t="n">
        <v>1.75</v>
      </c>
      <c r="F47" s="62" t="n">
        <f aca="false">D47*E47</f>
        <v>0.0940625</v>
      </c>
      <c r="I47" s="11" t="s">
        <v>1214</v>
      </c>
    </row>
    <row r="48" customFormat="false" ht="15" hidden="false" customHeight="false" outlineLevel="0" collapsed="false">
      <c r="A48" s="4" t="s">
        <v>1294</v>
      </c>
      <c r="B48" s="6" t="s">
        <v>1194</v>
      </c>
      <c r="C48" s="11" t="s">
        <v>1295</v>
      </c>
      <c r="D48" s="24" t="n">
        <v>0.04375</v>
      </c>
      <c r="E48" s="25" t="n">
        <v>1.25</v>
      </c>
      <c r="F48" s="62" t="n">
        <f aca="false">D48*E48</f>
        <v>0.0546875</v>
      </c>
      <c r="I48" s="11" t="s">
        <v>1223</v>
      </c>
    </row>
    <row r="49" customFormat="false" ht="15" hidden="false" customHeight="false" outlineLevel="0" collapsed="false">
      <c r="A49" s="4" t="s">
        <v>1296</v>
      </c>
      <c r="B49" s="6" t="s">
        <v>1194</v>
      </c>
      <c r="C49" s="11" t="s">
        <v>1297</v>
      </c>
      <c r="D49" s="24" t="n">
        <v>0.06</v>
      </c>
      <c r="E49" s="25" t="n">
        <v>1.75</v>
      </c>
      <c r="F49" s="62" t="n">
        <f aca="false">D49*E49</f>
        <v>0.105</v>
      </c>
      <c r="I49" s="11" t="s">
        <v>1208</v>
      </c>
    </row>
    <row r="50" customFormat="false" ht="15" hidden="false" customHeight="false" outlineLevel="0" collapsed="false">
      <c r="A50" s="4" t="s">
        <v>1298</v>
      </c>
      <c r="B50" s="6" t="s">
        <v>1194</v>
      </c>
      <c r="C50" s="11" t="s">
        <v>1299</v>
      </c>
      <c r="D50" s="24" t="n">
        <v>0.0595</v>
      </c>
      <c r="E50" s="25" t="n">
        <v>3.5</v>
      </c>
      <c r="F50" s="62" t="n">
        <f aca="false">D50*E50</f>
        <v>0.20825</v>
      </c>
      <c r="I50" s="11" t="s">
        <v>1226</v>
      </c>
    </row>
    <row r="51" customFormat="false" ht="15" hidden="false" customHeight="false" outlineLevel="0" collapsed="false">
      <c r="A51" s="4" t="s">
        <v>1300</v>
      </c>
      <c r="B51" s="6" t="s">
        <v>1194</v>
      </c>
      <c r="C51" s="11" t="s">
        <v>1301</v>
      </c>
      <c r="D51" s="24" t="n">
        <v>0.067</v>
      </c>
      <c r="E51" s="25" t="n">
        <v>5</v>
      </c>
      <c r="F51" s="62" t="n">
        <f aca="false">D51*E51</f>
        <v>0.335</v>
      </c>
      <c r="I51" s="11" t="s">
        <v>1211</v>
      </c>
    </row>
    <row r="52" customFormat="false" ht="15" hidden="false" customHeight="false" outlineLevel="0" collapsed="false">
      <c r="A52" s="4" t="s">
        <v>1302</v>
      </c>
      <c r="B52" s="6" t="s">
        <v>1194</v>
      </c>
      <c r="C52" s="11" t="s">
        <v>1303</v>
      </c>
      <c r="D52" s="24" t="n">
        <v>0.0385</v>
      </c>
      <c r="E52" s="25" t="n">
        <v>3.5</v>
      </c>
      <c r="F52" s="62" t="n">
        <f aca="false">D52*E52</f>
        <v>0.13475</v>
      </c>
      <c r="I52" s="11" t="s">
        <v>1196</v>
      </c>
    </row>
    <row r="53" customFormat="false" ht="15" hidden="false" customHeight="false" outlineLevel="0" collapsed="false">
      <c r="A53" s="4" t="s">
        <v>1304</v>
      </c>
      <c r="B53" s="6" t="s">
        <v>1194</v>
      </c>
      <c r="C53" s="11" t="s">
        <v>1305</v>
      </c>
      <c r="D53" s="24" t="n">
        <v>0.041</v>
      </c>
      <c r="E53" s="25" t="n">
        <v>1.5</v>
      </c>
      <c r="F53" s="62" t="n">
        <f aca="false">D53*E53</f>
        <v>0.0615</v>
      </c>
      <c r="I53" s="11" t="s">
        <v>1202</v>
      </c>
    </row>
    <row r="54" customFormat="false" ht="15" hidden="false" customHeight="false" outlineLevel="0" collapsed="false">
      <c r="A54" s="4" t="s">
        <v>1306</v>
      </c>
      <c r="B54" s="6" t="s">
        <v>1194</v>
      </c>
      <c r="C54" s="11" t="s">
        <v>1307</v>
      </c>
      <c r="D54" s="24" t="n">
        <v>0.055</v>
      </c>
      <c r="E54" s="25" t="n">
        <v>1.25</v>
      </c>
      <c r="F54" s="62" t="n">
        <f aca="false">D54*E54</f>
        <v>0.06875</v>
      </c>
      <c r="I54" s="11" t="s">
        <v>1214</v>
      </c>
    </row>
    <row r="55" customFormat="false" ht="15" hidden="false" customHeight="false" outlineLevel="0" collapsed="false">
      <c r="A55" s="4" t="s">
        <v>1308</v>
      </c>
      <c r="B55" s="6" t="s">
        <v>1194</v>
      </c>
      <c r="C55" s="11" t="s">
        <v>1309</v>
      </c>
      <c r="D55" s="24" t="n">
        <v>0.06125</v>
      </c>
      <c r="E55" s="25" t="n">
        <v>1</v>
      </c>
      <c r="F55" s="62" t="n">
        <f aca="false">D55*E55</f>
        <v>0.06125</v>
      </c>
      <c r="I55" s="11" t="s">
        <v>1208</v>
      </c>
    </row>
    <row r="56" customFormat="false" ht="15" hidden="false" customHeight="false" outlineLevel="0" collapsed="false">
      <c r="A56" s="4" t="s">
        <v>1310</v>
      </c>
      <c r="B56" s="6" t="s">
        <v>1194</v>
      </c>
      <c r="C56" s="11" t="s">
        <v>1311</v>
      </c>
      <c r="D56" s="24" t="n">
        <v>0.061</v>
      </c>
      <c r="E56" s="25" t="n">
        <v>2</v>
      </c>
      <c r="F56" s="62" t="n">
        <f aca="false">D56*E56</f>
        <v>0.122</v>
      </c>
      <c r="I56" s="11" t="s">
        <v>1226</v>
      </c>
    </row>
    <row r="57" customFormat="false" ht="15" hidden="false" customHeight="false" outlineLevel="0" collapsed="false">
      <c r="A57" s="4" t="s">
        <v>1312</v>
      </c>
      <c r="B57" s="6" t="s">
        <v>1194</v>
      </c>
      <c r="C57" s="11" t="s">
        <v>1313</v>
      </c>
      <c r="D57" s="24" t="n">
        <v>0.0685</v>
      </c>
      <c r="E57" s="25" t="n">
        <v>2.75</v>
      </c>
      <c r="F57" s="62" t="n">
        <f aca="false">D57*E57</f>
        <v>0.188375</v>
      </c>
      <c r="I57" s="11" t="s">
        <v>1211</v>
      </c>
    </row>
    <row r="58" customFormat="false" ht="15" hidden="false" customHeight="false" outlineLevel="0" collapsed="false">
      <c r="A58" s="3" t="s">
        <v>1314</v>
      </c>
      <c r="B58" s="6" t="s">
        <v>1194</v>
      </c>
      <c r="C58" s="11" t="s">
        <v>1207</v>
      </c>
      <c r="D58" s="24" t="n">
        <v>0.0443</v>
      </c>
      <c r="E58" s="25" t="n">
        <v>0.5</v>
      </c>
      <c r="F58" s="62" t="n">
        <f aca="false">D58*E58</f>
        <v>0.02215</v>
      </c>
      <c r="I58" s="11" t="s">
        <v>1208</v>
      </c>
    </row>
    <row r="59" customFormat="false" ht="15" hidden="false" customHeight="false" outlineLevel="0" collapsed="false">
      <c r="A59" s="3" t="s">
        <v>1315</v>
      </c>
      <c r="B59" s="6" t="s">
        <v>1194</v>
      </c>
      <c r="C59" s="11" t="s">
        <v>1210</v>
      </c>
      <c r="D59" s="24" t="n">
        <v>0.0478</v>
      </c>
      <c r="E59" s="25" t="n">
        <v>0.5</v>
      </c>
      <c r="F59" s="62" t="n">
        <f aca="false">D59*E59</f>
        <v>0.0239</v>
      </c>
      <c r="I59" s="11" t="s">
        <v>1211</v>
      </c>
    </row>
    <row r="60" customFormat="false" ht="15" hidden="false" customHeight="false" outlineLevel="0" collapsed="false">
      <c r="A60" s="3" t="s">
        <v>1316</v>
      </c>
      <c r="B60" s="6" t="s">
        <v>1194</v>
      </c>
      <c r="C60" s="11" t="s">
        <v>1317</v>
      </c>
      <c r="D60" s="24" t="n">
        <v>0.0474</v>
      </c>
      <c r="E60" s="25" t="n">
        <v>5.067</v>
      </c>
      <c r="F60" s="62" t="n">
        <f aca="false">D60*E60</f>
        <v>0.2401758</v>
      </c>
      <c r="I60" s="11" t="s">
        <v>1318</v>
      </c>
    </row>
    <row r="61" customFormat="false" ht="15" hidden="false" customHeight="false" outlineLevel="0" collapsed="false">
      <c r="A61" s="3" t="s">
        <v>1319</v>
      </c>
      <c r="B61" s="6" t="s">
        <v>1194</v>
      </c>
      <c r="C61" s="11" t="s">
        <v>1320</v>
      </c>
      <c r="D61" s="24" t="n">
        <v>0.0435</v>
      </c>
      <c r="E61" s="25" t="n">
        <v>0.337</v>
      </c>
      <c r="F61" s="62" t="n">
        <f aca="false">D61*E61</f>
        <v>0.0146595</v>
      </c>
      <c r="I61" s="6" t="s">
        <v>1321</v>
      </c>
    </row>
    <row r="62" customFormat="false" ht="15" hidden="false" customHeight="false" outlineLevel="0" collapsed="false">
      <c r="A62" s="2" t="s">
        <v>1322</v>
      </c>
      <c r="E62" s="53" t="n">
        <f aca="false">SUM(E5:E61)</f>
        <v>125.904</v>
      </c>
      <c r="F62" s="53" t="n">
        <f aca="false">SUM(F5:F61)</f>
        <v>6.0449478</v>
      </c>
      <c r="I62" s="6" t="s">
        <v>1323</v>
      </c>
    </row>
    <row r="63" customFormat="false" ht="15" hidden="false" customHeight="false" outlineLevel="0" collapsed="false">
      <c r="A63" s="2" t="s">
        <v>1324</v>
      </c>
      <c r="D63" s="72" t="n">
        <f aca="false">F62/E62</f>
        <v>0.0480123570339306</v>
      </c>
      <c r="I63" s="6" t="s">
        <v>1325</v>
      </c>
    </row>
    <row r="65" customFormat="false" ht="15" hidden="false" customHeight="false" outlineLevel="0" collapsed="false">
      <c r="A65" s="3" t="s">
        <v>1326</v>
      </c>
      <c r="D65" s="73" t="n">
        <v>0</v>
      </c>
      <c r="E65" s="25" t="n">
        <v>0</v>
      </c>
      <c r="F65" s="10" t="n">
        <f aca="false">D65*E65</f>
        <v>0</v>
      </c>
      <c r="I65" s="11" t="s">
        <v>1327</v>
      </c>
    </row>
    <row r="67" customFormat="false" ht="15" hidden="false" customHeight="false" outlineLevel="0" collapsed="false">
      <c r="A67" s="46" t="s">
        <v>1328</v>
      </c>
      <c r="B67" s="8"/>
      <c r="C67" s="8"/>
      <c r="D67" s="8"/>
      <c r="E67" s="8"/>
      <c r="F67" s="8"/>
      <c r="G67" s="8"/>
      <c r="H67" s="8"/>
    </row>
    <row r="68" customFormat="false" ht="17.15" hidden="false" customHeight="false" outlineLevel="1" collapsed="false">
      <c r="A68" s="14" t="s">
        <v>1329</v>
      </c>
      <c r="B68" s="14" t="s">
        <v>1189</v>
      </c>
      <c r="C68" s="14" t="s">
        <v>1330</v>
      </c>
      <c r="D68" s="14" t="s">
        <v>1331</v>
      </c>
      <c r="E68" s="14" t="s">
        <v>1332</v>
      </c>
      <c r="F68" s="14" t="s">
        <v>1333</v>
      </c>
      <c r="G68" s="14" t="s">
        <v>1334</v>
      </c>
      <c r="H68" s="14" t="s">
        <v>1335</v>
      </c>
      <c r="I68" s="14" t="s">
        <v>616</v>
      </c>
    </row>
    <row r="69" customFormat="false" ht="15" hidden="false" customHeight="false" outlineLevel="1" collapsed="false">
      <c r="A69" s="4" t="s">
        <v>1336</v>
      </c>
      <c r="B69" s="11" t="s">
        <v>1337</v>
      </c>
      <c r="C69" s="73" t="n">
        <v>0.065</v>
      </c>
      <c r="D69" s="23" t="n">
        <v>5</v>
      </c>
      <c r="E69" s="74" t="n">
        <v>1</v>
      </c>
      <c r="F69" s="38" t="n">
        <v>160.06</v>
      </c>
      <c r="G69" s="64" t="n">
        <v>2</v>
      </c>
      <c r="H69" s="21" t="n">
        <v>1</v>
      </c>
      <c r="I69" s="6" t="s">
        <v>1338</v>
      </c>
    </row>
    <row r="70" customFormat="false" ht="15" hidden="false" customHeight="false" outlineLevel="1" collapsed="false">
      <c r="I70" s="6" t="s">
        <v>1339</v>
      </c>
    </row>
    <row r="71" customFormat="false" ht="15" hidden="false" customHeight="false" outlineLevel="1" collapsed="false"/>
    <row r="72" customFormat="false" ht="15" hidden="false" customHeight="false" outlineLevel="1" collapsed="false">
      <c r="A72" s="14" t="s">
        <v>1340</v>
      </c>
      <c r="C72" s="14" t="s">
        <v>1341</v>
      </c>
      <c r="D72" s="14" t="s">
        <v>1342</v>
      </c>
      <c r="E72" s="14" t="s">
        <v>1343</v>
      </c>
      <c r="F72" s="14" t="s">
        <v>1344</v>
      </c>
      <c r="G72" s="14" t="s">
        <v>1345</v>
      </c>
      <c r="H72" s="14" t="s">
        <v>1346</v>
      </c>
      <c r="I72" s="14" t="s">
        <v>721</v>
      </c>
    </row>
    <row r="73" customFormat="false" ht="15" hidden="false" customHeight="false" outlineLevel="1" collapsed="false">
      <c r="A73" s="3" t="str">
        <f aca="false">A69</f>
        <v>6.50% Series D 強制轉換特別股（2026-02）</v>
      </c>
      <c r="C73" s="30" t="n">
        <f aca="false">D69*E69</f>
        <v>5</v>
      </c>
      <c r="D73" s="30" t="n">
        <f aca="false">D69/F69</f>
        <v>0.0312382856428839</v>
      </c>
      <c r="E73" s="49" t="n">
        <f aca="false">F69*E69</f>
        <v>160.06</v>
      </c>
      <c r="F73" s="64" t="n">
        <f aca="false">IF(OR(H69=1,E73&lt;輸入與假設!$C$152),1,0)</f>
        <v>1</v>
      </c>
      <c r="G73" s="64" t="n">
        <f aca="false">IF(OR(H69=1,E73&lt;輸入與假設!$C$175),1,0)</f>
        <v>1</v>
      </c>
      <c r="H73" s="64" t="n">
        <f aca="false">IF(OR(H69=1,E73&lt;評價_DCF與目標價!$C$66),1,0)</f>
        <v>1</v>
      </c>
    </row>
    <row r="74" customFormat="false" ht="15" hidden="false" customHeight="false" outlineLevel="1" collapsed="false">
      <c r="A74" s="2" t="s">
        <v>1347</v>
      </c>
      <c r="C74" s="75" t="n">
        <f aca="false">SUM(C73:C73)</f>
        <v>5</v>
      </c>
      <c r="D74" s="75" t="n">
        <f aca="false">SUM(D73:D73)</f>
        <v>0.0312382856428839</v>
      </c>
      <c r="I74" s="6" t="s">
        <v>1348</v>
      </c>
    </row>
    <row r="76" customFormat="false" ht="15" hidden="false" customHeight="false" outlineLevel="0" collapsed="false">
      <c r="A76" s="46" t="s">
        <v>1349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14" t="s">
        <v>51</v>
      </c>
      <c r="B77" s="14" t="s">
        <v>52</v>
      </c>
      <c r="C77" s="28" t="s">
        <v>53</v>
      </c>
      <c r="D77" s="28" t="s">
        <v>54</v>
      </c>
      <c r="E77" s="28" t="s">
        <v>55</v>
      </c>
      <c r="F77" s="28" t="s">
        <v>145</v>
      </c>
      <c r="G77" s="28" t="s">
        <v>146</v>
      </c>
      <c r="I77" s="14" t="s">
        <v>747</v>
      </c>
    </row>
    <row r="78" customFormat="false" ht="15" hidden="false" customHeight="false" outlineLevel="1" collapsed="false">
      <c r="A78" s="3" t="s">
        <v>1350</v>
      </c>
      <c r="B78" s="11" t="s">
        <v>57</v>
      </c>
      <c r="C78" s="62" t="n">
        <f aca="false">E62</f>
        <v>125.904</v>
      </c>
      <c r="D78" s="62" t="n">
        <f aca="false">C80</f>
        <v>122.897</v>
      </c>
      <c r="E78" s="62" t="n">
        <f aca="false">D80</f>
        <v>112.75</v>
      </c>
      <c r="F78" s="62" t="n">
        <f aca="false">E80</f>
        <v>107.25</v>
      </c>
      <c r="G78" s="62" t="n">
        <f aca="false">F80</f>
        <v>100</v>
      </c>
      <c r="I78" s="11" t="s">
        <v>1351</v>
      </c>
    </row>
    <row r="79" customFormat="false" ht="15" hidden="false" customHeight="false" outlineLevel="1" collapsed="false">
      <c r="A79" s="3" t="s">
        <v>1352</v>
      </c>
      <c r="B79" s="11" t="s">
        <v>57</v>
      </c>
      <c r="C79" s="39" t="n">
        <f aca="false">輸入與假設!C$170</f>
        <v>3.007</v>
      </c>
      <c r="D79" s="39" t="n">
        <f aca="false">輸入與假設!D$170</f>
        <v>10.147</v>
      </c>
      <c r="E79" s="39" t="n">
        <f aca="false">輸入與假設!E$170</f>
        <v>5.5</v>
      </c>
      <c r="F79" s="39" t="n">
        <f aca="false">輸入與假設!F$170</f>
        <v>7.25</v>
      </c>
      <c r="G79" s="39" t="n">
        <f aca="false">輸入與假設!G$170</f>
        <v>9.75</v>
      </c>
      <c r="I79" s="6" t="s">
        <v>1353</v>
      </c>
    </row>
    <row r="80" customFormat="false" ht="15" hidden="false" customHeight="false" outlineLevel="1" collapsed="false">
      <c r="A80" s="3" t="s">
        <v>1354</v>
      </c>
      <c r="B80" s="11" t="s">
        <v>57</v>
      </c>
      <c r="C80" s="62" t="n">
        <f aca="false">C78-C79</f>
        <v>122.897</v>
      </c>
      <c r="D80" s="62" t="n">
        <f aca="false">D78-D79</f>
        <v>112.75</v>
      </c>
      <c r="E80" s="62" t="n">
        <f aca="false">E78-E79</f>
        <v>107.25</v>
      </c>
      <c r="F80" s="62" t="n">
        <f aca="false">F78-F79</f>
        <v>100</v>
      </c>
      <c r="G80" s="62" t="n">
        <f aca="false">G78-G79</f>
        <v>90.25</v>
      </c>
    </row>
    <row r="81" customFormat="false" ht="15" hidden="false" customHeight="false" outlineLevel="1" collapsed="false">
      <c r="A81" s="3" t="s">
        <v>1355</v>
      </c>
      <c r="B81" s="11" t="s">
        <v>57</v>
      </c>
      <c r="C81" s="62" t="n">
        <f aca="false">(C78+C80)/2</f>
        <v>124.4005</v>
      </c>
      <c r="D81" s="62" t="n">
        <f aca="false">(D78+D80)/2</f>
        <v>117.8235</v>
      </c>
      <c r="E81" s="62" t="n">
        <f aca="false">(E78+E80)/2</f>
        <v>110</v>
      </c>
      <c r="F81" s="62" t="n">
        <f aca="false">(F78+F80)/2</f>
        <v>103.625</v>
      </c>
      <c r="G81" s="62" t="n">
        <f aca="false">(G78+G80)/2</f>
        <v>95.125</v>
      </c>
    </row>
    <row r="82" customFormat="false" ht="15" hidden="false" customHeight="false" outlineLevel="1" collapsed="false">
      <c r="A82" s="3" t="s">
        <v>1356</v>
      </c>
      <c r="B82" s="11" t="s">
        <v>57</v>
      </c>
      <c r="C82" s="62" t="n">
        <f aca="false">C81*資產負債_既有債務!$D$63*輸入與假設!C$41</f>
        <v>4.47957091589961</v>
      </c>
      <c r="D82" s="62" t="n">
        <f aca="false">D81*資產負債_既有債務!$D$63*輸入與假設!D$41</f>
        <v>5.65698394898732</v>
      </c>
      <c r="E82" s="62" t="n">
        <f aca="false">E81*資產負債_既有債務!$D$63*輸入與假設!E$41</f>
        <v>5.28135927373237</v>
      </c>
      <c r="F82" s="62" t="n">
        <f aca="false">F81*資產負債_既有債務!$D$63*輸入與假設!F$41</f>
        <v>4.97528049764106</v>
      </c>
      <c r="G82" s="62" t="n">
        <f aca="false">G81*資產負債_既有債務!$D$63*輸入與假設!G$41</f>
        <v>4.56717546285265</v>
      </c>
      <c r="I82" s="6" t="s">
        <v>1357</v>
      </c>
    </row>
    <row r="83" customFormat="false" ht="15" hidden="false" customHeight="false" outlineLevel="1" collapsed="false">
      <c r="A83" s="3" t="s">
        <v>1358</v>
      </c>
      <c r="B83" s="11" t="s">
        <v>57</v>
      </c>
      <c r="C83" s="62" t="n">
        <f aca="false">資產負債_既有債務!$F$65*輸入與假設!C$41</f>
        <v>0</v>
      </c>
      <c r="D83" s="62" t="n">
        <f aca="false">資產負債_既有債務!$F$65*輸入與假設!D$41</f>
        <v>0</v>
      </c>
      <c r="E83" s="62" t="n">
        <f aca="false">資產負債_既有債務!$F$65*輸入與假設!E$41</f>
        <v>0</v>
      </c>
      <c r="F83" s="62" t="n">
        <f aca="false">資產負債_既有債務!$F$65*輸入與假設!F$41</f>
        <v>0</v>
      </c>
      <c r="G83" s="62" t="n">
        <f aca="false">資產負債_既有債務!$F$65*輸入與假設!G$41</f>
        <v>0</v>
      </c>
    </row>
    <row r="84" customFormat="false" ht="15" hidden="false" customHeight="false" outlineLevel="1" collapsed="false">
      <c r="A84" s="3" t="s">
        <v>1359</v>
      </c>
      <c r="B84" s="11" t="s">
        <v>57</v>
      </c>
      <c r="C84" s="62" t="n">
        <f aca="false">IF(輸入與假設!$C$144=1,SUMPRODUCT((1-資產負債_既有債務!$F$73:$F$73)*資產負債_既有債務!$C$73:$C$73*(資產負債_既有債務!$G$69:$G$69=0)),0)</f>
        <v>0</v>
      </c>
      <c r="D84" s="62" t="n">
        <f aca="false">IF(輸入與假設!$C$144=1,SUMPRODUCT((1-資產負債_既有債務!$F$73:$F$73)*資產負債_既有債務!$C$73:$C$73*(資產負債_既有債務!$G$69:$G$69=1)),0)</f>
        <v>0</v>
      </c>
      <c r="E84" s="62" t="n">
        <f aca="false">IF(輸入與假設!$C$144=1,SUMPRODUCT((1-資產負債_既有債務!$F$73:$F$73)*資產負債_既有債務!$C$73:$C$73*(資產負債_既有債務!$G$69:$G$69=2)),0)</f>
        <v>0</v>
      </c>
      <c r="F84" s="62" t="n">
        <f aca="false">IF(輸入與假設!$C$144=1,SUMPRODUCT((1-資產負債_既有債務!$F$73:$F$73)*資產負債_既有債務!$C$73:$C$73*(資產負債_既有債務!$G$69:$G$69=3)),0)</f>
        <v>0</v>
      </c>
      <c r="G84" s="62" t="n">
        <f aca="false">IF(輸入與假設!$C$144=1,SUMPRODUCT((1-資產負債_既有債務!$F$73:$F$73)*資產負債_既有債務!$C$73:$C$73*(資產負債_既有債務!$G$69:$G$69=4)),0)</f>
        <v>0</v>
      </c>
      <c r="I84" s="6" t="s">
        <v>1360</v>
      </c>
    </row>
    <row r="85" customFormat="false" ht="15" hidden="false" customHeight="false" outlineLevel="1" collapsed="false">
      <c r="A85" s="3" t="s">
        <v>1361</v>
      </c>
      <c r="B85" s="11" t="s">
        <v>57</v>
      </c>
      <c r="C85" s="62" t="n">
        <f aca="false">IF(輸入與假設!$C$144=1,SUMPRODUCT((1-資產負債_既有債務!$F$73:$F$73)*資產負債_既有債務!$C$73:$C$73*(資產負債_既有債務!$G$69:$G$69&gt;0)),SUMPRODUCT((1-資產負債_既有債務!$F$73:$F$73)*資產負債_既有債務!$C$73:$C$73))</f>
        <v>0</v>
      </c>
      <c r="D85" s="62" t="n">
        <f aca="false">IF(輸入與假設!$C$144=1,SUMPRODUCT((1-資產負債_既有債務!$F$73:$F$73)*資產負債_既有債務!$C$73:$C$73*(資產負債_既有債務!$G$69:$G$69&gt;1)),SUMPRODUCT((1-資產負債_既有債務!$F$73:$F$73)*資產負債_既有債務!$C$73:$C$73))</f>
        <v>0</v>
      </c>
      <c r="E85" s="62" t="n">
        <f aca="false">IF(輸入與假設!$C$144=1,SUMPRODUCT((1-資產負債_既有債務!$F$73:$F$73)*資產負債_既有債務!$C$73:$C$73*(資產負債_既有債務!$G$69:$G$69&gt;2)),SUMPRODUCT((1-資產負債_既有債務!$F$73:$F$73)*資產負債_既有債務!$C$73:$C$73))</f>
        <v>0</v>
      </c>
      <c r="F85" s="62" t="n">
        <f aca="false">IF(輸入與假設!$C$144=1,SUMPRODUCT((1-資產負債_既有債務!$F$73:$F$73)*資產負債_既有債務!$C$73:$C$73*(資產負債_既有債務!$G$69:$G$69&gt;3)),SUMPRODUCT((1-資產負債_既有債務!$F$73:$F$73)*資產負債_既有債務!$C$73:$C$73))</f>
        <v>0</v>
      </c>
      <c r="G85" s="62" t="n">
        <f aca="false">IF(輸入與假設!$C$144=1,SUMPRODUCT((1-資產負債_既有債務!$F$73:$F$73)*資產負債_既有債務!$C$73:$C$73*(資產負債_既有債務!$G$69:$G$69&gt;4)),SUMPRODUCT((1-資產負債_既有債務!$F$73:$F$73)*資產負債_既有債務!$C$73:$C$73))</f>
        <v>0</v>
      </c>
      <c r="I85" s="6" t="s">
        <v>1362</v>
      </c>
    </row>
    <row r="86" customFormat="false" ht="15" hidden="false" customHeight="false" outlineLevel="1" collapsed="false">
      <c r="A86" s="3" t="s">
        <v>1363</v>
      </c>
      <c r="B86" s="11" t="s">
        <v>57</v>
      </c>
      <c r="C86" s="62" t="n">
        <f aca="false">IF(輸入與假設!$C$144=1,SUMPRODUCT((1-資產負債_既有債務!$F$73:$F$73)*資產負債_既有債務!$D$69:$D$69*資產負債_既有債務!$C$69:$C$69*((資產負債_既有債務!$G$69:$G$69&gt;0)+0.5*(資產負債_既有債務!$G$69:$G$69=0))),SUMPRODUCT((1-資產負債_既有債務!$F$73:$F$73)*資產負債_既有債務!$D$69:$D$69*資產負債_既有債務!$C$69:$C$69))*輸入與假設!C$41</f>
        <v>0</v>
      </c>
      <c r="D86" s="62" t="n">
        <f aca="false">IF(輸入與假設!$C$144=1,SUMPRODUCT((1-資產負債_既有債務!$F$73:$F$73)*資產負債_既有債務!$D$69:$D$69*資產負債_既有債務!$C$69:$C$69*((資產負債_既有債務!$G$69:$G$69&gt;1)+0.5*(資產負債_既有債務!$G$69:$G$69=1))),SUMPRODUCT((1-資產負債_既有債務!$F$73:$F$73)*資產負債_既有債務!$D$69:$D$69*資產負債_既有債務!$C$69:$C$69))*輸入與假設!D$41</f>
        <v>0</v>
      </c>
      <c r="E86" s="62" t="n">
        <f aca="false">IF(輸入與假設!$C$144=1,SUMPRODUCT((1-資產負債_既有債務!$F$73:$F$73)*資產負債_既有債務!$D$69:$D$69*資產負債_既有債務!$C$69:$C$69*((資產負債_既有債務!$G$69:$G$69&gt;2)+0.5*(資產負債_既有債務!$G$69:$G$69=2))),SUMPRODUCT((1-資產負債_既有債務!$F$73:$F$73)*資產負債_既有債務!$D$69:$D$69*資產負債_既有債務!$C$69:$C$69))*輸入與假設!E$41</f>
        <v>0</v>
      </c>
      <c r="F86" s="62" t="n">
        <f aca="false">IF(輸入與假設!$C$144=1,SUMPRODUCT((1-資產負債_既有債務!$F$73:$F$73)*資產負債_既有債務!$D$69:$D$69*資產負債_既有債務!$C$69:$C$69*((資產負債_既有債務!$G$69:$G$69&gt;3)+0.5*(資產負債_既有債務!$G$69:$G$69=3))),SUMPRODUCT((1-資產負債_既有債務!$F$73:$F$73)*資產負債_既有債務!$D$69:$D$69*資產負債_既有債務!$C$69:$C$69))*輸入與假設!F$41</f>
        <v>0</v>
      </c>
      <c r="G86" s="62" t="n">
        <f aca="false">IF(輸入與假設!$C$144=1,SUMPRODUCT((1-資產負債_既有債務!$F$73:$F$73)*資產負債_既有債務!$D$69:$D$69*資產負債_既有債務!$C$69:$C$69*((資產負債_既有債務!$G$69:$G$69&gt;4)+0.5*(資產負債_既有債務!$G$69:$G$69=4))),SUMPRODUCT((1-資產負債_既有債務!$F$73:$F$73)*資產負債_既有債務!$D$69:$D$69*資產負債_既有債務!$C$69:$C$69))*輸入與假設!G$41</f>
        <v>0</v>
      </c>
      <c r="I86" s="6" t="s">
        <v>1364</v>
      </c>
    </row>
    <row r="87" customFormat="false" ht="15" hidden="false" customHeight="false" outlineLevel="1" collapsed="false">
      <c r="A87" s="4" t="s">
        <v>1365</v>
      </c>
      <c r="B87" s="11" t="s">
        <v>57</v>
      </c>
      <c r="C87" s="25" t="n">
        <f aca="false">0</f>
        <v>0</v>
      </c>
      <c r="D87" s="25" t="n">
        <f aca="false">0</f>
        <v>0</v>
      </c>
      <c r="E87" s="25" t="n">
        <f aca="false">0</f>
        <v>0</v>
      </c>
      <c r="F87" s="25" t="n">
        <f aca="false">0</f>
        <v>0</v>
      </c>
      <c r="G87" s="25" t="n">
        <f aca="false">0</f>
        <v>0</v>
      </c>
      <c r="I87" s="6" t="s">
        <v>1366</v>
      </c>
    </row>
    <row r="88" customFormat="false" ht="15" hidden="false" customHeight="false" outlineLevel="1" collapsed="false">
      <c r="A88" s="2" t="s">
        <v>1367</v>
      </c>
      <c r="B88" s="11" t="s">
        <v>57</v>
      </c>
      <c r="C88" s="36" t="n">
        <f aca="false">C82+C83+C86+C87</f>
        <v>4.47957091589961</v>
      </c>
      <c r="D88" s="36" t="n">
        <f aca="false">D82+D83+D86+D87</f>
        <v>5.65698394898732</v>
      </c>
      <c r="E88" s="36" t="n">
        <f aca="false">E82+E83+E86+E87</f>
        <v>5.28135927373237</v>
      </c>
      <c r="F88" s="36" t="n">
        <f aca="false">F82+F83+F86+F87</f>
        <v>4.97528049764106</v>
      </c>
      <c r="G88" s="36" t="n">
        <f aca="false">G82+G83+G86+G87</f>
        <v>4.56717546285265</v>
      </c>
      <c r="I88" s="6" t="s">
        <v>1368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1369</v>
      </c>
    </row>
    <row r="2" customFormat="false" ht="15" hidden="false" customHeight="false" outlineLevel="0" collapsed="false">
      <c r="A2" s="6" t="s">
        <v>1370</v>
      </c>
    </row>
    <row r="4" customFormat="false" ht="15" hidden="false" customHeight="false" outlineLevel="0" collapsed="false">
      <c r="A4" s="14" t="s">
        <v>51</v>
      </c>
      <c r="B4" s="14" t="s">
        <v>52</v>
      </c>
      <c r="C4" s="28" t="s">
        <v>53</v>
      </c>
      <c r="D4" s="28" t="s">
        <v>54</v>
      </c>
      <c r="E4" s="28" t="s">
        <v>55</v>
      </c>
      <c r="F4" s="28" t="s">
        <v>145</v>
      </c>
      <c r="G4" s="28" t="s">
        <v>146</v>
      </c>
      <c r="I4" s="14" t="s">
        <v>747</v>
      </c>
    </row>
    <row r="5" customFormat="false" ht="15" hidden="false" customHeight="false" outlineLevel="0" collapsed="false">
      <c r="A5" s="46" t="s">
        <v>1371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1372</v>
      </c>
      <c r="B6" s="11" t="s">
        <v>57</v>
      </c>
      <c r="C6" s="62" t="n">
        <f aca="false">輸入與假設!$C$139</f>
        <v>36.369</v>
      </c>
      <c r="D6" s="62" t="n">
        <f aca="false">各期收支!C51</f>
        <v>10</v>
      </c>
      <c r="E6" s="62" t="n">
        <f aca="false">各期收支!D51</f>
        <v>10</v>
      </c>
      <c r="F6" s="62" t="n">
        <f aca="false">各期收支!E51</f>
        <v>48.4467029497706</v>
      </c>
      <c r="G6" s="62" t="n">
        <f aca="false">各期收支!F51</f>
        <v>69.4254395195799</v>
      </c>
      <c r="I6" s="11" t="s">
        <v>1373</v>
      </c>
    </row>
    <row r="7" customFormat="false" ht="15" hidden="false" customHeight="false" outlineLevel="1" collapsed="false">
      <c r="A7" s="3" t="s">
        <v>1374</v>
      </c>
      <c r="B7" s="11" t="s">
        <v>57</v>
      </c>
      <c r="C7" s="62" t="n">
        <f aca="false">各期收支!C87-輸入與假設!$C$139</f>
        <v>-35.0190937615572</v>
      </c>
      <c r="D7" s="62" t="n">
        <f aca="false">各期收支!D87-各期收支!C87</f>
        <v>-20.370781897006</v>
      </c>
      <c r="E7" s="62" t="n">
        <f aca="false">各期收支!E87-各期收支!D87</f>
        <v>40.2577724845888</v>
      </c>
      <c r="F7" s="62" t="n">
        <f aca="false">各期收支!F87-各期收支!E87</f>
        <v>22.7898061046275</v>
      </c>
      <c r="G7" s="62" t="n">
        <f aca="false">各期收支!G87-各期收支!F87</f>
        <v>15.1200188149002</v>
      </c>
      <c r="I7" s="6" t="s">
        <v>1375</v>
      </c>
    </row>
    <row r="8" customFormat="false" ht="15" hidden="false" customHeight="false" outlineLevel="1" collapsed="false">
      <c r="A8" s="3" t="s">
        <v>1376</v>
      </c>
      <c r="B8" s="11" t="s">
        <v>57</v>
      </c>
      <c r="C8" s="62" t="n">
        <f aca="false">各期收支!C70</f>
        <v>9.04348537538652</v>
      </c>
      <c r="D8" s="62" t="n">
        <f aca="false">各期收支!D70</f>
        <v>22.1818514318242</v>
      </c>
      <c r="E8" s="62" t="n">
        <f aca="false">各期收支!E70</f>
        <v>0</v>
      </c>
      <c r="F8" s="62" t="n">
        <f aca="false">各期收支!F70</f>
        <v>0</v>
      </c>
      <c r="G8" s="62" t="n">
        <f aca="false">各期收支!G70</f>
        <v>0</v>
      </c>
    </row>
    <row r="9" customFormat="false" ht="15" hidden="false" customHeight="false" outlineLevel="1" collapsed="false">
      <c r="A9" s="3" t="s">
        <v>1377</v>
      </c>
      <c r="B9" s="11" t="s">
        <v>57</v>
      </c>
      <c r="C9" s="62" t="n">
        <f aca="false">各期收支!C73</f>
        <v>0</v>
      </c>
      <c r="D9" s="62" t="n">
        <f aca="false">各期收支!D73</f>
        <v>0</v>
      </c>
      <c r="E9" s="62" t="n">
        <f aca="false">各期收支!E73</f>
        <v>0</v>
      </c>
      <c r="F9" s="62" t="n">
        <f aca="false">各期收支!F73</f>
        <v>0</v>
      </c>
      <c r="G9" s="62" t="n">
        <f aca="false">各期收支!G73</f>
        <v>0</v>
      </c>
    </row>
    <row r="10" customFormat="false" ht="15" hidden="false" customHeight="false" outlineLevel="1" collapsed="false">
      <c r="A10" s="3" t="s">
        <v>1378</v>
      </c>
      <c r="B10" s="11" t="s">
        <v>57</v>
      </c>
      <c r="C10" s="62" t="n">
        <f aca="false">各期收支!C77</f>
        <v>0</v>
      </c>
      <c r="D10" s="62" t="n">
        <f aca="false">各期收支!D77</f>
        <v>0</v>
      </c>
      <c r="E10" s="62" t="n">
        <f aca="false">各期收支!E77</f>
        <v>0</v>
      </c>
      <c r="F10" s="62" t="n">
        <f aca="false">各期收支!F77</f>
        <v>0</v>
      </c>
      <c r="G10" s="62" t="n">
        <f aca="false">各期收支!G77</f>
        <v>0</v>
      </c>
    </row>
    <row r="11" customFormat="false" ht="15" hidden="false" customHeight="false" outlineLevel="1" collapsed="false">
      <c r="A11" s="3" t="s">
        <v>1379</v>
      </c>
      <c r="B11" s="11" t="s">
        <v>57</v>
      </c>
      <c r="C11" s="62" t="n">
        <f aca="false">各期收支!C76</f>
        <v>0</v>
      </c>
      <c r="D11" s="62" t="n">
        <f aca="false">各期收支!D76</f>
        <v>0</v>
      </c>
      <c r="E11" s="62" t="n">
        <f aca="false">各期收支!E76</f>
        <v>0</v>
      </c>
      <c r="F11" s="62" t="n">
        <f aca="false">各期收支!F76</f>
        <v>0</v>
      </c>
      <c r="G11" s="62" t="n">
        <f aca="false">各期收支!G76</f>
        <v>0</v>
      </c>
    </row>
    <row r="12" customFormat="false" ht="15" hidden="false" customHeight="false" outlineLevel="1" collapsed="false">
      <c r="A12" s="3" t="s">
        <v>1380</v>
      </c>
      <c r="B12" s="11" t="s">
        <v>57</v>
      </c>
      <c r="C12" s="62" t="n">
        <f aca="false">-各期收支!C78</f>
        <v>-0.393391613829313</v>
      </c>
      <c r="D12" s="62" t="n">
        <f aca="false">-各期收支!D78</f>
        <v>-1.81106953481822</v>
      </c>
      <c r="E12" s="62" t="n">
        <f aca="false">-各期收支!E78</f>
        <v>-1.81106953481822</v>
      </c>
      <c r="F12" s="62" t="n">
        <f aca="false">-各期收支!F78</f>
        <v>-1.81106953481822</v>
      </c>
      <c r="G12" s="62" t="n">
        <f aca="false">-各期收支!G78</f>
        <v>-1.81106953481822</v>
      </c>
    </row>
    <row r="13" customFormat="false" ht="15" hidden="false" customHeight="false" outlineLevel="1" collapsed="false">
      <c r="A13" s="2" t="s">
        <v>1381</v>
      </c>
      <c r="B13" s="11" t="s">
        <v>57</v>
      </c>
      <c r="C13" s="36" t="n">
        <f aca="false">SUM(C6:C12)</f>
        <v>10</v>
      </c>
      <c r="D13" s="36" t="n">
        <f aca="false">SUM(D6:D12)</f>
        <v>10</v>
      </c>
      <c r="E13" s="36" t="n">
        <f aca="false">SUM(E6:E12)</f>
        <v>48.4467029497706</v>
      </c>
      <c r="F13" s="36" t="n">
        <f aca="false">SUM(F6:F12)</f>
        <v>69.4254395195799</v>
      </c>
      <c r="G13" s="36" t="n">
        <f aca="false">SUM(G6:G12)</f>
        <v>82.7343887996619</v>
      </c>
      <c r="I13" s="6" t="s">
        <v>1382</v>
      </c>
    </row>
    <row r="14" customFormat="false" ht="15" hidden="false" customHeight="false" outlineLevel="1" collapsed="false">
      <c r="A14" s="3" t="s">
        <v>1383</v>
      </c>
      <c r="B14" s="11" t="s">
        <v>57</v>
      </c>
      <c r="C14" s="62" t="n">
        <f aca="false">C13-各期收支!C51</f>
        <v>0</v>
      </c>
      <c r="D14" s="62" t="n">
        <f aca="false">D13-各期收支!D51</f>
        <v>0</v>
      </c>
      <c r="E14" s="62" t="n">
        <f aca="false">E13-各期收支!E51</f>
        <v>0</v>
      </c>
      <c r="F14" s="62" t="n">
        <f aca="false">F13-各期收支!F51</f>
        <v>0</v>
      </c>
      <c r="G14" s="62" t="n">
        <f aca="false">G13-各期收支!G51</f>
        <v>0</v>
      </c>
      <c r="I14" s="6" t="s">
        <v>1384</v>
      </c>
    </row>
    <row r="15" customFormat="false" ht="15" hidden="false" customHeight="false" outlineLevel="0" collapsed="false">
      <c r="A15" s="46" t="s">
        <v>1385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1" collapsed="false">
      <c r="A16" s="3" t="s">
        <v>1386</v>
      </c>
      <c r="B16" s="11" t="s">
        <v>57</v>
      </c>
      <c r="C16" s="62" t="n">
        <f aca="false">資產負債_既有債務!$E$62+SUMPRODUCT((1-資產負債_既有債務!$F$73:$F$73)*資產負債_既有債務!$C$73:$C$73)</f>
        <v>125.904</v>
      </c>
      <c r="D16" s="62" t="n">
        <f aca="false">C18</f>
        <v>122.897</v>
      </c>
      <c r="E16" s="62" t="n">
        <f aca="false">D18</f>
        <v>112.75</v>
      </c>
      <c r="F16" s="62" t="n">
        <f aca="false">E18</f>
        <v>107.25</v>
      </c>
      <c r="G16" s="62" t="n">
        <f aca="false">F18</f>
        <v>100</v>
      </c>
      <c r="I16" s="11" t="s">
        <v>1387</v>
      </c>
    </row>
    <row r="17" customFormat="false" ht="15" hidden="false" customHeight="false" outlineLevel="1" collapsed="false">
      <c r="A17" s="3" t="s">
        <v>1388</v>
      </c>
      <c r="B17" s="11" t="s">
        <v>57</v>
      </c>
      <c r="C17" s="62" t="n">
        <f aca="false">-IF(輸入與假設!$C$144=1,輸入與假設!C$170,0)-資產負債_既有債務!C84</f>
        <v>-3.007</v>
      </c>
      <c r="D17" s="62" t="n">
        <f aca="false">-IF(輸入與假設!$C$144=1,輸入與假設!D$170,0)-資產負債_既有債務!D84</f>
        <v>-10.147</v>
      </c>
      <c r="E17" s="62" t="n">
        <f aca="false">-IF(輸入與假設!$C$144=1,輸入與假設!E$170,0)-資產負債_既有債務!E84</f>
        <v>-5.5</v>
      </c>
      <c r="F17" s="62" t="n">
        <f aca="false">-IF(輸入與假設!$C$144=1,輸入與假設!F$170,0)-資產負債_既有債務!F84</f>
        <v>-7.25</v>
      </c>
      <c r="G17" s="62" t="n">
        <f aca="false">-IF(輸入與假設!$C$144=1,輸入與假設!G$170,0)-資產負債_既有債務!G84</f>
        <v>-9.75</v>
      </c>
    </row>
    <row r="18" customFormat="false" ht="15" hidden="false" customHeight="false" outlineLevel="1" collapsed="false">
      <c r="A18" s="3" t="s">
        <v>1389</v>
      </c>
      <c r="B18" s="11" t="s">
        <v>57</v>
      </c>
      <c r="C18" s="62" t="n">
        <f aca="false">各期收支!C66-0</f>
        <v>122.897</v>
      </c>
      <c r="D18" s="62" t="n">
        <f aca="false">各期收支!D66-0</f>
        <v>112.75</v>
      </c>
      <c r="E18" s="62" t="n">
        <f aca="false">各期收支!E66-0</f>
        <v>107.25</v>
      </c>
      <c r="F18" s="62" t="n">
        <f aca="false">各期收支!F66-0</f>
        <v>100</v>
      </c>
      <c r="G18" s="62" t="n">
        <f aca="false">各期收支!G66-0</f>
        <v>90.25</v>
      </c>
      <c r="I18" s="6" t="s">
        <v>1390</v>
      </c>
    </row>
    <row r="19" customFormat="false" ht="15" hidden="false" customHeight="false" outlineLevel="1" collapsed="false">
      <c r="A19" s="3" t="s">
        <v>1391</v>
      </c>
      <c r="B19" s="11" t="s">
        <v>57</v>
      </c>
      <c r="C19" s="62" t="n">
        <f aca="false">0</f>
        <v>0</v>
      </c>
      <c r="D19" s="62" t="n">
        <f aca="false">0</f>
        <v>0</v>
      </c>
      <c r="E19" s="62" t="n">
        <f aca="false">0</f>
        <v>0</v>
      </c>
      <c r="F19" s="62" t="n">
        <f aca="false">0</f>
        <v>0</v>
      </c>
      <c r="G19" s="62" t="n">
        <f aca="false">0</f>
        <v>0</v>
      </c>
    </row>
    <row r="20" customFormat="false" ht="15" hidden="false" customHeight="false" outlineLevel="1" collapsed="false">
      <c r="A20" s="3" t="s">
        <v>1392</v>
      </c>
      <c r="B20" s="11" t="s">
        <v>57</v>
      </c>
      <c r="C20" s="62" t="n">
        <f aca="false">各期收支!C82</f>
        <v>9.04348537538652</v>
      </c>
      <c r="D20" s="62" t="n">
        <f aca="false">各期收支!D82</f>
        <v>31.2253368072108</v>
      </c>
      <c r="E20" s="62" t="n">
        <f aca="false">各期收支!E82</f>
        <v>31.2253368072108</v>
      </c>
      <c r="F20" s="62" t="n">
        <f aca="false">各期收支!F82</f>
        <v>31.2253368072108</v>
      </c>
      <c r="G20" s="62" t="n">
        <f aca="false">各期收支!G82</f>
        <v>31.2253368072108</v>
      </c>
    </row>
    <row r="21" customFormat="false" ht="15" hidden="false" customHeight="false" outlineLevel="1" collapsed="false">
      <c r="A21" s="3" t="s">
        <v>1393</v>
      </c>
      <c r="B21" s="11" t="s">
        <v>57</v>
      </c>
      <c r="C21" s="62" t="n">
        <f aca="false">各期收支!C85</f>
        <v>0</v>
      </c>
      <c r="D21" s="62" t="n">
        <f aca="false">各期收支!D85</f>
        <v>0</v>
      </c>
      <c r="E21" s="62" t="n">
        <f aca="false">各期收支!E85</f>
        <v>0</v>
      </c>
      <c r="F21" s="62" t="n">
        <f aca="false">各期收支!F85</f>
        <v>0</v>
      </c>
      <c r="G21" s="62" t="n">
        <f aca="false">各期收支!G85</f>
        <v>0</v>
      </c>
    </row>
    <row r="22" customFormat="false" ht="15" hidden="false" customHeight="false" outlineLevel="1" collapsed="false">
      <c r="A22" s="3" t="s">
        <v>1394</v>
      </c>
      <c r="B22" s="11" t="s">
        <v>57</v>
      </c>
      <c r="C22" s="62" t="n">
        <f aca="false">各期收支!C84</f>
        <v>0</v>
      </c>
      <c r="D22" s="62" t="n">
        <f aca="false">各期收支!D84</f>
        <v>0</v>
      </c>
      <c r="E22" s="62" t="n">
        <f aca="false">各期收支!E84</f>
        <v>0</v>
      </c>
      <c r="F22" s="62" t="n">
        <f aca="false">各期收支!F84</f>
        <v>0</v>
      </c>
      <c r="G22" s="62" t="n">
        <f aca="false">各期收支!G84</f>
        <v>0</v>
      </c>
    </row>
    <row r="23" customFormat="false" ht="15" hidden="false" customHeight="false" outlineLevel="1" collapsed="false">
      <c r="A23" s="2" t="s">
        <v>1395</v>
      </c>
      <c r="B23" s="11" t="s">
        <v>57</v>
      </c>
      <c r="C23" s="36" t="n">
        <f aca="false">SUM(C18:C22)</f>
        <v>131.940485375387</v>
      </c>
      <c r="D23" s="36" t="n">
        <f aca="false">SUM(D18:D22)</f>
        <v>143.975336807211</v>
      </c>
      <c r="E23" s="36" t="n">
        <f aca="false">SUM(E18:E22)</f>
        <v>138.475336807211</v>
      </c>
      <c r="F23" s="36" t="n">
        <f aca="false">SUM(F18:F22)</f>
        <v>131.225336807211</v>
      </c>
      <c r="G23" s="36" t="n">
        <f aca="false">SUM(G18:G22)</f>
        <v>121.475336807211</v>
      </c>
      <c r="I23" s="6" t="s">
        <v>1396</v>
      </c>
    </row>
    <row r="24" customFormat="false" ht="15" hidden="false" customHeight="false" outlineLevel="1" collapsed="false">
      <c r="A24" s="2" t="s">
        <v>1397</v>
      </c>
      <c r="B24" s="11" t="s">
        <v>57</v>
      </c>
      <c r="C24" s="36" t="n">
        <f aca="false">C23-C13</f>
        <v>121.940485375387</v>
      </c>
      <c r="D24" s="36" t="n">
        <f aca="false">D23-D13</f>
        <v>133.975336807211</v>
      </c>
      <c r="E24" s="36" t="n">
        <f aca="false">E23-E13</f>
        <v>90.0286338574402</v>
      </c>
      <c r="F24" s="36" t="n">
        <f aca="false">F23-F13</f>
        <v>61.7998972876309</v>
      </c>
      <c r="G24" s="36" t="n">
        <f aca="false">G23-G13</f>
        <v>38.7409480075489</v>
      </c>
    </row>
    <row r="25" customFormat="false" ht="15" hidden="false" customHeight="false" outlineLevel="0" collapsed="false">
      <c r="A25" s="46" t="s">
        <v>1398</v>
      </c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1" collapsed="false">
      <c r="A26" s="3" t="s">
        <v>1399</v>
      </c>
      <c r="B26" s="11" t="s">
        <v>388</v>
      </c>
      <c r="C26" s="50" t="n">
        <f aca="false">損益!C22</f>
        <v>3.08897428564288</v>
      </c>
      <c r="D26" s="50" t="n">
        <f aca="false">損益!D22</f>
        <v>3.11986402849931</v>
      </c>
      <c r="E26" s="50" t="n">
        <f aca="false">損益!E22</f>
        <v>3.15106266878431</v>
      </c>
      <c r="F26" s="50" t="n">
        <f aca="false">損益!F22</f>
        <v>3.18257329547215</v>
      </c>
      <c r="G26" s="50" t="n">
        <f aca="false">損益!G22</f>
        <v>3.21439902842687</v>
      </c>
    </row>
    <row r="27" customFormat="false" ht="15" hidden="false" customHeight="false" outlineLevel="1" collapsed="false">
      <c r="A27" s="3" t="s">
        <v>1400</v>
      </c>
      <c r="B27" s="11" t="s">
        <v>388</v>
      </c>
      <c r="C27" s="50" t="n">
        <f aca="false">各期收支!C80</f>
        <v>0</v>
      </c>
      <c r="D27" s="50" t="n">
        <f aca="false">各期收支!D80</f>
        <v>0</v>
      </c>
      <c r="E27" s="50" t="n">
        <f aca="false">各期收支!E80</f>
        <v>0</v>
      </c>
      <c r="F27" s="50" t="n">
        <f aca="false">各期收支!F80</f>
        <v>0</v>
      </c>
      <c r="G27" s="50" t="n">
        <f aca="false">各期收支!G80</f>
        <v>0</v>
      </c>
    </row>
    <row r="28" customFormat="false" ht="15" hidden="false" customHeight="false" outlineLevel="1" collapsed="false">
      <c r="A28" s="2" t="s">
        <v>1401</v>
      </c>
      <c r="B28" s="11" t="s">
        <v>388</v>
      </c>
      <c r="C28" s="51" t="n">
        <f aca="false">損益!C23</f>
        <v>3.08897428564288</v>
      </c>
      <c r="D28" s="51" t="n">
        <f aca="false">損益!D23</f>
        <v>3.11986402849931</v>
      </c>
      <c r="E28" s="51" t="n">
        <f aca="false">損益!E23</f>
        <v>3.15106266878431</v>
      </c>
      <c r="F28" s="51" t="n">
        <f aca="false">損益!F23</f>
        <v>3.18257329547215</v>
      </c>
      <c r="G28" s="51" t="n">
        <f aca="false">損益!G23</f>
        <v>3.21439902842687</v>
      </c>
      <c r="I28" s="6" t="s">
        <v>1402</v>
      </c>
    </row>
    <row r="29" customFormat="false" ht="15" hidden="false" customHeight="false" outlineLevel="0" collapsed="false">
      <c r="A29" s="46" t="s">
        <v>1403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3" t="s">
        <v>842</v>
      </c>
      <c r="B30" s="11" t="s">
        <v>57</v>
      </c>
      <c r="C30" s="62" t="n">
        <f aca="false">各期收支!C65</f>
        <v>599.26</v>
      </c>
      <c r="D30" s="62" t="n">
        <f aca="false">各期收支!D65</f>
        <v>485.55</v>
      </c>
      <c r="E30" s="62" t="n">
        <f aca="false">各期收支!E65</f>
        <v>362.71</v>
      </c>
      <c r="F30" s="62" t="n">
        <f aca="false">各期收支!F65</f>
        <v>291.2764</v>
      </c>
      <c r="G30" s="62" t="n">
        <f aca="false">各期收支!G65</f>
        <v>167.5678</v>
      </c>
    </row>
    <row r="31" customFormat="false" ht="15" hidden="false" customHeight="false" outlineLevel="1" collapsed="false">
      <c r="A31" s="3" t="s">
        <v>1404</v>
      </c>
      <c r="B31" s="11" t="s">
        <v>57</v>
      </c>
      <c r="C31" s="62" t="n">
        <f aca="false">各期收支!C67</f>
        <v>225.153940533587</v>
      </c>
      <c r="D31" s="62" t="n">
        <f aca="false">各期收支!D67</f>
        <v>324.702149148984</v>
      </c>
      <c r="E31" s="62" t="n">
        <f aca="false">各期收支!E67</f>
        <v>402.575378194661</v>
      </c>
      <c r="F31" s="62" t="n">
        <f aca="false">各期收支!F67</f>
        <v>411.887085465774</v>
      </c>
      <c r="G31" s="62" t="n">
        <f aca="false">各期收支!G67</f>
        <v>393.607257333244</v>
      </c>
    </row>
    <row r="32" customFormat="false" ht="15" hidden="false" customHeight="false" outlineLevel="1" collapsed="false">
      <c r="A32" s="3" t="s">
        <v>1405</v>
      </c>
      <c r="B32" s="11" t="s">
        <v>103</v>
      </c>
      <c r="C32" s="76" t="n">
        <f aca="false">C23/MAX(0.01,C30)</f>
        <v>0.220172354863309</v>
      </c>
      <c r="D32" s="76" t="n">
        <f aca="false">D23/MAX(0.01,D30)</f>
        <v>0.296520104638473</v>
      </c>
      <c r="E32" s="76" t="n">
        <f aca="false">E23/MAX(0.01,E30)</f>
        <v>0.381779760158834</v>
      </c>
      <c r="F32" s="76" t="n">
        <f aca="false">F23/MAX(0.01,F30)</f>
        <v>0.450518259657187</v>
      </c>
      <c r="G32" s="76" t="n">
        <f aca="false">G23/MAX(0.01,G30)</f>
        <v>0.724932456039948</v>
      </c>
      <c r="I32" s="6" t="s">
        <v>1406</v>
      </c>
    </row>
    <row r="33" customFormat="false" ht="15" hidden="false" customHeight="false" outlineLevel="1" collapsed="false">
      <c r="A33" s="3" t="s">
        <v>1407</v>
      </c>
      <c r="B33" s="11" t="s">
        <v>103</v>
      </c>
      <c r="C33" s="41" t="n">
        <f aca="false">C23/MAX(0.01,損益!C21/輸入與假設!C$41)</f>
        <v>2.34400490726841</v>
      </c>
      <c r="D33" s="41" t="n">
        <f aca="false">D23/MAX(0.01,損益!D21/輸入與假設!D$41)</f>
        <v>1.77362961328784</v>
      </c>
      <c r="E33" s="41" t="n">
        <f aca="false">E23/MAX(0.01,損益!E21/輸入與假設!E$41)</f>
        <v>1.37589474476258</v>
      </c>
      <c r="F33" s="41" t="n">
        <f aca="false">F23/MAX(0.01,損益!F21/輸入與假設!F$41)</f>
        <v>1.27438165883562</v>
      </c>
      <c r="G33" s="41" t="n">
        <f aca="false">G23/MAX(0.01,損益!G21/輸入與假設!G$41)</f>
        <v>1.23448269353799</v>
      </c>
      <c r="I33" s="11" t="s">
        <v>1408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1409</v>
      </c>
    </row>
    <row r="2" customFormat="false" ht="15" hidden="false" customHeight="false" outlineLevel="0" collapsed="false">
      <c r="A2" s="6" t="s">
        <v>1410</v>
      </c>
    </row>
    <row r="4" customFormat="false" ht="15" hidden="false" customHeight="false" outlineLevel="0" collapsed="false">
      <c r="A4" s="2" t="s">
        <v>1411</v>
      </c>
    </row>
    <row r="5" customFormat="false" ht="17.15" hidden="false" customHeight="false" outlineLevel="0" collapsed="false">
      <c r="A5" s="14" t="s">
        <v>51</v>
      </c>
      <c r="B5" s="14" t="s">
        <v>52</v>
      </c>
      <c r="C5" s="15" t="s">
        <v>1412</v>
      </c>
      <c r="D5" s="15" t="s">
        <v>1413</v>
      </c>
      <c r="E5" s="15" t="s">
        <v>1414</v>
      </c>
      <c r="F5" s="15" t="s">
        <v>1415</v>
      </c>
      <c r="G5" s="15" t="s">
        <v>1416</v>
      </c>
      <c r="H5" s="14" t="s">
        <v>1417</v>
      </c>
    </row>
    <row r="6" customFormat="false" ht="15" hidden="false" customHeight="false" outlineLevel="0" collapsed="false">
      <c r="A6" s="3" t="s">
        <v>1418</v>
      </c>
      <c r="B6" s="11" t="s">
        <v>57</v>
      </c>
      <c r="C6" s="25" t="n">
        <v>3.219</v>
      </c>
      <c r="D6" s="25" t="n">
        <v>4.135</v>
      </c>
      <c r="E6" s="25" t="n">
        <v>4.097</v>
      </c>
      <c r="F6" s="25" t="n">
        <v>4.109</v>
      </c>
      <c r="G6" s="25" t="n">
        <v>4.089</v>
      </c>
      <c r="H6" s="25" t="n">
        <v>28.401</v>
      </c>
    </row>
    <row r="7" customFormat="false" ht="15" hidden="false" customHeight="false" outlineLevel="0" collapsed="false">
      <c r="A7" s="3" t="s">
        <v>1419</v>
      </c>
      <c r="B7" s="11" t="s">
        <v>57</v>
      </c>
      <c r="C7" s="25" t="n">
        <v>0.62</v>
      </c>
      <c r="D7" s="25" t="n">
        <v>0.852</v>
      </c>
      <c r="E7" s="25" t="n">
        <v>0.923</v>
      </c>
      <c r="F7" s="25" t="n">
        <v>0.947</v>
      </c>
      <c r="G7" s="25" t="n">
        <v>0.971</v>
      </c>
      <c r="H7" s="25" t="n">
        <v>10.882</v>
      </c>
    </row>
    <row r="8" customFormat="false" ht="15" hidden="false" customHeight="false" outlineLevel="0" collapsed="false">
      <c r="A8" s="2" t="s">
        <v>1420</v>
      </c>
      <c r="C8" s="53" t="n">
        <f aca="false">SUM(C6:C7)</f>
        <v>3.839</v>
      </c>
      <c r="D8" s="53" t="n">
        <f aca="false">SUM(D6:D7)</f>
        <v>4.987</v>
      </c>
      <c r="E8" s="53" t="n">
        <f aca="false">SUM(E6:E7)</f>
        <v>5.02</v>
      </c>
      <c r="F8" s="53" t="n">
        <f aca="false">SUM(F6:F7)</f>
        <v>5.056</v>
      </c>
      <c r="G8" s="53" t="n">
        <f aca="false">SUM(G6:G7)</f>
        <v>5.06</v>
      </c>
      <c r="H8" s="53" t="n">
        <f aca="false">SUM(H6:H7)</f>
        <v>39.283</v>
      </c>
      <c r="I8" s="6" t="s">
        <v>1421</v>
      </c>
    </row>
    <row r="10" customFormat="false" ht="15" hidden="false" customHeight="false" outlineLevel="0" collapsed="false">
      <c r="A10" s="2" t="s">
        <v>1422</v>
      </c>
    </row>
    <row r="11" customFormat="false" ht="17.15" hidden="false" customHeight="false" outlineLevel="0" collapsed="false">
      <c r="A11" s="14" t="s">
        <v>51</v>
      </c>
      <c r="B11" s="14" t="s">
        <v>52</v>
      </c>
      <c r="C11" s="15" t="s">
        <v>1412</v>
      </c>
      <c r="D11" s="15" t="s">
        <v>1413</v>
      </c>
      <c r="E11" s="15" t="s">
        <v>1414</v>
      </c>
      <c r="F11" s="15" t="s">
        <v>1415</v>
      </c>
      <c r="G11" s="15" t="s">
        <v>1416</v>
      </c>
      <c r="H11" s="14" t="s">
        <v>1417</v>
      </c>
    </row>
    <row r="12" customFormat="false" ht="15" hidden="false" customHeight="false" outlineLevel="0" collapsed="false">
      <c r="A12" s="3" t="s">
        <v>1423</v>
      </c>
      <c r="B12" s="11" t="s">
        <v>57</v>
      </c>
      <c r="C12" s="25" t="n">
        <v>3.007</v>
      </c>
      <c r="D12" s="25" t="n">
        <v>10.147</v>
      </c>
      <c r="E12" s="25" t="n">
        <v>5.5</v>
      </c>
      <c r="F12" s="25" t="n">
        <v>7.25</v>
      </c>
      <c r="G12" s="25" t="n">
        <v>9.75</v>
      </c>
      <c r="H12" s="25" t="n">
        <v>90.25</v>
      </c>
      <c r="I12" s="6" t="s">
        <v>1424</v>
      </c>
    </row>
    <row r="13" customFormat="false" ht="15" hidden="false" customHeight="false" outlineLevel="0" collapsed="false">
      <c r="A13" s="2" t="s">
        <v>1347</v>
      </c>
      <c r="C13" s="53" t="n">
        <f aca="false">SUM(C12:H12)</f>
        <v>125.904</v>
      </c>
    </row>
    <row r="15" customFormat="false" ht="15" hidden="false" customHeight="false" outlineLevel="0" collapsed="false">
      <c r="A15" s="2" t="s">
        <v>1425</v>
      </c>
    </row>
    <row r="16" customFormat="false" ht="15" hidden="false" customHeight="false" outlineLevel="0" collapsed="false">
      <c r="A16" s="14" t="s">
        <v>51</v>
      </c>
      <c r="B16" s="14" t="s">
        <v>52</v>
      </c>
      <c r="C16" s="14" t="s">
        <v>1426</v>
      </c>
      <c r="D16" s="14" t="s">
        <v>1137</v>
      </c>
      <c r="E16" s="14" t="s">
        <v>1427</v>
      </c>
      <c r="F16" s="14" t="s">
        <v>1428</v>
      </c>
    </row>
    <row r="17" customFormat="false" ht="15" hidden="false" customHeight="false" outlineLevel="0" collapsed="false">
      <c r="A17" s="3" t="s">
        <v>1429</v>
      </c>
      <c r="B17" s="11" t="s">
        <v>57</v>
      </c>
      <c r="C17" s="77" t="n">
        <v>288</v>
      </c>
      <c r="D17" s="6" t="s">
        <v>1430</v>
      </c>
      <c r="E17" s="6" t="s">
        <v>1431</v>
      </c>
      <c r="F17" s="6" t="s">
        <v>1432</v>
      </c>
    </row>
    <row r="18" customFormat="false" ht="15" hidden="false" customHeight="false" outlineLevel="0" collapsed="false">
      <c r="A18" s="3" t="s">
        <v>1433</v>
      </c>
      <c r="B18" s="11" t="s">
        <v>57</v>
      </c>
      <c r="C18" s="77" t="n">
        <v>0</v>
      </c>
      <c r="D18" s="6" t="s">
        <v>1434</v>
      </c>
      <c r="E18" s="6" t="s">
        <v>1431</v>
      </c>
      <c r="F18" s="6" t="s">
        <v>1432</v>
      </c>
    </row>
    <row r="19" customFormat="false" ht="15" hidden="false" customHeight="false" outlineLevel="0" collapsed="false">
      <c r="A19" s="3" t="s">
        <v>370</v>
      </c>
      <c r="B19" s="11" t="s">
        <v>57</v>
      </c>
      <c r="C19" s="77" t="n">
        <v>10</v>
      </c>
      <c r="D19" s="11" t="s">
        <v>1435</v>
      </c>
      <c r="E19" s="6" t="s">
        <v>1436</v>
      </c>
      <c r="F19" s="6" t="s">
        <v>1437</v>
      </c>
    </row>
    <row r="20" customFormat="false" ht="15" hidden="false" customHeight="false" outlineLevel="0" collapsed="false">
      <c r="A20" s="2" t="s">
        <v>1438</v>
      </c>
      <c r="C20" s="53" t="n">
        <f aca="false">C17+C18</f>
        <v>288</v>
      </c>
    </row>
    <row r="21" customFormat="false" ht="15" hidden="false" customHeight="false" outlineLevel="0" collapsed="false">
      <c r="A21" s="3" t="s">
        <v>1439</v>
      </c>
      <c r="C21" s="78" t="n">
        <f aca="false">SUM(各期收支!C15:G15)</f>
        <v>59.2941176470588</v>
      </c>
    </row>
    <row r="22" customFormat="false" ht="15" hidden="false" customHeight="false" outlineLevel="0" collapsed="false">
      <c r="A22" s="3" t="s">
        <v>1440</v>
      </c>
      <c r="C22" s="52" t="n">
        <f aca="false">MAX(0,輸入與假設!$C$26-C21)</f>
        <v>228.705882352941</v>
      </c>
    </row>
    <row r="23" customFormat="false" ht="15" hidden="false" customHeight="false" outlineLevel="0" collapsed="false">
      <c r="A23" s="2" t="s">
        <v>1441</v>
      </c>
      <c r="C23" s="79" t="n">
        <f aca="false">(C21+C22)/C20</f>
        <v>1</v>
      </c>
      <c r="I23" s="6" t="s">
        <v>1442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1443</v>
      </c>
    </row>
    <row r="2" customFormat="false" ht="15" hidden="false" customHeight="false" outlineLevel="0" collapsed="false">
      <c r="A2" s="6" t="s">
        <v>1444</v>
      </c>
    </row>
    <row r="4" customFormat="false" ht="15" hidden="false" customHeight="false" outlineLevel="0" collapsed="false">
      <c r="A4" s="14" t="s">
        <v>51</v>
      </c>
      <c r="B4" s="14" t="s">
        <v>52</v>
      </c>
      <c r="C4" s="28" t="s">
        <v>53</v>
      </c>
      <c r="D4" s="28" t="s">
        <v>54</v>
      </c>
      <c r="E4" s="28" t="s">
        <v>55</v>
      </c>
      <c r="F4" s="28" t="s">
        <v>145</v>
      </c>
      <c r="G4" s="28" t="s">
        <v>146</v>
      </c>
      <c r="I4" s="14" t="s">
        <v>747</v>
      </c>
    </row>
    <row r="5" customFormat="false" ht="15" hidden="false" customHeight="false" outlineLevel="0" collapsed="false">
      <c r="A5" s="46" t="s">
        <v>1445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1446</v>
      </c>
      <c r="B6" s="11" t="s">
        <v>57</v>
      </c>
      <c r="C6" s="39" t="n">
        <f aca="false">運營_產能與收入!C25</f>
        <v>31.848525</v>
      </c>
      <c r="D6" s="39" t="n">
        <f aca="false">運營_產能與收入!D25</f>
        <v>82.8501</v>
      </c>
      <c r="E6" s="39" t="n">
        <f aca="false">運營_產能與收入!E25</f>
        <v>122.2872</v>
      </c>
      <c r="F6" s="39" t="n">
        <f aca="false">運營_產能與收入!F25</f>
        <v>137.3382</v>
      </c>
      <c r="G6" s="39" t="n">
        <f aca="false">運營_產能與收入!G25</f>
        <v>140.418</v>
      </c>
      <c r="I6" s="6" t="s">
        <v>1447</v>
      </c>
    </row>
    <row r="7" customFormat="false" ht="15" hidden="false" customHeight="false" outlineLevel="1" collapsed="false">
      <c r="A7" s="3" t="s">
        <v>1448</v>
      </c>
      <c r="B7" s="11" t="s">
        <v>57</v>
      </c>
      <c r="C7" s="39" t="n">
        <f aca="false">輸入與假設!C$50</f>
        <v>0</v>
      </c>
      <c r="D7" s="39" t="n">
        <f aca="false">輸入與假設!D$50</f>
        <v>0</v>
      </c>
      <c r="E7" s="39" t="n">
        <f aca="false">輸入與假設!E$50</f>
        <v>0</v>
      </c>
      <c r="F7" s="39" t="n">
        <f aca="false">輸入與假設!F$50</f>
        <v>0</v>
      </c>
      <c r="G7" s="39" t="n">
        <f aca="false">輸入與假設!G$50</f>
        <v>0</v>
      </c>
    </row>
    <row r="8" customFormat="false" ht="15" hidden="false" customHeight="false" outlineLevel="1" collapsed="false">
      <c r="A8" s="3" t="s">
        <v>1449</v>
      </c>
      <c r="B8" s="11" t="s">
        <v>57</v>
      </c>
      <c r="C8" s="39" t="n">
        <f aca="false">輸入與假設!C$81</f>
        <v>39.5339698</v>
      </c>
      <c r="D8" s="39" t="n">
        <f aca="false">輸入與假設!D$81</f>
        <v>53.70812205094</v>
      </c>
      <c r="E8" s="39" t="n">
        <f aca="false">輸入與假設!E$81</f>
        <v>55.8538115419205</v>
      </c>
      <c r="F8" s="39" t="n">
        <f aca="false">輸入與假設!F$81</f>
        <v>57.8751227475705</v>
      </c>
      <c r="G8" s="39" t="n">
        <f aca="false">輸入與假設!G$81</f>
        <v>59.7224793768877</v>
      </c>
      <c r="I8" s="11" t="s">
        <v>1450</v>
      </c>
    </row>
    <row r="9" customFormat="false" ht="15" hidden="false" customHeight="false" outlineLevel="1" collapsed="false">
      <c r="A9" s="2" t="s">
        <v>1451</v>
      </c>
      <c r="B9" s="11" t="s">
        <v>57</v>
      </c>
      <c r="C9" s="36" t="n">
        <f aca="false">C6+C7+C8</f>
        <v>71.3824948</v>
      </c>
      <c r="D9" s="36" t="n">
        <f aca="false">D6+D7+D8</f>
        <v>136.55822205094</v>
      </c>
      <c r="E9" s="36" t="n">
        <f aca="false">E6+E7+E8</f>
        <v>178.141011541921</v>
      </c>
      <c r="F9" s="36" t="n">
        <f aca="false">F6+F7+F8</f>
        <v>195.213322747571</v>
      </c>
      <c r="G9" s="36" t="n">
        <f aca="false">G6+G7+G8</f>
        <v>200.140479376888</v>
      </c>
    </row>
    <row r="10" customFormat="false" ht="15" hidden="false" customHeight="false" outlineLevel="1" collapsed="false">
      <c r="A10" s="4" t="s">
        <v>287</v>
      </c>
      <c r="B10" s="11" t="s">
        <v>42</v>
      </c>
      <c r="C10" s="47" t="n">
        <f aca="false">輸入與假設!C$93</f>
        <v>0.651999797057085</v>
      </c>
      <c r="D10" s="47" t="n">
        <f aca="false">輸入與假設!D$93</f>
        <v>0.628044024840114</v>
      </c>
      <c r="E10" s="47" t="n">
        <f aca="false">輸入與假設!E$93</f>
        <v>0.575183391279048</v>
      </c>
      <c r="F10" s="47" t="n">
        <f aca="false">輸入與假設!F$93</f>
        <v>0.521113060777058</v>
      </c>
      <c r="G10" s="47" t="n">
        <f aca="false">輸入與假設!G$93</f>
        <v>0.469999551506301</v>
      </c>
    </row>
    <row r="11" customFormat="false" ht="15" hidden="false" customHeight="false" outlineLevel="1" collapsed="false">
      <c r="A11" s="3" t="s">
        <v>1452</v>
      </c>
      <c r="B11" s="11" t="s">
        <v>57</v>
      </c>
      <c r="C11" s="62" t="n">
        <f aca="false">(C6+C7)*輸入與假設!C$93+輸入與假設!C$51+輸入與假設!C$83-輸入與假設!C$136</f>
        <v>27.8990607250475</v>
      </c>
      <c r="D11" s="62" t="n">
        <f aca="false">(D6+D7)*輸入與假設!D$93+輸入與假設!D$51+輸入與假設!D$83-輸入與假設!D$136</f>
        <v>48.4509826205793</v>
      </c>
      <c r="E11" s="62" t="n">
        <f aca="false">(E6+E7)*輸入與假設!E$93+輸入與假設!E$51+輸入與假設!E$83-輸入與假設!E$136</f>
        <v>58.1507452569987</v>
      </c>
      <c r="F11" s="62" t="n">
        <f aca="false">(F6+F7)*輸入與假設!F$93+輸入與假設!F$51+輸入與假設!F$83-輸入與假設!F$136</f>
        <v>57.8785404497768</v>
      </c>
      <c r="G11" s="62" t="n">
        <f aca="false">(G6+G7)*輸入與假設!G$93+輸入與假設!G$51+輸入與假設!G$83-輸入與假設!G$136</f>
        <v>53.3085834166443</v>
      </c>
      <c r="I11" s="6" t="s">
        <v>1453</v>
      </c>
    </row>
    <row r="12" customFormat="false" ht="15" hidden="false" customHeight="false" outlineLevel="1" collapsed="false">
      <c r="A12" s="3" t="s">
        <v>1454</v>
      </c>
      <c r="B12" s="11" t="s">
        <v>57</v>
      </c>
      <c r="C12" s="39" t="n">
        <f aca="false">各期收支!C21</f>
        <v>4.87296252972893</v>
      </c>
      <c r="D12" s="39" t="n">
        <f aca="false">各期收支!D21</f>
        <v>7.46805348380555</v>
      </c>
      <c r="E12" s="39" t="n">
        <f aca="false">各期收支!E21</f>
        <v>7.09242880855059</v>
      </c>
      <c r="F12" s="39" t="n">
        <f aca="false">各期收支!F21</f>
        <v>6.78635003245928</v>
      </c>
      <c r="G12" s="39" t="n">
        <f aca="false">各期收支!G21</f>
        <v>6.37824499767087</v>
      </c>
    </row>
    <row r="13" customFormat="false" ht="15" hidden="false" customHeight="false" outlineLevel="1" collapsed="false">
      <c r="A13" s="3" t="s">
        <v>1455</v>
      </c>
      <c r="B13" s="11" t="s">
        <v>57</v>
      </c>
      <c r="C13" s="39" t="n">
        <f aca="false">各期收支!C10</f>
        <v>1.54392202575188</v>
      </c>
      <c r="D13" s="39" t="n">
        <f aca="false">各期收支!D10</f>
        <v>3.58313298493961</v>
      </c>
      <c r="E13" s="39" t="n">
        <f aca="false">各期收支!E10</f>
        <v>4.42357397156202</v>
      </c>
      <c r="F13" s="39" t="n">
        <f aca="false">各期收支!F10</f>
        <v>4.73669329235327</v>
      </c>
      <c r="G13" s="39" t="n">
        <f aca="false">各期收支!G10</f>
        <v>5.2888365617756</v>
      </c>
      <c r="I13" s="6" t="s">
        <v>1456</v>
      </c>
    </row>
    <row r="14" customFormat="false" ht="15" hidden="false" customHeight="false" outlineLevel="1" collapsed="false">
      <c r="A14" s="3" t="s">
        <v>1457</v>
      </c>
      <c r="B14" s="11" t="s">
        <v>57</v>
      </c>
      <c r="C14" s="62" t="n">
        <f aca="false">C11-C12-C13</f>
        <v>21.4821761695667</v>
      </c>
      <c r="D14" s="62" t="n">
        <f aca="false">D11-D12-D13</f>
        <v>37.3997961518341</v>
      </c>
      <c r="E14" s="62" t="n">
        <f aca="false">E11-E12-E13</f>
        <v>46.634742476886</v>
      </c>
      <c r="F14" s="62" t="n">
        <f aca="false">F11-F12-F13</f>
        <v>46.3554971249643</v>
      </c>
      <c r="G14" s="62" t="n">
        <f aca="false">G11-G12-G13</f>
        <v>41.6415018571979</v>
      </c>
    </row>
    <row r="15" customFormat="false" ht="15" hidden="false" customHeight="false" outlineLevel="1" collapsed="false">
      <c r="A15" s="4" t="s">
        <v>1458</v>
      </c>
      <c r="B15" s="11" t="s">
        <v>57</v>
      </c>
      <c r="C15" s="62" t="n">
        <f aca="false">輸入與假設!$C$193</f>
        <v>0</v>
      </c>
      <c r="D15" s="62" t="n">
        <f aca="false">C17</f>
        <v>0</v>
      </c>
      <c r="E15" s="62" t="n">
        <f aca="false">D17</f>
        <v>0</v>
      </c>
      <c r="F15" s="62" t="n">
        <f aca="false">E17</f>
        <v>0</v>
      </c>
      <c r="G15" s="62" t="n">
        <f aca="false">F17</f>
        <v>0</v>
      </c>
      <c r="I15" s="11" t="s">
        <v>1459</v>
      </c>
    </row>
    <row r="16" customFormat="false" ht="15" hidden="false" customHeight="false" outlineLevel="1" collapsed="false">
      <c r="A16" s="3" t="s">
        <v>1460</v>
      </c>
      <c r="B16" s="11" t="s">
        <v>57</v>
      </c>
      <c r="C16" s="62" t="n">
        <f aca="false">MIN(C15,MAX(0,C14)*輸入與假設!$C$194)</f>
        <v>0</v>
      </c>
      <c r="D16" s="62" t="n">
        <f aca="false">MIN(D15,MAX(0,D14)*輸入與假設!$C$194)</f>
        <v>0</v>
      </c>
      <c r="E16" s="62" t="n">
        <f aca="false">MIN(E15,MAX(0,E14)*輸入與假設!$C$194)</f>
        <v>0</v>
      </c>
      <c r="F16" s="62" t="n">
        <f aca="false">MIN(F15,MAX(0,F14)*輸入與假設!$C$194)</f>
        <v>0</v>
      </c>
      <c r="G16" s="62" t="n">
        <f aca="false">MIN(G15,MAX(0,G14)*輸入與假設!$C$194)</f>
        <v>0</v>
      </c>
      <c r="I16" s="6" t="s">
        <v>1461</v>
      </c>
    </row>
    <row r="17" customFormat="false" ht="15" hidden="false" customHeight="false" outlineLevel="1" collapsed="false">
      <c r="A17" s="4" t="s">
        <v>1462</v>
      </c>
      <c r="B17" s="11" t="s">
        <v>57</v>
      </c>
      <c r="C17" s="62" t="n">
        <f aca="false">C15-C16+MAX(0,-C14)</f>
        <v>0</v>
      </c>
      <c r="D17" s="62" t="n">
        <f aca="false">D15-D16+MAX(0,-D14)</f>
        <v>0</v>
      </c>
      <c r="E17" s="62" t="n">
        <f aca="false">E15-E16+MAX(0,-E14)</f>
        <v>0</v>
      </c>
      <c r="F17" s="62" t="n">
        <f aca="false">F15-F16+MAX(0,-F14)</f>
        <v>0</v>
      </c>
      <c r="G17" s="62" t="n">
        <f aca="false">G15-G16+MAX(0,-G14)</f>
        <v>0</v>
      </c>
    </row>
    <row r="18" customFormat="false" ht="15" hidden="false" customHeight="false" outlineLevel="1" collapsed="false">
      <c r="A18" s="3" t="s">
        <v>1463</v>
      </c>
      <c r="B18" s="11" t="s">
        <v>57</v>
      </c>
      <c r="C18" s="62" t="n">
        <f aca="false">MAX(0,C14-C16)*輸入與假設!$C$180</f>
        <v>3.24380860160457</v>
      </c>
      <c r="D18" s="62" t="n">
        <f aca="false">MAX(0,D14-D16)*輸入與假設!$C$180</f>
        <v>5.64736921892695</v>
      </c>
      <c r="E18" s="62" t="n">
        <f aca="false">MAX(0,E14-E16)*輸入與假設!$C$180</f>
        <v>7.04184611400979</v>
      </c>
      <c r="F18" s="62" t="n">
        <f aca="false">MAX(0,F14-F16)*輸入與假設!$C$180</f>
        <v>6.99968006586961</v>
      </c>
      <c r="G18" s="62" t="n">
        <f aca="false">MAX(0,G14-G16)*輸入與假設!$C$180</f>
        <v>6.28786678043688</v>
      </c>
      <c r="I18" s="6" t="s">
        <v>1464</v>
      </c>
    </row>
    <row r="19" customFormat="false" ht="15" hidden="false" customHeight="false" outlineLevel="1" collapsed="false">
      <c r="A19" s="2" t="s">
        <v>1465</v>
      </c>
      <c r="B19" s="11" t="s">
        <v>57</v>
      </c>
      <c r="C19" s="36" t="n">
        <f aca="false">C14-C18</f>
        <v>18.2383675679621</v>
      </c>
      <c r="D19" s="36" t="n">
        <f aca="false">D14-D18</f>
        <v>31.7524269329072</v>
      </c>
      <c r="E19" s="36" t="n">
        <f aca="false">E14-E18</f>
        <v>39.5928963628763</v>
      </c>
      <c r="F19" s="36" t="n">
        <f aca="false">F14-F18</f>
        <v>39.3558170590947</v>
      </c>
      <c r="G19" s="36" t="n">
        <f aca="false">G14-G18</f>
        <v>35.353635076761</v>
      </c>
    </row>
    <row r="20" customFormat="false" ht="15" hidden="false" customHeight="false" outlineLevel="1" collapsed="false">
      <c r="A20" s="4" t="s">
        <v>591</v>
      </c>
      <c r="B20" s="11" t="s">
        <v>57</v>
      </c>
      <c r="C20" s="39" t="n">
        <f aca="false">輸入與假設!C$136</f>
        <v>14.317303125</v>
      </c>
      <c r="D20" s="39" t="n">
        <f aca="false">輸入與假設!D$136</f>
        <v>32.7245546666667</v>
      </c>
      <c r="E20" s="39" t="n">
        <f aca="false">輸入與假設!E$136</f>
        <v>42.4930992916667</v>
      </c>
      <c r="F20" s="39" t="n">
        <f aca="false">輸入與假設!F$136</f>
        <v>45.0932309166667</v>
      </c>
      <c r="G20" s="39" t="n">
        <f aca="false">輸入與假設!G$136</f>
        <v>45.0932309166667</v>
      </c>
      <c r="I20" s="6" t="s">
        <v>1466</v>
      </c>
    </row>
    <row r="21" customFormat="false" ht="15" hidden="false" customHeight="false" outlineLevel="1" collapsed="false">
      <c r="A21" s="80" t="s">
        <v>1467</v>
      </c>
      <c r="B21" s="11" t="s">
        <v>57</v>
      </c>
      <c r="C21" s="36" t="n">
        <f aca="false">C11+C20</f>
        <v>42.2163638500475</v>
      </c>
      <c r="D21" s="36" t="n">
        <f aca="false">D11+D20</f>
        <v>81.1755372872459</v>
      </c>
      <c r="E21" s="36" t="n">
        <f aca="false">E11+E20</f>
        <v>100.643844548665</v>
      </c>
      <c r="F21" s="36" t="n">
        <f aca="false">F11+F20</f>
        <v>102.971771366444</v>
      </c>
      <c r="G21" s="36" t="n">
        <f aca="false">G11+G20</f>
        <v>98.401814333311</v>
      </c>
    </row>
    <row r="22" customFormat="false" ht="15" hidden="false" customHeight="false" outlineLevel="1" collapsed="false">
      <c r="A22" s="3" t="s">
        <v>1468</v>
      </c>
      <c r="B22" s="11" t="s">
        <v>388</v>
      </c>
      <c r="C22" s="30" t="n">
        <f aca="false">評價_DCF與目標價!$C$69</f>
        <v>3.08897428564288</v>
      </c>
      <c r="D22" s="30" t="n">
        <f aca="false">C22*(1+輸入與假設!$C$210)</f>
        <v>3.11986402849931</v>
      </c>
      <c r="E22" s="30" t="n">
        <f aca="false">D22*(1+輸入與假設!$C$210)</f>
        <v>3.15106266878431</v>
      </c>
      <c r="F22" s="30" t="n">
        <f aca="false">E22*(1+輸入與假設!$C$210)</f>
        <v>3.18257329547215</v>
      </c>
      <c r="G22" s="30" t="n">
        <f aca="false">F22*(1+輸入與假設!$C$210)</f>
        <v>3.21439902842687</v>
      </c>
      <c r="I22" s="11" t="s">
        <v>1469</v>
      </c>
    </row>
    <row r="23" customFormat="false" ht="15" hidden="false" customHeight="false" outlineLevel="1" collapsed="false">
      <c r="A23" s="3" t="s">
        <v>1470</v>
      </c>
      <c r="B23" s="11" t="s">
        <v>388</v>
      </c>
      <c r="C23" s="30" t="n">
        <f aca="false">C22+各期收支!C81</f>
        <v>3.08897428564288</v>
      </c>
      <c r="D23" s="30" t="n">
        <f aca="false">D22+各期收支!D81</f>
        <v>3.11986402849931</v>
      </c>
      <c r="E23" s="30" t="n">
        <f aca="false">E22+各期收支!E81</f>
        <v>3.15106266878431</v>
      </c>
      <c r="F23" s="30" t="n">
        <f aca="false">F22+各期收支!F81</f>
        <v>3.18257329547215</v>
      </c>
      <c r="G23" s="30" t="n">
        <f aca="false">G22+各期收支!G81</f>
        <v>3.21439902842687</v>
      </c>
      <c r="I23" s="6" t="s">
        <v>1471</v>
      </c>
    </row>
    <row r="24" customFormat="false" ht="15" hidden="false" customHeight="false" outlineLevel="1" collapsed="false">
      <c r="A24" s="3" t="s">
        <v>1472</v>
      </c>
      <c r="B24" s="11" t="s">
        <v>39</v>
      </c>
      <c r="C24" s="49" t="n">
        <f aca="false">C19/C23</f>
        <v>5.90434425198406</v>
      </c>
      <c r="D24" s="49" t="n">
        <f aca="false">D19/D23</f>
        <v>10.177503456194</v>
      </c>
      <c r="E24" s="49" t="n">
        <f aca="false">E19/E23</f>
        <v>12.5649346028879</v>
      </c>
      <c r="F24" s="49" t="n">
        <f aca="false">F19/F23</f>
        <v>12.3660363502347</v>
      </c>
      <c r="G24" s="49" t="n">
        <f aca="false">G19/G23</f>
        <v>10.9985209565171</v>
      </c>
      <c r="I24" s="11" t="s">
        <v>1473</v>
      </c>
    </row>
    <row r="26" customFormat="false" ht="15" hidden="false" customHeight="false" outlineLevel="0" collapsed="false">
      <c r="A26" s="46" t="s">
        <v>1474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4" t="s">
        <v>1475</v>
      </c>
      <c r="B27" s="11" t="s">
        <v>57</v>
      </c>
      <c r="C27" s="39" t="n">
        <f aca="false">輸入與假設!$C$251</f>
        <v>19.345</v>
      </c>
      <c r="D27" s="39" t="n">
        <f aca="false">0</f>
        <v>0</v>
      </c>
      <c r="E27" s="39" t="n">
        <f aca="false">0</f>
        <v>0</v>
      </c>
      <c r="F27" s="39" t="n">
        <f aca="false">0</f>
        <v>0</v>
      </c>
      <c r="G27" s="39" t="n">
        <f aca="false">0</f>
        <v>0</v>
      </c>
    </row>
    <row r="28" customFormat="false" ht="15" hidden="false" customHeight="false" outlineLevel="1" collapsed="false">
      <c r="A28" s="2" t="s">
        <v>1476</v>
      </c>
      <c r="B28" s="11" t="s">
        <v>57</v>
      </c>
      <c r="C28" s="36" t="n">
        <f aca="false">C27+C9</f>
        <v>90.7274948</v>
      </c>
      <c r="D28" s="36" t="n">
        <f aca="false">D27+D9</f>
        <v>136.55822205094</v>
      </c>
      <c r="E28" s="36" t="n">
        <f aca="false">E27+E9</f>
        <v>178.141011541921</v>
      </c>
      <c r="F28" s="36" t="n">
        <f aca="false">F27+F9</f>
        <v>195.213322747571</v>
      </c>
      <c r="G28" s="36" t="n">
        <f aca="false">G27+G9</f>
        <v>200.140479376888</v>
      </c>
      <c r="I28" s="11" t="s">
        <v>1477</v>
      </c>
    </row>
    <row r="29" customFormat="false" ht="15" hidden="false" customHeight="false" outlineLevel="1" collapsed="false">
      <c r="A29" s="3" t="s">
        <v>1478</v>
      </c>
      <c r="B29" s="11" t="s">
        <v>42</v>
      </c>
      <c r="C29" s="63" t="n">
        <f aca="false">C28/67.357-1</f>
        <v>0.346964603530442</v>
      </c>
      <c r="D29" s="63" t="n">
        <f aca="false">D28/C28-1</f>
        <v>0.505147059906916</v>
      </c>
      <c r="E29" s="63" t="n">
        <f aca="false">E28/D28-1</f>
        <v>0.304505937954208</v>
      </c>
      <c r="F29" s="63" t="n">
        <f aca="false">F28/E28-1</f>
        <v>0.0958359395058923</v>
      </c>
      <c r="G29" s="63" t="n">
        <f aca="false">G28/F28-1</f>
        <v>0.0252398584275344</v>
      </c>
      <c r="I29" s="11" t="s">
        <v>1479</v>
      </c>
    </row>
    <row r="30" customFormat="false" ht="15" hidden="false" customHeight="false" outlineLevel="1" collapsed="false">
      <c r="A30" s="3" t="s">
        <v>1480</v>
      </c>
      <c r="B30" s="11" t="s">
        <v>57</v>
      </c>
      <c r="C30" s="62" t="n">
        <f aca="false">輸入與假設!$C$252+C11</f>
        <v>34.6270607250475</v>
      </c>
      <c r="D30" s="62" t="n">
        <f aca="false">D11</f>
        <v>48.4509826205793</v>
      </c>
      <c r="E30" s="62" t="n">
        <f aca="false">E11</f>
        <v>58.1507452569987</v>
      </c>
      <c r="F30" s="62" t="n">
        <f aca="false">F11</f>
        <v>57.8785404497768</v>
      </c>
      <c r="G30" s="62" t="n">
        <f aca="false">G11</f>
        <v>53.3085834166443</v>
      </c>
    </row>
    <row r="31" customFormat="false" ht="15" hidden="false" customHeight="false" outlineLevel="1" collapsed="false">
      <c r="A31" s="3" t="s">
        <v>1481</v>
      </c>
      <c r="B31" s="11" t="s">
        <v>42</v>
      </c>
      <c r="C31" s="63" t="n">
        <f aca="false">C30/C28</f>
        <v>0.381660055767874</v>
      </c>
      <c r="D31" s="63" t="n">
        <f aca="false">D30/D28</f>
        <v>0.354800918559892</v>
      </c>
      <c r="E31" s="63" t="n">
        <f aca="false">E30/E28</f>
        <v>0.326430981578403</v>
      </c>
      <c r="F31" s="63" t="n">
        <f aca="false">F30/F28</f>
        <v>0.296488680358253</v>
      </c>
      <c r="G31" s="63" t="n">
        <f aca="false">G30/G28</f>
        <v>0.266355829578374</v>
      </c>
    </row>
    <row r="32" customFormat="false" ht="15" hidden="false" customHeight="false" outlineLevel="1" collapsed="false">
      <c r="A32" s="3" t="s">
        <v>1482</v>
      </c>
      <c r="B32" s="11" t="s">
        <v>57</v>
      </c>
      <c r="C32" s="62" t="n">
        <f aca="false">輸入與假設!$C$255+C20</f>
        <v>17.675303125</v>
      </c>
      <c r="D32" s="62" t="n">
        <f aca="false">D20</f>
        <v>32.7245546666667</v>
      </c>
      <c r="E32" s="62" t="n">
        <f aca="false">E20</f>
        <v>42.4930992916667</v>
      </c>
      <c r="F32" s="62" t="n">
        <f aca="false">F20</f>
        <v>45.0932309166667</v>
      </c>
      <c r="G32" s="62" t="n">
        <f aca="false">G20</f>
        <v>45.0932309166667</v>
      </c>
      <c r="I32" s="11" t="s">
        <v>1483</v>
      </c>
    </row>
    <row r="33" customFormat="false" ht="15" hidden="false" customHeight="false" outlineLevel="1" collapsed="false">
      <c r="A33" s="2" t="s">
        <v>1484</v>
      </c>
      <c r="B33" s="11" t="s">
        <v>57</v>
      </c>
      <c r="C33" s="36" t="n">
        <f aca="false">C30+C32</f>
        <v>52.3023638500475</v>
      </c>
      <c r="D33" s="36" t="n">
        <f aca="false">D30+D32</f>
        <v>81.1755372872459</v>
      </c>
      <c r="E33" s="36" t="n">
        <f aca="false">E30+E32</f>
        <v>100.643844548665</v>
      </c>
      <c r="F33" s="36" t="n">
        <f aca="false">F30+F32</f>
        <v>102.971771366444</v>
      </c>
      <c r="G33" s="36" t="n">
        <f aca="false">G30+G32</f>
        <v>98.401814333311</v>
      </c>
    </row>
    <row r="34" customFormat="false" ht="15" hidden="false" customHeight="false" outlineLevel="1" collapsed="false">
      <c r="A34" s="3" t="s">
        <v>1485</v>
      </c>
      <c r="B34" s="11" t="s">
        <v>57</v>
      </c>
      <c r="C34" s="62" t="n">
        <f aca="false">輸入與假設!$C$249+C12</f>
        <v>6.30096252972893</v>
      </c>
      <c r="D34" s="62" t="n">
        <f aca="false">D12</f>
        <v>7.46805348380555</v>
      </c>
      <c r="E34" s="62" t="n">
        <f aca="false">E12</f>
        <v>7.09242880855059</v>
      </c>
      <c r="F34" s="62" t="n">
        <f aca="false">F12</f>
        <v>6.78635003245928</v>
      </c>
      <c r="G34" s="62" t="n">
        <f aca="false">G12</f>
        <v>6.37824499767087</v>
      </c>
      <c r="I34" s="11" t="s">
        <v>1486</v>
      </c>
    </row>
    <row r="35" customFormat="false" ht="15" hidden="false" customHeight="false" outlineLevel="1" collapsed="false">
      <c r="A35" s="2" t="s">
        <v>1487</v>
      </c>
      <c r="B35" s="11" t="s">
        <v>57</v>
      </c>
      <c r="C35" s="36" t="n">
        <f aca="false">輸入與假設!$C$253+C19</f>
        <v>22.9983675679621</v>
      </c>
      <c r="D35" s="36" t="n">
        <f aca="false">D19</f>
        <v>31.7524269329072</v>
      </c>
      <c r="E35" s="36" t="n">
        <f aca="false">E19</f>
        <v>39.5928963628763</v>
      </c>
      <c r="F35" s="36" t="n">
        <f aca="false">F19</f>
        <v>39.3558170590947</v>
      </c>
      <c r="G35" s="36" t="n">
        <f aca="false">G19</f>
        <v>35.353635076761</v>
      </c>
    </row>
    <row r="36" customFormat="false" ht="15" hidden="false" customHeight="false" outlineLevel="1" collapsed="false">
      <c r="A36" s="3" t="s">
        <v>1488</v>
      </c>
      <c r="B36" s="11" t="s">
        <v>42</v>
      </c>
      <c r="C36" s="63" t="n">
        <f aca="false">C35/C28</f>
        <v>0.253488400827773</v>
      </c>
      <c r="D36" s="63" t="n">
        <f aca="false">D35/D28</f>
        <v>0.232519334654655</v>
      </c>
      <c r="E36" s="63" t="n">
        <f aca="false">E35/E28</f>
        <v>0.222255930962642</v>
      </c>
      <c r="F36" s="63" t="n">
        <f aca="false">F35/F28</f>
        <v>0.201604155419175</v>
      </c>
      <c r="G36" s="63" t="n">
        <f aca="false">G35/G28</f>
        <v>0.176644101117526</v>
      </c>
    </row>
    <row r="37" customFormat="false" ht="15" hidden="false" customHeight="false" outlineLevel="1" collapsed="false">
      <c r="A37" s="2" t="s">
        <v>1489</v>
      </c>
      <c r="B37" s="11" t="s">
        <v>39</v>
      </c>
      <c r="C37" s="81" t="n">
        <f aca="false">輸入與假設!$C$257+C19/C23</f>
        <v>7.46434425198406</v>
      </c>
      <c r="D37" s="81" t="n">
        <f aca="false">D19/D23</f>
        <v>10.177503456194</v>
      </c>
      <c r="E37" s="81" t="n">
        <f aca="false">E19/E23</f>
        <v>12.5649346028879</v>
      </c>
      <c r="F37" s="81" t="n">
        <f aca="false">F19/F23</f>
        <v>12.3660363502347</v>
      </c>
      <c r="G37" s="81" t="n">
        <f aca="false">G19/G23</f>
        <v>10.9985209565171</v>
      </c>
      <c r="I37" s="11" t="s">
        <v>1490</v>
      </c>
    </row>
    <row r="38" customFormat="false" ht="15" hidden="false" customHeight="false" outlineLevel="1" collapsed="false">
      <c r="A38" s="3" t="s">
        <v>1491</v>
      </c>
      <c r="B38" s="11" t="s">
        <v>39</v>
      </c>
      <c r="C38" s="49" t="n">
        <f aca="false">輸入與假設!$C$258+(C19+輸入與假設!$C$211*輸入與假設!C$41)/C23</f>
        <v>8.95888233723599</v>
      </c>
      <c r="D38" s="49" t="n">
        <f aca="false">(D19+輸入與假設!$C$211*輸入與假設!D$41)/D23</f>
        <v>11.6224382222032</v>
      </c>
      <c r="E38" s="49" t="n">
        <f aca="false">(E19+輸入與假設!$C$211*輸入與假設!E$41)/E23</f>
        <v>13.9955630840851</v>
      </c>
      <c r="F38" s="49" t="n">
        <f aca="false">(F19+輸入與假設!$C$211*輸入與假設!F$41)/F23</f>
        <v>13.7825001930041</v>
      </c>
      <c r="G38" s="49" t="n">
        <f aca="false">(G19+輸入與假設!$C$211*輸入與假設!G$41)/G23</f>
        <v>12.4009604048037</v>
      </c>
      <c r="I38" s="6" t="s">
        <v>1492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1493</v>
      </c>
    </row>
    <row r="2" customFormat="false" ht="15" hidden="false" customHeight="false" outlineLevel="0" collapsed="false">
      <c r="A2" s="6" t="s">
        <v>1494</v>
      </c>
    </row>
    <row r="4" customFormat="false" ht="15" hidden="false" customHeight="false" outlineLevel="0" collapsed="false">
      <c r="A4" s="14" t="s">
        <v>51</v>
      </c>
      <c r="B4" s="14" t="s">
        <v>52</v>
      </c>
      <c r="C4" s="28" t="s">
        <v>53</v>
      </c>
      <c r="D4" s="28" t="s">
        <v>54</v>
      </c>
      <c r="E4" s="28" t="s">
        <v>55</v>
      </c>
      <c r="F4" s="28" t="s">
        <v>145</v>
      </c>
      <c r="G4" s="28" t="s">
        <v>146</v>
      </c>
      <c r="I4" s="14" t="s">
        <v>747</v>
      </c>
    </row>
    <row r="5" customFormat="false" ht="15" hidden="false" customHeight="false" outlineLevel="0" collapsed="false">
      <c r="A5" s="7" t="s">
        <v>1495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1496</v>
      </c>
      <c r="B6" s="11" t="s">
        <v>57</v>
      </c>
      <c r="C6" s="62" t="n">
        <f aca="false">輸入與假設!C$135-各期收支!C8</f>
        <v>58.74081545</v>
      </c>
      <c r="D6" s="62" t="n">
        <f aca="false">輸入與假設!D$135-各期收支!D8</f>
        <v>65.117863692</v>
      </c>
      <c r="E6" s="62" t="n">
        <f aca="false">輸入與假設!E$135-各期收支!E8</f>
        <v>23.6195956815</v>
      </c>
      <c r="F6" s="62" t="n">
        <f aca="false">輸入與假設!F$135-各期收支!F8</f>
        <v>41.63058669</v>
      </c>
      <c r="G6" s="62" t="n">
        <f aca="false">輸入與假設!G$135-各期收支!G8</f>
        <v>41.63058669</v>
      </c>
      <c r="I6" s="11" t="s">
        <v>1497</v>
      </c>
    </row>
    <row r="7" customFormat="false" ht="15" hidden="false" customHeight="false" outlineLevel="1" collapsed="false">
      <c r="A7" s="3" t="s">
        <v>1498</v>
      </c>
      <c r="B7" s="11" t="s">
        <v>57</v>
      </c>
      <c r="C7" s="62" t="n">
        <f aca="false">67.357</f>
        <v>67.357</v>
      </c>
      <c r="D7" s="62" t="n">
        <f aca="false">19.345+損益!C9</f>
        <v>90.7274948</v>
      </c>
      <c r="E7" s="62" t="n">
        <f aca="false">損益!D9</f>
        <v>136.55822205094</v>
      </c>
      <c r="F7" s="62" t="n">
        <f aca="false">損益!E9</f>
        <v>178.141011541921</v>
      </c>
      <c r="G7" s="62" t="n">
        <f aca="false">損益!F9</f>
        <v>195.213322747571</v>
      </c>
      <c r="I7" s="11" t="s">
        <v>1499</v>
      </c>
    </row>
    <row r="8" customFormat="false" ht="15" hidden="false" customHeight="false" outlineLevel="1" collapsed="false">
      <c r="A8" s="3" t="s">
        <v>1500</v>
      </c>
      <c r="B8" s="11" t="s">
        <v>57</v>
      </c>
      <c r="C8" s="39" t="n">
        <f aca="false">各期收支!C11</f>
        <v>2.62483830386278</v>
      </c>
      <c r="D8" s="39" t="n">
        <f aca="false">各期收支!D11</f>
        <v>7.46265025136574</v>
      </c>
      <c r="E8" s="39" t="n">
        <f aca="false">各期收支!E11</f>
        <v>11.035453457005</v>
      </c>
      <c r="F8" s="39" t="n">
        <f aca="false">各期收支!F11</f>
        <v>11.2920981877747</v>
      </c>
      <c r="G8" s="39" t="n">
        <f aca="false">各期收支!G11</f>
        <v>12.7641625245748</v>
      </c>
      <c r="I8" s="6" t="s">
        <v>1501</v>
      </c>
    </row>
    <row r="9" customFormat="false" ht="15" hidden="false" customHeight="false" outlineLevel="1" collapsed="false">
      <c r="A9" s="3" t="s">
        <v>1502</v>
      </c>
      <c r="B9" s="11" t="s">
        <v>57</v>
      </c>
      <c r="C9" s="62" t="n">
        <f aca="false">輸入與假設!$C$195*MAX(0,損益!C9-C7)</f>
        <v>0.0805098960000001</v>
      </c>
      <c r="D9" s="62" t="n">
        <f aca="false">輸入與假設!$C$195*MAX(0,損益!D9-D7)</f>
        <v>0.9166145450188</v>
      </c>
      <c r="E9" s="62" t="n">
        <f aca="false">輸入與假設!$C$195*MAX(0,損益!E9-E7)</f>
        <v>0.831655789819611</v>
      </c>
      <c r="F9" s="62" t="n">
        <f aca="false">輸入與假設!$C$195*MAX(0,損益!F9-F7)</f>
        <v>0.341446224112999</v>
      </c>
      <c r="G9" s="62" t="n">
        <f aca="false">輸入與假設!$C$195*MAX(0,損益!G9-G7)</f>
        <v>0.0985431325863448</v>
      </c>
      <c r="I9" s="6" t="s">
        <v>1503</v>
      </c>
    </row>
    <row r="10" customFormat="false" ht="15" hidden="false" customHeight="false" outlineLevel="1" collapsed="false">
      <c r="A10" s="3" t="s">
        <v>1504</v>
      </c>
      <c r="B10" s="11" t="s">
        <v>57</v>
      </c>
      <c r="C10" s="62" t="n">
        <f aca="false">輸入與假設!$C$193</f>
        <v>0</v>
      </c>
      <c r="D10" s="62" t="n">
        <f aca="false">C12</f>
        <v>0</v>
      </c>
      <c r="E10" s="62" t="n">
        <f aca="false">D12</f>
        <v>0</v>
      </c>
      <c r="F10" s="62" t="n">
        <f aca="false">E12</f>
        <v>0</v>
      </c>
      <c r="G10" s="62" t="n">
        <f aca="false">F12</f>
        <v>0</v>
      </c>
      <c r="I10" s="11" t="s">
        <v>1505</v>
      </c>
    </row>
    <row r="11" customFormat="false" ht="15" hidden="false" customHeight="false" outlineLevel="1" collapsed="false">
      <c r="A11" s="3" t="s">
        <v>1506</v>
      </c>
      <c r="B11" s="11" t="s">
        <v>57</v>
      </c>
      <c r="C11" s="62" t="n">
        <f aca="false">MIN(C10,MAX(0,損益!C11)*輸入與假設!$C$194)</f>
        <v>0</v>
      </c>
      <c r="D11" s="62" t="n">
        <f aca="false">MIN(D10,MAX(0,損益!D11)*輸入與假設!$C$194)</f>
        <v>0</v>
      </c>
      <c r="E11" s="62" t="n">
        <f aca="false">MIN(E10,MAX(0,損益!E11)*輸入與假設!$C$194)</f>
        <v>0</v>
      </c>
      <c r="F11" s="62" t="n">
        <f aca="false">MIN(F10,MAX(0,損益!F11)*輸入與假設!$C$194)</f>
        <v>0</v>
      </c>
      <c r="G11" s="62" t="n">
        <f aca="false">MIN(G10,MAX(0,損益!G11)*輸入與假設!$C$194)</f>
        <v>0</v>
      </c>
    </row>
    <row r="12" customFormat="false" ht="15" hidden="false" customHeight="false" outlineLevel="1" collapsed="false">
      <c r="A12" s="3" t="s">
        <v>1507</v>
      </c>
      <c r="B12" s="11" t="s">
        <v>57</v>
      </c>
      <c r="C12" s="62" t="n">
        <f aca="false">C10-C11+MAX(0,-損益!C11)</f>
        <v>0</v>
      </c>
      <c r="D12" s="62" t="n">
        <f aca="false">D10-D11+MAX(0,-損益!D11)</f>
        <v>0</v>
      </c>
      <c r="E12" s="62" t="n">
        <f aca="false">E10-E11+MAX(0,-損益!E11)</f>
        <v>0</v>
      </c>
      <c r="F12" s="62" t="n">
        <f aca="false">F10-F11+MAX(0,-損益!F11)</f>
        <v>0</v>
      </c>
      <c r="G12" s="62" t="n">
        <f aca="false">G10-G11+MAX(0,-損益!G11)</f>
        <v>0</v>
      </c>
    </row>
    <row r="13" customFormat="false" ht="15" hidden="false" customHeight="false" outlineLevel="1" collapsed="false">
      <c r="A13" s="3" t="s">
        <v>1508</v>
      </c>
      <c r="B13" s="11" t="s">
        <v>57</v>
      </c>
      <c r="C13" s="62" t="n">
        <f aca="false">MAX(0,損益!C11-C11)*輸入與假設!$C$180</f>
        <v>4.21275816948217</v>
      </c>
      <c r="D13" s="62" t="n">
        <f aca="false">MAX(0,損益!D11-D11)*輸入與假設!$C$180</f>
        <v>7.31609837570747</v>
      </c>
      <c r="E13" s="62" t="n">
        <f aca="false">MAX(0,損益!E11-E11)*輸入與假設!$C$180</f>
        <v>8.7807625338068</v>
      </c>
      <c r="F13" s="62" t="n">
        <f aca="false">MAX(0,損益!F11-F11)*輸入與假設!$C$180</f>
        <v>8.7396596079163</v>
      </c>
      <c r="G13" s="62" t="n">
        <f aca="false">MAX(0,損益!G11-G11)*輸入與假設!$C$180</f>
        <v>8.0495960959133</v>
      </c>
      <c r="I13" s="6" t="s">
        <v>1509</v>
      </c>
    </row>
    <row r="14" customFormat="false" ht="15" hidden="false" customHeight="false" outlineLevel="1" collapsed="false">
      <c r="A14" s="80" t="s">
        <v>1510</v>
      </c>
      <c r="B14" s="11" t="s">
        <v>57</v>
      </c>
      <c r="C14" s="36" t="n">
        <f aca="false">損益!C11-C13+損益!C20-C6-C9-C8</f>
        <v>-23.4425579692975</v>
      </c>
      <c r="D14" s="36" t="n">
        <f aca="false">損益!D11-D13+損益!D20-D6-D9-D8</f>
        <v>0.362310423153907</v>
      </c>
      <c r="E14" s="36" t="n">
        <f aca="false">損益!E11-E13+損益!E20-E6-E9-E8</f>
        <v>56.3763770865339</v>
      </c>
      <c r="F14" s="36" t="n">
        <f aca="false">損益!F11-F13+損益!F20-F6-F9-F8</f>
        <v>40.9679806566396</v>
      </c>
      <c r="G14" s="36" t="n">
        <f aca="false">損益!G11-G13+損益!G20-G6-G9-G8</f>
        <v>35.8589258902365</v>
      </c>
      <c r="I14" s="6" t="s">
        <v>1511</v>
      </c>
    </row>
    <row r="15" customFormat="false" ht="15" hidden="false" customHeight="false" outlineLevel="1" collapsed="false">
      <c r="A15" s="3" t="s">
        <v>1512</v>
      </c>
      <c r="B15" s="6" t="s">
        <v>187</v>
      </c>
      <c r="C15" s="82" t="n">
        <f aca="false">輸入與假設!$C$228</f>
        <v>0.75</v>
      </c>
      <c r="D15" s="82" t="n">
        <f aca="false">輸入與假設!$D$228</f>
        <v>1.75</v>
      </c>
      <c r="E15" s="82" t="n">
        <f aca="false">輸入與假設!$E$228</f>
        <v>2.75</v>
      </c>
      <c r="F15" s="82" t="n">
        <f aca="false">輸入與假設!$F$228</f>
        <v>3.75</v>
      </c>
      <c r="G15" s="82" t="n">
        <f aca="false">輸入與假設!$G$228</f>
        <v>4.75</v>
      </c>
      <c r="I15" s="6" t="s">
        <v>1513</v>
      </c>
    </row>
    <row r="16" customFormat="false" ht="15" hidden="false" customHeight="false" outlineLevel="1" collapsed="false">
      <c r="A16" s="3" t="s">
        <v>1514</v>
      </c>
      <c r="B16" s="6"/>
      <c r="C16" s="50" t="n">
        <f aca="false">1/(1+輸入與假設!$C$190)^C15</f>
        <v>0.915427734040045</v>
      </c>
      <c r="D16" s="50" t="n">
        <f aca="false">1/(1+輸入與假設!$C$190)^D15</f>
        <v>0.813684706803842</v>
      </c>
      <c r="E16" s="50" t="n">
        <f aca="false">1/(1+輸入與假設!$C$190)^E15</f>
        <v>0.723249665120472</v>
      </c>
      <c r="F16" s="50" t="n">
        <f aca="false">1/(1+輸入與假設!$C$190)^F15</f>
        <v>0.642865809966584</v>
      </c>
      <c r="G16" s="50" t="n">
        <f aca="false">1/(1+輸入與假設!$C$190)^G15</f>
        <v>0.571416026241993</v>
      </c>
    </row>
    <row r="17" customFormat="false" ht="15" hidden="false" customHeight="false" outlineLevel="1" collapsed="false">
      <c r="A17" s="4" t="s">
        <v>1515</v>
      </c>
      <c r="B17" s="11" t="s">
        <v>57</v>
      </c>
      <c r="C17" s="62" t="n">
        <f aca="false">C14*C16</f>
        <v>-21.4599677219364</v>
      </c>
      <c r="D17" s="62" t="n">
        <f aca="false">D14*D16</f>
        <v>0.294806450435963</v>
      </c>
      <c r="E17" s="62" t="n">
        <f aca="false">E14*E16</f>
        <v>40.7741958485411</v>
      </c>
      <c r="F17" s="62" t="n">
        <f aca="false">F14*F16</f>
        <v>26.3369140675259</v>
      </c>
      <c r="G17" s="62" t="n">
        <f aca="false">G14*G16</f>
        <v>20.4903649375051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1516</v>
      </c>
      <c r="C19" s="10" t="n">
        <f aca="false">SUM(C17:G17)</f>
        <v>66.4363135820717</v>
      </c>
      <c r="I19" s="6" t="s">
        <v>1517</v>
      </c>
    </row>
    <row r="20" customFormat="false" ht="15" hidden="false" customHeight="false" outlineLevel="1" collapsed="false">
      <c r="A20" s="3" t="s">
        <v>1518</v>
      </c>
      <c r="C20" s="10" t="n">
        <f aca="false">G14+輸入與假設!G128*(1-各期收支!G7)</f>
        <v>35.8589258902365</v>
      </c>
      <c r="I20" s="11" t="s">
        <v>1519</v>
      </c>
    </row>
    <row r="21" customFormat="false" ht="15" hidden="false" customHeight="false" outlineLevel="1" collapsed="false">
      <c r="A21" s="3" t="s">
        <v>1520</v>
      </c>
      <c r="C21" s="52" t="n">
        <f aca="false">IF(C30=1,0,C20*(1+輸入與假設!$C$191)/(輸入與假設!$C$190-輸入與假設!$C$191))</f>
        <v>388.623163812512</v>
      </c>
      <c r="I21" s="6" t="s">
        <v>1521</v>
      </c>
    </row>
    <row r="22" customFormat="false" ht="15" hidden="false" customHeight="false" outlineLevel="1" collapsed="false">
      <c r="A22" s="3" t="s">
        <v>1522</v>
      </c>
      <c r="C22" s="52" t="n">
        <f aca="false">C21*G16</f>
        <v>222.065503971336</v>
      </c>
    </row>
    <row r="23" customFormat="false" ht="15" hidden="false" customHeight="false" outlineLevel="1" collapsed="false">
      <c r="A23" s="3" t="s">
        <v>1523</v>
      </c>
      <c r="C23" s="52" t="n">
        <f aca="false">C19+C22</f>
        <v>288.501817553408</v>
      </c>
    </row>
    <row r="24" customFormat="false" ht="15" hidden="false" customHeight="false" outlineLevel="1" collapsed="false">
      <c r="A24" s="3" t="s">
        <v>1524</v>
      </c>
      <c r="C24" s="10" t="n">
        <f aca="false">-評價_DCF與目標價!$C$70</f>
        <v>-88.827</v>
      </c>
      <c r="I24" s="6" t="s">
        <v>1525</v>
      </c>
    </row>
    <row r="25" customFormat="false" ht="15" hidden="false" customHeight="false" outlineLevel="1" collapsed="false">
      <c r="A25" s="3" t="s">
        <v>1526</v>
      </c>
      <c r="C25" s="52" t="n">
        <f aca="false">C23+C24</f>
        <v>199.674817553408</v>
      </c>
    </row>
    <row r="26" customFormat="false" ht="15" hidden="false" customHeight="false" outlineLevel="1" collapsed="false">
      <c r="A26" s="80" t="s">
        <v>1527</v>
      </c>
      <c r="C26" s="83" t="n">
        <f aca="false">IF(C30=1,0,IF(輸入與假設!$C$213=2,C32,C31))</f>
        <v>64.6411394492562</v>
      </c>
      <c r="I26" s="6" t="s">
        <v>1528</v>
      </c>
    </row>
    <row r="27" customFormat="false" ht="15" hidden="false" customHeight="false" outlineLevel="1" collapsed="false">
      <c r="A27" s="3" t="s">
        <v>1529</v>
      </c>
      <c r="C27" s="29" t="n">
        <f aca="false">C22/C23</f>
        <v>0.769719601264651</v>
      </c>
      <c r="I27" s="6" t="str">
        <f aca="false">"超過 "&amp;IF(ROUND(ABS(輸入與假設!$C$237)*100,4)=INT(ROUND(ABS(輸入與假設!$C$237)*100,4)),TEXT(ROUND(ABS(輸入與假設!$C$237)*100,4),"0"),TEXT(ROUND(ABS(輸入與假設!$C$237)*100,4),"0.0"))&amp;"%"&amp;"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1530</v>
      </c>
      <c r="C28" s="52" t="n">
        <f aca="false">各期收支!C76/(1+輸入與假設!$C$190)^輸入與假設!$C$229+各期收支!D76/(1+輸入與假設!$C$190)^輸入與假設!$D$229+各期收支!E76/(1+輸入與假設!$C$190)^輸入與假設!$E$229+各期收支!F76/(1+輸入與假設!$C$190)^輸入與假設!$F$229+各期收支!G76/(1+輸入與假設!$C$190)^輸入與假設!$G$229</f>
        <v>0</v>
      </c>
      <c r="I28" s="6" t="s">
        <v>1531</v>
      </c>
    </row>
    <row r="29" customFormat="false" ht="15" hidden="false" customHeight="false" outlineLevel="1" collapsed="false">
      <c r="A29" s="3" t="s">
        <v>1532</v>
      </c>
      <c r="C29" s="84" t="n">
        <f aca="false">評價_DCF與目標價!$C$69+各期收支!G81</f>
        <v>3.08897428564288</v>
      </c>
    </row>
    <row r="30" customFormat="false" ht="15" hidden="false" customHeight="false" outlineLevel="1" collapsed="false">
      <c r="A30" s="4" t="s">
        <v>1533</v>
      </c>
      <c r="C30" s="44" t="n">
        <f aca="false">IF(OR(輸入與假設!$C$190&lt;=輸入與假設!$C$191,C20&lt;=0),1,0)</f>
        <v>0</v>
      </c>
      <c r="I30" s="11" t="s">
        <v>1534</v>
      </c>
    </row>
    <row r="31" customFormat="false" ht="15" hidden="false" customHeight="false" outlineLevel="1" collapsed="false">
      <c r="A31" s="80" t="s">
        <v>1535</v>
      </c>
      <c r="C31" s="43" t="n">
        <f aca="false">MAX(0,(C25+C28)/C29)</f>
        <v>64.6411394492562</v>
      </c>
    </row>
    <row r="32" customFormat="false" ht="15" hidden="false" customHeight="false" outlineLevel="1" collapsed="false">
      <c r="A32" s="80" t="s">
        <v>1536</v>
      </c>
      <c r="C32" s="43" t="n">
        <f aca="false">IF((C23+C28)&lt;=0,0,IF(評價_DCF與目標價!$C$70&lt;=0,(C23+C28),(C23+C28)*NORMSDIST(C33)-評價_DCF與目標價!$C$70*EXP(-輸入與假設!$C$181*輸入與假設!$C$215)*NORMSDIST(C34))/C29)</f>
        <v>73.0107461387375</v>
      </c>
      <c r="I32" s="11" t="s">
        <v>1537</v>
      </c>
    </row>
    <row r="33" customFormat="false" ht="15" hidden="false" customHeight="false" outlineLevel="1" collapsed="false">
      <c r="A33" s="3" t="s">
        <v>1538</v>
      </c>
      <c r="C33" s="84" t="n">
        <f aca="false">IF(OR((C23+C28)&lt;=0,評價_DCF與目標價!$C$70&lt;=0),0,(LN((C23+C28)/評價_DCF與目標價!$C$70)+(輸入與假設!$C$181+輸入與假設!$C$214^2/2)*輸入與假設!$C$215)/(輸入與假設!$C$214*SQRT(輸入與假設!$C$215)))</f>
        <v>1.85559312504777</v>
      </c>
    </row>
    <row r="34" customFormat="false" ht="15" hidden="false" customHeight="false" outlineLevel="1" collapsed="false">
      <c r="A34" s="3" t="s">
        <v>1539</v>
      </c>
      <c r="C34" s="84" t="n">
        <f aca="false">C33-輸入與假設!$C$214*SQRT(輸入與假設!$C$215)</f>
        <v>0.765868389162597</v>
      </c>
    </row>
    <row r="36" customFormat="false" ht="15" hidden="false" customHeight="false" outlineLevel="0" collapsed="false">
      <c r="A36" s="46" t="s">
        <v>1540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1541</v>
      </c>
      <c r="C37" s="85" t="str">
        <f aca="false">CHOOSE(輸入與假設!$C$205,"FY28","FY29","FY30","FY31")</f>
        <v>FY29</v>
      </c>
      <c r="I37" s="6" t="s">
        <v>1542</v>
      </c>
    </row>
    <row r="38" customFormat="false" ht="15" hidden="false" customHeight="false" outlineLevel="1" collapsed="false">
      <c r="A38" s="3" t="s">
        <v>1543</v>
      </c>
      <c r="C38" s="10" t="n">
        <f aca="false">INDEX(損益!$D$21:$G$21,1,輸入與假設!$C$205)</f>
        <v>100.643844548665</v>
      </c>
    </row>
    <row r="39" customFormat="false" ht="15" hidden="false" customHeight="false" outlineLevel="1" collapsed="false">
      <c r="A39" s="3" t="s">
        <v>1544</v>
      </c>
      <c r="C39" s="52" t="n">
        <f aca="false">C45*輸入與假設!$C$196+C44*輸入與假設!$C$204</f>
        <v>877.22569613866</v>
      </c>
      <c r="I39" s="6" t="s">
        <v>1545</v>
      </c>
    </row>
    <row r="40" customFormat="false" ht="15" hidden="false" customHeight="false" outlineLevel="1" collapsed="false">
      <c r="A40" s="3" t="s">
        <v>1546</v>
      </c>
      <c r="C40" s="10" t="n">
        <f aca="false">INDEX(各期收支!$D$86:$G$86,1,輸入與假設!$C$205)-INDEX(各期收支!$D$51:$G$51,1,輸入與假設!$C$205)+評價_DCF與目標價!$C$71</f>
        <v>90.0286338574402</v>
      </c>
      <c r="I40" s="6" t="s">
        <v>1547</v>
      </c>
    </row>
    <row r="41" customFormat="false" ht="15" hidden="false" customHeight="false" outlineLevel="1" collapsed="false">
      <c r="A41" s="3" t="s">
        <v>1548</v>
      </c>
      <c r="C41" s="86" t="n">
        <f aca="false">INDEX(損益!$D$23:$G$23,1,輸入與假設!$C$205)</f>
        <v>3.15106266878431</v>
      </c>
      <c r="I41" s="6" t="s">
        <v>1549</v>
      </c>
    </row>
    <row r="42" customFormat="false" ht="15" hidden="false" customHeight="false" outlineLevel="1" collapsed="false">
      <c r="A42" s="3" t="s">
        <v>1550</v>
      </c>
      <c r="C42" s="86" t="n">
        <f aca="false">1/(1+輸入與假設!$C$190)^(輸入與假設!$C$205-輸入與假設!$C$225)</f>
        <v>0.813684706803842</v>
      </c>
      <c r="I42" s="6" t="s">
        <v>1551</v>
      </c>
    </row>
    <row r="43" customFormat="false" ht="15" hidden="false" customHeight="false" outlineLevel="1" collapsed="false">
      <c r="A43" s="4" t="s">
        <v>1552</v>
      </c>
      <c r="C43" s="43" t="n">
        <f aca="false">MAX(0,(C39-C40)/C41)*C42</f>
        <v>203.274348417278</v>
      </c>
      <c r="I43" s="6" t="s">
        <v>1553</v>
      </c>
    </row>
    <row r="44" customFormat="false" ht="15" hidden="false" customHeight="false" outlineLevel="1" collapsed="false">
      <c r="A44" s="3" t="s">
        <v>1554</v>
      </c>
      <c r="C44" s="10" t="n">
        <f aca="false">INDEX(輸入與假設!$D$83:$G$83,1,輸入與假設!$C$205)</f>
        <v>30.3062781426461</v>
      </c>
      <c r="I44" s="11" t="s">
        <v>1555</v>
      </c>
    </row>
    <row r="45" customFormat="false" ht="15" hidden="false" customHeight="false" outlineLevel="1" collapsed="false">
      <c r="A45" s="3" t="s">
        <v>1556</v>
      </c>
      <c r="C45" s="52" t="n">
        <f aca="false">C38-C44</f>
        <v>70.3375664060193</v>
      </c>
      <c r="I45" s="6" t="s">
        <v>1557</v>
      </c>
    </row>
    <row r="47" customFormat="false" ht="15" hidden="false" customHeight="false" outlineLevel="0" collapsed="false">
      <c r="A47" s="46" t="s">
        <v>1558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1559</v>
      </c>
      <c r="C48" s="12" t="n">
        <f aca="false">C26*(1+輸入與假設!$C$190)^輸入與假設!$C$221</f>
        <v>72.7238589062784</v>
      </c>
      <c r="I48" s="6" t="s">
        <v>1560</v>
      </c>
    </row>
    <row r="49" customFormat="false" ht="15" hidden="false" customHeight="false" outlineLevel="1" collapsed="false">
      <c r="A49" s="4" t="s">
        <v>1561</v>
      </c>
      <c r="C49" s="12" t="n">
        <f aca="false">C48*IF(C30=1,0,輸入與假設!$C$206)</f>
        <v>32.7257365078253</v>
      </c>
    </row>
    <row r="50" customFormat="false" ht="15" hidden="false" customHeight="false" outlineLevel="1" collapsed="false">
      <c r="A50" s="4" t="s">
        <v>1562</v>
      </c>
      <c r="C50" s="12" t="n">
        <f aca="false">C43*IF(C30=1,1,1-輸入與假設!$C$206)</f>
        <v>111.800891629503</v>
      </c>
    </row>
    <row r="51" customFormat="false" ht="15" hidden="false" customHeight="false" outlineLevel="1" collapsed="false">
      <c r="A51" s="2" t="s">
        <v>1558</v>
      </c>
      <c r="C51" s="87" t="n">
        <f aca="false">SUM(C49:C50)</f>
        <v>144.526628137328</v>
      </c>
      <c r="I51" s="6" t="s">
        <v>1563</v>
      </c>
    </row>
    <row r="52" customFormat="false" ht="15" hidden="false" customHeight="false" outlineLevel="1" collapsed="false">
      <c r="A52" s="3" t="s">
        <v>1564</v>
      </c>
      <c r="C52" s="12" t="n">
        <f aca="false">輸入與假設!$C$175</f>
        <v>144.77</v>
      </c>
    </row>
    <row r="53" customFormat="false" ht="15" hidden="false" customHeight="false" outlineLevel="1" collapsed="false">
      <c r="A53" s="3" t="s">
        <v>1565</v>
      </c>
      <c r="C53" s="29" t="n">
        <f aca="false">C51/C52-1</f>
        <v>-0.00168109320074306</v>
      </c>
    </row>
    <row r="55" customFormat="false" ht="15" hidden="false" customHeight="false" outlineLevel="0" collapsed="false">
      <c r="A55" s="46" t="s">
        <v>1566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1567</v>
      </c>
      <c r="C56" s="88" t="n">
        <f aca="false">SUMPRODUCT(資產負債_既有債務!$D$73:$D$73*資產負債_既有債務!$G$73:$G$73)</f>
        <v>0.0312382856428839</v>
      </c>
      <c r="I56" s="6" t="s">
        <v>1568</v>
      </c>
    </row>
    <row r="57" customFormat="false" ht="15" hidden="false" customHeight="false" outlineLevel="1" collapsed="false">
      <c r="A57" s="3" t="s">
        <v>1569</v>
      </c>
      <c r="C57" s="88" t="n">
        <f aca="false">輸入與假設!$C$176+C56</f>
        <v>3.08897428564288</v>
      </c>
    </row>
    <row r="58" customFormat="false" ht="15" hidden="false" customHeight="false" outlineLevel="1" collapsed="false">
      <c r="A58" s="3" t="s">
        <v>1570</v>
      </c>
      <c r="C58" s="10" t="n">
        <f aca="false">輸入與假設!$C$177+SUMPRODUCT(資產負債_既有債務!$C$73:$C$73*(1-資產負債_既有債務!$G$73:$G$73))+輸入與假設!$C$179</f>
        <v>88.827</v>
      </c>
      <c r="I58" s="6" t="s">
        <v>1571</v>
      </c>
    </row>
    <row r="59" customFormat="false" ht="15" hidden="false" customHeight="false" outlineLevel="1" collapsed="false">
      <c r="A59" s="3" t="s">
        <v>1572</v>
      </c>
      <c r="C59" s="86" t="n">
        <f aca="false">C57+各期收支!G81</f>
        <v>3.08897428564288</v>
      </c>
    </row>
    <row r="60" customFormat="false" ht="15" hidden="false" customHeight="false" outlineLevel="1" collapsed="false">
      <c r="A60" s="3" t="s">
        <v>1573</v>
      </c>
      <c r="C60" s="86" t="n">
        <f aca="false">IF(OR((C23+C28)&lt;=0,C58&lt;=0),0,(LN((C23+C28)/C58)+(輸入與假設!$C$181+輸入與假設!$C$214^2/2)*輸入與假設!$C$215)/(輸入與假設!$C$214*SQRT(輸入與假設!$C$215)))</f>
        <v>1.85559312504777</v>
      </c>
    </row>
    <row r="61" customFormat="false" ht="15" hidden="false" customHeight="false" outlineLevel="1" collapsed="false">
      <c r="A61" s="3" t="s">
        <v>1574</v>
      </c>
      <c r="C61" s="12" t="n">
        <f aca="false">IF(C30=1,0,IF(輸入與假設!$C$213=2,IF((C23+C28)&lt;=0,0,IF(C58&lt;=0,(C23+C28),(C23+C28)*NORMSDIST(C60)-C58*EXP(-輸入與假設!$C$181*輸入與假設!$C$215)*NORMSDIST(C60-輸入與假設!$C$214*SQRT(輸入與假設!$C$215)))/C59),MAX(0,(C23-C58+C28)/C59)))</f>
        <v>64.6411394492562</v>
      </c>
      <c r="I61" s="6" t="s">
        <v>1575</v>
      </c>
    </row>
    <row r="62" customFormat="false" ht="15" hidden="false" customHeight="false" outlineLevel="1" collapsed="false">
      <c r="A62" s="3" t="s">
        <v>1576</v>
      </c>
      <c r="C62" s="10" t="n">
        <f aca="false">INDEX(各期收支!$D$86:$G$86,1,輸入與假設!$C$205)-INDEX(各期收支!$D$51:$G$51,1,輸入與假設!$C$205)+SUMPRODUCT(資產負債_既有債務!$C$73:$C$73*(資產負債_既有債務!$F$73:$F$73-資產負債_既有債務!$G$73:$G$73))+輸入與假設!$C$179</f>
        <v>90.0286338574402</v>
      </c>
      <c r="I62" s="6" t="s">
        <v>1577</v>
      </c>
    </row>
    <row r="63" customFormat="false" ht="15" hidden="false" customHeight="false" outlineLevel="1" collapsed="false">
      <c r="A63" s="3" t="s">
        <v>1578</v>
      </c>
      <c r="C63" s="86" t="n">
        <f aca="false">C57*(1+輸入與假設!$C$210)^輸入與假設!$C$205+INDEX(各期收支!$D$81:$G$81,1,輸入與假設!$C$205)</f>
        <v>3.15106266878431</v>
      </c>
    </row>
    <row r="64" customFormat="false" ht="15" hidden="false" customHeight="false" outlineLevel="1" collapsed="false">
      <c r="A64" s="3" t="s">
        <v>1579</v>
      </c>
      <c r="C64" s="12" t="n">
        <f aca="false">MAX(0,(C39-C62)/C63)*C42</f>
        <v>203.274348417278</v>
      </c>
    </row>
    <row r="65" customFormat="false" ht="15" hidden="false" customHeight="false" outlineLevel="1" collapsed="false">
      <c r="A65" s="2" t="s">
        <v>1580</v>
      </c>
      <c r="C65" s="83" t="n">
        <f aca="false">C61*(1+輸入與假設!$C$190)^輸入與假設!$C$221*IF(C30=1,0,輸入與假設!$C$206)+C64*IF(C30=1,1,1-輸入與假設!$C$206)</f>
        <v>144.526628137328</v>
      </c>
    </row>
    <row r="66" customFormat="false" ht="15" hidden="false" customHeight="false" outlineLevel="1" collapsed="false">
      <c r="A66" s="2" t="s">
        <v>1581</v>
      </c>
      <c r="C66" s="83" t="n">
        <f aca="false">MIN(輸入與假設!$C$175,C65)</f>
        <v>144.526628137328</v>
      </c>
      <c r="I66" s="6" t="s">
        <v>1582</v>
      </c>
    </row>
    <row r="67" customFormat="false" ht="15" hidden="false" customHeight="false" outlineLevel="1" collapsed="false">
      <c r="A67" s="3" t="s">
        <v>1583</v>
      </c>
      <c r="C67" s="88" t="n">
        <f aca="false">SUMPRODUCT(資產負債_既有債務!$D$73:$D$73*資產負債_既有債務!$H$73:$H$73)</f>
        <v>0.0312382856428839</v>
      </c>
      <c r="I67" s="6" t="s">
        <v>1584</v>
      </c>
    </row>
    <row r="68" customFormat="false" ht="15" hidden="false" customHeight="false" outlineLevel="1" collapsed="false">
      <c r="A68" s="3" t="s">
        <v>1585</v>
      </c>
      <c r="C68" s="10" t="n">
        <f aca="false">SUMPRODUCT(資產負債_既有債務!$C$73:$C$73*(1-資產負債_既有債務!$H$73:$H$73))</f>
        <v>0</v>
      </c>
    </row>
    <row r="69" customFormat="false" ht="15" hidden="false" customHeight="false" outlineLevel="1" collapsed="false">
      <c r="A69" s="2" t="s">
        <v>1586</v>
      </c>
      <c r="C69" s="75" t="n">
        <f aca="false">輸入與假設!$C$176+C67</f>
        <v>3.08897428564288</v>
      </c>
      <c r="I69" s="11" t="s">
        <v>1587</v>
      </c>
    </row>
    <row r="70" customFormat="false" ht="15" hidden="false" customHeight="false" outlineLevel="1" collapsed="false">
      <c r="A70" s="2" t="s">
        <v>1588</v>
      </c>
      <c r="C70" s="53" t="n">
        <f aca="false">輸入與假設!$C$177+C68+輸入與假設!$C$179</f>
        <v>88.827</v>
      </c>
      <c r="I70" s="11" t="s">
        <v>1589</v>
      </c>
    </row>
    <row r="71" customFormat="false" ht="15" hidden="false" customHeight="false" outlineLevel="1" collapsed="false">
      <c r="A71" s="3" t="s">
        <v>1590</v>
      </c>
      <c r="C71" s="10" t="n">
        <f aca="false">SUMPRODUCT(資產負債_既有債務!$C$73:$C$73*(資產負債_既有債務!$F$73:$F$73-資產負債_既有債務!$H$73:$H$73))+輸入與假設!$C$179</f>
        <v>0</v>
      </c>
      <c r="I71" s="6" t="s">
        <v>1591</v>
      </c>
    </row>
    <row r="72" customFormat="false" ht="15" hidden="false" customHeight="false" outlineLevel="1" collapsed="false">
      <c r="A72" s="4" t="s">
        <v>1592</v>
      </c>
      <c r="C72" s="3" t="str">
        <f aca="false">IF(C30=1,"DCF 失效，已以 EV/EBITDA 100% 計。",IF(AND(輸入與假設!$C$213&lt;&gt;2,C87&lt;0),"DCF 為 $0 仍計 "&amp;TEXT(輸入與假設!$C$206,"0%")&amp;" 權重的原因：DCF 沒有失效，而是算出的股權價值為負（每股約 −$"&amp;TEXT(ABS(C87),"0.0")&amp;"），代表自由現金流折現後的企業價值不足以償還淨負債。EV/EBITDA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$"&amp;TEXT(C43,"0.0")&amp;"（"&amp;CHOOSE(D86+2,"賣出","中立","買進")&amp;"）；"&amp;TEXT(輸入與假設!$C$206,"0%")&amp;"／"&amp;TEXT(1-輸入與假設!$C$206,"0%")&amp;" 為判斷值。",""))</f>
        <v/>
      </c>
      <c r="I72" s="6" t="s">
        <v>1593</v>
      </c>
    </row>
    <row r="74" customFormat="false" ht="15" hidden="false" customHeight="false" outlineLevel="0" collapsed="false">
      <c r="A74" s="46" t="s">
        <v>1594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1" collapsed="false">
      <c r="A75" s="3" t="s">
        <v>1595</v>
      </c>
      <c r="C75" s="12" t="n">
        <f aca="false">C51</f>
        <v>144.526628137328</v>
      </c>
      <c r="I75" s="6" t="str">
        <f aca="false">"評等規則不變：空間 ≥"&amp;IF(ROUND(ABS(輸入與假設!$C$231)*100,4)=INT(ROUND(ABS(輸入與假設!$C$231)*100,4)),TEXT(ROUND(ABS(輸入與假設!$C$231)*100,4),"0"),TEXT(ROUND(ABS(輸入與假設!$C$231)*100,4),"0.0"))&amp;"%"&amp;" 且終值占比 &lt;"&amp;IF(ROUND(ABS(輸入與假設!$C$232)*100,4)=INT(ROUND(ABS(輸入與假設!$C$232)*100,4)),TEXT(ROUND(ABS(輸入與假設!$C$232)*100,4),"0"),TEXT(ROUND(ABS(輸入與假設!$C$232)*100,4),"0.0"))&amp;"%"&amp;"、股權募資 ≤"&amp;IF(輸入與假設!$C$234=INT(輸入與假設!$C$234),TEXT(輸入與假設!$C$234,"0"),TEXT(輸入與假設!$C$234,"0.0"))&amp;" 倍現市值 → 買進；空間 ≤−"&amp;IF(ROUND(ABS(輸入與假設!$C$233)*100,4)=INT(ROUND(ABS(輸入與假設!$C$233)*100,4)),TEXT(ROUND(ABS(輸入與假設!$C$233)*100,4),"0"),TEXT(ROUND(ABS(輸入與假設!$C$233)*100,4),"0.0"))&amp;"%"&amp;"，或股權募資 &gt;"&amp;IF(輸入與假設!$C$234=INT(輸入與假設!$C$234),TEXT(輸入與假設!$C$234,"0"),TEXT(輸入與假設!$C$234,"0.0"))&amp;" 倍且空間 ≤−"&amp;IF(ROUND(ABS(輸入與假設!$C$235)*100,4)=INT(ROUND(ABS(輸入與假設!$C$235)*100,4)),TEXT(ROUND(ABS(輸入與假設!$C$235)*100,4),"0"),TEXT(ROUND(ABS(輸入與假設!$C$235)*100,4),"0.0"))&amp;"%"&amp;"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6" customFormat="false" ht="15" hidden="false" customHeight="false" outlineLevel="1" collapsed="false">
      <c r="A76" s="3" t="s">
        <v>1596</v>
      </c>
      <c r="C76" s="13" t="n">
        <f aca="false">C22/MAX(ABS(C23),1)*IF(C23=0,1,SIGN(C23))</f>
        <v>0.769719601264651</v>
      </c>
    </row>
    <row r="77" customFormat="false" ht="15" hidden="false" customHeight="false" outlineLevel="1" collapsed="false">
      <c r="A77" s="3" t="s">
        <v>1597</v>
      </c>
      <c r="C77" s="16" t="n">
        <f aca="false">SUM(各期收支!C76:G76)/(輸入與假設!$C$175*輸入與假設!$C$176)</f>
        <v>0</v>
      </c>
    </row>
    <row r="78" customFormat="false" ht="15" hidden="false" customHeight="false" outlineLevel="1" collapsed="false">
      <c r="A78" s="3" t="s">
        <v>1598</v>
      </c>
      <c r="C78" s="9" t="n">
        <f aca="false">IF(AND((C51/MAX(輸入與假設!$C$175,0.01)-1)&gt;=輸入與假設!$C$231,$C$76&lt;輸入與假設!$C$232,$C$77&lt;=輸入與假設!$C$234),1,IF(OR((C51/MAX(輸入與假設!$C$175,0.01)-1)&lt;=輸入與假設!$C$233,AND($C$77&gt;輸入與假設!$C$234,(C51/MAX(輸入與假設!$C$175,0.01)-1)&lt;=輸入與假設!$C$235)),-1,0))</f>
        <v>0</v>
      </c>
      <c r="D78" s="9" t="str">
        <f aca="false">CHOOSE(C78+2,"賣出","中立","買進")</f>
        <v>中立</v>
      </c>
    </row>
    <row r="79" customFormat="false" ht="15" hidden="false" customHeight="false" outlineLevel="1" collapsed="false">
      <c r="A79" s="3" t="s">
        <v>1599</v>
      </c>
      <c r="C79" s="12" t="n">
        <f aca="false">輸入與假設!$C$175*(1+輸入與假設!$C$233)</f>
        <v>123.0545</v>
      </c>
    </row>
    <row r="80" customFormat="false" ht="15" hidden="false" customHeight="false" outlineLevel="1" collapsed="false">
      <c r="A80" s="3" t="s">
        <v>1600</v>
      </c>
      <c r="C80" s="12" t="n">
        <f aca="false">輸入與假設!D264</f>
        <v>79.7929504474258</v>
      </c>
      <c r="D80" s="9" t="n">
        <f aca="false">輸入與假設!E264</f>
        <v>-1</v>
      </c>
      <c r="E80" s="12" t="n">
        <f aca="false">C80-$C$79</f>
        <v>-43.2615495525742</v>
      </c>
      <c r="I80" s="6" t="s">
        <v>1601</v>
      </c>
    </row>
    <row r="81" customFormat="false" ht="15" hidden="false" customHeight="false" outlineLevel="1" collapsed="false">
      <c r="A81" s="3" t="s">
        <v>1602</v>
      </c>
      <c r="C81" s="12" t="n">
        <f aca="false">輸入與假設!D265</f>
        <v>144.526628137328</v>
      </c>
      <c r="D81" s="9" t="n">
        <f aca="false">輸入與假設!E265</f>
        <v>0</v>
      </c>
      <c r="E81" s="12" t="n">
        <f aca="false">C81-$C$79</f>
        <v>21.4721281373284</v>
      </c>
    </row>
    <row r="82" customFormat="false" ht="15" hidden="false" customHeight="false" outlineLevel="1" collapsed="false">
      <c r="A82" s="3" t="s">
        <v>1603</v>
      </c>
      <c r="C82" s="12" t="n">
        <f aca="false">輸入與假設!D266</f>
        <v>226.609587065156</v>
      </c>
      <c r="D82" s="9" t="n">
        <f aca="false">輸入與假設!E266</f>
        <v>1</v>
      </c>
      <c r="E82" s="12" t="n">
        <f aca="false">C82-$C$79</f>
        <v>103.555087065156</v>
      </c>
    </row>
    <row r="83" customFormat="false" ht="15" hidden="false" customHeight="false" outlineLevel="1" collapsed="false">
      <c r="A83" s="3" t="s">
        <v>1604</v>
      </c>
      <c r="C83" s="12" t="n">
        <f aca="false">MIN(C80,C82)</f>
        <v>79.7929504474258</v>
      </c>
      <c r="D83" s="12" t="n">
        <f aca="false">MAX(C80,C82)</f>
        <v>226.609587065156</v>
      </c>
    </row>
    <row r="84" customFormat="false" ht="15" hidden="false" customHeight="false" outlineLevel="1" collapsed="false">
      <c r="A84" s="3" t="s">
        <v>1605</v>
      </c>
      <c r="C84" s="16" t="n">
        <f aca="false">MIN(輸入與假設!$C$208,輸入與假設!$C$209)</f>
        <v>5</v>
      </c>
      <c r="D84" s="16" t="n">
        <f aca="false">MAX(輸入與假設!$C$208,輸入與假設!$C$209)</f>
        <v>6</v>
      </c>
    </row>
    <row r="85" customFormat="false" ht="15" hidden="false" customHeight="false" outlineLevel="1" collapsed="false">
      <c r="A85" s="3" t="s">
        <v>1606</v>
      </c>
      <c r="C85" s="12" t="n">
        <f aca="false">MIN(C48*IF(C30=1,0,輸入與假設!$C$206)+MAX(0,(C45*C84+C44*輸入與假設!$C$204-C40)/C41)*C42*IF(C30=1,1,1-輸入與假設!$C$206),C48*IF(C30=1,0,輸入與假設!$C$206)+MAX(0,(C45*D84+C44*輸入與假設!$C$204-C40)/C41)*C42*IF(C30=1,1,1-輸入與假設!$C$206))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134.537004171439</v>
      </c>
      <c r="D85" s="12" t="n">
        <f aca="false">MAX(C48*IF(C30=1,0,輸入與假設!$C$206)+MAX(0,(C45*C84+C44*輸入與假設!$C$204-C40)/C41)*C42*IF(C30=1,1,1-輸入與假設!$C$206),C48*IF(C30=1,0,輸入與假設!$C$206)+MAX(0,(C45*D84+C44*輸入與假設!$C$204-C40)/C41)*C42*IF(C30=1,1,1-輸入與假設!$C$206))</f>
        <v>144.526628137328</v>
      </c>
      <c r="I85" s="6" t="s">
        <v>1607</v>
      </c>
    </row>
    <row r="86" customFormat="false" ht="15" hidden="false" customHeight="false" outlineLevel="1" collapsed="false">
      <c r="A86" s="3" t="s">
        <v>1608</v>
      </c>
      <c r="C86" s="12" t="n">
        <f aca="false">C43</f>
        <v>203.274348417278</v>
      </c>
      <c r="D86" s="9" t="n">
        <f aca="false">IF(AND((C43/MAX(輸入與假設!$C$175,0.01)-1)&gt;=輸入與假設!$C$231,$C$76&lt;輸入與假設!$C$232,$C$77&lt;=輸入與假設!$C$234),1,IF(OR((C43/MAX(輸入與假設!$C$175,0.01)-1)&lt;=輸入與假設!$C$233,AND($C$77&gt;輸入與假設!$C$234,(C43/MAX(輸入與假設!$C$175,0.01)-1)&lt;=輸入與假設!$C$235)),-1,0))</f>
        <v>1</v>
      </c>
      <c r="E86" s="12" t="str">
        <f aca="false">CHOOSE(D86+2,"賣出","中立","買進")</f>
        <v>買進</v>
      </c>
    </row>
    <row r="87" customFormat="false" ht="15" hidden="false" customHeight="false" outlineLevel="1" collapsed="false">
      <c r="A87" s="3" t="s">
        <v>1609</v>
      </c>
      <c r="C87" s="12" t="n">
        <f aca="false">(C25+C28)/C29</f>
        <v>64.6411394492562</v>
      </c>
    </row>
    <row r="88" customFormat="false" ht="15" hidden="false" customHeight="false" outlineLevel="1" collapsed="false">
      <c r="A88" s="3" t="s">
        <v>1610</v>
      </c>
      <c r="C88" s="3" t="str">
        <f aca="false">"目標價 $"&amp;TEXT(C51,"0.0")&amp;"（情境區間 $"&amp;TEXT(C83,"0.0")&amp;"–$"&amp;TEXT(D83,"0.0")&amp;"）"</f>
        <v>目標價 $144.5（情境區間 $79.8–$226.6）</v>
      </c>
    </row>
    <row r="89" customFormat="false" ht="15" hidden="false" customHeight="false" outlineLevel="1" collapsed="false">
      <c r="A89" s="3" t="s">
        <v>1611</v>
      </c>
      <c r="C89" s="3" t="str">
        <f aca="false">"方法區間（目前情境，"&amp;IF(C84=INT(C84),TEXT(C84,"0"),TEXT(C84,"0.0"))&amp;"–"&amp;IF(D84=INT(D84),TEXT(D84,"0"),TEXT(D84,"0.0"))&amp;"x）"</f>
        <v>方法區間（目前情境，5–6x）</v>
      </c>
    </row>
    <row r="90" customFormat="false" ht="15" hidden="false" customHeight="false" outlineLevel="1" collapsed="false">
      <c r="A90" s="3" t="s">
        <v>1612</v>
      </c>
      <c r="C90" s="3" t="str">
        <f aca="false">IF(ABS(輸入與假設!$C$196-D84)&lt;0.000000001,"目前點位位於方法區間上緣（"&amp;IF(D84=INT(D84),TEXT(D84,"0"),TEXT(D84,"0.0"))&amp;"x 為穩態倍數上緣）",IF(ABS(輸入與假設!$C$196-C84)&lt;0.000000001,"目前點位位於方法區間下緣（"&amp;IF(C84=INT(C84),TEXT(C84,"0"),TEXT(C84,"0.0"))&amp;"x）","目前點位"&amp;IF(AND(輸入與假設!$C$196&gt;C84,輸入與假設!$C$196&lt;D84),"位於方法區間內",IF(輸入與假設!$C$196&gt;D84,"高於方法區間上緣","低於方法區間下緣"))&amp;"（目前倍數 "&amp;IF(輸入與假設!$C$196=INT(輸入與假設!$C$196),TEXT(輸入與假設!$C$196,"0"),TEXT(輸入與假設!$C$196,"0.0"))&amp;"x）"))</f>
        <v>目前點位位於方法區間上緣（6x 為穩態倍數上緣）</v>
      </c>
    </row>
    <row r="91" customFormat="false" ht="15" hidden="false" customHeight="false" outlineLevel="1" collapsed="false">
      <c r="A91" s="2" t="s">
        <v>1613</v>
      </c>
      <c r="C91" s="3" t="str">
        <f aca="false">IF(D83&lt;輸入與假設!$C$175,"情境區間上緣 $"&amp;TEXT(D83,"0.0")&amp;" 低於現價 $"&amp;TEXT(輸入與假設!$C$175,"0.00")&amp;IF((D80&lt;&gt;-1)+(D81&lt;&gt;-1)+(D82&lt;&gt;-1)&gt;0,"，但"&amp;SUBSTITUTE(TRIM(IF(D80&lt;&gt;-1,"保守","")&amp;" "&amp;IF(D81&lt;&gt;-1,"基準","")&amp;" "&amp;IF(D82&lt;&gt;-1,"積極",""))," ","、")&amp;"情境未達賣出門檻 $"&amp;TEXT($C$79,"0.0"),"：賣出在三個擴張情境下都成立"),"情境區間上緣 $"&amp;TEXT(D83,"0.0")&amp;" 不低於現價 $"&amp;TEXT(輸入與假設!$C$175,"0.00")&amp;"：賣出並非在三個擴張情境下都成立")&amp;"。"&amp;IF(ABS(E80)&lt;輸入與假設!$C$236*輸入與假設!$C$175,"保守情境 $"&amp;TEXT(C80,"0.0")&amp;"，"&amp;IF(E80&lt;0,"距賣出門檻","高於賣出門檻")&amp;" $"&amp;TEXT($C$79,"0.0")&amp;" 僅 $"&amp;TEXT(ABS(E80),"0.0")&amp;"。","")&amp;IF(ABS(E81)&lt;輸入與假設!$C$236*輸入與假設!$C$175,"基準情境 $"&amp;TEXT(C81,"0.0")&amp;"，"&amp;IF(E81&lt;0,"距賣出門檻","高於賣出門檻")&amp;" $"&amp;TEXT($C$79,"0.0")&amp;" 僅 $"&amp;TEXT(ABS(E81),"0.0")&amp;"。","")&amp;IF(ABS(E82)&lt;輸入與假設!$C$236*輸入與假設!$C$175,"積極情境 $"&amp;TEXT(C82,"0.0")&amp;"，"&amp;IF(E82&lt;0,"距賣出門檻","高於賣出門檻")&amp;" $"&amp;TEXT($C$79,"0.0")&amp;" 僅 $"&amp;TEXT(ABS(E82),"0.0")&amp;"。","")</f>
        <v>情境區間上緣 $226.6 不低於現價 $144.77：賣出並非在三個擴張情境下都成立。</v>
      </c>
    </row>
    <row r="93" customFormat="false" ht="15" hidden="false" customHeight="false" outlineLevel="0" collapsed="false">
      <c r="A93" s="46" t="s">
        <v>1614</v>
      </c>
      <c r="B93" s="8"/>
      <c r="C93" s="8"/>
      <c r="D93" s="8"/>
      <c r="E93" s="8"/>
      <c r="F93" s="8"/>
      <c r="G93" s="8"/>
      <c r="H93" s="8"/>
    </row>
    <row r="94" customFormat="false" ht="17.15" hidden="false" customHeight="false" outlineLevel="1" collapsed="false">
      <c r="A94" s="15" t="s">
        <v>1615</v>
      </c>
      <c r="B94" s="14" t="s">
        <v>1616</v>
      </c>
      <c r="C94" s="15" t="s">
        <v>54</v>
      </c>
      <c r="D94" s="15" t="s">
        <v>55</v>
      </c>
      <c r="E94" s="15" t="s">
        <v>145</v>
      </c>
      <c r="F94" s="15" t="s">
        <v>146</v>
      </c>
      <c r="I94" s="11" t="s">
        <v>1617</v>
      </c>
    </row>
    <row r="95" customFormat="false" ht="15" hidden="false" customHeight="false" outlineLevel="1" collapsed="false">
      <c r="A95" s="3" t="s">
        <v>1618</v>
      </c>
      <c r="B95" s="89" t="n">
        <v>3.4</v>
      </c>
      <c r="C95" s="12" t="n">
        <f aca="false">MAX(0,((INDEX(損益!$D$21:$G$21,1,1)-INDEX(輸入與假設!$D$83:$G$83,1,1))*$B95+INDEX(輸入與假設!$D$83:$G$83,1,1)*輸入與假設!$C$204-(INDEX(各期收支!$D$86:$G$86,1,1)-INDEX(各期收支!$D$51:$G$51,1,1)+評價_DCF與目標價!$C$71))/INDEX(損益!$D$23:$G$23,1,1))/(1+輸入與假設!$C$190)^(1-輸入與假設!$C$225)</f>
        <v>141.032437437655</v>
      </c>
      <c r="D95" s="12" t="n">
        <f aca="false">MAX(0,((INDEX(損益!$D$21:$G$21,1,2)-INDEX(輸入與假設!$D$83:$G$83,1,2))*$B95+INDEX(輸入與假設!$D$83:$G$83,1,2)*輸入與假設!$C$204-(INDEX(各期收支!$D$86:$G$86,1,2)-INDEX(各期收支!$D$51:$G$51,1,2)+評價_DCF與目標價!$C$71))/INDEX(損益!$D$23:$G$23,1,2))/(1+輸入與假設!$C$190)^(2-輸入與假設!$C$225)</f>
        <v>156.050671487619</v>
      </c>
      <c r="E95" s="12" t="n">
        <f aca="false">MAX(0,((INDEX(損益!$D$21:$G$21,1,3)-INDEX(輸入與假設!$D$83:$G$83,1,3))*$B95+INDEX(輸入與假設!$D$83:$G$83,1,3)*輸入與假設!$C$204-(INDEX(各期收支!$D$86:$G$86,1,3)-INDEX(各期收支!$D$51:$G$51,1,3)+評價_DCF與目標價!$C$71))/INDEX(損益!$D$23:$G$23,1,3))/(1+輸入與假設!$C$190)^(3-輸入與假設!$C$225)</f>
        <v>148.443425866659</v>
      </c>
      <c r="F95" s="12" t="n">
        <f aca="false">MAX(0,((INDEX(損益!$D$21:$G$21,1,4)-INDEX(輸入與假設!$D$83:$G$83,1,4))*$B95+INDEX(輸入與假設!$D$83:$G$83,1,4)*輸入與假設!$C$204-(INDEX(各期收支!$D$86:$G$86,1,4)-INDEX(各期收支!$D$51:$G$51,1,4)+評價_DCF與目標價!$C$71))/INDEX(損益!$D$23:$G$23,1,4))/(1+輸入與假設!$C$190)^(4-輸入與假設!$C$225)</f>
        <v>134.472306400351</v>
      </c>
    </row>
    <row r="96" customFormat="false" ht="15" hidden="false" customHeight="false" outlineLevel="1" collapsed="false">
      <c r="A96" s="3" t="s">
        <v>1619</v>
      </c>
      <c r="B96" s="89" t="n">
        <v>4.5</v>
      </c>
      <c r="C96" s="12" t="n">
        <f aca="false">MAX(0,((INDEX(損益!$D$21:$G$21,1,1)-INDEX(輸入與假設!$D$83:$G$83,1,1))*$B96+INDEX(輸入與假設!$D$83:$G$83,1,1)*輸入與假設!$C$204-(INDEX(各期收支!$D$86:$G$86,1,1)-INDEX(各期收支!$D$51:$G$51,1,1)+評價_DCF與目標價!$C$71))/INDEX(損益!$D$23:$G$23,1,1))/(1+輸入與假設!$C$190)^(1-輸入與假設!$C$225)</f>
        <v>157.826826473331</v>
      </c>
      <c r="D96" s="12" t="n">
        <f aca="false">MAX(0,((INDEX(損益!$D$21:$G$21,1,2)-INDEX(輸入與假設!$D$83:$G$83,1,2))*$B96+INDEX(輸入與假設!$D$83:$G$83,1,2)*輸入與假設!$C$204-(INDEX(各期收支!$D$86:$G$86,1,2)-INDEX(各期收支!$D$51:$G$51,1,2)+評價_DCF與目標價!$C$71))/INDEX(損益!$D$23:$G$23,1,2))/(1+輸入與假設!$C$190)^(2-輸入與假設!$C$225)</f>
        <v>176.029919419398</v>
      </c>
      <c r="E96" s="12" t="n">
        <f aca="false">MAX(0,((INDEX(損益!$D$21:$G$21,1,3)-INDEX(輸入與假設!$D$83:$G$83,1,3))*$B96+INDEX(輸入與假設!$D$83:$G$83,1,3)*輸入與假設!$C$204-(INDEX(各期收支!$D$86:$G$86,1,3)-INDEX(各期收支!$D$51:$G$51,1,3)+評價_DCF與目標價!$C$71))/INDEX(損益!$D$23:$G$23,1,3))/(1+輸入與假設!$C$190)^(3-輸入與假設!$C$225)</f>
        <v>166.334063577689</v>
      </c>
      <c r="F96" s="12" t="n">
        <f aca="false">MAX(0,((INDEX(損益!$D$21:$G$21,1,4)-INDEX(輸入與假設!$D$83:$G$83,1,4))*$B96+INDEX(輸入與假設!$D$83:$G$83,1,4)*輸入與假設!$C$204-(INDEX(各期收支!$D$86:$G$86,1,4)-INDEX(各期收支!$D$51:$G$51,1,4)+評價_DCF與目標價!$C$71))/INDEX(損益!$D$23:$G$23,1,4))/(1+輸入與假設!$C$190)^(4-輸入與假設!$C$225)</f>
        <v>148.991197657267</v>
      </c>
    </row>
    <row r="97" customFormat="false" ht="15" hidden="false" customHeight="false" outlineLevel="1" collapsed="false">
      <c r="A97" s="3" t="s">
        <v>1620</v>
      </c>
      <c r="B97" s="89" t="n">
        <v>5</v>
      </c>
      <c r="C97" s="12" t="n">
        <f aca="false">MAX(0,((INDEX(損益!$D$21:$G$21,1,1)-INDEX(輸入與假設!$D$83:$G$83,1,1))*$B97+INDEX(輸入與假設!$D$83:$G$83,1,1)*輸入與假設!$C$204-(INDEX(各期收支!$D$86:$G$86,1,1)-INDEX(各期收支!$D$51:$G$51,1,1)+評價_DCF與目標價!$C$71))/INDEX(損益!$D$23:$G$23,1,1))/(1+輸入與假設!$C$190)^(1-輸入與假設!$C$225)</f>
        <v>165.460639671366</v>
      </c>
      <c r="D97" s="12" t="n">
        <f aca="false">MAX(0,((INDEX(損益!$D$21:$G$21,1,2)-INDEX(輸入與假設!$D$83:$G$83,1,2))*$B97+INDEX(輸入與假設!$D$83:$G$83,1,2)*輸入與假設!$C$204-(INDEX(各期收支!$D$86:$G$86,1,2)-INDEX(各期收支!$D$51:$G$51,1,2)+評價_DCF與目標價!$C$71))/INDEX(損益!$D$23:$G$23,1,2))/(1+輸入與假設!$C$190)^(2-輸入與假設!$C$225)</f>
        <v>185.111395752025</v>
      </c>
      <c r="E97" s="12" t="n">
        <f aca="false">MAX(0,((INDEX(損益!$D$21:$G$21,1,3)-INDEX(輸入與假設!$D$83:$G$83,1,3))*$B97+INDEX(輸入與假設!$D$83:$G$83,1,3)*輸入與假設!$C$204-(INDEX(各期收支!$D$86:$G$86,1,3)-INDEX(各期收支!$D$51:$G$51,1,3)+評價_DCF與目標價!$C$71))/INDEX(損益!$D$23:$G$23,1,3))/(1+輸入與假設!$C$190)^(3-輸入與假設!$C$225)</f>
        <v>174.466171628158</v>
      </c>
      <c r="F97" s="12" t="n">
        <f aca="false">MAX(0,((INDEX(損益!$D$21:$G$21,1,4)-INDEX(輸入與假設!$D$83:$G$83,1,4))*$B97+INDEX(輸入與假設!$D$83:$G$83,1,4)*輸入與假設!$C$204-(INDEX(各期收支!$D$86:$G$86,1,4)-INDEX(各期收支!$D$51:$G$51,1,4)+評價_DCF與目標價!$C$71))/INDEX(損益!$D$23:$G$23,1,4))/(1+輸入與假設!$C$190)^(4-輸入與假設!$C$225)</f>
        <v>155.590693683138</v>
      </c>
    </row>
    <row r="98" customFormat="false" ht="15" hidden="false" customHeight="false" outlineLevel="1" collapsed="false">
      <c r="A98" s="3" t="s">
        <v>1621</v>
      </c>
      <c r="B98" s="89" t="n">
        <v>6</v>
      </c>
      <c r="C98" s="12" t="n">
        <f aca="false">MAX(0,((INDEX(損益!$D$21:$G$21,1,1)-INDEX(輸入與假設!$D$83:$G$83,1,1))*$B98+INDEX(輸入與假設!$D$83:$G$83,1,1)*輸入與假設!$C$204-(INDEX(各期收支!$D$86:$G$86,1,1)-INDEX(各期收支!$D$51:$G$51,1,1)+評價_DCF與目標價!$C$71))/INDEX(損益!$D$23:$G$23,1,1))/(1+輸入與假設!$C$190)^(1-輸入與假設!$C$225)</f>
        <v>180.728266067436</v>
      </c>
      <c r="D98" s="12" t="n">
        <f aca="false">MAX(0,((INDEX(損益!$D$21:$G$21,1,2)-INDEX(輸入與假設!$D$83:$G$83,1,2))*$B98+INDEX(輸入與假設!$D$83:$G$83,1,2)*輸入與假設!$C$204-(INDEX(各期收支!$D$86:$G$86,1,2)-INDEX(各期收支!$D$51:$G$51,1,2)+評價_DCF與目標價!$C$71))/INDEX(損益!$D$23:$G$23,1,2))/(1+輸入與假設!$C$190)^(2-輸入與假設!$C$225)</f>
        <v>203.274348417278</v>
      </c>
      <c r="E98" s="12" t="n">
        <f aca="false">MAX(0,((INDEX(損益!$D$21:$G$21,1,3)-INDEX(輸入與假設!$D$83:$G$83,1,3))*$B98+INDEX(輸入與假設!$D$83:$G$83,1,3)*輸入與假設!$C$204-(INDEX(各期收支!$D$86:$G$86,1,3)-INDEX(各期收支!$D$51:$G$51,1,3)+評價_DCF與目標價!$C$71))/INDEX(損益!$D$23:$G$23,1,3))/(1+輸入與假設!$C$190)^(3-輸入與假設!$C$225)</f>
        <v>190.730387729094</v>
      </c>
      <c r="F98" s="12" t="n">
        <f aca="false">MAX(0,((INDEX(損益!$D$21:$G$21,1,4)-INDEX(輸入與假設!$D$83:$G$83,1,4))*$B98+INDEX(輸入與假設!$D$83:$G$83,1,4)*輸入與假設!$C$204-(INDEX(各期收支!$D$86:$G$86,1,4)-INDEX(各期收支!$D$51:$G$51,1,4)+評價_DCF與目標價!$C$71))/INDEX(損益!$D$23:$G$23,1,4))/(1+輸入與假設!$C$190)^(4-輸入與假設!$C$225)</f>
        <v>168.789685734879</v>
      </c>
    </row>
    <row r="99" customFormat="false" ht="15" hidden="false" customHeight="false" outlineLevel="1" collapsed="false">
      <c r="A99" s="3" t="s">
        <v>1622</v>
      </c>
      <c r="B99" s="89" t="n">
        <v>7</v>
      </c>
      <c r="C99" s="12" t="n">
        <f aca="false">MAX(0,((INDEX(損益!$D$21:$G$21,1,1)-INDEX(輸入與假設!$D$83:$G$83,1,1))*$B99+INDEX(輸入與假設!$D$83:$G$83,1,1)*輸入與假設!$C$204-(INDEX(各期收支!$D$86:$G$86,1,1)-INDEX(各期收支!$D$51:$G$51,1,1)+評價_DCF與目標價!$C$71))/INDEX(損益!$D$23:$G$23,1,1))/(1+輸入與假設!$C$190)^(1-輸入與假設!$C$225)</f>
        <v>195.995892463505</v>
      </c>
      <c r="D99" s="12" t="n">
        <f aca="false">MAX(0,((INDEX(損益!$D$21:$G$21,1,2)-INDEX(輸入與假設!$D$83:$G$83,1,2))*$B99+INDEX(輸入與假設!$D$83:$G$83,1,2)*輸入與假設!$C$204-(INDEX(各期收支!$D$86:$G$86,1,2)-INDEX(各期收支!$D$51:$G$51,1,2)+評價_DCF與目標價!$C$71))/INDEX(損益!$D$23:$G$23,1,2))/(1+輸入與假設!$C$190)^(2-輸入與假設!$C$225)</f>
        <v>221.437301082532</v>
      </c>
      <c r="E99" s="12" t="n">
        <f aca="false">MAX(0,((INDEX(損益!$D$21:$G$21,1,3)-INDEX(輸入與假設!$D$83:$G$83,1,3))*$B99+INDEX(輸入與假設!$D$83:$G$83,1,3)*輸入與假設!$C$204-(INDEX(各期收支!$D$86:$G$86,1,3)-INDEX(各期收支!$D$51:$G$51,1,3)+評價_DCF與目標價!$C$71))/INDEX(損益!$D$23:$G$23,1,3))/(1+輸入與假設!$C$190)^(3-輸入與假設!$C$225)</f>
        <v>206.994603830031</v>
      </c>
      <c r="F99" s="12" t="n">
        <f aca="false">MAX(0,((INDEX(損益!$D$21:$G$21,1,4)-INDEX(輸入與假設!$D$83:$G$83,1,4))*$B99+INDEX(輸入與假設!$D$83:$G$83,1,4)*輸入與假設!$C$204-(INDEX(各期收支!$D$86:$G$86,1,4)-INDEX(各期收支!$D$51:$G$51,1,4)+評價_DCF與目標價!$C$71))/INDEX(損益!$D$23:$G$23,1,4))/(1+輸入與假設!$C$190)^(4-輸入與假設!$C$225)</f>
        <v>181.988677786621</v>
      </c>
    </row>
    <row r="100" customFormat="false" ht="15" hidden="false" customHeight="false" outlineLevel="1" collapsed="false"/>
    <row r="101" customFormat="false" ht="17.15" hidden="false" customHeight="false" outlineLevel="1" collapsed="false">
      <c r="A101" s="15" t="s">
        <v>1623</v>
      </c>
      <c r="B101" s="14" t="s">
        <v>1616</v>
      </c>
      <c r="C101" s="15" t="s">
        <v>54</v>
      </c>
      <c r="D101" s="15" t="s">
        <v>55</v>
      </c>
      <c r="E101" s="15" t="s">
        <v>145</v>
      </c>
      <c r="F101" s="15" t="s">
        <v>146</v>
      </c>
    </row>
    <row r="102" customFormat="false" ht="15" hidden="false" customHeight="false" outlineLevel="1" collapsed="false">
      <c r="A102" s="3" t="s">
        <v>1624</v>
      </c>
      <c r="B102" s="89" t="n">
        <v>3.4</v>
      </c>
      <c r="C102" s="12" t="n">
        <f aca="false">C48*IF(C30=1,0,輸入與假設!$C$206)+C95*IF(C30=1,1,1-輸入與假設!$C$206)</f>
        <v>110.293577098536</v>
      </c>
      <c r="D102" s="12" t="n">
        <f aca="false">C48*IF(C30=1,0,輸入與假設!$C$206)+D95*IF(C30=1,1,1-輸入與假設!$C$206)</f>
        <v>118.553605826016</v>
      </c>
      <c r="E102" s="12" t="n">
        <f aca="false">C48*IF(C30=1,0,輸入與假設!$C$206)+E95*IF(C30=1,1,1-輸入與假設!$C$206)</f>
        <v>114.369620734488</v>
      </c>
      <c r="F102" s="12" t="n">
        <f aca="false">C48*IF(C30=1,0,輸入與假設!$C$206)+F95*IF(C30=1,1,1-輸入與假設!$C$206)</f>
        <v>106.685505028019</v>
      </c>
    </row>
    <row r="103" customFormat="false" ht="15" hidden="false" customHeight="false" outlineLevel="1" collapsed="false">
      <c r="A103" s="3" t="s">
        <v>1625</v>
      </c>
      <c r="B103" s="89" t="n">
        <v>4.5</v>
      </c>
      <c r="C103" s="12" t="n">
        <f aca="false">C48*IF(C30=1,0,輸入與假設!$C$206)+C96*IF(C30=1,1,1-輸入與假設!$C$206)</f>
        <v>119.530491068158</v>
      </c>
      <c r="D103" s="12" t="n">
        <f aca="false">C48*IF(C30=1,0,輸入與假設!$C$206)+D96*IF(C30=1,1,1-輸入與假設!$C$206)</f>
        <v>129.542192188494</v>
      </c>
      <c r="E103" s="12" t="n">
        <f aca="false">C48*IF(C30=1,0,輸入與假設!$C$206)+E96*IF(C30=1,1,1-輸入與假設!$C$206)</f>
        <v>124.209471475554</v>
      </c>
      <c r="F103" s="12" t="n">
        <f aca="false">C48*IF(C30=1,0,輸入與假設!$C$206)+F96*IF(C30=1,1,1-輸入與假設!$C$206)</f>
        <v>114.670895219322</v>
      </c>
    </row>
    <row r="104" customFormat="false" ht="15" hidden="false" customHeight="false" outlineLevel="1" collapsed="false">
      <c r="A104" s="3" t="s">
        <v>1626</v>
      </c>
      <c r="B104" s="89" t="n">
        <v>5</v>
      </c>
      <c r="C104" s="12" t="n">
        <f aca="false">C48*IF(C30=1,0,輸入與假設!$C$206)+C97*IF(C30=1,1,1-輸入與假設!$C$206)</f>
        <v>123.729088327077</v>
      </c>
      <c r="D104" s="12" t="n">
        <f aca="false">C48*IF(C30=1,0,輸入與假設!$C$206)+D97*IF(C30=1,1,1-輸入與假設!$C$206)</f>
        <v>134.537004171439</v>
      </c>
      <c r="E104" s="12" t="n">
        <f aca="false">C48*IF(C30=1,0,輸入與假設!$C$206)+E97*IF(C30=1,1,1-輸入與假設!$C$206)</f>
        <v>128.682130903312</v>
      </c>
      <c r="F104" s="12" t="n">
        <f aca="false">C48*IF(C30=1,0,輸入與假設!$C$206)+F97*IF(C30=1,1,1-輸入與假設!$C$206)</f>
        <v>118.300618033551</v>
      </c>
    </row>
    <row r="105" customFormat="false" ht="15" hidden="false" customHeight="false" outlineLevel="1" collapsed="false">
      <c r="A105" s="3" t="s">
        <v>1627</v>
      </c>
      <c r="B105" s="89" t="n">
        <v>6</v>
      </c>
      <c r="C105" s="12" t="n">
        <f aca="false">C48*IF(C30=1,0,輸入與假設!$C$206)+C98*IF(C30=1,1,1-輸入與假設!$C$206)</f>
        <v>132.126282844915</v>
      </c>
      <c r="D105" s="12" t="n">
        <f aca="false">C48*IF(C30=1,0,輸入與假設!$C$206)+D98*IF(C30=1,1,1-輸入與假設!$C$206)</f>
        <v>144.526628137328</v>
      </c>
      <c r="E105" s="12" t="n">
        <f aca="false">C48*IF(C30=1,0,輸入與假設!$C$206)+E98*IF(C30=1,1,1-輸入與假設!$C$206)</f>
        <v>137.627449758827</v>
      </c>
      <c r="F105" s="12" t="n">
        <f aca="false">C48*IF(C30=1,0,輸入與假設!$C$206)+F98*IF(C30=1,1,1-輸入與假設!$C$206)</f>
        <v>125.560063662009</v>
      </c>
    </row>
    <row r="106" customFormat="false" ht="15" hidden="false" customHeight="false" outlineLevel="1" collapsed="false">
      <c r="A106" s="3" t="s">
        <v>1628</v>
      </c>
      <c r="B106" s="89" t="n">
        <v>7</v>
      </c>
      <c r="C106" s="12" t="n">
        <f aca="false">C48*IF(C30=1,0,輸入與假設!$C$206)+C99*IF(C30=1,1,1-輸入與假設!$C$206)</f>
        <v>140.523477362753</v>
      </c>
      <c r="D106" s="12" t="n">
        <f aca="false">C48*IF(C30=1,0,輸入與假設!$C$206)+D99*IF(C30=1,1,1-輸入與假設!$C$206)</f>
        <v>154.516252103218</v>
      </c>
      <c r="E106" s="12" t="n">
        <f aca="false">C48*IF(C30=1,0,輸入與假設!$C$206)+E99*IF(C30=1,1,1-輸入與假設!$C$206)</f>
        <v>146.572768614343</v>
      </c>
      <c r="F106" s="12" t="n">
        <f aca="false">C48*IF(C30=1,0,輸入與假設!$C$206)+F99*IF(C30=1,1,1-輸入與假設!$C$206)</f>
        <v>132.819509290467</v>
      </c>
    </row>
  </sheetData>
  <conditionalFormatting sqref="C95:F99">
    <cfRule type="cellIs" priority="2" operator="greaterThanOrEqual" aboveAverage="0" equalAverage="0" bottom="0" percent="0" rank="0" text="" dxfId="0">
      <formula>輸入與假設!$C$175</formula>
    </cfRule>
  </conditionalFormatting>
  <conditionalFormatting sqref="C102:F106">
    <cfRule type="cellIs" priority="3" operator="greaterThanOrEqual" aboveAverage="0" equalAverage="0" bottom="0" percent="0" rank="0" text="" dxfId="0">
      <formula>輸入與假設!$C$175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1629</v>
      </c>
    </row>
    <row r="2" customFormat="false" ht="15" hidden="false" customHeight="false" outlineLevel="0" collapsed="false">
      <c r="A2" s="6" t="s">
        <v>1630</v>
      </c>
    </row>
    <row r="4" customFormat="false" ht="15" hidden="false" customHeight="false" outlineLevel="0" collapsed="false">
      <c r="A4" s="46" t="s">
        <v>1631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1564</v>
      </c>
      <c r="B5" s="90" t="n">
        <f aca="false">輸入與假設!$C$175</f>
        <v>144.77</v>
      </c>
    </row>
    <row r="6" customFormat="false" ht="15" hidden="false" customHeight="false" outlineLevel="1" collapsed="false">
      <c r="A6" s="3" t="s">
        <v>1632</v>
      </c>
      <c r="B6" s="90" t="n">
        <f aca="false">評價_DCF與目標價!C26</f>
        <v>64.6411394492562</v>
      </c>
    </row>
    <row r="7" customFormat="false" ht="15" hidden="false" customHeight="false" outlineLevel="1" collapsed="false">
      <c r="A7" s="2" t="s">
        <v>1633</v>
      </c>
      <c r="B7" s="87" t="n">
        <f aca="false">B6-B5</f>
        <v>-80.1288605507438</v>
      </c>
    </row>
    <row r="8" customFormat="false" ht="15" hidden="false" customHeight="false" outlineLevel="1" collapsed="false">
      <c r="A8" s="3" t="s">
        <v>1634</v>
      </c>
      <c r="B8" s="91" t="n">
        <f aca="false">輸入與假設!$C$39</f>
        <v>1</v>
      </c>
      <c r="C8" s="91" t="n">
        <f aca="false">輸入與假設!$C$107</f>
        <v>1</v>
      </c>
    </row>
    <row r="10" customFormat="false" ht="15" hidden="false" customHeight="false" outlineLevel="0" collapsed="false">
      <c r="A10" s="46" t="s">
        <v>1635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1636</v>
      </c>
    </row>
    <row r="12" customFormat="false" ht="15" hidden="false" customHeight="false" outlineLevel="1" collapsed="false">
      <c r="A12" s="6" t="s">
        <v>1637</v>
      </c>
    </row>
    <row r="13" customFormat="false" ht="15" hidden="false" customHeight="false" outlineLevel="1" collapsed="false">
      <c r="A13" s="6" t="s">
        <v>1638</v>
      </c>
    </row>
    <row r="14" customFormat="false" ht="15" hidden="false" customHeight="false" outlineLevel="1" collapsed="false">
      <c r="A14" s="6" t="s">
        <v>1639</v>
      </c>
    </row>
    <row r="16" customFormat="false" ht="15" hidden="false" customHeight="false" outlineLevel="0" collapsed="false">
      <c r="A16" s="46" t="s">
        <v>1640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1641</v>
      </c>
      <c r="B17" s="14" t="s">
        <v>1642</v>
      </c>
      <c r="C17" s="14" t="s">
        <v>1643</v>
      </c>
      <c r="D17" s="14" t="s">
        <v>1644</v>
      </c>
      <c r="G17" s="14" t="s">
        <v>1645</v>
      </c>
    </row>
    <row r="18" customFormat="false" ht="15" hidden="false" customHeight="false" outlineLevel="1" collapsed="false">
      <c r="A18" s="4" t="s">
        <v>1646</v>
      </c>
      <c r="B18" s="92" t="n">
        <v>17.4</v>
      </c>
      <c r="C18" s="92" t="n">
        <v>23.7781</v>
      </c>
      <c r="D18" s="55" t="n">
        <v>0.3666</v>
      </c>
      <c r="G18" s="11" t="s">
        <v>1647</v>
      </c>
    </row>
    <row r="19" customFormat="false" ht="15" hidden="false" customHeight="false" outlineLevel="1" collapsed="false">
      <c r="A19" s="3" t="s">
        <v>1648</v>
      </c>
      <c r="B19" s="92" t="n">
        <v>37.59</v>
      </c>
      <c r="C19" s="92" t="n">
        <v>16.3658</v>
      </c>
      <c r="D19" s="55" t="n">
        <v>-0.5646</v>
      </c>
      <c r="G19" s="11" t="s">
        <v>1649</v>
      </c>
    </row>
    <row r="20" customFormat="false" ht="15" hidden="false" customHeight="false" outlineLevel="1" collapsed="false">
      <c r="A20" s="3" t="s">
        <v>279</v>
      </c>
      <c r="B20" s="55" t="n">
        <v>0.47</v>
      </c>
      <c r="C20" s="55" t="n">
        <v>0.7407</v>
      </c>
      <c r="D20" s="55" t="n">
        <v>0.2707</v>
      </c>
      <c r="G20" s="11" t="s">
        <v>1650</v>
      </c>
    </row>
    <row r="21" customFormat="false" ht="15" hidden="false" customHeight="false" outlineLevel="1" collapsed="false">
      <c r="A21" s="3" t="s">
        <v>1651</v>
      </c>
      <c r="B21" s="92" t="n">
        <v>17.4</v>
      </c>
      <c r="C21" s="92" t="n">
        <v>17.4201</v>
      </c>
      <c r="D21" s="55" t="n">
        <v>0.0012</v>
      </c>
      <c r="G21" s="6" t="s">
        <v>1652</v>
      </c>
    </row>
    <row r="23" customFormat="false" ht="15" hidden="false" customHeight="false" outlineLevel="0" collapsed="false">
      <c r="A23" s="46" t="s">
        <v>1653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1654</v>
      </c>
      <c r="B24" s="93" t="n">
        <v>0.35</v>
      </c>
      <c r="C24" s="93" t="n">
        <v>0.47</v>
      </c>
      <c r="D24" s="93" t="n">
        <v>0.59</v>
      </c>
      <c r="E24" s="93" t="n">
        <v>0.7</v>
      </c>
      <c r="I24" s="6" t="s">
        <v>1655</v>
      </c>
    </row>
    <row r="25" customFormat="false" ht="15" hidden="false" customHeight="false" outlineLevel="1" collapsed="false">
      <c r="A25" s="4" t="s">
        <v>1656</v>
      </c>
      <c r="B25" s="92" t="n">
        <v>24.16</v>
      </c>
      <c r="C25" s="92" t="n">
        <v>20.23</v>
      </c>
      <c r="D25" s="92" t="n">
        <v>17.41</v>
      </c>
      <c r="E25" s="92" t="n">
        <v>15.43</v>
      </c>
    </row>
    <row r="26" customFormat="false" ht="15" hidden="false" customHeight="false" outlineLevel="1" collapsed="false">
      <c r="A26" s="4" t="s">
        <v>1657</v>
      </c>
      <c r="B26" s="92" t="n">
        <v>25.44</v>
      </c>
      <c r="C26" s="92" t="n">
        <v>21.3</v>
      </c>
      <c r="D26" s="92" t="n">
        <v>18.33</v>
      </c>
      <c r="E26" s="92" t="n">
        <v>16.24</v>
      </c>
    </row>
    <row r="27" customFormat="false" ht="15" hidden="false" customHeight="false" outlineLevel="1" collapsed="false">
      <c r="A27" s="4" t="s">
        <v>1658</v>
      </c>
      <c r="B27" s="92" t="n">
        <v>26.85</v>
      </c>
      <c r="C27" s="92" t="n">
        <v>22.49</v>
      </c>
      <c r="D27" s="92" t="n">
        <v>19.34</v>
      </c>
      <c r="E27" s="92" t="n">
        <v>17.15</v>
      </c>
    </row>
    <row r="28" customFormat="false" ht="15" hidden="false" customHeight="false" outlineLevel="1" collapsed="false">
      <c r="A28" s="4" t="s">
        <v>1659</v>
      </c>
      <c r="B28" s="92" t="n">
        <v>28.39</v>
      </c>
      <c r="C28" s="94" t="n">
        <v>23.78</v>
      </c>
      <c r="D28" s="92" t="n">
        <v>20.45</v>
      </c>
      <c r="E28" s="92" t="n">
        <v>18.13</v>
      </c>
    </row>
    <row r="29" customFormat="false" ht="15" hidden="false" customHeight="false" outlineLevel="1" collapsed="false">
      <c r="A29" s="4" t="s">
        <v>1660</v>
      </c>
      <c r="B29" s="92" t="n">
        <v>29.93</v>
      </c>
      <c r="C29" s="92" t="n">
        <v>25.07</v>
      </c>
      <c r="D29" s="92" t="n">
        <v>21.56</v>
      </c>
      <c r="E29" s="92" t="n">
        <v>19.11</v>
      </c>
    </row>
    <row r="30" customFormat="false" ht="15" hidden="false" customHeight="false" outlineLevel="1" collapsed="false">
      <c r="A30" s="6" t="s">
        <v>1661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1662</v>
      </c>
    </row>
    <row r="2" customFormat="false" ht="15" hidden="false" customHeight="false" outlineLevel="0" collapsed="false">
      <c r="A2" s="11" t="s">
        <v>1663</v>
      </c>
    </row>
    <row r="4" customFormat="false" ht="17.15" hidden="false" customHeight="false" outlineLevel="0" collapsed="false">
      <c r="A4" s="14" t="s">
        <v>1664</v>
      </c>
      <c r="B4" s="14" t="s">
        <v>1665</v>
      </c>
      <c r="C4" s="14" t="s">
        <v>1666</v>
      </c>
      <c r="D4" s="15" t="s">
        <v>1667</v>
      </c>
      <c r="E4" s="15" t="s">
        <v>1668</v>
      </c>
      <c r="F4" s="95" t="s">
        <v>1669</v>
      </c>
      <c r="G4" s="14" t="s">
        <v>1670</v>
      </c>
      <c r="H4" s="15" t="s">
        <v>1671</v>
      </c>
      <c r="I4" s="15" t="s">
        <v>1672</v>
      </c>
      <c r="J4" s="14" t="s">
        <v>1673</v>
      </c>
      <c r="K4" s="14" t="s">
        <v>616</v>
      </c>
    </row>
    <row r="5" customFormat="false" ht="15" hidden="false" customHeight="false" outlineLevel="0" collapsed="false">
      <c r="A5" s="4" t="s">
        <v>1674</v>
      </c>
      <c r="B5" s="25" t="n">
        <v>49.11</v>
      </c>
      <c r="C5" s="25" t="n">
        <v>46.03</v>
      </c>
      <c r="D5" s="54" t="n">
        <f aca="false">B5+C5</f>
        <v>95.14</v>
      </c>
      <c r="E5" s="25" t="n">
        <v>7.59</v>
      </c>
      <c r="F5" s="96" t="n">
        <f aca="false">D5/E5</f>
        <v>12.5349143610013</v>
      </c>
      <c r="G5" s="97" t="n">
        <f aca="false">(D5+16.54)/E5</f>
        <v>14.7140974967062</v>
      </c>
      <c r="H5" s="25" t="n">
        <f aca="false">-0.231+3.991</f>
        <v>3.76</v>
      </c>
      <c r="I5" s="97" t="n">
        <f aca="false">IF(H5&gt;0,D5/H5,"n/m")</f>
        <v>25.3031914893617</v>
      </c>
      <c r="J5" s="11" t="s">
        <v>1675</v>
      </c>
      <c r="K5" s="6" t="s">
        <v>1676</v>
      </c>
    </row>
    <row r="6" customFormat="false" ht="15" hidden="false" customHeight="false" outlineLevel="0" collapsed="false">
      <c r="A6" s="4" t="s">
        <v>1677</v>
      </c>
      <c r="B6" s="25" t="n">
        <v>68.49</v>
      </c>
      <c r="C6" s="25" t="n">
        <v>2.15</v>
      </c>
      <c r="D6" s="54" t="n">
        <f aca="false">B6+C6</f>
        <v>70.64</v>
      </c>
      <c r="E6" s="25" t="n">
        <v>1.36</v>
      </c>
      <c r="F6" s="96" t="n">
        <f aca="false">D6/E6</f>
        <v>51.9411764705882</v>
      </c>
      <c r="G6" s="97" t="n">
        <f aca="false">(D6+1.6253)/E6</f>
        <v>53.13625</v>
      </c>
      <c r="H6" s="25" t="n">
        <f aca="false">-0.612+0.418</f>
        <v>-0.194</v>
      </c>
      <c r="I6" s="97" t="str">
        <f aca="false">IF(H6&gt;0,D6/H6,"n/m")</f>
        <v>n/m</v>
      </c>
      <c r="J6" s="6" t="s">
        <v>1678</v>
      </c>
      <c r="K6" s="6" t="s">
        <v>1679</v>
      </c>
    </row>
    <row r="7" customFormat="false" ht="15" hidden="false" customHeight="false" outlineLevel="0" collapsed="false">
      <c r="A7" s="4" t="s">
        <v>1680</v>
      </c>
      <c r="B7" s="25" t="n">
        <v>18.61</v>
      </c>
      <c r="C7" s="25" t="n">
        <v>1.7</v>
      </c>
      <c r="D7" s="54" t="n">
        <f aca="false">B7+C7</f>
        <v>20.31</v>
      </c>
      <c r="E7" s="25" t="n">
        <v>0.707</v>
      </c>
      <c r="F7" s="96" t="n">
        <f aca="false">D7/E7</f>
        <v>28.7270155586987</v>
      </c>
      <c r="G7" s="97" t="n">
        <f aca="false">(D7+0.003)/E7</f>
        <v>28.7312588401697</v>
      </c>
      <c r="H7" s="25" t="n">
        <f aca="false">-1.047+0.418</f>
        <v>-0.629</v>
      </c>
      <c r="I7" s="97" t="str">
        <f aca="false">IF(H7&gt;0,D7/H7,"n/m")</f>
        <v>n/m</v>
      </c>
      <c r="J7" s="11" t="s">
        <v>1681</v>
      </c>
      <c r="K7" s="6" t="s">
        <v>1682</v>
      </c>
    </row>
    <row r="8" customFormat="false" ht="15" hidden="false" customHeight="false" outlineLevel="0" collapsed="false">
      <c r="A8" s="4" t="s">
        <v>1683</v>
      </c>
      <c r="B8" s="25" t="n">
        <v>8.22</v>
      </c>
      <c r="C8" s="25" t="n">
        <v>3.37</v>
      </c>
      <c r="D8" s="54" t="n">
        <f aca="false">B8+C8</f>
        <v>11.59</v>
      </c>
      <c r="E8" s="25" t="n">
        <v>0.6113</v>
      </c>
      <c r="F8" s="96" t="n">
        <f aca="false">D8/E8</f>
        <v>18.9595943072141</v>
      </c>
      <c r="G8" s="97" t="n">
        <f aca="false">(D8+0.066)/E8</f>
        <v>19.0675609357108</v>
      </c>
      <c r="H8" s="25" t="n">
        <f aca="false">-0.236+0.067</f>
        <v>-0.169</v>
      </c>
      <c r="I8" s="97" t="str">
        <f aca="false">IF(H8&gt;0,D8/H8,"n/m")</f>
        <v>n/m</v>
      </c>
      <c r="J8" s="11" t="s">
        <v>1684</v>
      </c>
      <c r="K8" s="6" t="s">
        <v>1685</v>
      </c>
    </row>
    <row r="9" customFormat="false" ht="15" hidden="false" customHeight="false" outlineLevel="0" collapsed="false">
      <c r="A9" s="4" t="s">
        <v>1686</v>
      </c>
      <c r="B9" s="25" t="n">
        <v>5.9</v>
      </c>
      <c r="C9" s="25" t="n">
        <v>2.53</v>
      </c>
      <c r="D9" s="54" t="n">
        <f aca="false">B9+C9</f>
        <v>8.43</v>
      </c>
      <c r="E9" s="25" t="n">
        <v>0.4403</v>
      </c>
      <c r="F9" s="96" t="n">
        <f aca="false">D9/E9</f>
        <v>19.1460367930956</v>
      </c>
      <c r="G9" s="97" t="n">
        <f aca="false">(D9+0.109)/E9</f>
        <v>19.3935952759482</v>
      </c>
      <c r="H9" s="25" t="n">
        <f aca="false">-0.561+0.063</f>
        <v>-0.498</v>
      </c>
      <c r="I9" s="97" t="str">
        <f aca="false">IF(H9&gt;0,D9/H9,"n/m")</f>
        <v>n/m</v>
      </c>
      <c r="J9" s="11" t="s">
        <v>1687</v>
      </c>
      <c r="K9" s="6" t="s">
        <v>1688</v>
      </c>
    </row>
    <row r="10" customFormat="false" ht="15" hidden="false" customHeight="false" outlineLevel="0" collapsed="false">
      <c r="A10" s="2" t="s">
        <v>1689</v>
      </c>
      <c r="F10" s="79" t="n">
        <f aca="false">MEDIAN(F5:F9)</f>
        <v>19.1460367930956</v>
      </c>
      <c r="G10" s="98" t="n">
        <f aca="false">MEDIAN(G5:G9)</f>
        <v>19.3935952759482</v>
      </c>
    </row>
    <row r="11" customFormat="false" ht="15" hidden="false" customHeight="false" outlineLevel="0" collapsed="false">
      <c r="A11" s="80" t="s">
        <v>1690</v>
      </c>
      <c r="B11" s="77" t="n">
        <v>437.75</v>
      </c>
      <c r="C11" s="78" t="n">
        <f aca="false">輸入與假設!$C$177+SUMPRODUCT(資產負債_既有債務!$C$73:$C$73*(1-資產負債_既有債務!$H$69:$H$69))+輸入與假設!$C$179</f>
        <v>88.827</v>
      </c>
      <c r="D11" s="52" t="n">
        <f aca="false">B11+C11</f>
        <v>526.577</v>
      </c>
      <c r="E11" s="77" t="n">
        <v>71.777</v>
      </c>
      <c r="F11" s="79" t="n">
        <f aca="false">D11/E11</f>
        <v>7.33629156972289</v>
      </c>
      <c r="G11" s="98" t="n">
        <f aca="false">(D11+34.621)/E11</f>
        <v>7.81863270964236</v>
      </c>
      <c r="H11" s="77" t="n">
        <f aca="false">23.056+10.881</f>
        <v>33.937</v>
      </c>
      <c r="I11" s="98" t="n">
        <f aca="false">IF(H11&gt;0,D11/H11,"n/m")</f>
        <v>15.5163096325544</v>
      </c>
      <c r="J11" s="11" t="s">
        <v>1691</v>
      </c>
      <c r="K11" s="11" t="s">
        <v>1692</v>
      </c>
    </row>
    <row r="12" customFormat="false" ht="15" hidden="false" customHeight="false" outlineLevel="0" collapsed="false">
      <c r="A12" s="4" t="s">
        <v>1693</v>
      </c>
      <c r="B12" s="52" t="n">
        <f aca="false">輸入與假設!$C$175*評價_DCF與目標價!$C$69</f>
        <v>447.19080733252</v>
      </c>
      <c r="C12" s="52" t="n">
        <f aca="false">評價_DCF與目標價!$C$70</f>
        <v>88.827</v>
      </c>
      <c r="D12" s="52" t="n">
        <f aca="false">B12+C12</f>
        <v>536.01780733252</v>
      </c>
      <c r="E12" s="78" t="n">
        <f aca="false">損益!D9</f>
        <v>136.55822205094</v>
      </c>
      <c r="F12" s="98" t="n">
        <f aca="false">D12/E12</f>
        <v>3.9251961491749</v>
      </c>
      <c r="G12" s="98" t="n">
        <f aca="false">(D12+34.621)/E12</f>
        <v>4.17872171123945</v>
      </c>
      <c r="H12" s="78" t="n">
        <f aca="false">損益!D21</f>
        <v>81.1755372872459</v>
      </c>
      <c r="I12" s="98" t="n">
        <f aca="false">D12/H12</f>
        <v>6.60319383456348</v>
      </c>
      <c r="K12" s="6" t="s">
        <v>1694</v>
      </c>
    </row>
    <row r="14" customFormat="false" ht="15" hidden="false" customHeight="false" outlineLevel="0" collapsed="false">
      <c r="A14" s="6" t="s">
        <v>1695</v>
      </c>
    </row>
    <row r="15" customFormat="false" ht="15" hidden="false" customHeight="false" outlineLevel="0" collapsed="false">
      <c r="A15" s="11" t="s">
        <v>1696</v>
      </c>
    </row>
    <row r="16" customFormat="false" ht="15" hidden="false" customHeight="false" outlineLevel="0" collapsed="false">
      <c r="A16" s="6" t="s">
        <v>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1698</v>
      </c>
    </row>
    <row r="3" customFormat="false" ht="15" hidden="false" customHeight="false" outlineLevel="0" collapsed="false">
      <c r="A3" s="14" t="s">
        <v>1699</v>
      </c>
      <c r="B3" s="14" t="s">
        <v>1700</v>
      </c>
      <c r="C3" s="14" t="s">
        <v>1701</v>
      </c>
      <c r="D3" s="14" t="s">
        <v>1702</v>
      </c>
      <c r="E3" s="14" t="s">
        <v>721</v>
      </c>
    </row>
    <row r="4" customFormat="false" ht="15" hidden="false" customHeight="false" outlineLevel="0" collapsed="false">
      <c r="A4" s="4" t="s">
        <v>196</v>
      </c>
      <c r="B4" s="13" t="n">
        <f aca="false">SUM(輸入與假設!C42:G42)</f>
        <v>0.7975</v>
      </c>
      <c r="C4" s="99" t="n">
        <f aca="false">輸入與假設!$C$34</f>
        <v>0.7975</v>
      </c>
      <c r="D4" s="2" t="str">
        <f aca="false">IF(ABS(B4-C4)&lt;0.0001,"通過","不一致")</f>
        <v>通過</v>
      </c>
      <c r="E4" s="6" t="s">
        <v>1703</v>
      </c>
    </row>
    <row r="5" customFormat="false" ht="15" hidden="false" customHeight="false" outlineLevel="0" collapsed="false">
      <c r="A5" s="3" t="s">
        <v>1704</v>
      </c>
      <c r="B5" s="10" t="n">
        <f aca="false">各期收支!C100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1705</v>
      </c>
    </row>
    <row r="6" customFormat="false" ht="15" hidden="false" customHeight="false" outlineLevel="0" collapsed="false">
      <c r="A6" s="4" t="s">
        <v>1706</v>
      </c>
      <c r="B6" s="9" t="n">
        <f aca="false">運營_產能與收入!G9-運營_產能與收入!G10</f>
        <v>708</v>
      </c>
      <c r="C6" s="11" t="s">
        <v>1707</v>
      </c>
      <c r="D6" s="2" t="str">
        <f aca="false">IF(B6&gt;=0,"通過","不一致")</f>
        <v>通過</v>
      </c>
      <c r="E6" s="6" t="s">
        <v>1708</v>
      </c>
    </row>
    <row r="7" customFormat="false" ht="15" hidden="false" customHeight="false" outlineLevel="0" collapsed="false">
      <c r="A7" s="4" t="s">
        <v>1709</v>
      </c>
      <c r="B7" s="10" t="n">
        <f aca="false">各期收支!C104</f>
        <v>106.09585</v>
      </c>
      <c r="C7" s="11" t="s">
        <v>1710</v>
      </c>
      <c r="D7" s="2" t="str">
        <f aca="false">IF(AND(B7&gt;=90,B7&lt;=95),"通過","觀察")</f>
        <v>觀察</v>
      </c>
      <c r="E7" s="11" t="s">
        <v>1711</v>
      </c>
    </row>
    <row r="8" customFormat="false" ht="15" hidden="false" customHeight="false" outlineLevel="0" collapsed="false">
      <c r="A8" s="4" t="s">
        <v>1712</v>
      </c>
      <c r="B8" s="10" t="n">
        <f aca="false">各期收支!C103</f>
        <v>90.7274948</v>
      </c>
      <c r="C8" s="11" t="s">
        <v>1713</v>
      </c>
      <c r="D8" s="2" t="str">
        <f aca="false">IF(B8&gt;=90,"通過","觀察")</f>
        <v>通過</v>
      </c>
      <c r="E8" s="11" t="s">
        <v>1714</v>
      </c>
    </row>
    <row r="9" customFormat="false" ht="15" hidden="false" customHeight="false" outlineLevel="0" collapsed="false">
      <c r="A9" s="4" t="s">
        <v>1715</v>
      </c>
      <c r="B9" s="44" t="n">
        <f aca="false">SUM(各期收支!C6:G6)/((運營_產能與收入!G9-輸入與假設!$C$36)/1000)/1000*1000</f>
        <v>47.0772211158192</v>
      </c>
      <c r="C9" s="11" t="s">
        <v>1716</v>
      </c>
      <c r="D9" s="2" t="str">
        <f aca="false">IF(AND(B9&gt;=28,B9&lt;=51),"通過","觀察")</f>
        <v>通過</v>
      </c>
      <c r="E9" s="11" t="s">
        <v>1717</v>
      </c>
    </row>
    <row r="10" customFormat="false" ht="15" hidden="false" customHeight="false" outlineLevel="0" collapsed="false">
      <c r="A10" s="3" t="s">
        <v>1718</v>
      </c>
      <c r="B10" s="16" t="n">
        <f aca="false">資產負債_租賃承諾!C23</f>
        <v>1</v>
      </c>
      <c r="C10" s="11" t="s">
        <v>1719</v>
      </c>
      <c r="D10" s="2" t="str">
        <f aca="false">IF(B10&gt;=0.8,"通過","不一致")</f>
        <v>通過</v>
      </c>
      <c r="E10" s="6" t="s">
        <v>1720</v>
      </c>
    </row>
    <row r="11" customFormat="false" ht="15" hidden="false" customHeight="false" outlineLevel="0" collapsed="false">
      <c r="A11" s="4" t="s">
        <v>1721</v>
      </c>
      <c r="B11" s="10" t="n">
        <f aca="false">各期收支!C105</f>
        <v>6.30096252972893</v>
      </c>
      <c r="C11" s="11" t="s">
        <v>1722</v>
      </c>
      <c r="D11" s="2" t="str">
        <f aca="false">IF(B11&gt;=1.4,"通過","觀察")</f>
        <v>通過</v>
      </c>
      <c r="E11" s="6" t="str">
        <f aca="false">"1Q 實際 1.428＋2Q–4Q 模型 "&amp;TEXT(各期收支!C17,"0.0")&amp;"；公司未提供季度利息指引（不適用）"</f>
        <v>1Q 實際 1.428＋2Q–4Q 模型 4.5；公司未提供季度利息指引（不適用）</v>
      </c>
    </row>
    <row r="12" customFormat="false" ht="15" hidden="false" customHeight="false" outlineLevel="0" collapsed="false">
      <c r="A12" s="4" t="s">
        <v>1723</v>
      </c>
      <c r="B12" s="29" t="n">
        <f aca="false">SUM(運營_產能與收入!E23:G23)/SUM(運營_產能與收入!E25:G25)</f>
        <v>0.12375207290009</v>
      </c>
      <c r="C12" s="11" t="s">
        <v>1724</v>
      </c>
      <c r="D12" s="2" t="str">
        <f aca="false">IF(B12&lt;0.5,"通過","觀察")</f>
        <v>通過</v>
      </c>
      <c r="E12" s="11" t="s">
        <v>1725</v>
      </c>
    </row>
    <row r="13" customFormat="false" ht="15" hidden="false" customHeight="false" outlineLevel="0" collapsed="false">
      <c r="A13" s="3" t="s">
        <v>1726</v>
      </c>
      <c r="B13" s="52" t="n">
        <f aca="false">損益!D6-運營_產能與收入!D25</f>
        <v>0</v>
      </c>
      <c r="C13" s="6" t="n">
        <f aca="false">0</f>
        <v>0</v>
      </c>
      <c r="D13" s="2" t="str">
        <f aca="false">IF(ABS(B13)&lt;0.001,"通過","不一致")</f>
        <v>通過</v>
      </c>
      <c r="E13" s="11" t="s">
        <v>1727</v>
      </c>
    </row>
    <row r="14" customFormat="false" ht="15" hidden="false" customHeight="false" outlineLevel="0" collapsed="false">
      <c r="A14" s="3" t="s">
        <v>1529</v>
      </c>
      <c r="B14" s="13" t="n">
        <f aca="false">評價_DCF與目標價!C27</f>
        <v>0.769719601264651</v>
      </c>
      <c r="C14" s="6" t="str">
        <f aca="false">"&lt;"&amp;IF(ROUND(ABS(輸入與假設!$C$237)*100,4)=INT(ROUND(ABS(輸入與假設!$C$237)*100,4)),TEXT(ROUND(ABS(輸入與假設!$C$237)*100,4),"0"),TEXT(ROUND(ABS(輸入與假設!$C$237)*100,4),"0.0"))&amp;"%"</f>
        <v>&lt;85%</v>
      </c>
      <c r="D14" s="2" t="str">
        <f aca="false">IF(B14&lt;輸入與假設!$C$237,"通過","觀察")</f>
        <v>通過</v>
      </c>
      <c r="E14" s="6" t="s">
        <v>1728</v>
      </c>
    </row>
    <row r="15" customFormat="false" ht="15" hidden="false" customHeight="false" outlineLevel="0" collapsed="false">
      <c r="A15" s="4" t="s">
        <v>1729</v>
      </c>
      <c r="B15" s="100" t="n">
        <f aca="false">(損益!D21-輸入與假設!D83-輸入與假設!D51)/(損益!D6+損益!D7)-輸入與假設!D93</f>
        <v>0</v>
      </c>
      <c r="C15" s="6" t="n">
        <f aca="false">0</f>
        <v>0</v>
      </c>
      <c r="D15" s="2" t="str">
        <f aca="false">IF(ABS(B15)&lt;0.0001,"通過","不一致")</f>
        <v>通過</v>
      </c>
      <c r="E15" s="6" t="s">
        <v>1730</v>
      </c>
    </row>
    <row r="16" customFormat="false" ht="15" hidden="false" customHeight="false" outlineLevel="0" collapsed="false">
      <c r="A16" s="3" t="s">
        <v>1731</v>
      </c>
      <c r="B16" s="52" t="n">
        <f aca="false">(運營_產能與收入!D39+運營_產能與收入!D40+輸入與假設!D94+輸入與假設!D51+輸入與假設!D83-各期收支!D16)+(運營_產能與收入!D34+運營_產能與收入!D23*輸入與假設!D48*(1-輸入與假設!D49))*運營_產能與收入!D38-損益!D21</f>
        <v>0</v>
      </c>
      <c r="C16" s="6" t="n">
        <f aca="false">0</f>
        <v>0</v>
      </c>
      <c r="D16" s="2" t="str">
        <f aca="false">IF(ABS(B16)&lt;0.001,"通過","不一致")</f>
        <v>通過</v>
      </c>
      <c r="E16" s="6" t="s">
        <v>1732</v>
      </c>
    </row>
    <row r="17" customFormat="false" ht="15" hidden="false" customHeight="false" outlineLevel="0" collapsed="false">
      <c r="A17" s="4" t="s">
        <v>1733</v>
      </c>
      <c r="B17" s="44" t="n">
        <f aca="false">評價_DCF與目標價!C30</f>
        <v>0</v>
      </c>
      <c r="C17" s="11" t="s">
        <v>1734</v>
      </c>
      <c r="D17" s="2" t="str">
        <f aca="false">IF(B17=0,"通過","觀察")</f>
        <v>通過</v>
      </c>
      <c r="E17" s="6" t="s">
        <v>1735</v>
      </c>
    </row>
    <row r="18" customFormat="false" ht="15" hidden="false" customHeight="false" outlineLevel="0" collapsed="false">
      <c r="A18" s="3" t="s">
        <v>1736</v>
      </c>
      <c r="B18" s="52" t="n">
        <f aca="false">MIN(各期收支!C51:G51)</f>
        <v>10</v>
      </c>
      <c r="C18" s="11" t="s">
        <v>1737</v>
      </c>
      <c r="D18" s="2" t="str">
        <f aca="false">IF(B18&gt;=9.999,"通過","不一致")</f>
        <v>通過</v>
      </c>
      <c r="E18" s="6" t="s">
        <v>1738</v>
      </c>
    </row>
    <row r="19" customFormat="false" ht="15" hidden="false" customHeight="false" outlineLevel="0" collapsed="false">
      <c r="A19" s="3" t="s">
        <v>1739</v>
      </c>
      <c r="B19" s="98" t="n">
        <f aca="false">SUM(各期收支!C76:G76)/(輸入與假設!$C$175*輸入與假設!$C$176)</f>
        <v>0</v>
      </c>
      <c r="C19" s="6" t="str">
        <f aca="false">"≤"&amp;IF(輸入與假設!$C$234=INT(輸入與假設!$C$234),TEXT(輸入與假設!$C$234,"0"),TEXT(輸入與假設!$C$234,"0.0"))&amp;"x"</f>
        <v>≤1.5x</v>
      </c>
      <c r="D19" s="2" t="str">
        <f aca="false">IF(B19&lt;=輸入與假設!$C$234,"通過","觀察")</f>
        <v>通過</v>
      </c>
      <c r="E19" s="6" t="str">
        <f aca="false">"超過 "&amp;IF(輸入與假設!$C$234=INT(輸入與假設!$C$234),TEXT(輸入與假設!$C$234,"0"),TEXT(輸入與假設!$C$234,"0.0"))&amp;"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1740</v>
      </c>
      <c r="B20" s="52" t="n">
        <f aca="false">資產負債_既有債務!E62+SUMPRODUCT(資產負債_既有債務!$C$73:$C$73*(1-資產負債_既有債務!$H$69:$H$69))</f>
        <v>125.904</v>
      </c>
      <c r="C20" s="11" t="s">
        <v>1741</v>
      </c>
      <c r="D20" s="2" t="str">
        <f aca="false">IF(ABS(B20-125.904)&lt;0.01,"通過","不一致")</f>
        <v>通過</v>
      </c>
      <c r="E20" s="6" t="s">
        <v>1742</v>
      </c>
    </row>
    <row r="21" customFormat="false" ht="15" hidden="false" customHeight="false" outlineLevel="0" collapsed="false">
      <c r="A21" s="4" t="s">
        <v>1743</v>
      </c>
      <c r="B21" s="52" t="n">
        <f aca="false">輸入與假設!C127</f>
        <v>106.09585</v>
      </c>
      <c r="C21" s="11" t="s">
        <v>1710</v>
      </c>
      <c r="D21" s="2" t="str">
        <f aca="false">IF(AND(B21&gt;=90,B21&lt;=95),"通過","觀察")</f>
        <v>觀察</v>
      </c>
      <c r="E21" s="6" t="s">
        <v>1744</v>
      </c>
    </row>
    <row r="22" customFormat="false" ht="15" hidden="false" customHeight="false" outlineLevel="0" collapsed="false">
      <c r="A22" s="4" t="s">
        <v>1745</v>
      </c>
      <c r="B22" s="52" t="n">
        <f aca="false">SUM(輸入與假設!C120:G120)</f>
        <v>0</v>
      </c>
      <c r="C22" s="6" t="n">
        <f aca="false">0</f>
        <v>0</v>
      </c>
      <c r="D22" s="2" t="str">
        <f aca="false">IF(ABS(B22-0)&lt;0.01,"通過","不一致")</f>
        <v>通過</v>
      </c>
      <c r="E22" s="6" t="s">
        <v>334</v>
      </c>
    </row>
    <row r="23" customFormat="false" ht="15" hidden="false" customHeight="false" outlineLevel="0" collapsed="false">
      <c r="A23" s="3" t="s">
        <v>1746</v>
      </c>
      <c r="B23" s="52" t="n">
        <f aca="false">運營_站點!G26</f>
        <v>2.50639968906223</v>
      </c>
      <c r="C23" s="6" t="s">
        <v>1747</v>
      </c>
      <c r="D23" s="2" t="str">
        <f aca="false">IF(B23&gt;=運營_站點!$H$10*運營_站點!$C$27*0.8,"通過","觀察")</f>
        <v>通過</v>
      </c>
      <c r="E23" s="6" t="s">
        <v>1748</v>
      </c>
    </row>
    <row r="24" customFormat="false" ht="15" hidden="false" customHeight="false" outlineLevel="0" collapsed="false">
      <c r="A24" s="3" t="s">
        <v>1749</v>
      </c>
      <c r="B24" s="52" t="n">
        <f aca="false">運營_站點!$C$30</f>
        <v>-83.2561176470588</v>
      </c>
      <c r="C24" s="11" t="s">
        <v>1750</v>
      </c>
      <c r="D24" s="2" t="str">
        <f aca="false">IF(B24&lt;10,"通過","觀察")</f>
        <v>通過</v>
      </c>
      <c r="E24" s="6" t="s">
        <v>1751</v>
      </c>
    </row>
    <row r="25" customFormat="false" ht="15" hidden="false" customHeight="false" outlineLevel="0" collapsed="false">
      <c r="A25" s="3" t="s">
        <v>1752</v>
      </c>
      <c r="B25" s="10" t="n">
        <f aca="false">664*0.5-SUM(運營_產能與收入!C28:G28)</f>
        <v>60.679625</v>
      </c>
      <c r="C25" s="6" t="s">
        <v>1753</v>
      </c>
      <c r="D25" s="2" t="str">
        <f aca="false">"對照"</f>
        <v>對照</v>
      </c>
      <c r="E25" s="11" t="s">
        <v>1754</v>
      </c>
    </row>
    <row r="26" customFormat="false" ht="15" hidden="false" customHeight="false" outlineLevel="0" collapsed="false">
      <c r="A26" s="3" t="s">
        <v>1755</v>
      </c>
      <c r="B26" s="10" t="n">
        <f aca="false">輸入與假設!$C$84</f>
        <v>0</v>
      </c>
      <c r="C26" s="6" t="n">
        <f aca="false">0</f>
        <v>0</v>
      </c>
      <c r="D26" s="2" t="str">
        <f aca="false">IF(ABS(B26)&lt;0.000001,"通過","不一致")</f>
        <v>通過</v>
      </c>
      <c r="E26" s="6" t="s">
        <v>1756</v>
      </c>
    </row>
    <row r="27" customFormat="false" ht="15" hidden="false" customHeight="false" outlineLevel="0" collapsed="false">
      <c r="A27" s="3" t="s">
        <v>1757</v>
      </c>
      <c r="B27" s="10" t="n">
        <f aca="false">SUM(運營_產能與收入!C26:G26)</f>
        <v>0</v>
      </c>
      <c r="C27" s="6" t="n">
        <f aca="false">0</f>
        <v>0</v>
      </c>
      <c r="D27" s="2" t="str">
        <f aca="false">IF(ABS(B27)&lt;0.000001,"通過","不一致")</f>
        <v>通過</v>
      </c>
      <c r="E27" s="11" t="s">
        <v>1758</v>
      </c>
    </row>
    <row r="29" customFormat="false" ht="15" hidden="false" customHeight="false" outlineLevel="0" collapsed="false">
      <c r="A29" s="2" t="s">
        <v>1759</v>
      </c>
    </row>
    <row r="30" customFormat="false" ht="15" hidden="false" customHeight="false" outlineLevel="0" collapsed="false">
      <c r="A30" s="3" t="s">
        <v>1760</v>
      </c>
      <c r="B30" s="10" t="n">
        <f aca="false">SUM(運營_產能與收入!C17:G17)</f>
        <v>529.54</v>
      </c>
    </row>
    <row r="31" customFormat="false" ht="15" hidden="false" customHeight="false" outlineLevel="0" collapsed="false">
      <c r="A31" s="3" t="s">
        <v>1761</v>
      </c>
      <c r="B31" s="10" t="n">
        <f aca="false">SUM(運營_產能與收入!C19:G19)</f>
        <v>64.304175</v>
      </c>
    </row>
    <row r="32" customFormat="false" ht="15" hidden="false" customHeight="false" outlineLevel="0" collapsed="false">
      <c r="A32" s="3" t="s">
        <v>1762</v>
      </c>
      <c r="B32" s="10" t="n">
        <f aca="false">SUM(運營_產能與收入!C23:G23)</f>
        <v>49.5062</v>
      </c>
    </row>
    <row r="33" customFormat="false" ht="15" hidden="false" customHeight="false" outlineLevel="0" collapsed="false">
      <c r="A33" s="3" t="s">
        <v>1763</v>
      </c>
      <c r="B33" s="10" t="n">
        <f aca="false">SUM(輸入與假設!C135:G135)</f>
        <v>304.8077255</v>
      </c>
    </row>
    <row r="34" customFormat="false" ht="15" hidden="false" customHeight="false" outlineLevel="0" collapsed="false">
      <c r="A34" s="3" t="s">
        <v>1764</v>
      </c>
      <c r="B34" s="10" t="n">
        <f aca="false">SUM(各期收支!C16:G16)</f>
        <v>83.2561176470588</v>
      </c>
    </row>
    <row r="35" customFormat="false" ht="15" hidden="false" customHeight="false" outlineLevel="0" collapsed="false">
      <c r="A35" s="3" t="s">
        <v>1765</v>
      </c>
      <c r="B35" s="10" t="n">
        <f aca="false">SUM(各期收支!C21:G21)</f>
        <v>32.5980398522152</v>
      </c>
    </row>
    <row r="36" customFormat="false" ht="15" hidden="false" customHeight="false" outlineLevel="0" collapsed="false">
      <c r="A36" s="3" t="s">
        <v>1766</v>
      </c>
      <c r="B36" s="10" t="n">
        <f aca="false">SUM(輸入與假設!C170:G170)*輸入與假設!$C$144+SUM(資產負債_既有債務!C84:G84)</f>
        <v>35.654</v>
      </c>
    </row>
    <row r="37" customFormat="false" ht="15" hidden="false" customHeight="false" outlineLevel="0" collapsed="false">
      <c r="A37" s="3" t="s">
        <v>1767</v>
      </c>
      <c r="B37" s="10" t="n">
        <f aca="false">SUM(各期收支!C49:G49)-(輸入與假設!$C$241-輸入與假設!$C$242-輸入與假設!$C$244-輸入與假設!$C$259)</f>
        <v>50.7940519924511</v>
      </c>
    </row>
    <row r="38" customFormat="false" ht="15" hidden="false" customHeight="false" outlineLevel="0" collapsed="false">
      <c r="A38" s="4" t="s">
        <v>1768</v>
      </c>
      <c r="B38" s="10" t="n">
        <f aca="false">SUM(各期收支!C49:G49)</f>
        <v>43.8330519924511</v>
      </c>
    </row>
    <row r="39" customFormat="false" ht="15" hidden="false" customHeight="false" outlineLevel="0" collapsed="false">
      <c r="A39" s="3" t="s">
        <v>1381</v>
      </c>
      <c r="B39" s="10" t="n">
        <f aca="false">各期收支!G51</f>
        <v>82.7343887996619</v>
      </c>
    </row>
    <row r="40" customFormat="false" ht="15" hidden="false" customHeight="false" outlineLevel="0" collapsed="false">
      <c r="A40" s="4" t="s">
        <v>1769</v>
      </c>
      <c r="B40" s="12" t="n">
        <f aca="false">評價_DCF與目標價!C26</f>
        <v>64.6411394492562</v>
      </c>
    </row>
    <row r="41" customFormat="false" ht="15" hidden="false" customHeight="false" outlineLevel="0" collapsed="false">
      <c r="A41" s="3" t="s">
        <v>1558</v>
      </c>
      <c r="B41" s="12" t="n">
        <f aca="false">評價_DCF與目標價!C51</f>
        <v>144.526628137328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1770</v>
      </c>
    </row>
    <row r="2" customFormat="false" ht="15" hidden="false" customHeight="false" outlineLevel="0" collapsed="false">
      <c r="A2" s="11" t="s">
        <v>1771</v>
      </c>
    </row>
    <row r="4" customFormat="false" ht="15" hidden="false" customHeight="false" outlineLevel="0" collapsed="false">
      <c r="A4" s="14" t="s">
        <v>1772</v>
      </c>
      <c r="B4" s="14" t="s">
        <v>1773</v>
      </c>
      <c r="C4" s="14" t="s">
        <v>1774</v>
      </c>
      <c r="D4" s="14" t="s">
        <v>1775</v>
      </c>
      <c r="E4" s="14" t="s">
        <v>1776</v>
      </c>
    </row>
    <row r="5" customFormat="false" ht="44" hidden="false" customHeight="false" outlineLevel="0" collapsed="false">
      <c r="A5" s="101" t="s">
        <v>1777</v>
      </c>
      <c r="B5" s="101" t="s">
        <v>1778</v>
      </c>
      <c r="C5" s="102" t="s">
        <v>1779</v>
      </c>
      <c r="D5" s="103" t="s">
        <v>1780</v>
      </c>
      <c r="E5" s="102" t="s">
        <v>1781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1782</v>
      </c>
    </row>
    <row r="3" customFormat="false" ht="15" hidden="false" customHeight="false" outlineLevel="0" collapsed="false">
      <c r="A3" s="14" t="s">
        <v>1783</v>
      </c>
      <c r="B3" s="14" t="s">
        <v>1784</v>
      </c>
    </row>
    <row r="4" customFormat="false" ht="45.75" hidden="false" customHeight="true" outlineLevel="0" collapsed="false">
      <c r="A4" s="80" t="s">
        <v>623</v>
      </c>
      <c r="B4" s="104" t="s">
        <v>1785</v>
      </c>
    </row>
    <row r="5" customFormat="false" ht="45.75" hidden="false" customHeight="true" outlineLevel="0" collapsed="false">
      <c r="A5" s="80" t="s">
        <v>623</v>
      </c>
      <c r="B5" s="102" t="s">
        <v>1786</v>
      </c>
    </row>
    <row r="6" customFormat="false" ht="45.75" hidden="false" customHeight="true" outlineLevel="0" collapsed="false">
      <c r="A6" s="80" t="s">
        <v>623</v>
      </c>
      <c r="B6" s="102" t="s">
        <v>1787</v>
      </c>
    </row>
    <row r="7" customFormat="false" ht="45.75" hidden="false" customHeight="true" outlineLevel="0" collapsed="false">
      <c r="A7" s="80" t="s">
        <v>623</v>
      </c>
      <c r="B7" s="104" t="s">
        <v>1788</v>
      </c>
    </row>
    <row r="8" customFormat="false" ht="45.75" hidden="false" customHeight="true" outlineLevel="0" collapsed="false">
      <c r="A8" s="80" t="s">
        <v>618</v>
      </c>
      <c r="B8" s="104" t="s">
        <v>1789</v>
      </c>
    </row>
    <row r="9" customFormat="false" ht="45.75" hidden="false" customHeight="true" outlineLevel="0" collapsed="false">
      <c r="A9" s="80" t="s">
        <v>623</v>
      </c>
      <c r="B9" s="102" t="s">
        <v>1790</v>
      </c>
    </row>
    <row r="10" customFormat="false" ht="45.75" hidden="false" customHeight="true" outlineLevel="0" collapsed="false">
      <c r="A10" s="80" t="s">
        <v>623</v>
      </c>
      <c r="B10" s="102" t="s">
        <v>1791</v>
      </c>
    </row>
    <row r="11" customFormat="false" ht="45.75" hidden="false" customHeight="true" outlineLevel="0" collapsed="false">
      <c r="A11" s="80" t="s">
        <v>1792</v>
      </c>
      <c r="B11" s="102" t="s">
        <v>1793</v>
      </c>
    </row>
    <row r="12" customFormat="false" ht="45.75" hidden="false" customHeight="true" outlineLevel="0" collapsed="false">
      <c r="A12" s="80" t="s">
        <v>1794</v>
      </c>
      <c r="B12" s="104" t="s">
        <v>1795</v>
      </c>
    </row>
    <row r="13" customFormat="false" ht="45.75" hidden="false" customHeight="true" outlineLevel="0" collapsed="false">
      <c r="A13" s="80" t="s">
        <v>618</v>
      </c>
      <c r="B13" s="102" t="s">
        <v>1796</v>
      </c>
    </row>
    <row r="14" customFormat="false" ht="45.75" hidden="false" customHeight="true" outlineLevel="0" collapsed="false">
      <c r="A14" s="80" t="s">
        <v>623</v>
      </c>
      <c r="B14" s="102" t="s">
        <v>1797</v>
      </c>
    </row>
    <row r="15" customFormat="false" ht="45.75" hidden="false" customHeight="true" outlineLevel="0" collapsed="false">
      <c r="A15" s="2" t="s">
        <v>1798</v>
      </c>
      <c r="B15" s="102" t="s">
        <v>1799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2026-10-07T17:25:16Z</dcterms:created>
  <dc:creator>openpyxl</dc:creator>
  <dc:description/>
  <dc:language>en-US</dc:language>
  <cp:lastModifiedBy/>
  <dcterms:modified xsi:type="dcterms:W3CDTF">2026-10-07T17:25:16Z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