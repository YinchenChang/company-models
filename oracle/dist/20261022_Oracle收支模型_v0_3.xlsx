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收入_錨定" sheetId="8" state="visible" r:id="rId10"/>
    <sheet name="資產負債_既有債務" sheetId="9" state="visible" r:id="rId11"/>
    <sheet name="資產負債_新債與新股" sheetId="10" state="visible" r:id="rId12"/>
    <sheet name="資產負債_租賃承諾" sheetId="11" state="visible" r:id="rId13"/>
    <sheet name="損益" sheetId="12" state="visible" r:id="rId14"/>
    <sheet name="評價_DCF與目標價" sheetId="13" state="visible" r:id="rId15"/>
    <sheet name="評價_反向DCF" sheetId="14" state="visible" r:id="rId16"/>
    <sheet name="評價_可比公司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MW_GB200" vbProcedure="false">Tokenomics_取數!$G$136</definedName>
    <definedName function="false" hidden="false" name="TK_HoldEconMW_GB300" vbProcedure="false">Tokenomics_取數!$G$137</definedName>
    <definedName function="false" hidden="false" name="TK_HoldEconMW_Hopper" vbProcedure="false">Tokenomics_取數!$G$135</definedName>
    <definedName function="false" hidden="false" name="TK_HoldEconMW_VR200" vbProcedure="false">Tokenomics_取數!$G$138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Tokenomics_取數!$G$116</definedName>
    <definedName function="false" hidden="false" name="TK_RevGWFleet_100_GB300" vbProcedure="false">Tokenomics_取數!$G$117</definedName>
    <definedName function="false" hidden="false" name="TK_RevGWFleet_100_H100" vbProcedure="false">Tokenomics_取數!$G$115</definedName>
    <definedName function="false" hidden="false" name="TK_RevGWFleet_100_RU" vbProcedure="false">Tokenomics_取數!$G$119</definedName>
    <definedName function="false" hidden="false" name="TK_RevGWFleet_100_VR200" vbProcedure="false">Tokenomics_取數!$G$118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Tokenomics_取數!$G$131</definedName>
    <definedName function="false" hidden="false" name="TK_RevGWFleet_Life_GB300" vbProcedure="false">Tokenomics_取數!$G$132</definedName>
    <definedName function="false" hidden="false" name="TK_RevGWFleet_Life_H100" vbProcedure="false">Tokenomics_取數!$G$130</definedName>
    <definedName function="false" hidden="false" name="TK_RevGWFleet_Life_RU" vbProcedure="false">Tokenomics_取數!$G$134</definedName>
    <definedName function="false" hidden="false" name="TK_RevGWFleet_Life_VR200" vbProcedure="false">Tokenomics_取數!$G$133</definedName>
    <definedName function="false" hidden="false" name="TK_RevGWFleet_Prod_GB200" vbProcedure="false">Tokenomics_取數!$G$126</definedName>
    <definedName function="false" hidden="false" name="TK_RevGWFleet_Prod_GB300" vbProcedure="false">Tokenomics_取數!$G$127</definedName>
    <definedName function="false" hidden="false" name="TK_RevGWFleet_Prod_H100" vbProcedure="false">Tokenomics_取數!$G$125</definedName>
    <definedName function="false" hidden="false" name="TK_RevGWFleet_Prod_RU" vbProcedure="false">Tokenomics_取數!$G$129</definedName>
    <definedName function="false" hidden="false" name="TK_RevGWFleet_Prod_VR200" vbProcedure="false">Tokenomics_取數!$G$128</definedName>
    <definedName function="false" hidden="false" name="TK_RevGWFleet_RU" vbProcedure="false">Tokenomics_取數!$G$114</definedName>
    <definedName function="false" hidden="false" name="TK_RevGWFleet_Util_GB200" vbProcedure="false">Tokenomics_取數!$G$121</definedName>
    <definedName function="false" hidden="false" name="TK_RevGWFleet_Util_GB300" vbProcedure="false">Tokenomics_取數!$G$122</definedName>
    <definedName function="false" hidden="false" name="TK_RevGWFleet_Util_H100" vbProcedure="false">Tokenomics_取數!$G$120</definedName>
    <definedName function="false" hidden="false" name="TK_RevGWFleet_Util_RU" vbProcedure="false">Tokenomics_取數!$G$124</definedName>
    <definedName function="false" hidden="false" name="TK_RevGWFleet_Util_VR200" vbProcedure="false">Tokenomics_取數!$G$123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RevGW_PQ_VR200" vbProcedure="false">Tokenomics_取數!$G$142</definedName>
    <definedName function="false" hidden="false" name="TK_RevGW_PQ_VR200_Hi" vbProcedure="false">Tokenomics_取數!$G$144</definedName>
    <definedName function="false" hidden="false" name="TK_RevGW_PQ_VR200_Lo" vbProcedure="false">Tokenomics_取數!$G$143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VR200" vbProcedure="false">Tokenomics_取數!$G$139</definedName>
    <definedName function="false" hidden="false" name="TK_TokMW_Gen_ratio_VR200_Hi" vbProcedure="false">Tokenomics_取數!$G$141</definedName>
    <definedName function="false" hidden="false" name="TK_TokMW_Gen_ratio_VR200_Lo" vbProcedure="false">Tokenomics_取數!$G$140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<sst xmlns="http://schemas.openxmlformats.org/spreadsheetml/2006/main" count="4865" uniqueCount="2651">
  <si>
    <r>
      <rPr>
        <b val="true"/>
        <sz val="14"/>
        <rFont val="Arial"/>
        <family val="0"/>
        <charset val="1"/>
      </rPr>
      <t xml:space="preserve">Oracle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v0.3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2026-10-22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v0.3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</si>
  <si>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</si>
  <si>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一句話：客戶預付與投資級債能否把 </t>
    </r>
    <r>
      <rPr>
        <sz val="10"/>
        <rFont val="Arial"/>
        <family val="0"/>
        <charset val="1"/>
      </rPr>
      <t xml:space="preserve">$664B RPO </t>
    </r>
    <r>
      <rPr>
        <sz val="10"/>
        <rFont val="Noto Sans CJK SC"/>
        <family val="2"/>
      </rPr>
      <t xml:space="preserve">變成現金、而不需再發股——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</si>
  <si>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</si>
  <si>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</si>
  <si>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</si>
  <si>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1Q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</si>
  <si>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</si>
  <si>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</si>
  <si>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</si>
  <si>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</si>
  <si>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實際＋第 </t>
    </r>
    <r>
      <rPr>
        <sz val="10"/>
        <rFont val="Arial"/>
        <family val="0"/>
        <charset val="1"/>
      </rPr>
      <t xml:space="preserve">2–4 </t>
    </r>
    <r>
      <rPr>
        <sz val="10"/>
        <rFont val="Noto Sans CJK SC"/>
        <family val="2"/>
      </rPr>
      <t xml:space="preserve">季模型）。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</si>
  <si>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</si>
  <si>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</si>
  <si>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</si>
  <si>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</si>
  <si>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</si>
  <si>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</si>
  <si>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</si>
  <si>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</si>
  <si>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，在役世代加權的打平租金）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（市場價格證據；『每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收入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錨定』），不用公司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計價、不乘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，利用率預設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。容量情境與價格情境分離。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</si>
  <si>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</si>
  <si>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</si>
  <si>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</si>
  <si>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</si>
  <si>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1Q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2Q–4Q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</si>
  <si>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</si>
  <si>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</si>
  <si>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</si>
  <si>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</si>
  <si>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</si>
  <si>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</si>
  <si>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</si>
  <si>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</si>
  <si>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</si>
  <si>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</si>
  <si>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</si>
  <si>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</si>
  <si>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</si>
  <si>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</si>
  <si>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</si>
  <si>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</si>
  <si>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</si>
  <si>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</si>
  <si>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</si>
  <si>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</si>
  <si>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</si>
  <si>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</si>
  <si>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</si>
  <si>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</si>
  <si>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</si>
  <si>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</si>
  <si>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FY27–FY29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</si>
  <si>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</si>
  <si>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</si>
  <si>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FY27</t>
  </si>
  <si>
    <t xml:space="preserve">FY28</t>
  </si>
  <si>
    <t xml:space="preserve">FY29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</si>
  <si>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</si>
  <si>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</si>
  <si>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</si>
  <si>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</si>
  <si>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</si>
  <si>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</si>
  <si>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</si>
  <si>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</si>
  <si>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</si>
  <si>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</si>
  <si>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</si>
  <si>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</si>
  <si>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</si>
  <si>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</si>
  <si>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</si>
  <si>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</si>
  <si>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</si>
  <si>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</si>
  <si>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</si>
  <si>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</si>
  <si>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</si>
  <si>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</si>
  <si>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</si>
  <si>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</si>
  <si>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</si>
  <si>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</si>
  <si>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</si>
  <si>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</si>
  <si>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</si>
  <si>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</si>
  <si>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</si>
  <si>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</si>
  <si>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</si>
  <si>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</si>
  <si>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</si>
  <si>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</si>
  <si>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</si>
  <si>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</si>
  <si>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</si>
  <si>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</si>
  <si>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</si>
  <si>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</si>
  <si>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FY27–FY29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</si>
  <si>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</si>
  <si>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</si>
  <si>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</si>
  <si>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</si>
  <si>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</si>
  <si>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</si>
  <si>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</si>
  <si>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</si>
  <si>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</si>
  <si>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2027-08-31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</si>
  <si>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</si>
  <si>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</si>
  <si>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OCI 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</si>
  <si>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</si>
  <si>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OCI 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</si>
  <si>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</si>
  <si>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</si>
  <si>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</si>
  <si>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</si>
  <si>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</si>
  <si>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</si>
  <si>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</si>
  <si>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</si>
  <si>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</si>
  <si>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</si>
  <si>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</si>
  <si>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</si>
  <si>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</si>
  <si>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</si>
  <si>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</si>
  <si>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</si>
  <si>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</si>
  <si>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</si>
  <si>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</si>
  <si>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</si>
  <si>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</si>
  <si>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</si>
  <si>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的年度與季度預估一般亦屬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系（與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共識檔同一判斷），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90.45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90.449 </t>
    </r>
    <r>
      <rPr>
        <sz val="9"/>
        <color rgb="FF595959"/>
        <rFont val="Noto Sans CJK SC"/>
        <family val="2"/>
      </rPr>
      <t xml:space="preserve">幾乎相同，視為同一底層來源的兩個呈現，不算獨立交叉驗證。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的營收與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預估來自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90.48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FY28 131.45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90.449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131.711 </t>
    </r>
    <r>
      <rPr>
        <sz val="9"/>
        <color rgb="FF595959"/>
        <rFont val="Noto Sans CJK SC"/>
        <family val="2"/>
      </rPr>
      <t xml:space="preserve">一致，可作 </t>
    </r>
    <r>
      <rPr>
        <sz val="9"/>
        <color rgb="FF595959"/>
        <rFont val="Arial"/>
        <family val="0"/>
        <charset val="1"/>
      </rPr>
      <t xml:space="preserve">FY27–FY28 </t>
    </r>
    <r>
      <rPr>
        <sz val="9"/>
        <color rgb="FF595959"/>
        <rFont val="Noto Sans CJK SC"/>
        <family val="2"/>
      </rPr>
      <t xml:space="preserve">營收的獨立交叉。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237.97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完全相同，推測同源，不算獨立。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</si>
  <si>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</si>
  <si>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</si>
  <si>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1Q27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</si>
  <si>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</si>
  <si>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速度、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依公司時程）</t>
    </r>
  </si>
  <si>
    <r>
      <rPr>
        <b val="true"/>
        <sz val="10"/>
        <rFont val="Noto Sans CJK SC"/>
        <family val="2"/>
      </rPr>
      <t xml:space="preserve">價格情境（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低／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基準／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高）</t>
    </r>
  </si>
  <si>
    <r>
      <rPr>
        <sz val="9"/>
        <color rgb="FF595959"/>
        <rFont val="Noto Sans CJK SC"/>
        <family val="2"/>
      </rPr>
      <t xml:space="preserve">三情境只改擴張力道（已連網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年收入由同列 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Noto Sans CJK SC"/>
        <family val="2"/>
      </rPr>
      <t xml:space="preserve">欄價格情境（定價倍數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）決定，兩條軸分離（</t>
    </r>
    <r>
      <rPr>
        <sz val="9"/>
        <color rgb="FF595959"/>
        <rFont val="Arial"/>
        <family val="0"/>
        <charset val="1"/>
      </rPr>
      <t xml:space="preserve">v0.3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Noto Sans CJK SC"/>
        <family val="2"/>
      </rPr>
      <t xml:space="preserve">欄＝價格情境選擇（定價倍數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低／基準／高；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與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同時取低／基準／高，見『每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區），三個容量情境預設都用基準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</si>
  <si>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</si>
  <si>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</si>
  <si>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FY30</t>
  </si>
  <si>
    <t xml:space="preserve">FY31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</si>
  <si>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</si>
  <si>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</si>
  <si>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</si>
  <si>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Noto Sans CJK SC"/>
        <family val="2"/>
      </rPr>
      <t xml:space="preserve">首期期末＝評價日已連網＋首期剩餘季度依最新季交付速度；推導與來源見 </t>
    </r>
    <r>
      <rPr>
        <sz val="9"/>
        <color rgb="FF595959"/>
        <rFont val="Arial"/>
        <family val="0"/>
        <charset val="1"/>
      </rPr>
      <t xml:space="preserve">company.json → scenarios.mwPath.note [Derived]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</si>
  <si>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</si>
  <si>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</si>
  <si>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</si>
  <si>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</si>
  <si>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</si>
  <si>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</si>
  <si>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Noto Sans CJK SC"/>
        <family val="2"/>
      </rPr>
      <t xml:space="preserve">只交付已交付＋在建站點，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相關容量實現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（上限 </t>
    </r>
    <r>
      <rPr>
        <sz val="9"/>
        <color rgb="FF595959"/>
        <rFont val="Arial"/>
        <family val="0"/>
        <charset val="1"/>
      </rPr>
      <t xml:space="preserve">6,284 MW-IT</t>
    </r>
    <r>
      <rPr>
        <sz val="9"/>
        <color rgb="FF595959"/>
        <rFont val="Noto Sans CJK SC"/>
        <family val="2"/>
      </rPr>
      <t xml:space="preserve">），依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歷史速度 </t>
    </r>
    <r>
      <rPr>
        <sz val="9"/>
        <color rgb="FF595959"/>
        <rFont val="Arial"/>
        <family val="0"/>
        <charset val="1"/>
      </rPr>
      <t xml:space="preserve">1,000 MW-IT</t>
    </r>
    <r>
      <rPr>
        <sz val="9"/>
        <color rgb="FF595959"/>
        <rFont val="Noto Sans CJK SC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</si>
  <si>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</si>
  <si>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速度｜併網速度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</si>
  <si>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</si>
  <si>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承租的五個 </t>
    </r>
    <r>
      <rPr>
        <sz val="9"/>
        <color rgb="FF595959"/>
        <rFont val="Arial"/>
        <family val="0"/>
        <charset val="1"/>
      </rPr>
      <t xml:space="preserve">Stargate </t>
    </r>
    <r>
      <rPr>
        <sz val="9"/>
        <color rgb="FF595959"/>
        <rFont val="Noto Sans CJK SC"/>
        <family val="2"/>
      </rPr>
      <t xml:space="preserve">站點全數實現（上限 </t>
    </r>
    <r>
      <rPr>
        <sz val="9"/>
        <color rgb="FF595959"/>
        <rFont val="Arial"/>
        <family val="0"/>
        <charset val="1"/>
      </rPr>
      <t xml:space="preserve">8,778 MW-IT</t>
    </r>
    <r>
      <rPr>
        <sz val="9"/>
        <color rgb="FF595959"/>
        <rFont val="Noto Sans CJK SC"/>
        <family val="2"/>
      </rPr>
      <t xml:space="preserve">），依 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交付速度 </t>
    </r>
    <r>
      <rPr>
        <sz val="9"/>
        <color rgb="FF595959"/>
        <rFont val="Arial"/>
        <family val="0"/>
        <charset val="1"/>
      </rPr>
      <t xml:space="preserve">2,833 MW-IT</t>
    </r>
    <r>
      <rPr>
        <sz val="9"/>
        <color rgb="FF595959"/>
        <rFont val="Noto Sans CJK SC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</si>
  <si>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依公司時程｜合約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</si>
  <si>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依公司時程｜併網速度</t>
  </si>
  <si>
    <t xml:space="preserve">積極 依公司時程</t>
  </si>
  <si>
    <r>
      <rPr>
        <sz val="9"/>
        <color rgb="FF595959"/>
        <rFont val="Noto Sans CJK SC"/>
        <family val="2"/>
      </rPr>
      <t xml:space="preserve">同基準上限，依公司時程（每季約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3,333 MW-IT</t>
    </r>
    <r>
      <rPr>
        <sz val="9"/>
        <color rgb="FF595959"/>
        <rFont val="Noto Sans CJK SC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</si>
  <si>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</si>
  <si>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t xml:space="preserve">US$bn/MW</t>
  </si>
  <si>
    <r>
      <rPr>
        <sz val="9"/>
        <color rgb="FF595959"/>
        <rFont val="Noto Sans CJK SC"/>
        <family val="2"/>
      </rPr>
      <t xml:space="preserve">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，在役世代加權）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（目前價格情境）</t>
    </r>
    <r>
      <rPr>
        <sz val="9"/>
        <color rgb="FF595959"/>
        <rFont val="Arial"/>
        <family val="0"/>
        <charset val="1"/>
      </rPr>
      <t xml:space="preserve">÷ 1000 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舊值見該頁對照列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</si>
  <si>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</si>
  <si>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依公司時程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</si>
  <si>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收斂比例（期初校準值 → 已連網）</t>
    </r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</si>
  <si>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7.388 × 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29.552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；基準情境 </t>
    </r>
    <r>
      <rPr>
        <sz val="9"/>
        <color rgb="FF595959"/>
        <rFont val="Arial"/>
        <family val="0"/>
        <charset val="1"/>
      </rPr>
      <t xml:space="preserve">3,025 MW</t>
    </r>
    <r>
      <rPr>
        <sz val="9"/>
        <color rgb="FF595959"/>
        <rFont val="Noto Sans CJK SC"/>
        <family val="2"/>
      </rPr>
      <t xml:space="preserve">）。這是對齊已實現實際數的校準，不是以公司預測反推參數；因價格改由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正向推導，校準值高於評價日已連網 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Noto Sans CJK SC"/>
        <family val="2"/>
      </rPr>
      <t xml:space="preserve">（因 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Noto Sans CJK SC"/>
        <family val="2"/>
      </rPr>
      <t xml:space="preserve">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營收且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實際價高於模型價，見 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驗證），之後向已連網收斂。各期末可計費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收斂比例；首期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、之後 </t>
    </r>
    <r>
      <rPr>
        <sz val="9"/>
        <color rgb="FF595959"/>
        <rFont val="Arial"/>
        <family val="0"/>
        <charset val="1"/>
      </rPr>
      <t xml:space="preserve">80%→90%</t>
    </r>
    <r>
      <rPr>
        <sz val="9"/>
        <color rgb="FF595959"/>
        <rFont val="Noto Sans CJK SC"/>
        <family val="2"/>
      </rPr>
      <t xml:space="preserve">（新產能自交付到計費約一季）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基準營收約 </t>
    </r>
    <r>
      <rPr>
        <sz val="9"/>
        <color rgb="FF595959"/>
        <rFont val="Arial"/>
        <family val="0"/>
        <charset val="1"/>
      </rPr>
      <t xml:space="preserve">$83bn</t>
    </r>
    <r>
      <rPr>
        <sz val="9"/>
        <color rgb="FF595959"/>
        <rFont val="Noto Sans CJK SC"/>
        <family val="2"/>
      </rPr>
      <t xml:space="preserve">、低於公司指引 ≥</t>
    </r>
    <r>
      <rPr>
        <sz val="9"/>
        <color rgb="FF595959"/>
        <rFont val="Arial"/>
        <family val="0"/>
        <charset val="1"/>
      </rPr>
      <t xml:space="preserve">$90bn</t>
    </r>
    <r>
      <rPr>
        <sz val="9"/>
        <color rgb="FF595959"/>
        <rFont val="Noto Sans CJK SC"/>
        <family val="2"/>
      </rPr>
      <t xml:space="preserve">（−</t>
    </r>
    <r>
      <rPr>
        <sz val="9"/>
        <color rgb="FF595959"/>
        <rFont val="Arial"/>
        <family val="0"/>
        <charset val="1"/>
      </rPr>
      <t xml:space="preserve">7.7%</t>
    </r>
    <r>
      <rPr>
        <sz val="9"/>
        <color rgb="FF595959"/>
        <rFont val="Noto Sans CJK SC"/>
        <family val="2"/>
      </rPr>
      <t xml:space="preserve">），收斂比例改為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也只到約 </t>
    </r>
    <r>
      <rPr>
        <sz val="9"/>
        <color rgb="FF595959"/>
        <rFont val="Arial"/>
        <family val="0"/>
        <charset val="1"/>
      </rPr>
      <t xml:space="preserve">$85bn</t>
    </r>
    <r>
      <rPr>
        <sz val="9"/>
        <color rgb="FF595959"/>
        <rFont val="Noto Sans CJK SC"/>
        <family val="2"/>
      </rPr>
      <t xml:space="preserve">（敏感度見『每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區），故不再以達成指引為選取收斂比例的依據。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</si>
  <si>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校準：</t>
    </r>
    <r>
      <rPr>
        <sz val="10"/>
        <rFont val="Arial"/>
        <family val="0"/>
        <charset val="1"/>
      </rPr>
      <t xml:space="preserve">Q1 2027 </t>
    </r>
    <r>
      <rPr>
        <sz val="10"/>
        <rFont val="Noto Sans CJK SC"/>
        <family val="2"/>
      </rPr>
      <t xml:space="preserve">實際營收年化</t>
    </r>
  </si>
  <si>
    <r>
      <rPr>
        <sz val="9"/>
        <color rgb="FF595959"/>
        <rFont val="Noto Sans CJK SC"/>
        <family val="2"/>
      </rPr>
      <t xml:space="preserve">最新季實際營收 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scenarios.billableRatio.openAnnualRevenue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</si>
  <si>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</si>
  <si>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Noto Sans CJK SC"/>
        <family val="2"/>
      </rPr>
      <t xml:space="preserve">＝實際營收年化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年收入（對齊已實現實際數的校準）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</si>
  <si>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</si>
  <si>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｜積極 依公司時程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</si>
  <si>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</si>
  <si>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</si>
  <si>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</si>
  <si>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</si>
  <si>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</si>
  <si>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</si>
  <si>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FY27Q2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FY2029 </t>
    </r>
    <r>
      <rPr>
        <sz val="9"/>
        <color rgb="FF595959"/>
        <rFont val="Noto Sans CJK SC"/>
        <family val="2"/>
      </rPr>
      <t xml:space="preserve">起租 →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</si>
  <si>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</si>
  <si>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</si>
  <si>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</si>
  <si>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</si>
  <si>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8/31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</si>
  <si>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664.0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</si>
  <si>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</si>
  <si>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</si>
  <si>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</si>
  <si>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79.75%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</si>
  <si>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</si>
  <si>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</si>
  <si>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2026-05-31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</si>
  <si>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年底已連網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未揭露：以各情境校準可計費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的最大值（保守 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29.552 ÷ 11.62</t>
    </r>
    <r>
      <rPr>
        <sz val="9"/>
        <color rgb="FF595959"/>
        <rFont val="Noto Sans CJK SC"/>
        <family val="2"/>
      </rPr>
      <t xml:space="preserve">）減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708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1,835</t>
    </r>
    <r>
      <rPr>
        <sz val="9"/>
        <color rgb="FF595959"/>
        <rFont val="Noto Sans CJK SC"/>
        <family val="2"/>
      </rPr>
      <t xml:space="preserve">，使各情境期初可計費不超過已連網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</si>
  <si>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8/31 Billable MW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</si>
  <si>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區情境選擇器（以實際營收校準）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</si>
  <si>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</si>
  <si>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</si>
  <si>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</si>
  <si>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</si>
  <si>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</si>
  <si>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</si>
  <si>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</si>
  <si>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</si>
  <si>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</si>
  <si>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</si>
  <si>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</si>
  <si>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個月內合計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；其餘假設 </t>
    </r>
    <r>
      <rPr>
        <sz val="9"/>
        <color rgb="FF595959"/>
        <rFont val="Arial"/>
        <family val="0"/>
        <charset val="1"/>
      </rPr>
      <t xml:space="preserve">61–84 </t>
    </r>
    <r>
      <rPr>
        <sz val="9"/>
        <color rgb="FF595959"/>
        <rFont val="Noto Sans CJK SC"/>
        <family val="2"/>
      </rPr>
      <t xml:space="preserve">個月；含傳統事業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，只作對照）桶內線性分攤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</si>
  <si>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</si>
  <si>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</si>
  <si>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</si>
  <si>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收斂比例（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</si>
  <si>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</si>
  <si>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計價，收入取決於簽約與爬坡（可計費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），不再乘 </t>
    </r>
    <r>
      <rPr>
        <sz val="9"/>
        <color rgb="FF595959"/>
        <rFont val="Arial"/>
        <family val="0"/>
        <charset val="1"/>
      </rPr>
      <t xml:space="preserve">Tokenomics IF_Util</t>
    </r>
    <r>
      <rPr>
        <sz val="9"/>
        <color rgb="FF595959"/>
        <rFont val="Noto Sans CJK SC"/>
        <family val="2"/>
      </rPr>
      <t xml:space="preserve">（下游資料契約第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條；重複扣減禁止）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</si>
  <si>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</si>
  <si>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</si>
  <si>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</si>
  <si>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</si>
  <si>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</si>
  <si>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</si>
  <si>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</si>
  <si>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</si>
  <si>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</si>
  <si>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</si>
  <si>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</si>
  <si>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無需另列的非核心事業燒錢；傳統事業另列於 </t>
    </r>
    <r>
      <rPr>
        <sz val="9"/>
        <color rgb="FF595959"/>
        <rFont val="Arial"/>
        <family val="0"/>
        <charset val="1"/>
      </rPr>
      <t xml:space="preserve">defaults.legacyBiz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</si>
  <si>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｜傳統事業（各線全年營收＝上一財年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，年增率自起點線性收斂到長期值；</t>
    </r>
    <r>
      <rPr>
        <b val="true"/>
        <sz val="10"/>
        <color rgb="FF1F3864"/>
        <rFont val="Arial"/>
        <family val="0"/>
        <charset val="1"/>
      </rPr>
      <t xml:space="preserve">FY27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1Q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</si>
  <si>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</si>
  <si>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</si>
  <si>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</si>
  <si>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</si>
  <si>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</si>
  <si>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</si>
  <si>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</si>
  <si>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</si>
  <si>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</si>
  <si>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</si>
  <si>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</si>
  <si>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</si>
  <si>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（雲端應用）｜模型期營收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</si>
  <si>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</t>
    </r>
  </si>
  <si>
    <t xml:space="preserve">傳統事業｜軟體（授權＋支援）｜上一財年實際</t>
  </si>
  <si>
    <r>
      <rPr>
        <sz val="10"/>
        <rFont val="Noto Sans CJK SC"/>
        <family val="2"/>
      </rPr>
      <t xml:space="preserve">傳統事業｜軟體（授權＋支援）｜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</si>
  <si>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傳統事業｜軟體（授權＋支援）｜起始年增率</t>
  </si>
  <si>
    <t xml:space="preserve">傳統事業｜軟體（授權＋支援）｜長期年增率</t>
  </si>
  <si>
    <t xml:space="preserve">傳統事業｜軟體（授權＋支援）｜年增率</t>
  </si>
  <si>
    <t xml:space="preserve">傳統事業｜軟體（授權＋支援）｜全年營收</t>
  </si>
  <si>
    <t xml:space="preserve">傳統事業｜軟體（授權＋支援）｜模型期營收</t>
  </si>
  <si>
    <t xml:space="preserve">傳統事業｜硬體｜上一財年實際</t>
  </si>
  <si>
    <r>
      <rPr>
        <sz val="10"/>
        <rFont val="Noto Sans CJK SC"/>
        <family val="2"/>
      </rPr>
      <t xml:space="preserve">傳統事業｜硬體｜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</si>
  <si>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傳統事業｜硬體｜起始年增率</t>
  </si>
  <si>
    <t xml:space="preserve">傳統事業｜硬體｜長期年增率</t>
  </si>
  <si>
    <t xml:space="preserve">傳統事業｜硬體｜年增率</t>
  </si>
  <si>
    <t xml:space="preserve">傳統事業｜硬體｜全年營收</t>
  </si>
  <si>
    <t xml:space="preserve">傳統事業｜硬體｜模型期營收</t>
  </si>
  <si>
    <t xml:space="preserve">傳統事業｜服務｜上一財年實際</t>
  </si>
  <si>
    <r>
      <rPr>
        <sz val="10"/>
        <rFont val="Noto Sans CJK SC"/>
        <family val="2"/>
      </rPr>
      <t xml:space="preserve">傳統事業｜服務｜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</si>
  <si>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傳統事業｜服務｜起始年增率</t>
  </si>
  <si>
    <t xml:space="preserve">傳統事業｜服務｜長期年增率</t>
  </si>
  <si>
    <t xml:space="preserve">傳統事業｜服務｜年增率</t>
  </si>
  <si>
    <t xml:space="preserve">傳統事業｜服務｜全年營收</t>
  </si>
  <si>
    <t xml:space="preserve">傳統事業｜服務｜模型期營收</t>
  </si>
  <si>
    <t xml:space="preserve">傳統事業營收（模型期）</t>
  </si>
  <si>
    <t xml:space="preserve">四線合計（下游引用此列）</t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</si>
  <si>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</si>
  <si>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合併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營業利益＋折舊，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無分部揭露無法拆分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；不加無形資產攤銷，因非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營業利益已排除攤銷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</si>
  <si>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</si>
  <si>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與營運來源（現金稅另列）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</si>
  <si>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</si>
  <si>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</si>
  <si>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</si>
  <si>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</si>
  <si>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合併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扣除傳統事業後拆推的 </t>
    </r>
    <r>
      <rPr>
        <sz val="9"/>
        <color rgb="FF595959"/>
        <rFont val="Arial"/>
        <family val="0"/>
        <charset val="1"/>
      </rPr>
      <t xml:space="preserve">OCI 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</si>
  <si>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</si>
  <si>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</si>
  <si>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基準情境租金占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</si>
  <si>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率校準：基準情境首期租金 </t>
    </r>
    <r>
      <rPr>
        <sz val="9"/>
        <color rgb="FF595959"/>
        <rFont val="Arial"/>
        <family val="0"/>
        <charset val="1"/>
      </rPr>
      <t xml:space="preserve">÷ OCI </t>
    </r>
    <r>
      <rPr>
        <sz val="9"/>
        <color rgb="FF595959"/>
        <rFont val="Noto Sans CJK SC"/>
        <family val="2"/>
      </rPr>
      <t xml:space="preserve">營收，使基準情境起始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率維持上列值；</t>
    </r>
    <r>
      <rPr>
        <sz val="9"/>
        <color rgb="FF595959"/>
        <rFont val="Arial"/>
        <family val="0"/>
        <charset val="1"/>
      </rPr>
      <t xml:space="preserve">scripts/calib_ebitdar.js </t>
    </r>
    <r>
      <rPr>
        <sz val="9"/>
        <color rgb="FF595959"/>
        <rFont val="Noto Sans CJK SC"/>
        <family val="2"/>
      </rPr>
      <t xml:space="preserve">自基準情境計算（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檢查）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</si>
  <si>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基準情境租金占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</si>
  <si>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同上，基準情境末期；保守與積極用同一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率，因而承擔固定租金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</si>
  <si>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率（路徑）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</si>
  <si>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率＋基準起點租金比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[(</t>
    </r>
    <r>
      <rPr>
        <sz val="9"/>
        <color rgb="FF595959"/>
        <rFont val="Noto Sans CJK SC"/>
        <family val="2"/>
      </rPr>
      <t xml:space="preserve">穩態＋基準穩態租金比</t>
    </r>
    <r>
      <rPr>
        <sz val="9"/>
        <color rgb="FF595959"/>
        <rFont val="Arial"/>
        <family val="0"/>
        <charset val="1"/>
      </rPr>
      <t xml:space="preserve">)−(</t>
    </r>
    <r>
      <rPr>
        <sz val="9"/>
        <color rgb="FF595959"/>
        <rFont val="Noto Sans CJK SC"/>
        <family val="2"/>
      </rPr>
      <t xml:space="preserve">起始＋基準起點租金比</t>
    </r>
    <r>
      <rPr>
        <sz val="9"/>
        <color rgb="FF595959"/>
        <rFont val="Arial"/>
        <family val="0"/>
        <charset val="1"/>
      </rPr>
      <t xml:space="preserve">)]×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</si>
  <si>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</si>
  <si>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租金合計 </t>
    </r>
    <r>
      <rPr>
        <sz val="9"/>
        <color rgb="FF595959"/>
        <rFont val="Arial"/>
        <family val="0"/>
        <charset val="1"/>
      </rPr>
      <t xml:space="preserve">÷ OCI </t>
    </r>
    <r>
      <rPr>
        <sz val="9"/>
        <color rgb="FF595959"/>
        <rFont val="Noto Sans CJK SC"/>
        <family val="2"/>
      </rPr>
      <t xml:space="preserve">營收（公式；租金為固定成本，低營收情境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率較低）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</si>
  <si>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</si>
  <si>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</si>
  <si>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</si>
  <si>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</si>
  <si>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</si>
  <si>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</si>
  <si>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</si>
  <si>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</si>
  <si>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</si>
  <si>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</si>
  <si>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</si>
  <si>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</si>
  <si>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</si>
  <si>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</si>
  <si>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</si>
  <si>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</si>
  <si>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</si>
  <si>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全年指引下緣（法說會二手逐字稿；新聞稿與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</si>
  <si>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</si>
  <si>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Tokenomics IF_DeprLifeIT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TK_DeprLifeIT_GB300</t>
    </r>
    <r>
      <rPr>
        <sz val="9"/>
        <color rgb="FF595959"/>
        <rFont val="Noto Sans CJK SC"/>
        <family val="2"/>
      </rPr>
      <t xml:space="preserve">）；公司伺服器與網通設備耐用年限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）與之相同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</si>
  <si>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</si>
  <si>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實際折舊 </t>
    </r>
    <r>
      <rPr>
        <sz val="9"/>
        <color rgb="FF595959"/>
        <rFont val="Arial"/>
        <family val="0"/>
        <charset val="1"/>
      </rPr>
      <t xml:space="preserve">3.156 × 4 ×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年校準（對齊已實現實際數；評價日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127.8 </t>
    </r>
    <r>
      <rPr>
        <sz val="9"/>
        <color rgb="FF595959"/>
        <rFont val="Noto Sans CJK SC"/>
        <family val="2"/>
      </rPr>
      <t xml:space="preserve">含在建 </t>
    </r>
    <r>
      <rPr>
        <sz val="9"/>
        <color rgb="FF595959"/>
        <rFont val="Arial"/>
        <family val="0"/>
        <charset val="1"/>
      </rPr>
      <t xml:space="preserve">48.5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</si>
  <si>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</si>
  <si>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</si>
  <si>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</si>
  <si>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Noto Sans CJK SC"/>
        <family val="2"/>
      </rPr>
      <t xml:space="preserve">｜世代（只含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設備；機房由開發商建、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以租賃取得，不用 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GB300 32.24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 US$m/MW-IT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寫死值 </t>
    </r>
    <r>
      <rPr>
        <sz val="9"/>
        <color rgb="FF595959"/>
        <rFont val="Arial"/>
        <family val="0"/>
        <charset val="1"/>
      </rPr>
      <t xml:space="preserve">37.45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37.59 </t>
    </r>
    <r>
      <rPr>
        <sz val="9"/>
        <color rgb="FF595959"/>
        <rFont val="Noto Sans CJK SC"/>
        <family val="2"/>
      </rPr>
      <t xml:space="preserve">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錨定』對照列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</si>
  <si>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</si>
  <si>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</si>
  <si>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</si>
  <si>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指引隱含客戶出資覆蓋比 </t>
    </r>
    <r>
      <rPr>
        <sz val="9"/>
        <color rgb="FF595959"/>
        <rFont val="Arial"/>
        <family val="0"/>
        <charset val="1"/>
      </rPr>
      <t xml:space="preserve">24.3%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22.2%–26.3%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37.0% </t>
    </r>
    <r>
      <rPr>
        <sz val="9"/>
        <color rgb="FF595959"/>
        <rFont val="Noto Sans CJK SC"/>
        <family val="2"/>
      </rPr>
      <t xml:space="preserve">只作敏感度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</si>
  <si>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</si>
  <si>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</si>
  <si>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</si>
  <si>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客戶預付（重大財務組成）累計現金 </t>
    </r>
    <r>
      <rPr>
        <sz val="9"/>
        <color rgb="FF595959"/>
        <rFont val="Arial"/>
        <family val="0"/>
        <charset val="1"/>
      </rPr>
      <t xml:space="preserve">15.955</t>
    </r>
    <r>
      <rPr>
        <sz val="9"/>
        <color rgb="FF595959"/>
        <rFont val="Noto Sans CJK SC"/>
        <family val="2"/>
      </rPr>
      <t xml:space="preserve">，非全部遞延營收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</si>
  <si>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</si>
  <si>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</si>
  <si>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</si>
  <si>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</si>
  <si>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</si>
  <si>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39.283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</si>
  <si>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</si>
  <si>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</si>
  <si>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</si>
  <si>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</si>
  <si>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</si>
  <si>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</si>
  <si>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</si>
  <si>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</si>
  <si>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</si>
  <si>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</si>
  <si>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</si>
  <si>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</si>
  <si>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1835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</si>
  <si>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</si>
  <si>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</si>
  <si>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</si>
  <si>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</si>
  <si>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</si>
  <si>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− 1Q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28.499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</si>
  <si>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</si>
  <si>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</si>
  <si>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</si>
  <si>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</si>
  <si>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</si>
  <si>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FY31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</si>
  <si>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</si>
  <si>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</si>
  <si>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</si>
  <si>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</si>
  <si>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</si>
  <si>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</si>
  <si>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</si>
  <si>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</si>
  <si>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</si>
  <si>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</si>
  <si>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2026-08-31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</si>
  <si>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36.369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0.708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</si>
  <si>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</si>
  <si>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</si>
  <si>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</si>
  <si>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</si>
  <si>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</si>
  <si>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循環信用額度，未動用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</si>
  <si>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</si>
  <si>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</si>
  <si>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</si>
  <si>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</si>
  <si>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</si>
  <si>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</si>
  <si>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</si>
  <si>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</si>
  <si>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</si>
  <si>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</si>
  <si>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</si>
  <si>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</si>
  <si>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</si>
  <si>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</si>
  <si>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每季 </t>
    </r>
    <r>
      <rPr>
        <sz val="9"/>
        <color rgb="FF595959"/>
        <rFont val="Arial"/>
        <family val="0"/>
        <charset val="1"/>
      </rPr>
      <t xml:space="preserve">$0.50 [Interested-party]</t>
    </r>
    <r>
      <rPr>
        <sz val="9"/>
        <color rgb="FF595959"/>
        <rFont val="Noto Sans CJK SC"/>
        <family val="2"/>
      </rPr>
      <t xml:space="preserve">；不回購（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</si>
  <si>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</si>
  <si>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</si>
  <si>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</si>
  <si>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</si>
  <si>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</si>
  <si>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</si>
  <si>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</si>
  <si>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</si>
  <si>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</si>
  <si>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</si>
  <si>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</si>
  <si>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</si>
  <si>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</si>
  <si>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可轉債年發行上限｜保守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</si>
  <si>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</si>
  <si>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</si>
  <si>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</si>
  <si>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可轉債年發行上限｜積極 依公司時程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</si>
  <si>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</si>
  <si>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</si>
  <si>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</si>
  <si>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</si>
  <si>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</si>
  <si>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</si>
  <si>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</si>
  <si>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</si>
  <si>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</si>
  <si>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</si>
  <si>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</si>
  <si>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</si>
  <si>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ORCL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</si>
  <si>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</si>
  <si>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</si>
  <si>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</si>
  <si>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</si>
  <si>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</si>
  <si>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</si>
  <si>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</si>
  <si>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</si>
  <si>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</si>
  <si>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90.25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</si>
  <si>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</si>
  <si>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Noto Sans CJK SC"/>
        <family val="2"/>
      </rPr>
      <t xml:space="preserve">一次性投資級無擔保債八檔加權票面約 </t>
    </r>
    <r>
      <rPr>
        <sz val="9"/>
        <color rgb="FF595959"/>
        <rFont val="Arial"/>
        <family val="0"/>
        <charset val="1"/>
      </rPr>
      <t xml:space="preserve">5.8% [Derived]</t>
    </r>
    <r>
      <rPr>
        <sz val="9"/>
        <color rgb="FF595959"/>
        <rFont val="Noto Sans CJK SC"/>
        <family val="2"/>
      </rPr>
      <t xml:space="preserve">；長天期次級市場殖利率約 </t>
    </r>
    <r>
      <rPr>
        <sz val="9"/>
        <color rgb="FF595959"/>
        <rFont val="Arial"/>
        <family val="0"/>
        <charset val="1"/>
      </rPr>
      <t xml:space="preserve">8.1%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2046 </t>
    </r>
    <r>
      <rPr>
        <sz val="9"/>
        <color rgb="FF595959"/>
        <rFont val="Noto Sans CJK SC"/>
        <family val="2"/>
      </rPr>
      <t xml:space="preserve">票據）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</si>
  <si>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</si>
  <si>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</si>
  <si>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</si>
  <si>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</si>
  <si>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https://stockanalysis.com/stocks/orcl/history/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</si>
  <si>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</si>
  <si>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3.023736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</t>
    </r>
    <r>
      <rPr>
        <sz val="9"/>
        <color rgb="FF595959"/>
        <rFont val="Noto Sans CJK SC"/>
        <family val="2"/>
      </rPr>
      <t xml:space="preserve">與選擇權（稀釋與基本加權股數差 </t>
    </r>
    <r>
      <rPr>
        <sz val="9"/>
        <color rgb="FF595959"/>
        <rFont val="Arial"/>
        <family val="0"/>
        <charset val="1"/>
      </rPr>
      <t xml:space="preserve">0.034bn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</si>
  <si>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</si>
  <si>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</si>
  <si>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</si>
  <si>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</si>
  <si>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</si>
  <si>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</si>
  <si>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</si>
  <si>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有效稅率（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12.6%</t>
    </r>
    <r>
      <rPr>
        <sz val="9"/>
        <color rgb="FF595959"/>
        <rFont val="Noto Sans CJK SC"/>
        <family val="2"/>
      </rPr>
      <t xml:space="preserve">（含出售利益）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</si>
  <si>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</si>
  <si>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</si>
  <si>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</si>
  <si>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年月報酬 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StockAnalysis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Yahoo</t>
    </r>
    <r>
      <rPr>
        <sz val="9"/>
        <color rgb="FF595959"/>
        <rFont val="Noto Sans CJK SC"/>
        <family val="2"/>
      </rPr>
      <t xml:space="preserve">，同值）；敏感度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見報告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</si>
  <si>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</si>
  <si>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</si>
  <si>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</si>
  <si>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</si>
  <si>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</si>
  <si>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2046 </t>
    </r>
    <r>
      <rPr>
        <sz val="9"/>
        <color rgb="FF595959"/>
        <rFont val="Noto Sans CJK SC"/>
        <family val="2"/>
      </rPr>
      <t xml:space="preserve">票據殖利率（市場邊際成本）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</si>
  <si>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</si>
  <si>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3.023736bn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</si>
  <si>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</si>
  <si>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</si>
  <si>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</si>
  <si>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</si>
  <si>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</si>
  <si>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</si>
  <si>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</si>
  <si>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</si>
  <si>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</si>
  <si>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</si>
  <si>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</si>
  <si>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</si>
  <si>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</si>
  <si>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</si>
  <si>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</si>
  <si>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</si>
  <si>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</si>
  <si>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</si>
  <si>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；傳統事業另用軟體同業倍數（分部加總）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</si>
  <si>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MSFT</t>
    </r>
  </si>
  <si>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val.peer.msft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</si>
  <si>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</si>
  <si>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</si>
  <si>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</si>
  <si>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</si>
  <si>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ADBE</t>
    </r>
  </si>
  <si>
    <r>
      <rPr>
        <sz val="9"/>
        <color rgb="FF595959"/>
        <rFont val="Arial"/>
        <family val="0"/>
        <charset val="1"/>
      </rPr>
      <t xml:space="preserve">Adobe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val.peer.adbe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</si>
  <si>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</si>
  <si>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</si>
  <si>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 </t>
    </r>
    <r>
      <rPr>
        <sz val="10"/>
        <rFont val="Noto Sans CJK SC"/>
        <family val="2"/>
      </rPr>
      <t xml:space="preserve">中位數</t>
    </r>
  </si>
  <si>
    <r>
      <rPr>
        <sz val="9"/>
        <color rgb="FF595959"/>
        <rFont val="Noto Sans CJK SC"/>
        <family val="2"/>
      </rPr>
      <t xml:space="preserve">軟體同業 </t>
    </r>
    <r>
      <rPr>
        <sz val="9"/>
        <color rgb="FF595959"/>
        <rFont val="Arial"/>
        <family val="0"/>
        <charset val="1"/>
      </rPr>
      <t xml:space="preserve">NTM EV/EBITDA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StockAnalysis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NTM 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共識依財年時間加權）；中位數用於傳統事業倍數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</si>
  <si>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</si>
  <si>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</si>
  <si>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</si>
  <si>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OCI 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</si>
  <si>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</si>
  <si>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2027-08-31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</si>
  <si>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</si>
  <si>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</si>
  <si>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</si>
  <si>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</si>
  <si>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</si>
  <si>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</si>
  <si>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</si>
  <si>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</si>
  <si>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1Q SBC 1.127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</si>
  <si>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</si>
  <si>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</si>
  <si>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</si>
  <si>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</si>
  <si>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</si>
  <si>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</si>
  <si>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</si>
  <si>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</si>
  <si>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</si>
  <si>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</si>
  <si>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</si>
  <si>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</si>
  <si>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FY27Q1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</si>
  <si>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</si>
  <si>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</si>
  <si>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2026-08-31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</si>
  <si>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</si>
  <si>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</si>
  <si>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2027-08-31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</si>
  <si>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</si>
  <si>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</si>
  <si>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</si>
  <si>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FY27–FY31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</si>
  <si>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</si>
  <si>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</si>
  <si>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2026-10-22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</si>
  <si>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</si>
  <si>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</si>
  <si>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</si>
  <si>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</si>
  <si>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</si>
  <si>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</si>
  <si>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</si>
  <si>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</si>
  <si>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2027-05-31</t>
  </si>
  <si>
    <t xml:space="preserve">2028-05-31</t>
  </si>
  <si>
    <t xml:space="preserve">2029-05-31</t>
  </si>
  <si>
    <t xml:space="preserve">2030-05-31</t>
  </si>
  <si>
    <t xml:space="preserve">2031-05-31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</si>
  <si>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</si>
  <si>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</si>
  <si>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</si>
  <si>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</si>
  <si>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</si>
  <si>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</si>
  <si>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</si>
  <si>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</si>
  <si>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</si>
  <si>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</si>
  <si>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</si>
  <si>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</si>
  <si>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</si>
  <si>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</si>
  <si>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</si>
  <si>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</si>
  <si>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</si>
  <si>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</si>
  <si>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1Q27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2026-06-01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08-31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</si>
  <si>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2026-05-31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</si>
  <si>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Noto Sans CJK SC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2026-05-31</t>
    </r>
    <r>
      <rPr>
        <sz val="9"/>
        <color rgb="FF595959"/>
        <rFont val="Noto Sans CJK SC"/>
        <family val="2"/>
      </rPr>
      <t xml:space="preserve">）現金與約當現金 </t>
    </r>
    <r>
      <rPr>
        <sz val="9"/>
        <color rgb="FF595959"/>
        <rFont val="Arial"/>
        <family val="0"/>
        <charset val="1"/>
      </rPr>
      <t xml:space="preserve">31,289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經查核；另有價證券 </t>
    </r>
    <r>
      <rPr>
        <sz val="9"/>
        <color rgb="FF595959"/>
        <rFont val="Arial"/>
        <family val="0"/>
        <charset val="1"/>
      </rPr>
      <t xml:space="preserve">605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</si>
  <si>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</si>
  <si>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23,103</t>
    </r>
    <r>
      <rPr>
        <sz val="9"/>
        <color rgb="FF595959"/>
        <rFont val="Noto Sans CJK SC"/>
        <family val="2"/>
      </rPr>
      <t xml:space="preserve">；含客戶預付（重大財務組成）</t>
    </r>
    <r>
      <rPr>
        <sz val="9"/>
        <color rgb="FF595959"/>
        <rFont val="Arial"/>
        <family val="0"/>
        <charset val="1"/>
      </rPr>
      <t xml:space="preserve">11,363 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</si>
  <si>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</si>
  <si>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購置不動產、廠房及設備 </t>
    </r>
    <r>
      <rPr>
        <sz val="9"/>
        <color rgb="FF595959"/>
        <rFont val="Arial"/>
        <family val="0"/>
        <charset val="1"/>
      </rPr>
      <t xml:space="preserve">28,499 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</si>
  <si>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</si>
  <si>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</si>
  <si>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</si>
  <si>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t xml:space="preserve">其他投資活動未逐項列入（不適用，差額進其他／受限現金調節）</t>
  </si>
  <si>
    <t xml:space="preserve">借款</t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</si>
  <si>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未新增長期借款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</si>
  <si>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</si>
  <si>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票據、定期貸款與其他借款償還 </t>
    </r>
    <r>
      <rPr>
        <sz val="9"/>
        <color rgb="FF595959"/>
        <rFont val="Arial"/>
        <family val="0"/>
        <charset val="1"/>
      </rPr>
      <t xml:space="preserve">4,202</t>
    </r>
    <r>
      <rPr>
        <sz val="9"/>
        <color rgb="FF595959"/>
        <rFont val="Noto Sans CJK SC"/>
        <family val="2"/>
      </rPr>
      <t xml:space="preserve">（含商業本票約 </t>
    </r>
    <r>
      <rPr>
        <sz val="9"/>
        <color rgb="FF595959"/>
        <rFont val="Arial"/>
        <family val="0"/>
        <charset val="1"/>
      </rPr>
      <t xml:space="preserve">1,100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MD&amp;A</t>
    </r>
    <r>
      <rPr>
        <sz val="9"/>
        <color rgb="FF595959"/>
        <rFont val="Noto Sans CJK SC"/>
        <family val="2"/>
      </rPr>
      <t xml:space="preserve">）；資本支出相關短期融資淨流出 </t>
    </r>
    <r>
      <rPr>
        <sz val="9"/>
        <color rgb="FF595959"/>
        <rFont val="Arial"/>
        <family val="0"/>
        <charset val="1"/>
      </rPr>
      <t xml:space="preserve">830 </t>
    </r>
    <r>
      <rPr>
        <sz val="9"/>
        <color rgb="FF595959"/>
        <rFont val="Noto Sans CJK SC"/>
        <family val="2"/>
      </rPr>
      <t xml:space="preserve">列於調節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</si>
  <si>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</si>
  <si>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不適用</t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</si>
  <si>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</si>
  <si>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淨收入 </t>
    </r>
    <r>
      <rPr>
        <sz val="9"/>
        <color rgb="FF595959"/>
        <rFont val="Arial"/>
        <family val="0"/>
        <charset val="1"/>
      </rPr>
      <t xml:space="preserve">19,909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141m </t>
    </r>
    <r>
      <rPr>
        <sz val="9"/>
        <color rgb="FF595959"/>
        <rFont val="Noto Sans CJK SC"/>
        <family val="2"/>
      </rPr>
      <t xml:space="preserve">股、毛額均價約 </t>
    </r>
    <r>
      <rPr>
        <sz val="9"/>
        <color rgb="FF595959"/>
        <rFont val="Arial"/>
        <family val="0"/>
        <charset val="1"/>
      </rPr>
      <t xml:space="preserve">$141.84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</si>
  <si>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</si>
  <si>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1,428 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</si>
  <si>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</si>
  <si>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950</t>
    </r>
    <r>
      <rPr>
        <sz val="9"/>
        <color rgb="FF595959"/>
        <rFont val="Noto Sans CJK SC"/>
        <family val="2"/>
      </rPr>
      <t xml:space="preserve">＋融資租賃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</si>
  <si>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</si>
  <si>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OCI 7,388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SaaS 4,219</t>
    </r>
    <r>
      <rPr>
        <sz val="9"/>
        <color rgb="FF595959"/>
        <rFont val="Noto Sans CJK SC"/>
        <family val="2"/>
      </rPr>
      <t xml:space="preserve">＋軟體 </t>
    </r>
    <r>
      <rPr>
        <sz val="9"/>
        <color rgb="FF595959"/>
        <rFont val="Arial"/>
        <family val="0"/>
        <charset val="1"/>
      </rPr>
      <t xml:space="preserve">5,550</t>
    </r>
    <r>
      <rPr>
        <sz val="9"/>
        <color rgb="FF595959"/>
        <rFont val="Noto Sans CJK SC"/>
        <family val="2"/>
      </rPr>
      <t xml:space="preserve">＋硬體 </t>
    </r>
    <r>
      <rPr>
        <sz val="9"/>
        <color rgb="FF595959"/>
        <rFont val="Arial"/>
        <family val="0"/>
        <charset val="1"/>
      </rPr>
      <t xml:space="preserve">774</t>
    </r>
    <r>
      <rPr>
        <sz val="9"/>
        <color rgb="FF595959"/>
        <rFont val="Noto Sans CJK SC"/>
        <family val="2"/>
      </rPr>
      <t xml:space="preserve">＋服務 </t>
    </r>
    <r>
      <rPr>
        <sz val="9"/>
        <color rgb="FF595959"/>
        <rFont val="Arial"/>
        <family val="0"/>
        <charset val="1"/>
      </rPr>
      <t xml:space="preserve">1,414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</si>
  <si>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</si>
  <si>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6,728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GAAP 8,151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</si>
  <si>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</si>
  <si>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4,760</t>
    </r>
    <r>
      <rPr>
        <sz val="9"/>
        <color rgb="FF595959"/>
        <rFont val="Noto Sans CJK SC"/>
        <family val="2"/>
      </rPr>
      <t xml:space="preserve">（歸屬普通股 </t>
    </r>
    <r>
      <rPr>
        <sz val="9"/>
        <color rgb="FF595959"/>
        <rFont val="Arial"/>
        <family val="0"/>
        <charset val="1"/>
      </rPr>
      <t xml:space="preserve">4,679</t>
    </r>
    <r>
      <rPr>
        <sz val="9"/>
        <color rgb="FF595959"/>
        <rFont val="Noto Sans CJK SC"/>
        <family val="2"/>
      </rPr>
      <t xml:space="preserve">，扣特別股股利 </t>
    </r>
    <r>
      <rPr>
        <sz val="9"/>
        <color rgb="FF595959"/>
        <rFont val="Arial"/>
        <family val="0"/>
        <charset val="1"/>
      </rPr>
      <t xml:space="preserve">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</si>
  <si>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</si>
  <si>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客戶預付（重大財務組成）流入 </t>
    </r>
    <r>
      <rPr>
        <sz val="9"/>
        <color rgb="FF595959"/>
        <rFont val="Arial"/>
        <family val="0"/>
        <charset val="1"/>
      </rPr>
      <t xml:space="preserve">11,363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</si>
  <si>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D&amp;A</t>
  </si>
  <si>
    <r>
      <rPr>
        <sz val="9"/>
        <color rgb="FF595959"/>
        <rFont val="Noto Sans CJK SC"/>
        <family val="2"/>
      </rPr>
      <t xml:space="preserve">折舊 </t>
    </r>
    <r>
      <rPr>
        <sz val="9"/>
        <color rgb="FF595959"/>
        <rFont val="Arial"/>
        <family val="0"/>
        <charset val="1"/>
      </rPr>
      <t xml:space="preserve">3,156</t>
    </r>
    <r>
      <rPr>
        <sz val="9"/>
        <color rgb="FF595959"/>
        <rFont val="Noto Sans CJK SC"/>
        <family val="2"/>
      </rPr>
      <t xml:space="preserve">＋無形資產攤銷 </t>
    </r>
    <r>
      <rPr>
        <sz val="9"/>
        <color rgb="FF595959"/>
        <rFont val="Arial"/>
        <family val="0"/>
        <charset val="1"/>
      </rPr>
      <t xml:space="preserve">202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</si>
  <si>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</si>
  <si>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股份基礎給付 </t>
    </r>
    <r>
      <rPr>
        <sz val="9"/>
        <color rgb="FF595959"/>
        <rFont val="Arial"/>
        <family val="0"/>
        <charset val="1"/>
      </rPr>
      <t xml:space="preserve">1,127 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</si>
  <si>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</si>
  <si>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1.56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</si>
  <si>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</si>
  <si>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4,760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SBC 1,127)÷</t>
    </r>
    <r>
      <rPr>
        <sz val="9"/>
        <color rgb="FF595959"/>
        <rFont val="Noto Sans CJK SC"/>
        <family val="2"/>
      </rPr>
      <t xml:space="preserve">稀釋加權股數 </t>
    </r>
    <r>
      <rPr>
        <sz val="9"/>
        <color rgb="FF595959"/>
        <rFont val="Arial"/>
        <family val="0"/>
        <charset val="1"/>
      </rPr>
      <t xml:space="preserve">3,000m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1.96 [Derived]</t>
    </r>
    <r>
      <rPr>
        <sz val="9"/>
        <color rgb="FF595959"/>
        <rFont val="Noto Sans CJK SC"/>
        <family val="2"/>
      </rPr>
      <t xml:space="preserve">（公司非 </t>
    </r>
    <r>
      <rPr>
        <sz val="9"/>
        <color rgb="FF595959"/>
        <rFont val="Arial"/>
        <family val="0"/>
        <charset val="1"/>
      </rPr>
      <t xml:space="preserve">GAAP EPS 1.92</t>
    </r>
    <r>
      <rPr>
        <sz val="9"/>
        <color rgb="FF595959"/>
        <rFont val="Noto Sans CJK SC"/>
        <family val="2"/>
      </rPr>
      <t xml:space="preserve">，口徑不同）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</si>
  <si>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</si>
  <si>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股利支付 </t>
    </r>
    <r>
      <rPr>
        <sz val="9"/>
        <color rgb="FF595959"/>
        <rFont val="Arial"/>
        <family val="0"/>
        <charset val="1"/>
      </rPr>
      <t xml:space="preserve">1,565</t>
    </r>
    <r>
      <rPr>
        <sz val="9"/>
        <color rgb="FF595959"/>
        <rFont val="Noto Sans CJK SC"/>
        <family val="2"/>
      </rPr>
      <t xml:space="preserve">（普通股＋特別股；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</si>
  <si>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</si>
  <si>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11.307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FY27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2026-09-10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口徑＝非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營業利益＋折舊（</t>
    </r>
    <r>
      <rPr>
        <sz val="9"/>
        <color rgb="FF595959"/>
        <rFont val="Arial"/>
        <family val="0"/>
        <charset val="1"/>
      </rPr>
      <t xml:space="preserve">FY26 36.549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28.926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7.623</t>
    </r>
    <r>
      <rPr>
        <sz val="9"/>
        <color rgb="FF595959"/>
        <rFont val="Noto Sans CJK SC"/>
        <family val="2"/>
      </rPr>
      <t xml:space="preserve">），本列同口徑。非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8.151</t>
    </r>
    <r>
      <rPr>
        <sz val="9"/>
        <color rgb="FF595959"/>
        <rFont val="Noto Sans CJK SC"/>
        <family val="2"/>
      </rPr>
      <t xml:space="preserve">（新聞稿）＋折舊 </t>
    </r>
    <r>
      <rPr>
        <sz val="9"/>
        <color rgb="FF595959"/>
        <rFont val="Arial"/>
        <family val="0"/>
        <charset val="1"/>
      </rPr>
      <t xml:space="preserve">3.156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；不含無形資產攤銷 </t>
    </r>
    <r>
      <rPr>
        <sz val="9"/>
        <color rgb="FF595959"/>
        <rFont val="Arial"/>
        <family val="0"/>
        <charset val="1"/>
      </rPr>
      <t xml:space="preserve">0.202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11.307 [Derived]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</si>
  <si>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</si>
  <si>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</si>
  <si>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</si>
  <si>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</si>
  <si>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情境區間運算表｜基準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</si>
  <si>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情境區間運算表｜積極 依公司時程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</si>
  <si>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data/consensus_orcl_20261007.json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</si>
  <si>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</si>
  <si>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</si>
  <si>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</si>
  <si>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</si>
  <si>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</si>
  <si>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</si>
  <si>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</si>
  <si>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</si>
  <si>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</si>
  <si>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https://stockanalysis.com/stocks/orcl/history/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</si>
  <si>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</si>
  <si>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</si>
  <si>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2026-10-07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</si>
  <si>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</si>
  <si>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</si>
  <si>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</si>
  <si>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</si>
  <si>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</si>
  <si>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</si>
  <si>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</si>
  <si>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</si>
  <si>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</si>
  <si>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https://www.marketbeat.com/stocks/NYSE/ORCL/forecast/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</si>
  <si>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</si>
  <si>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</si>
  <si>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</si>
  <si>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</si>
  <si>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https://finance.yahoo.com/quote/ORCL/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</si>
  <si>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</si>
  <si>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</si>
  <si>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</si>
  <si>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</si>
  <si>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</si>
  <si>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</si>
  <si>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</si>
  <si>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</si>
  <si>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</si>
  <si>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https://www.marketscreener.com/quote/stock/ORACLE-CORPORATION-13620698/finances/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</si>
  <si>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</si>
  <si>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</si>
  <si>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</si>
  <si>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共識｜年度｜利息支付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</si>
  <si>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</si>
  <si>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</si>
  <si>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</si>
  <si>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</si>
  <si>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</si>
  <si>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</si>
  <si>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</si>
  <si>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EBIT </t>
    </r>
    <r>
      <rPr>
        <sz val="10"/>
        <rFont val="Noto Sans CJK SC"/>
        <family val="2"/>
      </rPr>
      <t xml:space="preserve">為非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營業利益口徑（</t>
    </r>
    <r>
      <rPr>
        <sz val="10"/>
        <rFont val="Arial"/>
        <family val="0"/>
        <charset val="1"/>
      </rPr>
      <t xml:space="preserve">MarketScreener 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EBIT 28.926 </t>
    </r>
    <r>
      <rPr>
        <sz val="10"/>
        <rFont val="Noto Sans CJK SC"/>
        <family val="2"/>
      </rPr>
      <t xml:space="preserve">與公司非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28.926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營業利益＋折舊（</t>
    </r>
    <r>
      <rPr>
        <sz val="10"/>
        <rFont val="Arial"/>
        <family val="0"/>
        <charset val="1"/>
      </rPr>
      <t xml:space="preserve">FY26 36.549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28.926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7.623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5.83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稀釋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）；淨負債是否含租賃負債未揭露（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97.647 ≈ </t>
    </r>
    <r>
      <rPr>
        <sz val="10"/>
        <rFont val="Noto Sans CJK SC"/>
        <family val="2"/>
      </rPr>
      <t xml:space="preserve">帳面借款 </t>
    </r>
    <r>
      <rPr>
        <sz val="10"/>
        <rFont val="Arial"/>
        <family val="0"/>
        <charset val="1"/>
      </rPr>
      <t xml:space="preserve">129.541 − </t>
    </r>
    <r>
      <rPr>
        <sz val="10"/>
        <rFont val="Noto Sans CJK SC"/>
        <family val="2"/>
      </rPr>
      <t xml:space="preserve">現金及有價證券 </t>
    </r>
    <r>
      <rPr>
        <sz val="10"/>
        <rFont val="Arial"/>
        <family val="0"/>
        <charset val="1"/>
      </rPr>
      <t xml:space="preserve">31.894</t>
    </r>
    <r>
      <rPr>
        <sz val="10"/>
        <rFont val="Noto Sans CJK SC"/>
        <family val="2"/>
      </rPr>
      <t xml:space="preserve">，即不含租賃）。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</si>
  <si>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</si>
  <si>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</si>
  <si>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</si>
  <si>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免費只提供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不同，不可混用）；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需付費。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提供 </t>
    </r>
    <r>
      <rPr>
        <sz val="9"/>
        <color rgb="FF595959"/>
        <rFont val="Arial"/>
        <family val="0"/>
        <charset val="1"/>
      </rPr>
      <t xml:space="preserve">FY27–FY28</t>
    </r>
    <r>
      <rPr>
        <sz val="9"/>
        <color rgb="FF595959"/>
        <rFont val="Noto Sans CJK SC"/>
        <family val="2"/>
      </rPr>
      <t xml:space="preserve">（獨立來源）。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</si>
  <si>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FY27Q2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FY27Q3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</si>
  <si>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</si>
  <si>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</si>
  <si>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</si>
  <si>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</si>
  <si>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</si>
  <si>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Q2 FY27</t>
    </r>
    <r>
      <rPr>
        <sz val="10"/>
        <rFont val="Noto Sans CJK SC"/>
        <family val="2"/>
      </rPr>
      <t xml:space="preserve">（季末 </t>
    </r>
    <r>
      <rPr>
        <sz val="10"/>
        <rFont val="Arial"/>
        <family val="0"/>
        <charset val="1"/>
      </rPr>
      <t xml:space="preserve">2026-11-30</t>
    </r>
    <r>
      <rPr>
        <sz val="10"/>
        <rFont val="Noto Sans CJK SC"/>
        <family val="2"/>
      </rPr>
      <t xml:space="preserve">）共識營收 </t>
    </r>
    <r>
      <rPr>
        <sz val="10"/>
        <rFont val="Arial"/>
        <family val="0"/>
        <charset val="1"/>
      </rPr>
      <t xml:space="preserve">21.322 </t>
    </r>
    <r>
      <rPr>
        <sz val="10"/>
        <rFont val="Noto Sans CJK SC"/>
        <family val="2"/>
      </rPr>
      <t xml:space="preserve">＝ 去年同季 </t>
    </r>
    <r>
      <rPr>
        <sz val="10"/>
        <rFont val="Arial"/>
        <family val="0"/>
        <charset val="1"/>
      </rPr>
      <t xml:space="preserve">16.058 × 1.328</t>
    </r>
    <r>
      <rPr>
        <sz val="10"/>
        <rFont val="Noto Sans CJK SC"/>
        <family val="2"/>
      </rPr>
      <t xml:space="preserve">，落在公司指引年增 </t>
    </r>
    <r>
      <rPr>
        <sz val="10"/>
        <rFont val="Arial"/>
        <family val="0"/>
        <charset val="1"/>
      </rPr>
      <t xml:space="preserve">30%–34%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20.875–21.518</t>
    </r>
    <r>
      <rPr>
        <sz val="10"/>
        <rFont val="Noto Sans CJK SC"/>
        <family val="2"/>
      </rPr>
      <t xml:space="preserve">）區間內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</si>
  <si>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</si>
  <si>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營收（下限）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</si>
  <si>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</si>
  <si>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）；資本支出與淨現金資本支出為法說會口述（二手逐字稿），融資額為 </t>
    </r>
    <r>
      <rPr>
        <sz val="9"/>
        <color rgb="FF595959"/>
        <rFont val="Arial"/>
        <family val="0"/>
        <charset val="1"/>
      </rPr>
      <t xml:space="preserve">Q4 FY26 </t>
    </r>
    <r>
      <rPr>
        <sz val="9"/>
        <color rgb="FF595959"/>
        <rFont val="Noto Sans CJK SC"/>
        <family val="2"/>
      </rPr>
      <t xml:space="preserve">新聞稿與簡報｜</t>
    </r>
    <r>
      <rPr>
        <sz val="9"/>
        <color rgb="FF595959"/>
        <rFont val="Arial"/>
        <family val="0"/>
        <charset val="1"/>
      </rPr>
      <t xml:space="preserve">https://www.sec.gov/Archives/edgar/data/1341439/000119312526387905/orcl-ex99_1.htm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</si>
  <si>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</si>
  <si>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淨現金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（上限）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</si>
  <si>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</si>
  <si>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資本市場融資</t>
    </r>
  </si>
  <si>
    <r>
      <rPr>
        <sz val="9"/>
        <color rgb="FF595959"/>
        <rFont val="Noto Sans CJK SC"/>
        <family val="2"/>
      </rPr>
      <t xml:space="preserve">公司指引屬利害關係人（管理層）預估；營收與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為新聞稿正式文字；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90–95 </t>
    </r>
    <r>
      <rPr>
        <sz val="9"/>
        <color rgb="FF595959"/>
        <rFont val="Noto Sans CJK SC"/>
        <family val="2"/>
      </rPr>
      <t xml:space="preserve">只見於法說（見事實總帳 </t>
    </r>
    <r>
      <rPr>
        <sz val="9"/>
        <color rgb="FF595959"/>
        <rFont val="Arial"/>
        <family val="0"/>
        <charset val="1"/>
      </rPr>
      <t xml:space="preserve">guide.fy27.capex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</si>
  <si>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（經 </t>
    </r>
    <r>
      <rPr>
        <b val="true"/>
        <sz val="11"/>
        <color rgb="FFFFFFFF"/>
        <rFont val="Arial"/>
        <family val="0"/>
        <charset val="1"/>
      </rPr>
      <t xml:space="preserve">Yahoo Finance</t>
    </r>
    <r>
      <rPr>
        <b val="true"/>
        <sz val="11"/>
        <color rgb="FFFFFFFF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</si>
  <si>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</si>
  <si>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）（經 </t>
    </r>
    <r>
      <rPr>
        <sz val="9"/>
        <color rgb="FF595959"/>
        <rFont val="Arial"/>
        <family val="0"/>
        <charset val="1"/>
      </rPr>
      <t xml:space="preserve">Yahoo Finance Analysis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https://finance.yahoo.com/quote/ORCL/analysis/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</si>
  <si>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</si>
  <si>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</si>
  <si>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</si>
  <si>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系）</t>
    </r>
    <r>
      <rPr>
        <sz val="9"/>
        <color rgb="FF595959"/>
        <rFont val="Arial"/>
        <family val="0"/>
        <charset val="1"/>
      </rPr>
      <t xml:space="preserve">FY27 90.449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FY28 131.711 </t>
    </r>
    <r>
      <rPr>
        <sz val="9"/>
        <color rgb="FF595959"/>
        <rFont val="Noto Sans CJK SC"/>
        <family val="2"/>
      </rPr>
      <t xml:space="preserve">差異 </t>
    </r>
    <r>
      <rPr>
        <sz val="9"/>
        <color rgb="FF595959"/>
        <rFont val="Arial"/>
        <family val="0"/>
        <charset val="1"/>
      </rPr>
      <t xml:space="preserve">&lt;0.3%</t>
    </r>
    <r>
      <rPr>
        <sz val="9"/>
        <color rgb="FF595959"/>
        <rFont val="Noto Sans CJK SC"/>
        <family val="2"/>
      </rPr>
      <t xml:space="preserve">，兩個獨立供應商一致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</si>
  <si>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</si>
  <si>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Yorkville Ives &amp; Co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Daniel Ives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</si>
  <si>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</si>
  <si>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r>
      <rPr>
        <sz val="9"/>
        <color rgb="FF595959"/>
        <rFont val="Arial"/>
        <family val="0"/>
        <charset val="1"/>
      </rPr>
      <t xml:space="preserve">Hold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</si>
  <si>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Bernstein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Mark Moerdler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</si>
  <si>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</si>
  <si>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Stifel Nicolaus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Brad Reback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</si>
  <si>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Evercore ISI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Kirk Materne</t>
    </r>
    <r>
      <rPr>
        <sz val="10"/>
        <rFont val="Noto Sans CJK SC"/>
        <family val="2"/>
      </rPr>
      <t xml:space="preserve">）</t>
    </r>
  </si>
  <si>
    <t xml:space="preserve">目標價未列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</si>
  <si>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William Blair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Sebastien Naji</t>
    </r>
    <r>
      <rPr>
        <sz val="10"/>
        <rFont val="Noto Sans CJK SC"/>
        <family val="2"/>
      </rPr>
      <t xml:space="preserve">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</si>
  <si>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</si>
  <si>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</si>
  <si>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的年度與季度預估一般亦屬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系（與 </t>
    </r>
    <r>
      <rPr>
        <sz val="10"/>
        <rFont val="Arial"/>
        <family val="0"/>
        <charset val="1"/>
      </rPr>
      <t xml:space="preserve">CRWV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共識檔同一判斷），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90.45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90.449 </t>
    </r>
    <r>
      <rPr>
        <sz val="10"/>
        <rFont val="Noto Sans CJK SC"/>
        <family val="2"/>
      </rPr>
      <t xml:space="preserve">幾乎相同，視為同一底層來源的兩個呈現，不算獨立交叉驗證。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的營收與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預估來自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90.48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FY28 131.45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90.449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131.711 </t>
    </r>
    <r>
      <rPr>
        <sz val="10"/>
        <rFont val="Noto Sans CJK SC"/>
        <family val="2"/>
      </rPr>
      <t xml:space="preserve">一致，可作 </t>
    </r>
    <r>
      <rPr>
        <sz val="10"/>
        <rFont val="Arial"/>
        <family val="0"/>
        <charset val="1"/>
      </rPr>
      <t xml:space="preserve">FY27–FY28 </t>
    </r>
    <r>
      <rPr>
        <sz val="10"/>
        <rFont val="Noto Sans CJK SC"/>
        <family val="2"/>
      </rPr>
      <t xml:space="preserve">營收的獨立交叉。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237.97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完全相同，推測同源，不算獨立。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</si>
  <si>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</si>
  <si>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</si>
  <si>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</si>
  <si>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</si>
  <si>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FY29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</si>
  <si>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</si>
  <si>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</si>
  <si>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</si>
  <si>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Q1 FY27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</si>
  <si>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</si>
  <si>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</si>
  <si>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</si>
  <si>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</si>
  <si>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</si>
  <si>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</si>
  <si>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Q2 FY27</t>
  </si>
  <si>
    <t xml:space="preserve">Q3 FY27</t>
  </si>
  <si>
    <t xml:space="preserve">Q4 FY27</t>
  </si>
  <si>
    <t xml:space="preserve">Q1 FY28</t>
  </si>
  <si>
    <t xml:space="preserve">Q2 FY28</t>
  </si>
  <si>
    <t xml:space="preserve">Q3 FY28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</si>
  <si>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</si>
  <si>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2Q–4Q27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</si>
  <si>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</si>
  <si>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</si>
  <si>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</si>
  <si>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Q1 FY27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</si>
  <si>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</si>
  <si>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</si>
  <si>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2026-08-31</t>
    </r>
    <r>
      <rPr>
        <sz val="9"/>
        <color rgb="FF595959"/>
        <rFont val="Noto Sans CJK SC"/>
        <family val="2"/>
      </rPr>
      <t xml:space="preserve">）已連網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1,835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850 MW ÷ 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708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2,543 [Derived]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</si>
  <si>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</si>
  <si>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</si>
  <si>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</si>
  <si>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</si>
  <si>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</si>
  <si>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季度實際｜季末已交付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（口徑不明）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</si>
  <si>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</si>
  <si>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</si>
  <si>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</si>
  <si>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</si>
  <si>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財報新聞稿：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營收年增 </t>
    </r>
    <r>
      <rPr>
        <sz val="9"/>
        <color rgb="FF595959"/>
        <rFont val="Arial"/>
        <family val="0"/>
        <charset val="1"/>
      </rPr>
      <t xml:space="preserve">30%–34%</t>
    </r>
    <r>
      <rPr>
        <sz val="9"/>
        <color rgb="FF595959"/>
        <rFont val="Noto Sans CJK SC"/>
        <family val="2"/>
      </rPr>
      <t xml:space="preserve">（美元）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去年同季 </t>
    </r>
    <r>
      <rPr>
        <sz val="9"/>
        <color rgb="FF595959"/>
        <rFont val="Arial"/>
        <family val="0"/>
        <charset val="1"/>
      </rPr>
      <t xml:space="preserve">16.058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20.875–21.518 [Derived] [Interested-party]</t>
    </r>
  </si>
  <si>
    <t xml:space="preserve">季度指引｜營收（高）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</si>
  <si>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2Q–4Q27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</si>
  <si>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實際＝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；營收指引為下限（≥</t>
    </r>
    <r>
      <rPr>
        <sz val="9"/>
        <color rgb="FF595959"/>
        <rFont val="Arial"/>
        <family val="0"/>
        <charset val="1"/>
      </rPr>
      <t xml:space="preserve">90</t>
    </r>
    <r>
      <rPr>
        <sz val="9"/>
        <color rgb="FF595959"/>
        <rFont val="Noto Sans CJK SC"/>
        <family val="2"/>
      </rPr>
      <t xml:space="preserve">），以下限作比較基準；只用於判斷季度差距是否為「拆法」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</si>
  <si>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2Q–4Q27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</si>
  <si>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</si>
  <si>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實際（季報現金流量表口徑）＋第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季模型；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</si>
  <si>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</si>
  <si>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</si>
  <si>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</si>
  <si>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</si>
  <si>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</si>
  <si>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</si>
  <si>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成長型＋汰換 </t>
    </r>
    <r>
      <rPr>
        <sz val="9"/>
        <color rgb="FF595959"/>
        <rFont val="Arial"/>
        <family val="0"/>
        <charset val="1"/>
      </rPr>
      <t xml:space="preserve">CapEx)× </t>
    </r>
    <r>
      <rPr>
        <sz val="9"/>
        <color rgb="FF595959"/>
        <rFont val="Noto Sans CJK SC"/>
        <family val="2"/>
      </rPr>
      <t xml:space="preserve">預付比率（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：汰換同樣適用覆蓋比）；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</si>
  <si>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</si>
  <si>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</si>
  <si>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</si>
  <si>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</si>
  <si>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</si>
  <si>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</si>
  <si>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</si>
  <si>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</si>
  <si>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</si>
  <si>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</si>
  <si>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</si>
  <si>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39.283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2Q–4Q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1.136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</si>
  <si>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</si>
  <si>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288.0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</si>
  <si>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</si>
  <si>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租金已含在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率內（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營業租賃費用屬營業費用）：營運來源以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率＋租金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營收計（租前），此列再扣，淨效果中性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</si>
  <si>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</si>
  <si>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</si>
  <si>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2026-05-31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</si>
  <si>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</si>
  <si>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</si>
  <si>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</si>
  <si>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</si>
  <si>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</si>
  <si>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</si>
  <si>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</si>
  <si>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</si>
  <si>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</si>
  <si>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</si>
  <si>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</si>
  <si>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</si>
  <si>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</si>
  <si>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4.202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3.007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</si>
  <si>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</si>
  <si>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</si>
  <si>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</si>
  <si>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</si>
  <si>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</si>
  <si>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</si>
  <si>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</si>
  <si>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1Q27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</si>
  <si>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</si>
  <si>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</si>
  <si>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</si>
  <si>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</si>
  <si>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</si>
  <si>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</si>
  <si>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</si>
  <si>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Noto Sans CJK SC"/>
        <family val="2"/>
      </rPr>
      <t xml:space="preserve">、軟體、硬體、服務四線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，視為現金（現金稅另列於用途；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</si>
  <si>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</si>
  <si>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</si>
  <si>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</si>
  <si>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</si>
  <si>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</si>
  <si>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</si>
  <si>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</si>
  <si>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ATM </t>
    </r>
    <r>
      <rPr>
        <sz val="9"/>
        <color rgb="FF595959"/>
        <rFont val="Noto Sans CJK SC"/>
        <family val="2"/>
      </rPr>
      <t xml:space="preserve">淨收入 </t>
    </r>
    <r>
      <rPr>
        <sz val="9"/>
        <color rgb="FF595959"/>
        <rFont val="Arial"/>
        <family val="0"/>
        <charset val="1"/>
      </rPr>
      <t xml:space="preserve">19.909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141m </t>
    </r>
    <r>
      <rPr>
        <sz val="9"/>
        <color rgb="FF595959"/>
        <rFont val="Noto Sans CJK SC"/>
        <family val="2"/>
      </rPr>
      <t xml:space="preserve">股、均價約 </t>
    </r>
    <r>
      <rPr>
        <sz val="9"/>
        <color rgb="FF595959"/>
        <rFont val="Arial"/>
        <family val="0"/>
        <charset val="1"/>
      </rPr>
      <t xml:space="preserve">$141.84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</si>
  <si>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Ⓕ 1Q27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</si>
  <si>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</si>
  <si>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</si>
  <si>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</si>
  <si>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</si>
  <si>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</si>
  <si>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</si>
  <si>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</si>
  <si>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</si>
  <si>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</si>
  <si>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</si>
  <si>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</si>
  <si>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</si>
  <si>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</si>
  <si>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</si>
  <si>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</si>
  <si>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</si>
  <si>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</si>
  <si>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</si>
  <si>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</si>
  <si>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</si>
  <si>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</si>
  <si>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</si>
  <si>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</si>
  <si>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</si>
  <si>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39.283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</si>
  <si>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</si>
  <si>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</si>
  <si>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</si>
  <si>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</si>
  <si>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</si>
  <si>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</si>
  <si>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</si>
  <si>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</si>
  <si>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</si>
  <si>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</si>
  <si>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</si>
  <si>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</si>
  <si>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</si>
  <si>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</si>
  <si>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</si>
  <si>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8/31 RPO 664.0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</si>
  <si>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</si>
  <si>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</si>
  <si>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</si>
  <si>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</si>
  <si>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125.904)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</si>
  <si>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</si>
  <si>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</si>
  <si>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</si>
  <si>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</si>
  <si>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</si>
  <si>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</si>
  <si>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</si>
  <si>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</si>
  <si>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</si>
  <si>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</si>
  <si>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</si>
  <si>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</si>
  <si>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</si>
  <si>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</si>
  <si>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3.02374bn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</si>
  <si>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</si>
  <si>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</si>
  <si>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</si>
  <si>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</si>
  <si>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</si>
  <si>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</si>
  <si>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</si>
  <si>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</si>
  <si>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</si>
  <si>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</si>
  <si>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</si>
  <si>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</si>
  <si>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</si>
  <si>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</si>
  <si>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</si>
  <si>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2026-05-31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</si>
  <si>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</si>
  <si>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</si>
  <si>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</si>
  <si>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</si>
  <si>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</si>
  <si>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</si>
  <si>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</si>
  <si>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</si>
  <si>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</si>
  <si>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</si>
  <si>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</si>
  <si>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</si>
  <si>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</si>
  <si>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≥</t>
    </r>
    <r>
      <rPr>
        <sz val="9"/>
        <color rgb="FF595959"/>
        <rFont val="Arial"/>
        <family val="0"/>
        <charset val="1"/>
      </rPr>
      <t xml:space="preserve">90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</si>
  <si>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</si>
  <si>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（法說會二手逐字稿；新聞稿與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</si>
  <si>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</si>
  <si>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</si>
  <si>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</si>
  <si>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1.136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</si>
  <si>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</si>
  <si>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4.202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3.007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</si>
  <si>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</si>
  <si>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</si>
  <si>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</si>
  <si>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</si>
  <si>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</si>
  <si>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</si>
  <si>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</si>
  <si>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</si>
  <si>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</si>
  <si>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</si>
  <si>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</si>
  <si>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</si>
  <si>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</si>
  <si>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</si>
  <si>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</si>
  <si>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</si>
  <si>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</si>
  <si>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</si>
  <si>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</si>
  <si>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</si>
  <si>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</si>
  <si>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</si>
  <si>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</si>
  <si>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</si>
  <si>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</si>
  <si>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</si>
  <si>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</si>
  <si>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2Q–4Q27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FY28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</si>
  <si>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</si>
  <si>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</si>
  <si>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</si>
  <si>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</si>
  <si>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</si>
  <si>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</si>
  <si>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</si>
  <si>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</si>
  <si>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</si>
  <si>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</si>
  <si>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</si>
  <si>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2Q–4Q27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</si>
  <si>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</si>
  <si>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</si>
  <si>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</si>
  <si>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</si>
  <si>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</si>
  <si>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</si>
  <si>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</si>
  <si>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</si>
  <si>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</si>
  <si>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</si>
  <si>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</si>
  <si>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</si>
  <si>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</si>
  <si>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</si>
  <si>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</si>
  <si>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</si>
  <si>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</si>
  <si>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</si>
  <si>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</si>
  <si>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</si>
  <si>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營業利益（含 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調整，口徑不同）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</si>
  <si>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</si>
  <si>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</si>
  <si>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</si>
  <si>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</si>
  <si>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</si>
  <si>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</si>
  <si>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</si>
  <si>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實際｜季末已交付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（口徑不明）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</si>
  <si>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</si>
  <si>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</si>
  <si>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</si>
  <si>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</si>
  <si>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</si>
  <si>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</si>
  <si>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</si>
  <si>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</si>
  <si>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</si>
  <si>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</si>
  <si>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</si>
  <si>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</si>
  <si>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</si>
  <si>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</si>
  <si>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</si>
  <si>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</si>
  <si>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</si>
  <si>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</si>
  <si>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</si>
  <si>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</si>
  <si>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</si>
  <si>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</si>
  <si>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</si>
  <si>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</si>
  <si>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</si>
  <si>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</si>
  <si>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</si>
  <si>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</si>
  <si>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</si>
  <si>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</si>
  <si>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</si>
  <si>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</si>
  <si>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</si>
  <si>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</si>
  <si>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</si>
  <si>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</si>
  <si>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</si>
  <si>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</si>
  <si>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</si>
  <si>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</si>
  <si>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</si>
  <si>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</si>
  <si>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</si>
  <si>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</si>
  <si>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</si>
  <si>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</si>
  <si>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</si>
  <si>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</si>
  <si>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</si>
  <si>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</si>
  <si>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</si>
  <si>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</si>
  <si>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</si>
  <si>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</si>
  <si>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</si>
  <si>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</si>
  <si>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</si>
  <si>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</si>
  <si>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</si>
  <si>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</si>
  <si>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</si>
  <si>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</si>
  <si>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</si>
  <si>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</si>
  <si>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</si>
  <si>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</si>
  <si>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</si>
  <si>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</si>
  <si>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</si>
  <si>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</si>
  <si>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</si>
  <si>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</si>
  <si>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</si>
  <si>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</si>
  <si>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</si>
  <si>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</si>
  <si>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</si>
  <si>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</si>
  <si>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</si>
  <si>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</si>
  <si>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</si>
  <si>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</si>
  <si>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</si>
  <si>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</si>
  <si>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</si>
  <si>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</si>
  <si>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</si>
  <si>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</si>
  <si>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</si>
  <si>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</si>
  <si>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</si>
  <si>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</si>
  <si>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</si>
  <si>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</si>
  <si>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</si>
  <si>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2Q–4Q27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FY28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</si>
  <si>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</si>
  <si>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</si>
  <si>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</si>
  <si>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</si>
  <si>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</si>
  <si>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</si>
  <si>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</si>
  <si>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</si>
  <si>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的模型期只有第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</si>
  <si>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</si>
  <si>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</si>
  <si>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</si>
  <si>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</si>
  <si>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</si>
  <si>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</si>
  <si>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</si>
  <si>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</si>
  <si>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</si>
  <si>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</si>
  <si>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欄為第 </t>
    </r>
    <r>
      <rPr>
        <sz val="10"/>
        <rFont val="Arial"/>
        <family val="0"/>
        <charset val="1"/>
      </rPr>
      <t xml:space="preserve">2–4 </t>
    </r>
    <r>
      <rPr>
        <sz val="10"/>
        <rFont val="Noto Sans CJK SC"/>
        <family val="2"/>
      </rPr>
      <t xml:space="preserve">季平均）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</si>
  <si>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</si>
  <si>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</si>
  <si>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</si>
  <si>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</si>
  <si>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</si>
  <si>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(8/31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</si>
  <si>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</si>
  <si>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</si>
  <si>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</si>
  <si>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</si>
  <si>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</si>
  <si>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</si>
  <si>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</si>
  <si>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</si>
  <si>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</si>
  <si>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</si>
  <si>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</si>
  <si>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</si>
  <si>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</si>
  <si>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</si>
  <si>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</si>
  <si>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</si>
  <si>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</si>
  <si>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</si>
  <si>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</si>
  <si>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664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（含傳統事業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</si>
  <si>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1Q27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</si>
  <si>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2026-06-01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08-31 </t>
    </r>
    <r>
      <rPr>
        <sz val="9"/>
        <color rgb="FF595959"/>
        <rFont val="Noto Sans CJK SC"/>
        <family val="2"/>
      </rPr>
      <t xml:space="preserve">已認列營收。已實現，不受第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季產能約束，故不進入上方的瓶頸計算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</si>
  <si>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實際＋模型期算力＋服務＋傳統事業）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</si>
  <si>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欄對照公司全年指引 ≥</t>
    </r>
    <r>
      <rPr>
        <sz val="9"/>
        <color rgb="FF595959"/>
        <rFont val="Arial"/>
        <family val="0"/>
        <charset val="1"/>
      </rPr>
      <t xml:space="preserve">90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</si>
  <si>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</si>
  <si>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</si>
  <si>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</si>
  <si>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</si>
  <si>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</si>
  <si>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</si>
  <si>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</si>
  <si>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</si>
  <si>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</si>
  <si>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</si>
  <si>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</si>
  <si>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</si>
  <si>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</si>
  <si>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2Q–4Q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</si>
  <si>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</si>
  <si>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</si>
  <si>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r>
      <rPr>
        <sz val="10"/>
        <rFont val="Noto Sans CJK SC"/>
        <family val="2"/>
      </rPr>
      <t xml:space="preserve">建設延誤月數｜保守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</si>
  <si>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</si>
  <si>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r>
      <rPr>
        <sz val="10"/>
        <rFont val="Noto Sans CJK SC"/>
        <family val="2"/>
      </rPr>
      <t xml:space="preserve">建設延誤月數｜基準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</si>
  <si>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建設延誤月數｜積極 依公司時程</t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</si>
  <si>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</si>
  <si>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</si>
  <si>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</si>
  <si>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</si>
  <si>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</si>
  <si>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</si>
  <si>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</si>
  <si>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</si>
  <si>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</si>
  <si>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</si>
  <si>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</si>
  <si>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</si>
  <si>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</si>
  <si>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</si>
  <si>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</si>
  <si>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</si>
  <si>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</si>
  <si>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</si>
  <si>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</si>
  <si>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</si>
  <si>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</si>
  <si>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</si>
  <si>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</si>
  <si>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</si>
  <si>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</si>
  <si>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</si>
  <si>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</si>
  <si>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</si>
  <si>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</si>
  <si>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</si>
  <si>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</si>
  <si>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</si>
  <si>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</si>
  <si>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</si>
  <si>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</si>
  <si>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</si>
  <si>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</si>
  <si>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</si>
  <si>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Abilene, TX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Stargate </t>
    </r>
    <r>
      <rPr>
        <sz val="10"/>
        <rFont val="Noto Sans CJK SC"/>
        <family val="2"/>
      </rPr>
      <t xml:space="preserve">一期）</t>
    </r>
  </si>
  <si>
    <r>
      <rPr>
        <sz val="9"/>
        <color rgb="FF595959"/>
        <rFont val="Arial"/>
        <family val="0"/>
        <charset val="1"/>
      </rPr>
      <t xml:space="preserve">Crusoe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Blue Owl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承租（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</si>
  <si>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</si>
  <si>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2026–2027</t>
  </si>
  <si>
    <t xml:space="preserve">—</t>
  </si>
  <si>
    <r>
      <rPr>
        <sz val="9"/>
        <color rgb="FF595959"/>
        <rFont val="Noto Sans CJK SC"/>
        <family val="2"/>
      </rPr>
      <t xml:space="preserve">法說：已交付 </t>
    </r>
    <r>
      <rPr>
        <sz val="9"/>
        <color rgb="FF595959"/>
        <rFont val="Arial"/>
        <family val="0"/>
        <charset val="1"/>
      </rPr>
      <t xml:space="preserve">618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515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1.2 GW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</si>
  <si>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Shackelford County, TX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Frontier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</si>
  <si>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Vantage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</si>
  <si>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</si>
  <si>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2.0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1,667 MW-IT</t>
    </r>
    <r>
      <rPr>
        <sz val="9"/>
        <color rgb="FF595959"/>
        <rFont val="Noto Sans CJK SC"/>
        <family val="2"/>
      </rPr>
      <t xml:space="preserve">）；開發商融資 </t>
    </r>
    <r>
      <rPr>
        <sz val="9"/>
        <color rgb="FF595959"/>
        <rFont val="Arial"/>
        <family val="0"/>
        <charset val="1"/>
      </rPr>
      <t xml:space="preserve">38B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Port Washington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</si>
  <si>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Doña Ana County, NM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Project Jupiter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</si>
  <si>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BorderPlex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STACK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</si>
  <si>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t xml:space="preserve">延後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</si>
  <si>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2.2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2026-09-24 Oracle </t>
    </r>
    <r>
      <rPr>
        <sz val="9"/>
        <color rgb="FF595959"/>
        <rFont val="Noto Sans CJK SC"/>
        <family val="2"/>
      </rPr>
      <t xml:space="preserve">發不可抗力通知（能源延誤）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</si>
  <si>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Port Washington, WI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</si>
  <si>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1.3 GW [Derived]</t>
    </r>
  </si>
  <si>
    <r>
      <rPr>
        <sz val="10"/>
        <rFont val="Arial"/>
        <family val="0"/>
        <charset val="1"/>
      </rPr>
      <t xml:space="preserve">Saline Township, MI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The Barn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</si>
  <si>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Related Digital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</si>
  <si>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1.4 GW</t>
    </r>
    <r>
      <rPr>
        <sz val="9"/>
        <color rgb="FF595959"/>
        <rFont val="Noto Sans CJK SC"/>
        <family val="2"/>
      </rPr>
      <t xml:space="preserve">；開發商融資 </t>
    </r>
    <r>
      <rPr>
        <sz val="9"/>
        <color rgb="FF595959"/>
        <rFont val="Arial"/>
        <family val="0"/>
        <charset val="1"/>
      </rPr>
      <t xml:space="preserve">16B [Derived]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</si>
  <si>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</si>
  <si>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</si>
  <si>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</si>
  <si>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</si>
  <si>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</si>
  <si>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</si>
  <si>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</si>
  <si>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</si>
  <si>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</si>
  <si>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</si>
  <si>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</si>
  <si>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</si>
  <si>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</si>
  <si>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</si>
  <si>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</si>
  <si>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</si>
  <si>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</si>
  <si>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</si>
  <si>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</si>
  <si>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</si>
  <si>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</si>
  <si>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</si>
  <si>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</si>
  <si>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</si>
  <si>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</si>
  <si>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</si>
  <si>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</si>
  <si>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收入 — 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定價倍數 </t>
    </r>
    <r>
      <rPr>
        <b val="true"/>
        <sz val="14"/>
        <rFont val="Arial"/>
        <family val="0"/>
        <charset val="1"/>
      </rPr>
      <t xml:space="preserve">k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Oracle v0.3</t>
    </r>
    <r>
      <rPr>
        <b val="true"/>
        <sz val="14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</si>
  <si>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計費時數）＝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平均在役世代占比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打平租金）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take-or-pay </t>
    </r>
    <r>
      <rPr>
        <sz val="9"/>
        <color rgb="FF595959"/>
        <rFont val="Noto Sans CJK SC"/>
        <family val="2"/>
      </rPr>
      <t xml:space="preserve">容量合約為主，隨需預設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）。按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計價：利用率不另扣（</t>
    </r>
    <r>
      <rPr>
        <sz val="9"/>
        <color rgb="FF595959"/>
        <rFont val="Arial"/>
        <family val="0"/>
        <charset val="1"/>
      </rPr>
      <t xml:space="preserve">IF_Util </t>
    </r>
    <r>
      <rPr>
        <sz val="9"/>
        <color rgb="FF595959"/>
        <rFont val="Noto Sans CJK SC"/>
        <family val="2"/>
      </rPr>
      <t xml:space="preserve">不進收入），爬坡與簽約在『輸入與假設』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區。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只取市場價格證據，不以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、指引反推。</t>
    </r>
  </si>
  <si>
    <r>
      <rPr>
        <sz val="9"/>
        <color rgb="FF595959"/>
        <rFont val="Noto Sans CJK SC"/>
        <family val="2"/>
      </rPr>
      <t xml:space="preserve">容量情境（輸入與假設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區情境選擇）只改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路徑；價格情境（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區價格情境選擇）只改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。已實現季度實績只作驗證（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段），不校準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</si>
  <si>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｜價格軸：定價倍數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（低、基準、高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欄；藍字可改）</t>
    </r>
  </si>
  <si>
    <t xml:space="preserve">低</t>
  </si>
  <si>
    <t xml:space="preserve">基準</t>
  </si>
  <si>
    <t xml:space="preserve">高</t>
  </si>
  <si>
    <t xml:space="preserve">說明／來源</t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</si>
  <si>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長約（多年期專用容量合約）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</si>
  <si>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</si>
  <si>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依目前快照重算（價格是事實，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持有成本，錨改變時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跟著改；比照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Noto Sans CJK SC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9.70 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 → 0.762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v19.0 10.89 → 0.891</t>
    </r>
    <r>
      <rPr>
        <sz val="9"/>
        <color rgb="FF595959"/>
        <rFont val="Noto Sans CJK SC"/>
        <family val="2"/>
      </rPr>
      <t xml:space="preserve">）；區間端點為 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0.70–1.00 × v5.27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12.725 </t>
    </r>
    <r>
      <rPr>
        <sz val="9"/>
        <color rgb="FF595959"/>
        <rFont val="Noto Sans CJK SC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8.907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12.725 US$m/MW/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0.818–1.169</t>
    </r>
    <r>
      <rPr>
        <sz val="9"/>
        <color rgb="FF595959"/>
        <rFont val="Noto Sans CJK SC"/>
        <family val="2"/>
      </rPr>
      <t xml:space="preserve">）；中位數＝三筆長約（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IREN–NVIDIA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Oracle–OpenAI</t>
    </r>
    <r>
      <rPr>
        <sz val="9"/>
        <color rgb="FF595959"/>
        <rFont val="Noto Sans CJK SC"/>
        <family val="2"/>
      </rPr>
      <t xml:space="preserve">〔未證實〕）倍數的中位數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</si>
  <si>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現貨（非長約客戶：預留與隨需）</t>
    </r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</si>
  <si>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依目前快照重算（比照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Noto Sans CJK SC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H100 Silicon Data </t>
    </r>
    <r>
      <rPr>
        <sz val="9"/>
        <color rgb="FF595959"/>
        <rFont val="Noto Sans CJK SC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÷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1.543 → 1.828</t>
    </r>
    <r>
      <rPr>
        <sz val="9"/>
        <color rgb="FF595959"/>
        <rFont val="Noto Sans CJK SC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 </t>
    </r>
    <r>
      <rPr>
        <sz val="9"/>
        <color rgb="FF595959"/>
        <rFont val="Arial"/>
        <family val="0"/>
        <charset val="1"/>
      </rPr>
      <t xml:space="preserve">6.82 ÷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2.29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2.67</t>
    </r>
    <r>
      <rPr>
        <sz val="9"/>
        <color rgb="FF595959"/>
        <rFont val="Noto Sans CJK SC"/>
        <family val="2"/>
      </rPr>
      <t xml:space="preserve">）；下緣＝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1.5 × v5.27 H100 </t>
    </r>
    <r>
      <rPr>
        <sz val="9"/>
        <color rgb="FF595959"/>
        <rFont val="Noto Sans CJK SC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1.605 </t>
    </r>
    <r>
      <rPr>
        <sz val="9"/>
        <color rgb="FF595959"/>
        <rFont val="Noto Sans CJK SC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2.408 US$/GPU-hr 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非長約客戶多為預留（數月至數年），介於長約與隨需之間，以現貨指數代表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</si>
  <si>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Noto Sans CJK SC"/>
        <family val="2"/>
      </rPr>
      <t xml:space="preserve">長約（目前價格情境）</t>
    </r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</si>
  <si>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區價格情境選擇（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低／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基準／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高）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</si>
  <si>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Noto Sans CJK SC"/>
        <family val="2"/>
      </rPr>
      <t xml:space="preserve">現貨（目前價格情境）</t>
    </r>
  </si>
  <si>
    <t xml:space="preserve">隨需占比（現貨；其餘按長約價）</t>
  </si>
  <si>
    <r>
      <rPr>
        <sz val="9"/>
        <color rgb="FF595959"/>
        <rFont val="Noto Sans CJK SC"/>
        <family val="2"/>
      </rPr>
      <t xml:space="preserve">隨需（現貨）占在役計費產能的比例；公司未揭露長約／隨需比例（找不到）。基準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take-or-pay </t>
    </r>
    <r>
      <rPr>
        <sz val="9"/>
        <color rgb="FF595959"/>
        <rFont val="Noto Sans CJK SC"/>
        <family val="2"/>
      </rPr>
      <t xml:space="preserve">大型容量合約為主，預設長約 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；區間長約 </t>
    </r>
    <r>
      <rPr>
        <sz val="9"/>
        <color rgb="FF595959"/>
        <rFont val="Arial"/>
        <family val="0"/>
        <charset val="1"/>
      </rPr>
      <t xml:space="preserve">80–100%</t>
    </r>
    <r>
      <rPr>
        <sz val="9"/>
        <color rgb="FF595959"/>
        <rFont val="Noto Sans CJK SC"/>
        <family val="2"/>
      </rPr>
      <t xml:space="preserve">＝隨需 </t>
    </r>
    <r>
      <rPr>
        <sz val="9"/>
        <color rgb="FF595959"/>
        <rFont val="Arial"/>
        <family val="0"/>
        <charset val="1"/>
      </rPr>
      <t xml:space="preserve">0–20%</t>
    </r>
    <r>
      <rPr>
        <sz val="9"/>
        <color rgb="FF595959"/>
        <rFont val="Noto Sans CJK SC"/>
        <family val="2"/>
      </rPr>
      <t xml:space="preserve">）；不得用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反推；敏感度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段）</t>
    </r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</si>
  <si>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</t>
    </r>
    <r>
      <rPr>
        <sz val="10"/>
        <rFont val="Noto Sans CJK SC"/>
        <family val="2"/>
      </rPr>
      <t xml:space="preserve">；只列為敏感度）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</si>
  <si>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Noto Sans CJK SC"/>
        <family val="2"/>
      </rPr>
      <t xml:space="preserve">視為設施（</t>
    </r>
    <r>
      <rPr>
        <sz val="9"/>
        <color rgb="FF595959"/>
        <rFont val="Arial"/>
        <family val="0"/>
        <charset val="1"/>
      </rPr>
      <t xml:space="preserve">÷ PUE 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3,750 MW-IT</t>
    </r>
    <r>
      <rPr>
        <sz val="9"/>
        <color rgb="FF595959"/>
        <rFont val="Noto Sans CJK SC"/>
        <family val="2"/>
      </rPr>
      <t xml:space="preserve">）。工作單預設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合約（約 </t>
    </r>
    <r>
      <rPr>
        <sz val="9"/>
        <color rgb="FF595959"/>
        <rFont val="Arial"/>
        <family val="0"/>
        <charset val="1"/>
      </rPr>
      <t xml:space="preserve">$300bn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年／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轉述，未經當事方證實；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口徑不明）隱含每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13.33</t>
    </r>
    <r>
      <rPr>
        <sz val="9"/>
        <color rgb="FF595959"/>
        <rFont val="Noto Sans CJK SC"/>
        <family val="2"/>
      </rPr>
      <t xml:space="preserve">（視為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16.00</t>
    </r>
    <r>
      <rPr>
        <sz val="9"/>
        <color rgb="FF595959"/>
        <rFont val="Noto Sans CJK SC"/>
        <family val="2"/>
      </rPr>
      <t xml:space="preserve">（視為設施 </t>
    </r>
    <r>
      <rPr>
        <sz val="9"/>
        <color rgb="FF595959"/>
        <rFont val="Arial"/>
        <family val="0"/>
        <charset val="1"/>
      </rPr>
      <t xml:space="preserve">÷ 1.2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；除以同世代（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持有成本得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1.22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1.47</t>
    </r>
    <r>
      <rPr>
        <sz val="9"/>
        <color rgb="FF595959"/>
        <rFont val="Noto Sans CJK SC"/>
        <family val="2"/>
      </rPr>
      <t xml:space="preserve">）。列為「公司自身合約」敏感度，不作基準（比照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自身合約）；金額與容量均未經證實，且合約世代未揭露（以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代表）。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</si>
  <si>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長約的指定解讀（下游資料契約第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條）</t>
    </r>
  </si>
  <si>
    <r>
      <rPr>
        <sz val="9"/>
        <color rgb="FF595959"/>
        <rFont val="Noto Sans CJK SC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條指定解讀（預設）：長約以低於打平租金（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經濟持有成本）的價格換取預付（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）與五年確定性，客戶分攤部分資本成本——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等大型合約同樣收客戶預付（客戶出資覆蓋比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指引隱含 </t>
    </r>
    <r>
      <rPr>
        <sz val="9"/>
        <color rgb="FF595959"/>
        <rFont val="Arial"/>
        <family val="0"/>
        <charset val="1"/>
      </rPr>
      <t xml:space="preserve">22–26%</t>
    </r>
    <r>
      <rPr>
        <sz val="9"/>
        <color rgb="FF595959"/>
        <rFont val="Noto Sans CJK SC"/>
        <family val="2"/>
      </rPr>
      <t xml:space="preserve">）。替代解讀：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成本結構不同（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自有電力與廠房，持有成本低於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基準）→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應以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自身成本計、高於基準；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Noto Sans CJK SC"/>
        <family val="2"/>
      </rPr>
      <t xml:space="preserve">合約含非收入條款（預付的資金成本價值未計入價格）→ 經濟價格高於帳面價格。三者對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收入的影響方向：預設解讀最保守。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</si>
  <si>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錨與世代組合（</t>
    </r>
    <r>
      <rPr>
        <b val="true"/>
        <sz val="10"/>
        <rFont val="Arial"/>
        <family val="0"/>
        <charset val="1"/>
      </rPr>
      <t xml:space="preserve">Tokenomics_</t>
    </r>
    <r>
      <rPr>
        <b val="true"/>
        <sz val="10"/>
        <rFont val="Noto Sans CJK SC"/>
        <family val="2"/>
      </rPr>
      <t xml:space="preserve">取數 的 </t>
    </r>
    <r>
      <rPr>
        <b val="true"/>
        <sz val="10"/>
        <rFont val="Arial"/>
        <family val="0"/>
        <charset val="1"/>
      </rPr>
      <t xml:space="preserve">TK_ </t>
    </r>
    <r>
      <rPr>
        <b val="true"/>
        <sz val="10"/>
        <rFont val="Noto Sans CJK SC"/>
        <family val="2"/>
      </rPr>
      <t xml:space="preserve">名稱，基準成本情境）</t>
    </r>
  </si>
  <si>
    <t xml:space="preserve">世代</t>
  </si>
  <si>
    <t xml:space="preserve">IF_HoldEcon</t>
  </si>
  <si>
    <t xml:space="preserve">IF_RevGWFleet</t>
  </si>
  <si>
    <t xml:space="preserve">期初占比</t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</si>
  <si>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</si>
  <si>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欄代表；期初占比區間 </t>
    </r>
    <r>
      <rPr>
        <sz val="9"/>
        <color rgb="FF595959"/>
        <rFont val="Arial"/>
        <family val="0"/>
        <charset val="1"/>
      </rPr>
      <t xml:space="preserve">10%–30%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</si>
  <si>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</si>
  <si>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Noto Sans CJK SC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45%–70%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</si>
  <si>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 NVL72</t>
    </r>
  </si>
  <si>
    <r>
      <rPr>
        <sz val="9"/>
        <color rgb="FF595959"/>
        <rFont val="Noto Sans CJK SC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10%–35%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</si>
  <si>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VR200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</si>
  <si>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</si>
  <si>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t xml:space="preserve">期初占比合計</t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</si>
  <si>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未揭露機隊世代組合（找不到：試過 </t>
    </r>
    <r>
      <rPr>
        <sz val="9"/>
        <color rgb="FF595959"/>
        <rFont val="Arial"/>
        <family val="0"/>
        <charset val="1"/>
      </rPr>
      <t xml:space="preserve">FY2026 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FY27Q1 10-Q</t>
    </r>
    <r>
      <rPr>
        <sz val="9"/>
        <color rgb="FF595959"/>
        <rFont val="Noto Sans CJK SC"/>
        <family val="2"/>
      </rPr>
      <t xml:space="preserve">、法說與簡報、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總帳）。唯一可查的世代證據：</t>
    </r>
    <r>
      <rPr>
        <sz val="9"/>
        <color rgb="FF595959"/>
        <rFont val="Arial"/>
        <family val="0"/>
        <charset val="1"/>
      </rPr>
      <t xml:space="preserve">Stargate Abilene</t>
    </r>
    <r>
      <rPr>
        <sz val="9"/>
        <color rgb="FF595959"/>
        <rFont val="Noto Sans CJK SC"/>
        <family val="2"/>
      </rPr>
      <t xml:space="preserve">（已交付 </t>
    </r>
    <r>
      <rPr>
        <sz val="9"/>
        <color rgb="FF595959"/>
        <rFont val="Arial"/>
        <family val="0"/>
        <charset val="1"/>
      </rPr>
      <t xml:space="preserve">515 MW</t>
    </r>
    <r>
      <rPr>
        <sz val="9"/>
        <color rgb="FF595959"/>
        <rFont val="Noto Sans CJK SC"/>
        <family val="2"/>
      </rPr>
      <t xml:space="preserve">，占評價日已連網 </t>
    </r>
    <r>
      <rPr>
        <sz val="9"/>
        <color rgb="FF595959"/>
        <rFont val="Arial"/>
        <family val="0"/>
        <charset val="1"/>
      </rPr>
      <t xml:space="preserve">2,543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NVIDIA 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對外說法，約 </t>
    </r>
    <r>
      <rPr>
        <sz val="9"/>
        <color rgb="FF595959"/>
        <rFont val="Arial"/>
        <family val="0"/>
        <charset val="1"/>
      </rPr>
      <t xml:space="preserve">40–45 </t>
    </r>
    <r>
      <rPr>
        <sz val="9"/>
        <color rgb="FF595959"/>
        <rFont val="Noto Sans CJK SC"/>
        <family val="2"/>
      </rPr>
      <t xml:space="preserve">萬顆，</t>
    </r>
    <r>
      <rPr>
        <sz val="9"/>
        <color rgb="FF595959"/>
        <rFont val="Arial"/>
        <family val="0"/>
        <charset val="1"/>
      </rPr>
      <t xml:space="preserve">Data Center Dynamics 2025</t>
    </r>
    <r>
      <rPr>
        <sz val="9"/>
        <color rgb="FF595959"/>
        <rFont val="Noto Sans CJK SC"/>
        <family val="2"/>
      </rPr>
      <t xml:space="preserve">；二手轉述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）；其餘 </t>
    </r>
    <r>
      <rPr>
        <sz val="9"/>
        <color rgb="FF595959"/>
        <rFont val="Arial"/>
        <family val="0"/>
        <charset val="1"/>
      </rPr>
      <t xml:space="preserve">80% </t>
    </r>
    <r>
      <rPr>
        <sz val="9"/>
        <color rgb="FF595959"/>
        <rFont val="Noto Sans CJK SC"/>
        <family val="2"/>
      </rPr>
      <t xml:space="preserve">的世代未揭露——假設早期 </t>
    </r>
    <r>
      <rPr>
        <sz val="9"/>
        <color rgb="FF595959"/>
        <rFont val="Arial"/>
        <family val="0"/>
        <charset val="1"/>
      </rPr>
      <t xml:space="preserve">OCI AI </t>
    </r>
    <r>
      <rPr>
        <sz val="9"/>
        <color rgb="FF595959"/>
        <rFont val="Noto Sans CJK SC"/>
        <family val="2"/>
      </rPr>
      <t xml:space="preserve">叢集為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年新交付以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為主並開始出現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55%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25%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欄代表。屬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，給區間。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</si>
  <si>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（評價日已連網）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</si>
  <si>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末）已連網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1,835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850 MW ÷ PUE 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未揭露累計在役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，口徑不明者 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fleet.openMw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</si>
  <si>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新增在役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</si>
  <si>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</si>
  <si>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2026/6–2027/5</t>
    </r>
    <r>
      <rPr>
        <sz val="9"/>
        <color rgb="FF595959"/>
        <rFont val="Noto Sans CJK SC"/>
        <family val="2"/>
      </rPr>
      <t xml:space="preserve">）新增以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為主（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交付主力）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Vera Rubin 2027 </t>
    </r>
    <r>
      <rPr>
        <sz val="9"/>
        <color rgb="FF595959"/>
        <rFont val="Noto Sans CJK SC"/>
        <family val="2"/>
      </rPr>
      <t xml:space="preserve">下半年起交付）；</t>
    </r>
    <r>
      <rPr>
        <sz val="9"/>
        <color rgb="FF595959"/>
        <rFont val="Arial"/>
        <family val="0"/>
        <charset val="1"/>
      </rPr>
      <t xml:space="preserve">FY29–FY31 VR200 100%</t>
    </r>
    <r>
      <rPr>
        <sz val="9"/>
        <color rgb="FF595959"/>
        <rFont val="Noto Sans CJK SC"/>
        <family val="2"/>
      </rPr>
      <t xml:space="preserve">。區間：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提前一年（</t>
    </r>
    <r>
      <rPr>
        <sz val="9"/>
        <color rgb="FF595959"/>
        <rFont val="Arial"/>
        <family val="0"/>
        <charset val="1"/>
      </rPr>
      <t xml:space="preserve">FY28 100%</t>
    </r>
    <r>
      <rPr>
        <sz val="9"/>
        <color rgb="FF595959"/>
        <rFont val="Noto Sans CJK SC"/>
        <family val="2"/>
      </rPr>
      <t xml:space="preserve">）或延後一年（</t>
    </r>
    <r>
      <rPr>
        <sz val="9"/>
        <color rgb="FF595959"/>
        <rFont val="Arial"/>
        <family val="0"/>
        <charset val="1"/>
      </rPr>
      <t xml:space="preserve">FY29 50%</t>
    </r>
    <r>
      <rPr>
        <sz val="9"/>
        <color rgb="FF595959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</si>
  <si>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</si>
  <si>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</si>
  <si>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</si>
  <si>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Arial"/>
        <family val="0"/>
        <charset val="1"/>
      </rPr>
      <t xml:space="preserve">B2</t>
    </r>
    <r>
      <rPr>
        <b val="true"/>
        <sz val="10"/>
        <rFont val="Noto Sans CJK SC"/>
        <family val="2"/>
      </rPr>
      <t xml:space="preserve">｜上限檢查用四層瀑布（</t>
    </r>
    <r>
      <rPr>
        <b val="true"/>
        <sz val="10"/>
        <rFont val="Arial"/>
        <family val="0"/>
        <charset val="1"/>
      </rPr>
      <t xml:space="preserve">IFW_RevGWFleet_*</t>
    </r>
    <r>
      <rPr>
        <b val="true"/>
        <sz val="10"/>
        <rFont val="Noto Sans CJK SC"/>
        <family val="2"/>
      </rPr>
      <t xml:space="preserve">，各世代；基準成本情境）</t>
    </r>
  </si>
  <si>
    <t xml:space="preserve">_100</t>
  </si>
  <si>
    <t xml:space="preserve">_Util</t>
  </si>
  <si>
    <t xml:space="preserve">_Prod</t>
  </si>
  <si>
    <t xml:space="preserve">_Life</t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</si>
  <si>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</si>
  <si>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四層＝</t>
    </r>
    <r>
      <rPr>
        <sz val="9"/>
        <color rgb="FF595959"/>
        <rFont val="Arial"/>
        <family val="0"/>
        <charset val="1"/>
      </rPr>
      <t xml:space="preserve">_100 </t>
    </r>
    <r>
      <rPr>
        <sz val="9"/>
        <color rgb="FF595959"/>
        <rFont val="Noto Sans CJK SC"/>
        <family val="2"/>
      </rPr>
      <t xml:space="preserve">理論上限（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利用）→ 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Noto Sans CJK SC"/>
        <family val="2"/>
      </rPr>
      <t xml:space="preserve">扣技術利用率（＝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再扣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下產能折減（門檻比較層）→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壽命期等值；用途限制（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</si>
  <si>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</si>
  <si>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</si>
  <si>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四層｜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</si>
  <si>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color rgb="FF1F3864"/>
        <rFont val="Noto Sans CJK SC"/>
        <family val="2"/>
      </rPr>
      <t xml:space="preserve">▸ 容量情境｜保守 </t>
    </r>
    <r>
      <rPr>
        <b val="true"/>
        <sz val="10"/>
        <color rgb="FF1F3864"/>
        <rFont val="Arial"/>
        <family val="0"/>
        <charset val="1"/>
      </rPr>
      <t xml:space="preserve">OpenAI </t>
    </r>
    <r>
      <rPr>
        <b val="true"/>
        <sz val="10"/>
        <color rgb="FF1F3864"/>
        <rFont val="Noto Sans CJK SC"/>
        <family val="2"/>
      </rPr>
      <t xml:space="preserve">相關 </t>
    </r>
    <r>
      <rPr>
        <b val="true"/>
        <sz val="10"/>
        <color rgb="FF1F3864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</si>
  <si>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</si>
  <si>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權重用已連網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（不用可計費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，避免與期初可計費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校準循環）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</si>
  <si>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</si>
  <si>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</si>
  <si>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</si>
  <si>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</si>
  <si>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</si>
  <si>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</si>
  <si>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</si>
  <si>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</si>
  <si>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</si>
  <si>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</si>
  <si>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</si>
  <si>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</si>
  <si>
    <r>
      <rPr>
        <b val="true"/>
        <sz val="10"/>
        <rFont val="Noto Sans CJK SC"/>
        <family val="2"/>
      </rPr>
      <t xml:space="preserve">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</si>
  <si>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</si>
  <si>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年收入｜保守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相關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</si>
  <si>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</si>
  <si>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</si>
  <si>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</si>
  <si>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</si>
  <si>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</si>
  <si>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</si>
  <si>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</si>
  <si>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</si>
  <si>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</si>
  <si>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該層（比較層，門檻判定用）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</si>
  <si>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</si>
  <si>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</si>
  <si>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雲端業者拿走客戶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methodology.checks.revCapLayer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下的產能折減，最接近可實際售出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連動』警示（門檻 </t>
    </r>
    <r>
      <rPr>
        <sz val="9"/>
        <color rgb="FF595959"/>
        <rFont val="Arial"/>
        <family val="0"/>
        <charset val="1"/>
      </rPr>
      <t xml:space="preserve">methodology.checks.revCapShareMax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</si>
  <si>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容量情境｜基準 已簽約站點依 </t>
    </r>
    <r>
      <rPr>
        <b val="true"/>
        <sz val="10"/>
        <color rgb="FF1F3864"/>
        <rFont val="Arial"/>
        <family val="0"/>
        <charset val="1"/>
      </rPr>
      <t xml:space="preserve">Q1 </t>
    </r>
    <r>
      <rPr>
        <b val="true"/>
        <sz val="10"/>
        <color rgb="FF1F3864"/>
        <rFont val="Noto Sans CJK SC"/>
        <family val="2"/>
      </rPr>
      <t xml:space="preserve">速度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</si>
  <si>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</si>
  <si>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</si>
  <si>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</si>
  <si>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</si>
  <si>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</si>
  <si>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</si>
  <si>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</si>
  <si>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</si>
  <si>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</si>
  <si>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</si>
  <si>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</si>
  <si>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速度｜錨：每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</si>
  <si>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b val="true"/>
        <sz val="10"/>
        <rFont val="Noto Sans CJK SC"/>
        <family val="2"/>
      </rPr>
      <t xml:space="preserve">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速度｜定價倍數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</si>
  <si>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速度｜每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</si>
  <si>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年收入｜基準 已簽約站點依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速度」（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</si>
  <si>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</si>
  <si>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</si>
  <si>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</si>
  <si>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</si>
  <si>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</si>
  <si>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</si>
  <si>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</si>
  <si>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</si>
  <si>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</si>
  <si>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</si>
  <si>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t xml:space="preserve">▸ 容量情境｜積極 依公司時程</t>
  </si>
  <si>
    <r>
      <rPr>
        <sz val="10"/>
        <rFont val="Noto Sans CJK SC"/>
        <family val="2"/>
      </rPr>
      <t xml:space="preserve">積極 依公司時程｜期末在役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</si>
  <si>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積極 依公司時程｜期初在役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</si>
  <si>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依公司時程｜新增在役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</si>
  <si>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依公司時程｜期末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</si>
  <si>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積極 依公司時程｜期末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</si>
  <si>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積極 依公司時程｜期末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</si>
  <si>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積極 依公司時程｜期末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</si>
  <si>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積極 依公司時程｜平均在役占比｜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</si>
  <si>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積極 依公司時程｜平均在役占比｜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</si>
  <si>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積極 依公司時程｜平均在役占比｜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</si>
  <si>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積極 依公司時程｜平均在役占比｜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</si>
  <si>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積極 依公司時程｜錨：每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</si>
  <si>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b val="true"/>
        <sz val="10"/>
        <rFont val="Noto Sans CJK SC"/>
        <family val="2"/>
      </rPr>
      <t xml:space="preserve">積極 依公司時程｜定價倍數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</si>
  <si>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積極 依公司時程｜每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</si>
  <si>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年收入｜積極 依公司時程」（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</si>
  <si>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積極 依公司時程｜上限檢查｜客戶每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</si>
  <si>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依公司時程｜上限檢查｜四層｜客戶每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</si>
  <si>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依公司時程｜上限檢查｜四層｜客戶每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</si>
  <si>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依公司時程｜上限檢查｜四層｜客戶每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</si>
  <si>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依公司時程｜上限檢查｜四層｜客戶每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</si>
  <si>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依公司時程｜上限檢查｜四層｜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</si>
  <si>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積極 依公司時程｜上限檢查｜四層｜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</si>
  <si>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積極 依公司時程｜上限檢查｜四層｜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</si>
  <si>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積極 依公司時程｜上限檢查｜四層｜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</si>
  <si>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積極 依公司時程｜上限檢查｜每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</si>
  <si>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b val="true"/>
        <sz val="10"/>
        <rFont val="Noto Sans CJK SC"/>
        <family val="2"/>
      </rPr>
      <t xml:space="preserve">目前容量情境（依『輸入與假設』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區情境選擇）</t>
    </r>
  </si>
  <si>
    <r>
      <rPr>
        <sz val="10"/>
        <rFont val="Noto Sans CJK SC"/>
        <family val="2"/>
      </rPr>
      <t xml:space="preserve">目前情境｜錨（</t>
    </r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加權）</t>
    </r>
  </si>
  <si>
    <r>
      <rPr>
        <sz val="10"/>
        <rFont val="Noto Sans CJK SC"/>
        <family val="2"/>
      </rPr>
      <t xml:space="preserve">目前情境｜定價倍數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</si>
  <si>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Noto Sans CJK SC"/>
        <family val="2"/>
      </rPr>
      <t xml:space="preserve">目前情境｜每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</si>
  <si>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</si>
  <si>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</si>
  <si>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</si>
  <si>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Noto Sans CJK SC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</si>
  <si>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Noto Sans CJK SC"/>
        <family val="2"/>
      </rPr>
      <t xml:space="preserve">目前情境｜上限檢查｜每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</si>
  <si>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t xml:space="preserve">目前情境｜上限檢查最高值（五期）</t>
  </si>
  <si>
    <r>
      <rPr>
        <sz val="10"/>
        <rFont val="Noto Sans CJK SC"/>
        <family val="2"/>
      </rPr>
      <t xml:space="preserve">上限檢查｜第五列｜模型商每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實收營收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第一年：基準／低／高 依序在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</si>
  <si>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L1_RevGW_PQ_VR200</t>
    </r>
    <r>
      <rPr>
        <sz val="9"/>
        <color rgb="FF595959"/>
        <rFont val="Noto Sans CJK SC"/>
        <family val="2"/>
      </rPr>
      <t xml:space="preserve">（模型商每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實收營收＝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Noto Sans CJK SC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× m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的低／高，利用率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）；只有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一欄，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機隊混合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，僅作量級對照。不設門檻、不進估值</t>
    </r>
  </si>
  <si>
    <r>
      <rPr>
        <sz val="10"/>
        <rFont val="Noto Sans CJK SC"/>
        <family val="2"/>
      </rPr>
      <t xml:space="preserve">第五列｜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實收（基準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</si>
  <si>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＝模型商（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類客戶）每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實收營收中，要付給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的比例；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＝ 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</si>
  <si>
    <r>
      <rPr>
        <sz val="10"/>
        <rFont val="Noto Sans CJK SC"/>
        <family val="2"/>
      </rPr>
      <t xml:space="preserve">第五列｜同上，模型商實收取高端（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＿</t>
    </r>
    <r>
      <rPr>
        <sz val="10"/>
        <rFont val="Arial"/>
        <family val="0"/>
        <charset val="1"/>
      </rPr>
      <t xml:space="preserve">Hi</t>
    </r>
    <r>
      <rPr>
        <sz val="10"/>
        <rFont val="Noto Sans CJK SC"/>
        <family val="2"/>
      </rPr>
      <t xml:space="preserve">，付給 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的比例下緣）</t>
    </r>
  </si>
  <si>
    <r>
      <rPr>
        <sz val="10"/>
        <rFont val="Noto Sans CJK SC"/>
        <family val="2"/>
      </rPr>
      <t xml:space="preserve">第五列｜同上，模型商實收取低端（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＿</t>
    </r>
    <r>
      <rPr>
        <sz val="10"/>
        <rFont val="Arial"/>
        <family val="0"/>
        <charset val="1"/>
      </rPr>
      <t xml:space="preserve">Lo</t>
    </r>
    <r>
      <rPr>
        <sz val="10"/>
        <rFont val="Noto Sans CJK SC"/>
        <family val="2"/>
      </rPr>
      <t xml:space="preserve">，付給 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的比例上緣）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</si>
  <si>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證據表（倍數＝市場價格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基準持有成本；</t>
    </r>
    <r>
      <rPr>
        <b val="true"/>
        <sz val="10"/>
        <rFont val="Arial"/>
        <family val="0"/>
        <charset val="1"/>
      </rPr>
      <t xml:space="preserve">use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long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spot</t>
    </r>
    <r>
      <rPr>
        <b val="true"/>
        <sz val="10"/>
        <rFont val="Noto Sans CJK SC"/>
        <family val="2"/>
      </rPr>
      <t xml:space="preserve">＝驅動基準、</t>
    </r>
    <r>
      <rPr>
        <b val="true"/>
        <sz val="10"/>
        <rFont val="Arial"/>
        <family val="0"/>
        <charset val="1"/>
      </rPr>
      <t xml:space="preserve">range</t>
    </r>
    <r>
      <rPr>
        <b val="true"/>
        <sz val="10"/>
        <rFont val="Noto Sans CJK SC"/>
        <family val="2"/>
      </rPr>
      <t xml:space="preserve">＝只支持區間、</t>
    </r>
    <r>
      <rPr>
        <b val="true"/>
        <sz val="10"/>
        <rFont val="Arial"/>
        <family val="0"/>
        <charset val="1"/>
      </rPr>
      <t xml:space="preserve">list</t>
    </r>
    <r>
      <rPr>
        <b val="true"/>
        <sz val="10"/>
        <rFont val="Noto Sans CJK SC"/>
        <family val="2"/>
      </rPr>
      <t xml:space="preserve">＝只列）</t>
    </r>
  </si>
  <si>
    <t xml:space="preserve">證據</t>
  </si>
  <si>
    <t xml:space="preserve">價格</t>
  </si>
  <si>
    <t xml:space="preserve">Tokenomics</t>
  </si>
  <si>
    <r>
      <rPr>
        <b val="true"/>
        <sz val="11"/>
        <color rgb="FFFFFFFF"/>
        <rFont val="Noto Sans CJK SC"/>
        <family val="2"/>
      </rPr>
      <t xml:space="preserve">倍數 </t>
    </r>
    <r>
      <rPr>
        <b val="true"/>
        <sz val="11"/>
        <color rgb="FFFFFFFF"/>
        <rFont val="Arial"/>
        <family val="0"/>
        <charset val="1"/>
      </rPr>
      <t xml:space="preserve">k</t>
    </r>
  </si>
  <si>
    <t xml:space="preserve">用途</t>
  </si>
  <si>
    <t xml:space="preserve">合約型態／期間／來源／日期／標記</t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</si>
  <si>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</si>
  <si>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</si>
  <si>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長約基準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</si>
  <si>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預付；非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合約（同業成交）；契約第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條指定解讀見 </t>
    </r>
    <r>
      <rPr>
        <sz val="9"/>
        <color rgb="FF595959"/>
        <rFont val="Arial"/>
        <family val="0"/>
        <charset val="1"/>
      </rPr>
      <t xml:space="preserve">long.interpretation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</si>
  <si>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</si>
  <si>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區間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</si>
  <si>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；長約（晶片商客戶），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</si>
  <si>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</si>
  <si>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只列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</si>
  <si>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對實驗室），約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</si>
  <si>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</si>
  <si>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US$/GPU-hr</t>
  </si>
  <si>
    <t xml:space="preserve">現貨基準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</si>
  <si>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基準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</si>
  <si>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</si>
  <si>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上緣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</si>
  <si>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</si>
  <si>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；現貨（市場成交指數），隨需／短期；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CoreWeave 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區間內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</si>
  <si>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</si>
  <si>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區間上緣；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類比偏高，只列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</si>
  <si>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H100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</si>
  <si>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3.85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；牌價非成交價；官網稱多月期預留最多便宜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2.93</t>
    </r>
    <r>
      <rPr>
        <sz val="9"/>
        <color rgb="FF595959"/>
        <rFont val="Noto Sans CJK SC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1.82</t>
    </r>
    <r>
      <rPr>
        <sz val="9"/>
        <color rgb="FF595959"/>
        <rFont val="Noto Sans CJK SC"/>
        <family val="2"/>
      </rPr>
      <t xml:space="preserve">）；只列不用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</si>
  <si>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H200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</si>
  <si>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欄代表；牌價非成交價；只列不用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</si>
  <si>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B300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</si>
  <si>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為洽詢報價）（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；牌價非成交價；預留最多便宜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6.18</t>
    </r>
    <r>
      <rPr>
        <sz val="9"/>
        <color rgb="FF595959"/>
        <rFont val="Noto Sans CJK SC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2.07</t>
    </r>
    <r>
      <rPr>
        <sz val="9"/>
        <color rgb="FF595959"/>
        <rFont val="Noto Sans CJK SC"/>
        <family val="2"/>
      </rPr>
      <t xml:space="preserve">）；只列不用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</si>
  <si>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Nebius–Microsoft </t>
    </r>
    <r>
      <rPr>
        <sz val="10"/>
        <rFont val="Noto Sans CJK SC"/>
        <family val="2"/>
      </rPr>
      <t xml:space="preserve">五年約（約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</si>
  <si>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Nebius 6-K 2025-09-08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年）＋</t>
    </r>
    <r>
      <rPr>
        <sz val="9"/>
        <color rgb="FF595959"/>
        <rFont val="Arial"/>
        <family val="0"/>
        <charset val="1"/>
      </rPr>
      <t xml:space="preserve">Bloomberg 2025-10-02 </t>
    </r>
    <r>
      <rPr>
        <sz val="9"/>
        <color rgb="FF595959"/>
        <rFont val="Noto Sans CJK SC"/>
        <family val="2"/>
      </rPr>
      <t xml:space="preserve">引述匿名消息（約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，經 </t>
    </r>
    <r>
      <rPr>
        <sz val="9"/>
        <color rgb="FF595959"/>
        <rFont val="Arial"/>
        <family val="0"/>
        <charset val="1"/>
      </rPr>
      <t xml:space="preserve">TechNews </t>
    </r>
    <r>
      <rPr>
        <sz val="9"/>
        <color rgb="FF595959"/>
        <rFont val="Noto Sans CJK SC"/>
        <family val="2"/>
      </rPr>
      <t xml:space="preserve">轉述）（</t>
    </r>
    <r>
      <rPr>
        <sz val="9"/>
        <color rgb="FF595959"/>
        <rFont val="Arial"/>
        <family val="0"/>
        <charset val="1"/>
      </rPr>
      <t xml:space="preserve">2025-10-02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17,400 ÷ 5 ÷ 100,000 ÷ 8,760 ×1e6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3.97 US$/GPU-hr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數未經公司證實、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可能含非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服務；屬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的一部分），依工作單不得作為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的證據，只列作對照（是否採用見『需要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決定』）</t>
    </r>
  </si>
  <si>
    <t xml:space="preserve">合約組合｜長約與隨需／預留收入比例（百分比）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</si>
  <si>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</si>
  <si>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FY2026 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FY27Q1 10-Q </t>
    </r>
    <r>
      <rPr>
        <sz val="9"/>
        <color rgb="FF595959"/>
        <rFont val="Noto Sans CJK SC"/>
        <family val="2"/>
      </rPr>
      <t xml:space="preserve">與法說、新聞稿；公司只揭露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總額與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營收，未揭露合約型態比例（找不到，不代表不存在） 找不到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</si>
  <si>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長約或現貨每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小時價格：找不到（尚未上市交付；試過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Verda </t>
    </r>
    <r>
      <rPr>
        <sz val="9"/>
        <color rgb="FF595959"/>
        <rFont val="Noto Sans CJK SC"/>
        <family val="2"/>
      </rPr>
      <t xml:space="preserve">價目、</t>
    </r>
    <r>
      <rPr>
        <sz val="9"/>
        <color rgb="FF595959"/>
        <rFont val="Arial"/>
        <family val="0"/>
        <charset val="1"/>
      </rPr>
      <t xml:space="preserve">Silicon Data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GetDeploying</t>
    </r>
    <r>
      <rPr>
        <sz val="9"/>
        <color rgb="FF595959"/>
        <rFont val="Noto Sans CJK SC"/>
        <family val="2"/>
      </rPr>
      <t xml:space="preserve">、新聞搜尋）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</si>
  <si>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自身合約每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小時價格：不得作為證據（屬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合約只列（</t>
    </r>
    <r>
      <rPr>
        <sz val="9"/>
        <color rgb="FF595959"/>
        <rFont val="Arial"/>
        <family val="0"/>
        <charset val="1"/>
      </rPr>
      <t xml:space="preserve">evidence </t>
    </r>
    <r>
      <rPr>
        <sz val="9"/>
        <color rgb="FF595959"/>
        <rFont val="Noto Sans CJK SC"/>
        <family val="2"/>
      </rPr>
      <t xml:space="preserve">最後一筆）</t>
    </r>
  </si>
  <si>
    <r>
      <rPr>
        <sz val="9"/>
        <color rgb="FF595959"/>
        <rFont val="Noto Sans CJK SC"/>
        <family val="2"/>
      </rPr>
      <t xml:space="preserve">第二筆獨立於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長約（含年期與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數）：找不到可換算者——</t>
    </r>
    <r>
      <rPr>
        <sz val="9"/>
        <color rgb="FF595959"/>
        <rFont val="Arial"/>
        <family val="0"/>
        <charset val="1"/>
      </rPr>
      <t xml:space="preserve">Nscale–Microsoft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報導約 </t>
    </r>
    <r>
      <rPr>
        <sz val="9"/>
        <color rgb="FF595959"/>
        <rFont val="Arial"/>
        <family val="0"/>
        <charset val="1"/>
      </rPr>
      <t xml:space="preserve">$14bn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11.6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）未揭露年期，無法換算；</t>
    </r>
    <r>
      <rPr>
        <sz val="9"/>
        <color rgb="FF595959"/>
        <rFont val="Arial"/>
        <family val="0"/>
        <charset val="1"/>
      </rPr>
      <t xml:space="preserve">Lambda–Microsoft </t>
    </r>
    <r>
      <rPr>
        <sz val="9"/>
        <color rgb="FF595959"/>
        <rFont val="Noto Sans CJK SC"/>
        <family val="2"/>
      </rPr>
      <t xml:space="preserve">未揭露金額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</si>
  <si>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｜對照列（不驅動）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</si>
  <si>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</si>
  <si>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成本加成與路徑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市場價 </t>
    </r>
    <r>
      <rPr>
        <sz val="9"/>
        <color rgb="FF595959"/>
        <rFont val="Arial"/>
        <family val="0"/>
        <charset val="1"/>
      </rPr>
      <t xml:space="preserve">50/50 </t>
    </r>
    <r>
      <rPr>
        <sz val="9"/>
        <color rgb="FF595959"/>
        <rFont val="Noto Sans CJK SC"/>
        <family val="2"/>
      </rPr>
      <t xml:space="preserve">平均（已停用：下游資料契約第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X14 (j)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</si>
  <si>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</si>
  <si>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，隨容量情境同向）｜積極 依公司時程</t>
    </r>
  </si>
  <si>
    <r>
      <rPr>
        <sz val="10"/>
        <rFont val="Noto Sans CJK SC"/>
        <family val="2"/>
      </rPr>
      <t xml:space="preserve">對照｜錨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舊值（目前情境）</t>
    </r>
  </si>
  <si>
    <r>
      <rPr>
        <sz val="10"/>
        <rFont val="Noto Sans CJK SC"/>
        <family val="2"/>
      </rPr>
      <t xml:space="preserve">對照｜成本加成路徑：錨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1 − 8%</t>
    </r>
    <r>
      <rPr>
        <sz val="10"/>
        <rFont val="Noto Sans CJK SC"/>
        <family val="2"/>
      </rPr>
      <t xml:space="preserve">）（只作 </t>
    </r>
    <r>
      <rPr>
        <sz val="10"/>
        <rFont val="Arial"/>
        <family val="0"/>
        <charset val="1"/>
      </rPr>
      <t xml:space="preserve">ROIC </t>
    </r>
    <r>
      <rPr>
        <sz val="10"/>
        <rFont val="Noto Sans CJK SC"/>
        <family val="2"/>
      </rPr>
      <t xml:space="preserve">檢查）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</si>
  <si>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基準（經濟利潤加成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、公司層級費用 </t>
    </r>
    <r>
      <rPr>
        <sz val="9"/>
        <color rgb="FF595959"/>
        <rFont val="Arial"/>
        <family val="0"/>
        <charset val="1"/>
      </rPr>
      <t xml:space="preserve">8% [Assumed]</t>
    </r>
    <r>
      <rPr>
        <sz val="9"/>
        <color rgb="FF595959"/>
        <rFont val="Noto Sans CJK SC"/>
        <family val="2"/>
      </rPr>
      <t xml:space="preserve">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條：只作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與資金缺口檢查，不作收入輸入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</si>
  <si>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建置成本（寫死 </t>
    </r>
    <r>
      <rPr>
        <sz val="10"/>
        <rFont val="Arial"/>
        <family val="0"/>
        <charset val="1"/>
      </rPr>
      <t xml:space="preserve">37.45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37.59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Tokenomics v5.24</t>
    </r>
    <r>
      <rPr>
        <sz val="10"/>
        <rFont val="Noto Sans CJK SC"/>
        <family val="2"/>
      </rPr>
      <t xml:space="preserve">；只列，不入模型）</t>
    </r>
  </si>
  <si>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scenarios.capexTemplate.costMW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37.45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起模型採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IF_CapexIT</t>
    </r>
    <r>
      <rPr>
        <sz val="9"/>
        <color rgb="FF595959"/>
        <rFont val="Noto Sans CJK SC"/>
        <family val="2"/>
      </rPr>
      <t xml:space="preserve">（『輸入與假設』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</si>
  <si>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PUE </t>
    </r>
    <r>
      <rPr>
        <sz val="10"/>
        <rFont val="Noto Sans CJK SC"/>
        <family val="2"/>
      </rPr>
      <t xml:space="preserve">換算核對：</t>
    </r>
    <r>
      <rPr>
        <sz val="10"/>
        <rFont val="Arial"/>
        <family val="0"/>
        <charset val="1"/>
      </rPr>
      <t xml:space="preserve">Tokenomics IF_FacilityGW</t>
    </r>
    <r>
      <rPr>
        <sz val="10"/>
        <rFont val="Noto Sans CJK SC"/>
        <family val="2"/>
      </rPr>
      <t xml:space="preserve">（參考世代，基準）− </t>
    </r>
    <r>
      <rPr>
        <sz val="10"/>
        <rFont val="Arial"/>
        <family val="0"/>
        <charset val="1"/>
      </rPr>
      <t xml:space="preserve">company.json PUE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MW-IT </t>
    </r>
    <r>
      <rPr>
        <sz val="10"/>
        <rFont val="Noto Sans CJK SC"/>
        <family val="2"/>
      </rPr>
      <t xml:space="preserve">換算用）</t>
    </r>
  </si>
  <si>
    <r>
      <rPr>
        <sz val="9"/>
        <color rgb="FF595959"/>
        <rFont val="Arial"/>
        <family val="0"/>
        <charset val="1"/>
      </rPr>
      <t xml:space="preserve">company.json → scenarios.mwPath.pue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（口徑不明的公司 </t>
    </r>
    <r>
      <rPr>
        <sz val="9"/>
        <color rgb="FF595959"/>
        <rFont val="Arial"/>
        <family val="0"/>
        <charset val="1"/>
      </rPr>
      <t xml:space="preserve">MW ÷ PUE </t>
    </r>
    <r>
      <rPr>
        <sz val="9"/>
        <color rgb="FF595959"/>
        <rFont val="Noto Sans CJK SC"/>
        <family val="2"/>
      </rPr>
      <t xml:space="preserve">換成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）；須等於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值，否則『檢查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連動』顯示不一致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</si>
  <si>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實現：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年化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評價日已連網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（只列，不用）</t>
    </r>
  </si>
  <si>
    <r>
      <rPr>
        <sz val="9"/>
        <color rgb="FF595959"/>
        <rFont val="Arial"/>
        <family val="0"/>
        <charset val="1"/>
      </rPr>
      <t xml:space="preserve">Q1 FY27 OCI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評價日已連網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（口徑不明者 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不得用來校準（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段列驗證拆解）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</si>
  <si>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合約隱含每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；只列，不用）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</si>
  <si>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$300bn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年／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轉述，未經證實，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口徑不明）；公司自身合約只作敏感度（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kOwn </t>
    </r>
    <r>
      <rPr>
        <sz val="9"/>
        <color rgb="FF595959"/>
        <rFont val="Noto Sans CJK SC"/>
        <family val="2"/>
      </rPr>
      <t xml:space="preserve">列）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</si>
  <si>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驗證（不是校準；只列，不回頭改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vs Q1 FY27 </t>
    </r>
    <r>
      <rPr>
        <b val="true"/>
        <sz val="10"/>
        <rFont val="Noto Sans CJK SC"/>
        <family val="2"/>
      </rPr>
      <t xml:space="preserve">實現（</t>
    </r>
    <r>
      <rPr>
        <b val="true"/>
        <sz val="10"/>
        <rFont val="Arial"/>
        <family val="0"/>
        <charset val="1"/>
      </rPr>
      <t xml:space="preserve">OCI </t>
    </r>
    <r>
      <rPr>
        <b val="true"/>
        <sz val="10"/>
        <rFont val="Noto Sans CJK SC"/>
        <family val="2"/>
      </rPr>
      <t xml:space="preserve">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評價日已連網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）</t>
    </r>
  </si>
  <si>
    <t xml:space="preserve">算式／說明</t>
  </si>
  <si>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</si>
  <si>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已實現實際數（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（資料庫、一般運算、多雲資料庫等）</t>
    </r>
  </si>
  <si>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｜評價日已連網 </t>
    </r>
    <r>
      <rPr>
        <sz val="10"/>
        <rFont val="Arial"/>
        <family val="0"/>
        <charset val="1"/>
      </rPr>
      <t xml:space="preserve">MW-IT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</si>
  <si>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末）已連網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1,835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850 MW ÷ PUE 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未揭露累計在役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，口徑不明者 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</si>
  <si>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｜期初可計費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（模型校準值，目前情境）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</si>
  <si>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年收入（對齊已實現實際數的校準，非推價格）</t>
    </r>
  </si>
  <si>
    <r>
      <rPr>
        <sz val="10"/>
        <rFont val="Noto Sans CJK SC"/>
        <family val="2"/>
      </rPr>
      <t xml:space="preserve">模型隱含：期初可計費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評價日已連網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</si>
  <si>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超過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表示模型把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營收全數歸給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計費、且價格取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，導致可計費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多——這是本驗證要解釋的現象，不回頭改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</si>
  <si>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</si>
  <si>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評價日已連網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（口徑不明者 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</si>
  <si>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</si>
  <si>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與模型首期每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年收入只差期初可計費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的四捨五入（因校準所致，非獨立證據）</t>
    </r>
  </si>
  <si>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CPU</t>
    </r>
    <r>
      <rPr>
        <sz val="10"/>
        <rFont val="Noto Sans CJK SC"/>
        <family val="2"/>
      </rPr>
      <t xml:space="preserve">＆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子項年化</t>
    </r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</si>
  <si>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簡報「</t>
    </r>
    <r>
      <rPr>
        <sz val="9"/>
        <color rgb="FF595959"/>
        <rFont val="Arial"/>
        <family val="0"/>
        <charset val="1"/>
      </rPr>
      <t xml:space="preserve">CPU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」營收（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子項）</t>
    </r>
    <r>
      <rPr>
        <sz val="9"/>
        <color rgb="FF595959"/>
        <rFont val="Arial"/>
        <family val="0"/>
        <charset val="1"/>
      </rPr>
      <t xml:space="preserve">6,500 US$m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OCI 7,388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88% 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Oracle IR </t>
    </r>
    <r>
      <rPr>
        <sz val="9"/>
        <color rgb="FF595959"/>
        <rFont val="Noto Sans CJK SC"/>
        <family val="2"/>
      </rPr>
      <t xml:space="preserve">財報簡報 </t>
    </r>
    <r>
      <rPr>
        <sz val="9"/>
        <color rgb="FF595959"/>
        <rFont val="Arial"/>
        <family val="0"/>
        <charset val="1"/>
      </rPr>
      <t xml:space="preserve">2026-09-10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q4cdn</t>
    </r>
    <r>
      <rPr>
        <sz val="9"/>
        <color rgb="FF595959"/>
        <rFont val="Noto Sans CJK SC"/>
        <family val="2"/>
      </rPr>
      <t xml:space="preserve">；總帳 </t>
    </r>
    <r>
      <rPr>
        <sz val="9"/>
        <color rgb="FF595959"/>
        <rFont val="Arial"/>
        <family val="0"/>
        <charset val="1"/>
      </rPr>
      <t xml:space="preserve">rev.cpuGpu.fy27q1</t>
    </r>
    <r>
      <rPr>
        <sz val="9"/>
        <color rgb="FF595959"/>
        <rFont val="Noto Sans CJK SC"/>
        <family val="2"/>
      </rPr>
      <t xml:space="preserve">）。此子項仍含一般運算（非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，所以只是「非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占比」的下限證據之一的上緣；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中其餘 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Noto Sans CJK SC"/>
        <family val="2"/>
      </rPr>
      <t xml:space="preserve">（資料庫、儲存、網路、軟體授權等非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子項）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Noto Sans CJK SC"/>
        <family val="2"/>
      </rPr>
      <t xml:space="preserve">為「至少非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運算」的部分。</t>
    </r>
  </si>
  <si>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實現（僅 </t>
    </r>
    <r>
      <rPr>
        <sz val="10"/>
        <rFont val="Arial"/>
        <family val="0"/>
        <charset val="1"/>
      </rPr>
      <t xml:space="preserve">CPU</t>
    </r>
    <r>
      <rPr>
        <sz val="10"/>
        <rFont val="Noto Sans CJK SC"/>
        <family val="2"/>
      </rPr>
      <t xml:space="preserve">＆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子項年化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；仍含一般運算 </t>
    </r>
    <r>
      <rPr>
        <sz val="10"/>
        <rFont val="Arial"/>
        <family val="0"/>
        <charset val="1"/>
      </rPr>
      <t xml:space="preserve">CPU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</si>
  <si>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排除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中非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子項（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Noto Sans CJK SC"/>
        <family val="2"/>
      </rPr>
      <t xml:space="preserve">）後的對照；若此值已接近模型，代表差距主要來自非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子項</t>
    </r>
  </si>
  <si>
    <r>
      <rPr>
        <sz val="10"/>
        <rFont val="Noto Sans CJK SC"/>
        <family val="2"/>
      </rPr>
      <t xml:space="preserve">期初錨（評價日世代組合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</si>
  <si>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評價日世代組合 </t>
    </r>
    <r>
      <rPr>
        <sz val="9"/>
        <color rgb="FF595959"/>
        <rFont val="Arial"/>
        <family val="0"/>
        <charset val="1"/>
      </rPr>
      <t xml:space="preserve">fleet.openMix [Assumed]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</si>
  <si>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錨（平均在役世代）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</si>
  <si>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</si>
  <si>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年收入（目前情境，錨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</si>
  <si>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已連網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期初錨；只列，不用）</t>
    </r>
  </si>
  <si>
    <r>
      <rPr>
        <sz val="9"/>
        <color rgb="FF595959"/>
        <rFont val="Noto Sans CJK SC"/>
        <family val="2"/>
      </rPr>
      <t xml:space="preserve">不得用來校準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）；含非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營收與爬坡，不是價格</t>
    </r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</si>
  <si>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；只列）</t>
    </r>
  </si>
  <si>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$300bn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年／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轉述，未經證實）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</si>
  <si>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視為設施 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；只列）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</si>
  <si>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實現 − 模型 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</si>
  <si>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總差距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</t>
    </r>
  </si>
  <si>
    <r>
      <rPr>
        <sz val="9"/>
        <color rgb="FF595959"/>
        <rFont val="Arial"/>
        <family val="0"/>
        <charset val="1"/>
      </rPr>
      <t xml:space="preserve">&gt; 5% </t>
    </r>
    <r>
      <rPr>
        <sz val="9"/>
        <color rgb="FF595959"/>
        <rFont val="Noto Sans CJK SC"/>
        <family val="2"/>
      </rPr>
      <t xml:space="preserve">附原因（已決定事項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），見下方「差異原因」</t>
    </r>
  </si>
  <si>
    <r>
      <rPr>
        <b val="true"/>
        <sz val="11"/>
        <color rgb="FFFFFFFF"/>
        <rFont val="Noto Sans CJK SC"/>
        <family val="2"/>
      </rPr>
      <t xml:space="preserve">差距拆解（由模型走向 </t>
    </r>
    <r>
      <rPr>
        <b val="true"/>
        <sz val="11"/>
        <color rgb="FFFFFFFF"/>
        <rFont val="Arial"/>
        <family val="0"/>
        <charset val="1"/>
      </rPr>
      <t xml:space="preserve">Q1 </t>
    </r>
    <r>
      <rPr>
        <b val="true"/>
        <sz val="11"/>
        <color rgb="FFFFFFFF"/>
        <rFont val="Noto Sans CJK SC"/>
        <family val="2"/>
      </rPr>
      <t xml:space="preserve">實現）</t>
    </r>
  </si>
  <si>
    <r>
      <rPr>
        <b val="true"/>
        <sz val="11"/>
        <color rgb="FFFFFFFF"/>
        <rFont val="Noto Sans CJK SC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Arial"/>
        <family val="0"/>
        <charset val="1"/>
      </rPr>
      <t xml:space="preserve">0%</t>
    </r>
  </si>
  <si>
    <r>
      <rPr>
        <b val="true"/>
        <sz val="11"/>
        <color rgb="FFFFFFFF"/>
        <rFont val="Noto Sans CJK SC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Arial"/>
        <family val="0"/>
        <charset val="1"/>
      </rPr>
      <t xml:space="preserve">12%</t>
    </r>
  </si>
  <si>
    <r>
      <rPr>
        <b val="true"/>
        <sz val="11"/>
        <color rgb="FFFFFFFF"/>
        <rFont val="Noto Sans CJK SC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Arial"/>
        <family val="0"/>
        <charset val="1"/>
      </rPr>
      <t xml:space="preserve">20%</t>
    </r>
  </si>
  <si>
    <r>
      <rPr>
        <b val="true"/>
        <sz val="11"/>
        <color rgb="FFFFFFFF"/>
        <rFont val="Noto Sans CJK SC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Arial"/>
        <family val="0"/>
        <charset val="1"/>
      </rPr>
      <t xml:space="preserve">30%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</si>
  <si>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營收占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營收的比例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（情境；輸入）</t>
    </r>
  </si>
  <si>
    <r>
      <rPr>
        <sz val="9"/>
        <color rgb="FF595959"/>
        <rFont val="Noto Sans CJK SC"/>
        <family val="2"/>
      </rPr>
      <t xml:space="preserve">公司未分拆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營收（不存在／未揭露；試過：</t>
    </r>
    <r>
      <rPr>
        <sz val="9"/>
        <color rgb="FF595959"/>
        <rFont val="Arial"/>
        <family val="0"/>
        <charset val="1"/>
      </rPr>
      <t xml:space="preserve">FY2026 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FY27Q1 10-Q</t>
    </r>
    <r>
      <rPr>
        <sz val="9"/>
        <color rgb="FF595959"/>
        <rFont val="Noto Sans CJK SC"/>
        <family val="2"/>
      </rPr>
      <t xml:space="preserve">、法說與簡報、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總帳）。可找到的公開線索只有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子項占 </t>
    </r>
    <r>
      <rPr>
        <sz val="9"/>
        <color rgb="FF595959"/>
        <rFont val="Arial"/>
        <family val="0"/>
        <charset val="1"/>
      </rPr>
      <t xml:space="preserve">OCI 88%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cpuGpuNote</t>
    </r>
    <r>
      <rPr>
        <sz val="9"/>
        <color rgb="FF595959"/>
        <rFont val="Noto Sans CJK SC"/>
        <family val="2"/>
      </rPr>
      <t xml:space="preserve">），故非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占比區間取 </t>
    </r>
    <r>
      <rPr>
        <sz val="9"/>
        <color rgb="FF595959"/>
        <rFont val="Arial"/>
        <family val="0"/>
        <charset val="1"/>
      </rPr>
      <t xml:space="preserve">12%–30% [Assumed]</t>
    </r>
    <r>
      <rPr>
        <sz val="9"/>
        <color rgb="FF595959"/>
        <rFont val="Noto Sans CJK SC"/>
        <family val="2"/>
      </rPr>
      <t xml:space="preserve">，不作基準；只用於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驗證拆解與期初可計費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校準的敏感度。 各欄：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全部視為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中非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子項；公司簡報 </t>
    </r>
    <r>
      <rPr>
        <sz val="9"/>
        <color rgb="FF595959"/>
        <rFont val="Arial"/>
        <family val="0"/>
        <charset val="1"/>
      </rPr>
      <t xml:space="preserve">1 − 6,500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7,388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（含一部分一般運算 </t>
    </r>
    <r>
      <rPr>
        <sz val="9"/>
        <color rgb="FF595959"/>
        <rFont val="Arial"/>
        <family val="0"/>
        <charset val="1"/>
      </rPr>
      <t xml:space="preserve">CPU </t>
    </r>
    <r>
      <rPr>
        <sz val="9"/>
        <color rgb="FF595959"/>
        <rFont val="Noto Sans CJK SC"/>
        <family val="2"/>
      </rPr>
      <t xml:space="preserve">與多雲資料庫）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（上緣）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</si>
  <si>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起點：模型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</si>
  <si>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(iii) </t>
    </r>
    <r>
      <rPr>
        <sz val="10"/>
        <rFont val="Noto Sans CJK SC"/>
        <family val="2"/>
      </rPr>
      <t xml:space="preserve">世代組合：評價日世代組合的錨 對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平均在役世代的錨（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</si>
  <si>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＝（期初錨 −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平均錨）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營收來自評價日機隊，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平均含較新（較貴）的新增世代</t>
    </r>
  </si>
  <si>
    <r>
      <rPr>
        <sz val="10"/>
        <rFont val="Arial"/>
        <family val="0"/>
        <charset val="1"/>
      </rPr>
      <t xml:space="preserve">(ii) </t>
    </r>
    <r>
      <rPr>
        <sz val="10"/>
        <rFont val="Noto Sans CJK SC"/>
        <family val="2"/>
      </rPr>
      <t xml:space="preserve">價格：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對模型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期初錨）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</si>
  <si>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期初錨；模型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現貨證據，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的合約價較高（隱含 </t>
    </r>
    <r>
      <rPr>
        <sz val="9"/>
        <color rgb="FF595959"/>
        <rFont val="Arial"/>
        <family val="0"/>
        <charset val="1"/>
      </rPr>
      <t xml:space="preserve">k 1.22</t>
    </r>
    <r>
      <rPr>
        <sz val="9"/>
        <color rgb="FF595959"/>
        <rFont val="Noto Sans CJK SC"/>
        <family val="2"/>
      </rPr>
      <t xml:space="preserve">；設施口徑 </t>
    </r>
    <r>
      <rPr>
        <sz val="9"/>
        <color rgb="FF595959"/>
        <rFont val="Arial"/>
        <family val="0"/>
        <charset val="1"/>
      </rPr>
      <t xml:space="preserve">1.47 </t>
    </r>
    <r>
      <rPr>
        <sz val="9"/>
        <color rgb="FF595959"/>
        <rFont val="Noto Sans CJK SC"/>
        <family val="2"/>
      </rPr>
      <t xml:space="preserve">見敏感度）。只說明，不採用</t>
    </r>
  </si>
  <si>
    <r>
      <rPr>
        <sz val="10"/>
        <rFont val="Noto Sans CJK SC"/>
        <family val="2"/>
      </rPr>
      <t xml:space="preserve">小計：全為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計費、評價日世代、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自身合約價</t>
    </r>
  </si>
  <si>
    <r>
      <rPr>
        <sz val="9"/>
        <color rgb="FF595959"/>
        <rFont val="Noto Sans CJK SC"/>
        <family val="2"/>
      </rPr>
      <t xml:space="preserve">＝期初錨 </t>
    </r>
    <r>
      <rPr>
        <sz val="9"/>
        <color rgb="FF595959"/>
        <rFont val="Arial"/>
        <family val="0"/>
        <charset val="1"/>
      </rPr>
      <t xml:space="preserve">× Oracle </t>
    </r>
    <r>
      <rPr>
        <sz val="9"/>
        <color rgb="FF595959"/>
        <rFont val="Noto Sans CJK SC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</si>
  <si>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(iv) </t>
    </r>
    <r>
      <rPr>
        <sz val="10"/>
        <rFont val="Noto Sans CJK SC"/>
        <family val="2"/>
      </rPr>
      <t xml:space="preserve">爬坡分母：計費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少於已連網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（殘差）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</si>
  <si>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實現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n</t>
    </r>
    <r>
      <rPr>
        <sz val="9"/>
        <color rgb="FF595959"/>
        <rFont val="Noto Sans CJK SC"/>
        <family val="2"/>
      </rPr>
      <t xml:space="preserve">））− 小計；負值＝已連網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中只有一部分在計費。這是由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決定的殘差，不是獨立估計</t>
    </r>
  </si>
  <si>
    <r>
      <rPr>
        <sz val="10"/>
        <rFont val="Arial"/>
        <family val="0"/>
        <charset val="1"/>
      </rPr>
      <t xml:space="preserve">(i)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營收：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營收中不屬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計費的部分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</si>
  <si>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實現 </t>
    </r>
    <r>
      <rPr>
        <sz val="9"/>
        <color rgb="FF595959"/>
        <rFont val="Arial"/>
        <family val="0"/>
        <charset val="1"/>
      </rPr>
      <t xml:space="preserve">× n</t>
    </r>
  </si>
  <si>
    <r>
      <rPr>
        <b val="true"/>
        <sz val="10"/>
        <rFont val="Noto Sans CJK SC"/>
        <family val="2"/>
      </rPr>
      <t xml:space="preserve">終點：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實現每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</si>
  <si>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核對：終點 −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實現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</si>
  <si>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</si>
  <si>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隱含期初可計費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已連網（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</si>
  <si>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小計；≤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才合理（計費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不可能超過已連網）</t>
    </r>
  </si>
  <si>
    <r>
      <rPr>
        <sz val="10"/>
        <rFont val="Noto Sans CJK SC"/>
        <family val="2"/>
      </rPr>
      <t xml:space="preserve">隱含期初可計費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</si>
  <si>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隱含期初可計費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已連網（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；模型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</si>
  <si>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若價格取模型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 &gt; 100%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營收無法由已連網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在模型價格下解釋，需要非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營收或更高的價格</t>
    </r>
  </si>
  <si>
    <r>
      <rPr>
        <sz val="10"/>
        <rFont val="Noto Sans CJK SC"/>
        <family val="2"/>
      </rPr>
      <t xml:space="preserve">隱含期初可計費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已連網（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，設施口徑）</t>
    </r>
  </si>
  <si>
    <r>
      <rPr>
        <sz val="10"/>
        <rFont val="Noto Sans CJK SC"/>
        <family val="2"/>
      </rPr>
      <t xml:space="preserve">讓 </t>
    </r>
    <r>
      <rPr>
        <sz val="10"/>
        <rFont val="Arial"/>
        <family val="0"/>
        <charset val="1"/>
      </rPr>
      <t xml:space="preserve">f ≤ 100% </t>
    </r>
    <r>
      <rPr>
        <sz val="10"/>
        <rFont val="Noto Sans CJK SC"/>
        <family val="2"/>
      </rPr>
      <t xml:space="preserve">所需的最低非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占比（模型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</si>
  <si>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期初錨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 ÷ Q1 </t>
    </r>
    <r>
      <rPr>
        <sz val="9"/>
        <color rgb="FF595959"/>
        <rFont val="Noto Sans CJK SC"/>
        <family val="2"/>
      </rPr>
      <t xml:space="preserve">實現；即在模型價格下，要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營收可由已連網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解釋，至少須有此比例屬非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／非計費營收</t>
    </r>
  </si>
  <si>
    <r>
      <rPr>
        <b val="true"/>
        <sz val="10"/>
        <rFont val="Noto Sans CJK SC"/>
        <family val="2"/>
      </rPr>
      <t xml:space="preserve">差異原因（已決定事項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</si>
  <si>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類型：已知限制。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實現（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）高於模型 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，原因依序為：</t>
    </r>
    <r>
      <rPr>
        <sz val="9"/>
        <color rgb="FF595959"/>
        <rFont val="Arial"/>
        <family val="0"/>
        <charset val="1"/>
      </rPr>
      <t xml:space="preserve">(i) OCI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部分（公司未分拆＝未揭露；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子項占 </t>
    </r>
    <r>
      <rPr>
        <sz val="9"/>
        <color rgb="FF595959"/>
        <rFont val="Arial"/>
        <family val="0"/>
        <charset val="1"/>
      </rPr>
      <t xml:space="preserve">88% </t>
    </r>
    <r>
      <rPr>
        <sz val="9"/>
        <color rgb="FF595959"/>
        <rFont val="Noto Sans CJK SC"/>
        <family val="2"/>
      </rPr>
      <t xml:space="preserve">為下限證據，其餘 </t>
    </r>
    <r>
      <rPr>
        <sz val="9"/>
        <color rgb="FF595959"/>
        <rFont val="Arial"/>
        <family val="0"/>
        <charset val="1"/>
      </rPr>
      <t xml:space="preserve">12% </t>
    </r>
    <r>
      <rPr>
        <sz val="9"/>
        <color rgb="FF595959"/>
        <rFont val="Noto Sans CJK SC"/>
        <family val="2"/>
      </rPr>
      <t xml:space="preserve">肯定非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運算）；</t>
    </r>
    <r>
      <rPr>
        <sz val="9"/>
        <color rgb="FF595959"/>
        <rFont val="Arial"/>
        <family val="0"/>
        <charset val="1"/>
      </rPr>
      <t xml:space="preserve">(ii) Oracle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等客戶的實際合約價高於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長約（隱含 </t>
    </r>
    <r>
      <rPr>
        <sz val="9"/>
        <color rgb="FF595959"/>
        <rFont val="Arial"/>
        <family val="0"/>
        <charset val="1"/>
      </rPr>
      <t xml:space="preserve">k 1.22</t>
    </r>
    <r>
      <rPr>
        <sz val="9"/>
        <color rgb="FF595959"/>
        <rFont val="Noto Sans CJK SC"/>
        <family val="2"/>
      </rPr>
      <t xml:space="preserve">，未證實）；</t>
    </r>
    <r>
      <rPr>
        <sz val="9"/>
        <color rgb="FF595959"/>
        <rFont val="Arial"/>
        <family val="0"/>
        <charset val="1"/>
      </rPr>
      <t xml:space="preserve">(iii) </t>
    </r>
    <r>
      <rPr>
        <sz val="9"/>
        <color rgb="FF595959"/>
        <rFont val="Noto Sans CJK SC"/>
        <family val="2"/>
      </rPr>
      <t xml:space="preserve">評價日機隊世代較舊、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平均含新增世代，反向影響很小；</t>
    </r>
    <r>
      <rPr>
        <sz val="9"/>
        <color rgb="FF595959"/>
        <rFont val="Arial"/>
        <family val="0"/>
        <charset val="1"/>
      </rPr>
      <t xml:space="preserve">(iv) </t>
    </r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校準值（</t>
    </r>
    <r>
      <rPr>
        <sz val="9"/>
        <color rgb="FF595959"/>
        <rFont val="Arial"/>
        <family val="0"/>
        <charset val="1"/>
      </rPr>
      <t xml:space="preserve">3,025</t>
    </r>
    <r>
      <rPr>
        <sz val="9"/>
        <color rgb="FF595959"/>
        <rFont val="Noto Sans CJK SC"/>
        <family val="2"/>
      </rPr>
      <t xml:space="preserve">）高於已連網（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Noto Sans CJK SC"/>
        <family val="2"/>
      </rPr>
      <t xml:space="preserve">）是因為校準把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全部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營收除以模型價格——只要非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占比 ≥ 約 </t>
    </r>
    <r>
      <rPr>
        <sz val="9"/>
        <color rgb="FF595959"/>
        <rFont val="Arial"/>
        <family val="0"/>
        <charset val="1"/>
      </rPr>
      <t xml:space="preserve">19%</t>
    </r>
    <r>
      <rPr>
        <sz val="9"/>
        <color rgb="FF595959"/>
        <rFont val="Noto Sans CJK SC"/>
        <family val="2"/>
      </rPr>
      <t xml:space="preserve">（模型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實際價高於模型價，計費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就會回到已連網以下。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只列不用，不回頭改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扣除的敏感度見 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區。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</si>
  <si>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3 × 3 </t>
    </r>
    <r>
      <rPr>
        <b val="true"/>
        <sz val="10"/>
        <rFont val="Noto Sans CJK SC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價格（快照）：各指標（容量情境 ＼ 價格情境；價格低／基準／高依序在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</si>
  <si>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容量情境 ＼ 價格情境</t>
  </si>
  <si>
    <t xml:space="preserve">價格低</t>
  </si>
  <si>
    <t xml:space="preserve">價格基準</t>
  </si>
  <si>
    <t xml:space="preserve">價格高</t>
  </si>
  <si>
    <r>
      <rPr>
        <sz val="10"/>
        <rFont val="Noto Sans CJK SC"/>
        <family val="2"/>
      </rPr>
      <t xml:space="preserve">矩陣｜加權目標價｜保守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</si>
  <si>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Noto Sans CJK SC"/>
        <family val="2"/>
      </rPr>
      <t xml:space="preserve">價格低＝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Noto Sans CJK SC"/>
        <family val="2"/>
      </rPr>
      <t xml:space="preserve">；基準＝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；高＝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2.67</t>
    </r>
    <r>
      <rPr>
        <sz val="9"/>
        <color rgb="FF595959"/>
        <rFont val="Noto Sans CJK SC"/>
        <family val="2"/>
      </rPr>
      <t xml:space="preserve">（隨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快照重算）。容量情境＝合約上限、併網速度、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實現率、建設延誤月數</t>
    </r>
  </si>
  <si>
    <r>
      <rPr>
        <sz val="10"/>
        <rFont val="Noto Sans CJK SC"/>
        <family val="2"/>
      </rPr>
      <t xml:space="preserve">矩陣｜加權目標價｜基準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</si>
  <si>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矩陣｜加權目標價｜積極 依公司時程</t>
  </si>
  <si>
    <r>
      <rPr>
        <sz val="10"/>
        <rFont val="Noto Sans CJK SC"/>
        <family val="2"/>
      </rPr>
      <t xml:space="preserve">矩陣｜五期股權募資｜保守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</si>
  <si>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矩陣｜五期股權募資｜基準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</si>
  <si>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矩陣｜五期股權募資｜積極 依公司時程</t>
  </si>
  <si>
    <r>
      <rPr>
        <sz val="10"/>
        <rFont val="Noto Sans CJK SC"/>
        <family val="2"/>
      </rPr>
      <t xml:space="preserve">矩陣｜融資前缺口｜保守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</si>
  <si>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矩陣｜融資前缺口｜基準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</si>
  <si>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矩陣｜融資前缺口｜積極 依公司時程</t>
  </si>
  <si>
    <r>
      <rPr>
        <sz val="10"/>
        <rFont val="Noto Sans CJK SC"/>
        <family val="2"/>
      </rPr>
      <t xml:space="preserve">矩陣｜調整後槓桿峰值｜保守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</si>
  <si>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矩陣｜調整後槓桿峰值｜基準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</si>
  <si>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矩陣｜調整後槓桿峰值｜積極 依公司時程</t>
  </si>
  <si>
    <r>
      <rPr>
        <sz val="10"/>
        <rFont val="Noto Sans CJK SC"/>
        <family val="2"/>
      </rPr>
      <t xml:space="preserve">矩陣｜新股數｜保守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</si>
  <si>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</si>
  <si>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矩陣｜新股數｜基準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</si>
  <si>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矩陣｜新股數｜積極 依公司時程</t>
  </si>
  <si>
    <r>
      <rPr>
        <b val="true"/>
        <sz val="10"/>
        <rFont val="Noto Sans CJK SC"/>
        <family val="2"/>
      </rPr>
      <t xml:space="preserve">快照檢查：目前情境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目前價格情境的快照 − 即時加權目標價</t>
    </r>
  </si>
  <si>
    <r>
      <rPr>
        <sz val="9"/>
        <color rgb="FF595959"/>
        <rFont val="Noto Sans CJK SC"/>
        <family val="2"/>
      </rPr>
      <t xml:space="preserve">改了任何輸入後快照不會自動更新；重建（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Noto Sans CJK SC"/>
        <family val="2"/>
      </rPr>
      <t xml:space="preserve">）即更新</t>
    </r>
  </si>
  <si>
    <r>
      <rPr>
        <b val="true"/>
        <sz val="10"/>
        <rFont val="Arial"/>
        <family val="0"/>
        <charset val="1"/>
      </rPr>
      <t xml:space="preserve">G2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收入與校準的敏感度（價格基準；快照；保守／基準／積極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</si>
  <si>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加權目標價｜變動</t>
  </si>
  <si>
    <t xml:space="preserve">保守</t>
  </si>
  <si>
    <t xml:space="preserve">積極</t>
  </si>
  <si>
    <t xml:space="preserve">敏感度｜加權目標價｜基準（目前輸入）</t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</si>
  <si>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Noto Sans CJK SC"/>
        <family val="2"/>
      </rPr>
      <t xml:space="preserve">（價格軸低端以下）</t>
    </r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</si>
  <si>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（＝長約價等於打平租金）</t>
    </r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</si>
  <si>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</si>
  <si>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</si>
  <si>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</si>
  <si>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Noto Sans CJK SC"/>
        <family val="2"/>
      </rPr>
      <t xml:space="preserve">（現貨低端）</t>
    </r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</si>
  <si>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Noto Sans CJK SC"/>
        <family val="2"/>
      </rPr>
      <t xml:space="preserve">（現貨高端）</t>
    </r>
  </si>
  <si>
    <r>
      <rPr>
        <sz val="10"/>
        <rFont val="Noto Sans CJK SC"/>
        <family val="2"/>
      </rPr>
      <t xml:space="preserve">敏感度｜加權目標價｜長約占比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</si>
  <si>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敏感度｜加權目標價｜長約占比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</si>
  <si>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</si>
  <si>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</si>
  <si>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敏感度｜加權目標價｜首期末收斂比例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</si>
  <si>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敏感度｜加權目標價｜首期末收斂比例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</si>
  <si>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敏感度｜加權目標價｜第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</si>
  <si>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Noto Sans CJK SC"/>
        <family val="2"/>
      </rPr>
      <t xml:space="preserve">敏感度｜加權目標價｜第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</si>
  <si>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Noto Sans CJK SC"/>
        <family val="2"/>
      </rPr>
      <t xml:space="preserve">敏感度｜加權目標價｜期初可計費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</si>
  <si>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敏感度｜加權目標價｜期初可計費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</si>
  <si>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敏感度｜加權目標價｜期初可計費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</si>
  <si>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t xml:space="preserve">五期股權募資｜變動</t>
  </si>
  <si>
    <t xml:space="preserve">敏感度｜五期股權募資｜基準（目前輸入）</t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</si>
  <si>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Noto Sans CJK SC"/>
        <family val="2"/>
      </rPr>
      <t xml:space="preserve">（價格軸低端以下）</t>
    </r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</si>
  <si>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（＝長約價等於打平租金）</t>
    </r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</si>
  <si>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</si>
  <si>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</si>
  <si>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</si>
  <si>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Noto Sans CJK SC"/>
        <family val="2"/>
      </rPr>
      <t xml:space="preserve">（現貨低端）</t>
    </r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</si>
  <si>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Noto Sans CJK SC"/>
        <family val="2"/>
      </rPr>
      <t xml:space="preserve">（現貨高端）</t>
    </r>
  </si>
  <si>
    <r>
      <rPr>
        <sz val="10"/>
        <rFont val="Noto Sans CJK SC"/>
        <family val="2"/>
      </rPr>
      <t xml:space="preserve">敏感度｜五期股權募資｜長約占比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</si>
  <si>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敏感度｜五期股權募資｜長約占比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</si>
  <si>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</si>
  <si>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</si>
  <si>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敏感度｜五期股權募資｜首期末收斂比例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</si>
  <si>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敏感度｜五期股權募資｜首期末收斂比例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</si>
  <si>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敏感度｜五期股權募資｜第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</si>
  <si>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Noto Sans CJK SC"/>
        <family val="2"/>
      </rPr>
      <t xml:space="preserve">敏感度｜五期股權募資｜第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</si>
  <si>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Noto Sans CJK SC"/>
        <family val="2"/>
      </rPr>
      <t xml:space="preserve">敏感度｜五期股權募資｜期初可計費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</si>
  <si>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敏感度｜五期股權募資｜期初可計費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</si>
  <si>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敏感度｜五期股權募資｜期初可計費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</si>
  <si>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t xml:space="preserve">融資前缺口｜變動</t>
  </si>
  <si>
    <t xml:space="preserve">敏感度｜融資前缺口｜基準（目前輸入）</t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</si>
  <si>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Noto Sans CJK SC"/>
        <family val="2"/>
      </rPr>
      <t xml:space="preserve">（價格軸低端以下）</t>
    </r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</si>
  <si>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（＝長約價等於打平租金）</t>
    </r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</si>
  <si>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</si>
  <si>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</si>
  <si>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</si>
  <si>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Noto Sans CJK SC"/>
        <family val="2"/>
      </rPr>
      <t xml:space="preserve">（現貨低端）</t>
    </r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</si>
  <si>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Noto Sans CJK SC"/>
        <family val="2"/>
      </rPr>
      <t xml:space="preserve">（現貨高端）</t>
    </r>
  </si>
  <si>
    <r>
      <rPr>
        <sz val="10"/>
        <rFont val="Noto Sans CJK SC"/>
        <family val="2"/>
      </rPr>
      <t xml:space="preserve">敏感度｜融資前缺口｜長約占比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</si>
  <si>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敏感度｜融資前缺口｜長約占比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</si>
  <si>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</si>
  <si>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</si>
  <si>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敏感度｜融資前缺口｜首期末收斂比例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</si>
  <si>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敏感度｜融資前缺口｜首期末收斂比例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</si>
  <si>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敏感度｜融資前缺口｜第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</si>
  <si>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Noto Sans CJK SC"/>
        <family val="2"/>
      </rPr>
      <t xml:space="preserve">敏感度｜融資前缺口｜第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</si>
  <si>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Noto Sans CJK SC"/>
        <family val="2"/>
      </rPr>
      <t xml:space="preserve">敏感度｜融資前缺口｜期初可計費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</si>
  <si>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敏感度｜融資前缺口｜期初可計費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</si>
  <si>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敏感度｜融資前缺口｜期初可計費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</si>
  <si>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t xml:space="preserve">調整後槓桿峰值｜變動</t>
  </si>
  <si>
    <t xml:space="preserve">敏感度｜調整後槓桿峰值｜基準（目前輸入）</t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</si>
  <si>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Noto Sans CJK SC"/>
        <family val="2"/>
      </rPr>
      <t xml:space="preserve">（價格軸低端以下）</t>
    </r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</si>
  <si>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（＝長約價等於打平租金）</t>
    </r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</si>
  <si>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</si>
  <si>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</si>
  <si>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</si>
  <si>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Noto Sans CJK SC"/>
        <family val="2"/>
      </rPr>
      <t xml:space="preserve">（現貨低端）</t>
    </r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</si>
  <si>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Noto Sans CJK SC"/>
        <family val="2"/>
      </rPr>
      <t xml:space="preserve">（現貨高端）</t>
    </r>
  </si>
  <si>
    <r>
      <rPr>
        <sz val="10"/>
        <rFont val="Noto Sans CJK SC"/>
        <family val="2"/>
      </rPr>
      <t xml:space="preserve">敏感度｜調整後槓桿峰值｜長約占比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</si>
  <si>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敏感度｜調整後槓桿峰值｜長約占比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</si>
  <si>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</si>
  <si>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</si>
  <si>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敏感度｜調整後槓桿峰值｜首期末收斂比例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</si>
  <si>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敏感度｜調整後槓桿峰值｜首期末收斂比例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</si>
  <si>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敏感度｜調整後槓桿峰值｜第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</si>
  <si>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Noto Sans CJK SC"/>
        <family val="2"/>
      </rPr>
      <t xml:space="preserve">敏感度｜調整後槓桿峰值｜第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</si>
  <si>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Noto Sans CJK SC"/>
        <family val="2"/>
      </rPr>
      <t xml:space="preserve">敏感度｜調整後槓桿峰值｜期初可計費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</si>
  <si>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敏感度｜調整後槓桿峰值｜期初可計費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</si>
  <si>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敏感度｜調整後槓桿峰值｜期初可計費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</si>
  <si>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t xml:space="preserve">新股數｜變動</t>
  </si>
  <si>
    <t xml:space="preserve">敏感度｜新股數｜基準（目前輸入）</t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</si>
  <si>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Noto Sans CJK SC"/>
        <family val="2"/>
      </rPr>
      <t xml:space="preserve">（價格軸低端以下）</t>
    </r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</si>
  <si>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（＝長約價等於打平租金）</t>
    </r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</si>
  <si>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</si>
  <si>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</si>
  <si>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Noto Sans CJK SC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</si>
  <si>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Noto Sans CJK SC"/>
        <family val="2"/>
      </rPr>
      <t xml:space="preserve">（現貨低端）</t>
    </r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</si>
  <si>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Noto Sans CJK SC"/>
        <family val="2"/>
      </rPr>
      <t xml:space="preserve">（現貨高端）</t>
    </r>
  </si>
  <si>
    <r>
      <rPr>
        <sz val="10"/>
        <rFont val="Noto Sans CJK SC"/>
        <family val="2"/>
      </rPr>
      <t xml:space="preserve">敏感度｜新股數｜長約占比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</si>
  <si>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敏感度｜新股數｜長約占比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</si>
  <si>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</si>
  <si>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敏感度｜新股數｜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</si>
  <si>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敏感度｜新股數｜首期末收斂比例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</si>
  <si>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敏感度｜新股數｜首期末收斂比例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</si>
  <si>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敏感度｜新股數｜第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</si>
  <si>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Noto Sans CJK SC"/>
        <family val="2"/>
      </rPr>
      <t xml:space="preserve">敏感度｜新股數｜第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</si>
  <si>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Noto Sans CJK SC"/>
        <family val="2"/>
      </rPr>
      <t xml:space="preserve">敏感度｜新股數｜期初可計費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</si>
  <si>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敏感度｜新股數｜期初可計費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</si>
  <si>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敏感度｜新股數｜期初可計費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</si>
  <si>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說明：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低／高成本——錨（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）同時改變，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以證據世代的成本比例重算（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＝市場價格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同情境持有成本；價格是事實），所以收入大致不隨成本情境改變、成本改變。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1.47</t>
    </r>
    <r>
      <rPr>
        <sz val="9"/>
        <color rgb="FF595959"/>
        <rFont val="Noto Sans CJK SC"/>
        <family val="2"/>
      </rPr>
      <t xml:space="preserve">）只改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長約（長約占比維持 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扣除：期初可計費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（公司未分拆，見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區）。收斂比例：基準首期末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、之後 </t>
    </r>
    <r>
      <rPr>
        <sz val="9"/>
        <color rgb="FF595959"/>
        <rFont val="Arial"/>
        <family val="0"/>
        <charset val="1"/>
      </rPr>
      <t xml:space="preserve">80%→90%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</si>
  <si>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2026-08-31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</si>
  <si>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</si>
  <si>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</si>
  <si>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</si>
  <si>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</si>
  <si>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</si>
  <si>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8/31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</si>
  <si>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</si>
  <si>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2027-04</t>
    </r>
  </si>
  <si>
    <t xml:space="preserve">無擔保</t>
  </si>
  <si>
    <t xml:space="preserve">2027-04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</si>
  <si>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April 2020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</si>
  <si>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2027-11</t>
    </r>
  </si>
  <si>
    <t xml:space="preserve">2027-11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</si>
  <si>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November 2017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</si>
  <si>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2.30%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2028-03</t>
    </r>
  </si>
  <si>
    <t xml:space="preserve">2028-03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</si>
  <si>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March 2021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</si>
  <si>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2028-05</t>
    </r>
  </si>
  <si>
    <t xml:space="preserve">2028-05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</si>
  <si>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</si>
  <si>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2028-08</t>
    </r>
  </si>
  <si>
    <t xml:space="preserve">2028-08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</si>
  <si>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</si>
  <si>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2029-02</t>
    </r>
  </si>
  <si>
    <t xml:space="preserve">2029-02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</si>
  <si>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</si>
  <si>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4.20%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2029-09</t>
    </r>
  </si>
  <si>
    <t xml:space="preserve">2029-09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</si>
  <si>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September 2024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</si>
  <si>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6.15%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2029-11</t>
    </r>
  </si>
  <si>
    <t xml:space="preserve">2029-11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</si>
  <si>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November 2022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</si>
  <si>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2030-04</t>
    </r>
  </si>
  <si>
    <t xml:space="preserve">2030-04</t>
  </si>
  <si>
    <r>
      <rPr>
        <sz val="10"/>
        <rFont val="Arial"/>
        <family val="0"/>
        <charset val="1"/>
      </rPr>
      <t xml:space="preserve">4.65%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2030-05</t>
    </r>
  </si>
  <si>
    <t xml:space="preserve">2030-05</t>
  </si>
  <si>
    <r>
      <rPr>
        <sz val="10"/>
        <rFont val="Arial"/>
        <family val="0"/>
        <charset val="1"/>
      </rPr>
      <t xml:space="preserve">3.25%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2030-05</t>
    </r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</si>
  <si>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May 2015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</si>
  <si>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4.45%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2030-09</t>
    </r>
  </si>
  <si>
    <t xml:space="preserve">2030-09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</si>
  <si>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September 2025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</si>
  <si>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2031-02</t>
    </r>
  </si>
  <si>
    <t xml:space="preserve">2031-02</t>
  </si>
  <si>
    <r>
      <rPr>
        <sz val="10"/>
        <rFont val="Arial"/>
        <family val="0"/>
        <charset val="1"/>
      </rPr>
      <t xml:space="preserve">2.875%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2031-03</t>
    </r>
  </si>
  <si>
    <t xml:space="preserve">2031-03</t>
  </si>
  <si>
    <r>
      <rPr>
        <sz val="10"/>
        <rFont val="Arial"/>
        <family val="0"/>
        <charset val="1"/>
      </rPr>
      <t xml:space="preserve">5.25%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2032-02</t>
    </r>
  </si>
  <si>
    <t xml:space="preserve">2032-02</t>
  </si>
  <si>
    <r>
      <rPr>
        <sz val="10"/>
        <rFont val="Arial"/>
        <family val="0"/>
        <charset val="1"/>
      </rPr>
      <t xml:space="preserve">4.80%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2032-09</t>
    </r>
  </si>
  <si>
    <t xml:space="preserve">2032-09</t>
  </si>
  <si>
    <r>
      <rPr>
        <sz val="10"/>
        <rFont val="Arial"/>
        <family val="0"/>
        <charset val="1"/>
      </rPr>
      <t xml:space="preserve">6.25%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2032-11</t>
    </r>
  </si>
  <si>
    <t xml:space="preserve">2032-11</t>
  </si>
  <si>
    <r>
      <rPr>
        <sz val="10"/>
        <rFont val="Arial"/>
        <family val="0"/>
        <charset val="1"/>
      </rPr>
      <t xml:space="preserve">4.90%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2033-02</t>
    </r>
  </si>
  <si>
    <t xml:space="preserve">2033-02</t>
  </si>
  <si>
    <r>
      <rPr>
        <sz val="10"/>
        <rFont val="Arial"/>
        <family val="0"/>
        <charset val="1"/>
      </rPr>
      <t xml:space="preserve">5.35%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2033-05</t>
    </r>
  </si>
  <si>
    <t xml:space="preserve">2033-05</t>
  </si>
  <si>
    <r>
      <rPr>
        <sz val="10"/>
        <rFont val="Arial"/>
        <family val="0"/>
        <charset val="1"/>
      </rPr>
      <t xml:space="preserve">4.30%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2034-07</t>
    </r>
  </si>
  <si>
    <t xml:space="preserve">2034-07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</si>
  <si>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</si>
  <si>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2034-09</t>
    </r>
  </si>
  <si>
    <t xml:space="preserve">2034-09</t>
  </si>
  <si>
    <r>
      <rPr>
        <sz val="10"/>
        <rFont val="Arial"/>
        <family val="0"/>
        <charset val="1"/>
      </rPr>
      <t xml:space="preserve">3.90%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2035-05</t>
    </r>
  </si>
  <si>
    <t xml:space="preserve">2035-05</t>
  </si>
  <si>
    <r>
      <rPr>
        <sz val="10"/>
        <rFont val="Arial"/>
        <family val="0"/>
        <charset val="1"/>
      </rPr>
      <t xml:space="preserve">5.50%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2035-08</t>
    </r>
  </si>
  <si>
    <t xml:space="preserve">2035-08</t>
  </si>
  <si>
    <r>
      <rPr>
        <sz val="10"/>
        <rFont val="Arial"/>
        <family val="0"/>
        <charset val="1"/>
      </rPr>
      <t xml:space="preserve">5.20%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2035-09</t>
    </r>
  </si>
  <si>
    <t xml:space="preserve">2035-09</t>
  </si>
  <si>
    <r>
      <rPr>
        <sz val="10"/>
        <rFont val="Arial"/>
        <family val="0"/>
        <charset val="1"/>
      </rPr>
      <t xml:space="preserve">5.70%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2036-02</t>
    </r>
  </si>
  <si>
    <t xml:space="preserve">2036-02</t>
  </si>
  <si>
    <r>
      <rPr>
        <sz val="10"/>
        <rFont val="Arial"/>
        <family val="0"/>
        <charset val="1"/>
      </rPr>
      <t xml:space="preserve">3.85%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2036-07</t>
    </r>
  </si>
  <si>
    <t xml:space="preserve">2036-07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</si>
  <si>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</si>
  <si>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2037-11</t>
    </r>
  </si>
  <si>
    <t xml:space="preserve">2037-11</t>
  </si>
  <si>
    <r>
      <rPr>
        <sz val="10"/>
        <rFont val="Arial"/>
        <family val="0"/>
        <charset val="1"/>
      </rPr>
      <t xml:space="preserve">6.50%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2038-04</t>
    </r>
  </si>
  <si>
    <t xml:space="preserve">2038-04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</si>
  <si>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April 2008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</si>
  <si>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6.125%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2039-07</t>
    </r>
  </si>
  <si>
    <t xml:space="preserve">2039-07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</si>
  <si>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2009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</si>
  <si>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3.60%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2040-04</t>
    </r>
  </si>
  <si>
    <t xml:space="preserve">2040-04</t>
  </si>
  <si>
    <r>
      <rPr>
        <sz val="10"/>
        <rFont val="Arial"/>
        <family val="0"/>
        <charset val="1"/>
      </rPr>
      <t xml:space="preserve">5.375%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2040-07</t>
    </r>
  </si>
  <si>
    <t xml:space="preserve">2040-07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</si>
  <si>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</si>
  <si>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3.65%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2041-03</t>
    </r>
  </si>
  <si>
    <t xml:space="preserve">2041-03</t>
  </si>
  <si>
    <r>
      <rPr>
        <sz val="10"/>
        <rFont val="Arial"/>
        <family val="0"/>
        <charset val="1"/>
      </rPr>
      <t xml:space="preserve">4.50%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2044-07</t>
    </r>
  </si>
  <si>
    <t xml:space="preserve">2044-07</t>
  </si>
  <si>
    <r>
      <rPr>
        <sz val="10"/>
        <rFont val="Arial"/>
        <family val="0"/>
        <charset val="1"/>
      </rPr>
      <t xml:space="preserve">4.125%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2045-05</t>
    </r>
  </si>
  <si>
    <t xml:space="preserve">2045-05</t>
  </si>
  <si>
    <r>
      <rPr>
        <sz val="10"/>
        <rFont val="Arial"/>
        <family val="0"/>
        <charset val="1"/>
      </rPr>
      <t xml:space="preserve">5.875%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2045-09</t>
    </r>
  </si>
  <si>
    <t xml:space="preserve">2045-09</t>
  </si>
  <si>
    <r>
      <rPr>
        <sz val="10"/>
        <rFont val="Arial"/>
        <family val="0"/>
        <charset val="1"/>
      </rPr>
      <t xml:space="preserve">6.55%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2046-02</t>
    </r>
  </si>
  <si>
    <t xml:space="preserve">2046-02</t>
  </si>
  <si>
    <r>
      <rPr>
        <sz val="10"/>
        <rFont val="Arial"/>
        <family val="0"/>
        <charset val="1"/>
      </rPr>
      <t xml:space="preserve">4.00%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2046-07</t>
    </r>
  </si>
  <si>
    <t xml:space="preserve">2046-07</t>
  </si>
  <si>
    <r>
      <rPr>
        <sz val="10"/>
        <rFont val="Arial"/>
        <family val="0"/>
        <charset val="1"/>
      </rPr>
      <t xml:space="preserve">4.00%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2047-11</t>
    </r>
  </si>
  <si>
    <t xml:space="preserve">2047-11</t>
  </si>
  <si>
    <r>
      <rPr>
        <sz val="10"/>
        <rFont val="Arial"/>
        <family val="0"/>
        <charset val="1"/>
      </rPr>
      <t xml:space="preserve">3.60%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2050-04</t>
    </r>
  </si>
  <si>
    <t xml:space="preserve">2050-04</t>
  </si>
  <si>
    <r>
      <rPr>
        <sz val="10"/>
        <rFont val="Arial"/>
        <family val="0"/>
        <charset val="1"/>
      </rPr>
      <t xml:space="preserve">3.95%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2051-03</t>
    </r>
  </si>
  <si>
    <t xml:space="preserve">2051-03</t>
  </si>
  <si>
    <r>
      <rPr>
        <sz val="10"/>
        <rFont val="Arial"/>
        <family val="0"/>
        <charset val="1"/>
      </rPr>
      <t xml:space="preserve">6.90%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2052-11</t>
    </r>
  </si>
  <si>
    <t xml:space="preserve">2052-11</t>
  </si>
  <si>
    <r>
      <rPr>
        <sz val="10"/>
        <rFont val="Arial"/>
        <family val="0"/>
        <charset val="1"/>
      </rPr>
      <t xml:space="preserve">5.55%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2053-02</t>
    </r>
  </si>
  <si>
    <t xml:space="preserve">2053-02</t>
  </si>
  <si>
    <r>
      <rPr>
        <sz val="10"/>
        <rFont val="Arial"/>
        <family val="0"/>
        <charset val="1"/>
      </rPr>
      <t xml:space="preserve">5.375%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2054-09</t>
    </r>
  </si>
  <si>
    <t xml:space="preserve">2054-09</t>
  </si>
  <si>
    <r>
      <rPr>
        <sz val="10"/>
        <rFont val="Arial"/>
        <family val="0"/>
        <charset val="1"/>
      </rPr>
      <t xml:space="preserve">4.375%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2055-05</t>
    </r>
  </si>
  <si>
    <t xml:space="preserve">2055-05</t>
  </si>
  <si>
    <r>
      <rPr>
        <sz val="10"/>
        <rFont val="Arial"/>
        <family val="0"/>
        <charset val="1"/>
      </rPr>
      <t xml:space="preserve">6.00%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2055-08</t>
    </r>
  </si>
  <si>
    <t xml:space="preserve">2055-08</t>
  </si>
  <si>
    <r>
      <rPr>
        <sz val="10"/>
        <rFont val="Arial"/>
        <family val="0"/>
        <charset val="1"/>
      </rPr>
      <t xml:space="preserve">5.95%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2055-09</t>
    </r>
  </si>
  <si>
    <t xml:space="preserve">2055-09</t>
  </si>
  <si>
    <r>
      <rPr>
        <sz val="10"/>
        <rFont val="Arial"/>
        <family val="0"/>
        <charset val="1"/>
      </rPr>
      <t xml:space="preserve">6.70%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2056-02</t>
    </r>
  </si>
  <si>
    <t xml:space="preserve">2056-02</t>
  </si>
  <si>
    <r>
      <rPr>
        <sz val="10"/>
        <rFont val="Arial"/>
        <family val="0"/>
        <charset val="1"/>
      </rPr>
      <t xml:space="preserve">3.85%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2060-04</t>
    </r>
  </si>
  <si>
    <t xml:space="preserve">2060-04</t>
  </si>
  <si>
    <r>
      <rPr>
        <sz val="10"/>
        <rFont val="Arial"/>
        <family val="0"/>
        <charset val="1"/>
      </rPr>
      <t xml:space="preserve">4.10%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2061-03</t>
    </r>
  </si>
  <si>
    <t xml:space="preserve">2061-03</t>
  </si>
  <si>
    <r>
      <rPr>
        <sz val="10"/>
        <rFont val="Arial"/>
        <family val="0"/>
        <charset val="1"/>
      </rPr>
      <t xml:space="preserve">5.50%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2064-09</t>
    </r>
  </si>
  <si>
    <t xml:space="preserve">2064-09</t>
  </si>
  <si>
    <r>
      <rPr>
        <sz val="10"/>
        <rFont val="Arial"/>
        <family val="0"/>
        <charset val="1"/>
      </rPr>
      <t xml:space="preserve">6.125%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2065-08</t>
    </r>
  </si>
  <si>
    <t xml:space="preserve">2065-08</t>
  </si>
  <si>
    <r>
      <rPr>
        <sz val="10"/>
        <rFont val="Arial"/>
        <family val="0"/>
        <charset val="1"/>
      </rPr>
      <t xml:space="preserve">6.10%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2065-09</t>
    </r>
  </si>
  <si>
    <t xml:space="preserve">2065-09</t>
  </si>
  <si>
    <r>
      <rPr>
        <sz val="10"/>
        <rFont val="Arial"/>
        <family val="0"/>
        <charset val="1"/>
      </rPr>
      <t xml:space="preserve">6.85%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2066-02</t>
    </r>
  </si>
  <si>
    <t xml:space="preserve">2066-02</t>
  </si>
  <si>
    <r>
      <rPr>
        <sz val="10"/>
        <rFont val="Noto Sans CJK SC"/>
        <family val="2"/>
      </rPr>
      <t xml:space="preserve">浮動利率票據 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0.76% 2028-08</t>
    </r>
  </si>
  <si>
    <r>
      <rPr>
        <sz val="10"/>
        <rFont val="Noto Sans CJK SC"/>
        <family val="2"/>
      </rPr>
      <t xml:space="preserve">浮動利率票據 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1.11% 2029-02</t>
    </r>
  </si>
  <si>
    <r>
      <rPr>
        <sz val="10"/>
        <rFont val="Noto Sans CJK SC"/>
        <family val="2"/>
      </rPr>
      <t xml:space="preserve">定期貸款（</t>
    </r>
    <r>
      <rPr>
        <sz val="10"/>
        <rFont val="Arial"/>
        <family val="0"/>
        <charset val="1"/>
      </rPr>
      <t xml:space="preserve">Term Loan Credit Agreement 2</t>
    </r>
    <r>
      <rPr>
        <sz val="10"/>
        <rFont val="Noto Sans CJK SC"/>
        <family val="2"/>
      </rPr>
      <t xml:space="preserve">）</t>
    </r>
  </si>
  <si>
    <t xml:space="preserve">2027-08</t>
  </si>
  <si>
    <r>
      <rPr>
        <sz val="9"/>
        <color rgb="FF595959"/>
        <rFont val="Arial"/>
        <family val="0"/>
        <charset val="1"/>
      </rPr>
      <t xml:space="preserve">2026-05-31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5.137 − FY27Q1 </t>
    </r>
    <r>
      <rPr>
        <sz val="9"/>
        <color rgb="FF595959"/>
        <rFont val="Noto Sans CJK SC"/>
        <family val="2"/>
      </rPr>
      <t xml:space="preserve">攤還約 </t>
    </r>
    <r>
      <rPr>
        <sz val="9"/>
        <color rgb="FF595959"/>
        <rFont val="Arial"/>
        <family val="0"/>
        <charset val="1"/>
      </rPr>
      <t xml:space="preserve">0.070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4.7B </t>
    </r>
    <r>
      <rPr>
        <sz val="9"/>
        <color rgb="FF595959"/>
        <rFont val="Noto Sans CJK SC"/>
        <family val="2"/>
      </rPr>
      <t xml:space="preserve">以利率交換固定，有效約 </t>
    </r>
    <r>
      <rPr>
        <sz val="9"/>
        <color rgb="FF595959"/>
        <rFont val="Arial"/>
        <family val="0"/>
        <charset val="1"/>
      </rPr>
      <t xml:space="preserve">4.74%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起每季攤還約 </t>
    </r>
    <r>
      <rPr>
        <sz val="9"/>
        <color rgb="FF595959"/>
        <rFont val="Arial"/>
        <family val="0"/>
        <charset val="1"/>
      </rPr>
      <t xml:space="preserve">0.14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2027-08-16 </t>
    </r>
    <r>
      <rPr>
        <sz val="9"/>
        <color rgb="FF595959"/>
        <rFont val="Noto Sans CJK SC"/>
        <family val="2"/>
      </rPr>
      <t xml:space="preserve">到期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</si>
  <si>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t xml:space="preserve">商業本票</t>
  </si>
  <si>
    <t xml:space="preserve">2026-11</t>
  </si>
  <si>
    <r>
      <rPr>
        <sz val="9"/>
        <color rgb="FF595959"/>
        <rFont val="Noto Sans CJK SC"/>
        <family val="2"/>
      </rPr>
      <t xml:space="preserve">帳面總借款 − 附註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不含商本借款推得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</si>
  <si>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8/31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</si>
  <si>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125.904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</si>
  <si>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</si>
  <si>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</si>
  <si>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</si>
  <si>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</si>
  <si>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</si>
  <si>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</si>
  <si>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</si>
  <si>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</si>
  <si>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</si>
  <si>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</si>
  <si>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</si>
  <si>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</si>
  <si>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r>
      <rPr>
        <sz val="10"/>
        <rFont val="Arial"/>
        <family val="0"/>
        <charset val="1"/>
      </rPr>
      <t xml:space="preserve">6.50% Series D </t>
    </r>
    <r>
      <rPr>
        <sz val="10"/>
        <rFont val="Noto Sans CJK SC"/>
        <family val="2"/>
      </rPr>
      <t xml:space="preserve">強制轉換特別股（</t>
    </r>
    <r>
      <rPr>
        <sz val="10"/>
        <rFont val="Arial"/>
        <family val="0"/>
        <charset val="1"/>
      </rPr>
      <t xml:space="preserve">2026-02</t>
    </r>
    <r>
      <rPr>
        <sz val="10"/>
        <rFont val="Noto Sans CJK SC"/>
        <family val="2"/>
      </rPr>
      <t xml:space="preserve">）</t>
    </r>
  </si>
  <si>
    <t xml:space="preserve">2029-01</t>
  </si>
  <si>
    <r>
      <rPr>
        <sz val="9"/>
        <color rgb="FF595959"/>
        <rFont val="Noto Sans CJK SC"/>
        <family val="2"/>
      </rPr>
      <t xml:space="preserve">清算價 </t>
    </r>
    <r>
      <rPr>
        <sz val="9"/>
        <color rgb="FF595959"/>
        <rFont val="Arial"/>
        <family val="0"/>
        <charset val="1"/>
      </rPr>
      <t xml:space="preserve">$5B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萬股 </t>
    </r>
    <r>
      <rPr>
        <sz val="9"/>
        <color rgb="FF595959"/>
        <rFont val="Arial"/>
        <family val="0"/>
        <charset val="1"/>
      </rPr>
      <t xml:space="preserve">× $100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2029-01-15 </t>
    </r>
    <r>
      <rPr>
        <sz val="9"/>
        <color rgb="FF595959"/>
        <rFont val="Noto Sans CJK SC"/>
        <family val="2"/>
      </rPr>
      <t xml:space="preserve">強制轉換為普通股，每股特別股轉 </t>
    </r>
    <r>
      <rPr>
        <sz val="9"/>
        <color rgb="FF595959"/>
        <rFont val="Arial"/>
        <family val="0"/>
        <charset val="1"/>
      </rPr>
      <t xml:space="preserve">499.8126–624.7657 </t>
    </r>
    <r>
      <rPr>
        <sz val="9"/>
        <color rgb="FF595959"/>
        <rFont val="Noto Sans CJK SC"/>
        <family val="2"/>
      </rPr>
      <t xml:space="preserve">股（</t>
    </r>
    <r>
      <rPr>
        <sz val="9"/>
        <color rgb="FF595959"/>
        <rFont val="Arial"/>
        <family val="0"/>
        <charset val="1"/>
      </rPr>
      <t xml:space="preserve">2,499–3,124 </t>
    </r>
    <r>
      <rPr>
        <sz val="9"/>
        <color rgb="FF595959"/>
        <rFont val="Noto Sans CJK SC"/>
        <family val="2"/>
      </rPr>
      <t xml:space="preserve">萬股）；一律轉股，取稀釋最大 </t>
    </r>
    <r>
      <rPr>
        <sz val="9"/>
        <color rgb="FF595959"/>
        <rFont val="Arial"/>
        <family val="0"/>
        <charset val="1"/>
      </rPr>
      <t xml:space="preserve">31.238m </t>
    </r>
    <r>
      <rPr>
        <sz val="9"/>
        <color rgb="FF595959"/>
        <rFont val="Noto Sans CJK SC"/>
        <family val="2"/>
      </rPr>
      <t xml:space="preserve">股（轉換價下限 </t>
    </r>
    <r>
      <rPr>
        <sz val="9"/>
        <color rgb="FF595959"/>
        <rFont val="Arial"/>
        <family val="0"/>
        <charset val="1"/>
      </rPr>
      <t xml:space="preserve">$160.06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 8-K 2026-02]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6.50% </t>
    </r>
    <r>
      <rPr>
        <sz val="9"/>
        <color rgb="FF595959"/>
        <rFont val="Noto Sans CJK SC"/>
        <family val="2"/>
      </rPr>
      <t xml:space="preserve">股利列於 </t>
    </r>
    <r>
      <rPr>
        <sz val="9"/>
        <color rgb="FF595959"/>
        <rFont val="Arial"/>
        <family val="0"/>
        <charset val="1"/>
      </rPr>
      <t xml:space="preserve">defaults.dividend.preferred</t>
    </r>
    <r>
      <rPr>
        <sz val="9"/>
        <color rgb="FF595959"/>
        <rFont val="Noto Sans CJK SC"/>
        <family val="2"/>
      </rPr>
      <t xml:space="preserve">；權益，不列債務本金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</si>
  <si>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</si>
  <si>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</si>
  <si>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</si>
  <si>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</si>
  <si>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</si>
  <si>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</si>
  <si>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</si>
  <si>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</si>
  <si>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</si>
  <si>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</si>
  <si>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</si>
  <si>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</si>
  <si>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</si>
  <si>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</si>
  <si>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</si>
  <si>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</si>
  <si>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</si>
  <si>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</si>
  <si>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</si>
  <si>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</si>
  <si>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</si>
  <si>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</si>
  <si>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</si>
  <si>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</si>
  <si>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</si>
  <si>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</si>
  <si>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</si>
  <si>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</si>
  <si>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</si>
  <si>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</si>
  <si>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</si>
  <si>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</si>
  <si>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</si>
  <si>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</si>
  <si>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</si>
  <si>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</si>
  <si>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</si>
  <si>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</si>
  <si>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</si>
  <si>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</si>
  <si>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</si>
  <si>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</si>
  <si>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</si>
  <si>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</si>
  <si>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</si>
  <si>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</si>
  <si>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</si>
  <si>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</si>
  <si>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</si>
  <si>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</si>
  <si>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</si>
  <si>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</si>
  <si>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</si>
  <si>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</si>
  <si>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</si>
  <si>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</si>
  <si>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</si>
  <si>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</si>
  <si>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</si>
  <si>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</si>
  <si>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</si>
  <si>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</si>
  <si>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</si>
  <si>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</si>
  <si>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</si>
  <si>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</si>
  <si>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</si>
  <si>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</si>
  <si>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</si>
  <si>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</si>
  <si>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</si>
  <si>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</si>
  <si>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</si>
  <si>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</si>
  <si>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</si>
  <si>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</si>
  <si>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</si>
  <si>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2026-08-31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</si>
  <si>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</si>
  <si>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</si>
  <si>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</si>
  <si>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</si>
  <si>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</si>
  <si>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</si>
  <si>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</si>
  <si>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</si>
  <si>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</si>
  <si>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</si>
  <si>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</si>
  <si>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34.621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9.185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</si>
  <si>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</si>
  <si>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</si>
  <si>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</si>
  <si>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</si>
  <si>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</si>
  <si>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</si>
  <si>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</si>
  <si>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</si>
  <si>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</si>
  <si>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</si>
  <si>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</si>
  <si>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</si>
  <si>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</si>
  <si>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（循環信用額度，未動用）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</si>
  <si>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</si>
  <si>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</si>
  <si>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</si>
  <si>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</si>
  <si>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</si>
  <si>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</si>
  <si>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</si>
  <si>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</si>
  <si>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</si>
  <si>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</si>
  <si>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</si>
  <si>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</si>
  <si>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</si>
  <si>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傳統事業</t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</si>
  <si>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Noto Sans CJK SC"/>
        <family val="2"/>
      </rPr>
      <t xml:space="preserve">、軟體、硬體、服務（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</si>
  <si>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</si>
  <si>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</si>
  <si>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</si>
  <si>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＋傳統事業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</si>
  <si>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</si>
  <si>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</si>
  <si>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</si>
  <si>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</si>
  <si>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</si>
  <si>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</si>
  <si>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</si>
  <si>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</si>
  <si>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</si>
  <si>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</si>
  <si>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</si>
  <si>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</si>
  <si>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</si>
  <si>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</si>
  <si>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</si>
  <si>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</si>
  <si>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</si>
  <si>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</si>
  <si>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</si>
  <si>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</si>
  <si>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1Q </t>
    </r>
    <r>
      <rPr>
        <b val="true"/>
        <sz val="10"/>
        <rFont val="Noto Sans CJK SC"/>
        <family val="2"/>
      </rPr>
      <t xml:space="preserve">實際＋第 </t>
    </r>
    <r>
      <rPr>
        <b val="true"/>
        <sz val="10"/>
        <rFont val="Arial"/>
        <family val="0"/>
        <charset val="1"/>
      </rPr>
      <t xml:space="preserve">2–4 </t>
    </r>
    <r>
      <rPr>
        <b val="true"/>
        <sz val="10"/>
        <rFont val="Noto Sans CJK SC"/>
        <family val="2"/>
      </rPr>
      <t xml:space="preserve">季模型；與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</si>
  <si>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1Q27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</si>
  <si>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</si>
  <si>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可對照指引 ≥</t>
    </r>
    <r>
      <rPr>
        <sz val="9"/>
        <color rgb="FF595959"/>
        <rFont val="Arial"/>
        <family val="0"/>
        <charset val="1"/>
      </rPr>
      <t xml:space="preserve">90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</si>
  <si>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</si>
  <si>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67.357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</si>
  <si>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</si>
  <si>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</si>
  <si>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</si>
  <si>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3.358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</si>
  <si>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</si>
  <si>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</si>
  <si>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</si>
  <si>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</si>
  <si>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</si>
  <si>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</si>
  <si>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1.56</t>
    </r>
    <r>
      <rPr>
        <sz val="9"/>
        <color rgb="FF595959"/>
        <rFont val="Noto Sans CJK SC"/>
        <family val="2"/>
      </rPr>
      <t xml:space="preserve">＋第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</si>
  <si>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</si>
  <si>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</si>
  <si>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</si>
  <si>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</si>
  <si>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2026-08-31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</si>
  <si>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2026-08-31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</si>
  <si>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8/31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28.499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</si>
  <si>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</si>
  <si>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67.357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19.345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</si>
  <si>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</si>
  <si>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</si>
  <si>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</si>
  <si>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</si>
  <si>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</si>
  <si>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</si>
  <si>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</si>
  <si>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</si>
  <si>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</si>
  <si>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</si>
  <si>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</si>
  <si>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</si>
  <si>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</si>
  <si>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模型期（第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季）的現金流平均落在 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</si>
  <si>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</si>
  <si>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</si>
  <si>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</si>
  <si>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</si>
  <si>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</si>
  <si>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</si>
  <si>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</si>
  <si>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</si>
  <si>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</si>
  <si>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</si>
  <si>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</si>
  <si>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</si>
  <si>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</si>
  <si>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</si>
  <si>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</si>
  <si>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</si>
  <si>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</si>
  <si>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</si>
  <si>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</si>
  <si>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</si>
  <si>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</si>
  <si>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</si>
  <si>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</si>
  <si>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</si>
  <si>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</si>
  <si>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</si>
  <si>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2027-08-31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</si>
  <si>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</si>
  <si>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</si>
  <si>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</si>
  <si>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</si>
  <si>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OCI EBITDA × EV/EBITDA </t>
    </r>
    <r>
      <rPr>
        <sz val="9"/>
        <color rgb="FF595959"/>
        <rFont val="Noto Sans CJK SC"/>
        <family val="2"/>
      </rPr>
      <t xml:space="preserve">倍數＋傳統事業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</si>
  <si>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</si>
  <si>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</si>
  <si>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</si>
  <si>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</si>
  <si>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2027-08-31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</si>
  <si>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</si>
  <si>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</si>
  <si>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</si>
  <si>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錨定年度傳統事業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</si>
  <si>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倍數（軟體同業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</si>
  <si>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OCI 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</si>
  <si>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傳統事業；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</si>
  <si>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</si>
  <si>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</si>
  <si>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</si>
  <si>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</si>
  <si>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</si>
  <si>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</si>
  <si>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</si>
  <si>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</si>
  <si>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</si>
  <si>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</si>
  <si>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</si>
  <si>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</si>
  <si>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</si>
  <si>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</si>
  <si>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</si>
  <si>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</si>
  <si>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</si>
  <si>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</si>
  <si>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</si>
  <si>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</si>
  <si>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</si>
  <si>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</si>
  <si>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</si>
  <si>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</si>
  <si>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</si>
  <si>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</si>
  <si>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</si>
  <si>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</si>
  <si>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</si>
  <si>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</si>
  <si>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</si>
  <si>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</si>
  <si>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</si>
  <si>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</si>
  <si>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</si>
  <si>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</si>
  <si>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</si>
  <si>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</si>
  <si>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</si>
  <si>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</si>
  <si>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</si>
  <si>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</si>
  <si>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</si>
  <si>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</si>
  <si>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速度（加權目標價／評等代碼／距賣出門檻）</t>
    </r>
  </si>
  <si>
    <t xml:space="preserve">目標價區間｜積極 依公司時程（加權目標價／評等代碼／距賣出門檻）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</si>
  <si>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</si>
  <si>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</si>
  <si>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</si>
  <si>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</si>
  <si>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</si>
  <si>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</si>
  <si>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</si>
  <si>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</si>
  <si>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</si>
  <si>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</si>
  <si>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2027-08-31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</si>
  <si>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OCI </t>
    </r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</si>
  <si>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</si>
  <si>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(OCI EBITDA × </t>
    </r>
    <r>
      <rPr>
        <sz val="9"/>
        <color rgb="FF595959"/>
        <rFont val="Noto Sans CJK SC"/>
        <family val="2"/>
      </rPr>
      <t xml:space="preserve">倍數＋傳統事業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</si>
  <si>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</si>
  <si>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</si>
  <si>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</si>
  <si>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</si>
  <si>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</si>
  <si>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OCI </t>
    </r>
    <r>
      <rPr>
        <b val="true"/>
        <sz val="11"/>
        <color rgb="FFFFFFFF"/>
        <rFont val="Noto Sans CJK SC"/>
        <family val="2"/>
      </rPr>
      <t xml:space="preserve">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</si>
  <si>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</si>
  <si>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</si>
  <si>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</si>
  <si>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</si>
  <si>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</si>
  <si>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</si>
  <si>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</si>
  <si>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</si>
  <si>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</si>
  <si>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</si>
  <si>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</si>
  <si>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</si>
  <si>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</si>
  <si>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</si>
  <si>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</si>
  <si>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</si>
  <si>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</si>
  <si>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</si>
  <si>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</si>
  <si>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</si>
  <si>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</si>
  <si>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</si>
  <si>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</si>
  <si>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14.4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</si>
  <si>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</si>
  <si>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</si>
  <si>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90–95 ÷ </t>
    </r>
    <r>
      <rPr>
        <sz val="9"/>
        <color rgb="FF595959"/>
        <rFont val="Noto Sans CJK SC"/>
        <family val="2"/>
      </rPr>
      <t xml:space="preserve">估計新增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2,800 ≈ $32–34m</t>
    </r>
    <r>
      <rPr>
        <sz val="9"/>
        <color rgb="FF595959"/>
        <rFont val="Noto Sans CJK SC"/>
        <family val="2"/>
      </rPr>
      <t xml:space="preserve">（含客戶自帶硬體效果）</t>
    </r>
  </si>
  <si>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率；傳統事業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</si>
  <si>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</si>
  <si>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</si>
  <si>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FY31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</si>
  <si>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</si>
  <si>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OCI EBITDA </t>
    </r>
    <r>
      <rPr>
        <sz val="9"/>
        <color rgb="FF595959"/>
        <rFont val="Noto Sans CJK SC"/>
        <family val="2"/>
      </rPr>
      <t xml:space="preserve">率維度：傳統事業（約 </t>
    </r>
    <r>
      <rPr>
        <sz val="9"/>
        <color rgb="FF595959"/>
        <rFont val="Arial"/>
        <family val="0"/>
        <charset val="1"/>
      </rPr>
      <t xml:space="preserve">54% EBITDA </t>
    </r>
    <r>
      <rPr>
        <sz val="9"/>
        <color rgb="FF595959"/>
        <rFont val="Noto Sans CJK SC"/>
        <family val="2"/>
      </rPr>
      <t xml:space="preserve">率、軟體同業倍數）不隨此表變動，表內只測算力業務的單位經濟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</si>
  <si>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</si>
  <si>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</si>
  <si>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</si>
  <si>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</si>
  <si>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</si>
  <si>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</si>
  <si>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</si>
  <si>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</si>
  <si>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</si>
  <si>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</si>
  <si>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</si>
  <si>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</si>
  <si>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</si>
  <si>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</si>
  <si>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</si>
  <si>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</si>
  <si>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</si>
  <si>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</si>
  <si>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</si>
  <si>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</si>
  <si>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</si>
  <si>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</si>
  <si>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</si>
  <si>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</si>
  <si>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</si>
  <si>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</si>
  <si>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</si>
  <si>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</si>
  <si>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</si>
  <si>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</si>
  <si>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</si>
  <si>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</si>
  <si>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</si>
  <si>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</si>
  <si>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ORCL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Q1 2027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</si>
  <si>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Q1 2027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</si>
  <si>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34.621</t>
    </r>
  </si>
  <si>
    <r>
      <rPr>
        <sz val="10"/>
        <rFont val="Arial"/>
        <family val="0"/>
        <charset val="1"/>
      </rPr>
      <t xml:space="preserve">ORCL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FY28E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</si>
  <si>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</si>
  <si>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為整體公司（傳統軟體＋</t>
    </r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</si>
  <si>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同樣以租賃為主（未起租承諾 </t>
    </r>
    <r>
      <rPr>
        <sz val="9"/>
        <color rgb="FF595959"/>
        <rFont val="Arial"/>
        <family val="0"/>
        <charset val="1"/>
      </rPr>
      <t xml:space="preserve">288B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</si>
  <si>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</si>
  <si>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</si>
  <si>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</si>
  <si>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</si>
  <si>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</si>
  <si>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</si>
  <si>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79.75%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</si>
  <si>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</si>
  <si>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</si>
  <si>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</si>
  <si>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</si>
  <si>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</si>
  <si>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</si>
  <si>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90–95</t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</si>
  <si>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</si>
  <si>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</si>
  <si>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≥90</t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</si>
  <si>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19.345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</si>
  <si>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</si>
  <si>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</si>
  <si>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</si>
  <si>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</si>
  <si>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</si>
  <si>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</si>
  <si>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</si>
  <si>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t xml:space="preserve">≥1.4</t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</si>
  <si>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</si>
  <si>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</si>
  <si>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FY29–FY31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</si>
  <si>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</si>
  <si>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</si>
  <si>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</si>
  <si>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</si>
  <si>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</si>
  <si>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</si>
  <si>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</si>
  <si>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</si>
  <si>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</si>
  <si>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</si>
  <si>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</si>
  <si>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≥10.0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</si>
  <si>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</si>
  <si>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</si>
  <si>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125.904 − </t>
    </r>
    <r>
      <rPr>
        <sz val="10"/>
        <rFont val="Noto Sans CJK SC"/>
        <family val="2"/>
      </rPr>
      <t xml:space="preserve">以股換債 ＋ 期後新發</t>
    </r>
  </si>
  <si>
    <t xml:space="preserve">125.904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</si>
  <si>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57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</si>
  <si>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</si>
  <si>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</si>
  <si>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</si>
  <si>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</si>
  <si>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</si>
  <si>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</si>
  <si>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</si>
  <si>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</si>
  <si>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</si>
  <si>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</si>
  <si>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</si>
  <si>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664 × 50%</t>
    </r>
    <r>
      <rPr>
        <sz val="9"/>
        <color rgb="FF595959"/>
        <rFont val="Noto Sans CJK SC"/>
        <family val="2"/>
      </rPr>
      <t xml:space="preserve">（含傳統事業）−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</si>
  <si>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傳統事業：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</si>
  <si>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</si>
  <si>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</si>
  <si>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</si>
  <si>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PUE </t>
    </r>
    <r>
      <rPr>
        <sz val="10"/>
        <rFont val="Noto Sans CJK SC"/>
        <family val="2"/>
      </rPr>
      <t xml:space="preserve">換算＝</t>
    </r>
    <r>
      <rPr>
        <sz val="10"/>
        <rFont val="Arial"/>
        <family val="0"/>
        <charset val="1"/>
      </rPr>
      <t xml:space="preserve">Tokenomics IF_FacilityGW</t>
    </r>
  </si>
  <si>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換算的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scenarios.mwPath.pue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基準值相同（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</si>
  <si>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收入上限：每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營收（最高）</t>
    </r>
  </si>
  <si>
    <t xml:space="preserve">≤50%</t>
  </si>
  <si>
    <r>
      <rPr>
        <sz val="9"/>
        <color rgb="FF595959"/>
        <rFont val="Noto Sans CJK SC"/>
        <family val="2"/>
      </rPr>
      <t xml:space="preserve">雲端業者拿走客戶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Tokenomics </t>
    </r>
    <r>
      <rPr>
        <sz val="9"/>
        <color rgb="FF595959"/>
        <rFont val="Noto Sans CJK SC"/>
        <family val="2"/>
      </rPr>
      <t xml:space="preserve">四層瀑布比較層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，在役世代加權；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警示；只警示、不改數字（</t>
    </r>
    <r>
      <rPr>
        <sz val="9"/>
        <color rgb="FF595959"/>
        <rFont val="Arial"/>
        <family val="0"/>
        <charset val="1"/>
      </rPr>
      <t xml:space="preserve">v0.3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</si>
  <si>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</si>
  <si>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</si>
  <si>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</si>
  <si>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</si>
  <si>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</si>
  <si>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</si>
  <si>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</si>
  <si>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</si>
  <si>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</si>
  <si>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</si>
  <si>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</si>
  <si>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</si>
  <si>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</si>
  <si>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</si>
  <si>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</si>
  <si>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</si>
  <si>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</si>
  <si>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</si>
  <si>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v0.3</t>
  </si>
  <si>
    <t xml:space="preserve">10-22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</si>
  <si>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為錨（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IF_HoldEcon 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＝證據價格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同世代持有成本，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 </t>
    </r>
    <r>
      <rPr>
        <sz val="10"/>
        <rFont val="Arial"/>
        <family val="0"/>
        <charset val="1"/>
      </rPr>
      <t xml:space="preserve">9.70 →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  <r>
      <rPr>
        <sz val="10"/>
        <rFont val="Noto Sans CJK SC"/>
        <family val="2"/>
      </rPr>
      <t xml:space="preserve">、現貨 </t>
    </r>
    <r>
      <rPr>
        <sz val="10"/>
        <rFont val="Arial"/>
        <family val="0"/>
        <charset val="1"/>
      </rPr>
      <t xml:space="preserve">1.83</t>
    </r>
    <r>
      <rPr>
        <sz val="10"/>
        <rFont val="Noto Sans CJK SC"/>
        <family val="2"/>
      </rPr>
      <t xml:space="preserve">；隨需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），取代 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的成本加成與市場價 </t>
    </r>
    <r>
      <rPr>
        <sz val="10"/>
        <rFont val="Arial"/>
        <family val="0"/>
        <charset val="1"/>
      </rPr>
      <t xml:space="preserve">50/50 </t>
    </r>
    <r>
      <rPr>
        <sz val="10"/>
        <rFont val="Noto Sans CJK SC"/>
        <family val="2"/>
      </rPr>
      <t xml:space="preserve">平均；容量情境與價格情境（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低／基準／高）分離，期初可計費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隨價格軸重算；同步 </t>
    </r>
    <r>
      <rPr>
        <sz val="10"/>
        <rFont val="Arial"/>
        <family val="0"/>
        <charset val="1"/>
      </rPr>
      <t xml:space="preserve">Tokenomics v19.0</t>
    </r>
    <r>
      <rPr>
        <sz val="10"/>
        <rFont val="Noto Sans CJK SC"/>
        <family val="2"/>
      </rPr>
      <t xml:space="preserve">（快照 </t>
    </r>
    <r>
      <rPr>
        <sz val="10"/>
        <rFont val="Arial"/>
        <family val="0"/>
        <charset val="1"/>
      </rPr>
      <t xml:space="preserve">--check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Tokenomics_</t>
    </r>
    <r>
      <rPr>
        <sz val="10"/>
        <rFont val="Noto Sans CJK SC"/>
        <family val="2"/>
      </rPr>
      <t xml:space="preserve">取數分頁與 </t>
    </r>
    <r>
      <rPr>
        <sz val="10"/>
        <rFont val="Arial"/>
        <family val="0"/>
        <charset val="1"/>
      </rPr>
      <t xml:space="preserve">TK_ </t>
    </r>
    <r>
      <rPr>
        <sz val="10"/>
        <rFont val="Noto Sans CJK SC"/>
        <family val="2"/>
      </rPr>
      <t xml:space="preserve">具名範圍）；資本支出改引用 </t>
    </r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（租賃，不用 </t>
    </r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）、汰換年限引用 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PUE </t>
    </r>
    <r>
      <rPr>
        <sz val="10"/>
        <rFont val="Noto Sans CJK SC"/>
        <family val="2"/>
      </rPr>
      <t xml:space="preserve">斷言；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率重校（基準穩態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率維持 </t>
    </r>
    <r>
      <rPr>
        <sz val="10"/>
        <rFont val="Arial"/>
        <family val="0"/>
        <charset val="1"/>
      </rPr>
      <t xml:space="preserve">47%</t>
    </r>
    <r>
      <rPr>
        <sz val="10"/>
        <rFont val="Noto Sans CJK SC"/>
        <family val="2"/>
      </rPr>
      <t xml:space="preserve">）；收入上限四層檢查（比較層 </t>
    </r>
    <r>
      <rPr>
        <sz val="10"/>
        <rFont val="Arial"/>
        <family val="0"/>
        <charset val="1"/>
      </rPr>
      <t xml:space="preserve">_Prod</t>
    </r>
    <r>
      <rPr>
        <sz val="10"/>
        <rFont val="Noto Sans CJK SC"/>
        <family val="2"/>
      </rPr>
      <t xml:space="preserve">）與第五列對照；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驗證、</t>
    </r>
    <r>
      <rPr>
        <sz val="10"/>
        <rFont val="Arial"/>
        <family val="0"/>
        <charset val="1"/>
      </rPr>
      <t xml:space="preserve">3 × 3 </t>
    </r>
    <r>
      <rPr>
        <sz val="10"/>
        <rFont val="Noto Sans CJK SC"/>
        <family val="2"/>
      </rPr>
      <t xml:space="preserve">容量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價格矩陣與敏感度</t>
    </r>
  </si>
  <si>
    <t xml:space="preserve">$83.3</t>
  </si>
  <si>
    <r>
      <rPr>
        <sz val="10"/>
        <rFont val="Arial"/>
        <family val="0"/>
        <charset val="1"/>
      </rPr>
      <t xml:space="preserve">−$50.6</t>
    </r>
    <r>
      <rPr>
        <sz val="10"/>
        <rFont val="Noto Sans CJK SC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−</t>
    </r>
    <r>
      <rPr>
        <sz val="10"/>
        <rFont val="Arial"/>
        <family val="0"/>
        <charset val="1"/>
      </rPr>
      <t xml:space="preserve">9.3</t>
    </r>
    <r>
      <rPr>
        <sz val="10"/>
        <rFont val="Noto Sans CJK SC"/>
        <family val="2"/>
      </rPr>
      <t xml:space="preserve">〔</t>
    </r>
    <r>
      <rPr>
        <sz val="10"/>
        <rFont val="Arial"/>
        <family val="0"/>
        <charset val="1"/>
      </rPr>
      <t xml:space="preserve">Tokenomics v19.0 </t>
    </r>
    <r>
      <rPr>
        <sz val="10"/>
        <rFont val="Noto Sans CJK SC"/>
        <family val="2"/>
      </rPr>
      <t xml:space="preserve">成本代入舊推導 −</t>
    </r>
    <r>
      <rPr>
        <sz val="10"/>
        <rFont val="Arial"/>
        <family val="0"/>
        <charset val="1"/>
      </rPr>
      <t xml:space="preserve">12.2</t>
    </r>
    <r>
      <rPr>
        <sz val="10"/>
        <rFont val="Noto Sans CJK SC"/>
        <family val="2"/>
      </rPr>
      <t xml:space="preserve">、資本支出改引用 </t>
    </r>
    <r>
      <rPr>
        <sz val="10"/>
        <rFont val="Arial"/>
        <family val="0"/>
        <charset val="1"/>
      </rPr>
      <t xml:space="preserve">TK +2.9</t>
    </r>
    <r>
      <rPr>
        <sz val="10"/>
        <rFont val="Noto Sans CJK SC"/>
        <family val="2"/>
      </rPr>
      <t xml:space="preserve">〕＋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41.4</t>
    </r>
    <r>
      <rPr>
        <sz val="10"/>
        <rFont val="Noto Sans CJK SC"/>
        <family val="2"/>
      </rPr>
      <t xml:space="preserve">〔錨取代舊推導（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）−</t>
    </r>
    <r>
      <rPr>
        <sz val="10"/>
        <rFont val="Arial"/>
        <family val="0"/>
        <charset val="1"/>
      </rPr>
      <t xml:space="preserve">49.2</t>
    </r>
    <r>
      <rPr>
        <sz val="10"/>
        <rFont val="Noto Sans CJK SC"/>
        <family val="2"/>
      </rPr>
      <t xml:space="preserve">、套用 </t>
    </r>
    <r>
      <rPr>
        <sz val="10"/>
        <rFont val="Arial"/>
        <family val="0"/>
        <charset val="1"/>
      </rPr>
      <t xml:space="preserve">k −0.8</t>
    </r>
    <r>
      <rPr>
        <sz val="10"/>
        <rFont val="Noto Sans CJK SC"/>
        <family val="2"/>
      </rPr>
      <t xml:space="preserve">、情境軸分離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重校 </t>
    </r>
    <r>
      <rPr>
        <sz val="10"/>
        <rFont val="Arial"/>
        <family val="0"/>
        <charset val="1"/>
      </rPr>
      <t xml:space="preserve">+8.6</t>
    </r>
    <r>
      <rPr>
        <sz val="10"/>
        <rFont val="Noto Sans CJK SC"/>
        <family val="2"/>
      </rPr>
      <t xml:space="preserve">、上限檢查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〕；保守 </t>
    </r>
    <r>
      <rPr>
        <sz val="10"/>
        <rFont val="Arial"/>
        <family val="0"/>
        <charset val="1"/>
      </rPr>
      <t xml:space="preserve">$74.0 → $76.6</t>
    </r>
    <r>
      <rPr>
        <sz val="10"/>
        <rFont val="Noto Sans CJK SC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 → $90.9</t>
    </r>
    <r>
      <rPr>
        <sz val="10"/>
        <rFont val="Noto Sans CJK SC"/>
        <family val="2"/>
      </rPr>
      <t xml:space="preserve">（賣出）；基準由中立變賣出</t>
    </r>
  </si>
  <si>
    <t xml:space="preserve">v0.2</t>
  </si>
  <si>
    <t xml:space="preserve">10-08</t>
  </si>
  <si>
    <r>
      <rPr>
        <sz val="10"/>
        <rFont val="Noto Sans CJK SC"/>
        <family val="2"/>
      </rPr>
      <t xml:space="preserve">建設延誤模組：計費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依延誤月數平移（保守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／基準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／積極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資本支出照原時程（閒置資本）、折舊自投入使用起算、未起租租約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隨延誤起租、延誤罰則（預設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）；租賃負債（</t>
    </r>
    <r>
      <rPr>
        <sz val="10"/>
        <rFont val="Arial"/>
        <family val="0"/>
        <charset val="1"/>
      </rPr>
      <t xml:space="preserve">5.7%</t>
    </r>
    <r>
      <rPr>
        <sz val="10"/>
        <rFont val="Noto Sans CJK SC"/>
        <family val="2"/>
      </rPr>
      <t xml:space="preserve">）與租賃調整後槓桿，投資級上限改為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債務＋租賃負債</t>
    </r>
    <r>
      <rPr>
        <sz val="10"/>
        <rFont val="Arial"/>
        <family val="0"/>
        <charset val="1"/>
      </rPr>
      <t xml:space="preserve">) ÷ 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≤ 4.5×</t>
    </r>
  </si>
  <si>
    <t xml:space="preserve">$133.9</t>
  </si>
  <si>
    <r>
      <rPr>
        <sz val="10"/>
        <rFont val="Arial"/>
        <family val="0"/>
        <charset val="1"/>
      </rPr>
      <t xml:space="preserve">−$10.6</t>
    </r>
    <r>
      <rPr>
        <sz val="10"/>
        <rFont val="Noto Sans CJK SC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−</t>
    </r>
    <r>
      <rPr>
        <sz val="10"/>
        <rFont val="Arial"/>
        <family val="0"/>
        <charset val="1"/>
      </rPr>
      <t xml:space="preserve">10.6</t>
    </r>
    <r>
      <rPr>
        <sz val="10"/>
        <rFont val="Noto Sans CJK SC"/>
        <family val="2"/>
      </rPr>
      <t xml:space="preserve">〔延誤收入平移 −</t>
    </r>
    <r>
      <rPr>
        <sz val="10"/>
        <rFont val="Arial"/>
        <family val="0"/>
        <charset val="1"/>
      </rPr>
      <t xml:space="preserve">9.65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資本支出照原時程 −</t>
    </r>
    <r>
      <rPr>
        <sz val="10"/>
        <rFont val="Arial"/>
        <family val="0"/>
        <charset val="1"/>
      </rPr>
      <t xml:space="preserve">2.14</t>
    </r>
    <r>
      <rPr>
        <sz val="10"/>
        <rFont val="Noto Sans CJK SC"/>
        <family val="2"/>
      </rPr>
      <t xml:space="preserve">、租約連動 </t>
    </r>
    <r>
      <rPr>
        <sz val="10"/>
        <rFont val="Arial"/>
        <family val="0"/>
        <charset val="1"/>
      </rPr>
      <t xml:space="preserve">+1.17</t>
    </r>
    <r>
      <rPr>
        <sz val="10"/>
        <rFont val="Noto Sans CJK SC"/>
        <family val="2"/>
      </rPr>
      <t xml:space="preserve">、罰則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〕＋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〔上限改租賃調整後槓桿，三情境未觸及〕；保守 </t>
    </r>
    <r>
      <rPr>
        <sz val="10"/>
        <rFont val="Arial"/>
        <family val="0"/>
        <charset val="1"/>
      </rPr>
      <t xml:space="preserve">$79.8 → $74.0</t>
    </r>
    <r>
      <rPr>
        <sz val="10"/>
        <rFont val="Noto Sans CJK SC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 </t>
    </r>
    <r>
      <rPr>
        <sz val="10"/>
        <rFont val="Noto Sans CJK SC"/>
        <family val="2"/>
      </rPr>
      <t xml:space="preserve">不變（買進）</t>
    </r>
  </si>
  <si>
    <t xml:space="preserve">v0.1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</si>
  <si>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Nebius v0.1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收入、傳統事業、客戶出資、投資級融資瀑布、強制轉換特別股、分部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；審查修正：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觸頂後與終值年加穩態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、終值以末期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為基準、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 − 固定租金</t>
    </r>
  </si>
  <si>
    <t xml:space="preserve">$144.5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</si>
  <si>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$79.8</t>
    </r>
    <r>
      <rPr>
        <sz val="10"/>
        <rFont val="Noto Sans CJK SC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</t>
    </r>
    <r>
      <rPr>
        <sz val="10"/>
        <rFont val="Noto Sans CJK SC"/>
        <family val="2"/>
      </rPr>
      <t xml:space="preserve">（買進）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</si>
  <si>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</si>
  <si>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</si>
  <si>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</si>
  <si>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FY27Q1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2026-09-11</t>
    </r>
    <r>
      <rPr>
        <sz val="10"/>
        <rFont val="Noto Sans CJK SC"/>
        <family val="2"/>
      </rPr>
      <t xml:space="preserve">，核閱、未查核）：營收 </t>
    </r>
    <r>
      <rPr>
        <sz val="10"/>
        <rFont val="Arial"/>
        <family val="0"/>
        <charset val="1"/>
      </rPr>
      <t xml:space="preserve">19.345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OCI 7.388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SaaS 4.219</t>
    </r>
    <r>
      <rPr>
        <sz val="10"/>
        <rFont val="Noto Sans CJK SC"/>
        <family val="2"/>
      </rPr>
      <t xml:space="preserve">、軟體 </t>
    </r>
    <r>
      <rPr>
        <sz val="10"/>
        <rFont val="Arial"/>
        <family val="0"/>
        <charset val="1"/>
      </rPr>
      <t xml:space="preserve">5.550</t>
    </r>
    <r>
      <rPr>
        <sz val="10"/>
        <rFont val="Noto Sans CJK SC"/>
        <family val="2"/>
      </rPr>
      <t xml:space="preserve">、硬體 </t>
    </r>
    <r>
      <rPr>
        <sz val="10"/>
        <rFont val="Arial"/>
        <family val="0"/>
        <charset val="1"/>
      </rPr>
      <t xml:space="preserve">0.774</t>
    </r>
    <r>
      <rPr>
        <sz val="10"/>
        <rFont val="Noto Sans CJK SC"/>
        <family val="2"/>
      </rPr>
      <t xml:space="preserve">、服務 </t>
    </r>
    <r>
      <rPr>
        <sz val="10"/>
        <rFont val="Arial"/>
        <family val="0"/>
        <charset val="1"/>
      </rPr>
      <t xml:space="preserve">1.414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6.728</t>
    </r>
    <r>
      <rPr>
        <sz val="10"/>
        <rFont val="Noto Sans CJK SC"/>
        <family val="2"/>
      </rPr>
      <t xml:space="preserve">（非 </t>
    </r>
    <r>
      <rPr>
        <sz val="10"/>
        <rFont val="Arial"/>
        <family val="0"/>
        <charset val="1"/>
      </rPr>
      <t xml:space="preserve">GAAP 8.151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D&amp;A 3.358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1.127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1.428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4.760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</si>
  <si>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2026-08-31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36.369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0.708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2.6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127.845</t>
    </r>
    <r>
      <rPr>
        <sz val="10"/>
        <rFont val="Noto Sans CJK SC"/>
        <family val="2"/>
      </rPr>
      <t xml:space="preserve">（在建 </t>
    </r>
    <r>
      <rPr>
        <sz val="10"/>
        <rFont val="Arial"/>
        <family val="0"/>
        <charset val="1"/>
      </rPr>
      <t xml:space="preserve">48.546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30.789</t>
    </r>
    <r>
      <rPr>
        <sz val="10"/>
        <rFont val="Noto Sans CJK SC"/>
        <family val="2"/>
      </rPr>
      <t xml:space="preserve">；借款帳面 </t>
    </r>
    <r>
      <rPr>
        <sz val="10"/>
        <rFont val="Arial"/>
        <family val="0"/>
        <charset val="1"/>
      </rPr>
      <t xml:space="preserve">125.337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34.621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9.185</t>
    </r>
    <r>
      <rPr>
        <sz val="10"/>
        <rFont val="Noto Sans CJK SC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288.0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67.196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</si>
  <si>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23.103</t>
    </r>
    <r>
      <rPr>
        <sz val="10"/>
        <rFont val="Noto Sans CJK SC"/>
        <family val="2"/>
      </rPr>
      <t xml:space="preserve">（客戶預付 </t>
    </r>
    <r>
      <rPr>
        <sz val="10"/>
        <rFont val="Arial"/>
        <family val="0"/>
        <charset val="1"/>
      </rPr>
      <t xml:space="preserve">11.363</t>
    </r>
    <r>
      <rPr>
        <sz val="10"/>
        <rFont val="Noto Sans CJK SC"/>
        <family val="2"/>
      </rPr>
      <t xml:space="preserve">）；資本支出 </t>
    </r>
    <r>
      <rPr>
        <sz val="10"/>
        <rFont val="Arial"/>
        <family val="0"/>
        <charset val="1"/>
      </rPr>
      <t xml:space="preserve">28.499</t>
    </r>
    <r>
      <rPr>
        <sz val="10"/>
        <rFont val="Noto Sans CJK SC"/>
        <family val="2"/>
      </rPr>
      <t xml:space="preserve">；公司定義淨現金資本支出 </t>
    </r>
    <r>
      <rPr>
        <sz val="10"/>
        <rFont val="Arial"/>
        <family val="0"/>
        <charset val="1"/>
      </rPr>
      <t xml:space="preserve">17.966</t>
    </r>
    <r>
      <rPr>
        <sz val="10"/>
        <rFont val="Noto Sans CJK SC"/>
        <family val="2"/>
      </rPr>
      <t xml:space="preserve">；還款 </t>
    </r>
    <r>
      <rPr>
        <sz val="10"/>
        <rFont val="Arial"/>
        <family val="0"/>
        <charset val="1"/>
      </rPr>
      <t xml:space="preserve">4.202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19.909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1.565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</si>
  <si>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664.0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個月內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13–36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37%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37–60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34%</t>
    </r>
    <r>
      <rPr>
        <sz val="10"/>
        <rFont val="Noto Sans CJK SC"/>
        <family val="2"/>
      </rPr>
      <t xml:space="preserve">、其餘 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約占一半（二手）。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指引：營收 ≥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GAAP EPS 8.10</t>
    </r>
    <r>
      <rPr>
        <sz val="10"/>
        <rFont val="Noto Sans CJK SC"/>
        <family val="2"/>
      </rPr>
      <t xml:space="preserve">、資本支出 </t>
    </r>
    <r>
      <rPr>
        <sz val="10"/>
        <rFont val="Arial"/>
        <family val="0"/>
        <charset val="1"/>
      </rPr>
      <t xml:space="preserve">90–95</t>
    </r>
    <r>
      <rPr>
        <sz val="10"/>
        <rFont val="Noto Sans CJK SC"/>
        <family val="2"/>
      </rPr>
      <t xml:space="preserve">（法說）、淨現金資本支出 ≤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</si>
  <si>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FY2026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67.357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20.606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17.087</t>
    </r>
    <r>
      <rPr>
        <sz val="10"/>
        <rFont val="Noto Sans CJK SC"/>
        <family val="2"/>
      </rPr>
      <t xml:space="preserve">、稀釋 </t>
    </r>
    <r>
      <rPr>
        <sz val="10"/>
        <rFont val="Arial"/>
        <family val="0"/>
        <charset val="1"/>
      </rPr>
      <t xml:space="preserve">EPS 5.83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FY24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FY25 </t>
    </r>
    <r>
      <rPr>
        <sz val="10"/>
        <rFont val="Noto Sans CJK SC"/>
        <family val="2"/>
      </rPr>
      <t xml:space="preserve">損益取自 </t>
    </r>
    <r>
      <rPr>
        <sz val="10"/>
        <rFont val="Arial"/>
        <family val="0"/>
        <charset val="1"/>
      </rPr>
      <t xml:space="preserve">XBRL companyfacts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55 </t>
    </r>
    <r>
      <rPr>
        <sz val="10"/>
        <rFont val="Noto Sans CJK SC"/>
        <family val="2"/>
      </rPr>
      <t xml:space="preserve">檔優先票據逐檔（附註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</si>
  <si>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融資與信評：</t>
    </r>
    <r>
      <rPr>
        <sz val="10"/>
        <rFont val="Arial"/>
        <family val="0"/>
        <charset val="1"/>
      </rPr>
      <t xml:space="preserve">2026-02 </t>
    </r>
    <r>
      <rPr>
        <sz val="10"/>
        <rFont val="Noto Sans CJK SC"/>
        <family val="2"/>
      </rPr>
      <t xml:space="preserve">一次性投資級無擔保債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（八檔，加權票面約 </t>
    </r>
    <r>
      <rPr>
        <sz val="10"/>
        <rFont val="Arial"/>
        <family val="0"/>
        <charset val="1"/>
      </rPr>
      <t xml:space="preserve">5.8%</t>
    </r>
    <r>
      <rPr>
        <sz val="10"/>
        <rFont val="Noto Sans CJK SC"/>
        <family val="2"/>
      </rPr>
      <t xml:space="preserve">）＋強制轉換特別股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6.50%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2029-01-15</t>
    </r>
    <r>
      <rPr>
        <sz val="10"/>
        <rFont val="Noto Sans CJK SC"/>
        <family val="2"/>
      </rPr>
      <t xml:space="preserve">）＋</t>
    </r>
    <r>
      <rPr>
        <sz val="10"/>
        <rFont val="Arial"/>
        <family val="0"/>
        <charset val="1"/>
      </rPr>
      <t xml:space="preserve">FY27Q1 ATM 20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S&amp;P BBB-</t>
    </r>
    <r>
      <rPr>
        <sz val="10"/>
        <rFont val="Noto Sans CJK SC"/>
        <family val="2"/>
      </rPr>
      <t xml:space="preserve">／穩定（</t>
    </r>
    <r>
      <rPr>
        <sz val="10"/>
        <rFont val="Arial"/>
        <family val="0"/>
        <charset val="1"/>
      </rPr>
      <t xml:space="preserve">2026-07-09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Moody's Baa2</t>
    </r>
    <r>
      <rPr>
        <sz val="10"/>
        <rFont val="Noto Sans CJK SC"/>
        <family val="2"/>
      </rPr>
      <t xml:space="preserve">／負向、</t>
    </r>
    <r>
      <rPr>
        <sz val="10"/>
        <rFont val="Arial"/>
        <family val="0"/>
        <charset val="1"/>
      </rPr>
      <t xml:space="preserve">Fitch BBB</t>
    </r>
    <r>
      <rPr>
        <sz val="10"/>
        <rFont val="Noto Sans CJK SC"/>
        <family val="2"/>
      </rPr>
      <t xml:space="preserve">／穩定（二手）。</t>
    </r>
  </si>
  <si>
    <r>
      <rPr>
        <sz val="10"/>
        <rFont val="Noto Sans CJK SC"/>
        <family val="2"/>
      </rPr>
      <t xml:space="preserve">產能：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交付 </t>
    </r>
    <r>
      <rPr>
        <sz val="10"/>
        <rFont val="Arial"/>
        <family val="0"/>
        <charset val="1"/>
      </rPr>
      <t xml:space="preserve">1.2 GW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FY27Q1 850 MW</t>
    </r>
    <r>
      <rPr>
        <sz val="10"/>
        <rFont val="Noto Sans CJK SC"/>
        <family val="2"/>
      </rPr>
      <t xml:space="preserve">（口徑不明）、</t>
    </r>
    <r>
      <rPr>
        <sz val="10"/>
        <rFont val="Arial"/>
        <family val="0"/>
        <charset val="1"/>
      </rPr>
      <t xml:space="preserve">&gt;30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Abilene 618 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75%</t>
    </r>
    <r>
      <rPr>
        <sz val="10"/>
        <rFont val="Noto Sans CJK SC"/>
        <family val="2"/>
      </rPr>
      <t xml:space="preserve">；利用率 </t>
    </r>
    <r>
      <rPr>
        <sz val="10"/>
        <rFont val="Arial"/>
        <family val="0"/>
        <charset val="1"/>
      </rPr>
      <t xml:space="preserve">97.9%</t>
    </r>
    <r>
      <rPr>
        <sz val="10"/>
        <rFont val="Noto Sans CJK SC"/>
        <family val="2"/>
      </rPr>
      <t xml:space="preserve">；續約 </t>
    </r>
    <r>
      <rPr>
        <sz val="10"/>
        <rFont val="Arial"/>
        <family val="0"/>
        <charset val="1"/>
      </rPr>
      <t xml:space="preserve">+20%</t>
    </r>
    <r>
      <rPr>
        <sz val="10"/>
        <rFont val="Noto Sans CJK SC"/>
        <family val="2"/>
      </rPr>
      <t xml:space="preserve">。期後：</t>
    </r>
    <r>
      <rPr>
        <sz val="10"/>
        <rFont val="Arial"/>
        <family val="0"/>
        <charset val="1"/>
      </rPr>
      <t xml:space="preserve">2026-09-24 Project Jupiter </t>
    </r>
    <r>
      <rPr>
        <sz val="10"/>
        <rFont val="Noto Sans CJK SC"/>
        <family val="2"/>
      </rPr>
      <t xml:space="preserve">不可抗力通知（</t>
    </r>
    <r>
      <rPr>
        <sz val="10"/>
        <rFont val="Arial"/>
        <family val="0"/>
        <charset val="1"/>
      </rPr>
      <t xml:space="preserve">2.45 GW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</si>
  <si>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</si>
  <si>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Tokenomics v5.24 </t>
    </r>
    <r>
      <rPr>
        <sz val="10"/>
        <rFont val="Noto Sans CJK SC"/>
        <family val="2"/>
      </rPr>
      <t xml:space="preserve">正向推導，沿用 </t>
    </r>
    <r>
      <rPr>
        <sz val="10"/>
        <rFont val="Arial"/>
        <family val="0"/>
        <charset val="1"/>
      </rPr>
      <t xml:space="preserve">Nebius v0.1a</t>
    </r>
    <r>
      <rPr>
        <sz val="10"/>
        <rFont val="Noto Sans CJK SC"/>
        <family val="2"/>
      </rPr>
      <t xml:space="preserve">）：保守 </t>
    </r>
    <r>
      <rPr>
        <sz val="10"/>
        <rFont val="Arial"/>
        <family val="0"/>
        <charset val="1"/>
      </rPr>
      <t xml:space="preserve">11.62</t>
    </r>
    <r>
      <rPr>
        <sz val="10"/>
        <rFont val="Noto Sans CJK SC"/>
        <family val="2"/>
      </rPr>
      <t xml:space="preserve">／基準 </t>
    </r>
    <r>
      <rPr>
        <sz val="10"/>
        <rFont val="Arial"/>
        <family val="0"/>
        <charset val="1"/>
      </rPr>
      <t xml:space="preserve">17.40</t>
    </r>
    <r>
      <rPr>
        <sz val="10"/>
        <rFont val="Noto Sans CJK SC"/>
        <family val="2"/>
      </rPr>
      <t xml:space="preserve">／積極 </t>
    </r>
    <r>
      <rPr>
        <sz val="10"/>
        <rFont val="Arial"/>
        <family val="0"/>
        <charset val="1"/>
      </rPr>
      <t xml:space="preserve">24.20 US$m/MW-IT·</t>
    </r>
    <r>
      <rPr>
        <sz val="10"/>
        <rFont val="Noto Sans CJK SC"/>
        <family val="2"/>
      </rPr>
      <t xml:space="preserve">年；每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IF_CapexIT 37.45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37.59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對照值只作對照。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</si>
  <si>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</si>
  <si>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：無可引用報價（不適用）。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</si>
  <si>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ORCL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$144.77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437.75bn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3,023.74m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</si>
  <si>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$237.97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$240.00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$110.00–$400.00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43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$251.72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47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</si>
  <si>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</si>
  <si>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</si>
  <si>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</si>
  <si>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20261022_Tokenomics_v19.0.xlsx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ad33e28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IFC_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</si>
  <si>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收入錨定（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）、建置成本（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Noto Sans CJK SC"/>
        <family val="2"/>
      </rPr>
      <t xml:space="preserve">）與上限檢查（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IFW_RevGWFleet_* </t>
    </r>
    <r>
      <rPr>
        <sz val="9"/>
        <color rgb="FF595959"/>
        <rFont val="Noto Sans CJK SC"/>
        <family val="2"/>
      </rPr>
      <t xml:space="preserve">四層）引用本分頁的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</si>
  <si>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</si>
  <si>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</si>
  <si>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</si>
  <si>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</si>
  <si>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</si>
  <si>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</si>
  <si>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</si>
  <si>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</si>
  <si>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</si>
  <si>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</si>
  <si>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</si>
  <si>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</si>
  <si>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</si>
  <si>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v19.0 · ad33e28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</si>
  <si>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</si>
  <si>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</si>
  <si>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</si>
  <si>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</si>
  <si>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</si>
  <si>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</si>
  <si>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</si>
  <si>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</si>
  <si>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</si>
  <si>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</si>
  <si>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</si>
  <si>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</si>
  <si>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</si>
  <si>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</si>
  <si>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</si>
  <si>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</si>
  <si>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</si>
  <si>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</si>
  <si>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</si>
  <si>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</si>
  <si>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</si>
  <si>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</si>
  <si>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</si>
  <si>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</si>
  <si>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</si>
  <si>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</si>
  <si>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</si>
  <si>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</si>
  <si>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</si>
  <si>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</si>
  <si>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</si>
  <si>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</si>
  <si>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</si>
  <si>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</si>
  <si>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</si>
  <si>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</si>
  <si>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</si>
  <si>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</si>
  <si>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</si>
  <si>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</si>
  <si>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</si>
  <si>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</si>
  <si>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</si>
  <si>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</si>
  <si>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</si>
  <si>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</si>
  <si>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</si>
  <si>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</si>
  <si>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</si>
  <si>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</si>
  <si>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</si>
  <si>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</si>
  <si>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</si>
  <si>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</si>
  <si>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</si>
  <si>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</si>
  <si>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</si>
  <si>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</si>
  <si>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</si>
  <si>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</si>
  <si>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</si>
  <si>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</si>
  <si>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</si>
  <si>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</si>
  <si>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</si>
  <si>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</si>
  <si>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</si>
  <si>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</si>
  <si>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</si>
  <si>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</si>
  <si>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</si>
  <si>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</si>
  <si>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</si>
  <si>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</si>
  <si>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</si>
  <si>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</si>
  <si>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</si>
  <si>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</si>
  <si>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</si>
  <si>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</si>
  <si>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</si>
  <si>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</si>
  <si>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</si>
  <si>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</si>
  <si>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</si>
  <si>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</si>
  <si>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</si>
  <si>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</si>
  <si>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</si>
  <si>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</si>
  <si>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</si>
  <si>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</si>
  <si>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</si>
  <si>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</si>
  <si>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</si>
  <si>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</si>
  <si>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</si>
  <si>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</si>
  <si>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</si>
  <si>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</si>
  <si>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</si>
  <si>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</si>
  <si>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</si>
  <si>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</si>
  <si>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</si>
  <si>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</si>
  <si>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</si>
  <si>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</si>
  <si>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</si>
  <si>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</si>
  <si>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</si>
  <si>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</si>
  <si>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</si>
  <si>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</si>
  <si>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</si>
  <si>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</si>
  <si>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</si>
  <si>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</si>
  <si>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</si>
  <si>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</si>
  <si>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</si>
  <si>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</si>
  <si>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</si>
  <si>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</si>
  <si>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</si>
  <si>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</si>
  <si>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</si>
  <si>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</si>
  <si>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</si>
  <si>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</si>
  <si>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</si>
  <si>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</si>
  <si>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</si>
  <si>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</si>
  <si>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</si>
  <si>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</si>
  <si>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</si>
  <si>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</si>
  <si>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</si>
  <si>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</si>
  <si>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</si>
  <si>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</si>
  <si>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</si>
  <si>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</si>
  <si>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</si>
  <si>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</si>
  <si>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</si>
  <si>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</si>
  <si>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</si>
  <si>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</si>
  <si>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</si>
  <si>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</si>
  <si>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</si>
  <si>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</si>
  <si>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</si>
  <si>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</si>
  <si>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</si>
  <si>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</si>
  <si>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</si>
  <si>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</si>
  <si>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</si>
  <si>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</si>
  <si>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</si>
  <si>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</si>
  <si>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</si>
  <si>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</si>
  <si>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</si>
  <si>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</si>
  <si>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</si>
  <si>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</si>
  <si>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</si>
  <si>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</si>
  <si>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</si>
  <si>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</si>
  <si>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</si>
  <si>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</si>
  <si>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</si>
  <si>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</si>
  <si>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</si>
  <si>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</si>
  <si>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</si>
  <si>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</si>
  <si>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</si>
  <si>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</si>
  <si>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</si>
  <si>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</si>
  <si>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</si>
  <si>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</si>
  <si>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</si>
  <si>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</si>
  <si>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</si>
  <si>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</si>
  <si>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</si>
  <si>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</si>
  <si>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</si>
  <si>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</si>
  <si>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</si>
  <si>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</si>
  <si>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</si>
  <si>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</si>
  <si>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</si>
  <si>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</si>
  <si>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</si>
  <si>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</si>
  <si>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</si>
  <si>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</si>
  <si>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</si>
  <si>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</si>
  <si>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</si>
  <si>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</si>
  <si>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</si>
  <si>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</si>
  <si>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</si>
  <si>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</si>
  <si>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</si>
  <si>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</si>
  <si>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</si>
  <si>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</si>
  <si>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</si>
  <si>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</si>
  <si>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</si>
  <si>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</si>
  <si>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</si>
  <si>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</si>
  <si>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</si>
  <si>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</si>
  <si>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</si>
  <si>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</si>
  <si>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</si>
  <si>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</si>
  <si>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</si>
  <si>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</si>
  <si>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</si>
  <si>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</si>
  <si>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</si>
  <si>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</si>
  <si>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</si>
  <si>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</si>
  <si>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</si>
  <si>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</si>
  <si>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</si>
  <si>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</si>
  <si>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</si>
  <si>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</si>
  <si>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</si>
  <si>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</si>
  <si>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</si>
  <si>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</si>
  <si>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</si>
  <si>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</si>
  <si>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</si>
  <si>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</si>
  <si>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</si>
  <si>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</si>
  <si>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</si>
  <si>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</si>
  <si>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</si>
  <si>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</si>
  <si>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</si>
  <si>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</si>
  <si>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</si>
  <si>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</si>
  <si>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</si>
  <si>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</si>
  <si>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</si>
  <si>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</si>
  <si>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</si>
  <si>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</si>
  <si>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</si>
  <si>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</si>
  <si>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</si>
  <si>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</si>
  <si>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</si>
  <si>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</si>
  <si>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</si>
  <si>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</si>
  <si>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</si>
  <si>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</si>
  <si>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</si>
  <si>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</si>
  <si>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</si>
  <si>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</si>
  <si>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</si>
  <si>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</si>
  <si>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</si>
  <si>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</si>
  <si>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</si>
  <si>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</si>
  <si>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</si>
  <si>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</si>
  <si>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</si>
  <si>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</si>
  <si>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</si>
  <si>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</si>
  <si>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</si>
  <si>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</si>
  <si>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</si>
  <si>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</si>
  <si>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</si>
  <si>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</si>
  <si>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</si>
  <si>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</si>
  <si>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</si>
  <si>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</si>
  <si>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</si>
  <si>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</si>
  <si>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</si>
  <si>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</si>
  <si>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</si>
  <si>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</si>
  <si>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</si>
  <si>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</si>
  <si>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</si>
  <si>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</si>
  <si>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</si>
  <si>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</si>
  <si>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</si>
  <si>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</si>
  <si>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</si>
  <si>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</si>
  <si>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</si>
  <si>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</si>
  <si>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</si>
  <si>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</si>
  <si>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Noto Sans CJK SC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Noto Sans CJK SC"/>
        <family val="2"/>
      </rPr>
      <t xml:space="preserve">）：情境、相對比較、反轉門檻；上限，不得作預測</t>
    </r>
  </si>
  <si>
    <t xml:space="preserve">TK_HoldEconMW_Hopper</t>
  </si>
  <si>
    <t xml:space="preserve">L1_HoldEconMW_Hopper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</si>
  <si>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</si>
  <si>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$M/MW/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</si>
  <si>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L1!D54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</si>
  <si>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TK_HoldEconMW_GB200</t>
  </si>
  <si>
    <t xml:space="preserve">L1_HoldEconMW_GB200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</si>
  <si>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</si>
  <si>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</si>
  <si>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TK_HoldEconMW_GB300</t>
  </si>
  <si>
    <t xml:space="preserve">L1_HoldEconMW_GB300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</si>
  <si>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</si>
  <si>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</si>
  <si>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TK_HoldEconMW_VR200</t>
  </si>
  <si>
    <t xml:space="preserve">L1_HoldEconMW_VR200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</si>
  <si>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Noto Sans CJK SC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</si>
  <si>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</si>
  <si>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TK_TokMW_Gen_ratio_VR200</t>
  </si>
  <si>
    <t xml:space="preserve">L1_TokMW_Gen_ratio_VR200</t>
  </si>
  <si>
    <r>
      <rPr>
        <sz val="10"/>
        <rFont val="Noto Sans CJK SC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Noto Sans CJK SC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Noto Sans CJK SC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</si>
  <si>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</si>
  <si>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</si>
  <si>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</si>
  <si>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</si>
  <si>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</si>
  <si>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</si>
  <si>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Noto Sans CJK SC"/>
        <family val="2"/>
      </rPr>
      <t xml:space="preserve">列）的比值）</t>
    </r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</si>
  <si>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</si>
  <si>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</si>
  <si>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Noto Sans CJK SC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</si>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</sst>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OpenAI 相關 60%","基準 已簽約站點依 Q1 速度","積極 依公司時程") &amp; "（預設＝基準）；共識＝data/consensus_orcl_20261007.json（2026-10-07）"</f>
        <v>模型端＝目前情境：基準 已簽約站點依 Q1 速度（預設＝基準）；共識＝data/consensus_orcl_20261007.json（2026-10-07）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評價_DCF與目標價!C78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83.2759115857634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輸入與假設!$C$175</f>
        <v>144.77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-0.424770936065736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評價_DCF與目標價!C83</f>
        <v>76.5598209193869</v>
      </c>
      <c r="D10" s="12" t="n">
        <f aca="false">評價_DCF與目標價!D83</f>
        <v>90.8836658139978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評價_DCF與目標價!C85</f>
        <v>77.7189643147215</v>
      </c>
      <c r="D11" s="12" t="n">
        <f aca="false">評價_DCF與目標價!D85</f>
        <v>83.2759115857634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評價_DCF與目標價!$C$79</f>
        <v>123.0545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-39.7785884142366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$83.3，較現價 $144.77 低 42%；情境區間 $76.6–$90.9，方法區間 $77.7–$83.3；點位低於賣出門檻 $123.1 達 $39.8。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評價_DCF與目標價!C91</f>
        <v>情境區間上緣 $90.9 低於現價 $144.77：賣出在三個擴張情境下都成立。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$146="ebitda",輸入與假設!$C$146="leaseAdj"),"需失去投資級才能融資的金額："&amp;IF(SUM(各期收支!C85:G85)&gt;0.05,"$"&amp;TEXT(SUM(各期收支!C85:G85),"0.0")&amp;"bn（五期高息債溢出）","$0")&amp;"；投資級上限＝"&amp;IF(輸入與假設!$C$146="leaseAdj","(總債務＋租賃負債) ≤ "&amp;IF(輸入與假設!$C$147=INT(輸入與假設!$C$147),TEXT(輸入與假設!$C$147,"0"),TEXT(輸入與假設!$C$147,"0.0"))&amp;"×(EBITDA＋租金)","總債務 ≤ "&amp;IF(輸入與假設!$C$147=INT(輸入與假設!$C$147),TEXT(輸入與假設!$C$147,"0"),TEXT(輸入與假設!$C$147,"0.0"))&amp;"× 當期 EBITDA")&amp;"，股權每年 ≤ 現市值 "&amp;IF(ROUND(ABS(輸入與假設!$C$154)*100,4)=INT(ROUND(ABS(輸入與假設!$C$154)*100,4)),TEXT(ROUND(ABS(輸入與假設!$C$154)*100,4),"0"),TEXT(ROUND(ABS(輸入與假設!$C$154)*100,4),"0.0"))&amp;"%"&amp;"。","")</f>
        <v>需失去投資級才能融資的金額：$0；投資級上限＝(總債務＋租賃負債) ≤ 4.5×(EBITDA＋租金)，股權每年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36,"0.0")&amp;"／"&amp;TEXT(資產負債_新債與新股!D36,"0.0")&amp;"／"&amp;TEXT(資產負債_新債與新股!E36,"0.0")&amp;"／"&amp;TEXT(資產負債_新債與新股!F36,"0.0")&amp;"／"&amp;TEXT(資產負債_新債與新股!G36,"0.0")&amp;"×；上限 "&amp;IF(輸入與假設!$C$147=INT(輸入與假設!$C$147),TEXT(輸入與假設!$C$147,"0"),TEXT(輸入與假設!$C$147,"0.0"))&amp;"×，"&amp;IF(MAX(資產負債_新債與新股!$C$36:$G$36)&gt;輸入與假設!$C$147+0.000000001,CHOOSE(MATCH(MAX(資產負債_新債與新股!$C$36:$G$36),資產負債_新債與新股!$C$36:$G$36,0),"FY27","FY28","FY29","FY30","FY31")&amp;" 超過 "&amp;TEXT(MAX(資產負債_新債與新股!$C$36:$G$36)-輸入與假設!$C$147,"0.0")&amp;"×：需股權或失去投資級。","最小空間 "&amp;TEXT(輸入與假設!$C$147-MAX(資產負債_新債與新股!$C$36:$G$36),"0.0")&amp;"×（"&amp;CHOOSE(MATCH(MAX(資產負債_新債與新股!$C$36:$G$36),資產負債_新債與新股!$C$36:$G$36,0),"FY27","FY28","FY29","FY30","FY31")&amp;"）。")</f>
        <v>調整後槓桿（(債務＋租賃負債) ÷ (EBITDA＋租金)）路徑 3.6／4.2／4.0／3.5／3.3×；上限 4.5×，最小空間 0.3×（FY28）。</v>
      </c>
    </row>
    <row r="18" customFormat="false" ht="15" hidden="false" customHeight="false" outlineLevel="1" collapsed="false">
      <c r="A18" s="3" t="s">
        <v>51</v>
      </c>
      <c r="C18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$"&amp;TEXT(MAX(運營_產能與收入!$C$55:$G$55),"0.0")&amp;"bn（"&amp;CHOOSE(MATCH(MAX(運營_產能與收入!$C$55:$G$55),運營_產能與收入!$C$55:$G$55,0),"FY27","FY28","FY29","FY30","FY31")&amp;" 末）。","建設延誤：本情境 0 個月（無閒置資本）。")</f>
        <v>建設延誤 3 個月（GPU 資本支出照原時程）：閒置資本（已支出、尚未產生收入）峰值 $20.9bn（FY27 末）。</v>
      </c>
    </row>
    <row r="20" customFormat="false" ht="15" hidden="false" customHeight="false" outlineLevel="0" collapsed="false">
      <c r="A20" s="7" t="s">
        <v>52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1" collapsed="false">
      <c r="A21" s="14" t="s">
        <v>53</v>
      </c>
      <c r="B21" s="14" t="s">
        <v>54</v>
      </c>
      <c r="C21" s="15" t="s">
        <v>55</v>
      </c>
      <c r="D21" s="15" t="s">
        <v>56</v>
      </c>
      <c r="E21" s="15" t="s">
        <v>57</v>
      </c>
    </row>
    <row r="22" customFormat="false" ht="15" hidden="false" customHeight="false" outlineLevel="1" collapsed="false">
      <c r="A22" s="3" t="s">
        <v>58</v>
      </c>
      <c r="B22" s="11" t="s">
        <v>59</v>
      </c>
      <c r="C22" s="10" t="n">
        <f aca="false">損益!C29</f>
        <v>83.0511942273139</v>
      </c>
      <c r="D22" s="10" t="n">
        <f aca="false">損益!D29</f>
        <v>102.626687552989</v>
      </c>
      <c r="E22" s="10" t="n">
        <f aca="false">損益!E29</f>
        <v>127.640770776134</v>
      </c>
    </row>
    <row r="23" customFormat="false" ht="15" hidden="false" customHeight="false" outlineLevel="1" collapsed="false">
      <c r="A23" s="3" t="s">
        <v>60</v>
      </c>
      <c r="B23" s="11" t="s">
        <v>59</v>
      </c>
      <c r="C23" s="10" t="n">
        <f aca="false">輸入與假設!$C$289</f>
        <v>90.449</v>
      </c>
      <c r="D23" s="10" t="n">
        <f aca="false">輸入與假設!$D$289</f>
        <v>131.711</v>
      </c>
      <c r="E23" s="10" t="n">
        <f aca="false">輸入與假設!$E$289</f>
        <v>183.569</v>
      </c>
    </row>
    <row r="24" customFormat="false" ht="15" hidden="false" customHeight="false" outlineLevel="1" collapsed="false">
      <c r="A24" s="3" t="s">
        <v>61</v>
      </c>
      <c r="B24" s="11" t="s">
        <v>42</v>
      </c>
      <c r="C24" s="13" t="n">
        <f aca="false">C22/C23-1</f>
        <v>-0.0817898016858788</v>
      </c>
      <c r="D24" s="13" t="n">
        <f aca="false">D22/D23-1</f>
        <v>-0.22081916048782</v>
      </c>
      <c r="E24" s="13" t="n">
        <f aca="false">E22/E23-1</f>
        <v>-0.304671427222823</v>
      </c>
    </row>
    <row r="25" customFormat="false" ht="15" hidden="false" customHeight="false" outlineLevel="1" collapsed="false">
      <c r="A25" s="3" t="s">
        <v>62</v>
      </c>
      <c r="B25" s="11" t="s">
        <v>59</v>
      </c>
      <c r="C25" s="10" t="n">
        <f aca="false">輸入與假設!$C$260+損益!C22</f>
        <v>48.8507953189312</v>
      </c>
      <c r="D25" s="10" t="n">
        <f aca="false">損益!D34</f>
        <v>58.1404845469767</v>
      </c>
      <c r="E25" s="10" t="n">
        <f aca="false">損益!E34</f>
        <v>69.4330910263236</v>
      </c>
    </row>
    <row r="26" customFormat="false" ht="15" hidden="false" customHeight="false" outlineLevel="1" collapsed="false">
      <c r="A26" s="3" t="s">
        <v>63</v>
      </c>
      <c r="B26" s="11" t="s">
        <v>59</v>
      </c>
      <c r="C26" s="10" t="n">
        <f aca="false">輸入與假設!$C$290</f>
        <v>51.664</v>
      </c>
      <c r="D26" s="10" t="n">
        <f aca="false">輸入與假設!$D$290</f>
        <v>74.642</v>
      </c>
      <c r="E26" s="10" t="n">
        <f aca="false">輸入與假設!$E$290</f>
        <v>107.543</v>
      </c>
    </row>
    <row r="27" customFormat="false" ht="15" hidden="false" customHeight="false" outlineLevel="1" collapsed="false">
      <c r="A27" s="3" t="s">
        <v>64</v>
      </c>
      <c r="B27" s="11" t="s">
        <v>42</v>
      </c>
      <c r="C27" s="13" t="n">
        <f aca="false">C25/C26-1</f>
        <v>-0.0544519332817585</v>
      </c>
      <c r="D27" s="13" t="n">
        <f aca="false">D25/D26-1</f>
        <v>-0.221075472964595</v>
      </c>
      <c r="E27" s="13" t="n">
        <f aca="false">E25/E26-1</f>
        <v>-0.354369033537063</v>
      </c>
      <c r="I27" s="11" t="s">
        <v>65</v>
      </c>
    </row>
    <row r="28" customFormat="false" ht="15" hidden="false" customHeight="false" outlineLevel="1" collapsed="false">
      <c r="A28" s="3" t="s">
        <v>66</v>
      </c>
      <c r="B28" s="11" t="s">
        <v>59</v>
      </c>
      <c r="C28" s="10" t="n">
        <f aca="false">C25-C26</f>
        <v>-2.81320468106877</v>
      </c>
      <c r="D28" s="10" t="n">
        <f aca="false">D25-D26</f>
        <v>-16.5015154530233</v>
      </c>
      <c r="E28" s="10" t="n">
        <f aca="false">E25-E26</f>
        <v>-38.1099089736764</v>
      </c>
      <c r="I28" s="6" t="s">
        <v>67</v>
      </c>
    </row>
    <row r="29" customFormat="false" ht="15" hidden="false" customHeight="false" outlineLevel="1" collapsed="false">
      <c r="A29" s="3" t="s">
        <v>68</v>
      </c>
      <c r="B29" s="11" t="s">
        <v>42</v>
      </c>
      <c r="C29" s="13" t="n">
        <f aca="false">C25/C22</f>
        <v>0.588200997871565</v>
      </c>
      <c r="D29" s="13" t="n">
        <f aca="false">D25/D22</f>
        <v>0.566524029307263</v>
      </c>
      <c r="E29" s="13" t="n">
        <f aca="false">E25/E22</f>
        <v>0.543972671146751</v>
      </c>
    </row>
    <row r="30" customFormat="false" ht="15" hidden="false" customHeight="false" outlineLevel="1" collapsed="false">
      <c r="A30" s="3" t="s">
        <v>69</v>
      </c>
      <c r="B30" s="11" t="s">
        <v>42</v>
      </c>
      <c r="C30" s="13" t="n">
        <f aca="false">輸入與假設!$C$291</f>
        <v>0.5712</v>
      </c>
      <c r="D30" s="13" t="n">
        <f aca="false">輸入與假設!$D$291</f>
        <v>0.5667</v>
      </c>
      <c r="E30" s="13" t="n">
        <f aca="false">輸入與假設!$E$291</f>
        <v>0.5858</v>
      </c>
    </row>
    <row r="31" customFormat="false" ht="15" hidden="false" customHeight="false" outlineLevel="1" collapsed="false">
      <c r="A31" s="3" t="s">
        <v>70</v>
      </c>
      <c r="B31" s="11" t="s">
        <v>71</v>
      </c>
      <c r="C31" s="13" t="n">
        <f aca="false">C29-C30</f>
        <v>0.0170009978715652</v>
      </c>
      <c r="D31" s="13" t="n">
        <f aca="false">D29-D30</f>
        <v>-0.000175970692737115</v>
      </c>
      <c r="E31" s="13" t="n">
        <f aca="false">E29-E30</f>
        <v>-0.0418273288532486</v>
      </c>
      <c r="I31" s="11" t="s">
        <v>72</v>
      </c>
    </row>
    <row r="32" customFormat="false" ht="15" hidden="false" customHeight="false" outlineLevel="1" collapsed="false">
      <c r="A32" s="3" t="s">
        <v>73</v>
      </c>
      <c r="B32" s="11" t="s">
        <v>59</v>
      </c>
      <c r="C32" s="10" t="n">
        <f aca="false">輸入與假設!$C$243+輸入與假設!C$135</f>
        <v>91.328055592</v>
      </c>
      <c r="D32" s="10" t="n">
        <f aca="false">輸入與假設!D$135</f>
        <v>79.8921356592</v>
      </c>
      <c r="E32" s="10" t="n">
        <f aca="false">輸入與假設!E$135</f>
        <v>31.1985514776</v>
      </c>
    </row>
    <row r="33" customFormat="false" ht="15" hidden="false" customHeight="false" outlineLevel="1" collapsed="false">
      <c r="A33" s="3" t="s">
        <v>74</v>
      </c>
      <c r="B33" s="11" t="s">
        <v>59</v>
      </c>
      <c r="C33" s="10" t="n">
        <f aca="false">輸入與假設!$C$296</f>
        <v>93.961</v>
      </c>
      <c r="D33" s="10" t="n">
        <f aca="false">輸入與假設!$D$296</f>
        <v>100.962</v>
      </c>
      <c r="E33" s="10" t="n">
        <f aca="false">輸入與假設!$E$296</f>
        <v>84.848</v>
      </c>
    </row>
    <row r="34" customFormat="false" ht="15" hidden="false" customHeight="false" outlineLevel="1" collapsed="false">
      <c r="A34" s="3" t="s">
        <v>75</v>
      </c>
      <c r="B34" s="11" t="s">
        <v>42</v>
      </c>
      <c r="C34" s="13" t="n">
        <f aca="false">C32/C33-1</f>
        <v>-0.0280216729068444</v>
      </c>
      <c r="D34" s="13" t="n">
        <f aca="false">D32/D33-1</f>
        <v>-0.208691035645094</v>
      </c>
      <c r="E34" s="13" t="n">
        <f aca="false">E32/E33-1</f>
        <v>-0.632300685017914</v>
      </c>
      <c r="I34" s="6" t="s">
        <v>76</v>
      </c>
    </row>
    <row r="35" customFormat="false" ht="15" hidden="false" customHeight="false" outlineLevel="1" collapsed="false">
      <c r="A35" s="3" t="s">
        <v>77</v>
      </c>
      <c r="B35" s="11" t="s">
        <v>59</v>
      </c>
      <c r="C35" s="10" t="n">
        <f aca="false">資產負債_新債與新股!C24</f>
        <v>114.721787221044</v>
      </c>
      <c r="D35" s="10" t="n">
        <f aca="false">資產負債_新債與新股!D24</f>
        <v>142.186694327133</v>
      </c>
      <c r="E35" s="10" t="n">
        <f aca="false">資產負債_新債與新股!E24</f>
        <v>124.826544462787</v>
      </c>
    </row>
    <row r="36" customFormat="false" ht="15" hidden="false" customHeight="false" outlineLevel="1" collapsed="false">
      <c r="A36" s="3" t="s">
        <v>78</v>
      </c>
      <c r="B36" s="11" t="s">
        <v>59</v>
      </c>
      <c r="C36" s="10" t="n">
        <f aca="false">輸入與假設!$C$298</f>
        <v>117.047</v>
      </c>
      <c r="D36" s="10" t="n">
        <f aca="false">輸入與假設!$D$298</f>
        <v>147.351</v>
      </c>
      <c r="E36" s="10" t="n">
        <f aca="false">輸入與假設!$E$298</f>
        <v>146.812</v>
      </c>
    </row>
    <row r="37" customFormat="false" ht="15" hidden="false" customHeight="false" outlineLevel="1" collapsed="false">
      <c r="A37" s="3" t="s">
        <v>79</v>
      </c>
      <c r="B37" s="11" t="s">
        <v>42</v>
      </c>
      <c r="C37" s="13" t="n">
        <f aca="false">C35/C36-1</f>
        <v>-0.0198656332836911</v>
      </c>
      <c r="D37" s="13" t="n">
        <f aca="false">D35/D36-1</f>
        <v>-0.0350476459125937</v>
      </c>
      <c r="E37" s="13" t="n">
        <f aca="false">E35/E36-1</f>
        <v>-0.149752442151958</v>
      </c>
      <c r="I37" s="6" t="s">
        <v>80</v>
      </c>
    </row>
    <row r="38" customFormat="false" ht="15" hidden="false" customHeight="false" outlineLevel="1" collapsed="false">
      <c r="A38" s="3" t="s">
        <v>81</v>
      </c>
      <c r="B38" s="11" t="s">
        <v>59</v>
      </c>
      <c r="C38" s="10" t="n">
        <f aca="false">C35-C36</f>
        <v>-2.32521277895619</v>
      </c>
      <c r="D38" s="10" t="n">
        <f aca="false">D35-D36</f>
        <v>-5.16430567286659</v>
      </c>
      <c r="E38" s="10" t="n">
        <f aca="false">E35-E36</f>
        <v>-21.9854555372133</v>
      </c>
      <c r="I38" s="6" t="s">
        <v>67</v>
      </c>
    </row>
    <row r="39" customFormat="false" ht="15" hidden="false" customHeight="false" outlineLevel="1" collapsed="false">
      <c r="A39" s="3" t="s">
        <v>82</v>
      </c>
      <c r="C39" s="10" t="str">
        <f aca="false">MID(IF(ABS(C24)&gt;輸入與假設!$C$333,"、營收 "&amp;IF(C24&lt;0,"−","+")&amp;TEXT(ABS(C24)*100,"0.0")&amp;"%","")&amp;IF(ABS(C27)&gt;輸入與假設!$C$333,"、EBITDA "&amp;IF(C28&lt;0,"−","+")&amp;"$"&amp;TEXT(ABS(C28),"#,##0.00")&amp;"bn"&amp;"／"&amp;IF(C31&lt;0,"−","+")&amp;TEXT(ABS(C31)*100,"0.0")&amp;"pt","")&amp;IF(ABS(C34)&gt;輸入與假設!$C$333,"、CapEx "&amp;IF(C34&lt;0,"−","+")&amp;TEXT(ABS(C34)*100,"0.0")&amp;"%",""),2,999)</f>
        <v>營收 −8.2%、EBITDA −$2.81bn／+1.7pt</v>
      </c>
      <c r="D39" s="10" t="str">
        <f aca="false">MID(IF(ABS(D24)&gt;輸入與假設!$C$333,"、營收 "&amp;IF(D24&lt;0,"−","+")&amp;TEXT(ABS(D24)*100,"0.0")&amp;"%","")&amp;IF(ABS(D27)&gt;輸入與假設!$C$333,"、EBITDA "&amp;IF(D28&lt;0,"−","+")&amp;"$"&amp;TEXT(ABS(D28),"#,##0.00")&amp;"bn"&amp;"／"&amp;IF(D31&lt;0,"−","+")&amp;TEXT(ABS(D31)*100,"0.0")&amp;"pt","")&amp;IF(ABS(D34)&gt;輸入與假設!$C$333,"、CapEx "&amp;IF(D34&lt;0,"−","+")&amp;TEXT(ABS(D34)*100,"0.0")&amp;"%",""),2,999)</f>
        <v>營收 −22.1%、EBITDA −$16.50bn／−0.0pt、CapEx −20.9%</v>
      </c>
      <c r="E39" s="10" t="str">
        <f aca="false">MID(IF(ABS(E24)&gt;輸入與假設!$C$333,"、營收 "&amp;IF(E24&lt;0,"−","+")&amp;TEXT(ABS(E24)*100,"0.0")&amp;"%","")&amp;IF(ABS(E27)&gt;輸入與假設!$C$333,"、EBITDA "&amp;IF(E28&lt;0,"−","+")&amp;"$"&amp;TEXT(ABS(E28),"#,##0.00")&amp;"bn"&amp;"／"&amp;IF(E31&lt;0,"−","+")&amp;TEXT(ABS(E31)*100,"0.0")&amp;"pt","")&amp;IF(ABS(E34)&gt;輸入與假設!$C$333,"、CapEx "&amp;IF(E34&lt;0,"−","+")&amp;TEXT(ABS(E34)*100,"0.0")&amp;"%",""),2,999)</f>
        <v>營收 −30.5%、EBITDA −$38.11bn／−4.2pt、CapEx −63.2%</v>
      </c>
      <c r="I39" s="6" t="s">
        <v>83</v>
      </c>
    </row>
    <row r="40" customFormat="false" ht="15" hidden="false" customHeight="false" outlineLevel="1" collapsed="false">
      <c r="A40" s="3" t="s">
        <v>84</v>
      </c>
      <c r="C40" s="9" t="n">
        <f aca="false">IF(C39&lt;&gt;"",1,IF(D39&lt;&gt;"",2,IF(E39&lt;&gt;"",3,0)))</f>
        <v>1</v>
      </c>
    </row>
    <row r="41" customFormat="false" ht="15" hidden="false" customHeight="false" outlineLevel="1" collapsed="false">
      <c r="A41" s="2" t="s">
        <v>85</v>
      </c>
      <c r="C41" s="10" t="str">
        <f aca="false">CHOOSE(C40+1,"FY27–FY29 營收、EBITDA、CapEx 與共識差距皆在 "&amp;IF(ROUND(ABS(輸入與假設!$C$333)*100,4)=INT(ROUND(ABS(輸入與假設!$C$333)*100,4)),TEXT(ROUND(ABS(輸入與假設!$C$333)*100,4),"0"),TEXT(ROUND(ABS(輸入與假設!$C$333)*100,4),"0.0"))&amp;"%"&amp;" 以內。","分歧始於 FY27（"&amp;C39&amp;"）"&amp;"；FY28 "&amp;IF(D39="","回到 "&amp;IF(ROUND(ABS(輸入與假設!$C$333)*100,4)=INT(ROUND(ABS(輸入與假設!$C$333)*100,4)),TEXT(ROUND(ABS(輸入與假設!$C$333)*100,4),"0"),TEXT(ROUND(ABS(輸入與假設!$C$333)*100,4),"0.0"))&amp;"%"&amp;" 以內",D39)&amp;"；FY29 "&amp;IF(E39="","回到 "&amp;IF(ROUND(ABS(輸入與假設!$C$333)*100,4)=INT(ROUND(ABS(輸入與假設!$C$333)*100,4)),TEXT(ROUND(ABS(輸入與假設!$C$333)*100,4),"0"),TEXT(ROUND(ABS(輸入與假設!$C$333)*100,4),"0.0"))&amp;"%"&amp;" 以內",E39)&amp;"。","FY27 營收、EBITDA、CapEx 與共識差距在 "&amp;IF(ROUND(ABS(輸入與假設!$C$333)*100,4)=INT(ROUND(ABS(輸入與假設!$C$333)*100,4)),TEXT(ROUND(ABS(輸入與假設!$C$333)*100,4),"0"),TEXT(ROUND(ABS(輸入與假設!$C$333)*100,4),"0.0"))&amp;"%"&amp;" 以內；分歧始於 FY28（"&amp;D39&amp;"）"&amp;"；FY29 "&amp;IF(E39="","回到 "&amp;IF(ROUND(ABS(輸入與假設!$C$333)*100,4)=INT(ROUND(ABS(輸入與假設!$C$333)*100,4)),TEXT(ROUND(ABS(輸入與假設!$C$333)*100,4),"0"),TEXT(ROUND(ABS(輸入與假設!$C$333)*100,4),"0.0"))&amp;"%"&amp;" 以內",E39)&amp;"。","FY27–FY28 營收、EBITDA、CapEx 與共識差距在 "&amp;IF(ROUND(ABS(輸入與假設!$C$333)*100,4)=INT(ROUND(ABS(輸入與假設!$C$333)*100,4)),TEXT(ROUND(ABS(輸入與假設!$C$333)*100,4),"0"),TEXT(ROUND(ABS(輸入與假設!$C$333)*100,4),"0.0"))&amp;"%"&amp;" 以內；分歧始於 FY29（"&amp;E39&amp;"）。")</f>
        <v>分歧始於 FY27（營收 −8.2%、EBITDA −$2.81bn／+1.7pt）；FY28 營收 −22.1%、EBITDA −$16.50bn／−0.0pt、CapEx −20.9%；FY29 營收 −30.5%、EBITDA −$38.11bn／−4.2pt、CapEx −63.2%。</v>
      </c>
    </row>
    <row r="42" customFormat="false" ht="15" hidden="false" customHeight="false" outlineLevel="1" collapsed="false">
      <c r="A42" s="3" t="s">
        <v>86</v>
      </c>
      <c r="C42" s="10" t="str">
        <f aca="false">IF(ABS(C24)&gt;輸入與假設!$C$333,"已知限制","")</f>
        <v>已知限制</v>
      </c>
      <c r="D42" s="10" t="str">
        <f aca="false">IF(ABS(C24)&gt;輸入與假設!$C$333,"營收＝OCI（在役 MW × 每 MW 年收入；年底已連網 "&amp;IF((輸入與假設!C$43)&lt;0,"−","")&amp;TEXT(ABS((輸入與假設!C$43)),"#,##0")&amp;" MW-IT）＋傳統事業四線。FY27 同時低於公司全年指引（≥$90bn）：首期 OCI 由 Q1 實際年化校準，之後每 MW 價格取 Tokenomics 錨 × k（長約約 0.89 倍打平租金、現貨 1.83 倍，市場證據），不取 Oracle 對 OpenAI 的合約價（隱含 k 約 1.22，未證實）；FY27 營收對價格與爬坡不敏感（首期末收斂比例 100%、k_長約取 1.47 仍低於 $90bn），指引隱含的計費爬坡與合約價超出本模型的 MW × 市價推導，列為已知限制；Q1 驗證與敏感度見 v0.3 報告","")</f>
        <v>營收＝OCI（在役 MW × 每 MW 年收入；年底已連網 4,668 MW-IT）＋傳統事業四線。FY27 同時低於公司全年指引（≥$90bn）：首期 OCI 由 Q1 實際年化校準，之後每 MW 價格取 Tokenomics 錨 × k（長約約 0.89 倍打平租金、現貨 1.83 倍，市場證據），不取 Oracle 對 OpenAI 的合約價（隱含 k 約 1.22，未證實）；FY27 營收對價格與爬坡不敏感（首期末收斂比例 100%、k_長約取 1.47 仍低於 $90bn），指引隱含的計費爬坡與合約價超出本模型的 MW × 市價推導，列為已知限制；Q1 驗證與敏感度見 v0.3 報告</v>
      </c>
      <c r="I42" s="11" t="s">
        <v>87</v>
      </c>
    </row>
    <row r="43" customFormat="false" ht="15" hidden="false" customHeight="false" outlineLevel="1" collapsed="false">
      <c r="A43" s="3" t="s">
        <v>88</v>
      </c>
      <c r="C43" s="10" t="str">
        <f aca="false">IF(ABS(C31)&gt;輸入與假設!$C$334,"觀點","")</f>
        <v/>
      </c>
      <c r="D43" s="10" t="str">
        <f aca="false">IF(ABS(C31)&gt;輸入與假設!$C$334,"營收差距 "&amp;IF((C24)&lt;0,"−","+")&amp;TEXT(ABS((C24))*100,"#,##0.0")&amp;"%"&amp;"；EBITDA 率 "&amp;IF((C29)&lt;0,"−","")&amp;TEXT(ABS((C29))*100,"#,##0.0")&amp;"%"&amp;" 對共識 "&amp;IF((C30)&lt;0,"−","")&amp;TEXT(ABS((C30))*100,"#,##0.0")&amp;"%"&amp;"（OCI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/>
      </c>
    </row>
    <row r="44" customFormat="false" ht="15" hidden="false" customHeight="false" outlineLevel="1" collapsed="false">
      <c r="A44" s="3" t="s">
        <v>89</v>
      </c>
      <c r="C44" s="10" t="str">
        <f aca="false">IF(ABS(C34)&gt;輸入與假設!$C$333,"觀點","")</f>
        <v/>
      </c>
      <c r="D44" s="10" t="str">
        <f aca="false">IF(ABS(C34)&gt;輸入與假設!$C$333,"CapEx 依新增 MW 計算：新增 "&amp;IF((輸入與假設!C$125)&lt;0,"−","")&amp;TEXT(ABS((輸入與假設!C$125)),"#,##0")&amp;" MW × 每 MW $"&amp;IF((輸入與假設!C$109)&lt;0,"−","")&amp;TEXT(ABS((輸入與假設!C$109)),"#,##0")&amp;"m（IT 設備，含次年預建）；客戶自帶硬體不建模；共識口徑未揭露","")</f>
        <v/>
      </c>
    </row>
    <row r="45" customFormat="false" ht="15" hidden="false" customHeight="false" outlineLevel="1" collapsed="false">
      <c r="A45" s="3" t="s">
        <v>90</v>
      </c>
      <c r="C45" s="10" t="str">
        <f aca="false">IF(ABS(C37)&gt;輸入與假設!$C$333,"觀點","")</f>
        <v/>
      </c>
      <c r="D45" s="10" t="str">
        <f aca="false">IF(ABS(C37)&gt;輸入與假設!$C$333,"淨負債隨 CapEx、客戶預付、股利與融資瀑布而定（模型 CapEx 差距 "&amp;IF((C34)&lt;0,"−","+")&amp;TEXT(ABS((C34))*100,"#,##0.0")&amp;"%"&amp;"）；共識淨負債不含租賃","")</f>
        <v/>
      </c>
    </row>
    <row r="46" customFormat="false" ht="15" hidden="false" customHeight="false" outlineLevel="1" collapsed="false">
      <c r="A46" s="3" t="s">
        <v>91</v>
      </c>
      <c r="C46" s="10" t="str">
        <f aca="false">IF(ABS(D24)&gt;輸入與假設!$C$333,"觀點","")</f>
        <v>觀點</v>
      </c>
      <c r="D46" s="10" t="str">
        <f aca="false">IF(ABS(D24)&gt;輸入與假設!$C$333,"營收＝OCI（在役 MW × 每 MW 年收入，Tokenomics 正向推導；年底已連網 "&amp;IF((輸入與假設!D$43)&lt;0,"−","")&amp;TEXT(ABS((輸入與假設!D$43)),"#,##0")&amp;" MW-IT）＋傳統事業四線（近四季年增率收斂）；共識未揭露 MW 假設","")</f>
        <v>營收＝OCI（在役 MW × 每 MW 年收入，Tokenomics 正向推導；年底已連網 7,501 MW-IT）＋傳統事業四線（近四季年增率收斂）；共識未揭露 MW 假設</v>
      </c>
    </row>
    <row r="47" customFormat="false" ht="15" hidden="false" customHeight="false" outlineLevel="1" collapsed="false">
      <c r="A47" s="3" t="s">
        <v>92</v>
      </c>
      <c r="C47" s="10" t="str">
        <f aca="false">IF(ABS(D31)&gt;輸入與假設!$C$334,"觀點","")</f>
        <v/>
      </c>
      <c r="D47" s="10" t="str">
        <f aca="false">IF(ABS(D31)&gt;輸入與假設!$C$334,"營收差距 "&amp;IF((D24)&lt;0,"−","+")&amp;TEXT(ABS((D24))*100,"#,##0.0")&amp;"%"&amp;"；EBITDA 率 "&amp;IF((D29)&lt;0,"−","")&amp;TEXT(ABS((D29))*100,"#,##0.0")&amp;"%"&amp;" 對共識 "&amp;IF((D30)&lt;0,"−","")&amp;TEXT(ABS((D30))*100,"#,##0.0")&amp;"%"&amp;"（OCI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/>
      </c>
    </row>
    <row r="48" customFormat="false" ht="15" hidden="false" customHeight="false" outlineLevel="1" collapsed="false">
      <c r="A48" s="3" t="s">
        <v>93</v>
      </c>
      <c r="C48" s="10" t="str">
        <f aca="false">IF(ABS(D34)&gt;輸入與假設!$C$333,"觀點","")</f>
        <v>觀點</v>
      </c>
      <c r="D48" s="10" t="str">
        <f aca="false">IF(ABS(D34)&gt;輸入與假設!$C$333,"CapEx 依新增 MW 計算：新增 "&amp;IF((輸入與假設!D$125)&lt;0,"−","")&amp;TEXT(ABS((輸入與假設!D$125)),"#,##0")&amp;" MW × 每 MW $"&amp;IF((輸入與假設!D$109)&lt;0,"−","")&amp;TEXT(ABS((輸入與假設!D$109)),"#,##0")&amp;"m（IT 設備，含次年預建）；客戶自帶硬體不建模；共識口徑未揭露","")</f>
        <v>CapEx 依新增 MW 計算：新增 2,833 MW × 每 MW $35m（IT 設備，含次年預建）；客戶自帶硬體不建模；共識口徑未揭露</v>
      </c>
    </row>
    <row r="49" customFormat="false" ht="15" hidden="false" customHeight="false" outlineLevel="1" collapsed="false">
      <c r="A49" s="3" t="s">
        <v>94</v>
      </c>
      <c r="C49" s="10" t="str">
        <f aca="false">IF(ABS(D37)&gt;輸入與假設!$C$333,"觀點","")</f>
        <v/>
      </c>
      <c r="D49" s="10" t="str">
        <f aca="false">IF(ABS(D37)&gt;輸入與假設!$C$333,"淨負債隨 CapEx、客戶預付、股利與融資瀑布而定（模型 CapEx 差距 "&amp;IF((D34)&lt;0,"−","+")&amp;TEXT(ABS((D34))*100,"#,##0.0")&amp;"%"&amp;"）；共識淨負債不含租賃","")</f>
        <v/>
      </c>
    </row>
    <row r="50" customFormat="false" ht="15" hidden="false" customHeight="false" outlineLevel="1" collapsed="false">
      <c r="A50" s="3" t="s">
        <v>95</v>
      </c>
      <c r="C50" s="10" t="str">
        <f aca="false">IF(ABS(E24)&gt;輸入與假設!$C$333,"觀點","")</f>
        <v>觀點</v>
      </c>
      <c r="D50" s="10" t="str">
        <f aca="false">IF(ABS(E24)&gt;輸入與假設!$C$333,"營收＝OCI（在役 MW × 每 MW 年收入，Tokenomics 正向推導；年底已連網 "&amp;IF((輸入與假設!E$43)&lt;0,"−","")&amp;TEXT(ABS((輸入與假設!E$43)),"#,##0")&amp;" MW-IT）＋傳統事業四線（近四季年增率收斂）；共識未揭露 MW 假設","")</f>
        <v>營收＝OCI（在役 MW × 每 MW 年收入，Tokenomics 正向推導；年底已連網 8,778 MW-IT）＋傳統事業四線（近四季年增率收斂）；共識未揭露 MW 假設</v>
      </c>
    </row>
    <row r="51" customFormat="false" ht="15" hidden="false" customHeight="false" outlineLevel="1" collapsed="false">
      <c r="A51" s="3" t="s">
        <v>96</v>
      </c>
      <c r="C51" s="10" t="str">
        <f aca="false">IF(ABS(E31)&gt;輸入與假設!$C$334,"觀點","")</f>
        <v>觀點</v>
      </c>
      <c r="D51" s="10" t="str">
        <f aca="false">IF(ABS(E31)&gt;輸入與假設!$C$334,"營收差距 "&amp;IF((E24)&lt;0,"−","+")&amp;TEXT(ABS((E24))*100,"#,##0.0")&amp;"%"&amp;"；EBITDA 率 "&amp;IF((E29)&lt;0,"−","")&amp;TEXT(ABS((E29))*100,"#,##0.0")&amp;"%"&amp;" 對共識 "&amp;IF((E30)&lt;0,"−","")&amp;TEXT(ABS((E30))*100,"#,##0.0")&amp;"%"&amp;"（OCI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>營收差距 −30.5%；EBITDA 率 54.4% 對共識 58.6%（OCI EBITDA 率由 65% 走向穩態 47%，取可觀察 neocloud 區間）</v>
      </c>
    </row>
    <row r="52" customFormat="false" ht="15" hidden="false" customHeight="false" outlineLevel="1" collapsed="false">
      <c r="A52" s="3" t="s">
        <v>97</v>
      </c>
      <c r="C52" s="10" t="str">
        <f aca="false">IF(ABS(E34)&gt;輸入與假設!$C$333,"觀點","")</f>
        <v>觀點</v>
      </c>
      <c r="D52" s="10" t="str">
        <f aca="false">IF(ABS(E34)&gt;輸入與假設!$C$333,"CapEx 依新增 MW 計算：新增 "&amp;IF((輸入與假設!E$125)&lt;0,"−","")&amp;TEXT(ABS((輸入與假設!E$125)),"#,##0")&amp;" MW × 每 MW $"&amp;IF((輸入與假設!E$109)&lt;0,"−","")&amp;TEXT(ABS((輸入與假設!E$109)),"#,##0")&amp;"m（IT 設備，含次年預建）；客戶自帶硬體不建模；共識口徑未揭露","")</f>
        <v>CapEx 依新增 MW 計算：新增 1,277 MW × 每 MW $38m（IT 設備，含次年預建）；客戶自帶硬體不建模；共識口徑未揭露</v>
      </c>
    </row>
    <row r="53" customFormat="false" ht="15" hidden="false" customHeight="false" outlineLevel="1" collapsed="false">
      <c r="A53" s="3" t="s">
        <v>98</v>
      </c>
      <c r="C53" s="10" t="str">
        <f aca="false">IF(ABS(E37)&gt;輸入與假設!$C$333,"觀點","")</f>
        <v>觀點</v>
      </c>
      <c r="D53" s="10" t="str">
        <f aca="false">IF(ABS(E37)&gt;輸入與假設!$C$333,"淨負債隨 CapEx、客戶預付、股利與融資瀑布而定（模型 CapEx 差距 "&amp;IF((E34)&lt;0,"−","+")&amp;TEXT(ABS((E34))*100,"#,##0.0")&amp;"%"&amp;"）；共識淨負債不含租賃","")</f>
        <v>淨負債隨 CapEx、客戶預付、股利與融資瀑布而定（模型 CapEx 差距 −63.2%）；共識淨負債不含租賃</v>
      </c>
    </row>
    <row r="54" customFormat="false" ht="15" hidden="false" customHeight="false" outlineLevel="1" collapsed="false">
      <c r="A54" s="3" t="s">
        <v>99</v>
      </c>
      <c r="C54" s="9" t="n">
        <f aca="false">SUMPRODUCT(--(ABS(C24:E24)&gt;輸入與假設!$C$333))+SUMPRODUCT(--(ABS(C31:E31)&gt;輸入與假設!$C$334))+SUMPRODUCT(--(ABS(C34:E34)&gt;輸入與假設!$C$333))+SUMPRODUCT(--(ABS(C37:E37)&gt;輸入與假設!$C$333))</f>
        <v>7</v>
      </c>
      <c r="I54" s="6" t="s">
        <v>100</v>
      </c>
    </row>
    <row r="55" customFormat="false" ht="15" hidden="false" customHeight="false" outlineLevel="1" collapsed="false">
      <c r="A55" s="3" t="s">
        <v>101</v>
      </c>
      <c r="C55" s="10" t="str">
        <f aca="false">IF(C54=0,"","需附原因的 "&amp;C54&amp;" 項差距："&amp;MID(IF((COUNTIF(C42,"觀點")+COUNTIF(C43,"觀點")+COUNTIF(C44,"觀點")+COUNTIF(C45,"觀點")+COUNTIF(C46,"觀點")+COUNTIF(C47,"觀點")+COUNTIF(C48,"觀點")+COUNTIF(C49,"觀點")+COUNTIF(C50,"觀點")+COUNTIF(C51,"觀點")+COUNTIF(C52,"觀點")+COUNTIF(C53,"觀點"))&gt;0,"、觀點 "&amp;(COUNTIF(C42,"觀點")+COUNTIF(C43,"觀點")+COUNTIF(C44,"觀點")+COUNTIF(C45,"觀點")+COUNTIF(C46,"觀點")+COUNTIF(C47,"觀點")+COUNTIF(C48,"觀點")+COUNTIF(C49,"觀點")+COUNTIF(C50,"觀點")+COUNTIF(C51,"觀點")+COUNTIF(C52,"觀點")+COUNTIF(C53,"觀點"))&amp;" 項","")&amp;IF((COUNTIF(C42,"拆法")+COUNTIF(C43,"拆法")+COUNTIF(C44,"拆法")+COUNTIF(C45,"拆法")+COUNTIF(C46,"拆法")+COUNTIF(C47,"拆法")+COUNTIF(C48,"拆法")+COUNTIF(C49,"拆法")+COUNTIF(C50,"拆法")+COUNTIF(C51,"拆法")+COUNTIF(C52,"拆法")+COUNTIF(C53,"拆法"))&gt;0,"、拆法 "&amp;(COUNTIF(C42,"拆法")+COUNTIF(C43,"拆法")+COUNTIF(C44,"拆法")+COUNTIF(C45,"拆法")+COUNTIF(C46,"拆法")+COUNTIF(C47,"拆法")+COUNTIF(C48,"拆法")+COUNTIF(C49,"拆法")+COUNTIF(C50,"拆法")+COUNTIF(C51,"拆法")+COUNTIF(C52,"拆法")+COUNTIF(C53,"拆法"))&amp;" 項","")&amp;IF((COUNTIF(C42,"已知限制")+COUNTIF(C43,"已知限制")+COUNTIF(C44,"已知限制")+COUNTIF(C45,"已知限制")+COUNTIF(C46,"已知限制")+COUNTIF(C47,"已知限制")+COUNTIF(C48,"已知限制")+COUNTIF(C49,"已知限制")+COUNTIF(C50,"已知限制")+COUNTIF(C51,"已知限制")+COUNTIF(C52,"已知限制")+COUNTIF(C53,"已知限制"))&gt;0,"、已知限制 "&amp;(COUNTIF(C42,"已知限制")+COUNTIF(C43,"已知限制")+COUNTIF(C44,"已知限制")+COUNTIF(C45,"已知限制")+COUNTIF(C46,"已知限制")+COUNTIF(C47,"已知限制")+COUNTIF(C48,"已知限制")+COUNTIF(C49,"已知限制")+COUNTIF(C50,"已知限制")+COUNTIF(C51,"已知限制")+COUNTIF(C52,"已知限制")+COUNTIF(C53,"已知限制"))&amp;" 項","")&amp;IF((C54-((COUNTIF(C42,"觀點")+COUNTIF(C43,"觀點")+COUNTIF(C44,"觀點")+COUNTIF(C45,"觀點")+COUNTIF(C46,"觀點")+COUNTIF(C47,"觀點")+COUNTIF(C48,"觀點")+COUNTIF(C49,"觀點")+COUNTIF(C50,"觀點")+COUNTIF(C51,"觀點")+COUNTIF(C52,"觀點")+COUNTIF(C53,"觀點"))+(COUNTIF(C42,"拆法")+COUNTIF(C43,"拆法")+COUNTIF(C44,"拆法")+COUNTIF(C45,"拆法")+COUNTIF(C46,"拆法")+COUNTIF(C47,"拆法")+COUNTIF(C48,"拆法")+COUNTIF(C49,"拆法")+COUNTIF(C50,"拆法")+COUNTIF(C51,"拆法")+COUNTIF(C52,"拆法")+COUNTIF(C53,"拆法"))+(COUNTIF(C42,"已知限制")+COUNTIF(C43,"已知限制")+COUNTIF(C44,"已知限制")+COUNTIF(C45,"已知限制")+COUNTIF(C46,"已知限制")+COUNTIF(C47,"已知限制")+COUNTIF(C48,"已知限制")+COUNTIF(C49,"已知限制")+COUNTIF(C50,"已知限制")+COUNTIF(C51,"已知限制")+COUNTIF(C52,"已知限制")+COUNTIF(C53,"已知限制"))))&gt;0,"、未歸類 "&amp;(C54-((COUNTIF(C42,"觀點")+COUNTIF(C43,"觀點")+COUNTIF(C44,"觀點")+COUNTIF(C45,"觀點")+COUNTIF(C46,"觀點")+COUNTIF(C47,"觀點")+COUNTIF(C48,"觀點")+COUNTIF(C49,"觀點")+COUNTIF(C50,"觀點")+COUNTIF(C51,"觀點")+COUNTIF(C52,"觀點")+COUNTIF(C53,"觀點"))+(COUNTIF(C42,"拆法")+COUNTIF(C43,"拆法")+COUNTIF(C44,"拆法")+COUNTIF(C45,"拆法")+COUNTIF(C46,"拆法")+COUNTIF(C47,"拆法")+COUNTIF(C48,"拆法")+COUNTIF(C49,"拆法")+COUNTIF(C50,"拆法")+COUNTIF(C51,"拆法")+COUNTIF(C52,"拆法")+COUNTIF(C53,"拆法"))+(COUNTIF(C42,"已知限制")+COUNTIF(C43,"已知限制")+COUNTIF(C44,"已知限制")+COUNTIF(C45,"已知限制")+COUNTIF(C46,"已知限制")+COUNTIF(C47,"已知限制")+COUNTIF(C48,"已知限制")+COUNTIF(C49,"已知限制")+COUNTIF(C50,"已知限制")+COUNTIF(C51,"已知限制")+COUNTIF(C52,"已知限制")+COUNTIF(C53,"已知限制"))))&amp;" 項",""),2,999)&amp;"；原因見「損益與評價 → 市場共識」。")</f>
        <v>需附原因的 7 項差距：觀點 6 項、已知限制 1 項；原因見「損益與評價 → 市場共識」。</v>
      </c>
      <c r="I55" s="6" t="s">
        <v>102</v>
      </c>
    </row>
    <row r="57" customFormat="false" ht="15" hidden="false" customHeight="false" outlineLevel="0" collapsed="false">
      <c r="A57" s="7" t="s">
        <v>103</v>
      </c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1" collapsed="false">
      <c r="A58" s="3" t="s">
        <v>104</v>
      </c>
      <c r="B58" s="11" t="s">
        <v>105</v>
      </c>
      <c r="C58" s="16" t="n">
        <f aca="false">(輸入與假設!$C$271*輸入與假設!$C$176+輸入與假設!$E$298)/輸入與假設!$E$290</f>
        <v>8.1312724763118</v>
      </c>
      <c r="I58" s="6" t="s">
        <v>106</v>
      </c>
    </row>
    <row r="59" customFormat="false" ht="15" hidden="false" customHeight="false" outlineLevel="1" collapsed="false">
      <c r="A59" s="3" t="s">
        <v>107</v>
      </c>
      <c r="B59" s="11" t="s">
        <v>105</v>
      </c>
      <c r="C59" s="16" t="n">
        <f aca="false">(輸入與假設!$C$175*輸入與假設!$C$176+輸入與假設!$E$298)/輸入與假設!$E$290</f>
        <v>5.48134644486391</v>
      </c>
      <c r="I59" s="6" t="s">
        <v>108</v>
      </c>
    </row>
    <row r="60" customFormat="false" ht="15" hidden="false" customHeight="false" outlineLevel="1" collapsed="false">
      <c r="A60" s="3" t="s">
        <v>109</v>
      </c>
      <c r="B60" s="11" t="s">
        <v>105</v>
      </c>
      <c r="C60" s="16" t="n">
        <f aca="false">MAX(輸入與假設!$C$208,輸入與假設!$C$209)</f>
        <v>6</v>
      </c>
      <c r="I60" s="6" t="s">
        <v>110</v>
      </c>
    </row>
    <row r="61" customFormat="false" ht="15" hidden="false" customHeight="false" outlineLevel="1" collapsed="false">
      <c r="A61" s="3" t="s">
        <v>111</v>
      </c>
      <c r="B61" s="11" t="s">
        <v>59</v>
      </c>
      <c r="C61" s="10" t="n">
        <f aca="false">輸入與假設!E$83</f>
        <v>30.3062781426461</v>
      </c>
      <c r="I61" s="11" t="s">
        <v>112</v>
      </c>
    </row>
    <row r="62" customFormat="false" ht="15" hidden="false" customHeight="false" outlineLevel="1" collapsed="false">
      <c r="A62" s="3" t="s">
        <v>113</v>
      </c>
      <c r="B62" s="11" t="s">
        <v>105</v>
      </c>
      <c r="C62" s="16" t="n">
        <f aca="false">(輸入與假設!$C$271*輸入與假設!$C$176+輸入與假設!$E$298-輸入與假設!E$83*輸入與假設!$C$204)/MAX(輸入與假設!$E$290-輸入與假設!E$83,0.01)</f>
        <v>5.42826168867933</v>
      </c>
      <c r="I62" s="6" t="s">
        <v>114</v>
      </c>
    </row>
    <row r="63" customFormat="false" ht="15" hidden="false" customHeight="false" outlineLevel="1" collapsed="false">
      <c r="A63" s="3" t="s">
        <v>115</v>
      </c>
      <c r="B63" s="11" t="s">
        <v>105</v>
      </c>
      <c r="C63" s="16" t="n">
        <f aca="false">(輸入與假設!$C$175*輸入與假設!$C$176+輸入與假設!$E$298-輸入與假設!E$83*輸入與假設!$C$204)/MAX(輸入與假設!$E$290-輸入與假設!E$83,0.01)</f>
        <v>1.73855311033854</v>
      </c>
      <c r="I63" s="6" t="s">
        <v>116</v>
      </c>
    </row>
    <row r="64" customFormat="false" ht="15" hidden="false" customHeight="false" outlineLevel="1" collapsed="false">
      <c r="A64" s="2" t="s">
        <v>117</v>
      </c>
      <c r="C64" s="10" t="str">
        <f aca="false">"共識平均目標價 $"&amp;TEXT(輸入與假設!$C$271,"0.00")&amp;" 隱含 FY29 EV/EBITDA "&amp;TEXT(C58,"0.0")&amp;"x（扣除傳統事業 "&amp;TEXT(輸入與假設!$C$204,"0.0")&amp;"x × 模型 EBITDA $"&amp;TEXT(C61,"0.0")&amp;"bn 後，OCI "&amp;TEXT(C62,"0.0")&amp;"x），OCI 倍數"&amp;IF(ROUND(C62,1)&gt;C60,"高於",IF(ROUND(C62,1)&lt;C60,"低於","等於"))&amp;"模型方法區間上緣 "&amp;IF(C60=INT(C60),TEXT(C60,"0"),TEXT(C60,"0.0"))&amp;"x；現價 $"&amp;TEXT(輸入與假設!$C$175,"0.00")&amp;" 隱含 "&amp;TEXT(C59,"0.0")&amp;"x（OCI "&amp;TEXT(C63,"0.0")&amp;"x）。"</f>
        <v>共識平均目標價 $237.97 隱含 FY29 EV/EBITDA 8.1x（扣除傳統事業 15.0x × 模型 EBITDA $30.3bn 後，OCI 5.4x），OCI 倍數低於模型方法區間上緣 6x；現價 $144.77 隱含 5.5x（OCI 1.7x）。</v>
      </c>
    </row>
    <row r="65" customFormat="false" ht="15" hidden="false" customHeight="false" outlineLevel="1" collapsed="false">
      <c r="A65" s="3" t="s">
        <v>118</v>
      </c>
      <c r="C65" s="17" t="n">
        <f aca="false">評價_反向DCF!B18</f>
        <v>10.7343</v>
      </c>
      <c r="D65" s="17" t="n">
        <f aca="false">評價_反向DCF!C18</f>
        <v>20.3813</v>
      </c>
      <c r="E65" s="13" t="n">
        <f aca="false">評價_反向DCF!D18</f>
        <v>0.8987</v>
      </c>
      <c r="I65" s="6" t="s">
        <v>119</v>
      </c>
    </row>
    <row r="66" customFormat="false" ht="15" hidden="false" customHeight="false" outlineLevel="1" collapsed="false">
      <c r="A66" s="3" t="s">
        <v>120</v>
      </c>
      <c r="C66" s="17" t="n">
        <f aca="false">評價_反向DCF!B19</f>
        <v>37.5864</v>
      </c>
      <c r="D66" s="17" t="str">
        <f aca="false">評價_反向DCF!C19</f>
        <v>無解</v>
      </c>
      <c r="E66" s="13" t="str">
        <f aca="false">評價_反向DCF!D19</f>
        <v>無解</v>
      </c>
    </row>
    <row r="67" customFormat="false" ht="15" hidden="false" customHeight="false" outlineLevel="1" collapsed="false">
      <c r="A67" s="3" t="s">
        <v>121</v>
      </c>
      <c r="C67" s="13" t="n">
        <f aca="false">評價_反向DCF!B20</f>
        <v>0.47</v>
      </c>
      <c r="D67" s="13" t="str">
        <f aca="false">評價_反向DCF!C20</f>
        <v>無解</v>
      </c>
      <c r="E67" s="13" t="str">
        <f aca="false">評價_反向DCF!D20</f>
        <v>無解</v>
      </c>
    </row>
    <row r="68" customFormat="false" ht="15" hidden="false" customHeight="false" outlineLevel="1" collapsed="false">
      <c r="A68" s="3" t="s">
        <v>122</v>
      </c>
      <c r="C68" s="17" t="n">
        <f aca="false">評價_反向DCF!B21</f>
        <v>10.7343</v>
      </c>
      <c r="D68" s="17" t="n">
        <f aca="false">評價_反向DCF!C21</f>
        <v>15.3457</v>
      </c>
      <c r="E68" s="13" t="n">
        <f aca="false">評價_反向DCF!D21</f>
        <v>0.4296</v>
      </c>
    </row>
    <row r="70" customFormat="false" ht="15" hidden="false" customHeight="false" outlineLevel="0" collapsed="false">
      <c r="A70" s="7" t="s">
        <v>123</v>
      </c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1" collapsed="false">
      <c r="A71" s="3" t="s">
        <v>124</v>
      </c>
      <c r="C71" s="10" t="str">
        <f aca="false">季度追蹤!C12</f>
        <v>Q2 FY27</v>
      </c>
      <c r="I71" s="6" t="s">
        <v>125</v>
      </c>
    </row>
    <row r="72" customFormat="false" ht="15" hidden="false" customHeight="false" outlineLevel="1" collapsed="false">
      <c r="A72" s="3" t="s">
        <v>126</v>
      </c>
      <c r="B72" s="11" t="s">
        <v>59</v>
      </c>
      <c r="C72" s="10" t="n">
        <f aca="false">季度追蹤!C6</f>
        <v>20.2901990378857</v>
      </c>
      <c r="D72" s="10" t="n">
        <f aca="false">季度追蹤!D6</f>
        <v>21.322</v>
      </c>
      <c r="E72" s="10" t="n">
        <f aca="false">季度追蹤!F6</f>
        <v>20.875</v>
      </c>
      <c r="F72" s="10" t="n">
        <f aca="false">季度追蹤!G6</f>
        <v>21.518</v>
      </c>
      <c r="G72" s="10" t="str">
        <f aca="false">季度追蹤!I6</f>
        <v>待公布</v>
      </c>
      <c r="I72" s="6" t="s">
        <v>127</v>
      </c>
    </row>
    <row r="73" customFormat="false" ht="15" hidden="false" customHeight="false" outlineLevel="1" collapsed="false">
      <c r="A73" s="2" t="s">
        <v>128</v>
      </c>
      <c r="C73" s="10" t="str">
        <f aca="false">INDEX(季度追蹤!$C$129:$H$129,輸入與假設!$C$339)</f>
        <v>營收：模型 $20.29bn｜共識 $21.32bn（−4.8%）｜指引 $20.88–21.52bn（中點 −4.3%，低於下緣）〔觀點〕</v>
      </c>
    </row>
    <row r="74" customFormat="false" ht="15" hidden="false" customHeight="false" outlineLevel="1" collapsed="false">
      <c r="A74" s="3" t="s">
        <v>129</v>
      </c>
      <c r="B74" s="11" t="s">
        <v>59</v>
      </c>
      <c r="C74" s="10" t="n">
        <f aca="false">季度追蹤!C7</f>
        <v>12.1122419915827</v>
      </c>
      <c r="D74" s="10" t="n">
        <f aca="false">季度追蹤!D7</f>
        <v>12.359</v>
      </c>
      <c r="E74" s="10" t="str">
        <f aca="false">季度追蹤!F7</f>
        <v>不適用</v>
      </c>
      <c r="F74" s="10" t="str">
        <f aca="false">季度追蹤!G7</f>
        <v>不適用</v>
      </c>
      <c r="G74" s="10" t="str">
        <f aca="false">季度追蹤!I7</f>
        <v>待公布</v>
      </c>
      <c r="I74" s="6" t="s">
        <v>127</v>
      </c>
    </row>
    <row r="75" customFormat="false" ht="15" hidden="false" customHeight="false" outlineLevel="1" collapsed="false">
      <c r="A75" s="2" t="s">
        <v>130</v>
      </c>
      <c r="C75" s="10" t="str">
        <f aca="false">INDEX(季度追蹤!$C$130:$H$130,輸入與假設!$C$339)</f>
        <v>調整後 EBITDA：模型 $12.11bn｜共識 $12.36bn（−$0.25bn／+1.7pt）</v>
      </c>
    </row>
    <row r="76" customFormat="false" ht="15" hidden="false" customHeight="false" outlineLevel="1" collapsed="false">
      <c r="A76" s="3" t="s">
        <v>131</v>
      </c>
      <c r="B76" s="11" t="s">
        <v>59</v>
      </c>
      <c r="C76" s="10" t="n">
        <f aca="false">季度追蹤!C10</f>
        <v>20.9430185306667</v>
      </c>
      <c r="D76" s="10" t="str">
        <f aca="false">季度追蹤!D10</f>
        <v>不適用</v>
      </c>
      <c r="E76" s="10" t="str">
        <f aca="false">季度追蹤!F10</f>
        <v>不適用</v>
      </c>
      <c r="F76" s="10" t="str">
        <f aca="false">季度追蹤!G10</f>
        <v>不適用</v>
      </c>
      <c r="G76" s="10" t="str">
        <f aca="false">季度追蹤!I10</f>
        <v>待公布</v>
      </c>
      <c r="I76" s="6" t="s">
        <v>127</v>
      </c>
    </row>
    <row r="77" customFormat="false" ht="15" hidden="false" customHeight="false" outlineLevel="1" collapsed="false">
      <c r="A77" s="2" t="s">
        <v>132</v>
      </c>
      <c r="C77" s="10" t="str">
        <f aca="false">INDEX(季度追蹤!$C$133:$H$133,輸入與假設!$C$339)</f>
        <v>CapEx（毛額）：模型 $20.94bn</v>
      </c>
    </row>
    <row r="78" customFormat="false" ht="15" hidden="false" customHeight="false" outlineLevel="1" collapsed="false">
      <c r="A78" s="3" t="s">
        <v>133</v>
      </c>
      <c r="B78" s="6" t="s">
        <v>134</v>
      </c>
      <c r="C78" s="9" t="n">
        <f aca="false">輸入與假設!$C$282</f>
        <v>28</v>
      </c>
      <c r="D78" s="9" t="n">
        <f aca="false">輸入與假設!$C$283</f>
        <v>7</v>
      </c>
      <c r="E78" s="9" t="n">
        <f aca="false">輸入與假設!$C$284</f>
        <v>7</v>
      </c>
      <c r="F78" s="9" t="n">
        <f aca="false">輸入與假設!$C$285</f>
        <v>0</v>
      </c>
      <c r="G78" s="9" t="n">
        <f aca="false">輸入與假設!$C$286</f>
        <v>1</v>
      </c>
      <c r="I78" s="11" t="s">
        <v>135</v>
      </c>
    </row>
    <row r="79" customFormat="false" ht="15" hidden="false" customHeight="false" outlineLevel="1" collapsed="false">
      <c r="A79" s="3" t="s">
        <v>136</v>
      </c>
      <c r="B79" s="11" t="s">
        <v>39</v>
      </c>
      <c r="C79" s="12" t="n">
        <f aca="false">輸入與假設!$C$271</f>
        <v>237.97</v>
      </c>
      <c r="D79" s="12" t="n">
        <f aca="false">輸入與假設!$C$272</f>
        <v>240</v>
      </c>
      <c r="E79" s="12" t="n">
        <f aca="false">輸入與假設!$C$273</f>
        <v>110</v>
      </c>
      <c r="F79" s="12" t="n">
        <f aca="false">輸入與假設!$C$274</f>
        <v>400</v>
      </c>
      <c r="I79" s="11" t="s">
        <v>137</v>
      </c>
    </row>
    <row r="80" customFormat="false" ht="15" hidden="false" customHeight="false" outlineLevel="1" collapsed="false"/>
    <row r="81" customFormat="false" ht="15" hidden="false" customHeight="false" outlineLevel="1" collapsed="false">
      <c r="A81" s="6" t="s">
        <v>138</v>
      </c>
    </row>
    <row r="82" customFormat="false" ht="15" hidden="false" customHeight="false" outlineLevel="1" collapsed="false">
      <c r="A82" s="6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140</v>
      </c>
    </row>
    <row r="2" customFormat="false" ht="15" hidden="false" customHeight="false" outlineLevel="0" collapsed="false">
      <c r="A2" s="11" t="s">
        <v>141</v>
      </c>
    </row>
    <row r="4" customFormat="false" ht="15" hidden="false" customHeight="false" outlineLevel="0" collapsed="false">
      <c r="A4" s="7" t="s">
        <v>142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143</v>
      </c>
      <c r="C5" s="18" t="n">
        <v>2</v>
      </c>
      <c r="D5" s="2" t="str">
        <f aca="false">CHOOSE(C5,"保守 OpenAI 相關 60%","基準 已簽約站點依 Q1 速度","積極 依公司時程")</f>
        <v>基準 已簽約站點依 Q1 速度</v>
      </c>
      <c r="E5" s="2" t="s">
        <v>144</v>
      </c>
      <c r="F5" s="18" t="n">
        <v>2</v>
      </c>
      <c r="G5" s="2" t="str">
        <f aca="false">CHOOSE(F5,"價格低","價格基準","價格高")</f>
        <v>價格基準</v>
      </c>
      <c r="I5" s="6" t="s">
        <v>145</v>
      </c>
    </row>
    <row r="6" customFormat="false" ht="15" hidden="false" customHeight="false" outlineLevel="1" collapsed="false">
      <c r="A6" s="19" t="s">
        <v>146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147</v>
      </c>
      <c r="B7" s="14" t="s">
        <v>54</v>
      </c>
      <c r="C7" s="15" t="s">
        <v>55</v>
      </c>
      <c r="D7" s="15" t="s">
        <v>56</v>
      </c>
      <c r="E7" s="15" t="s">
        <v>57</v>
      </c>
      <c r="F7" s="15" t="s">
        <v>148</v>
      </c>
      <c r="G7" s="15" t="s">
        <v>149</v>
      </c>
      <c r="I7" s="15" t="s">
        <v>150</v>
      </c>
    </row>
    <row r="8" customFormat="false" ht="15" hidden="false" customHeight="false" outlineLevel="2" collapsed="false">
      <c r="A8" s="3" t="s">
        <v>151</v>
      </c>
      <c r="B8" s="11" t="s">
        <v>152</v>
      </c>
      <c r="C8" s="21" t="n">
        <v>4668</v>
      </c>
      <c r="I8" s="6" t="s">
        <v>153</v>
      </c>
    </row>
    <row r="9" customFormat="false" ht="15" hidden="false" customHeight="false" outlineLevel="2" collapsed="false">
      <c r="A9" s="3" t="s">
        <v>154</v>
      </c>
      <c r="B9" s="11" t="s">
        <v>152</v>
      </c>
      <c r="C9" s="21" t="n">
        <v>6284</v>
      </c>
      <c r="D9" s="21" t="n">
        <v>6284</v>
      </c>
      <c r="E9" s="21" t="n">
        <v>6284</v>
      </c>
      <c r="F9" s="21" t="n">
        <v>6284</v>
      </c>
      <c r="G9" s="21" t="n">
        <v>6284</v>
      </c>
      <c r="I9" s="11" t="s">
        <v>155</v>
      </c>
    </row>
    <row r="10" customFormat="false" ht="15" hidden="false" customHeight="false" outlineLevel="2" collapsed="false">
      <c r="A10" s="3" t="s">
        <v>156</v>
      </c>
      <c r="B10" s="11" t="s">
        <v>157</v>
      </c>
      <c r="C10" s="21" t="n">
        <v>1000</v>
      </c>
      <c r="I10" s="11" t="s">
        <v>158</v>
      </c>
    </row>
    <row r="11" customFormat="false" ht="15" hidden="false" customHeight="false" outlineLevel="2" collapsed="false">
      <c r="A11" s="3" t="s">
        <v>159</v>
      </c>
      <c r="B11" s="11" t="s">
        <v>152</v>
      </c>
      <c r="C11" s="22" t="n">
        <f aca="false">MIN(C9,輸入與假設!$C$8)</f>
        <v>4668</v>
      </c>
      <c r="D11" s="22" t="n">
        <f aca="false">MIN(D9,C11+輸入與假設!$C$10*D$41)</f>
        <v>5668</v>
      </c>
      <c r="E11" s="22" t="n">
        <f aca="false">MIN(E9,D11+輸入與假設!$C$10*E$41)</f>
        <v>6284</v>
      </c>
      <c r="F11" s="22" t="n">
        <f aca="false">MIN(F9,E11+輸入與假設!$C$10*F$41)</f>
        <v>6284</v>
      </c>
      <c r="G11" s="22" t="n">
        <f aca="false">MIN(G9,F11+輸入與假設!$C$10*G$41)</f>
        <v>6284</v>
      </c>
      <c r="I11" s="21" t="n">
        <v>0</v>
      </c>
      <c r="J11" s="6" t="s">
        <v>160</v>
      </c>
    </row>
    <row r="12" customFormat="false" ht="15" hidden="false" customHeight="false" outlineLevel="2" collapsed="false">
      <c r="A12" s="3" t="s">
        <v>161</v>
      </c>
      <c r="B12" s="11" t="s">
        <v>152</v>
      </c>
      <c r="C12" s="21" t="n">
        <v>8778</v>
      </c>
      <c r="D12" s="21" t="n">
        <v>8778</v>
      </c>
      <c r="E12" s="21" t="n">
        <v>8778</v>
      </c>
      <c r="F12" s="21" t="n">
        <v>8778</v>
      </c>
      <c r="G12" s="21" t="n">
        <v>8778</v>
      </c>
      <c r="I12" s="11" t="s">
        <v>155</v>
      </c>
    </row>
    <row r="13" customFormat="false" ht="15" hidden="false" customHeight="false" outlineLevel="2" collapsed="false">
      <c r="A13" s="3" t="s">
        <v>162</v>
      </c>
      <c r="B13" s="11" t="s">
        <v>157</v>
      </c>
      <c r="C13" s="21" t="n">
        <v>2833</v>
      </c>
      <c r="I13" s="11" t="s">
        <v>158</v>
      </c>
    </row>
    <row r="14" customFormat="false" ht="15" hidden="false" customHeight="false" outlineLevel="2" collapsed="false">
      <c r="A14" s="3" t="s">
        <v>163</v>
      </c>
      <c r="B14" s="11" t="s">
        <v>152</v>
      </c>
      <c r="C14" s="22" t="n">
        <f aca="false">MIN(C12,輸入與假設!$C$8)</f>
        <v>4668</v>
      </c>
      <c r="D14" s="22" t="n">
        <f aca="false">MIN(D12,C14+輸入與假設!$C$13*D$41)</f>
        <v>7501</v>
      </c>
      <c r="E14" s="22" t="n">
        <f aca="false">MIN(E12,D14+輸入與假設!$C$13*E$41)</f>
        <v>8778</v>
      </c>
      <c r="F14" s="22" t="n">
        <f aca="false">MIN(F12,E14+輸入與假設!$C$13*F$41)</f>
        <v>8778</v>
      </c>
      <c r="G14" s="22" t="n">
        <f aca="false">MIN(G12,F14+輸入與假設!$C$13*G$41)</f>
        <v>8778</v>
      </c>
      <c r="I14" s="21" t="n">
        <v>0</v>
      </c>
      <c r="J14" s="11" t="s">
        <v>164</v>
      </c>
    </row>
    <row r="15" customFormat="false" ht="15" hidden="false" customHeight="false" outlineLevel="2" collapsed="false">
      <c r="A15" s="3" t="s">
        <v>165</v>
      </c>
      <c r="B15" s="11" t="s">
        <v>152</v>
      </c>
      <c r="C15" s="21" t="n">
        <v>8778</v>
      </c>
      <c r="D15" s="21" t="n">
        <v>8778</v>
      </c>
      <c r="E15" s="21" t="n">
        <v>8778</v>
      </c>
      <c r="F15" s="21" t="n">
        <v>8778</v>
      </c>
      <c r="G15" s="21" t="n">
        <v>8778</v>
      </c>
      <c r="I15" s="11" t="s">
        <v>155</v>
      </c>
    </row>
    <row r="16" customFormat="false" ht="15" hidden="false" customHeight="false" outlineLevel="2" collapsed="false">
      <c r="A16" s="3" t="s">
        <v>166</v>
      </c>
      <c r="B16" s="11" t="s">
        <v>157</v>
      </c>
      <c r="C16" s="21" t="n">
        <v>3333</v>
      </c>
      <c r="I16" s="11" t="s">
        <v>158</v>
      </c>
    </row>
    <row r="17" customFormat="false" ht="15" hidden="false" customHeight="false" outlineLevel="2" collapsed="false">
      <c r="A17" s="3" t="s">
        <v>167</v>
      </c>
      <c r="B17" s="11" t="s">
        <v>152</v>
      </c>
      <c r="C17" s="22" t="n">
        <f aca="false">MIN(C15,輸入與假設!$C$8)</f>
        <v>4668</v>
      </c>
      <c r="D17" s="22" t="n">
        <f aca="false">MIN(D15,C17+輸入與假設!$C$16*D$41)</f>
        <v>8001</v>
      </c>
      <c r="E17" s="22" t="n">
        <f aca="false">MIN(E15,D17+輸入與假設!$C$16*E$41)</f>
        <v>8778</v>
      </c>
      <c r="F17" s="22" t="n">
        <f aca="false">MIN(F15,E17+輸入與假設!$C$16*F$41)</f>
        <v>8778</v>
      </c>
      <c r="G17" s="22" t="n">
        <f aca="false">MIN(G15,F17+輸入與假設!$C$16*G$41)</f>
        <v>8778</v>
      </c>
      <c r="I17" s="21" t="n">
        <v>0</v>
      </c>
      <c r="J17" s="6" t="s">
        <v>168</v>
      </c>
    </row>
    <row r="18" customFormat="false" ht="15" hidden="false" customHeight="false" outlineLevel="2" collapsed="false">
      <c r="A18" s="3" t="s">
        <v>169</v>
      </c>
      <c r="B18" s="11" t="s">
        <v>170</v>
      </c>
      <c r="C18" s="23" t="n">
        <f aca="false">每MW收入_錨定!C51/1000</f>
        <v>0.00976951578349558</v>
      </c>
      <c r="D18" s="23" t="n">
        <f aca="false">每MW收入_錨定!D51/1000</f>
        <v>0.0101207128995023</v>
      </c>
      <c r="E18" s="23" t="n">
        <f aca="false">每MW收入_錨定!E51/1000</f>
        <v>0.0103248815463701</v>
      </c>
      <c r="F18" s="23" t="n">
        <f aca="false">每MW收入_錨定!F51/1000</f>
        <v>0.0104088833795487</v>
      </c>
      <c r="G18" s="23" t="n">
        <f aca="false">每MW收入_錨定!G51/1000</f>
        <v>0.0104088833795487</v>
      </c>
      <c r="I18" s="6" t="s">
        <v>171</v>
      </c>
    </row>
    <row r="19" customFormat="false" ht="15" hidden="false" customHeight="false" outlineLevel="2" collapsed="false">
      <c r="A19" s="3" t="s">
        <v>172</v>
      </c>
      <c r="B19" s="11" t="s">
        <v>170</v>
      </c>
      <c r="C19" s="23" t="n">
        <f aca="false">每MW收入_錨定!C78/1000</f>
        <v>0.00976951578349558</v>
      </c>
      <c r="D19" s="23" t="n">
        <f aca="false">每MW收入_錨定!D78/1000</f>
        <v>0.0103103123011932</v>
      </c>
      <c r="E19" s="23" t="n">
        <f aca="false">每MW收入_錨定!E78/1000</f>
        <v>0.010631954862887</v>
      </c>
      <c r="F19" s="23" t="n">
        <f aca="false">每MW收入_錨定!F78/1000</f>
        <v>0.010734282326708</v>
      </c>
      <c r="G19" s="23" t="n">
        <f aca="false">每MW收入_錨定!G78/1000</f>
        <v>0.010734282326708</v>
      </c>
      <c r="I19" s="6" t="s">
        <v>171</v>
      </c>
    </row>
    <row r="20" customFormat="false" ht="15" hidden="false" customHeight="false" outlineLevel="2" collapsed="false">
      <c r="A20" s="3" t="s">
        <v>173</v>
      </c>
      <c r="B20" s="11" t="s">
        <v>170</v>
      </c>
      <c r="C20" s="23" t="n">
        <f aca="false">每MW收入_錨定!C105/1000</f>
        <v>0.00976951578349558</v>
      </c>
      <c r="D20" s="23" t="n">
        <f aca="false">每MW收入_錨定!D105/1000</f>
        <v>0.0103525066866937</v>
      </c>
      <c r="E20" s="23" t="n">
        <f aca="false">每MW收入_錨定!E105/1000</f>
        <v>0.0106345824118867</v>
      </c>
      <c r="F20" s="23" t="n">
        <f aca="false">每MW收入_錨定!F105/1000</f>
        <v>0.0106967280154304</v>
      </c>
      <c r="G20" s="23" t="n">
        <f aca="false">每MW收入_錨定!G105/1000</f>
        <v>0.0106967280154304</v>
      </c>
      <c r="I20" s="6" t="s">
        <v>171</v>
      </c>
    </row>
    <row r="21" customFormat="false" ht="15" hidden="false" customHeight="false" outlineLevel="2" collapsed="false">
      <c r="A21" s="3" t="s">
        <v>174</v>
      </c>
      <c r="B21" s="11" t="s">
        <v>42</v>
      </c>
      <c r="C21" s="24" t="n">
        <v>0.5</v>
      </c>
      <c r="D21" s="24" t="n">
        <v>0.8</v>
      </c>
      <c r="E21" s="24" t="n">
        <v>0.85</v>
      </c>
      <c r="F21" s="24" t="n">
        <v>0.9</v>
      </c>
      <c r="G21" s="24" t="n">
        <v>0.9</v>
      </c>
      <c r="I21" s="6" t="s">
        <v>175</v>
      </c>
    </row>
    <row r="22" customFormat="false" ht="15" hidden="false" customHeight="false" outlineLevel="2" collapsed="false">
      <c r="A22" s="3" t="s">
        <v>176</v>
      </c>
      <c r="B22" s="11" t="s">
        <v>59</v>
      </c>
      <c r="C22" s="25" t="n">
        <v>29.552</v>
      </c>
      <c r="I22" s="6" t="s">
        <v>177</v>
      </c>
    </row>
    <row r="23" customFormat="false" ht="15" hidden="false" customHeight="false" outlineLevel="2" collapsed="false">
      <c r="A23" s="3" t="s">
        <v>178</v>
      </c>
      <c r="B23" s="11" t="s">
        <v>152</v>
      </c>
      <c r="C23" s="22" t="n">
        <f aca="false">ROUND(輸入與假設!$C$22/C18,0)</f>
        <v>3025</v>
      </c>
      <c r="I23" s="6" t="s">
        <v>179</v>
      </c>
    </row>
    <row r="24" customFormat="false" ht="15" hidden="false" customHeight="false" outlineLevel="2" collapsed="false">
      <c r="A24" s="3" t="s">
        <v>180</v>
      </c>
      <c r="B24" s="11" t="s">
        <v>152</v>
      </c>
      <c r="C24" s="22" t="n">
        <f aca="false">ROUND(輸入與假設!$C$22/C19,0)</f>
        <v>3025</v>
      </c>
      <c r="I24" s="6" t="s">
        <v>179</v>
      </c>
    </row>
    <row r="25" customFormat="false" ht="15" hidden="false" customHeight="false" outlineLevel="2" collapsed="false">
      <c r="A25" s="3" t="s">
        <v>181</v>
      </c>
      <c r="B25" s="11" t="s">
        <v>152</v>
      </c>
      <c r="C25" s="22" t="n">
        <f aca="false">ROUND(輸入與假設!$C$22/C20,0)</f>
        <v>3025</v>
      </c>
      <c r="I25" s="6" t="s">
        <v>179</v>
      </c>
    </row>
    <row r="26" customFormat="false" ht="15" hidden="false" customHeight="false" outlineLevel="2" collapsed="false">
      <c r="A26" s="3" t="s">
        <v>182</v>
      </c>
      <c r="B26" s="11" t="s">
        <v>59</v>
      </c>
      <c r="C26" s="25" t="n">
        <v>288</v>
      </c>
      <c r="I26" s="6" t="s">
        <v>183</v>
      </c>
    </row>
    <row r="27" customFormat="false" ht="15" hidden="false" customHeight="false" outlineLevel="2" collapsed="false">
      <c r="A27" s="3" t="s">
        <v>184</v>
      </c>
      <c r="B27" s="6" t="s">
        <v>185</v>
      </c>
      <c r="C27" s="21" t="n">
        <v>0</v>
      </c>
      <c r="I27" s="11" t="s">
        <v>186</v>
      </c>
    </row>
    <row r="28" customFormat="false" ht="15" hidden="false" customHeight="false" outlineLevel="2" collapsed="false">
      <c r="A28" s="3" t="s">
        <v>187</v>
      </c>
      <c r="B28" s="6" t="s">
        <v>185</v>
      </c>
      <c r="C28" s="21" t="n">
        <v>11</v>
      </c>
      <c r="I28" s="6" t="s">
        <v>188</v>
      </c>
    </row>
    <row r="29" customFormat="false" ht="15" hidden="false" customHeight="false" outlineLevel="2" collapsed="false">
      <c r="A29" s="3" t="s">
        <v>189</v>
      </c>
      <c r="B29" s="6" t="s">
        <v>190</v>
      </c>
      <c r="C29" s="26" t="n">
        <v>17</v>
      </c>
      <c r="I29" s="6" t="s">
        <v>191</v>
      </c>
    </row>
    <row r="30" customFormat="false" ht="15" hidden="false" customHeight="false" outlineLevel="0" collapsed="false">
      <c r="A30" s="7" t="s">
        <v>192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193</v>
      </c>
      <c r="B31" s="11" t="s">
        <v>59</v>
      </c>
      <c r="C31" s="25" t="n">
        <v>664</v>
      </c>
      <c r="I31" s="6" t="s">
        <v>194</v>
      </c>
    </row>
    <row r="32" customFormat="false" ht="15" hidden="false" customHeight="false" outlineLevel="1" collapsed="false">
      <c r="A32" s="3" t="s">
        <v>195</v>
      </c>
      <c r="B32" s="11" t="s">
        <v>59</v>
      </c>
      <c r="C32" s="25" t="n">
        <v>0</v>
      </c>
      <c r="I32" s="6" t="s">
        <v>196</v>
      </c>
    </row>
    <row r="33" customFormat="false" ht="15" hidden="false" customHeight="false" outlineLevel="1" collapsed="false">
      <c r="A33" s="3" t="s">
        <v>197</v>
      </c>
      <c r="B33" s="11" t="s">
        <v>42</v>
      </c>
      <c r="C33" s="24" t="n">
        <v>0.7975</v>
      </c>
      <c r="I33" s="6" t="s">
        <v>198</v>
      </c>
    </row>
    <row r="34" customFormat="false" ht="15" hidden="false" customHeight="false" outlineLevel="1" collapsed="false">
      <c r="A34" s="4" t="s">
        <v>199</v>
      </c>
      <c r="B34" s="11" t="s">
        <v>42</v>
      </c>
      <c r="C34" s="24" t="n">
        <v>0.7975</v>
      </c>
      <c r="I34" s="6" t="s">
        <v>200</v>
      </c>
    </row>
    <row r="35" customFormat="false" ht="15" hidden="false" customHeight="false" outlineLevel="1" collapsed="false">
      <c r="A35" s="4" t="s">
        <v>201</v>
      </c>
      <c r="B35" s="11" t="s">
        <v>152</v>
      </c>
      <c r="C35" s="21" t="n">
        <v>1835</v>
      </c>
      <c r="I35" s="11" t="s">
        <v>202</v>
      </c>
    </row>
    <row r="36" customFormat="false" ht="15" hidden="false" customHeight="false" outlineLevel="1" collapsed="false">
      <c r="A36" s="4" t="s">
        <v>203</v>
      </c>
      <c r="B36" s="11" t="s">
        <v>152</v>
      </c>
      <c r="C36" s="22" t="n">
        <f aca="false">CHOOSE(輸入與假設!$C$5,輸入與假設!$C$23,輸入與假設!$C$24,輸入與假設!$C$25)</f>
        <v>3025</v>
      </c>
      <c r="I36" s="6" t="s">
        <v>204</v>
      </c>
    </row>
    <row r="37" customFormat="false" ht="15" hidden="false" customHeight="false" outlineLevel="1" collapsed="false">
      <c r="A37" s="3" t="s">
        <v>205</v>
      </c>
      <c r="B37" s="6"/>
      <c r="C37" s="21" t="n">
        <v>1</v>
      </c>
      <c r="I37" s="11" t="s">
        <v>206</v>
      </c>
    </row>
    <row r="38" customFormat="false" ht="15" hidden="false" customHeight="false" outlineLevel="1" collapsed="false">
      <c r="A38" s="3" t="s">
        <v>207</v>
      </c>
      <c r="B38" s="6"/>
      <c r="C38" s="27" t="s">
        <v>208</v>
      </c>
      <c r="I38" s="11" t="s">
        <v>209</v>
      </c>
    </row>
    <row r="39" customFormat="false" ht="15" hidden="false" customHeight="false" outlineLevel="1" collapsed="false">
      <c r="A39" s="3" t="s">
        <v>210</v>
      </c>
      <c r="B39" s="11" t="s">
        <v>42</v>
      </c>
      <c r="C39" s="24" t="n">
        <v>1</v>
      </c>
      <c r="I39" s="6" t="s">
        <v>211</v>
      </c>
    </row>
    <row r="40" customFormat="false" ht="15" hidden="false" customHeight="false" outlineLevel="1" collapsed="false">
      <c r="A40" s="14" t="s">
        <v>53</v>
      </c>
      <c r="B40" s="14" t="s">
        <v>54</v>
      </c>
      <c r="C40" s="28" t="s">
        <v>55</v>
      </c>
      <c r="D40" s="28" t="s">
        <v>56</v>
      </c>
      <c r="E40" s="28" t="s">
        <v>57</v>
      </c>
      <c r="F40" s="28" t="s">
        <v>148</v>
      </c>
      <c r="G40" s="28" t="s">
        <v>149</v>
      </c>
      <c r="I40" s="14" t="s">
        <v>212</v>
      </c>
    </row>
    <row r="41" customFormat="false" ht="15" hidden="false" customHeight="false" outlineLevel="1" collapsed="false">
      <c r="A41" s="3" t="s">
        <v>213</v>
      </c>
      <c r="B41" s="6"/>
      <c r="C41" s="25" t="n">
        <v>0.75</v>
      </c>
      <c r="D41" s="25" t="n">
        <v>1</v>
      </c>
      <c r="E41" s="25" t="n">
        <v>1</v>
      </c>
      <c r="F41" s="25" t="n">
        <v>1</v>
      </c>
      <c r="G41" s="25" t="n">
        <v>1</v>
      </c>
      <c r="I41" s="6" t="s">
        <v>214</v>
      </c>
    </row>
    <row r="42" customFormat="false" ht="15" hidden="false" customHeight="false" outlineLevel="1" collapsed="false">
      <c r="A42" s="4" t="s">
        <v>215</v>
      </c>
      <c r="B42" s="11" t="s">
        <v>42</v>
      </c>
      <c r="C42" s="24" t="n">
        <v>0.0975</v>
      </c>
      <c r="D42" s="24" t="n">
        <v>0.17125</v>
      </c>
      <c r="E42" s="24" t="n">
        <v>0.185</v>
      </c>
      <c r="F42" s="24" t="n">
        <v>0.17375</v>
      </c>
      <c r="G42" s="24" t="n">
        <v>0.17</v>
      </c>
      <c r="H42" s="29" t="n">
        <f aca="false">SUM(C42:G42)</f>
        <v>0.7975</v>
      </c>
      <c r="I42" s="6" t="s">
        <v>216</v>
      </c>
    </row>
    <row r="43" customFormat="false" ht="15" hidden="false" customHeight="false" outlineLevel="1" collapsed="false">
      <c r="A43" s="4" t="s">
        <v>217</v>
      </c>
      <c r="B43" s="11" t="s">
        <v>152</v>
      </c>
      <c r="C43" s="22" t="n">
        <f aca="false">CHOOSE(輸入與假設!$C$5,C11,C14,C17)</f>
        <v>4668</v>
      </c>
      <c r="D43" s="22" t="n">
        <f aca="false">CHOOSE(輸入與假設!$C$5,D11,D14,D17)</f>
        <v>7501</v>
      </c>
      <c r="E43" s="22" t="n">
        <f aca="false">CHOOSE(輸入與假設!$C$5,E11,E14,E17)</f>
        <v>8778</v>
      </c>
      <c r="F43" s="22" t="n">
        <f aca="false">CHOOSE(輸入與假設!$C$5,F11,F14,F17)</f>
        <v>8778</v>
      </c>
      <c r="G43" s="22" t="n">
        <f aca="false">CHOOSE(輸入與假設!$C$5,G11,G14,G17)</f>
        <v>8778</v>
      </c>
      <c r="I43" s="6" t="s">
        <v>218</v>
      </c>
    </row>
    <row r="44" customFormat="false" ht="15" hidden="false" customHeight="false" outlineLevel="1" collapsed="false">
      <c r="A44" s="4" t="s">
        <v>219</v>
      </c>
      <c r="B44" s="11" t="s">
        <v>152</v>
      </c>
      <c r="C44" s="22" t="n">
        <f aca="false">ROUND(輸入與假設!$C$36+(C43-輸入與假設!$C$36)*C21,0)</f>
        <v>3847</v>
      </c>
      <c r="D44" s="22" t="n">
        <f aca="false">ROUND(輸入與假設!$C$36+(D43-輸入與假設!$C$36)*D21,0)</f>
        <v>6606</v>
      </c>
      <c r="E44" s="22" t="n">
        <f aca="false">ROUND(輸入與假設!$C$36+(E43-輸入與假設!$C$36)*E21,0)</f>
        <v>7915</v>
      </c>
      <c r="F44" s="22" t="n">
        <f aca="false">ROUND(輸入與假設!$C$36+(F43-輸入與假設!$C$36)*F21,0)</f>
        <v>8203</v>
      </c>
      <c r="G44" s="22" t="n">
        <f aca="false">ROUND(輸入與假設!$C$36+(G43-輸入與假設!$C$36)*G21,0)</f>
        <v>8203</v>
      </c>
      <c r="I44" s="6" t="s">
        <v>220</v>
      </c>
    </row>
    <row r="45" customFormat="false" ht="15" hidden="false" customHeight="false" outlineLevel="1" collapsed="false">
      <c r="A45" s="3" t="s">
        <v>221</v>
      </c>
      <c r="B45" s="11" t="s">
        <v>42</v>
      </c>
      <c r="C45" s="24" t="n">
        <v>1</v>
      </c>
      <c r="D45" s="24" t="n">
        <v>1</v>
      </c>
      <c r="E45" s="24" t="n">
        <v>1</v>
      </c>
      <c r="F45" s="24" t="n">
        <v>1</v>
      </c>
      <c r="G45" s="24" t="n">
        <v>1</v>
      </c>
      <c r="I45" s="11" t="s">
        <v>222</v>
      </c>
    </row>
    <row r="46" customFormat="false" ht="15" hidden="false" customHeight="false" outlineLevel="1" collapsed="false">
      <c r="A46" s="3" t="s">
        <v>223</v>
      </c>
      <c r="B46" s="11" t="s">
        <v>170</v>
      </c>
      <c r="C46" s="30" t="n">
        <f aca="false">CHOOSE(輸入與假設!$C$5,C18,C19,C20)</f>
        <v>0.00976951578349558</v>
      </c>
      <c r="D46" s="30" t="n">
        <f aca="false">CHOOSE(輸入與假設!$C$5,D18,D19,D20)</f>
        <v>0.0103103123011932</v>
      </c>
      <c r="E46" s="30" t="n">
        <f aca="false">CHOOSE(輸入與假設!$C$5,E18,E19,E20)</f>
        <v>0.010631954862887</v>
      </c>
      <c r="F46" s="30" t="n">
        <f aca="false">CHOOSE(輸入與假設!$C$5,F18,F19,F20)</f>
        <v>0.010734282326708</v>
      </c>
      <c r="G46" s="30" t="n">
        <f aca="false">CHOOSE(輸入與假設!$C$5,G18,G19,G20)</f>
        <v>0.010734282326708</v>
      </c>
      <c r="I46" s="6" t="s">
        <v>224</v>
      </c>
    </row>
    <row r="47" customFormat="false" ht="15" hidden="false" customHeight="false" outlineLevel="1" collapsed="false">
      <c r="A47" s="3" t="s">
        <v>225</v>
      </c>
      <c r="B47" s="11" t="s">
        <v>42</v>
      </c>
      <c r="C47" s="24" t="n">
        <v>1</v>
      </c>
      <c r="D47" s="24" t="n">
        <v>1</v>
      </c>
      <c r="E47" s="24" t="n">
        <v>1</v>
      </c>
      <c r="F47" s="24" t="n">
        <v>1</v>
      </c>
      <c r="G47" s="24" t="n">
        <v>1</v>
      </c>
      <c r="I47" s="11" t="s">
        <v>226</v>
      </c>
    </row>
    <row r="48" customFormat="false" ht="15" hidden="false" customHeight="false" outlineLevel="1" collapsed="false">
      <c r="A48" s="3" t="s">
        <v>227</v>
      </c>
      <c r="B48" s="11" t="s">
        <v>42</v>
      </c>
      <c r="C48" s="24" t="n">
        <v>0.005</v>
      </c>
      <c r="D48" s="24" t="n">
        <v>0.01</v>
      </c>
      <c r="E48" s="24" t="n">
        <v>0.015</v>
      </c>
      <c r="F48" s="24" t="n">
        <v>0.02</v>
      </c>
      <c r="G48" s="24" t="n">
        <v>0.025</v>
      </c>
      <c r="I48" s="6" t="s">
        <v>228</v>
      </c>
    </row>
    <row r="49" customFormat="false" ht="15" hidden="false" customHeight="false" outlineLevel="1" collapsed="false">
      <c r="A49" s="3" t="s">
        <v>229</v>
      </c>
      <c r="B49" s="11" t="s">
        <v>42</v>
      </c>
      <c r="C49" s="24" t="n">
        <v>0.5</v>
      </c>
      <c r="D49" s="24" t="n">
        <v>0.5</v>
      </c>
      <c r="E49" s="24" t="n">
        <v>0.5</v>
      </c>
      <c r="F49" s="24" t="n">
        <v>0.5</v>
      </c>
      <c r="G49" s="24" t="n">
        <v>0.5</v>
      </c>
      <c r="I49" s="11" t="s">
        <v>230</v>
      </c>
    </row>
    <row r="50" customFormat="false" ht="15" hidden="false" customHeight="false" outlineLevel="1" collapsed="false">
      <c r="A50" s="3" t="s">
        <v>231</v>
      </c>
      <c r="B50" s="11" t="s">
        <v>59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I50" s="6" t="s">
        <v>232</v>
      </c>
    </row>
    <row r="51" customFormat="false" ht="15" hidden="false" customHeight="false" outlineLevel="1" collapsed="false">
      <c r="A51" s="3" t="s">
        <v>233</v>
      </c>
      <c r="B51" s="11" t="s">
        <v>59</v>
      </c>
      <c r="C51" s="25" t="n">
        <v>0</v>
      </c>
      <c r="D51" s="25" t="n">
        <v>0</v>
      </c>
      <c r="E51" s="25" t="n">
        <v>0</v>
      </c>
      <c r="F51" s="25" t="n">
        <v>0</v>
      </c>
      <c r="G51" s="25" t="n">
        <v>0</v>
      </c>
      <c r="I51" s="6" t="s">
        <v>234</v>
      </c>
    </row>
    <row r="52" customFormat="false" ht="15" hidden="false" customHeight="false" outlineLevel="1" collapsed="false">
      <c r="A52" s="31" t="s">
        <v>235</v>
      </c>
      <c r="B52" s="20"/>
      <c r="C52" s="20"/>
      <c r="D52" s="20"/>
      <c r="E52" s="20"/>
      <c r="F52" s="20"/>
      <c r="G52" s="20"/>
      <c r="H52" s="20"/>
    </row>
    <row r="53" customFormat="false" ht="15" hidden="false" customHeight="false" outlineLevel="2" collapsed="false">
      <c r="A53" s="3" t="s">
        <v>236</v>
      </c>
      <c r="B53" s="11" t="s">
        <v>59</v>
      </c>
      <c r="C53" s="25" t="n">
        <v>15.888</v>
      </c>
      <c r="I53" s="6" t="s">
        <v>237</v>
      </c>
    </row>
    <row r="54" customFormat="false" ht="15" hidden="false" customHeight="false" outlineLevel="2" collapsed="false">
      <c r="A54" s="3" t="s">
        <v>238</v>
      </c>
      <c r="B54" s="11" t="s">
        <v>59</v>
      </c>
      <c r="C54" s="25" t="n">
        <v>4.219</v>
      </c>
      <c r="I54" s="6" t="s">
        <v>239</v>
      </c>
    </row>
    <row r="55" customFormat="false" ht="15" hidden="false" customHeight="false" outlineLevel="2" collapsed="false">
      <c r="A55" s="3" t="s">
        <v>240</v>
      </c>
      <c r="B55" s="11" t="s">
        <v>42</v>
      </c>
      <c r="C55" s="24" t="n">
        <v>0.1111</v>
      </c>
      <c r="I55" s="6" t="s">
        <v>241</v>
      </c>
    </row>
    <row r="56" customFormat="false" ht="15" hidden="false" customHeight="false" outlineLevel="2" collapsed="false">
      <c r="A56" s="3" t="s">
        <v>242</v>
      </c>
      <c r="B56" s="11" t="s">
        <v>42</v>
      </c>
      <c r="C56" s="24" t="n">
        <v>0.08</v>
      </c>
      <c r="I56" s="6" t="s">
        <v>243</v>
      </c>
    </row>
    <row r="57" customFormat="false" ht="15" hidden="false" customHeight="false" outlineLevel="2" collapsed="false">
      <c r="A57" s="3" t="s">
        <v>244</v>
      </c>
      <c r="B57" s="11" t="s">
        <v>42</v>
      </c>
      <c r="C57" s="32" t="n">
        <f aca="false">輸入與假設!$C$55+(輸入與假設!$C$56-輸入與假設!$C$55)*0/4</f>
        <v>0.1111</v>
      </c>
      <c r="D57" s="32" t="n">
        <f aca="false">輸入與假設!$C$55+(輸入與假設!$C$56-輸入與假設!$C$55)*1/4</f>
        <v>0.103325</v>
      </c>
      <c r="E57" s="32" t="n">
        <f aca="false">輸入與假設!$C$55+(輸入與假設!$C$56-輸入與假設!$C$55)*2/4</f>
        <v>0.09555</v>
      </c>
      <c r="F57" s="32" t="n">
        <f aca="false">輸入與假設!$C$55+(輸入與假設!$C$56-輸入與假設!$C$55)*3/4</f>
        <v>0.087775</v>
      </c>
      <c r="G57" s="32" t="n">
        <f aca="false">輸入與假設!$C$55+(輸入與假設!$C$56-輸入與假設!$C$55)*4/4</f>
        <v>0.08</v>
      </c>
      <c r="I57" s="6" t="s">
        <v>245</v>
      </c>
    </row>
    <row r="58" customFormat="false" ht="15" hidden="false" customHeight="false" outlineLevel="2" collapsed="false">
      <c r="A58" s="3" t="s">
        <v>246</v>
      </c>
      <c r="B58" s="11" t="s">
        <v>59</v>
      </c>
      <c r="C58" s="33" t="n">
        <f aca="false">輸入與假設!$C$53*(1+C57)</f>
        <v>17.6531568</v>
      </c>
      <c r="D58" s="33" t="n">
        <f aca="false">C58*(1+D57)</f>
        <v>19.47716922636</v>
      </c>
      <c r="E58" s="33" t="n">
        <f aca="false">D58*(1+E57)</f>
        <v>21.3382127459387</v>
      </c>
      <c r="F58" s="33" t="n">
        <f aca="false">E58*(1+F57)</f>
        <v>23.2111743697135</v>
      </c>
      <c r="G58" s="33" t="n">
        <f aca="false">F58*(1+G57)</f>
        <v>25.0680683192905</v>
      </c>
      <c r="I58" s="6" t="s">
        <v>247</v>
      </c>
    </row>
    <row r="59" customFormat="false" ht="15" hidden="false" customHeight="false" outlineLevel="2" collapsed="false">
      <c r="A59" s="3" t="s">
        <v>248</v>
      </c>
      <c r="B59" s="11" t="s">
        <v>59</v>
      </c>
      <c r="C59" s="33" t="n">
        <f aca="false">C58-輸入與假設!$C$54</f>
        <v>13.4341568</v>
      </c>
      <c r="D59" s="33" t="n">
        <f aca="false">D58</f>
        <v>19.47716922636</v>
      </c>
      <c r="E59" s="33" t="n">
        <f aca="false">E58</f>
        <v>21.3382127459387</v>
      </c>
      <c r="F59" s="33" t="n">
        <f aca="false">F58</f>
        <v>23.2111743697135</v>
      </c>
      <c r="G59" s="33" t="n">
        <f aca="false">G58</f>
        <v>25.0680683192905</v>
      </c>
      <c r="I59" s="11" t="s">
        <v>249</v>
      </c>
    </row>
    <row r="60" customFormat="false" ht="15" hidden="false" customHeight="false" outlineLevel="2" collapsed="false">
      <c r="A60" s="3" t="s">
        <v>250</v>
      </c>
      <c r="B60" s="11" t="s">
        <v>59</v>
      </c>
      <c r="C60" s="25" t="n">
        <v>24.541</v>
      </c>
      <c r="I60" s="6" t="s">
        <v>237</v>
      </c>
    </row>
    <row r="61" customFormat="false" ht="15" hidden="false" customHeight="false" outlineLevel="2" collapsed="false">
      <c r="A61" s="3" t="s">
        <v>251</v>
      </c>
      <c r="B61" s="11" t="s">
        <v>59</v>
      </c>
      <c r="C61" s="25" t="n">
        <v>5.55</v>
      </c>
      <c r="I61" s="6" t="s">
        <v>239</v>
      </c>
    </row>
    <row r="62" customFormat="false" ht="15" hidden="false" customHeight="false" outlineLevel="2" collapsed="false">
      <c r="A62" s="3" t="s">
        <v>252</v>
      </c>
      <c r="B62" s="11" t="s">
        <v>42</v>
      </c>
      <c r="C62" s="24" t="n">
        <v>-0.0125</v>
      </c>
      <c r="I62" s="6" t="s">
        <v>241</v>
      </c>
    </row>
    <row r="63" customFormat="false" ht="15" hidden="false" customHeight="false" outlineLevel="2" collapsed="false">
      <c r="A63" s="3" t="s">
        <v>253</v>
      </c>
      <c r="B63" s="11" t="s">
        <v>42</v>
      </c>
      <c r="C63" s="24" t="n">
        <v>-0.01</v>
      </c>
      <c r="I63" s="6" t="s">
        <v>243</v>
      </c>
    </row>
    <row r="64" customFormat="false" ht="15" hidden="false" customHeight="false" outlineLevel="2" collapsed="false">
      <c r="A64" s="3" t="s">
        <v>254</v>
      </c>
      <c r="B64" s="11" t="s">
        <v>42</v>
      </c>
      <c r="C64" s="32" t="n">
        <f aca="false">輸入與假設!$C$62+(輸入與假設!$C$63-輸入與假設!$C$62)*0/4</f>
        <v>-0.0125</v>
      </c>
      <c r="D64" s="32" t="n">
        <f aca="false">輸入與假設!$C$62+(輸入與假設!$C$63-輸入與假設!$C$62)*1/4</f>
        <v>-0.011875</v>
      </c>
      <c r="E64" s="32" t="n">
        <f aca="false">輸入與假設!$C$62+(輸入與假設!$C$63-輸入與假設!$C$62)*2/4</f>
        <v>-0.01125</v>
      </c>
      <c r="F64" s="32" t="n">
        <f aca="false">輸入與假設!$C$62+(輸入與假設!$C$63-輸入與假設!$C$62)*3/4</f>
        <v>-0.010625</v>
      </c>
      <c r="G64" s="32" t="n">
        <f aca="false">輸入與假設!$C$62+(輸入與假設!$C$63-輸入與假設!$C$62)*4/4</f>
        <v>-0.01</v>
      </c>
      <c r="I64" s="6" t="s">
        <v>245</v>
      </c>
    </row>
    <row r="65" customFormat="false" ht="15" hidden="false" customHeight="false" outlineLevel="2" collapsed="false">
      <c r="A65" s="3" t="s">
        <v>255</v>
      </c>
      <c r="B65" s="11" t="s">
        <v>59</v>
      </c>
      <c r="C65" s="33" t="n">
        <f aca="false">輸入與假設!$C$60*(1+C64)</f>
        <v>24.2342375</v>
      </c>
      <c r="D65" s="33" t="n">
        <f aca="false">C65*(1+D64)</f>
        <v>23.9464559296875</v>
      </c>
      <c r="E65" s="33" t="n">
        <f aca="false">D65*(1+E64)</f>
        <v>23.6770583004785</v>
      </c>
      <c r="F65" s="33" t="n">
        <f aca="false">E65*(1+F64)</f>
        <v>23.4254895560359</v>
      </c>
      <c r="G65" s="33" t="n">
        <f aca="false">F65*(1+G64)</f>
        <v>23.1912346604756</v>
      </c>
      <c r="I65" s="6" t="s">
        <v>247</v>
      </c>
    </row>
    <row r="66" customFormat="false" ht="15" hidden="false" customHeight="false" outlineLevel="2" collapsed="false">
      <c r="A66" s="3" t="s">
        <v>256</v>
      </c>
      <c r="B66" s="11" t="s">
        <v>59</v>
      </c>
      <c r="C66" s="33" t="n">
        <f aca="false">C65-輸入與假設!$C$61</f>
        <v>18.6842375</v>
      </c>
      <c r="D66" s="33" t="n">
        <f aca="false">D65</f>
        <v>23.9464559296875</v>
      </c>
      <c r="E66" s="33" t="n">
        <f aca="false">E65</f>
        <v>23.6770583004785</v>
      </c>
      <c r="F66" s="33" t="n">
        <f aca="false">F65</f>
        <v>23.4254895560359</v>
      </c>
      <c r="G66" s="33" t="n">
        <f aca="false">G65</f>
        <v>23.1912346604756</v>
      </c>
      <c r="I66" s="11" t="s">
        <v>249</v>
      </c>
    </row>
    <row r="67" customFormat="false" ht="15" hidden="false" customHeight="false" outlineLevel="2" collapsed="false">
      <c r="A67" s="3" t="s">
        <v>257</v>
      </c>
      <c r="B67" s="11" t="s">
        <v>59</v>
      </c>
      <c r="C67" s="25" t="n">
        <v>3.084</v>
      </c>
      <c r="I67" s="6" t="s">
        <v>237</v>
      </c>
    </row>
    <row r="68" customFormat="false" ht="15" hidden="false" customHeight="false" outlineLevel="2" collapsed="false">
      <c r="A68" s="3" t="s">
        <v>258</v>
      </c>
      <c r="B68" s="11" t="s">
        <v>59</v>
      </c>
      <c r="C68" s="25" t="n">
        <v>0.774</v>
      </c>
      <c r="I68" s="6" t="s">
        <v>239</v>
      </c>
    </row>
    <row r="69" customFormat="false" ht="15" hidden="false" customHeight="false" outlineLevel="2" collapsed="false">
      <c r="A69" s="3" t="s">
        <v>259</v>
      </c>
      <c r="B69" s="11" t="s">
        <v>42</v>
      </c>
      <c r="C69" s="24" t="n">
        <v>0.0803</v>
      </c>
      <c r="I69" s="6" t="s">
        <v>241</v>
      </c>
    </row>
    <row r="70" customFormat="false" ht="15" hidden="false" customHeight="false" outlineLevel="2" collapsed="false">
      <c r="A70" s="3" t="s">
        <v>260</v>
      </c>
      <c r="B70" s="11" t="s">
        <v>42</v>
      </c>
      <c r="C70" s="24" t="n">
        <v>0</v>
      </c>
      <c r="I70" s="6" t="s">
        <v>243</v>
      </c>
    </row>
    <row r="71" customFormat="false" ht="15" hidden="false" customHeight="false" outlineLevel="2" collapsed="false">
      <c r="A71" s="3" t="s">
        <v>261</v>
      </c>
      <c r="B71" s="11" t="s">
        <v>42</v>
      </c>
      <c r="C71" s="32" t="n">
        <f aca="false">輸入與假設!$C$69+(輸入與假設!$C$70-輸入與假設!$C$69)*0/4</f>
        <v>0.0803</v>
      </c>
      <c r="D71" s="32" t="n">
        <f aca="false">輸入與假設!$C$69+(輸入與假設!$C$70-輸入與假設!$C$69)*1/4</f>
        <v>0.060225</v>
      </c>
      <c r="E71" s="32" t="n">
        <f aca="false">輸入與假設!$C$69+(輸入與假設!$C$70-輸入與假設!$C$69)*2/4</f>
        <v>0.04015</v>
      </c>
      <c r="F71" s="32" t="n">
        <f aca="false">輸入與假設!$C$69+(輸入與假設!$C$70-輸入與假設!$C$69)*3/4</f>
        <v>0.020075</v>
      </c>
      <c r="G71" s="32" t="n">
        <f aca="false">輸入與假設!$C$69+(輸入與假設!$C$70-輸入與假設!$C$69)*4/4</f>
        <v>0</v>
      </c>
      <c r="I71" s="6" t="s">
        <v>245</v>
      </c>
    </row>
    <row r="72" customFormat="false" ht="15" hidden="false" customHeight="false" outlineLevel="2" collapsed="false">
      <c r="A72" s="3" t="s">
        <v>262</v>
      </c>
      <c r="B72" s="11" t="s">
        <v>59</v>
      </c>
      <c r="C72" s="33" t="n">
        <f aca="false">輸入與假設!$C$67*(1+C71)</f>
        <v>3.3316452</v>
      </c>
      <c r="D72" s="33" t="n">
        <f aca="false">C72*(1+D71)</f>
        <v>3.53229353217</v>
      </c>
      <c r="E72" s="33" t="n">
        <f aca="false">D72*(1+E71)</f>
        <v>3.67411511748663</v>
      </c>
      <c r="F72" s="33" t="n">
        <f aca="false">E72*(1+F71)</f>
        <v>3.74787297847017</v>
      </c>
      <c r="G72" s="33" t="n">
        <f aca="false">F72*(1+G71)</f>
        <v>3.74787297847017</v>
      </c>
      <c r="I72" s="6" t="s">
        <v>247</v>
      </c>
    </row>
    <row r="73" customFormat="false" ht="15" hidden="false" customHeight="false" outlineLevel="2" collapsed="false">
      <c r="A73" s="3" t="s">
        <v>263</v>
      </c>
      <c r="B73" s="11" t="s">
        <v>59</v>
      </c>
      <c r="C73" s="33" t="n">
        <f aca="false">C72-輸入與假設!$C$68</f>
        <v>2.5576452</v>
      </c>
      <c r="D73" s="33" t="n">
        <f aca="false">D72</f>
        <v>3.53229353217</v>
      </c>
      <c r="E73" s="33" t="n">
        <f aca="false">E72</f>
        <v>3.67411511748663</v>
      </c>
      <c r="F73" s="33" t="n">
        <f aca="false">F72</f>
        <v>3.74787297847017</v>
      </c>
      <c r="G73" s="33" t="n">
        <f aca="false">G72</f>
        <v>3.74787297847017</v>
      </c>
      <c r="I73" s="11" t="s">
        <v>249</v>
      </c>
    </row>
    <row r="74" customFormat="false" ht="15" hidden="false" customHeight="false" outlineLevel="2" collapsed="false">
      <c r="A74" s="3" t="s">
        <v>264</v>
      </c>
      <c r="B74" s="11" t="s">
        <v>59</v>
      </c>
      <c r="C74" s="25" t="n">
        <v>5.743</v>
      </c>
      <c r="I74" s="6" t="s">
        <v>237</v>
      </c>
    </row>
    <row r="75" customFormat="false" ht="15" hidden="false" customHeight="false" outlineLevel="2" collapsed="false">
      <c r="A75" s="3" t="s">
        <v>265</v>
      </c>
      <c r="B75" s="11" t="s">
        <v>59</v>
      </c>
      <c r="C75" s="25" t="n">
        <v>1.414</v>
      </c>
      <c r="I75" s="6" t="s">
        <v>239</v>
      </c>
    </row>
    <row r="76" customFormat="false" ht="15" hidden="false" customHeight="false" outlineLevel="2" collapsed="false">
      <c r="A76" s="3" t="s">
        <v>266</v>
      </c>
      <c r="B76" s="11" t="s">
        <v>42</v>
      </c>
      <c r="C76" s="24" t="n">
        <v>0.0921</v>
      </c>
      <c r="I76" s="6" t="s">
        <v>241</v>
      </c>
    </row>
    <row r="77" customFormat="false" ht="15" hidden="false" customHeight="false" outlineLevel="2" collapsed="false">
      <c r="A77" s="3" t="s">
        <v>267</v>
      </c>
      <c r="B77" s="11" t="s">
        <v>42</v>
      </c>
      <c r="C77" s="24" t="n">
        <v>0.03</v>
      </c>
      <c r="I77" s="6" t="s">
        <v>243</v>
      </c>
    </row>
    <row r="78" customFormat="false" ht="15" hidden="false" customHeight="false" outlineLevel="2" collapsed="false">
      <c r="A78" s="3" t="s">
        <v>268</v>
      </c>
      <c r="B78" s="11" t="s">
        <v>42</v>
      </c>
      <c r="C78" s="32" t="n">
        <f aca="false">輸入與假設!$C$76+(輸入與假設!$C$77-輸入與假設!$C$76)*0/4</f>
        <v>0.0921</v>
      </c>
      <c r="D78" s="32" t="n">
        <f aca="false">輸入與假設!$C$76+(輸入與假設!$C$77-輸入與假設!$C$76)*1/4</f>
        <v>0.076575</v>
      </c>
      <c r="E78" s="32" t="n">
        <f aca="false">輸入與假設!$C$76+(輸入與假設!$C$77-輸入與假設!$C$76)*2/4</f>
        <v>0.06105</v>
      </c>
      <c r="F78" s="32" t="n">
        <f aca="false">輸入與假設!$C$76+(輸入與假設!$C$77-輸入與假設!$C$76)*3/4</f>
        <v>0.045525</v>
      </c>
      <c r="G78" s="32" t="n">
        <f aca="false">輸入與假設!$C$76+(輸入與假設!$C$77-輸入與假設!$C$76)*4/4</f>
        <v>0.03</v>
      </c>
      <c r="I78" s="6" t="s">
        <v>245</v>
      </c>
    </row>
    <row r="79" customFormat="false" ht="15" hidden="false" customHeight="false" outlineLevel="2" collapsed="false">
      <c r="A79" s="3" t="s">
        <v>269</v>
      </c>
      <c r="B79" s="11" t="s">
        <v>59</v>
      </c>
      <c r="C79" s="33" t="n">
        <f aca="false">輸入與假設!$C$74*(1+C78)</f>
        <v>6.2719303</v>
      </c>
      <c r="D79" s="33" t="n">
        <f aca="false">C79*(1+D78)</f>
        <v>6.7522033627225</v>
      </c>
      <c r="E79" s="33" t="n">
        <f aca="false">D79*(1+E78)</f>
        <v>7.16442537801671</v>
      </c>
      <c r="F79" s="33" t="n">
        <f aca="false">E79*(1+F78)</f>
        <v>7.49058584335092</v>
      </c>
      <c r="G79" s="33" t="n">
        <f aca="false">F79*(1+G78)</f>
        <v>7.71530341865145</v>
      </c>
      <c r="I79" s="6" t="s">
        <v>247</v>
      </c>
    </row>
    <row r="80" customFormat="false" ht="15" hidden="false" customHeight="false" outlineLevel="2" collapsed="false">
      <c r="A80" s="3" t="s">
        <v>270</v>
      </c>
      <c r="B80" s="11" t="s">
        <v>59</v>
      </c>
      <c r="C80" s="33" t="n">
        <f aca="false">C79-輸入與假設!$C$75</f>
        <v>4.8579303</v>
      </c>
      <c r="D80" s="33" t="n">
        <f aca="false">D79</f>
        <v>6.7522033627225</v>
      </c>
      <c r="E80" s="33" t="n">
        <f aca="false">E79</f>
        <v>7.16442537801671</v>
      </c>
      <c r="F80" s="33" t="n">
        <f aca="false">F79</f>
        <v>7.49058584335092</v>
      </c>
      <c r="G80" s="33" t="n">
        <f aca="false">G79</f>
        <v>7.71530341865145</v>
      </c>
      <c r="I80" s="11" t="s">
        <v>249</v>
      </c>
    </row>
    <row r="81" customFormat="false" ht="15" hidden="false" customHeight="false" outlineLevel="2" collapsed="false">
      <c r="A81" s="3" t="s">
        <v>271</v>
      </c>
      <c r="B81" s="11" t="s">
        <v>59</v>
      </c>
      <c r="C81" s="33" t="n">
        <f aca="false">C59+C66+C73+C80</f>
        <v>39.5339698</v>
      </c>
      <c r="D81" s="33" t="n">
        <f aca="false">D59+D66+D73+D80</f>
        <v>53.70812205094</v>
      </c>
      <c r="E81" s="33" t="n">
        <f aca="false">E59+E66+E73+E80</f>
        <v>55.8538115419205</v>
      </c>
      <c r="F81" s="33" t="n">
        <f aca="false">F59+F66+F73+F80</f>
        <v>57.8751227475705</v>
      </c>
      <c r="G81" s="33" t="n">
        <f aca="false">G59+G66+G73+G80</f>
        <v>59.7224793768877</v>
      </c>
      <c r="I81" s="6" t="s">
        <v>272</v>
      </c>
    </row>
    <row r="82" customFormat="false" ht="15" hidden="false" customHeight="false" outlineLevel="2" collapsed="false">
      <c r="A82" s="3" t="s">
        <v>273</v>
      </c>
      <c r="B82" s="11" t="s">
        <v>42</v>
      </c>
      <c r="C82" s="24" t="n">
        <v>0.5426</v>
      </c>
      <c r="D82" s="24" t="n">
        <v>0.5426</v>
      </c>
      <c r="E82" s="24" t="n">
        <v>0.5426</v>
      </c>
      <c r="F82" s="24" t="n">
        <v>0.5426</v>
      </c>
      <c r="G82" s="24" t="n">
        <v>0.5426</v>
      </c>
      <c r="I82" s="11" t="s">
        <v>274</v>
      </c>
    </row>
    <row r="83" customFormat="false" ht="15" hidden="false" customHeight="false" outlineLevel="2" collapsed="false">
      <c r="A83" s="3" t="s">
        <v>275</v>
      </c>
      <c r="B83" s="11" t="s">
        <v>59</v>
      </c>
      <c r="C83" s="33" t="n">
        <f aca="false">C81*C82</f>
        <v>21.45113201348</v>
      </c>
      <c r="D83" s="33" t="n">
        <f aca="false">D81*D82</f>
        <v>29.14202702484</v>
      </c>
      <c r="E83" s="33" t="n">
        <f aca="false">E81*E82</f>
        <v>30.3062781426461</v>
      </c>
      <c r="F83" s="33" t="n">
        <f aca="false">F81*F82</f>
        <v>31.4030416028317</v>
      </c>
      <c r="G83" s="33" t="n">
        <f aca="false">G81*G82</f>
        <v>32.4054173098993</v>
      </c>
      <c r="I83" s="6" t="s">
        <v>276</v>
      </c>
    </row>
    <row r="84" customFormat="false" ht="15" hidden="false" customHeight="false" outlineLevel="2" collapsed="false">
      <c r="A84" s="3" t="s">
        <v>277</v>
      </c>
      <c r="B84" s="11" t="s">
        <v>59</v>
      </c>
      <c r="C84" s="33" t="n">
        <f aca="false">輸入與假設!$C$54+C59-C58+輸入與假設!$C$61+C66-C65+輸入與假設!$C$68+C73-C72+輸入與假設!$C$75+C80-C79</f>
        <v>0</v>
      </c>
      <c r="I84" s="6" t="s">
        <v>278</v>
      </c>
    </row>
    <row r="86" customFormat="false" ht="15" hidden="false" customHeight="false" outlineLevel="0" collapsed="false">
      <c r="A86" s="7" t="s">
        <v>279</v>
      </c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1" collapsed="false">
      <c r="A87" s="3" t="s">
        <v>280</v>
      </c>
      <c r="B87" s="11" t="s">
        <v>42</v>
      </c>
      <c r="C87" s="34" t="n">
        <v>0.652</v>
      </c>
      <c r="I87" s="11" t="s">
        <v>281</v>
      </c>
    </row>
    <row r="88" customFormat="false" ht="15" hidden="false" customHeight="false" outlineLevel="1" collapsed="false">
      <c r="A88" s="3" t="s">
        <v>282</v>
      </c>
      <c r="B88" s="11" t="s">
        <v>42</v>
      </c>
      <c r="C88" s="34" t="n">
        <v>0.47</v>
      </c>
      <c r="I88" s="6" t="s">
        <v>283</v>
      </c>
    </row>
    <row r="89" customFormat="false" ht="15" hidden="false" customHeight="false" outlineLevel="1" collapsed="false">
      <c r="A89" s="3" t="s">
        <v>284</v>
      </c>
      <c r="B89" s="11" t="s">
        <v>42</v>
      </c>
      <c r="C89" s="24" t="n">
        <v>0.244247</v>
      </c>
      <c r="I89" s="11" t="s">
        <v>285</v>
      </c>
    </row>
    <row r="90" customFormat="false" ht="15" hidden="false" customHeight="false" outlineLevel="1" collapsed="false">
      <c r="A90" s="3" t="s">
        <v>286</v>
      </c>
      <c r="B90" s="11" t="s">
        <v>42</v>
      </c>
      <c r="C90" s="24" t="n">
        <v>0.249862</v>
      </c>
      <c r="I90" s="6" t="s">
        <v>287</v>
      </c>
    </row>
    <row r="91" customFormat="false" ht="15" hidden="false" customHeight="false" outlineLevel="1" collapsed="false">
      <c r="A91" s="14" t="s">
        <v>53</v>
      </c>
      <c r="B91" s="14" t="s">
        <v>54</v>
      </c>
      <c r="C91" s="28" t="s">
        <v>55</v>
      </c>
      <c r="D91" s="28" t="s">
        <v>56</v>
      </c>
      <c r="E91" s="28" t="s">
        <v>57</v>
      </c>
      <c r="F91" s="28" t="s">
        <v>148</v>
      </c>
      <c r="G91" s="28" t="s">
        <v>149</v>
      </c>
      <c r="I91" s="14" t="s">
        <v>212</v>
      </c>
    </row>
    <row r="92" customFormat="false" ht="15" hidden="false" customHeight="false" outlineLevel="1" collapsed="false">
      <c r="A92" s="4" t="s">
        <v>288</v>
      </c>
      <c r="B92" s="11" t="s">
        <v>42</v>
      </c>
      <c r="C92" s="32" t="n">
        <f aca="false">輸入與假設!$C$87+輸入與假設!$C$89+(輸入與假設!$C$88+輸入與假設!$C$90-輸入與假設!$C$87-輸入與假設!$C$89)*0/4</f>
        <v>0.896247</v>
      </c>
      <c r="D92" s="32" t="n">
        <f aca="false">輸入與假設!$C$87+輸入與假設!$C$89+(輸入與假設!$C$88+輸入與假設!$C$90-輸入與假設!$C$87-輸入與假設!$C$89)*1/4</f>
        <v>0.85215075</v>
      </c>
      <c r="E92" s="32" t="n">
        <f aca="false">輸入與假設!$C$87+輸入與假設!$C$89+(輸入與假設!$C$88+輸入與假設!$C$90-輸入與假設!$C$87-輸入與假設!$C$89)*2/4</f>
        <v>0.8080545</v>
      </c>
      <c r="F92" s="32" t="n">
        <f aca="false">輸入與假設!$C$87+輸入與假設!$C$89+(輸入與假設!$C$88+輸入與假設!$C$90-輸入與假設!$C$87-輸入與假設!$C$89)*3/4</f>
        <v>0.76395825</v>
      </c>
      <c r="G92" s="32" t="n">
        <f aca="false">輸入與假設!$C$87+輸入與假設!$C$89+(輸入與假設!$C$88+輸入與假設!$C$90-輸入與假設!$C$87-輸入與假設!$C$89)*4/4</f>
        <v>0.719862</v>
      </c>
      <c r="I92" s="6" t="s">
        <v>289</v>
      </c>
    </row>
    <row r="93" customFormat="false" ht="15" hidden="false" customHeight="false" outlineLevel="1" collapsed="false">
      <c r="A93" s="4" t="s">
        <v>290</v>
      </c>
      <c r="B93" s="11" t="s">
        <v>42</v>
      </c>
      <c r="C93" s="32" t="n">
        <f aca="false">C92-各期收支!C16/MAX(0.01,運營_產能與收入!C38)</f>
        <v>0.665750202421047</v>
      </c>
      <c r="D93" s="32" t="n">
        <f aca="false">D92-各期收支!D16/MAX(0.01,運營_產能與收入!D38)</f>
        <v>0.592790430882978</v>
      </c>
      <c r="E93" s="32" t="n">
        <f aca="false">E92-各期收支!E16/MAX(0.01,運營_產能與收入!E38)</f>
        <v>0.545040677318869</v>
      </c>
      <c r="F93" s="32" t="n">
        <f aca="false">F92-各期收支!F16/MAX(0.01,運營_產能與收入!F38)</f>
        <v>0.503219298856464</v>
      </c>
      <c r="G93" s="32" t="n">
        <f aca="false">G92-各期收支!G16/MAX(0.01,運營_產能與收入!G38)</f>
        <v>0.468898631320656</v>
      </c>
      <c r="I93" s="6" t="s">
        <v>291</v>
      </c>
    </row>
    <row r="94" customFormat="false" ht="15" hidden="false" customHeight="false" outlineLevel="1" collapsed="false">
      <c r="A94" s="3" t="s">
        <v>292</v>
      </c>
      <c r="B94" s="11" t="s">
        <v>59</v>
      </c>
      <c r="C94" s="33" t="n">
        <f aca="false">輸入與假設!C$50*運營_產能與收入!C39</f>
        <v>0</v>
      </c>
      <c r="D94" s="33" t="n">
        <f aca="false">輸入與假設!D$50*運營_產能與收入!D39</f>
        <v>0</v>
      </c>
      <c r="E94" s="33" t="n">
        <f aca="false">輸入與假設!E$50*運營_產能與收入!E39</f>
        <v>0</v>
      </c>
      <c r="F94" s="33" t="n">
        <f aca="false">輸入與假設!F$50*運營_產能與收入!F39</f>
        <v>0</v>
      </c>
      <c r="G94" s="33" t="n">
        <f aca="false">輸入與假設!G$50*運營_產能與收入!G39</f>
        <v>0</v>
      </c>
      <c r="I94" s="6" t="s">
        <v>293</v>
      </c>
    </row>
    <row r="95" customFormat="false" ht="15" hidden="false" customHeight="false" outlineLevel="1" collapsed="true">
      <c r="A95" s="19" t="s">
        <v>294</v>
      </c>
      <c r="B95" s="20"/>
      <c r="C95" s="20"/>
      <c r="D95" s="20"/>
      <c r="E95" s="20"/>
      <c r="F95" s="20"/>
      <c r="G95" s="20"/>
      <c r="H95" s="20"/>
    </row>
    <row r="96" customFormat="false" ht="15" hidden="true" customHeight="false" outlineLevel="2" collapsed="false">
      <c r="A96" s="3" t="s">
        <v>295</v>
      </c>
      <c r="B96" s="6"/>
      <c r="C96" s="21" t="n">
        <v>0</v>
      </c>
      <c r="I96" s="11" t="s">
        <v>296</v>
      </c>
    </row>
    <row r="97" customFormat="false" ht="15" hidden="true" customHeight="false" outlineLevel="2" collapsed="false">
      <c r="A97" s="3" t="s">
        <v>297</v>
      </c>
      <c r="B97" s="11" t="s">
        <v>298</v>
      </c>
      <c r="C97" s="21" t="n">
        <v>60</v>
      </c>
      <c r="D97" s="21" t="n">
        <v>62</v>
      </c>
      <c r="E97" s="21" t="n">
        <v>64</v>
      </c>
      <c r="F97" s="21" t="n">
        <v>66</v>
      </c>
      <c r="G97" s="21" t="n">
        <v>68</v>
      </c>
      <c r="I97" s="11" t="s">
        <v>299</v>
      </c>
    </row>
    <row r="98" customFormat="false" ht="15" hidden="true" customHeight="false" outlineLevel="2" collapsed="false">
      <c r="A98" s="4" t="s">
        <v>300</v>
      </c>
      <c r="B98" s="6"/>
      <c r="C98" s="35" t="n">
        <v>1.2</v>
      </c>
      <c r="D98" s="35" t="n">
        <v>1.2</v>
      </c>
      <c r="E98" s="35" t="n">
        <v>1.2</v>
      </c>
      <c r="F98" s="35" t="n">
        <v>1.2</v>
      </c>
      <c r="G98" s="35" t="n">
        <v>1.2</v>
      </c>
      <c r="I98" s="11" t="s">
        <v>299</v>
      </c>
    </row>
    <row r="99" customFormat="false" ht="15" hidden="true" customHeight="false" outlineLevel="2" collapsed="false">
      <c r="A99" s="3" t="s">
        <v>301</v>
      </c>
      <c r="B99" s="11" t="s">
        <v>302</v>
      </c>
      <c r="C99" s="35" t="n">
        <v>0.15</v>
      </c>
      <c r="D99" s="35" t="n">
        <v>0.15</v>
      </c>
      <c r="E99" s="35" t="n">
        <v>0.16</v>
      </c>
      <c r="F99" s="35" t="n">
        <v>0.16</v>
      </c>
      <c r="G99" s="35" t="n">
        <v>0.17</v>
      </c>
      <c r="I99" s="11" t="s">
        <v>299</v>
      </c>
    </row>
    <row r="101" customFormat="false" ht="15" hidden="false" customHeight="false" outlineLevel="0" collapsed="false">
      <c r="A101" s="7" t="s">
        <v>303</v>
      </c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1" collapsed="false">
      <c r="A102" s="3" t="s">
        <v>304</v>
      </c>
      <c r="B102" s="11" t="s">
        <v>42</v>
      </c>
      <c r="C102" s="24" t="n">
        <v>0.35</v>
      </c>
      <c r="I102" s="6" t="s">
        <v>305</v>
      </c>
    </row>
    <row r="103" customFormat="false" ht="15" hidden="false" customHeight="false" outlineLevel="1" collapsed="false">
      <c r="A103" s="4" t="s">
        <v>306</v>
      </c>
      <c r="B103" s="11" t="s">
        <v>152</v>
      </c>
      <c r="C103" s="22" t="n">
        <f aca="false">CHOOSE(輸入與假設!$C$5,I11,I14,I17)</f>
        <v>0</v>
      </c>
      <c r="I103" s="6" t="s">
        <v>307</v>
      </c>
    </row>
    <row r="104" customFormat="false" ht="15" hidden="false" customHeight="false" outlineLevel="1" collapsed="false">
      <c r="A104" s="4" t="s">
        <v>308</v>
      </c>
      <c r="B104" s="11" t="s">
        <v>59</v>
      </c>
      <c r="C104" s="25" t="n">
        <v>90</v>
      </c>
      <c r="I104" s="6" t="s">
        <v>309</v>
      </c>
    </row>
    <row r="105" customFormat="false" ht="15" hidden="false" customHeight="false" outlineLevel="1" collapsed="false">
      <c r="A105" s="4" t="s">
        <v>310</v>
      </c>
      <c r="B105" s="6" t="s">
        <v>190</v>
      </c>
      <c r="C105" s="36" t="n">
        <f aca="false">TK_DeprLifeIT_GB300</f>
        <v>6</v>
      </c>
      <c r="I105" s="6" t="s">
        <v>311</v>
      </c>
    </row>
    <row r="106" customFormat="false" ht="15" hidden="false" customHeight="false" outlineLevel="1" collapsed="false">
      <c r="A106" s="4" t="s">
        <v>312</v>
      </c>
      <c r="B106" s="11" t="s">
        <v>59</v>
      </c>
      <c r="C106" s="25" t="n">
        <v>75.74</v>
      </c>
      <c r="I106" s="6" t="s">
        <v>313</v>
      </c>
    </row>
    <row r="107" customFormat="false" ht="15" hidden="false" customHeight="false" outlineLevel="1" collapsed="false">
      <c r="A107" s="3" t="s">
        <v>314</v>
      </c>
      <c r="B107" s="11" t="s">
        <v>42</v>
      </c>
      <c r="C107" s="24" t="n">
        <v>1</v>
      </c>
      <c r="I107" s="6" t="s">
        <v>315</v>
      </c>
    </row>
    <row r="108" customFormat="false" ht="15" hidden="false" customHeight="false" outlineLevel="1" collapsed="false">
      <c r="A108" s="14" t="s">
        <v>53</v>
      </c>
      <c r="B108" s="14" t="s">
        <v>54</v>
      </c>
      <c r="C108" s="28" t="s">
        <v>55</v>
      </c>
      <c r="D108" s="28" t="s">
        <v>56</v>
      </c>
      <c r="E108" s="28" t="s">
        <v>57</v>
      </c>
      <c r="F108" s="28" t="s">
        <v>148</v>
      </c>
      <c r="G108" s="28" t="s">
        <v>149</v>
      </c>
      <c r="I108" s="14" t="s">
        <v>212</v>
      </c>
    </row>
    <row r="109" customFormat="false" ht="15" hidden="false" customHeight="false" outlineLevel="1" collapsed="false">
      <c r="A109" s="3" t="s">
        <v>316</v>
      </c>
      <c r="B109" s="11" t="s">
        <v>302</v>
      </c>
      <c r="C109" s="37" t="n">
        <f aca="false">每MW收入_錨定!C24*TK_CapexIT_H100+每MW收入_錨定!C25*TK_CapexIT_GB200+每MW收入_錨定!C26*TK_CapexIT_GB300+每MW收入_錨定!C27*TK_CapexIT_VR200</f>
        <v>32.237224</v>
      </c>
      <c r="D109" s="37" t="n">
        <f aca="false">每MW收入_錨定!D24*TK_CapexIT_H100+每MW收入_錨定!D25*TK_CapexIT_GB200+每MW收入_錨定!D26*TK_CapexIT_GB300+每MW收入_錨定!D27*TK_CapexIT_VR200</f>
        <v>34.911788</v>
      </c>
      <c r="E109" s="37" t="n">
        <f aca="false">每MW收入_錨定!E24*TK_CapexIT_H100+每MW收入_錨定!E25*TK_CapexIT_GB200+每MW收入_錨定!E26*TK_CapexIT_GB300+每MW收入_錨定!E27*TK_CapexIT_VR200</f>
        <v>37.586352</v>
      </c>
      <c r="F109" s="37" t="n">
        <f aca="false">每MW收入_錨定!F24*TK_CapexIT_H100+每MW收入_錨定!F25*TK_CapexIT_GB200+每MW收入_錨定!F26*TK_CapexIT_GB300+每MW收入_錨定!F27*TK_CapexIT_VR200</f>
        <v>37.586352</v>
      </c>
      <c r="G109" s="37" t="n">
        <f aca="false">每MW收入_錨定!G24*TK_CapexIT_H100+每MW收入_錨定!G25*TK_CapexIT_GB200+每MW收入_錨定!G26*TK_CapexIT_GB300+每MW收入_錨定!G27*TK_CapexIT_VR200</f>
        <v>37.586352</v>
      </c>
      <c r="I109" s="11" t="s">
        <v>317</v>
      </c>
    </row>
    <row r="110" customFormat="false" ht="15" hidden="false" customHeight="false" outlineLevel="1" collapsed="false">
      <c r="A110" s="3" t="s">
        <v>318</v>
      </c>
      <c r="B110" s="11" t="s">
        <v>42</v>
      </c>
      <c r="C110" s="24" t="n">
        <v>1</v>
      </c>
      <c r="I110" s="6" t="s">
        <v>319</v>
      </c>
    </row>
    <row r="111" customFormat="false" ht="15" hidden="false" customHeight="false" outlineLevel="1" collapsed="false">
      <c r="A111" s="3" t="s">
        <v>320</v>
      </c>
      <c r="B111" s="11" t="s">
        <v>42</v>
      </c>
      <c r="C111" s="24" t="n">
        <v>0.243</v>
      </c>
      <c r="I111" s="11" t="s">
        <v>321</v>
      </c>
    </row>
    <row r="112" customFormat="false" ht="15" hidden="false" customHeight="false" outlineLevel="1" collapsed="false">
      <c r="A112" s="3" t="s">
        <v>322</v>
      </c>
      <c r="B112" s="6" t="s">
        <v>190</v>
      </c>
      <c r="C112" s="26" t="n">
        <v>5</v>
      </c>
      <c r="I112" s="6" t="s">
        <v>323</v>
      </c>
    </row>
    <row r="113" customFormat="false" ht="15" hidden="false" customHeight="false" outlineLevel="1" collapsed="false">
      <c r="A113" s="4" t="s">
        <v>324</v>
      </c>
      <c r="B113" s="11" t="s">
        <v>59</v>
      </c>
      <c r="C113" s="25" t="n">
        <v>15.955</v>
      </c>
      <c r="I113" s="6" t="s">
        <v>325</v>
      </c>
    </row>
    <row r="114" customFormat="false" ht="15" hidden="false" customHeight="false" outlineLevel="1" collapsed="false">
      <c r="A114" s="3" t="s">
        <v>326</v>
      </c>
      <c r="B114" s="11" t="s">
        <v>42</v>
      </c>
      <c r="C114" s="24" t="n">
        <v>0.0811</v>
      </c>
      <c r="I114" s="6" t="s">
        <v>327</v>
      </c>
    </row>
    <row r="115" customFormat="false" ht="15" hidden="false" customHeight="false" outlineLevel="1" collapsed="false">
      <c r="A115" s="14" t="s">
        <v>53</v>
      </c>
      <c r="B115" s="14" t="s">
        <v>54</v>
      </c>
      <c r="C115" s="28" t="s">
        <v>55</v>
      </c>
      <c r="D115" s="28" t="s">
        <v>56</v>
      </c>
      <c r="E115" s="28" t="s">
        <v>57</v>
      </c>
      <c r="F115" s="28" t="s">
        <v>148</v>
      </c>
      <c r="G115" s="28" t="s">
        <v>149</v>
      </c>
      <c r="I115" s="14" t="s">
        <v>212</v>
      </c>
    </row>
    <row r="116" customFormat="false" ht="15" hidden="false" customHeight="false" outlineLevel="1" collapsed="false">
      <c r="A116" s="3" t="s">
        <v>328</v>
      </c>
      <c r="B116" s="11" t="s">
        <v>42</v>
      </c>
      <c r="C116" s="32" t="n">
        <f aca="false">輸入與假設!$C$110*輸入與假設!$C$111</f>
        <v>0.243</v>
      </c>
      <c r="D116" s="32" t="n">
        <f aca="false">輸入與假設!$C$110*輸入與假設!$C$111</f>
        <v>0.243</v>
      </c>
      <c r="E116" s="32" t="n">
        <f aca="false">輸入與假設!$C$110*輸入與假設!$C$111</f>
        <v>0.243</v>
      </c>
      <c r="F116" s="32" t="n">
        <f aca="false">輸入與假設!$C$110*輸入與假設!$C$111</f>
        <v>0.243</v>
      </c>
      <c r="G116" s="32" t="n">
        <f aca="false">輸入與假設!$C$110*輸入與假設!$C$111</f>
        <v>0.243</v>
      </c>
      <c r="I116" s="6" t="s">
        <v>329</v>
      </c>
    </row>
    <row r="117" customFormat="false" ht="15" hidden="false" customHeight="false" outlineLevel="1" collapsed="false">
      <c r="A117" s="3" t="s">
        <v>330</v>
      </c>
      <c r="B117" s="11" t="s">
        <v>59</v>
      </c>
      <c r="C117" s="25" t="n">
        <v>3.839</v>
      </c>
      <c r="D117" s="25" t="n">
        <v>4.987</v>
      </c>
      <c r="E117" s="25" t="n">
        <v>5.02</v>
      </c>
      <c r="F117" s="25" t="n">
        <v>5.056</v>
      </c>
      <c r="G117" s="25" t="n">
        <v>5.06</v>
      </c>
      <c r="I117" s="6" t="s">
        <v>331</v>
      </c>
    </row>
    <row r="118" customFormat="false" ht="15" hidden="false" customHeight="false" outlineLevel="1" collapsed="false">
      <c r="A118" s="3" t="s">
        <v>332</v>
      </c>
      <c r="B118" s="6" t="s">
        <v>185</v>
      </c>
      <c r="C118" s="22" t="n">
        <f aca="false">ROUND(4*SUM($C$41:C$41),0)</f>
        <v>3</v>
      </c>
      <c r="D118" s="22" t="n">
        <f aca="false">ROUND(4*SUM($C$41:D$41),0)</f>
        <v>7</v>
      </c>
      <c r="E118" s="22" t="n">
        <f aca="false">ROUND(4*SUM($C$41:E$41),0)</f>
        <v>11</v>
      </c>
      <c r="F118" s="22" t="n">
        <f aca="false">ROUND(4*SUM($C$41:F$41),0)</f>
        <v>15</v>
      </c>
      <c r="G118" s="22" t="n">
        <f aca="false">ROUND(4*SUM($C$41:G$41),0)</f>
        <v>19</v>
      </c>
      <c r="I118" s="6" t="s">
        <v>333</v>
      </c>
    </row>
    <row r="119" customFormat="false" ht="15" hidden="false" customHeight="false" outlineLevel="1" collapsed="false">
      <c r="A119" s="3" t="s">
        <v>334</v>
      </c>
      <c r="B119" s="11" t="s">
        <v>59</v>
      </c>
      <c r="C119" s="33" t="n">
        <f aca="false">輸入與假設!$C$26/輸入與假設!$C$28/輸入與假設!$C$29/4*((MIN(MAX(0,C118-輸入與假設!$C$27),輸入與假設!$C$28)*(MIN(MAX(0,C118-輸入與假設!$C$27),輸入與假設!$C$28)+1)/2+輸入與假設!$C$28*MAX(0,MAX(0,C118-輸入與假設!$C$27)-輸入與假設!$C$28))-(MIN(MAX(0,0-輸入與假設!$C$27),輸入與假設!$C$28)*(MIN(MAX(0,0-輸入與假設!$C$27),輸入與假設!$C$28)+1)/2+輸入與假設!$C$28*MAX(0,MAX(0,0-輸入與假設!$C$27)-輸入與假設!$C$28)))</f>
        <v>2.31016042780749</v>
      </c>
      <c r="D119" s="33" t="n">
        <f aca="false">輸入與假設!$C$26/輸入與假設!$C$28/輸入與假設!$C$29/4*((MIN(MAX(0,D118-輸入與假設!$C$27),輸入與假設!$C$28)*(MIN(MAX(0,D118-輸入與假設!$C$27),輸入與假設!$C$28)+1)/2+輸入與假設!$C$28*MAX(0,MAX(0,D118-輸入與假設!$C$27)-輸入與假設!$C$28))-(MIN(MAX(0,C118-輸入與假設!$C$27),輸入與假設!$C$28)*(MIN(MAX(0,C118-輸入與假設!$C$27),輸入與假設!$C$28)+1)/2+輸入與假設!$C$28*MAX(0,MAX(0,C118-輸入與假設!$C$27)-輸入與假設!$C$28)))</f>
        <v>8.47058823529412</v>
      </c>
      <c r="E119" s="33" t="n">
        <f aca="false">輸入與假設!$C$26/輸入與假設!$C$28/輸入與假設!$C$29/4*((MIN(MAX(0,E118-輸入與假設!$C$27),輸入與假設!$C$28)*(MIN(MAX(0,E118-輸入與假設!$C$27),輸入與假設!$C$28)+1)/2+輸入與假設!$C$28*MAX(0,MAX(0,E118-輸入與假設!$C$27)-輸入與假設!$C$28))-(MIN(MAX(0,D118-輸入與假設!$C$27),輸入與假設!$C$28)*(MIN(MAX(0,D118-輸入與假設!$C$27),輸入與假設!$C$28)+1)/2+輸入與假設!$C$28*MAX(0,MAX(0,D118-輸入與假設!$C$27)-輸入與假設!$C$28)))</f>
        <v>14.6310160427808</v>
      </c>
      <c r="F119" s="33" t="n">
        <f aca="false">輸入與假設!$C$26/輸入與假設!$C$28/輸入與假設!$C$29/4*((MIN(MAX(0,F118-輸入與假設!$C$27),輸入與假設!$C$28)*(MIN(MAX(0,F118-輸入與假設!$C$27),輸入與假設!$C$28)+1)/2+輸入與假設!$C$28*MAX(0,MAX(0,F118-輸入與假設!$C$27)-輸入與假設!$C$28))-(MIN(MAX(0,E118-輸入與假設!$C$27),輸入與假設!$C$28)*(MIN(MAX(0,E118-輸入與假設!$C$27),輸入與假設!$C$28)+1)/2+輸入與假設!$C$28*MAX(0,MAX(0,E118-輸入與假設!$C$27)-輸入與假設!$C$28)))</f>
        <v>16.9411764705882</v>
      </c>
      <c r="G119" s="33" t="n">
        <f aca="false">輸入與假設!$C$26/輸入與假設!$C$28/輸入與假設!$C$29/4*((MIN(MAX(0,G118-輸入與假設!$C$27),輸入與假設!$C$28)*(MIN(MAX(0,G118-輸入與假設!$C$27),輸入與假設!$C$28)+1)/2+輸入與假設!$C$28*MAX(0,MAX(0,G118-輸入與假設!$C$27)-輸入與假設!$C$28))-(MIN(MAX(0,F118-輸入與假設!$C$27),輸入與假設!$C$28)*(MIN(MAX(0,F118-輸入與假設!$C$27),輸入與假設!$C$28)+1)/2+輸入與假設!$C$28*MAX(0,MAX(0,F118-輸入與假設!$C$27)-輸入與假設!$C$28)))</f>
        <v>16.9411764705882</v>
      </c>
      <c r="I119" s="6" t="s">
        <v>335</v>
      </c>
    </row>
    <row r="120" customFormat="false" ht="15" hidden="false" customHeight="false" outlineLevel="1" collapsed="false">
      <c r="A120" s="4" t="s">
        <v>336</v>
      </c>
      <c r="B120" s="11" t="s">
        <v>59</v>
      </c>
      <c r="C120" s="25" t="n">
        <v>0</v>
      </c>
      <c r="D120" s="25" t="n">
        <v>0</v>
      </c>
      <c r="E120" s="25" t="n">
        <v>0</v>
      </c>
      <c r="F120" s="25" t="n">
        <v>0</v>
      </c>
      <c r="G120" s="25" t="n">
        <v>0</v>
      </c>
      <c r="I120" s="6" t="s">
        <v>337</v>
      </c>
    </row>
    <row r="121" customFormat="false" ht="15" hidden="false" customHeight="false" outlineLevel="1" collapsed="false">
      <c r="A121" s="4" t="s">
        <v>338</v>
      </c>
      <c r="B121" s="11" t="s">
        <v>59</v>
      </c>
      <c r="C121" s="25" t="n">
        <v>0</v>
      </c>
      <c r="D121" s="25" t="n">
        <v>0</v>
      </c>
      <c r="E121" s="25" t="n">
        <v>0</v>
      </c>
      <c r="F121" s="25" t="n">
        <v>0</v>
      </c>
      <c r="G121" s="25" t="n">
        <v>0</v>
      </c>
      <c r="I121" s="6" t="s">
        <v>339</v>
      </c>
    </row>
    <row r="122" customFormat="false" ht="15" hidden="false" customHeight="false" outlineLevel="1" collapsed="false">
      <c r="A122" s="4" t="s">
        <v>340</v>
      </c>
      <c r="B122" s="11" t="s">
        <v>59</v>
      </c>
      <c r="C122" s="33" t="n">
        <f aca="false">C120+C121</f>
        <v>0</v>
      </c>
      <c r="D122" s="33" t="n">
        <f aca="false">D120+D121</f>
        <v>0</v>
      </c>
      <c r="E122" s="33" t="n">
        <f aca="false">E120+E121</f>
        <v>0</v>
      </c>
      <c r="F122" s="33" t="n">
        <f aca="false">F120+F121</f>
        <v>0</v>
      </c>
      <c r="G122" s="33" t="n">
        <f aca="false">G120+G121</f>
        <v>0</v>
      </c>
      <c r="I122" s="6" t="s">
        <v>341</v>
      </c>
    </row>
    <row r="123" customFormat="false" ht="15" hidden="false" customHeight="false" outlineLevel="1" collapsed="true">
      <c r="A123" s="31" t="s">
        <v>342</v>
      </c>
      <c r="B123" s="20"/>
      <c r="C123" s="20"/>
      <c r="D123" s="20"/>
      <c r="E123" s="20"/>
      <c r="F123" s="20"/>
      <c r="G123" s="20"/>
      <c r="H123" s="20"/>
    </row>
    <row r="124" customFormat="false" ht="15" hidden="true" customHeight="false" outlineLevel="2" collapsed="false">
      <c r="A124" s="3" t="s">
        <v>343</v>
      </c>
      <c r="B124" s="11" t="s">
        <v>152</v>
      </c>
      <c r="C124" s="22" t="n">
        <f aca="false">輸入與假設!$C$35</f>
        <v>1835</v>
      </c>
      <c r="D124" s="22" t="n">
        <f aca="false">C43</f>
        <v>4668</v>
      </c>
      <c r="E124" s="22" t="n">
        <f aca="false">D43</f>
        <v>7501</v>
      </c>
      <c r="F124" s="22" t="n">
        <f aca="false">E43</f>
        <v>8778</v>
      </c>
      <c r="G124" s="22" t="n">
        <f aca="false">F43</f>
        <v>8778</v>
      </c>
      <c r="I124" s="11" t="s">
        <v>344</v>
      </c>
    </row>
    <row r="125" customFormat="false" ht="15" hidden="true" customHeight="false" outlineLevel="2" collapsed="false">
      <c r="A125" s="3" t="s">
        <v>345</v>
      </c>
      <c r="B125" s="11" t="s">
        <v>152</v>
      </c>
      <c r="C125" s="22" t="n">
        <f aca="false">C43-C124</f>
        <v>2833</v>
      </c>
      <c r="D125" s="22" t="n">
        <f aca="false">D43-D124</f>
        <v>2833</v>
      </c>
      <c r="E125" s="22" t="n">
        <f aca="false">E43-E124</f>
        <v>1277</v>
      </c>
      <c r="F125" s="22" t="n">
        <f aca="false">F43-F124</f>
        <v>0</v>
      </c>
      <c r="G125" s="22" t="n">
        <f aca="false">G43-G124</f>
        <v>0</v>
      </c>
    </row>
    <row r="126" customFormat="false" ht="15" hidden="true" customHeight="false" outlineLevel="2" collapsed="false">
      <c r="A126" s="3" t="s">
        <v>346</v>
      </c>
      <c r="B126" s="11" t="s">
        <v>152</v>
      </c>
      <c r="C126" s="22" t="n">
        <f aca="false">D43-C43</f>
        <v>2833</v>
      </c>
      <c r="D126" s="22" t="n">
        <f aca="false">E43-D43</f>
        <v>1277</v>
      </c>
      <c r="E126" s="22" t="n">
        <f aca="false">F43-E43</f>
        <v>0</v>
      </c>
      <c r="F126" s="22" t="n">
        <f aca="false">G43-F43</f>
        <v>0</v>
      </c>
      <c r="G126" s="22" t="n">
        <f aca="false">輸入與假設!$C$103</f>
        <v>0</v>
      </c>
    </row>
    <row r="127" customFormat="false" ht="15" hidden="true" customHeight="false" outlineLevel="2" collapsed="false">
      <c r="A127" s="3" t="s">
        <v>347</v>
      </c>
      <c r="B127" s="11" t="s">
        <v>59</v>
      </c>
      <c r="C127" s="33" t="n">
        <f aca="false">(C125*(1-輸入與假設!$C$102)+C126*輸入與假設!$C$102)*C109*輸入與假設!$C$107/1000</f>
        <v>91.328055592</v>
      </c>
      <c r="D127" s="33" t="n">
        <f aca="false">(D125*(1-輸入與假設!$C$102)+D126*輸入與假設!$C$102)*D109*輸入與假設!$C$107/1000</f>
        <v>79.8921356592</v>
      </c>
      <c r="E127" s="33" t="n">
        <f aca="false">(E125*(1-輸入與假設!$C$102)+E126*輸入與假設!$C$102)*E109*輸入與假設!$C$107/1000</f>
        <v>31.1985514776</v>
      </c>
      <c r="F127" s="33" t="n">
        <f aca="false">(F125*(1-輸入與假設!$C$102)+F126*輸入與假設!$C$102)*F109*輸入與假設!$C$107/1000</f>
        <v>0</v>
      </c>
      <c r="G127" s="33" t="n">
        <f aca="false">(G125*(1-輸入與假設!$C$102)+G126*輸入與假設!$C$102)*G109*輸入與假設!$C$107/1000</f>
        <v>0</v>
      </c>
      <c r="I127" s="6" t="s">
        <v>348</v>
      </c>
    </row>
    <row r="128" customFormat="false" ht="15" hidden="true" customHeight="false" outlineLevel="2" collapsed="false">
      <c r="A128" s="3" t="s">
        <v>349</v>
      </c>
      <c r="B128" s="11" t="s">
        <v>59</v>
      </c>
      <c r="C128" s="33" t="n">
        <f aca="false">MAX(C127,輸入與假設!$C$104)-輸入與假設!$C$243</f>
        <v>62.829055592</v>
      </c>
      <c r="D128" s="33" t="n">
        <f aca="false">D127</f>
        <v>79.8921356592</v>
      </c>
      <c r="E128" s="33" t="n">
        <f aca="false">E127</f>
        <v>31.1985514776</v>
      </c>
      <c r="F128" s="33" t="n">
        <f aca="false">F127</f>
        <v>0</v>
      </c>
      <c r="G128" s="33" t="n">
        <f aca="false">G127</f>
        <v>0</v>
      </c>
      <c r="I128" s="11" t="s">
        <v>350</v>
      </c>
    </row>
    <row r="129" customFormat="false" ht="15" hidden="true" customHeight="false" outlineLevel="2" collapsed="false">
      <c r="A129" s="3" t="s">
        <v>351</v>
      </c>
      <c r="B129" s="11" t="s">
        <v>59</v>
      </c>
      <c r="C129" s="33" t="n">
        <f aca="false">IF(2027-輸入與假設!$C$105=2026,輸入與假設!$C$35,0)*C109*輸入與假設!$C$107/1000</f>
        <v>0</v>
      </c>
      <c r="D129" s="33" t="n">
        <f aca="false">IF(2028-輸入與假設!$C$105=2026,輸入與假設!$C$35,0)*D109*輸入與假設!$C$107/1000</f>
        <v>0</v>
      </c>
      <c r="E129" s="33" t="n">
        <f aca="false">IF(2029-輸入與假設!$C$105=2026,輸入與假設!$C$35,0)*E109*輸入與假設!$C$107/1000</f>
        <v>0</v>
      </c>
      <c r="F129" s="33" t="n">
        <f aca="false">IF(2030-輸入與假設!$C$105=2026,輸入與假設!$C$35,0)*F109*輸入與假設!$C$107/1000</f>
        <v>0</v>
      </c>
      <c r="G129" s="33" t="n">
        <f aca="false">IF(2031-輸入與假設!$C$105=2026,輸入與假設!$C$35,0)*G109*輸入與假設!$C$107/1000</f>
        <v>0</v>
      </c>
      <c r="I129" s="6" t="s">
        <v>352</v>
      </c>
    </row>
    <row r="130" customFormat="false" ht="15" hidden="true" customHeight="false" outlineLevel="2" collapsed="false">
      <c r="A130" s="3" t="s">
        <v>353</v>
      </c>
      <c r="B130" s="11" t="s">
        <v>59</v>
      </c>
      <c r="C130" s="33" t="n">
        <f aca="false">(C124+C43)/2*C109*輸入與假設!$C$107/1000/輸入與假設!$C$105*C41</f>
        <v>13.1024167295</v>
      </c>
      <c r="D130" s="33" t="n">
        <f aca="false">(D124+D43)/2*D109*輸入與假設!$C$107/1000/輸入與假設!$C$105*D41</f>
        <v>35.4034623476667</v>
      </c>
      <c r="E130" s="33" t="n">
        <f aca="false">(E124+E43)/2*E109*輸入與假設!$C$107/1000/輸入與假設!$C$105*E41</f>
        <v>50.989018684</v>
      </c>
      <c r="F130" s="33" t="n">
        <f aca="false">(F124+F43)/2*F109*輸入與假設!$C$107/1000/輸入與假設!$C$105*F41</f>
        <v>54.988832976</v>
      </c>
      <c r="G130" s="33" t="n">
        <f aca="false">(G124+G43)/2*G109*輸入與假設!$C$107/1000/輸入與假設!$C$105*G41</f>
        <v>54.988832976</v>
      </c>
      <c r="I130" s="6" t="s">
        <v>354</v>
      </c>
    </row>
    <row r="131" customFormat="false" ht="15" hidden="true" customHeight="false" outlineLevel="2" collapsed="false">
      <c r="A131" s="3" t="s">
        <v>355</v>
      </c>
      <c r="B131" s="6"/>
      <c r="C131" s="22" t="n">
        <f aca="false">IF(C125&lt;=0,1,0)</f>
        <v>0</v>
      </c>
      <c r="D131" s="22" t="n">
        <f aca="false">IF(D125&lt;=0,1,0)</f>
        <v>0</v>
      </c>
      <c r="E131" s="22" t="n">
        <f aca="false">IF(E125&lt;=0,1,0)</f>
        <v>0</v>
      </c>
      <c r="F131" s="22" t="n">
        <f aca="false">IF(F125&lt;=0,1,0)</f>
        <v>1</v>
      </c>
      <c r="G131" s="22" t="n">
        <f aca="false">1</f>
        <v>1</v>
      </c>
      <c r="I131" s="6" t="s">
        <v>356</v>
      </c>
    </row>
    <row r="132" customFormat="false" ht="15" hidden="true" customHeight="false" outlineLevel="2" collapsed="false">
      <c r="A132" s="4" t="s">
        <v>357</v>
      </c>
      <c r="B132" s="11" t="s">
        <v>59</v>
      </c>
      <c r="C132" s="33" t="n">
        <f aca="false">IF(C131=1,C130,C129)</f>
        <v>0</v>
      </c>
      <c r="D132" s="33" t="n">
        <f aca="false">IF(D131=1,D130,D129)</f>
        <v>0</v>
      </c>
      <c r="E132" s="33" t="n">
        <f aca="false">IF(E131=1,E130,E129)</f>
        <v>0</v>
      </c>
      <c r="F132" s="33" t="n">
        <f aca="false">IF(F131=1,F130,F129)</f>
        <v>54.988832976</v>
      </c>
      <c r="G132" s="33" t="n">
        <f aca="false">IF(G131=1,G130,G129)</f>
        <v>54.988832976</v>
      </c>
      <c r="I132" s="6" t="s">
        <v>358</v>
      </c>
    </row>
    <row r="133" customFormat="false" ht="15" hidden="true" customHeight="false" outlineLevel="2" collapsed="false">
      <c r="A133" s="3" t="s">
        <v>359</v>
      </c>
      <c r="B133" s="11" t="s">
        <v>59</v>
      </c>
      <c r="C133" s="33" t="n">
        <f aca="false">輸入與假設!$C$106</f>
        <v>75.74</v>
      </c>
      <c r="D133" s="33" t="n">
        <f aca="false">C133+運營_產能與收入!C$54</f>
        <v>117.626037061333</v>
      </c>
      <c r="E133" s="33" t="n">
        <f aca="false">D133+運營_產能與收入!D$54</f>
        <v>198.4881573364</v>
      </c>
      <c r="F133" s="33" t="n">
        <f aca="false">E133+運營_產能與收入!E$54</f>
        <v>241.8601048594</v>
      </c>
      <c r="G133" s="33" t="n">
        <f aca="false">F133+運營_產能與收入!F$54</f>
        <v>249.6597427288</v>
      </c>
      <c r="I133" s="6" t="s">
        <v>360</v>
      </c>
    </row>
    <row r="134" customFormat="false" ht="15" hidden="false" customHeight="false" outlineLevel="1" collapsed="false">
      <c r="A134" s="31" t="s">
        <v>361</v>
      </c>
      <c r="B134" s="20"/>
      <c r="C134" s="20"/>
      <c r="D134" s="20"/>
      <c r="E134" s="20"/>
      <c r="F134" s="20"/>
      <c r="G134" s="20"/>
      <c r="H134" s="20"/>
    </row>
    <row r="135" customFormat="false" ht="15" hidden="false" customHeight="false" outlineLevel="2" collapsed="false">
      <c r="A135" s="3" t="s">
        <v>362</v>
      </c>
      <c r="B135" s="11" t="s">
        <v>59</v>
      </c>
      <c r="C135" s="38" t="n">
        <f aca="false">C128+C132</f>
        <v>62.829055592</v>
      </c>
      <c r="D135" s="38" t="n">
        <f aca="false">D128+D132</f>
        <v>79.8921356592</v>
      </c>
      <c r="E135" s="38" t="n">
        <f aca="false">E128+E132</f>
        <v>31.1985514776</v>
      </c>
      <c r="F135" s="38" t="n">
        <f aca="false">F128+F132</f>
        <v>54.988832976</v>
      </c>
      <c r="G135" s="38" t="n">
        <f aca="false">G128+G132</f>
        <v>54.988832976</v>
      </c>
      <c r="I135" s="6" t="s">
        <v>363</v>
      </c>
    </row>
    <row r="136" customFormat="false" ht="15" hidden="false" customHeight="false" outlineLevel="2" collapsed="false">
      <c r="A136" s="4" t="s">
        <v>364</v>
      </c>
      <c r="B136" s="11" t="s">
        <v>59</v>
      </c>
      <c r="C136" s="38" t="n">
        <f aca="false">(C133+0.5*運營_產能與收入!C$54)/輸入與假設!$C$105*C41</f>
        <v>12.0853773163333</v>
      </c>
      <c r="D136" s="38" t="n">
        <f aca="false">(D133+0.5*運營_產能與收入!D$54)/輸入與假設!$C$105*D41</f>
        <v>26.3428495331444</v>
      </c>
      <c r="E136" s="38" t="n">
        <f aca="false">(E133+0.5*運營_產能與收入!E$54)/輸入與假設!$C$105*E41</f>
        <v>36.6956885163167</v>
      </c>
      <c r="F136" s="38" t="n">
        <f aca="false">(F133+0.5*運營_產能與收入!F$54)/輸入與假設!$C$105*F41</f>
        <v>40.9599872990167</v>
      </c>
      <c r="G136" s="38" t="n">
        <f aca="false">(G133+0.5*運營_產能與收入!G$54)/輸入與假設!$C$105*G41</f>
        <v>41.6099571214667</v>
      </c>
      <c r="I136" s="6" t="s">
        <v>365</v>
      </c>
    </row>
    <row r="138" customFormat="false" ht="15" hidden="false" customHeight="false" outlineLevel="0" collapsed="false">
      <c r="A138" s="7" t="s">
        <v>366</v>
      </c>
      <c r="B138" s="8"/>
      <c r="C138" s="8"/>
      <c r="D138" s="8"/>
      <c r="E138" s="8"/>
      <c r="F138" s="8"/>
      <c r="G138" s="8"/>
      <c r="H138" s="8"/>
    </row>
    <row r="139" customFormat="false" ht="15" hidden="false" customHeight="false" outlineLevel="1" collapsed="false">
      <c r="A139" s="3" t="s">
        <v>367</v>
      </c>
      <c r="B139" s="11" t="s">
        <v>59</v>
      </c>
      <c r="C139" s="25" t="n">
        <v>36.369</v>
      </c>
      <c r="I139" s="6" t="s">
        <v>368</v>
      </c>
    </row>
    <row r="140" customFormat="false" ht="15" hidden="false" customHeight="false" outlineLevel="1" collapsed="false">
      <c r="A140" s="3" t="s">
        <v>369</v>
      </c>
      <c r="B140" s="11" t="s">
        <v>59</v>
      </c>
      <c r="C140" s="25" t="n">
        <v>0</v>
      </c>
      <c r="I140" s="6" t="s">
        <v>370</v>
      </c>
    </row>
    <row r="141" customFormat="false" ht="15" hidden="false" customHeight="false" outlineLevel="1" collapsed="false">
      <c r="A141" s="3" t="s">
        <v>371</v>
      </c>
      <c r="B141" s="6"/>
      <c r="C141" s="21" t="n">
        <v>1</v>
      </c>
      <c r="I141" s="6" t="s">
        <v>372</v>
      </c>
    </row>
    <row r="142" customFormat="false" ht="15" hidden="false" customHeight="false" outlineLevel="1" collapsed="false">
      <c r="A142" s="3" t="s">
        <v>373</v>
      </c>
      <c r="B142" s="11" t="s">
        <v>59</v>
      </c>
      <c r="C142" s="25" t="n">
        <v>10</v>
      </c>
      <c r="I142" s="6" t="s">
        <v>374</v>
      </c>
    </row>
    <row r="143" customFormat="false" ht="15" hidden="false" customHeight="false" outlineLevel="1" collapsed="false">
      <c r="A143" s="3" t="s">
        <v>375</v>
      </c>
      <c r="B143" s="6"/>
      <c r="C143" s="21" t="n">
        <v>0</v>
      </c>
      <c r="I143" s="6" t="s">
        <v>376</v>
      </c>
    </row>
    <row r="144" customFormat="false" ht="15" hidden="false" customHeight="false" outlineLevel="1" collapsed="false">
      <c r="A144" s="3" t="s">
        <v>377</v>
      </c>
      <c r="B144" s="6"/>
      <c r="C144" s="21" t="n">
        <v>1</v>
      </c>
      <c r="I144" s="6" t="s">
        <v>378</v>
      </c>
    </row>
    <row r="145" customFormat="false" ht="15" hidden="false" customHeight="false" outlineLevel="1" collapsed="false">
      <c r="A145" s="3" t="s">
        <v>379</v>
      </c>
      <c r="B145" s="11" t="s">
        <v>105</v>
      </c>
      <c r="C145" s="39" t="n">
        <v>0.5</v>
      </c>
      <c r="I145" s="6" t="s">
        <v>380</v>
      </c>
    </row>
    <row r="146" customFormat="false" ht="15" hidden="false" customHeight="false" outlineLevel="1" collapsed="false">
      <c r="A146" s="3" t="s">
        <v>381</v>
      </c>
      <c r="B146" s="6"/>
      <c r="C146" s="27" t="s">
        <v>382</v>
      </c>
      <c r="I146" s="11" t="s">
        <v>383</v>
      </c>
    </row>
    <row r="147" customFormat="false" ht="15" hidden="false" customHeight="false" outlineLevel="1" collapsed="false">
      <c r="A147" s="3" t="s">
        <v>384</v>
      </c>
      <c r="B147" s="11" t="s">
        <v>105</v>
      </c>
      <c r="C147" s="39" t="n">
        <v>4.5</v>
      </c>
      <c r="I147" s="11" t="s">
        <v>385</v>
      </c>
    </row>
    <row r="148" customFormat="false" ht="15" hidden="false" customHeight="false" outlineLevel="1" collapsed="false">
      <c r="A148" s="3" t="s">
        <v>386</v>
      </c>
      <c r="B148" s="6" t="s">
        <v>190</v>
      </c>
      <c r="C148" s="21" t="n">
        <v>3</v>
      </c>
      <c r="I148" s="11" t="s">
        <v>387</v>
      </c>
    </row>
    <row r="149" customFormat="false" ht="15" hidden="false" customHeight="false" outlineLevel="1" collapsed="false">
      <c r="A149" s="3" t="s">
        <v>388</v>
      </c>
      <c r="B149" s="11" t="s">
        <v>39</v>
      </c>
      <c r="C149" s="40" t="n">
        <v>0.5</v>
      </c>
      <c r="I149" s="6" t="s">
        <v>389</v>
      </c>
    </row>
    <row r="150" customFormat="false" ht="15" hidden="false" customHeight="false" outlineLevel="1" collapsed="false">
      <c r="A150" s="3" t="s">
        <v>390</v>
      </c>
      <c r="B150" s="11" t="s">
        <v>391</v>
      </c>
      <c r="C150" s="41" t="n">
        <v>3.023736</v>
      </c>
      <c r="I150" s="6" t="s">
        <v>392</v>
      </c>
    </row>
    <row r="151" customFormat="false" ht="15" hidden="false" customHeight="false" outlineLevel="1" collapsed="false">
      <c r="A151" s="3" t="s">
        <v>393</v>
      </c>
      <c r="B151" s="11" t="s">
        <v>59</v>
      </c>
      <c r="C151" s="25" t="n">
        <v>10</v>
      </c>
      <c r="I151" s="6" t="s">
        <v>394</v>
      </c>
    </row>
    <row r="152" customFormat="false" ht="15" hidden="false" customHeight="false" outlineLevel="1" collapsed="false">
      <c r="A152" s="3" t="s">
        <v>395</v>
      </c>
      <c r="B152" s="11" t="s">
        <v>39</v>
      </c>
      <c r="C152" s="40" t="n">
        <v>144.77</v>
      </c>
      <c r="I152" s="6" t="s">
        <v>396</v>
      </c>
    </row>
    <row r="153" customFormat="false" ht="15" hidden="false" customHeight="false" outlineLevel="1" collapsed="false">
      <c r="A153" s="3" t="s">
        <v>397</v>
      </c>
      <c r="B153" s="11" t="s">
        <v>42</v>
      </c>
      <c r="C153" s="24" t="n">
        <v>0.1</v>
      </c>
      <c r="I153" s="6" t="s">
        <v>398</v>
      </c>
    </row>
    <row r="154" customFormat="false" ht="15" hidden="false" customHeight="false" outlineLevel="1" collapsed="false">
      <c r="A154" s="3" t="s">
        <v>399</v>
      </c>
      <c r="B154" s="11" t="s">
        <v>42</v>
      </c>
      <c r="C154" s="24" t="n">
        <v>0.05</v>
      </c>
      <c r="I154" s="6" t="s">
        <v>400</v>
      </c>
    </row>
    <row r="155" customFormat="false" ht="15" hidden="false" customHeight="false" outlineLevel="1" collapsed="false">
      <c r="A155" s="3" t="s">
        <v>401</v>
      </c>
      <c r="B155" s="11" t="s">
        <v>391</v>
      </c>
      <c r="C155" s="41" t="n">
        <v>3.023736</v>
      </c>
      <c r="I155" s="6" t="s">
        <v>402</v>
      </c>
    </row>
    <row r="156" customFormat="false" ht="15" hidden="false" customHeight="false" outlineLevel="1" collapsed="false">
      <c r="A156" s="3" t="s">
        <v>403</v>
      </c>
      <c r="B156" s="11" t="s">
        <v>404</v>
      </c>
      <c r="C156" s="25" t="n">
        <v>0</v>
      </c>
      <c r="I156" s="6" t="s">
        <v>405</v>
      </c>
    </row>
    <row r="157" customFormat="false" ht="15" hidden="false" customHeight="false" outlineLevel="1" collapsed="false">
      <c r="A157" s="3" t="s">
        <v>406</v>
      </c>
      <c r="B157" s="11" t="s">
        <v>404</v>
      </c>
      <c r="C157" s="25" t="n">
        <v>0</v>
      </c>
      <c r="I157" s="6" t="s">
        <v>405</v>
      </c>
    </row>
    <row r="158" customFormat="false" ht="15" hidden="false" customHeight="false" outlineLevel="1" collapsed="false">
      <c r="A158" s="3" t="s">
        <v>407</v>
      </c>
      <c r="B158" s="11" t="s">
        <v>404</v>
      </c>
      <c r="C158" s="25" t="n">
        <v>0</v>
      </c>
      <c r="I158" s="6" t="s">
        <v>405</v>
      </c>
    </row>
    <row r="159" customFormat="false" ht="15" hidden="false" customHeight="false" outlineLevel="1" collapsed="false">
      <c r="A159" s="3" t="s">
        <v>408</v>
      </c>
      <c r="B159" s="11" t="s">
        <v>404</v>
      </c>
      <c r="C159" s="33" t="n">
        <f aca="false">CHOOSE(輸入與假設!$C$5,輸入與假設!$C$156,輸入與假設!$C$157,輸入與假設!$C$158)</f>
        <v>0</v>
      </c>
      <c r="I159" s="6" t="s">
        <v>409</v>
      </c>
    </row>
    <row r="160" customFormat="false" ht="15" hidden="false" customHeight="false" outlineLevel="1" collapsed="false">
      <c r="A160" s="3" t="s">
        <v>410</v>
      </c>
      <c r="B160" s="11" t="s">
        <v>42</v>
      </c>
      <c r="C160" s="24" t="n">
        <v>0</v>
      </c>
      <c r="I160" s="11" t="s">
        <v>411</v>
      </c>
    </row>
    <row r="161" customFormat="false" ht="15" hidden="false" customHeight="false" outlineLevel="1" collapsed="false">
      <c r="A161" s="3" t="s">
        <v>412</v>
      </c>
      <c r="B161" s="11" t="s">
        <v>42</v>
      </c>
      <c r="C161" s="24" t="n">
        <v>0</v>
      </c>
      <c r="I161" s="11" t="s">
        <v>413</v>
      </c>
    </row>
    <row r="162" customFormat="false" ht="15" hidden="false" customHeight="false" outlineLevel="1" collapsed="false">
      <c r="A162" s="3" t="s">
        <v>414</v>
      </c>
      <c r="B162" s="11" t="s">
        <v>42</v>
      </c>
      <c r="C162" s="24" t="n">
        <v>0.12</v>
      </c>
      <c r="I162" s="6" t="s">
        <v>415</v>
      </c>
    </row>
    <row r="163" customFormat="false" ht="15" hidden="false" customHeight="false" outlineLevel="1" collapsed="false">
      <c r="A163" s="3" t="s">
        <v>416</v>
      </c>
      <c r="B163" s="11" t="s">
        <v>42</v>
      </c>
      <c r="C163" s="24" t="n">
        <v>0.151</v>
      </c>
      <c r="I163" s="6" t="s">
        <v>417</v>
      </c>
    </row>
    <row r="164" customFormat="false" ht="15" hidden="false" customHeight="false" outlineLevel="1" collapsed="false">
      <c r="A164" s="4" t="s">
        <v>418</v>
      </c>
      <c r="B164" s="11" t="s">
        <v>419</v>
      </c>
      <c r="C164" s="21"/>
      <c r="I164" s="6" t="s">
        <v>420</v>
      </c>
    </row>
    <row r="165" customFormat="false" ht="15" hidden="false" customHeight="false" outlineLevel="1" collapsed="false">
      <c r="A165" s="4" t="s">
        <v>421</v>
      </c>
      <c r="B165" s="6"/>
      <c r="C165" s="21" t="n">
        <v>0</v>
      </c>
      <c r="I165" s="6" t="s">
        <v>422</v>
      </c>
    </row>
    <row r="166" customFormat="false" ht="15" hidden="false" customHeight="false" outlineLevel="1" collapsed="false">
      <c r="A166" s="4" t="s">
        <v>423</v>
      </c>
      <c r="B166" s="11" t="s">
        <v>419</v>
      </c>
      <c r="C166" s="21" t="n">
        <v>450</v>
      </c>
      <c r="I166" s="11" t="s">
        <v>424</v>
      </c>
    </row>
    <row r="167" customFormat="false" ht="15" hidden="false" customHeight="false" outlineLevel="1" collapsed="false">
      <c r="A167" s="4" t="s">
        <v>425</v>
      </c>
      <c r="B167" s="11" t="s">
        <v>42</v>
      </c>
      <c r="C167" s="24" t="n">
        <v>0.4</v>
      </c>
      <c r="I167" s="6" t="s">
        <v>426</v>
      </c>
    </row>
    <row r="168" customFormat="false" ht="15" hidden="false" customHeight="false" outlineLevel="1" collapsed="false">
      <c r="A168" s="14" t="s">
        <v>53</v>
      </c>
      <c r="B168" s="14" t="s">
        <v>54</v>
      </c>
      <c r="C168" s="28" t="s">
        <v>55</v>
      </c>
      <c r="D168" s="28" t="s">
        <v>56</v>
      </c>
      <c r="E168" s="28" t="s">
        <v>57</v>
      </c>
      <c r="F168" s="28" t="s">
        <v>148</v>
      </c>
      <c r="G168" s="28" t="s">
        <v>149</v>
      </c>
      <c r="I168" s="14" t="s">
        <v>212</v>
      </c>
    </row>
    <row r="169" customFormat="false" ht="15" hidden="false" customHeight="false" outlineLevel="1" collapsed="false">
      <c r="A169" s="3" t="s">
        <v>427</v>
      </c>
      <c r="B169" s="11" t="s">
        <v>59</v>
      </c>
      <c r="C169" s="25" t="n">
        <v>0.244</v>
      </c>
      <c r="D169" s="25" t="n">
        <v>0.325</v>
      </c>
      <c r="E169" s="25" t="n">
        <v>0.244</v>
      </c>
      <c r="F169" s="25" t="n">
        <v>0</v>
      </c>
      <c r="G169" s="25" t="n">
        <v>0</v>
      </c>
      <c r="I169" s="6" t="s">
        <v>428</v>
      </c>
    </row>
    <row r="170" customFormat="false" ht="15" hidden="false" customHeight="false" outlineLevel="1" collapsed="false">
      <c r="A170" s="3" t="s">
        <v>429</v>
      </c>
      <c r="B170" s="11" t="s">
        <v>59</v>
      </c>
      <c r="C170" s="25" t="n">
        <v>3.007</v>
      </c>
      <c r="D170" s="25" t="n">
        <v>10.147</v>
      </c>
      <c r="E170" s="25" t="n">
        <v>5.5</v>
      </c>
      <c r="F170" s="25" t="n">
        <v>7.25</v>
      </c>
      <c r="G170" s="25" t="n">
        <v>9.75</v>
      </c>
      <c r="I170" s="6" t="s">
        <v>430</v>
      </c>
    </row>
    <row r="171" customFormat="false" ht="15" hidden="false" customHeight="false" outlineLevel="1" collapsed="false">
      <c r="A171" s="3" t="s">
        <v>431</v>
      </c>
      <c r="B171" s="11" t="s">
        <v>42</v>
      </c>
      <c r="C171" s="24" t="n">
        <v>0.058</v>
      </c>
      <c r="D171" s="24" t="n">
        <v>0.058</v>
      </c>
      <c r="E171" s="24" t="n">
        <v>0.058</v>
      </c>
      <c r="F171" s="24" t="n">
        <v>0.058</v>
      </c>
      <c r="G171" s="24" t="n">
        <v>0.058</v>
      </c>
      <c r="I171" s="6" t="s">
        <v>432</v>
      </c>
    </row>
    <row r="172" customFormat="false" ht="15" hidden="false" customHeight="false" outlineLevel="1" collapsed="false">
      <c r="A172" s="3" t="s">
        <v>433</v>
      </c>
      <c r="B172" s="11" t="s">
        <v>59</v>
      </c>
      <c r="C172" s="42" t="n">
        <f aca="false">資產負債_既有債務!C88</f>
        <v>4.47957091589961</v>
      </c>
      <c r="D172" s="42" t="n">
        <f aca="false">資產負債_既有債務!D88</f>
        <v>5.65698394898732</v>
      </c>
      <c r="E172" s="42" t="n">
        <f aca="false">資產負債_既有債務!E88</f>
        <v>5.28135927373237</v>
      </c>
      <c r="F172" s="42" t="n">
        <f aca="false">資產負債_既有債務!F88</f>
        <v>4.97528049764106</v>
      </c>
      <c r="G172" s="42" t="n">
        <f aca="false">資產負債_既有債務!G88</f>
        <v>4.56717546285265</v>
      </c>
      <c r="I172" s="6" t="s">
        <v>434</v>
      </c>
    </row>
    <row r="174" customFormat="false" ht="15" hidden="false" customHeight="false" outlineLevel="0" collapsed="false">
      <c r="A174" s="7" t="s">
        <v>435</v>
      </c>
      <c r="B174" s="8"/>
      <c r="C174" s="8"/>
      <c r="D174" s="8"/>
      <c r="E174" s="8"/>
      <c r="F174" s="8"/>
      <c r="G174" s="8"/>
      <c r="H174" s="8"/>
    </row>
    <row r="175" customFormat="false" ht="15" hidden="false" customHeight="false" outlineLevel="1" collapsed="false">
      <c r="A175" s="3" t="s">
        <v>436</v>
      </c>
      <c r="B175" s="11" t="s">
        <v>39</v>
      </c>
      <c r="C175" s="40" t="n">
        <v>144.77</v>
      </c>
      <c r="I175" s="11" t="s">
        <v>437</v>
      </c>
    </row>
    <row r="176" customFormat="false" ht="15" hidden="false" customHeight="false" outlineLevel="1" collapsed="false">
      <c r="A176" s="3" t="s">
        <v>438</v>
      </c>
      <c r="B176" s="11" t="s">
        <v>391</v>
      </c>
      <c r="C176" s="41" t="n">
        <v>3.057736</v>
      </c>
      <c r="I176" s="6" t="s">
        <v>439</v>
      </c>
    </row>
    <row r="177" customFormat="false" ht="15" hidden="false" customHeight="false" outlineLevel="1" collapsed="false">
      <c r="A177" s="3" t="s">
        <v>440</v>
      </c>
      <c r="B177" s="11" t="s">
        <v>59</v>
      </c>
      <c r="C177" s="25" t="n">
        <v>88.827</v>
      </c>
      <c r="I177" s="6" t="s">
        <v>441</v>
      </c>
    </row>
    <row r="178" customFormat="false" ht="15" hidden="false" customHeight="false" outlineLevel="1" collapsed="false">
      <c r="A178" s="3" t="s">
        <v>442</v>
      </c>
      <c r="B178" s="11" t="s">
        <v>42</v>
      </c>
      <c r="C178" s="24" t="n">
        <v>0.3</v>
      </c>
      <c r="I178" s="6" t="s">
        <v>443</v>
      </c>
    </row>
    <row r="179" customFormat="false" ht="15" hidden="false" customHeight="false" outlineLevel="1" collapsed="false">
      <c r="A179" s="3" t="s">
        <v>444</v>
      </c>
      <c r="B179" s="11" t="s">
        <v>59</v>
      </c>
      <c r="C179" s="33" t="n">
        <f aca="false">0-(0)*(1-輸入與假設!$C$178)</f>
        <v>0</v>
      </c>
      <c r="I179" s="6" t="s">
        <v>445</v>
      </c>
    </row>
    <row r="180" customFormat="false" ht="15" hidden="false" customHeight="false" outlineLevel="1" collapsed="false">
      <c r="A180" s="3" t="s">
        <v>446</v>
      </c>
      <c r="B180" s="11" t="s">
        <v>42</v>
      </c>
      <c r="C180" s="24" t="n">
        <v>0.151</v>
      </c>
      <c r="I180" s="11" t="s">
        <v>447</v>
      </c>
    </row>
    <row r="181" customFormat="false" ht="15" hidden="false" customHeight="false" outlineLevel="1" collapsed="false">
      <c r="A181" s="3" t="s">
        <v>448</v>
      </c>
      <c r="B181" s="11" t="s">
        <v>42</v>
      </c>
      <c r="C181" s="24" t="n">
        <v>0.0527</v>
      </c>
      <c r="I181" s="11" t="s">
        <v>449</v>
      </c>
    </row>
    <row r="182" customFormat="false" ht="15" hidden="false" customHeight="false" outlineLevel="1" collapsed="false">
      <c r="A182" s="4" t="s">
        <v>450</v>
      </c>
      <c r="B182" s="11" t="s">
        <v>105</v>
      </c>
      <c r="C182" s="35" t="n">
        <v>1.77</v>
      </c>
      <c r="I182" s="11" t="s">
        <v>451</v>
      </c>
    </row>
    <row r="183" customFormat="false" ht="15" hidden="false" customHeight="false" outlineLevel="1" collapsed="false">
      <c r="A183" s="4" t="s">
        <v>452</v>
      </c>
      <c r="B183" s="11" t="s">
        <v>42</v>
      </c>
      <c r="C183" s="24" t="n">
        <v>0.05</v>
      </c>
      <c r="I183" s="11" t="s">
        <v>453</v>
      </c>
    </row>
    <row r="184" customFormat="false" ht="15" hidden="false" customHeight="false" outlineLevel="1" collapsed="false">
      <c r="A184" s="3" t="s">
        <v>454</v>
      </c>
      <c r="B184" s="11" t="s">
        <v>42</v>
      </c>
      <c r="C184" s="32" t="n">
        <f aca="false">輸入與假設!$C$181+輸入與假設!$C$182*輸入與假設!$C$183</f>
        <v>0.1412</v>
      </c>
      <c r="I184" s="11" t="s">
        <v>455</v>
      </c>
    </row>
    <row r="185" customFormat="false" ht="15" hidden="false" customHeight="false" outlineLevel="1" collapsed="false">
      <c r="A185" s="3" t="s">
        <v>456</v>
      </c>
      <c r="B185" s="11" t="s">
        <v>42</v>
      </c>
      <c r="C185" s="24" t="n">
        <v>0.0811</v>
      </c>
      <c r="I185" s="11" t="s">
        <v>457</v>
      </c>
    </row>
    <row r="186" customFormat="false" ht="15" hidden="false" customHeight="false" outlineLevel="1" collapsed="false">
      <c r="A186" s="3" t="s">
        <v>458</v>
      </c>
      <c r="B186" s="11" t="s">
        <v>59</v>
      </c>
      <c r="C186" s="33" t="n">
        <f aca="false">輸入與假設!$C$175*3.023736</f>
        <v>437.74626072</v>
      </c>
      <c r="I186" s="6" t="s">
        <v>459</v>
      </c>
    </row>
    <row r="187" customFormat="false" ht="15" hidden="false" customHeight="false" outlineLevel="1" collapsed="false">
      <c r="A187" s="3" t="s">
        <v>460</v>
      </c>
      <c r="B187" s="11" t="s">
        <v>59</v>
      </c>
      <c r="C187" s="25" t="n">
        <v>125.904</v>
      </c>
      <c r="I187" s="6" t="s">
        <v>461</v>
      </c>
    </row>
    <row r="188" customFormat="false" ht="15" hidden="false" customHeight="false" outlineLevel="1" collapsed="false">
      <c r="A188" s="4" t="s">
        <v>462</v>
      </c>
      <c r="B188" s="11" t="s">
        <v>42</v>
      </c>
      <c r="C188" s="32" t="n">
        <f aca="false">輸入與假設!$C$186/(輸入與假設!$C$187+輸入與假設!$C$186)*輸入與假設!$C$184+輸入與假設!$C$187/(輸入與假設!$C$187+輸入與假設!$C$186)*輸入與假設!$C$185*(1-輸入與假設!$C$180)</f>
        <v>0.125039866652834</v>
      </c>
      <c r="I188" s="11" t="s">
        <v>463</v>
      </c>
    </row>
    <row r="189" customFormat="false" ht="15" hidden="false" customHeight="false" outlineLevel="1" collapsed="false">
      <c r="A189" s="4" t="s">
        <v>464</v>
      </c>
      <c r="B189" s="11" t="s">
        <v>42</v>
      </c>
      <c r="C189" s="24"/>
      <c r="I189" s="11" t="s">
        <v>465</v>
      </c>
    </row>
    <row r="190" customFormat="false" ht="15" hidden="false" customHeight="false" outlineLevel="1" collapsed="false">
      <c r="A190" s="4" t="s">
        <v>466</v>
      </c>
      <c r="B190" s="11" t="s">
        <v>42</v>
      </c>
      <c r="C190" s="32" t="n">
        <f aca="false">IF(ISBLANK(輸入與假設!$C$189),輸入與假設!$C$188,輸入與假設!$C$189)</f>
        <v>0.125039866652834</v>
      </c>
      <c r="I190" s="6" t="s">
        <v>467</v>
      </c>
    </row>
    <row r="191" customFormat="false" ht="15" hidden="false" customHeight="false" outlineLevel="1" collapsed="false">
      <c r="A191" s="3" t="s">
        <v>468</v>
      </c>
      <c r="B191" s="11" t="s">
        <v>42</v>
      </c>
      <c r="C191" s="24" t="n">
        <v>0.03</v>
      </c>
      <c r="I191" s="11" t="s">
        <v>230</v>
      </c>
    </row>
    <row r="192" customFormat="false" ht="15" hidden="false" customHeight="false" outlineLevel="1" collapsed="false">
      <c r="A192" s="3" t="s">
        <v>469</v>
      </c>
      <c r="B192" s="11" t="s">
        <v>42</v>
      </c>
      <c r="C192" s="24" t="n">
        <v>0.8</v>
      </c>
      <c r="I192" s="11" t="s">
        <v>470</v>
      </c>
    </row>
    <row r="193" customFormat="false" ht="15" hidden="false" customHeight="false" outlineLevel="1" collapsed="false">
      <c r="A193" s="3" t="s">
        <v>471</v>
      </c>
      <c r="B193" s="11" t="s">
        <v>59</v>
      </c>
      <c r="C193" s="25" t="n">
        <v>0</v>
      </c>
      <c r="I193" s="11" t="s">
        <v>472</v>
      </c>
    </row>
    <row r="194" customFormat="false" ht="15" hidden="false" customHeight="false" outlineLevel="1" collapsed="false">
      <c r="A194" s="4" t="s">
        <v>473</v>
      </c>
      <c r="B194" s="11" t="s">
        <v>42</v>
      </c>
      <c r="C194" s="24" t="n">
        <v>0.8</v>
      </c>
      <c r="I194" s="6" t="s">
        <v>474</v>
      </c>
    </row>
    <row r="195" customFormat="false" ht="15" hidden="false" customHeight="false" outlineLevel="1" collapsed="false">
      <c r="A195" s="3" t="s">
        <v>475</v>
      </c>
      <c r="B195" s="11" t="s">
        <v>42</v>
      </c>
      <c r="C195" s="24" t="n">
        <v>0.02</v>
      </c>
      <c r="I195" s="6" t="s">
        <v>476</v>
      </c>
    </row>
    <row r="196" customFormat="false" ht="15" hidden="false" customHeight="false" outlineLevel="1" collapsed="false">
      <c r="A196" s="4" t="s">
        <v>477</v>
      </c>
      <c r="B196" s="11" t="s">
        <v>105</v>
      </c>
      <c r="C196" s="43" t="n">
        <v>6</v>
      </c>
      <c r="I196" s="11" t="s">
        <v>478</v>
      </c>
    </row>
    <row r="197" customFormat="false" ht="15" hidden="false" customHeight="false" outlineLevel="1" collapsed="false">
      <c r="A197" s="3" t="s">
        <v>479</v>
      </c>
      <c r="B197" s="11" t="s">
        <v>105</v>
      </c>
      <c r="C197" s="43" t="n">
        <v>15.59</v>
      </c>
      <c r="I197" s="11" t="s">
        <v>480</v>
      </c>
    </row>
    <row r="198" customFormat="false" ht="15" hidden="false" customHeight="false" outlineLevel="1" collapsed="false">
      <c r="A198" s="3" t="s">
        <v>481</v>
      </c>
      <c r="B198" s="11" t="s">
        <v>105</v>
      </c>
      <c r="C198" s="43" t="n">
        <v>15.02</v>
      </c>
      <c r="I198" s="11" t="s">
        <v>482</v>
      </c>
    </row>
    <row r="199" customFormat="false" ht="15" hidden="false" customHeight="false" outlineLevel="1" collapsed="false">
      <c r="A199" s="3" t="s">
        <v>483</v>
      </c>
      <c r="B199" s="11" t="s">
        <v>105</v>
      </c>
      <c r="C199" s="43" t="n">
        <v>10.8</v>
      </c>
      <c r="I199" s="11" t="s">
        <v>484</v>
      </c>
    </row>
    <row r="200" customFormat="false" ht="15" hidden="false" customHeight="false" outlineLevel="1" collapsed="false">
      <c r="A200" s="3" t="s">
        <v>485</v>
      </c>
      <c r="B200" s="11" t="s">
        <v>105</v>
      </c>
      <c r="C200" s="43" t="n">
        <v>6.6</v>
      </c>
      <c r="I200" s="11" t="s">
        <v>486</v>
      </c>
    </row>
    <row r="201" customFormat="false" ht="15" hidden="false" customHeight="false" outlineLevel="1" collapsed="false">
      <c r="A201" s="3" t="s">
        <v>487</v>
      </c>
      <c r="B201" s="11" t="s">
        <v>105</v>
      </c>
      <c r="C201" s="43" t="n">
        <v>20.65</v>
      </c>
      <c r="I201" s="11" t="s">
        <v>488</v>
      </c>
    </row>
    <row r="202" customFormat="false" ht="15" hidden="false" customHeight="false" outlineLevel="1" collapsed="false">
      <c r="A202" s="3" t="s">
        <v>489</v>
      </c>
      <c r="B202" s="11" t="s">
        <v>105</v>
      </c>
      <c r="C202" s="44" t="n">
        <f aca="false">MEDIAN(輸入與假設!$C$197,輸入與假設!$C$198,輸入與假設!$C$199,輸入與假設!$C$200,輸入與假設!$C$201)</f>
        <v>15.02</v>
      </c>
      <c r="I202" s="6" t="s">
        <v>490</v>
      </c>
    </row>
    <row r="203" customFormat="false" ht="15" hidden="false" customHeight="false" outlineLevel="1" collapsed="false">
      <c r="A203" s="3" t="s">
        <v>491</v>
      </c>
      <c r="B203" s="11" t="s">
        <v>105</v>
      </c>
      <c r="C203" s="43"/>
      <c r="I203" s="11" t="s">
        <v>492</v>
      </c>
    </row>
    <row r="204" customFormat="false" ht="15" hidden="false" customHeight="false" outlineLevel="1" collapsed="false">
      <c r="A204" s="3" t="s">
        <v>493</v>
      </c>
      <c r="B204" s="11" t="s">
        <v>105</v>
      </c>
      <c r="C204" s="44" t="n">
        <f aca="false">IF(ISBLANK(輸入與假設!$C$203),輸入與假設!$C$202,輸入與假設!$C$203)</f>
        <v>15.02</v>
      </c>
      <c r="I204" s="6" t="s">
        <v>494</v>
      </c>
    </row>
    <row r="205" customFormat="false" ht="15" hidden="false" customHeight="false" outlineLevel="1" collapsed="false">
      <c r="A205" s="4" t="s">
        <v>495</v>
      </c>
      <c r="B205" s="6"/>
      <c r="C205" s="18" t="n">
        <v>2</v>
      </c>
      <c r="I205" s="6" t="s">
        <v>496</v>
      </c>
    </row>
    <row r="206" customFormat="false" ht="15" hidden="false" customHeight="false" outlineLevel="1" collapsed="false">
      <c r="A206" s="3" t="s">
        <v>497</v>
      </c>
      <c r="B206" s="11" t="s">
        <v>42</v>
      </c>
      <c r="C206" s="24" t="n">
        <v>0.45</v>
      </c>
      <c r="I206" s="6"/>
    </row>
    <row r="207" customFormat="false" ht="15" hidden="false" customHeight="false" outlineLevel="1" collapsed="false">
      <c r="A207" s="3" t="s">
        <v>498</v>
      </c>
      <c r="B207" s="11" t="s">
        <v>42</v>
      </c>
      <c r="C207" s="24" t="n">
        <v>0.55</v>
      </c>
      <c r="I207" s="6"/>
    </row>
    <row r="208" customFormat="false" ht="15" hidden="false" customHeight="false" outlineLevel="1" collapsed="false">
      <c r="A208" s="3" t="s">
        <v>499</v>
      </c>
      <c r="B208" s="11" t="s">
        <v>105</v>
      </c>
      <c r="C208" s="43" t="n">
        <v>5</v>
      </c>
      <c r="I208" s="11" t="s">
        <v>500</v>
      </c>
    </row>
    <row r="209" customFormat="false" ht="15" hidden="false" customHeight="false" outlineLevel="1" collapsed="false">
      <c r="A209" s="3" t="s">
        <v>501</v>
      </c>
      <c r="B209" s="11" t="s">
        <v>105</v>
      </c>
      <c r="C209" s="43" t="n">
        <v>6</v>
      </c>
      <c r="I209" s="6"/>
    </row>
    <row r="210" customFormat="false" ht="15" hidden="false" customHeight="false" outlineLevel="1" collapsed="false">
      <c r="A210" s="3" t="s">
        <v>502</v>
      </c>
      <c r="B210" s="11" t="s">
        <v>42</v>
      </c>
      <c r="C210" s="24" t="n">
        <v>0.01</v>
      </c>
      <c r="I210" s="6" t="s">
        <v>503</v>
      </c>
    </row>
    <row r="211" customFormat="false" ht="15" hidden="false" customHeight="false" outlineLevel="1" collapsed="false">
      <c r="A211" s="3" t="s">
        <v>504</v>
      </c>
      <c r="B211" s="11" t="s">
        <v>59</v>
      </c>
      <c r="C211" s="25" t="n">
        <v>4.508</v>
      </c>
      <c r="I211" s="11" t="s">
        <v>505</v>
      </c>
    </row>
    <row r="212" customFormat="false" ht="15" hidden="false" customHeight="false" outlineLevel="1" collapsed="false">
      <c r="A212" s="31" t="s">
        <v>506</v>
      </c>
      <c r="B212" s="20"/>
      <c r="C212" s="20"/>
      <c r="D212" s="20"/>
      <c r="E212" s="20"/>
      <c r="F212" s="20"/>
      <c r="G212" s="20"/>
      <c r="H212" s="20"/>
    </row>
    <row r="213" customFormat="false" ht="15" hidden="false" customHeight="false" outlineLevel="2" collapsed="false">
      <c r="A213" s="4" t="s">
        <v>507</v>
      </c>
      <c r="B213" s="6"/>
      <c r="C213" s="18" t="n">
        <v>1</v>
      </c>
      <c r="I213" s="11" t="s">
        <v>508</v>
      </c>
    </row>
    <row r="214" customFormat="false" ht="15" hidden="false" customHeight="false" outlineLevel="2" collapsed="false">
      <c r="A214" s="3" t="s">
        <v>509</v>
      </c>
      <c r="B214" s="11" t="s">
        <v>42</v>
      </c>
      <c r="C214" s="24" t="n">
        <v>0.5</v>
      </c>
      <c r="I214" s="6" t="s">
        <v>510</v>
      </c>
    </row>
    <row r="215" customFormat="false" ht="15" hidden="false" customHeight="false" outlineLevel="2" collapsed="false">
      <c r="A215" s="3" t="s">
        <v>511</v>
      </c>
      <c r="B215" s="6" t="s">
        <v>190</v>
      </c>
      <c r="C215" s="26" t="n">
        <v>4.75</v>
      </c>
      <c r="I215" s="6" t="s">
        <v>512</v>
      </c>
    </row>
    <row r="216" customFormat="false" ht="15" hidden="false" customHeight="false" outlineLevel="1" collapsed="false">
      <c r="A216" s="19" t="s">
        <v>513</v>
      </c>
      <c r="B216" s="20"/>
      <c r="C216" s="20"/>
      <c r="D216" s="20"/>
      <c r="E216" s="20"/>
      <c r="F216" s="20"/>
      <c r="G216" s="20"/>
      <c r="H216" s="20"/>
    </row>
    <row r="217" customFormat="false" ht="15" hidden="false" customHeight="false" outlineLevel="2" collapsed="false">
      <c r="A217" s="3" t="s">
        <v>514</v>
      </c>
      <c r="B217" s="6" t="s">
        <v>515</v>
      </c>
      <c r="C217" s="22" t="n">
        <v>5</v>
      </c>
      <c r="I217" s="11" t="s">
        <v>516</v>
      </c>
    </row>
    <row r="218" customFormat="false" ht="15" hidden="false" customHeight="false" outlineLevel="2" collapsed="false">
      <c r="A218" s="3" t="s">
        <v>517</v>
      </c>
      <c r="B218" s="6"/>
      <c r="C218" s="45" t="s">
        <v>518</v>
      </c>
      <c r="I218" s="11" t="s">
        <v>519</v>
      </c>
    </row>
    <row r="219" customFormat="false" ht="15" hidden="false" customHeight="false" outlineLevel="2" collapsed="false">
      <c r="A219" s="3" t="s">
        <v>520</v>
      </c>
      <c r="B219" s="6"/>
      <c r="C219" s="45" t="s">
        <v>521</v>
      </c>
      <c r="I219" s="11" t="s">
        <v>522</v>
      </c>
    </row>
    <row r="220" customFormat="false" ht="15" hidden="false" customHeight="false" outlineLevel="2" collapsed="false">
      <c r="A220" s="3" t="s">
        <v>523</v>
      </c>
      <c r="B220" s="6"/>
      <c r="C220" s="45" t="s">
        <v>524</v>
      </c>
      <c r="I220" s="6" t="s">
        <v>525</v>
      </c>
    </row>
    <row r="221" customFormat="false" ht="15" hidden="false" customHeight="false" outlineLevel="2" collapsed="false">
      <c r="A221" s="3" t="s">
        <v>526</v>
      </c>
      <c r="B221" s="6" t="s">
        <v>190</v>
      </c>
      <c r="C221" s="33" t="n">
        <v>1</v>
      </c>
      <c r="I221" s="6"/>
    </row>
    <row r="222" customFormat="false" ht="15" hidden="false" customHeight="false" outlineLevel="2" collapsed="false">
      <c r="A222" s="3" t="s">
        <v>527</v>
      </c>
      <c r="B222" s="6"/>
      <c r="C222" s="45" t="s">
        <v>528</v>
      </c>
      <c r="I222" s="6" t="s">
        <v>529</v>
      </c>
    </row>
    <row r="223" customFormat="false" ht="15" hidden="false" customHeight="false" outlineLevel="2" collapsed="false">
      <c r="A223" s="3" t="s">
        <v>530</v>
      </c>
      <c r="B223" s="6"/>
      <c r="C223" s="45" t="s">
        <v>531</v>
      </c>
      <c r="I223" s="11" t="s">
        <v>532</v>
      </c>
    </row>
    <row r="224" customFormat="false" ht="15" hidden="false" customHeight="false" outlineLevel="2" collapsed="false">
      <c r="A224" s="3" t="s">
        <v>533</v>
      </c>
      <c r="B224" s="6"/>
      <c r="C224" s="45" t="s">
        <v>534</v>
      </c>
      <c r="I224" s="11" t="s">
        <v>535</v>
      </c>
    </row>
    <row r="225" customFormat="false" ht="15" hidden="false" customHeight="false" outlineLevel="2" collapsed="false">
      <c r="A225" s="3" t="s">
        <v>536</v>
      </c>
      <c r="B225" s="6" t="s">
        <v>190</v>
      </c>
      <c r="C225" s="33" t="n">
        <v>0.25</v>
      </c>
      <c r="I225" s="11" t="s">
        <v>537</v>
      </c>
    </row>
    <row r="226" customFormat="false" ht="15" hidden="false" customHeight="false" outlineLevel="2" collapsed="false">
      <c r="A226" s="14" t="s">
        <v>538</v>
      </c>
      <c r="B226" s="14" t="s">
        <v>54</v>
      </c>
      <c r="C226" s="28" t="s">
        <v>55</v>
      </c>
      <c r="D226" s="28" t="s">
        <v>56</v>
      </c>
      <c r="E226" s="28" t="s">
        <v>57</v>
      </c>
      <c r="F226" s="28" t="s">
        <v>148</v>
      </c>
      <c r="G226" s="28" t="s">
        <v>149</v>
      </c>
      <c r="I226" s="14" t="s">
        <v>212</v>
      </c>
    </row>
    <row r="227" customFormat="false" ht="15" hidden="false" customHeight="false" outlineLevel="2" collapsed="false">
      <c r="A227" s="3" t="s">
        <v>539</v>
      </c>
      <c r="B227" s="6"/>
      <c r="C227" s="45" t="s">
        <v>540</v>
      </c>
      <c r="D227" s="45" t="s">
        <v>541</v>
      </c>
      <c r="E227" s="45" t="s">
        <v>542</v>
      </c>
      <c r="F227" s="45" t="s">
        <v>543</v>
      </c>
      <c r="G227" s="45" t="s">
        <v>544</v>
      </c>
      <c r="I227" s="6" t="s">
        <v>545</v>
      </c>
    </row>
    <row r="228" customFormat="false" ht="15" hidden="false" customHeight="false" outlineLevel="2" collapsed="false">
      <c r="A228" s="3" t="s">
        <v>546</v>
      </c>
      <c r="B228" s="6" t="s">
        <v>190</v>
      </c>
      <c r="C228" s="33" t="n">
        <v>0.75</v>
      </c>
      <c r="D228" s="33" t="n">
        <v>1.75</v>
      </c>
      <c r="E228" s="33" t="n">
        <v>2.75</v>
      </c>
      <c r="F228" s="33" t="n">
        <v>3.75</v>
      </c>
      <c r="G228" s="33" t="n">
        <v>4.75</v>
      </c>
      <c r="I228" s="6" t="s">
        <v>545</v>
      </c>
    </row>
    <row r="229" customFormat="false" ht="15" hidden="false" customHeight="false" outlineLevel="2" collapsed="false">
      <c r="A229" s="3" t="s">
        <v>547</v>
      </c>
      <c r="B229" s="6" t="s">
        <v>190</v>
      </c>
      <c r="C229" s="33" t="n">
        <v>0</v>
      </c>
      <c r="D229" s="33" t="n">
        <v>0.75</v>
      </c>
      <c r="E229" s="33" t="n">
        <v>1.75</v>
      </c>
      <c r="F229" s="33" t="n">
        <v>2.75</v>
      </c>
      <c r="G229" s="33" t="n">
        <v>3.75</v>
      </c>
      <c r="I229" s="6" t="s">
        <v>545</v>
      </c>
    </row>
    <row r="230" customFormat="false" ht="15" hidden="false" customHeight="false" outlineLevel="1" collapsed="false">
      <c r="A230" s="19" t="s">
        <v>548</v>
      </c>
      <c r="B230" s="20"/>
      <c r="C230" s="20"/>
      <c r="D230" s="20"/>
      <c r="E230" s="20"/>
      <c r="F230" s="20"/>
      <c r="G230" s="20"/>
      <c r="H230" s="20"/>
    </row>
    <row r="231" customFormat="false" ht="15" hidden="false" customHeight="false" outlineLevel="2" collapsed="false">
      <c r="A231" s="3" t="s">
        <v>549</v>
      </c>
      <c r="B231" s="11" t="s">
        <v>42</v>
      </c>
      <c r="C231" s="24" t="n">
        <v>0.25</v>
      </c>
      <c r="I231" s="6" t="s">
        <v>550</v>
      </c>
    </row>
    <row r="232" customFormat="false" ht="15" hidden="false" customHeight="false" outlineLevel="2" collapsed="false">
      <c r="A232" s="3" t="s">
        <v>551</v>
      </c>
      <c r="B232" s="11" t="s">
        <v>42</v>
      </c>
      <c r="C232" s="24" t="n">
        <v>0.9</v>
      </c>
      <c r="I232" s="6" t="s">
        <v>552</v>
      </c>
    </row>
    <row r="233" customFormat="false" ht="15" hidden="false" customHeight="false" outlineLevel="2" collapsed="false">
      <c r="A233" s="3" t="s">
        <v>553</v>
      </c>
      <c r="B233" s="11" t="s">
        <v>42</v>
      </c>
      <c r="C233" s="24" t="n">
        <v>-0.15</v>
      </c>
      <c r="I233" s="6" t="s">
        <v>554</v>
      </c>
    </row>
    <row r="234" customFormat="false" ht="15" hidden="false" customHeight="false" outlineLevel="2" collapsed="false">
      <c r="A234" s="3" t="s">
        <v>555</v>
      </c>
      <c r="B234" s="11" t="s">
        <v>105</v>
      </c>
      <c r="C234" s="43" t="n">
        <v>1.5</v>
      </c>
      <c r="I234" s="6" t="s">
        <v>556</v>
      </c>
    </row>
    <row r="235" customFormat="false" ht="15" hidden="false" customHeight="false" outlineLevel="2" collapsed="false">
      <c r="A235" s="3" t="s">
        <v>557</v>
      </c>
      <c r="B235" s="11" t="s">
        <v>42</v>
      </c>
      <c r="C235" s="24" t="n">
        <v>-0.08</v>
      </c>
      <c r="I235" s="6" t="s">
        <v>558</v>
      </c>
    </row>
    <row r="236" customFormat="false" ht="15" hidden="false" customHeight="false" outlineLevel="2" collapsed="false">
      <c r="A236" s="3" t="s">
        <v>559</v>
      </c>
      <c r="B236" s="11" t="s">
        <v>42</v>
      </c>
      <c r="C236" s="24" t="n">
        <v>0.05</v>
      </c>
      <c r="I236" s="6" t="s">
        <v>560</v>
      </c>
    </row>
    <row r="237" customFormat="false" ht="15" hidden="false" customHeight="false" outlineLevel="2" collapsed="false">
      <c r="A237" s="3" t="s">
        <v>561</v>
      </c>
      <c r="B237" s="11" t="s">
        <v>42</v>
      </c>
      <c r="C237" s="24" t="n">
        <v>0.85</v>
      </c>
      <c r="I237" s="6" t="s">
        <v>562</v>
      </c>
    </row>
    <row r="239" customFormat="false" ht="15" hidden="false" customHeight="false" outlineLevel="0" collapsed="true">
      <c r="A239" s="7" t="s">
        <v>563</v>
      </c>
      <c r="B239" s="8"/>
      <c r="C239" s="8"/>
      <c r="D239" s="8"/>
      <c r="E239" s="8"/>
      <c r="F239" s="8"/>
      <c r="G239" s="8"/>
      <c r="H239" s="8"/>
    </row>
    <row r="240" customFormat="false" ht="15" hidden="true" customHeight="false" outlineLevel="1" collapsed="false">
      <c r="A240" s="4" t="s">
        <v>564</v>
      </c>
      <c r="B240" s="11" t="s">
        <v>59</v>
      </c>
      <c r="C240" s="25" t="n">
        <v>31.289</v>
      </c>
      <c r="I240" s="6" t="s">
        <v>565</v>
      </c>
    </row>
    <row r="241" customFormat="false" ht="15" hidden="true" customHeight="false" outlineLevel="1" collapsed="false">
      <c r="A241" s="3" t="s">
        <v>566</v>
      </c>
      <c r="B241" s="11" t="s">
        <v>59</v>
      </c>
      <c r="C241" s="25" t="n">
        <v>23.103</v>
      </c>
      <c r="I241" s="11" t="s">
        <v>567</v>
      </c>
    </row>
    <row r="242" customFormat="false" ht="15" hidden="true" customHeight="false" outlineLevel="1" collapsed="false">
      <c r="A242" s="3" t="s">
        <v>568</v>
      </c>
      <c r="B242" s="11" t="s">
        <v>59</v>
      </c>
      <c r="C242" s="25" t="n">
        <v>28.499</v>
      </c>
      <c r="I242" s="11" t="s">
        <v>569</v>
      </c>
    </row>
    <row r="243" customFormat="false" ht="15" hidden="true" customHeight="false" outlineLevel="1" collapsed="false">
      <c r="A243" s="4" t="s">
        <v>570</v>
      </c>
      <c r="B243" s="11" t="s">
        <v>59</v>
      </c>
      <c r="C243" s="25" t="n">
        <v>28.499</v>
      </c>
      <c r="I243" s="6" t="s">
        <v>571</v>
      </c>
    </row>
    <row r="244" customFormat="false" ht="15" hidden="true" customHeight="false" outlineLevel="1" collapsed="false">
      <c r="A244" s="4" t="s">
        <v>572</v>
      </c>
      <c r="B244" s="11" t="s">
        <v>59</v>
      </c>
      <c r="C244" s="25" t="n">
        <v>0</v>
      </c>
      <c r="I244" s="6" t="s">
        <v>573</v>
      </c>
    </row>
    <row r="245" customFormat="false" ht="15" hidden="true" customHeight="false" outlineLevel="1" collapsed="false">
      <c r="A245" s="3" t="s">
        <v>574</v>
      </c>
      <c r="B245" s="11" t="s">
        <v>59</v>
      </c>
      <c r="C245" s="25" t="n">
        <v>0</v>
      </c>
      <c r="I245" s="11" t="s">
        <v>575</v>
      </c>
    </row>
    <row r="246" customFormat="false" ht="15" hidden="true" customHeight="false" outlineLevel="1" collapsed="false">
      <c r="A246" s="3" t="s">
        <v>576</v>
      </c>
      <c r="B246" s="11" t="s">
        <v>59</v>
      </c>
      <c r="C246" s="25" t="n">
        <v>4.202</v>
      </c>
      <c r="I246" s="6" t="s">
        <v>577</v>
      </c>
    </row>
    <row r="247" customFormat="false" ht="15" hidden="true" customHeight="false" outlineLevel="1" collapsed="false">
      <c r="A247" s="4" t="s">
        <v>578</v>
      </c>
      <c r="B247" s="11" t="s">
        <v>59</v>
      </c>
      <c r="C247" s="25" t="n">
        <v>0</v>
      </c>
      <c r="I247" s="6" t="s">
        <v>579</v>
      </c>
    </row>
    <row r="248" customFormat="false" ht="15" hidden="true" customHeight="false" outlineLevel="1" collapsed="false">
      <c r="A248" s="3" t="s">
        <v>580</v>
      </c>
      <c r="B248" s="11" t="s">
        <v>59</v>
      </c>
      <c r="C248" s="25" t="n">
        <v>19.909</v>
      </c>
      <c r="I248" s="11" t="s">
        <v>581</v>
      </c>
    </row>
    <row r="249" customFormat="false" ht="15" hidden="true" customHeight="false" outlineLevel="1" collapsed="false">
      <c r="A249" s="3" t="s">
        <v>582</v>
      </c>
      <c r="B249" s="11" t="s">
        <v>59</v>
      </c>
      <c r="C249" s="25" t="n">
        <v>1.428</v>
      </c>
      <c r="I249" s="11" t="s">
        <v>583</v>
      </c>
    </row>
    <row r="250" customFormat="false" ht="15" hidden="true" customHeight="false" outlineLevel="1" collapsed="false">
      <c r="A250" s="3" t="s">
        <v>584</v>
      </c>
      <c r="B250" s="11" t="s">
        <v>59</v>
      </c>
      <c r="C250" s="25" t="n">
        <v>1.136</v>
      </c>
      <c r="I250" s="6" t="s">
        <v>585</v>
      </c>
    </row>
    <row r="251" customFormat="false" ht="15" hidden="true" customHeight="false" outlineLevel="1" collapsed="false">
      <c r="A251" s="3" t="s">
        <v>586</v>
      </c>
      <c r="B251" s="11" t="s">
        <v>59</v>
      </c>
      <c r="C251" s="25" t="n">
        <v>19.345</v>
      </c>
      <c r="I251" s="11" t="s">
        <v>587</v>
      </c>
    </row>
    <row r="252" customFormat="false" ht="15" hidden="true" customHeight="false" outlineLevel="1" collapsed="false">
      <c r="A252" s="4" t="s">
        <v>588</v>
      </c>
      <c r="B252" s="11" t="s">
        <v>59</v>
      </c>
      <c r="C252" s="25" t="n">
        <v>6.728</v>
      </c>
      <c r="I252" s="11" t="s">
        <v>589</v>
      </c>
    </row>
    <row r="253" customFormat="false" ht="15" hidden="true" customHeight="false" outlineLevel="1" collapsed="false">
      <c r="A253" s="3" t="s">
        <v>590</v>
      </c>
      <c r="B253" s="11" t="s">
        <v>59</v>
      </c>
      <c r="C253" s="25" t="n">
        <v>4.76</v>
      </c>
      <c r="I253" s="6" t="s">
        <v>591</v>
      </c>
    </row>
    <row r="254" customFormat="false" ht="15" hidden="true" customHeight="false" outlineLevel="1" collapsed="false">
      <c r="A254" s="3" t="s">
        <v>592</v>
      </c>
      <c r="B254" s="11" t="s">
        <v>59</v>
      </c>
      <c r="C254" s="25" t="n">
        <v>11.363</v>
      </c>
      <c r="I254" s="6" t="s">
        <v>593</v>
      </c>
    </row>
    <row r="255" customFormat="false" ht="15" hidden="true" customHeight="false" outlineLevel="1" collapsed="false">
      <c r="A255" s="4" t="s">
        <v>594</v>
      </c>
      <c r="B255" s="11" t="s">
        <v>59</v>
      </c>
      <c r="C255" s="25" t="n">
        <v>3.358</v>
      </c>
      <c r="I255" s="6" t="s">
        <v>595</v>
      </c>
    </row>
    <row r="256" customFormat="false" ht="15" hidden="true" customHeight="false" outlineLevel="1" collapsed="false">
      <c r="A256" s="4" t="s">
        <v>596</v>
      </c>
      <c r="B256" s="11" t="s">
        <v>59</v>
      </c>
      <c r="C256" s="25" t="n">
        <v>1.127</v>
      </c>
      <c r="I256" s="6" t="s">
        <v>597</v>
      </c>
    </row>
    <row r="257" customFormat="false" ht="15" hidden="true" customHeight="false" outlineLevel="1" collapsed="false">
      <c r="A257" s="4" t="s">
        <v>598</v>
      </c>
      <c r="B257" s="11" t="s">
        <v>39</v>
      </c>
      <c r="C257" s="25" t="n">
        <v>1.56</v>
      </c>
      <c r="I257" s="11" t="s">
        <v>599</v>
      </c>
    </row>
    <row r="258" customFormat="false" ht="15" hidden="true" customHeight="false" outlineLevel="1" collapsed="false">
      <c r="A258" s="4" t="s">
        <v>600</v>
      </c>
      <c r="B258" s="11" t="s">
        <v>39</v>
      </c>
      <c r="C258" s="25" t="n">
        <v>1.96</v>
      </c>
      <c r="I258" s="11" t="s">
        <v>601</v>
      </c>
    </row>
    <row r="259" customFormat="false" ht="15" hidden="true" customHeight="false" outlineLevel="1" collapsed="false">
      <c r="A259" s="3" t="s">
        <v>602</v>
      </c>
      <c r="B259" s="11" t="s">
        <v>59</v>
      </c>
      <c r="C259" s="25" t="n">
        <v>1.565</v>
      </c>
      <c r="I259" s="6" t="s">
        <v>603</v>
      </c>
    </row>
    <row r="260" customFormat="false" ht="15" hidden="true" customHeight="false" outlineLevel="1" collapsed="false">
      <c r="A260" s="3" t="s">
        <v>604</v>
      </c>
      <c r="B260" s="11" t="s">
        <v>59</v>
      </c>
      <c r="C260" s="25" t="n">
        <v>11.307</v>
      </c>
      <c r="I260" s="11" t="s">
        <v>605</v>
      </c>
    </row>
    <row r="262" customFormat="false" ht="15" hidden="false" customHeight="false" outlineLevel="0" collapsed="false">
      <c r="A262" s="7" t="s">
        <v>606</v>
      </c>
      <c r="B262" s="8"/>
      <c r="C262" s="8"/>
      <c r="D262" s="8"/>
      <c r="E262" s="8"/>
      <c r="F262" s="8"/>
      <c r="G262" s="8"/>
      <c r="H262" s="8"/>
      <c r="I262" s="6" t="s">
        <v>607</v>
      </c>
    </row>
    <row r="263" customFormat="false" ht="15" hidden="false" customHeight="false" outlineLevel="1" collapsed="false">
      <c r="A263" s="3" t="s">
        <v>608</v>
      </c>
      <c r="D263" s="12" t="n">
        <f aca="false">評價_DCF與目標價!C51</f>
        <v>83.2759115857634</v>
      </c>
      <c r="E263" s="9" t="n">
        <f aca="false">評價_DCF與目標價!C78</f>
        <v>-1</v>
      </c>
    </row>
    <row r="264" customFormat="false" ht="15" hidden="false" customHeight="false" outlineLevel="1" collapsed="false">
      <c r="A264" s="3" t="s">
        <v>609</v>
      </c>
      <c r="C264" s="9" t="n">
        <v>1</v>
      </c>
      <c r="D264" s="46" t="n">
        <f t="dataTable" ref="D264:E266" dt2D="0" dtr="0" r1="C5"/>
        <v>76.5598209193869</v>
      </c>
      <c r="E264" s="47" t="n">
        <v>-1</v>
      </c>
    </row>
    <row r="265" customFormat="false" ht="15" hidden="false" customHeight="false" outlineLevel="1" collapsed="false">
      <c r="A265" s="3" t="s">
        <v>610</v>
      </c>
      <c r="C265" s="9" t="n">
        <v>2</v>
      </c>
      <c r="D265" s="46" t="n">
        <v>83.2759115857634</v>
      </c>
      <c r="E265" s="47" t="n">
        <v>-1</v>
      </c>
    </row>
    <row r="266" customFormat="false" ht="15" hidden="false" customHeight="false" outlineLevel="1" collapsed="false">
      <c r="A266" s="3" t="s">
        <v>611</v>
      </c>
      <c r="C266" s="9" t="n">
        <v>3</v>
      </c>
      <c r="D266" s="46" t="n">
        <v>90.8836658139978</v>
      </c>
      <c r="E266" s="47" t="n">
        <v>-1</v>
      </c>
    </row>
    <row r="268" customFormat="false" ht="15" hidden="false" customHeight="false" outlineLevel="0" collapsed="false">
      <c r="A268" s="7" t="s">
        <v>612</v>
      </c>
      <c r="B268" s="8"/>
      <c r="C268" s="8"/>
      <c r="D268" s="8"/>
      <c r="E268" s="8"/>
      <c r="F268" s="8"/>
      <c r="G268" s="8"/>
      <c r="H268" s="8"/>
      <c r="I268" s="6" t="s">
        <v>613</v>
      </c>
    </row>
    <row r="269" customFormat="false" ht="15" hidden="false" customHeight="false" outlineLevel="1" collapsed="false">
      <c r="A269" s="14" t="s">
        <v>614</v>
      </c>
      <c r="B269" s="14" t="s">
        <v>54</v>
      </c>
      <c r="C269" s="14" t="s">
        <v>615</v>
      </c>
      <c r="D269" s="14"/>
      <c r="E269" s="14"/>
      <c r="F269" s="14" t="s">
        <v>616</v>
      </c>
      <c r="G269" s="14" t="s">
        <v>617</v>
      </c>
      <c r="H269" s="14"/>
      <c r="I269" s="14" t="s">
        <v>618</v>
      </c>
      <c r="J269" s="14" t="s">
        <v>619</v>
      </c>
    </row>
    <row r="270" customFormat="false" ht="15" hidden="false" customHeight="false" outlineLevel="1" collapsed="false">
      <c r="A270" s="3" t="s">
        <v>620</v>
      </c>
      <c r="B270" s="11" t="s">
        <v>39</v>
      </c>
      <c r="C270" s="40" t="n">
        <v>144.77</v>
      </c>
      <c r="F270" s="11" t="s">
        <v>534</v>
      </c>
      <c r="G270" s="11" t="s">
        <v>621</v>
      </c>
      <c r="I270" s="11" t="s">
        <v>622</v>
      </c>
      <c r="J270" s="6" t="s">
        <v>623</v>
      </c>
    </row>
    <row r="271" customFormat="false" ht="15" hidden="false" customHeight="false" outlineLevel="1" collapsed="false">
      <c r="A271" s="3" t="s">
        <v>624</v>
      </c>
      <c r="B271" s="11" t="s">
        <v>39</v>
      </c>
      <c r="C271" s="40" t="n">
        <v>237.97</v>
      </c>
      <c r="F271" s="11" t="s">
        <v>625</v>
      </c>
      <c r="G271" s="11" t="s">
        <v>626</v>
      </c>
      <c r="I271" s="11" t="s">
        <v>627</v>
      </c>
      <c r="J271" s="6"/>
    </row>
    <row r="272" customFormat="false" ht="15" hidden="false" customHeight="false" outlineLevel="1" collapsed="false">
      <c r="A272" s="3" t="s">
        <v>628</v>
      </c>
      <c r="B272" s="11" t="s">
        <v>39</v>
      </c>
      <c r="C272" s="40" t="n">
        <v>240</v>
      </c>
      <c r="F272" s="11" t="s">
        <v>625</v>
      </c>
      <c r="G272" s="11" t="s">
        <v>626</v>
      </c>
      <c r="I272" s="11" t="s">
        <v>627</v>
      </c>
      <c r="J272" s="6"/>
    </row>
    <row r="273" customFormat="false" ht="15" hidden="false" customHeight="false" outlineLevel="1" collapsed="false">
      <c r="A273" s="3" t="s">
        <v>629</v>
      </c>
      <c r="B273" s="11" t="s">
        <v>39</v>
      </c>
      <c r="C273" s="40" t="n">
        <v>110</v>
      </c>
      <c r="F273" s="11" t="s">
        <v>625</v>
      </c>
      <c r="G273" s="11" t="s">
        <v>626</v>
      </c>
      <c r="I273" s="11" t="s">
        <v>627</v>
      </c>
      <c r="J273" s="6"/>
    </row>
    <row r="274" customFormat="false" ht="15" hidden="false" customHeight="false" outlineLevel="1" collapsed="false">
      <c r="A274" s="3" t="s">
        <v>630</v>
      </c>
      <c r="B274" s="11" t="s">
        <v>39</v>
      </c>
      <c r="C274" s="40" t="n">
        <v>400</v>
      </c>
      <c r="F274" s="11" t="s">
        <v>625</v>
      </c>
      <c r="G274" s="11" t="s">
        <v>626</v>
      </c>
      <c r="I274" s="11" t="s">
        <v>627</v>
      </c>
      <c r="J274" s="6"/>
    </row>
    <row r="275" customFormat="false" ht="15" hidden="false" customHeight="false" outlineLevel="1" collapsed="false">
      <c r="A275" s="3" t="s">
        <v>631</v>
      </c>
      <c r="B275" s="6" t="s">
        <v>134</v>
      </c>
      <c r="C275" s="21" t="n">
        <v>43</v>
      </c>
      <c r="F275" s="11" t="s">
        <v>625</v>
      </c>
      <c r="G275" s="11" t="s">
        <v>626</v>
      </c>
      <c r="I275" s="11" t="s">
        <v>627</v>
      </c>
      <c r="J275" s="6"/>
    </row>
    <row r="276" customFormat="false" ht="15" hidden="false" customHeight="false" outlineLevel="1" collapsed="false">
      <c r="A276" s="3" t="s">
        <v>632</v>
      </c>
      <c r="B276" s="6"/>
      <c r="C276" s="4" t="s">
        <v>633</v>
      </c>
      <c r="F276" s="11" t="s">
        <v>625</v>
      </c>
      <c r="G276" s="11" t="s">
        <v>626</v>
      </c>
      <c r="I276" s="11" t="s">
        <v>627</v>
      </c>
      <c r="J276" s="6"/>
    </row>
    <row r="277" customFormat="false" ht="15" hidden="false" customHeight="false" outlineLevel="1" collapsed="false">
      <c r="A277" s="3" t="s">
        <v>634</v>
      </c>
      <c r="B277" s="11" t="s">
        <v>39</v>
      </c>
      <c r="C277" s="40" t="n">
        <v>251.72</v>
      </c>
      <c r="F277" s="11" t="s">
        <v>625</v>
      </c>
      <c r="G277" s="11" t="s">
        <v>626</v>
      </c>
      <c r="I277" s="11" t="s">
        <v>635</v>
      </c>
      <c r="J277" s="6"/>
    </row>
    <row r="278" customFormat="false" ht="15" hidden="false" customHeight="false" outlineLevel="1" collapsed="false">
      <c r="A278" s="3" t="s">
        <v>636</v>
      </c>
      <c r="B278" s="6" t="s">
        <v>134</v>
      </c>
      <c r="C278" s="21" t="n">
        <v>47</v>
      </c>
      <c r="F278" s="11" t="s">
        <v>625</v>
      </c>
      <c r="G278" s="11" t="s">
        <v>626</v>
      </c>
      <c r="I278" s="11" t="s">
        <v>635</v>
      </c>
      <c r="J278" s="6"/>
    </row>
    <row r="279" customFormat="false" ht="15" hidden="false" customHeight="false" outlineLevel="1" collapsed="false">
      <c r="A279" s="3" t="s">
        <v>637</v>
      </c>
      <c r="B279" s="6"/>
      <c r="C279" s="4" t="s">
        <v>638</v>
      </c>
      <c r="F279" s="11" t="s">
        <v>625</v>
      </c>
      <c r="G279" s="11" t="s">
        <v>626</v>
      </c>
      <c r="I279" s="11" t="s">
        <v>635</v>
      </c>
      <c r="J279" s="6"/>
    </row>
    <row r="280" customFormat="false" ht="15" hidden="false" customHeight="false" outlineLevel="1" collapsed="false">
      <c r="A280" s="3" t="s">
        <v>639</v>
      </c>
      <c r="B280" s="11" t="s">
        <v>39</v>
      </c>
      <c r="C280" s="40" t="n">
        <v>237.97</v>
      </c>
      <c r="F280" s="11" t="s">
        <v>625</v>
      </c>
      <c r="G280" s="11" t="s">
        <v>626</v>
      </c>
      <c r="I280" s="11" t="s">
        <v>640</v>
      </c>
      <c r="J280" s="6"/>
    </row>
    <row r="281" customFormat="false" ht="17.15" hidden="false" customHeight="false" outlineLevel="1" collapsed="false">
      <c r="A281" s="14" t="s">
        <v>641</v>
      </c>
      <c r="B281" s="14" t="s">
        <v>54</v>
      </c>
      <c r="C281" s="14" t="s">
        <v>615</v>
      </c>
      <c r="D281" s="14"/>
      <c r="E281" s="14"/>
      <c r="F281" s="14" t="s">
        <v>616</v>
      </c>
      <c r="G281" s="14" t="s">
        <v>617</v>
      </c>
      <c r="H281" s="14"/>
      <c r="I281" s="14" t="s">
        <v>618</v>
      </c>
      <c r="J281" s="14" t="s">
        <v>619</v>
      </c>
    </row>
    <row r="282" customFormat="false" ht="15" hidden="false" customHeight="false" outlineLevel="1" collapsed="false">
      <c r="A282" s="3" t="s">
        <v>642</v>
      </c>
      <c r="B282" s="6" t="s">
        <v>134</v>
      </c>
      <c r="C282" s="21" t="n">
        <v>28</v>
      </c>
      <c r="F282" s="11" t="s">
        <v>625</v>
      </c>
      <c r="G282" s="11" t="s">
        <v>626</v>
      </c>
      <c r="I282" s="11" t="s">
        <v>627</v>
      </c>
      <c r="J282" s="6"/>
    </row>
    <row r="283" customFormat="false" ht="15" hidden="false" customHeight="false" outlineLevel="1" collapsed="false">
      <c r="A283" s="3" t="s">
        <v>643</v>
      </c>
      <c r="B283" s="6" t="s">
        <v>134</v>
      </c>
      <c r="C283" s="21" t="n">
        <v>7</v>
      </c>
      <c r="F283" s="11" t="s">
        <v>625</v>
      </c>
      <c r="G283" s="11" t="s">
        <v>626</v>
      </c>
      <c r="I283" s="11" t="s">
        <v>627</v>
      </c>
      <c r="J283" s="6"/>
    </row>
    <row r="284" customFormat="false" ht="15" hidden="false" customHeight="false" outlineLevel="1" collapsed="false">
      <c r="A284" s="3" t="s">
        <v>644</v>
      </c>
      <c r="B284" s="6" t="s">
        <v>134</v>
      </c>
      <c r="C284" s="21" t="n">
        <v>7</v>
      </c>
      <c r="F284" s="11" t="s">
        <v>625</v>
      </c>
      <c r="G284" s="11" t="s">
        <v>626</v>
      </c>
      <c r="I284" s="11" t="s">
        <v>627</v>
      </c>
      <c r="J284" s="6"/>
    </row>
    <row r="285" customFormat="false" ht="15" hidden="false" customHeight="false" outlineLevel="1" collapsed="false">
      <c r="A285" s="3" t="s">
        <v>645</v>
      </c>
      <c r="B285" s="6" t="s">
        <v>134</v>
      </c>
      <c r="C285" s="21" t="n">
        <v>0</v>
      </c>
      <c r="F285" s="11" t="s">
        <v>625</v>
      </c>
      <c r="G285" s="11" t="s">
        <v>626</v>
      </c>
      <c r="I285" s="11" t="s">
        <v>627</v>
      </c>
      <c r="J285" s="6"/>
    </row>
    <row r="286" customFormat="false" ht="15" hidden="false" customHeight="false" outlineLevel="1" collapsed="false">
      <c r="A286" s="3" t="s">
        <v>646</v>
      </c>
      <c r="B286" s="6" t="s">
        <v>134</v>
      </c>
      <c r="C286" s="21" t="n">
        <v>1</v>
      </c>
      <c r="F286" s="11" t="s">
        <v>625</v>
      </c>
      <c r="G286" s="11" t="s">
        <v>626</v>
      </c>
      <c r="I286" s="11" t="s">
        <v>627</v>
      </c>
      <c r="J286" s="6"/>
    </row>
    <row r="287" customFormat="false" ht="15" hidden="false" customHeight="false" outlineLevel="1" collapsed="false">
      <c r="A287" s="3" t="s">
        <v>647</v>
      </c>
      <c r="B287" s="6" t="s">
        <v>134</v>
      </c>
      <c r="C287" s="21" t="n">
        <v>43</v>
      </c>
      <c r="F287" s="11" t="s">
        <v>625</v>
      </c>
      <c r="G287" s="11" t="s">
        <v>626</v>
      </c>
      <c r="I287" s="11" t="s">
        <v>627</v>
      </c>
      <c r="J287" s="6"/>
    </row>
    <row r="288" customFormat="false" ht="17.15" hidden="false" customHeight="false" outlineLevel="1" collapsed="false">
      <c r="A288" s="14" t="s">
        <v>648</v>
      </c>
      <c r="B288" s="14" t="s">
        <v>54</v>
      </c>
      <c r="C288" s="14" t="s">
        <v>615</v>
      </c>
      <c r="D288" s="14"/>
      <c r="E288" s="14"/>
      <c r="F288" s="14" t="s">
        <v>616</v>
      </c>
      <c r="G288" s="14" t="s">
        <v>617</v>
      </c>
      <c r="H288" s="14"/>
      <c r="I288" s="14" t="s">
        <v>618</v>
      </c>
      <c r="J288" s="14" t="s">
        <v>619</v>
      </c>
    </row>
    <row r="289" customFormat="false" ht="15" hidden="false" customHeight="false" outlineLevel="1" collapsed="false">
      <c r="A289" s="3" t="s">
        <v>649</v>
      </c>
      <c r="B289" s="11" t="s">
        <v>59</v>
      </c>
      <c r="C289" s="48" t="n">
        <v>90.449</v>
      </c>
      <c r="D289" s="48" t="n">
        <v>131.711</v>
      </c>
      <c r="E289" s="48" t="n">
        <v>183.569</v>
      </c>
      <c r="F289" s="11" t="s">
        <v>625</v>
      </c>
      <c r="G289" s="11" t="s">
        <v>626</v>
      </c>
      <c r="I289" s="11" t="s">
        <v>650</v>
      </c>
      <c r="J289" s="6"/>
    </row>
    <row r="290" customFormat="false" ht="15" hidden="false" customHeight="false" outlineLevel="1" collapsed="false">
      <c r="A290" s="3" t="s">
        <v>651</v>
      </c>
      <c r="B290" s="11" t="s">
        <v>59</v>
      </c>
      <c r="C290" s="48" t="n">
        <v>51.664</v>
      </c>
      <c r="D290" s="48" t="n">
        <v>74.642</v>
      </c>
      <c r="E290" s="48" t="n">
        <v>107.543</v>
      </c>
      <c r="F290" s="11" t="s">
        <v>625</v>
      </c>
      <c r="G290" s="11" t="s">
        <v>626</v>
      </c>
      <c r="I290" s="11" t="s">
        <v>650</v>
      </c>
      <c r="J290" s="6"/>
    </row>
    <row r="291" customFormat="false" ht="15" hidden="false" customHeight="false" outlineLevel="1" collapsed="false">
      <c r="A291" s="3" t="s">
        <v>652</v>
      </c>
      <c r="B291" s="11" t="s">
        <v>42</v>
      </c>
      <c r="C291" s="24" t="n">
        <v>0.5712</v>
      </c>
      <c r="D291" s="24" t="n">
        <v>0.5667</v>
      </c>
      <c r="E291" s="24" t="n">
        <v>0.5858</v>
      </c>
      <c r="F291" s="11" t="s">
        <v>625</v>
      </c>
      <c r="G291" s="11" t="s">
        <v>626</v>
      </c>
      <c r="I291" s="11" t="s">
        <v>650</v>
      </c>
      <c r="J291" s="6"/>
    </row>
    <row r="292" customFormat="false" ht="15" hidden="false" customHeight="false" outlineLevel="1" collapsed="false">
      <c r="A292" s="3" t="s">
        <v>653</v>
      </c>
      <c r="B292" s="11" t="s">
        <v>59</v>
      </c>
      <c r="C292" s="48" t="n">
        <v>36.309</v>
      </c>
      <c r="D292" s="48" t="n">
        <v>49.476</v>
      </c>
      <c r="E292" s="48" t="n">
        <v>69.462</v>
      </c>
      <c r="F292" s="11" t="s">
        <v>625</v>
      </c>
      <c r="G292" s="11" t="s">
        <v>626</v>
      </c>
      <c r="I292" s="11" t="s">
        <v>650</v>
      </c>
      <c r="J292" s="6"/>
    </row>
    <row r="293" customFormat="false" ht="15" hidden="false" customHeight="false" outlineLevel="1" collapsed="false">
      <c r="A293" s="3" t="s">
        <v>654</v>
      </c>
      <c r="B293" s="11" t="s">
        <v>59</v>
      </c>
      <c r="C293" s="48" t="n">
        <v>6.207</v>
      </c>
      <c r="D293" s="48" t="n">
        <v>7.401</v>
      </c>
      <c r="E293" s="48" t="n">
        <v>8.051</v>
      </c>
      <c r="F293" s="11" t="s">
        <v>625</v>
      </c>
      <c r="G293" s="11" t="s">
        <v>626</v>
      </c>
      <c r="I293" s="11" t="s">
        <v>650</v>
      </c>
      <c r="J293" s="6"/>
    </row>
    <row r="294" customFormat="false" ht="15" hidden="false" customHeight="false" outlineLevel="1" collapsed="false">
      <c r="A294" s="3" t="s">
        <v>655</v>
      </c>
      <c r="B294" s="11" t="s">
        <v>59</v>
      </c>
      <c r="C294" s="48" t="n">
        <v>20.397</v>
      </c>
      <c r="D294" s="48" t="n">
        <v>29.077</v>
      </c>
      <c r="E294" s="48" t="n">
        <v>44.339</v>
      </c>
      <c r="F294" s="11" t="s">
        <v>625</v>
      </c>
      <c r="G294" s="11" t="s">
        <v>626</v>
      </c>
      <c r="I294" s="11" t="s">
        <v>650</v>
      </c>
      <c r="J294" s="6"/>
    </row>
    <row r="295" customFormat="false" ht="15" hidden="false" customHeight="false" outlineLevel="1" collapsed="false">
      <c r="A295" s="3" t="s">
        <v>656</v>
      </c>
      <c r="B295" s="11" t="s">
        <v>39</v>
      </c>
      <c r="C295" s="40" t="n">
        <v>6.643</v>
      </c>
      <c r="D295" s="40" t="n">
        <v>9.144</v>
      </c>
      <c r="E295" s="40" t="n">
        <v>13.43</v>
      </c>
      <c r="F295" s="11" t="s">
        <v>625</v>
      </c>
      <c r="G295" s="11" t="s">
        <v>626</v>
      </c>
      <c r="I295" s="11" t="s">
        <v>650</v>
      </c>
      <c r="J295" s="6"/>
    </row>
    <row r="296" customFormat="false" ht="15" hidden="false" customHeight="false" outlineLevel="1" collapsed="false">
      <c r="A296" s="3" t="s">
        <v>657</v>
      </c>
      <c r="B296" s="11" t="s">
        <v>59</v>
      </c>
      <c r="C296" s="48" t="n">
        <v>93.961</v>
      </c>
      <c r="D296" s="48" t="n">
        <v>100.962</v>
      </c>
      <c r="E296" s="48" t="n">
        <v>84.848</v>
      </c>
      <c r="F296" s="11" t="s">
        <v>625</v>
      </c>
      <c r="G296" s="11" t="s">
        <v>626</v>
      </c>
      <c r="I296" s="11" t="s">
        <v>650</v>
      </c>
      <c r="J296" s="6"/>
    </row>
    <row r="297" customFormat="false" ht="15" hidden="false" customHeight="false" outlineLevel="1" collapsed="false">
      <c r="A297" s="3" t="s">
        <v>658</v>
      </c>
      <c r="B297" s="11" t="s">
        <v>59</v>
      </c>
      <c r="C297" s="48" t="n">
        <v>-37.32</v>
      </c>
      <c r="D297" s="48" t="n">
        <v>-32.56</v>
      </c>
      <c r="E297" s="48" t="n">
        <v>6.154</v>
      </c>
      <c r="F297" s="11" t="s">
        <v>625</v>
      </c>
      <c r="G297" s="11" t="s">
        <v>626</v>
      </c>
      <c r="I297" s="11" t="s">
        <v>650</v>
      </c>
      <c r="J297" s="6"/>
    </row>
    <row r="298" customFormat="false" ht="15" hidden="false" customHeight="false" outlineLevel="1" collapsed="false">
      <c r="A298" s="3" t="s">
        <v>659</v>
      </c>
      <c r="B298" s="11" t="s">
        <v>59</v>
      </c>
      <c r="C298" s="48" t="n">
        <v>117.047</v>
      </c>
      <c r="D298" s="48" t="n">
        <v>147.351</v>
      </c>
      <c r="E298" s="48" t="n">
        <v>146.812</v>
      </c>
      <c r="F298" s="11" t="s">
        <v>625</v>
      </c>
      <c r="G298" s="11" t="s">
        <v>626</v>
      </c>
      <c r="I298" s="11" t="s">
        <v>650</v>
      </c>
      <c r="J298" s="6"/>
    </row>
    <row r="299" customFormat="false" ht="15" hidden="false" customHeight="false" outlineLevel="1" collapsed="false">
      <c r="A299" s="3" t="s">
        <v>660</v>
      </c>
      <c r="B299" s="11" t="s">
        <v>39</v>
      </c>
      <c r="C299" s="40" t="n">
        <v>1.995</v>
      </c>
      <c r="D299" s="40" t="n">
        <v>2.074</v>
      </c>
      <c r="E299" s="40" t="n">
        <v>2.179</v>
      </c>
      <c r="F299" s="11" t="s">
        <v>625</v>
      </c>
      <c r="G299" s="11" t="s">
        <v>626</v>
      </c>
      <c r="I299" s="11" t="s">
        <v>650</v>
      </c>
      <c r="J299" s="6"/>
    </row>
    <row r="300" customFormat="false" ht="15" hidden="false" customHeight="false" outlineLevel="1" collapsed="false">
      <c r="A300" s="3" t="s">
        <v>661</v>
      </c>
      <c r="B300" s="6"/>
      <c r="C300" s="4" t="s">
        <v>662</v>
      </c>
      <c r="F300" s="11" t="s">
        <v>625</v>
      </c>
      <c r="G300" s="11" t="s">
        <v>626</v>
      </c>
      <c r="I300" s="11" t="s">
        <v>650</v>
      </c>
      <c r="J300" s="6"/>
    </row>
    <row r="301" customFormat="false" ht="17.15" hidden="false" customHeight="false" outlineLevel="1" collapsed="false">
      <c r="A301" s="15" t="s">
        <v>663</v>
      </c>
      <c r="B301" s="14" t="s">
        <v>54</v>
      </c>
      <c r="C301" s="14" t="s">
        <v>615</v>
      </c>
      <c r="D301" s="14"/>
      <c r="E301" s="14"/>
      <c r="F301" s="14" t="s">
        <v>616</v>
      </c>
      <c r="G301" s="14" t="s">
        <v>617</v>
      </c>
      <c r="H301" s="14"/>
      <c r="I301" s="14" t="s">
        <v>618</v>
      </c>
      <c r="J301" s="14" t="s">
        <v>619</v>
      </c>
    </row>
    <row r="302" customFormat="false" ht="15" hidden="false" customHeight="false" outlineLevel="1" collapsed="false">
      <c r="A302" s="3" t="s">
        <v>664</v>
      </c>
      <c r="B302" s="11" t="s">
        <v>59</v>
      </c>
      <c r="C302" s="48" t="n">
        <v>90.45</v>
      </c>
      <c r="F302" s="11" t="s">
        <v>625</v>
      </c>
      <c r="G302" s="11" t="s">
        <v>626</v>
      </c>
      <c r="I302" s="11" t="s">
        <v>627</v>
      </c>
      <c r="J302" s="6"/>
    </row>
    <row r="303" customFormat="false" ht="15" hidden="false" customHeight="false" outlineLevel="1" collapsed="false">
      <c r="A303" s="3" t="s">
        <v>665</v>
      </c>
      <c r="B303" s="11" t="s">
        <v>39</v>
      </c>
      <c r="C303" s="40" t="n">
        <v>8.14</v>
      </c>
      <c r="F303" s="11" t="s">
        <v>625</v>
      </c>
      <c r="G303" s="11" t="s">
        <v>626</v>
      </c>
      <c r="I303" s="11" t="s">
        <v>627</v>
      </c>
      <c r="J303" s="11" t="s">
        <v>666</v>
      </c>
    </row>
    <row r="304" customFormat="false" ht="17.15" hidden="false" customHeight="false" outlineLevel="1" collapsed="false">
      <c r="A304" s="14" t="s">
        <v>667</v>
      </c>
      <c r="B304" s="14" t="s">
        <v>54</v>
      </c>
      <c r="C304" s="14" t="s">
        <v>615</v>
      </c>
      <c r="D304" s="14"/>
      <c r="E304" s="14"/>
      <c r="F304" s="14" t="s">
        <v>616</v>
      </c>
      <c r="G304" s="14" t="s">
        <v>617</v>
      </c>
      <c r="H304" s="14"/>
      <c r="I304" s="14" t="s">
        <v>618</v>
      </c>
      <c r="J304" s="14" t="s">
        <v>619</v>
      </c>
    </row>
    <row r="305" customFormat="false" ht="15" hidden="false" customHeight="false" outlineLevel="1" collapsed="false">
      <c r="A305" s="3" t="s">
        <v>668</v>
      </c>
      <c r="B305" s="11" t="s">
        <v>59</v>
      </c>
      <c r="C305" s="48" t="n">
        <v>21.322</v>
      </c>
      <c r="D305" s="48" t="n">
        <v>23.38</v>
      </c>
      <c r="F305" s="11" t="s">
        <v>625</v>
      </c>
      <c r="G305" s="11" t="s">
        <v>626</v>
      </c>
      <c r="I305" s="11" t="s">
        <v>650</v>
      </c>
      <c r="J305" s="6"/>
    </row>
    <row r="306" customFormat="false" ht="15" hidden="false" customHeight="false" outlineLevel="1" collapsed="false">
      <c r="A306" s="3" t="s">
        <v>669</v>
      </c>
      <c r="B306" s="11" t="s">
        <v>59</v>
      </c>
      <c r="C306" s="48" t="n">
        <v>12.359</v>
      </c>
      <c r="D306" s="48" t="n">
        <v>13.515</v>
      </c>
      <c r="F306" s="11" t="s">
        <v>625</v>
      </c>
      <c r="G306" s="11" t="s">
        <v>626</v>
      </c>
      <c r="I306" s="11" t="s">
        <v>650</v>
      </c>
      <c r="J306" s="6"/>
    </row>
    <row r="307" customFormat="false" ht="15" hidden="false" customHeight="false" outlineLevel="1" collapsed="false">
      <c r="A307" s="3" t="s">
        <v>670</v>
      </c>
      <c r="B307" s="11" t="s">
        <v>59</v>
      </c>
      <c r="C307" s="48" t="n">
        <v>8.536</v>
      </c>
      <c r="D307" s="48" t="n">
        <v>9.23</v>
      </c>
      <c r="F307" s="11" t="s">
        <v>625</v>
      </c>
      <c r="G307" s="11" t="s">
        <v>626</v>
      </c>
      <c r="I307" s="11" t="s">
        <v>650</v>
      </c>
      <c r="J307" s="6"/>
    </row>
    <row r="308" customFormat="false" ht="15" hidden="false" customHeight="false" outlineLevel="1" collapsed="false">
      <c r="A308" s="3" t="s">
        <v>671</v>
      </c>
      <c r="B308" s="11" t="s">
        <v>59</v>
      </c>
      <c r="C308" s="48" t="n">
        <v>4.762</v>
      </c>
      <c r="D308" s="48" t="n">
        <v>5.105</v>
      </c>
      <c r="F308" s="11" t="s">
        <v>625</v>
      </c>
      <c r="G308" s="11" t="s">
        <v>626</v>
      </c>
      <c r="I308" s="11" t="s">
        <v>650</v>
      </c>
      <c r="J308" s="6"/>
    </row>
    <row r="309" customFormat="false" ht="15" hidden="false" customHeight="false" outlineLevel="1" collapsed="false">
      <c r="A309" s="3" t="s">
        <v>672</v>
      </c>
      <c r="B309" s="6"/>
      <c r="C309" s="4" t="s">
        <v>673</v>
      </c>
      <c r="F309" s="11" t="s">
        <v>625</v>
      </c>
      <c r="G309" s="11" t="s">
        <v>626</v>
      </c>
      <c r="I309" s="11" t="s">
        <v>650</v>
      </c>
      <c r="J309" s="6"/>
    </row>
    <row r="310" customFormat="false" ht="15" hidden="false" customHeight="false" outlineLevel="1" collapsed="false">
      <c r="A310" s="14" t="s">
        <v>674</v>
      </c>
      <c r="B310" s="14" t="s">
        <v>54</v>
      </c>
      <c r="C310" s="14" t="s">
        <v>615</v>
      </c>
      <c r="D310" s="14"/>
      <c r="E310" s="14"/>
      <c r="F310" s="14" t="s">
        <v>616</v>
      </c>
      <c r="G310" s="14" t="s">
        <v>617</v>
      </c>
      <c r="H310" s="14"/>
      <c r="I310" s="14" t="s">
        <v>618</v>
      </c>
      <c r="J310" s="14" t="s">
        <v>619</v>
      </c>
    </row>
    <row r="311" customFormat="false" ht="15" hidden="false" customHeight="false" outlineLevel="1" collapsed="false">
      <c r="A311" s="3" t="s">
        <v>675</v>
      </c>
      <c r="B311" s="11" t="s">
        <v>59</v>
      </c>
      <c r="C311" s="48" t="n">
        <v>90</v>
      </c>
      <c r="F311" s="6" t="s">
        <v>676</v>
      </c>
      <c r="G311" s="11" t="s">
        <v>626</v>
      </c>
      <c r="I311" s="11" t="s">
        <v>677</v>
      </c>
      <c r="J311" s="6"/>
    </row>
    <row r="312" customFormat="false" ht="15" hidden="false" customHeight="false" outlineLevel="1" collapsed="false">
      <c r="A312" s="3" t="s">
        <v>678</v>
      </c>
      <c r="B312" s="11" t="s">
        <v>59</v>
      </c>
      <c r="C312" s="48" t="n">
        <v>90</v>
      </c>
      <c r="D312" s="48" t="n">
        <v>95</v>
      </c>
      <c r="F312" s="6" t="s">
        <v>676</v>
      </c>
      <c r="G312" s="11" t="s">
        <v>626</v>
      </c>
      <c r="I312" s="11" t="s">
        <v>677</v>
      </c>
      <c r="J312" s="6"/>
    </row>
    <row r="313" customFormat="false" ht="15" hidden="false" customHeight="false" outlineLevel="1" collapsed="false">
      <c r="A313" s="3" t="s">
        <v>679</v>
      </c>
      <c r="B313" s="11" t="s">
        <v>59</v>
      </c>
      <c r="C313" s="48" t="n">
        <v>70</v>
      </c>
      <c r="F313" s="6" t="s">
        <v>676</v>
      </c>
      <c r="G313" s="11" t="s">
        <v>626</v>
      </c>
      <c r="I313" s="11" t="s">
        <v>677</v>
      </c>
      <c r="J313" s="6"/>
    </row>
    <row r="314" customFormat="false" ht="15" hidden="false" customHeight="false" outlineLevel="1" collapsed="false">
      <c r="A314" s="3" t="s">
        <v>680</v>
      </c>
      <c r="B314" s="11" t="s">
        <v>39</v>
      </c>
      <c r="C314" s="40" t="n">
        <v>8.1</v>
      </c>
      <c r="F314" s="6" t="s">
        <v>676</v>
      </c>
      <c r="G314" s="11" t="s">
        <v>626</v>
      </c>
      <c r="I314" s="11" t="s">
        <v>677</v>
      </c>
      <c r="J314" s="6"/>
    </row>
    <row r="315" customFormat="false" ht="15" hidden="false" customHeight="false" outlineLevel="1" collapsed="false">
      <c r="A315" s="3" t="s">
        <v>681</v>
      </c>
      <c r="B315" s="11" t="s">
        <v>59</v>
      </c>
      <c r="C315" s="48" t="n">
        <v>40</v>
      </c>
      <c r="F315" s="6" t="s">
        <v>676</v>
      </c>
      <c r="G315" s="11" t="s">
        <v>626</v>
      </c>
      <c r="I315" s="11" t="s">
        <v>677</v>
      </c>
      <c r="J315" s="6" t="s">
        <v>682</v>
      </c>
    </row>
    <row r="316" customFormat="false" ht="17.15" hidden="false" customHeight="false" outlineLevel="1" collapsed="false">
      <c r="A316" s="14" t="s">
        <v>683</v>
      </c>
      <c r="B316" s="14" t="s">
        <v>54</v>
      </c>
      <c r="C316" s="14" t="s">
        <v>615</v>
      </c>
      <c r="D316" s="14"/>
      <c r="E316" s="14"/>
      <c r="F316" s="14" t="s">
        <v>616</v>
      </c>
      <c r="G316" s="14" t="s">
        <v>617</v>
      </c>
      <c r="H316" s="14"/>
      <c r="I316" s="14" t="s">
        <v>618</v>
      </c>
      <c r="J316" s="14" t="s">
        <v>619</v>
      </c>
    </row>
    <row r="317" customFormat="false" ht="15" hidden="false" customHeight="false" outlineLevel="1" collapsed="false">
      <c r="A317" s="3" t="s">
        <v>684</v>
      </c>
      <c r="B317" s="11" t="s">
        <v>59</v>
      </c>
      <c r="C317" s="48" t="n">
        <v>90.48</v>
      </c>
      <c r="F317" s="11" t="s">
        <v>625</v>
      </c>
      <c r="G317" s="11" t="s">
        <v>626</v>
      </c>
      <c r="I317" s="11" t="s">
        <v>685</v>
      </c>
      <c r="J317" s="6"/>
    </row>
    <row r="318" customFormat="false" ht="15" hidden="false" customHeight="false" outlineLevel="1" collapsed="false">
      <c r="A318" s="3" t="s">
        <v>686</v>
      </c>
      <c r="B318" s="11" t="s">
        <v>59</v>
      </c>
      <c r="C318" s="48" t="n">
        <v>131.45</v>
      </c>
      <c r="F318" s="11" t="s">
        <v>625</v>
      </c>
      <c r="G318" s="11" t="s">
        <v>626</v>
      </c>
      <c r="I318" s="11" t="s">
        <v>685</v>
      </c>
      <c r="J318" s="6"/>
    </row>
    <row r="319" customFormat="false" ht="15" hidden="false" customHeight="false" outlineLevel="1" collapsed="false">
      <c r="A319" s="3" t="s">
        <v>687</v>
      </c>
      <c r="B319" s="11" t="s">
        <v>39</v>
      </c>
      <c r="C319" s="40" t="n">
        <v>8.14</v>
      </c>
      <c r="F319" s="11" t="s">
        <v>625</v>
      </c>
      <c r="G319" s="11" t="s">
        <v>626</v>
      </c>
      <c r="I319" s="11" t="s">
        <v>685</v>
      </c>
      <c r="J319" s="6"/>
    </row>
    <row r="320" customFormat="false" ht="15" hidden="false" customHeight="false" outlineLevel="1" collapsed="false">
      <c r="A320" s="3" t="s">
        <v>688</v>
      </c>
      <c r="B320" s="11" t="s">
        <v>39</v>
      </c>
      <c r="C320" s="40" t="n">
        <v>11</v>
      </c>
      <c r="F320" s="11" t="s">
        <v>625</v>
      </c>
      <c r="G320" s="11" t="s">
        <v>626</v>
      </c>
      <c r="I320" s="11" t="s">
        <v>685</v>
      </c>
      <c r="J320" s="6" t="s">
        <v>689</v>
      </c>
    </row>
    <row r="321" customFormat="false" ht="15" hidden="false" customHeight="false" outlineLevel="1" collapsed="false">
      <c r="A321" s="14" t="s">
        <v>690</v>
      </c>
      <c r="B321" s="14" t="s">
        <v>54</v>
      </c>
      <c r="C321" s="14" t="s">
        <v>615</v>
      </c>
      <c r="D321" s="14"/>
      <c r="E321" s="14"/>
      <c r="F321" s="14" t="s">
        <v>616</v>
      </c>
      <c r="G321" s="14" t="s">
        <v>617</v>
      </c>
      <c r="H321" s="14"/>
      <c r="I321" s="14" t="s">
        <v>618</v>
      </c>
      <c r="J321" s="14" t="s">
        <v>619</v>
      </c>
    </row>
    <row r="322" customFormat="false" ht="15" hidden="false" customHeight="false" outlineLevel="1" collapsed="false">
      <c r="A322" s="3" t="s">
        <v>691</v>
      </c>
      <c r="B322" s="11" t="s">
        <v>39</v>
      </c>
      <c r="C322" s="40" t="n">
        <v>155</v>
      </c>
      <c r="F322" s="11" t="s">
        <v>625</v>
      </c>
      <c r="G322" s="11" t="s">
        <v>626</v>
      </c>
      <c r="I322" s="11" t="s">
        <v>692</v>
      </c>
      <c r="J322" s="11" t="s">
        <v>693</v>
      </c>
    </row>
    <row r="323" customFormat="false" ht="15" hidden="false" customHeight="false" outlineLevel="1" collapsed="false">
      <c r="A323" s="3" t="s">
        <v>694</v>
      </c>
      <c r="B323" s="11" t="s">
        <v>39</v>
      </c>
      <c r="C323" s="40" t="n">
        <v>325</v>
      </c>
      <c r="F323" s="11" t="s">
        <v>625</v>
      </c>
      <c r="G323" s="11" t="s">
        <v>626</v>
      </c>
      <c r="I323" s="11" t="s">
        <v>692</v>
      </c>
      <c r="J323" s="11" t="s">
        <v>695</v>
      </c>
    </row>
    <row r="324" customFormat="false" ht="15" hidden="false" customHeight="false" outlineLevel="1" collapsed="false">
      <c r="A324" s="3" t="s">
        <v>696</v>
      </c>
      <c r="B324" s="11" t="s">
        <v>39</v>
      </c>
      <c r="C324" s="40" t="n">
        <v>200</v>
      </c>
      <c r="F324" s="11" t="s">
        <v>625</v>
      </c>
      <c r="G324" s="11" t="s">
        <v>626</v>
      </c>
      <c r="I324" s="11" t="s">
        <v>692</v>
      </c>
      <c r="J324" s="11" t="s">
        <v>695</v>
      </c>
    </row>
    <row r="325" customFormat="false" ht="15" hidden="false" customHeight="false" outlineLevel="1" collapsed="false">
      <c r="A325" s="3" t="s">
        <v>697</v>
      </c>
      <c r="B325" s="11" t="s">
        <v>39</v>
      </c>
      <c r="C325" s="3" t="s">
        <v>698</v>
      </c>
      <c r="F325" s="11" t="s">
        <v>625</v>
      </c>
      <c r="G325" s="11" t="s">
        <v>626</v>
      </c>
      <c r="I325" s="11" t="s">
        <v>692</v>
      </c>
      <c r="J325" s="11" t="s">
        <v>695</v>
      </c>
    </row>
    <row r="326" customFormat="false" ht="15" hidden="false" customHeight="false" outlineLevel="1" collapsed="false">
      <c r="A326" s="3" t="s">
        <v>699</v>
      </c>
      <c r="B326" s="11" t="s">
        <v>39</v>
      </c>
      <c r="C326" s="3" t="s">
        <v>698</v>
      </c>
      <c r="F326" s="11" t="s">
        <v>625</v>
      </c>
      <c r="G326" s="11" t="s">
        <v>626</v>
      </c>
      <c r="I326" s="11" t="s">
        <v>692</v>
      </c>
      <c r="J326" s="11" t="s">
        <v>695</v>
      </c>
    </row>
    <row r="327" customFormat="false" ht="15" hidden="false" customHeight="false" outlineLevel="1" collapsed="false">
      <c r="A327" s="14" t="s">
        <v>700</v>
      </c>
      <c r="B327" s="14" t="s">
        <v>54</v>
      </c>
      <c r="C327" s="14" t="s">
        <v>615</v>
      </c>
      <c r="D327" s="14"/>
      <c r="E327" s="14"/>
      <c r="F327" s="14" t="s">
        <v>616</v>
      </c>
      <c r="G327" s="14" t="s">
        <v>617</v>
      </c>
      <c r="H327" s="14"/>
      <c r="I327" s="14" t="s">
        <v>618</v>
      </c>
      <c r="J327" s="14" t="s">
        <v>619</v>
      </c>
    </row>
    <row r="328" customFormat="false" ht="15" hidden="false" customHeight="false" outlineLevel="1" collapsed="false">
      <c r="A328" s="3" t="s">
        <v>701</v>
      </c>
      <c r="B328" s="6"/>
      <c r="C328" s="4" t="s">
        <v>702</v>
      </c>
      <c r="F328" s="11" t="s">
        <v>625</v>
      </c>
      <c r="G328" s="6"/>
      <c r="I328" s="6" t="s">
        <v>703</v>
      </c>
      <c r="J328" s="6"/>
    </row>
    <row r="329" customFormat="false" ht="15" hidden="false" customHeight="false" outlineLevel="1" collapsed="false">
      <c r="A329" s="3" t="s">
        <v>704</v>
      </c>
      <c r="B329" s="6"/>
      <c r="C329" s="4" t="s">
        <v>705</v>
      </c>
      <c r="F329" s="11" t="s">
        <v>625</v>
      </c>
      <c r="G329" s="6"/>
      <c r="I329" s="6" t="s">
        <v>703</v>
      </c>
      <c r="J329" s="6"/>
    </row>
    <row r="330" customFormat="false" ht="15" hidden="false" customHeight="false" outlineLevel="1" collapsed="false">
      <c r="A330" s="3" t="s">
        <v>706</v>
      </c>
      <c r="B330" s="6"/>
      <c r="C330" s="4" t="s">
        <v>707</v>
      </c>
      <c r="F330" s="11" t="s">
        <v>625</v>
      </c>
      <c r="G330" s="6"/>
      <c r="I330" s="6" t="s">
        <v>703</v>
      </c>
      <c r="J330" s="6"/>
    </row>
    <row r="331" customFormat="false" ht="15" hidden="false" customHeight="false" outlineLevel="1" collapsed="false">
      <c r="A331" s="3" t="s">
        <v>708</v>
      </c>
      <c r="B331" s="6"/>
      <c r="C331" s="4" t="s">
        <v>709</v>
      </c>
      <c r="F331" s="11" t="s">
        <v>625</v>
      </c>
      <c r="G331" s="6"/>
      <c r="I331" s="6" t="s">
        <v>703</v>
      </c>
      <c r="J331" s="6"/>
    </row>
    <row r="332" customFormat="false" ht="15" hidden="false" customHeight="false" outlineLevel="1" collapsed="false">
      <c r="A332" s="3" t="s">
        <v>710</v>
      </c>
      <c r="B332" s="6"/>
      <c r="C332" s="3" t="s">
        <v>711</v>
      </c>
      <c r="F332" s="11" t="s">
        <v>625</v>
      </c>
      <c r="G332" s="6"/>
      <c r="I332" s="6" t="s">
        <v>703</v>
      </c>
      <c r="J332" s="6"/>
    </row>
    <row r="333" customFormat="false" ht="15" hidden="false" customHeight="false" outlineLevel="1" collapsed="false">
      <c r="A333" s="3" t="s">
        <v>712</v>
      </c>
      <c r="B333" s="11" t="s">
        <v>42</v>
      </c>
      <c r="C333" s="24" t="n">
        <v>0.05</v>
      </c>
      <c r="I333" s="6" t="s">
        <v>713</v>
      </c>
    </row>
    <row r="334" customFormat="false" ht="15" hidden="false" customHeight="false" outlineLevel="1" collapsed="false">
      <c r="A334" s="3" t="s">
        <v>714</v>
      </c>
      <c r="B334" s="11" t="s">
        <v>71</v>
      </c>
      <c r="C334" s="24" t="n">
        <v>0.02</v>
      </c>
      <c r="I334" s="6" t="s">
        <v>715</v>
      </c>
    </row>
    <row r="336" customFormat="false" ht="15" hidden="false" customHeight="false" outlineLevel="0" collapsed="false">
      <c r="A336" s="7" t="s">
        <v>716</v>
      </c>
      <c r="B336" s="8"/>
      <c r="C336" s="8"/>
      <c r="D336" s="8"/>
      <c r="E336" s="8"/>
      <c r="F336" s="8"/>
      <c r="G336" s="8"/>
      <c r="H336" s="8"/>
    </row>
    <row r="337" customFormat="false" ht="15" hidden="false" customHeight="false" outlineLevel="1" collapsed="false">
      <c r="A337" s="14" t="s">
        <v>717</v>
      </c>
      <c r="B337" s="14" t="s">
        <v>54</v>
      </c>
      <c r="C337" s="15" t="s">
        <v>718</v>
      </c>
      <c r="D337" s="15" t="s">
        <v>719</v>
      </c>
      <c r="E337" s="15" t="s">
        <v>720</v>
      </c>
      <c r="F337" s="15" t="s">
        <v>721</v>
      </c>
      <c r="G337" s="15" t="s">
        <v>722</v>
      </c>
      <c r="H337" s="15" t="s">
        <v>723</v>
      </c>
      <c r="J337" s="14" t="s">
        <v>724</v>
      </c>
    </row>
    <row r="338" customFormat="false" ht="15" hidden="false" customHeight="false" outlineLevel="1" collapsed="false">
      <c r="A338" s="3" t="s">
        <v>725</v>
      </c>
      <c r="C338" s="22" t="n">
        <v>1</v>
      </c>
      <c r="D338" s="22" t="n">
        <v>1</v>
      </c>
      <c r="E338" s="22" t="n">
        <v>1</v>
      </c>
      <c r="F338" s="22" t="n">
        <v>2</v>
      </c>
      <c r="G338" s="22" t="n">
        <v>2</v>
      </c>
      <c r="H338" s="22" t="n">
        <v>2</v>
      </c>
      <c r="J338" s="6" t="s">
        <v>726</v>
      </c>
    </row>
    <row r="339" customFormat="false" ht="15" hidden="false" customHeight="false" outlineLevel="1" collapsed="false">
      <c r="A339" s="3" t="s">
        <v>727</v>
      </c>
      <c r="C339" s="18" t="n">
        <v>1</v>
      </c>
      <c r="J339" s="6" t="s">
        <v>728</v>
      </c>
    </row>
    <row r="340" customFormat="false" ht="15" hidden="false" customHeight="false" outlineLevel="1" collapsed="false">
      <c r="A340" s="3" t="s">
        <v>729</v>
      </c>
      <c r="B340" s="11" t="s">
        <v>59</v>
      </c>
      <c r="C340" s="48" t="n">
        <v>19.345</v>
      </c>
      <c r="J340" s="6" t="s">
        <v>730</v>
      </c>
    </row>
    <row r="341" customFormat="false" ht="15" hidden="false" customHeight="false" outlineLevel="1" collapsed="false">
      <c r="A341" s="3" t="s">
        <v>731</v>
      </c>
      <c r="B341" s="11" t="s">
        <v>152</v>
      </c>
      <c r="C341" s="21" t="n">
        <v>2543</v>
      </c>
      <c r="J341" s="6" t="s">
        <v>732</v>
      </c>
    </row>
    <row r="342" customFormat="false" ht="15" hidden="false" customHeight="false" outlineLevel="1" collapsed="false">
      <c r="A342" s="3" t="s">
        <v>733</v>
      </c>
      <c r="B342" s="11" t="s">
        <v>59</v>
      </c>
      <c r="C342" s="48"/>
      <c r="D342" s="48"/>
      <c r="E342" s="48"/>
      <c r="F342" s="48"/>
      <c r="G342" s="48"/>
      <c r="H342" s="48"/>
      <c r="J342" s="6" t="s">
        <v>734</v>
      </c>
    </row>
    <row r="343" customFormat="false" ht="15" hidden="false" customHeight="false" outlineLevel="1" collapsed="false">
      <c r="A343" s="3" t="s">
        <v>735</v>
      </c>
      <c r="B343" s="11" t="s">
        <v>59</v>
      </c>
      <c r="C343" s="48"/>
      <c r="D343" s="48"/>
      <c r="E343" s="48"/>
      <c r="F343" s="48"/>
      <c r="G343" s="48"/>
      <c r="H343" s="48"/>
    </row>
    <row r="344" customFormat="false" ht="15" hidden="false" customHeight="false" outlineLevel="1" collapsed="false">
      <c r="A344" s="3" t="s">
        <v>736</v>
      </c>
      <c r="B344" s="11" t="s">
        <v>59</v>
      </c>
      <c r="C344" s="48"/>
      <c r="D344" s="48"/>
      <c r="E344" s="48"/>
      <c r="F344" s="48"/>
      <c r="G344" s="48"/>
      <c r="H344" s="48"/>
    </row>
    <row r="345" customFormat="false" ht="15" hidden="false" customHeight="false" outlineLevel="1" collapsed="false">
      <c r="A345" s="3" t="s">
        <v>737</v>
      </c>
      <c r="B345" s="11" t="s">
        <v>59</v>
      </c>
      <c r="C345" s="48"/>
      <c r="D345" s="48"/>
      <c r="E345" s="48"/>
      <c r="F345" s="48"/>
      <c r="G345" s="48"/>
      <c r="H345" s="48"/>
    </row>
    <row r="346" customFormat="false" ht="15" hidden="false" customHeight="false" outlineLevel="1" collapsed="false">
      <c r="A346" s="3" t="s">
        <v>738</v>
      </c>
      <c r="B346" s="11" t="s">
        <v>152</v>
      </c>
      <c r="C346" s="21"/>
      <c r="D346" s="21"/>
      <c r="E346" s="21"/>
      <c r="F346" s="21"/>
      <c r="G346" s="21"/>
      <c r="H346" s="21"/>
    </row>
    <row r="347" customFormat="false" ht="15" hidden="false" customHeight="false" outlineLevel="1" collapsed="false">
      <c r="A347" s="3" t="s">
        <v>739</v>
      </c>
      <c r="C347" s="27"/>
      <c r="D347" s="27"/>
      <c r="E347" s="27"/>
      <c r="F347" s="27"/>
      <c r="G347" s="27"/>
      <c r="H347" s="27"/>
    </row>
    <row r="348" customFormat="false" ht="15" hidden="false" customHeight="false" outlineLevel="1" collapsed="false">
      <c r="A348" s="3" t="s">
        <v>740</v>
      </c>
      <c r="C348" s="27"/>
      <c r="D348" s="27"/>
      <c r="E348" s="27"/>
      <c r="F348" s="27"/>
      <c r="G348" s="27"/>
      <c r="H348" s="27"/>
    </row>
    <row r="349" customFormat="false" ht="15" hidden="false" customHeight="false" outlineLevel="1" collapsed="false">
      <c r="A349" s="3" t="s">
        <v>741</v>
      </c>
      <c r="C349" s="27"/>
      <c r="D349" s="27"/>
      <c r="E349" s="27"/>
      <c r="F349" s="27"/>
      <c r="G349" s="27"/>
      <c r="H349" s="27"/>
    </row>
    <row r="350" customFormat="false" ht="15" hidden="false" customHeight="false" outlineLevel="1" collapsed="false">
      <c r="A350" s="3" t="s">
        <v>742</v>
      </c>
      <c r="B350" s="11" t="s">
        <v>59</v>
      </c>
      <c r="C350" s="48" t="n">
        <v>20.875</v>
      </c>
      <c r="D350" s="48"/>
      <c r="E350" s="48"/>
      <c r="F350" s="48"/>
      <c r="G350" s="48"/>
      <c r="H350" s="48"/>
      <c r="J350" s="11" t="s">
        <v>743</v>
      </c>
    </row>
    <row r="351" customFormat="false" ht="15" hidden="false" customHeight="false" outlineLevel="1" collapsed="false">
      <c r="A351" s="3" t="s">
        <v>744</v>
      </c>
      <c r="B351" s="11" t="s">
        <v>59</v>
      </c>
      <c r="C351" s="48" t="n">
        <v>21.518</v>
      </c>
      <c r="D351" s="48"/>
      <c r="E351" s="48"/>
      <c r="F351" s="48"/>
      <c r="G351" s="48"/>
      <c r="H351" s="48"/>
    </row>
    <row r="352" customFormat="false" ht="15" hidden="false" customHeight="false" outlineLevel="1" collapsed="false">
      <c r="A352" s="3" t="s">
        <v>745</v>
      </c>
      <c r="B352" s="11" t="s">
        <v>59</v>
      </c>
      <c r="C352" s="48" t="n">
        <v>90</v>
      </c>
      <c r="D352" s="48" t="n">
        <v>90</v>
      </c>
      <c r="E352" s="48" t="n">
        <v>19.345</v>
      </c>
      <c r="J352" s="6" t="s">
        <v>746</v>
      </c>
    </row>
    <row r="353" customFormat="false" ht="15" hidden="false" customHeight="false" outlineLevel="1" collapsed="false">
      <c r="A353" s="3" t="s">
        <v>747</v>
      </c>
      <c r="B353" s="11" t="s">
        <v>59</v>
      </c>
      <c r="C353" s="48" t="n">
        <v>90</v>
      </c>
      <c r="D353" s="48" t="n">
        <v>95</v>
      </c>
      <c r="E353" s="48" t="n">
        <v>28.499</v>
      </c>
      <c r="J353" s="6" t="s">
        <v>746</v>
      </c>
    </row>
  </sheetData>
  <dataValidations count="1">
    <dataValidation allowBlank="false" error="請輸入 1–4" errorStyle="stop" errorTitle="錨定年度" operator="between" showDropDown="false" showErrorMessage="true" showInputMessage="false" sqref="C205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748</v>
      </c>
    </row>
    <row r="2" customFormat="false" ht="15" hidden="false" customHeight="false" outlineLevel="0" collapsed="false">
      <c r="A2" s="11" t="s">
        <v>749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148</v>
      </c>
      <c r="G4" s="28" t="s">
        <v>149</v>
      </c>
      <c r="I4" s="14" t="s">
        <v>750</v>
      </c>
    </row>
    <row r="5" customFormat="false" ht="15" hidden="false" customHeight="false" outlineLevel="0" collapsed="false">
      <c r="A5" s="49" t="s">
        <v>751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752</v>
      </c>
      <c r="B6" s="11" t="s">
        <v>59</v>
      </c>
      <c r="C6" s="33" t="n">
        <f aca="false">輸入與假設!$C$243+輸入與假設!C$135</f>
        <v>91.328055592</v>
      </c>
      <c r="D6" s="33" t="n">
        <f aca="false">輸入與假設!D$135</f>
        <v>79.8921356592</v>
      </c>
      <c r="E6" s="33" t="n">
        <f aca="false">輸入與假設!E$135</f>
        <v>31.1985514776</v>
      </c>
      <c r="F6" s="33" t="n">
        <f aca="false">輸入與假設!F$135</f>
        <v>54.988832976</v>
      </c>
      <c r="G6" s="33" t="n">
        <f aca="false">輸入與假設!G$135</f>
        <v>54.988832976</v>
      </c>
      <c r="I6" s="11" t="s">
        <v>753</v>
      </c>
    </row>
    <row r="7" customFormat="false" ht="15" hidden="false" customHeight="false" outlineLevel="1" collapsed="false">
      <c r="A7" s="3" t="s">
        <v>754</v>
      </c>
      <c r="B7" s="11" t="s">
        <v>42</v>
      </c>
      <c r="C7" s="50" t="n">
        <f aca="false">輸入與假設!C$116</f>
        <v>0.243</v>
      </c>
      <c r="D7" s="50" t="n">
        <f aca="false">輸入與假設!D$116</f>
        <v>0.243</v>
      </c>
      <c r="E7" s="50" t="n">
        <f aca="false">輸入與假設!E$116</f>
        <v>0.243</v>
      </c>
      <c r="F7" s="50" t="n">
        <f aca="false">輸入與假設!F$116</f>
        <v>0.243</v>
      </c>
      <c r="G7" s="50" t="n">
        <f aca="false">輸入與假設!G$116</f>
        <v>0.243</v>
      </c>
    </row>
    <row r="8" customFormat="false" ht="15" hidden="false" customHeight="false" outlineLevel="1" collapsed="false">
      <c r="A8" s="3" t="s">
        <v>755</v>
      </c>
      <c r="B8" s="11" t="s">
        <v>59</v>
      </c>
      <c r="C8" s="33" t="n">
        <f aca="false">(輸入與假設!C$128+輸入與假設!C$132)*C7</f>
        <v>15.267460508856</v>
      </c>
      <c r="D8" s="33" t="n">
        <f aca="false">(輸入與假設!D$128+輸入與假設!D$132)*D7</f>
        <v>19.4137889651856</v>
      </c>
      <c r="E8" s="33" t="n">
        <f aca="false">(輸入與假設!E$128+輸入與假設!E$132)*E7</f>
        <v>7.5812480090568</v>
      </c>
      <c r="F8" s="33" t="n">
        <f aca="false">(輸入與假設!F$128+輸入與假設!F$132)*F7</f>
        <v>13.362286413168</v>
      </c>
      <c r="G8" s="33" t="n">
        <f aca="false">(輸入與假設!G$128+輸入與假設!G$132)*G7</f>
        <v>13.362286413168</v>
      </c>
      <c r="I8" s="6" t="s">
        <v>756</v>
      </c>
    </row>
    <row r="9" customFormat="false" ht="15" hidden="false" customHeight="false" outlineLevel="1" collapsed="false">
      <c r="A9" s="3" t="s">
        <v>757</v>
      </c>
      <c r="B9" s="11" t="s">
        <v>59</v>
      </c>
      <c r="C9" s="33" t="n">
        <f aca="false">輸入與假設!$C$113</f>
        <v>15.955</v>
      </c>
      <c r="D9" s="33" t="n">
        <f aca="false">C12</f>
        <v>30.0487773489227</v>
      </c>
      <c r="E9" s="33" t="n">
        <f aca="false">D12</f>
        <v>46.0321588327525</v>
      </c>
      <c r="F9" s="33" t="n">
        <f aca="false">E12</f>
        <v>47.6394772257416</v>
      </c>
      <c r="G9" s="33" t="n">
        <f aca="false">F12</f>
        <v>54.9981900474106</v>
      </c>
      <c r="I9" s="11" t="s">
        <v>758</v>
      </c>
    </row>
    <row r="10" customFormat="false" ht="15" hidden="false" customHeight="false" outlineLevel="1" collapsed="false">
      <c r="A10" s="3" t="s">
        <v>759</v>
      </c>
      <c r="B10" s="11" t="s">
        <v>59</v>
      </c>
      <c r="C10" s="33" t="n">
        <f aca="false">輸入與假設!$C$114*(C9+0.5*C8)*運營_產能與收入!C7</f>
        <v>1.43478451772558</v>
      </c>
      <c r="D10" s="33" t="n">
        <f aca="false">輸入與假設!$C$114*(D9+0.5*D8)*運營_產能與收入!D7</f>
        <v>3.22418498553591</v>
      </c>
      <c r="E10" s="33" t="n">
        <f aca="false">輸入與假設!$C$114*(E9+0.5*E8)*運營_產能與收入!E7</f>
        <v>4.04062768810348</v>
      </c>
      <c r="F10" s="33" t="n">
        <f aca="false">輸入與假設!$C$114*(F9+0.5*F8)*運營_產能與收入!F7</f>
        <v>4.40540231706161</v>
      </c>
      <c r="G10" s="33" t="n">
        <f aca="false">輸入與假設!$C$114*(G9+0.5*G8)*運營_產能與收入!G7</f>
        <v>5.00219392689896</v>
      </c>
      <c r="I10" s="6" t="s">
        <v>760</v>
      </c>
    </row>
    <row r="11" customFormat="false" ht="15" hidden="false" customHeight="false" outlineLevel="1" collapsed="false">
      <c r="A11" s="3" t="s">
        <v>761</v>
      </c>
      <c r="B11" s="11" t="s">
        <v>59</v>
      </c>
      <c r="C11" s="33" t="n">
        <f aca="false">MIN(C9+C10,(C9+C10)/輸入與假設!$C$112*運營_產能與收入!C7)</f>
        <v>2.60846767765884</v>
      </c>
      <c r="D11" s="33" t="n">
        <f aca="false">MIN(D9+D10,(D9+D10)/輸入與假設!$C$112*運營_產能與收入!D7)</f>
        <v>6.65459246689173</v>
      </c>
      <c r="E11" s="33" t="n">
        <f aca="false">MIN(E9+E10,(E9+E10)/輸入與假設!$C$112*運營_產能與收入!E7)</f>
        <v>10.0145573041712</v>
      </c>
      <c r="F11" s="33" t="n">
        <f aca="false">MIN(F9+F10,(F9+F10)/輸入與假設!$C$112*運營_產能與收入!F7)</f>
        <v>10.4089759085606</v>
      </c>
      <c r="G11" s="33" t="n">
        <f aca="false">MIN(G9+G10,(G9+G10)/輸入與假設!$C$112*運營_產能與收入!G7)</f>
        <v>12.0000767948619</v>
      </c>
      <c r="I11" s="6" t="s">
        <v>762</v>
      </c>
    </row>
    <row r="12" customFormat="false" ht="15" hidden="false" customHeight="false" outlineLevel="1" collapsed="false">
      <c r="A12" s="3" t="s">
        <v>763</v>
      </c>
      <c r="B12" s="11" t="s">
        <v>59</v>
      </c>
      <c r="C12" s="33" t="n">
        <f aca="false">C9+C8+C10-C11</f>
        <v>30.0487773489227</v>
      </c>
      <c r="D12" s="33" t="n">
        <f aca="false">D9+D8+D10-D11</f>
        <v>46.0321588327525</v>
      </c>
      <c r="E12" s="33" t="n">
        <f aca="false">E9+E8+E10-E11</f>
        <v>47.6394772257416</v>
      </c>
      <c r="F12" s="33" t="n">
        <f aca="false">F9+F8+F10-F11</f>
        <v>54.9981900474106</v>
      </c>
      <c r="G12" s="33" t="n">
        <f aca="false">G9+G8+G10-G11</f>
        <v>61.3625935926156</v>
      </c>
      <c r="I12" s="6" t="s">
        <v>764</v>
      </c>
    </row>
    <row r="13" customFormat="false" ht="15" hidden="false" customHeight="false" outlineLevel="1" collapsed="false">
      <c r="A13" s="4" t="s">
        <v>765</v>
      </c>
      <c r="B13" s="11" t="s">
        <v>59</v>
      </c>
      <c r="C13" s="33" t="n">
        <f aca="false">輸入與假設!$C$242+輸入與假設!C$135</f>
        <v>91.328055592</v>
      </c>
      <c r="D13" s="33" t="n">
        <f aca="false">輸入與假設!D$135</f>
        <v>79.8921356592</v>
      </c>
      <c r="E13" s="33" t="n">
        <f aca="false">輸入與假設!E$135</f>
        <v>31.1985514776</v>
      </c>
      <c r="F13" s="33" t="n">
        <f aca="false">輸入與假設!F$135</f>
        <v>54.988832976</v>
      </c>
      <c r="G13" s="33" t="n">
        <f aca="false">輸入與假設!G$135</f>
        <v>54.988832976</v>
      </c>
      <c r="I13" s="11" t="s">
        <v>766</v>
      </c>
    </row>
    <row r="14" customFormat="false" ht="15" hidden="false" customHeight="false" outlineLevel="1" collapsed="false">
      <c r="A14" s="3" t="s">
        <v>767</v>
      </c>
      <c r="B14" s="11" t="s">
        <v>59</v>
      </c>
      <c r="C14" s="42" t="n">
        <f aca="false">輸入與假設!C$117</f>
        <v>3.839</v>
      </c>
      <c r="D14" s="42" t="n">
        <f aca="false">輸入與假設!D$117</f>
        <v>4.987</v>
      </c>
      <c r="E14" s="42" t="n">
        <f aca="false">輸入與假設!E$117</f>
        <v>5.02</v>
      </c>
      <c r="F14" s="42" t="n">
        <f aca="false">輸入與假設!F$117</f>
        <v>5.056</v>
      </c>
      <c r="G14" s="42" t="n">
        <f aca="false">輸入與假設!G$117</f>
        <v>5.06</v>
      </c>
      <c r="I14" s="6" t="s">
        <v>768</v>
      </c>
    </row>
    <row r="15" customFormat="false" ht="15" hidden="false" customHeight="false" outlineLevel="1" collapsed="false">
      <c r="A15" s="3" t="s">
        <v>769</v>
      </c>
      <c r="B15" s="11" t="s">
        <v>59</v>
      </c>
      <c r="C15" s="42" t="n">
        <f aca="false">運營_產能與收入!C59</f>
        <v>1.73262032085562</v>
      </c>
      <c r="D15" s="42" t="n">
        <f aca="false">運營_產能與收入!D59</f>
        <v>7.70053475935829</v>
      </c>
      <c r="E15" s="42" t="n">
        <f aca="false">運營_產能與收入!E59</f>
        <v>13.8609625668449</v>
      </c>
      <c r="F15" s="42" t="n">
        <f aca="false">運營_產能與收入!F59</f>
        <v>16.9411764705882</v>
      </c>
      <c r="G15" s="42" t="n">
        <f aca="false">運營_產能與收入!G59</f>
        <v>16.9411764705882</v>
      </c>
      <c r="I15" s="6" t="s">
        <v>770</v>
      </c>
    </row>
    <row r="16" customFormat="false" ht="15" hidden="false" customHeight="false" outlineLevel="1" collapsed="false">
      <c r="A16" s="3" t="s">
        <v>771</v>
      </c>
      <c r="B16" s="11" t="s">
        <v>59</v>
      </c>
      <c r="C16" s="33" t="n">
        <f aca="false">C14+C15</f>
        <v>5.57162032085562</v>
      </c>
      <c r="D16" s="33" t="n">
        <f aca="false">D14+D15</f>
        <v>12.6875347593583</v>
      </c>
      <c r="E16" s="33" t="n">
        <f aca="false">E14+E15</f>
        <v>18.8809625668449</v>
      </c>
      <c r="F16" s="33" t="n">
        <f aca="false">F14+F15</f>
        <v>21.9971764705882</v>
      </c>
      <c r="G16" s="33" t="n">
        <f aca="false">G14+G15</f>
        <v>22.0011764705882</v>
      </c>
      <c r="I16" s="6" t="s">
        <v>772</v>
      </c>
    </row>
    <row r="17" customFormat="false" ht="15" hidden="false" customHeight="false" outlineLevel="1" collapsed="false">
      <c r="A17" s="3" t="s">
        <v>773</v>
      </c>
      <c r="B17" s="11" t="s">
        <v>59</v>
      </c>
      <c r="C17" s="42" t="n">
        <f aca="false">輸入與假設!C$172</f>
        <v>4.47957091589961</v>
      </c>
      <c r="D17" s="42" t="n">
        <f aca="false">輸入與假設!D$172</f>
        <v>5.65698394898732</v>
      </c>
      <c r="E17" s="42" t="n">
        <f aca="false">輸入與假設!E$172</f>
        <v>5.28135927373237</v>
      </c>
      <c r="F17" s="42" t="n">
        <f aca="false">輸入與假設!F$172</f>
        <v>4.97528049764106</v>
      </c>
      <c r="G17" s="42" t="n">
        <f aca="false">輸入與假設!G$172</f>
        <v>4.56717546285265</v>
      </c>
      <c r="I17" s="6" t="str">
        <f aca="false">"8/31 債務餘額的利息。FY27 全年利息＝1Q 實際 1.428＋2Q–4Q "&amp;TEXT(C17,"0.0")&amp;"＝"&amp;TEXT(1.428+C17,"0.00")&amp;"（見下方備忘）"</f>
        <v>8/31 債務餘額的利息。FY27 全年利息＝1Q 實際 1.428＋2Q–4Q 4.5＝5.91（見下方備忘）</v>
      </c>
    </row>
    <row r="18" customFormat="false" ht="15" hidden="false" customHeight="false" outlineLevel="1" collapsed="false">
      <c r="A18" s="3" t="s">
        <v>774</v>
      </c>
      <c r="B18" s="11" t="s">
        <v>59</v>
      </c>
      <c r="C18" s="33" t="n">
        <f aca="false">輸入與假設!$C$240</f>
        <v>31.289</v>
      </c>
      <c r="D18" s="33" t="n">
        <f aca="false">C52</f>
        <v>9.99999999999999</v>
      </c>
      <c r="E18" s="33" t="n">
        <f aca="false">D52</f>
        <v>9.99999999999999</v>
      </c>
      <c r="F18" s="33" t="n">
        <f aca="false">E52</f>
        <v>21.8601498643467</v>
      </c>
      <c r="G18" s="33" t="n">
        <f aca="false">F52</f>
        <v>18.1983872325656</v>
      </c>
      <c r="I18" s="11" t="s">
        <v>775</v>
      </c>
    </row>
    <row r="19" customFormat="false" ht="15" hidden="false" customHeight="false" outlineLevel="1" collapsed="false">
      <c r="A19" s="3" t="s">
        <v>776</v>
      </c>
      <c r="B19" s="11" t="s">
        <v>42</v>
      </c>
      <c r="C19" s="32" t="n">
        <f aca="false">IF(輸入與假設!$C$165=1,輸入與假設!C$171+MAX(0,輸入與假設!$C$164-450)/100*0.004,輸入與假設!C$171)</f>
        <v>0.058</v>
      </c>
      <c r="D19" s="32" t="n">
        <f aca="false">IF(輸入與假設!$C$165=1,輸入與假設!D$171+MAX(0,輸入與假設!$C$164-450)/100*0.004,輸入與假設!D$171)</f>
        <v>0.058</v>
      </c>
      <c r="E19" s="32" t="n">
        <f aca="false">IF(輸入與假設!$C$165=1,輸入與假設!E$171+MAX(0,輸入與假設!$C$164-450)/100*0.004,輸入與假設!E$171)</f>
        <v>0.058</v>
      </c>
      <c r="F19" s="32" t="n">
        <f aca="false">IF(輸入與假設!$C$165=1,輸入與假設!F$171+MAX(0,輸入與假設!$C$164-450)/100*0.004,輸入與假設!F$171)</f>
        <v>0.058</v>
      </c>
      <c r="G19" s="32" t="n">
        <f aca="false">IF(輸入與假設!$C$165=1,輸入與假設!G$171+MAX(0,輸入與假設!$C$164-450)/100*0.004,輸入與假設!G$171)</f>
        <v>0.058</v>
      </c>
      <c r="I19" s="11" t="s">
        <v>777</v>
      </c>
    </row>
    <row r="20" customFormat="false" ht="15" hidden="false" customHeight="false" outlineLevel="1" collapsed="false">
      <c r="A20" s="3" t="s">
        <v>778</v>
      </c>
      <c r="B20" s="11" t="s">
        <v>59</v>
      </c>
      <c r="C20" s="33" t="n">
        <f aca="false">C86</f>
        <v>0.0793782441154063</v>
      </c>
      <c r="D20" s="33" t="n">
        <f aca="false">D86</f>
        <v>2.28732827097374</v>
      </c>
      <c r="E20" s="33" t="n">
        <f aca="false">E86</f>
        <v>2.28732827097374</v>
      </c>
      <c r="F20" s="33" t="n">
        <f aca="false">F86</f>
        <v>2.28732827097374</v>
      </c>
      <c r="G20" s="33" t="n">
        <f aca="false">G86</f>
        <v>2.28732827097374</v>
      </c>
      <c r="I20" s="6" t="s">
        <v>779</v>
      </c>
    </row>
    <row r="21" customFormat="false" ht="15" hidden="false" customHeight="false" outlineLevel="1" collapsed="false">
      <c r="A21" s="3" t="s">
        <v>780</v>
      </c>
      <c r="B21" s="11" t="s">
        <v>59</v>
      </c>
      <c r="C21" s="33" t="n">
        <f aca="false">C17+C20</f>
        <v>4.55894916001502</v>
      </c>
      <c r="D21" s="33" t="n">
        <f aca="false">D17+D20</f>
        <v>7.94431221996106</v>
      </c>
      <c r="E21" s="33" t="n">
        <f aca="false">E17+E20</f>
        <v>7.56868754470611</v>
      </c>
      <c r="F21" s="33" t="n">
        <f aca="false">F17+F20</f>
        <v>7.2626087686148</v>
      </c>
      <c r="G21" s="33" t="n">
        <f aca="false">G17+G20</f>
        <v>6.85450373382639</v>
      </c>
    </row>
    <row r="22" customFormat="false" ht="15" hidden="false" customHeight="false" outlineLevel="1" collapsed="false">
      <c r="A22" s="4" t="s">
        <v>781</v>
      </c>
      <c r="B22" s="11" t="s">
        <v>59</v>
      </c>
      <c r="C22" s="33" t="n">
        <f aca="false">輸入與假設!$C$244+輸入與假設!C$122</f>
        <v>0</v>
      </c>
      <c r="D22" s="33" t="n">
        <f aca="false">輸入與假設!D$122</f>
        <v>0</v>
      </c>
      <c r="E22" s="33" t="n">
        <f aca="false">輸入與假設!E$122</f>
        <v>0</v>
      </c>
      <c r="F22" s="33" t="n">
        <f aca="false">輸入與假設!F$122</f>
        <v>0</v>
      </c>
      <c r="G22" s="33" t="n">
        <f aca="false">輸入與假設!G$122</f>
        <v>0</v>
      </c>
      <c r="I22" s="11" t="s">
        <v>782</v>
      </c>
    </row>
    <row r="23" customFormat="false" ht="15" hidden="false" customHeight="false" outlineLevel="1" collapsed="false">
      <c r="A23" s="3" t="s">
        <v>783</v>
      </c>
      <c r="B23" s="11" t="s">
        <v>59</v>
      </c>
      <c r="C23" s="33" t="n">
        <f aca="false">輸入與假設!$C$259+4*輸入與假設!$C$149*運營_產能與收入!C7*(輸入與假設!$C$150+0+SUMPRODUCT(資產負債_既有債務!$D$73:$D$73*資產負債_既有債務!$H$69:$H$69*(資產負債_既有債務!$G$69:$G$69&lt;0)))+輸入與假設!C$169</f>
        <v>6.344604</v>
      </c>
      <c r="D23" s="33" t="n">
        <f aca="false">4*輸入與假設!$C$149*運營_產能與收入!D7*(輸入與假設!$C$150+C89+SUMPRODUCT(資產負債_既有債務!$D$73:$D$73*資產負債_既有債務!$H$69:$H$69*(資產負債_既有債務!$G$69:$G$69&lt;1)))+輸入與假設!D$169</f>
        <v>6.372472</v>
      </c>
      <c r="E23" s="33" t="n">
        <f aca="false">4*輸入與假設!$C$149*運營_產能與收入!E7*(輸入與假設!$C$150+D89+SUMPRODUCT(資產負債_既有債務!$D$73:$D$73*資產負債_既有債務!$H$69:$H$69*(資產負債_既有債務!$G$69:$G$69&lt;2)))+輸入與假設!E$169</f>
        <v>6.291472</v>
      </c>
      <c r="F23" s="33" t="n">
        <f aca="false">4*輸入與假設!$C$149*運營_產能與收入!F7*(輸入與假設!$C$150+E89+SUMPRODUCT(資產負債_既有債務!$D$73:$D$73*資產負債_既有債務!$H$69:$H$69*(資產負債_既有債務!$G$69:$G$69&lt;3)))+輸入與假設!F$169</f>
        <v>6.10994857128577</v>
      </c>
      <c r="G23" s="33" t="n">
        <f aca="false">4*輸入與假設!$C$149*運營_產能與收入!G7*(輸入與假設!$C$150+F89+SUMPRODUCT(資產負債_既有債務!$D$73:$D$73*資產負債_既有債務!$H$69:$H$69*(資產負債_既有債務!$G$69:$G$69&lt;4)))+輸入與假設!G$169</f>
        <v>6.10994857128577</v>
      </c>
      <c r="I23" s="6" t="s">
        <v>784</v>
      </c>
    </row>
    <row r="24" customFormat="false" ht="15" hidden="false" customHeight="false" outlineLevel="1" collapsed="false">
      <c r="A24" s="3" t="s">
        <v>785</v>
      </c>
      <c r="B24" s="11" t="s">
        <v>59</v>
      </c>
      <c r="C24" s="33" t="n">
        <f aca="false">IF(輸入與假設!$C$96=1,運營_產能與收入!C9*8760*輸入與假設!C$98*輸入與假設!C$97/1000000000*運營_產能與收入!C7,0)</f>
        <v>0</v>
      </c>
      <c r="D24" s="33" t="n">
        <f aca="false">IF(輸入與假設!$C$96=1,運營_產能與收入!D9*8760*輸入與假設!D$98*輸入與假設!D$97/1000000000*運營_產能與收入!D7,0)</f>
        <v>0</v>
      </c>
      <c r="E24" s="33" t="n">
        <f aca="false">IF(輸入與假設!$C$96=1,運營_產能與收入!E9*8760*輸入與假設!E$98*輸入與假設!E$97/1000000000*運營_產能與收入!E7,0)</f>
        <v>0</v>
      </c>
      <c r="F24" s="33" t="n">
        <f aca="false">IF(輸入與假設!$C$96=1,運營_產能與收入!F9*8760*輸入與假設!F$98*輸入與假設!F$97/1000000000*運營_產能與收入!F7,0)</f>
        <v>0</v>
      </c>
      <c r="G24" s="33" t="n">
        <f aca="false">IF(輸入與假設!$C$96=1,運營_產能與收入!G9*8760*輸入與假設!G$98*輸入與假設!G$97/1000000000*運營_產能與收入!G7,0)</f>
        <v>0</v>
      </c>
      <c r="I24" s="6" t="s">
        <v>786</v>
      </c>
    </row>
    <row r="25" customFormat="false" ht="15" hidden="false" customHeight="false" outlineLevel="1" collapsed="false">
      <c r="A25" s="3" t="s">
        <v>787</v>
      </c>
      <c r="B25" s="11" t="s">
        <v>59</v>
      </c>
      <c r="C25" s="33" t="n">
        <f aca="false">IF(輸入與假設!$C$96=1,運營_產能與收入!C9*輸入與假設!C$99/1000*運營_產能與收入!C7,0)</f>
        <v>0</v>
      </c>
      <c r="D25" s="33" t="n">
        <f aca="false">IF(輸入與假設!$C$96=1,運營_產能與收入!D9*輸入與假設!D$99/1000*運營_產能與收入!D7,0)</f>
        <v>0</v>
      </c>
      <c r="E25" s="33" t="n">
        <f aca="false">IF(輸入與假設!$C$96=1,運營_產能與收入!E9*輸入與假設!E$99/1000*運營_產能與收入!E7,0)</f>
        <v>0</v>
      </c>
      <c r="F25" s="33" t="n">
        <f aca="false">IF(輸入與假設!$C$96=1,運營_產能與收入!F9*輸入與假設!F$99/1000*運營_產能與收入!F7,0)</f>
        <v>0</v>
      </c>
      <c r="G25" s="33" t="n">
        <f aca="false">IF(輸入與假設!$C$96=1,運營_產能與收入!G9*輸入與假設!G$99/1000*運營_產能與收入!G7,0)</f>
        <v>0</v>
      </c>
    </row>
    <row r="26" customFormat="false" ht="15" hidden="false" customHeight="false" outlineLevel="1" collapsed="false">
      <c r="A26" s="3" t="s">
        <v>788</v>
      </c>
      <c r="B26" s="11" t="s">
        <v>59</v>
      </c>
      <c r="C26" s="33" t="n">
        <f aca="false">輸入與假設!$C$246+IF(輸入與假設!$C$144=1,輸入與假設!C$170,0)+資產負債_既有債務!C84</f>
        <v>7.209</v>
      </c>
      <c r="D26" s="33" t="n">
        <f aca="false">IF(輸入與假設!$C$144=1,輸入與假設!D$170,0)+資產負債_既有債務!D84</f>
        <v>10.147</v>
      </c>
      <c r="E26" s="33" t="n">
        <f aca="false">IF(輸入與假設!$C$144=1,輸入與假設!E$170,0)+資產負債_既有債務!E84</f>
        <v>5.5</v>
      </c>
      <c r="F26" s="33" t="n">
        <f aca="false">IF(輸入與假設!$C$144=1,輸入與假設!F$170,0)+資產負債_既有債務!F84</f>
        <v>7.25</v>
      </c>
      <c r="G26" s="33" t="n">
        <f aca="false">IF(輸入與假設!$C$144=1,輸入與假設!G$170,0)+資產負債_既有債務!G84</f>
        <v>9.75</v>
      </c>
      <c r="I26" s="11" t="s">
        <v>789</v>
      </c>
    </row>
    <row r="27" customFormat="false" ht="15" hidden="false" customHeight="false" outlineLevel="1" collapsed="false">
      <c r="A27" s="4" t="s">
        <v>790</v>
      </c>
      <c r="B27" s="11" t="s">
        <v>59</v>
      </c>
      <c r="C27" s="33" t="n">
        <f aca="false">輸入與假設!$C$247</f>
        <v>0</v>
      </c>
      <c r="D27" s="33" t="n">
        <f aca="false">0</f>
        <v>0</v>
      </c>
      <c r="E27" s="33" t="n">
        <f aca="false">0</f>
        <v>0</v>
      </c>
      <c r="F27" s="33" t="n">
        <f aca="false">0</f>
        <v>0</v>
      </c>
      <c r="G27" s="33" t="n">
        <f aca="false">0</f>
        <v>0</v>
      </c>
      <c r="I27" s="6" t="s">
        <v>791</v>
      </c>
    </row>
    <row r="28" customFormat="false" ht="15" hidden="false" customHeight="false" outlineLevel="1" collapsed="false">
      <c r="A28" s="3" t="s">
        <v>792</v>
      </c>
      <c r="B28" s="11" t="s">
        <v>59</v>
      </c>
      <c r="C28" s="33" t="n">
        <f aca="false">輸入與假設!$C$163*MAX(0,運營_產能與收入!C38*輸入與假設!C$93+輸入與假設!C$51+輸入與假設!C$83-運營_產能與收入!C62-輸入與假設!C$136-輸入與假設!C$172)</f>
        <v>3.16780591009144</v>
      </c>
      <c r="D28" s="33" t="n">
        <f aca="false">輸入與假設!$C$163*MAX(0,運營_產能與收入!D38*輸入與假設!D$93+輸入與假設!D$51+輸入與假設!D$83-運營_產能與收入!D62-輸入與假設!D$136-輸入與假設!D$172)</f>
        <v>3.94723831079158</v>
      </c>
      <c r="E28" s="33" t="n">
        <f aca="false">輸入與假設!$C$163*MAX(0,運營_產能與收入!E38*輸入與假設!E$93+輸入與假設!E$51+輸入與假設!E$83-運營_產能與收入!E62-輸入與假設!E$136-輸入與假設!E$172)</f>
        <v>4.14586252867746</v>
      </c>
      <c r="F28" s="33" t="n">
        <f aca="false">輸入與假設!$C$163*MAX(0,運營_產能與收入!F38*輸入與假設!F$93+輸入與假設!F$51+輸入與假設!F$83-運營_產能與收入!F62-輸入與假設!F$136-輸入與假設!F$172)</f>
        <v>4.21618337882513</v>
      </c>
      <c r="G28" s="33" t="n">
        <f aca="false">輸入與假設!$C$163*MAX(0,運營_產能與收入!G38*輸入與假設!G$93+輸入與假設!G$51+輸入與假設!G$83-運營_產能與收入!G62-輸入與假設!G$136-輸入與假設!G$172)</f>
        <v>4.12761014660891</v>
      </c>
      <c r="I28" s="6" t="s">
        <v>793</v>
      </c>
    </row>
    <row r="29" customFormat="false" ht="15" hidden="false" customHeight="false" outlineLevel="1" collapsed="false">
      <c r="A29" s="2" t="s">
        <v>794</v>
      </c>
      <c r="B29" s="11" t="s">
        <v>59</v>
      </c>
      <c r="C29" s="38" t="n">
        <f aca="false">C13+C16+C21+C22+C24+C25+C26+C27+C28+C23</f>
        <v>118.180034982962</v>
      </c>
      <c r="D29" s="38" t="n">
        <f aca="false">D13+D16+D21+D22+D24+D25+D26+D27+D28+D23</f>
        <v>120.990692949311</v>
      </c>
      <c r="E29" s="38" t="n">
        <f aca="false">E13+E16+E21+E22+E24+E25+E26+E27+E28+E23</f>
        <v>73.5855361178285</v>
      </c>
      <c r="F29" s="38" t="n">
        <f aca="false">F13+F16+F21+F22+F24+F25+F26+F27+F28+F23</f>
        <v>101.824750165314</v>
      </c>
      <c r="G29" s="38" t="n">
        <f aca="false">G13+G16+G21+G22+G24+G25+G26+G27+G28+G23</f>
        <v>103.832071898309</v>
      </c>
      <c r="I29" s="11" t="s">
        <v>795</v>
      </c>
    </row>
    <row r="30" customFormat="false" ht="15" hidden="false" customHeight="false" outlineLevel="0" collapsed="false">
      <c r="A30" s="49" t="s">
        <v>796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797</v>
      </c>
      <c r="B31" s="11" t="s">
        <v>59</v>
      </c>
      <c r="C31" s="42" t="n">
        <f aca="false">輸入與假設!$C$241</f>
        <v>23.103</v>
      </c>
      <c r="D31" s="42" t="n">
        <f aca="false">0</f>
        <v>0</v>
      </c>
      <c r="E31" s="42" t="n">
        <f aca="false">0</f>
        <v>0</v>
      </c>
      <c r="F31" s="42" t="n">
        <f aca="false">0</f>
        <v>0</v>
      </c>
      <c r="G31" s="42" t="n">
        <f aca="false">0</f>
        <v>0</v>
      </c>
      <c r="I31" s="6" t="s">
        <v>798</v>
      </c>
    </row>
    <row r="32" customFormat="false" ht="15" hidden="false" customHeight="false" outlineLevel="1" collapsed="false">
      <c r="A32" s="4" t="s">
        <v>799</v>
      </c>
      <c r="B32" s="11" t="s">
        <v>59</v>
      </c>
      <c r="C32" s="42" t="n">
        <f aca="false">運營_產能與收入!C40</f>
        <v>21.6101229172411</v>
      </c>
      <c r="D32" s="42" t="n">
        <f aca="false">運營_產能與收入!D40</f>
        <v>41.4775623200874</v>
      </c>
      <c r="E32" s="42" t="n">
        <f aca="false">運營_產能與收入!E40</f>
        <v>57.5727171346435</v>
      </c>
      <c r="F32" s="42" t="n">
        <f aca="false">運營_產能與收入!F40</f>
        <v>63.8066354260938</v>
      </c>
      <c r="G32" s="42" t="n">
        <f aca="false">運營_產能與收入!G40</f>
        <v>62.3192075503566</v>
      </c>
    </row>
    <row r="33" customFormat="false" ht="15" hidden="false" customHeight="false" outlineLevel="1" collapsed="false">
      <c r="A33" s="3" t="s">
        <v>800</v>
      </c>
      <c r="B33" s="11" t="s">
        <v>59</v>
      </c>
      <c r="C33" s="42" t="n">
        <f aca="false">運營_產能與收入!C41</f>
        <v>0</v>
      </c>
      <c r="D33" s="42" t="n">
        <f aca="false">運營_產能與收入!D41</f>
        <v>0</v>
      </c>
      <c r="E33" s="42" t="n">
        <f aca="false">運營_產能與收入!E41</f>
        <v>0</v>
      </c>
      <c r="F33" s="42" t="n">
        <f aca="false">運營_產能與收入!F41</f>
        <v>0</v>
      </c>
      <c r="G33" s="42" t="n">
        <f aca="false">運營_產能與收入!G41</f>
        <v>0</v>
      </c>
    </row>
    <row r="34" customFormat="false" ht="15" hidden="false" customHeight="false" outlineLevel="1" collapsed="false">
      <c r="A34" s="3" t="s">
        <v>801</v>
      </c>
      <c r="B34" s="11" t="s">
        <v>59</v>
      </c>
      <c r="C34" s="42" t="n">
        <f aca="false">輸入與假設!C$94</f>
        <v>0</v>
      </c>
      <c r="D34" s="42" t="n">
        <f aca="false">輸入與假設!D$94</f>
        <v>0</v>
      </c>
      <c r="E34" s="42" t="n">
        <f aca="false">輸入與假設!E$94</f>
        <v>0</v>
      </c>
      <c r="F34" s="42" t="n">
        <f aca="false">輸入與假設!F$94</f>
        <v>0</v>
      </c>
      <c r="G34" s="42" t="n">
        <f aca="false">輸入與假設!G$94</f>
        <v>0</v>
      </c>
    </row>
    <row r="35" customFormat="false" ht="15" hidden="false" customHeight="false" outlineLevel="1" collapsed="false">
      <c r="A35" s="4" t="s">
        <v>802</v>
      </c>
      <c r="B35" s="11" t="s">
        <v>59</v>
      </c>
      <c r="C35" s="42" t="n">
        <f aca="false">輸入與假設!C$51</f>
        <v>0</v>
      </c>
      <c r="D35" s="42" t="n">
        <f aca="false">輸入與假設!D$51</f>
        <v>0</v>
      </c>
      <c r="E35" s="42" t="n">
        <f aca="false">輸入與假設!E$51</f>
        <v>0</v>
      </c>
      <c r="F35" s="42" t="n">
        <f aca="false">輸入與假設!F$51</f>
        <v>0</v>
      </c>
      <c r="G35" s="42" t="n">
        <f aca="false">輸入與假設!G$51</f>
        <v>0</v>
      </c>
      <c r="I35" s="6" t="s">
        <v>803</v>
      </c>
    </row>
    <row r="36" customFormat="false" ht="15" hidden="false" customHeight="false" outlineLevel="1" collapsed="false">
      <c r="A36" s="4" t="s">
        <v>804</v>
      </c>
      <c r="B36" s="11" t="s">
        <v>59</v>
      </c>
      <c r="C36" s="42" t="n">
        <f aca="false">輸入與假設!C$83</f>
        <v>21.45113201348</v>
      </c>
      <c r="D36" s="42" t="n">
        <f aca="false">輸入與假設!D$83</f>
        <v>29.14202702484</v>
      </c>
      <c r="E36" s="42" t="n">
        <f aca="false">輸入與假設!E$83</f>
        <v>30.3062781426461</v>
      </c>
      <c r="F36" s="42" t="n">
        <f aca="false">輸入與假設!F$83</f>
        <v>31.4030416028317</v>
      </c>
      <c r="G36" s="42" t="n">
        <f aca="false">輸入與假設!G$83</f>
        <v>32.4054173098993</v>
      </c>
      <c r="I36" s="11" t="s">
        <v>805</v>
      </c>
    </row>
    <row r="37" customFormat="false" ht="15" hidden="false" customHeight="false" outlineLevel="1" collapsed="false">
      <c r="A37" s="4" t="s">
        <v>806</v>
      </c>
      <c r="B37" s="11" t="s">
        <v>59</v>
      </c>
      <c r="C37" s="33" t="n">
        <f aca="false">-運營_產能與收入!C62</f>
        <v>-0</v>
      </c>
      <c r="D37" s="33" t="n">
        <f aca="false">-運營_產能與收入!D62</f>
        <v>-0</v>
      </c>
      <c r="E37" s="33" t="n">
        <f aca="false">-運營_產能與收入!E62</f>
        <v>-0</v>
      </c>
      <c r="F37" s="33" t="n">
        <f aca="false">-運營_產能與收入!F62</f>
        <v>-0</v>
      </c>
      <c r="G37" s="33" t="n">
        <f aca="false">-運營_產能與收入!G62</f>
        <v>-0</v>
      </c>
      <c r="I37" s="6" t="s">
        <v>807</v>
      </c>
    </row>
    <row r="38" customFormat="false" ht="15" hidden="false" customHeight="false" outlineLevel="1" collapsed="false">
      <c r="A38" s="3" t="s">
        <v>808</v>
      </c>
      <c r="B38" s="11" t="s">
        <v>59</v>
      </c>
      <c r="C38" s="33" t="n">
        <f aca="false">C8</f>
        <v>15.267460508856</v>
      </c>
      <c r="D38" s="33" t="n">
        <f aca="false">D8</f>
        <v>19.4137889651856</v>
      </c>
      <c r="E38" s="33" t="n">
        <f aca="false">E8</f>
        <v>7.5812480090568</v>
      </c>
      <c r="F38" s="33" t="n">
        <f aca="false">F8</f>
        <v>13.362286413168</v>
      </c>
      <c r="G38" s="33" t="n">
        <f aca="false">G8</f>
        <v>13.362286413168</v>
      </c>
    </row>
    <row r="39" customFormat="false" ht="15" hidden="false" customHeight="false" outlineLevel="1" collapsed="false">
      <c r="A39" s="4" t="s">
        <v>809</v>
      </c>
      <c r="B39" s="11" t="s">
        <v>59</v>
      </c>
      <c r="C39" s="33" t="n">
        <f aca="false">-C11</f>
        <v>-2.60846767765884</v>
      </c>
      <c r="D39" s="33" t="n">
        <f aca="false">-D11</f>
        <v>-6.65459246689173</v>
      </c>
      <c r="E39" s="33" t="n">
        <f aca="false">-E11</f>
        <v>-10.0145573041712</v>
      </c>
      <c r="F39" s="33" t="n">
        <f aca="false">-F11</f>
        <v>-10.4089759085606</v>
      </c>
      <c r="G39" s="33" t="n">
        <f aca="false">-G11</f>
        <v>-12.0000767948619</v>
      </c>
      <c r="I39" s="6" t="s">
        <v>810</v>
      </c>
    </row>
    <row r="40" customFormat="false" ht="15" hidden="false" customHeight="false" outlineLevel="1" collapsed="false">
      <c r="A40" s="2" t="s">
        <v>811</v>
      </c>
      <c r="B40" s="11" t="s">
        <v>59</v>
      </c>
      <c r="C40" s="38" t="n">
        <f aca="false">C31+C32+C33+C34+C35+C36+C37+C38+C39</f>
        <v>78.8232477619183</v>
      </c>
      <c r="D40" s="38" t="n">
        <f aca="false">D31+D32+D33+D34+D35+D36+D37+D38+D39</f>
        <v>83.3787858432214</v>
      </c>
      <c r="E40" s="38" t="n">
        <f aca="false">E31+E32+E33+E34+E35+E36+E37+E38+E39</f>
        <v>85.4456859821752</v>
      </c>
      <c r="F40" s="38" t="n">
        <f aca="false">F31+F32+F33+F34+F35+F36+F37+F38+F39</f>
        <v>98.1629875335328</v>
      </c>
      <c r="G40" s="38" t="n">
        <f aca="false">G31+G32+G33+G34+G35+G36+G37+G38+G39</f>
        <v>96.086834478562</v>
      </c>
    </row>
    <row r="41" customFormat="false" ht="15" hidden="false" customHeight="false" outlineLevel="1" collapsed="false">
      <c r="A41" s="3" t="s">
        <v>812</v>
      </c>
      <c r="B41" s="11" t="s">
        <v>59</v>
      </c>
      <c r="C41" s="33" t="n">
        <f aca="false">輸入與假設!$C$248+IF(輸入與假設!$C$141=1,輸入與假設!$C$140,0)</f>
        <v>19.909</v>
      </c>
      <c r="D41" s="33" t="n">
        <f aca="false">0</f>
        <v>0</v>
      </c>
      <c r="E41" s="33" t="n">
        <f aca="false">0</f>
        <v>0</v>
      </c>
      <c r="F41" s="33" t="n">
        <f aca="false">0</f>
        <v>0</v>
      </c>
      <c r="G41" s="33" t="n">
        <f aca="false">0</f>
        <v>0</v>
      </c>
      <c r="I41" s="11" t="s">
        <v>813</v>
      </c>
    </row>
    <row r="42" customFormat="false" ht="15" hidden="false" customHeight="false" outlineLevel="1" collapsed="false">
      <c r="A42" s="4" t="s">
        <v>814</v>
      </c>
      <c r="B42" s="11" t="s">
        <v>59</v>
      </c>
      <c r="C42" s="42" t="n">
        <f aca="false">輸入與假設!$C$245</f>
        <v>0</v>
      </c>
      <c r="D42" s="42" t="n">
        <f aca="false">0</f>
        <v>0</v>
      </c>
      <c r="E42" s="42" t="n">
        <f aca="false">0</f>
        <v>0</v>
      </c>
      <c r="F42" s="42" t="n">
        <f aca="false">0</f>
        <v>0</v>
      </c>
      <c r="G42" s="42" t="n">
        <f aca="false">0</f>
        <v>0</v>
      </c>
      <c r="I42" s="6" t="s">
        <v>815</v>
      </c>
    </row>
    <row r="43" customFormat="false" ht="15" hidden="false" customHeight="false" outlineLevel="1" collapsed="false">
      <c r="A43" s="3" t="s">
        <v>816</v>
      </c>
      <c r="B43" s="11" t="s">
        <v>59</v>
      </c>
      <c r="C43" s="33" t="n">
        <f aca="false">C78</f>
        <v>1.82478722104382</v>
      </c>
      <c r="D43" s="33" t="n">
        <f aca="false">D78</f>
        <v>37.6119071060896</v>
      </c>
      <c r="E43" s="33" t="n">
        <f aca="false">E78</f>
        <v>0</v>
      </c>
      <c r="F43" s="33" t="n">
        <f aca="false">F78</f>
        <v>0</v>
      </c>
      <c r="G43" s="33" t="n">
        <f aca="false">G78</f>
        <v>0</v>
      </c>
      <c r="I43" s="6" t="s">
        <v>817</v>
      </c>
    </row>
    <row r="44" customFormat="false" ht="15" hidden="false" customHeight="false" outlineLevel="1" collapsed="false">
      <c r="A44" s="4" t="s">
        <v>818</v>
      </c>
      <c r="B44" s="11" t="s">
        <v>59</v>
      </c>
      <c r="C44" s="33" t="n">
        <f aca="false">C81</f>
        <v>0</v>
      </c>
      <c r="D44" s="33" t="n">
        <f aca="false">D81</f>
        <v>0</v>
      </c>
      <c r="E44" s="33" t="n">
        <f aca="false">E81</f>
        <v>0</v>
      </c>
      <c r="F44" s="33" t="n">
        <f aca="false">F81</f>
        <v>0</v>
      </c>
      <c r="G44" s="33" t="n">
        <f aca="false">G81</f>
        <v>0</v>
      </c>
      <c r="I44" s="6" t="s">
        <v>819</v>
      </c>
    </row>
    <row r="45" customFormat="false" ht="15" hidden="false" customHeight="false" outlineLevel="1" collapsed="false">
      <c r="A45" s="3" t="s">
        <v>820</v>
      </c>
      <c r="B45" s="11" t="s">
        <v>59</v>
      </c>
      <c r="C45" s="33" t="n">
        <f aca="false">C84</f>
        <v>0</v>
      </c>
      <c r="D45" s="33" t="n">
        <f aca="false">D84</f>
        <v>0</v>
      </c>
      <c r="E45" s="33" t="n">
        <f aca="false">E84</f>
        <v>0</v>
      </c>
      <c r="F45" s="33" t="n">
        <f aca="false">F84</f>
        <v>0</v>
      </c>
      <c r="G45" s="33" t="n">
        <f aca="false">G84</f>
        <v>0</v>
      </c>
      <c r="I45" s="6" t="s">
        <v>821</v>
      </c>
    </row>
    <row r="46" customFormat="false" ht="15" hidden="false" customHeight="false" outlineLevel="1" collapsed="false">
      <c r="A46" s="3" t="s">
        <v>822</v>
      </c>
      <c r="B46" s="11" t="s">
        <v>59</v>
      </c>
      <c r="C46" s="33" t="n">
        <f aca="false">C85</f>
        <v>0</v>
      </c>
      <c r="D46" s="33" t="n">
        <f aca="false">D85</f>
        <v>0</v>
      </c>
      <c r="E46" s="33" t="n">
        <f aca="false">E85</f>
        <v>0</v>
      </c>
      <c r="F46" s="33" t="n">
        <f aca="false">F85</f>
        <v>0</v>
      </c>
      <c r="G46" s="33" t="n">
        <f aca="false">G85</f>
        <v>0</v>
      </c>
      <c r="I46" s="6" t="s">
        <v>823</v>
      </c>
    </row>
    <row r="47" customFormat="false" ht="15" hidden="false" customHeight="false" outlineLevel="1" collapsed="false">
      <c r="A47" s="2" t="s">
        <v>824</v>
      </c>
      <c r="B47" s="11" t="s">
        <v>59</v>
      </c>
      <c r="C47" s="38" t="n">
        <f aca="false">C40+C41+C42+C43+C44+C45+C46</f>
        <v>100.557034982962</v>
      </c>
      <c r="D47" s="38" t="n">
        <f aca="false">D40+D41+D42+D43+D44+D45+D46</f>
        <v>120.990692949311</v>
      </c>
      <c r="E47" s="38" t="n">
        <f aca="false">E40+E41+E42+E43+E44+E45+E46</f>
        <v>85.4456859821752</v>
      </c>
      <c r="F47" s="38" t="n">
        <f aca="false">F40+F41+F42+F43+F44+F45+F46</f>
        <v>98.1629875335328</v>
      </c>
      <c r="G47" s="38" t="n">
        <f aca="false">G40+G41+G42+G43+G44+G45+G46</f>
        <v>96.086834478562</v>
      </c>
    </row>
    <row r="48" customFormat="false" ht="15" hidden="false" customHeight="false" outlineLevel="0" collapsed="false">
      <c r="A48" s="49" t="s">
        <v>825</v>
      </c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1" collapsed="false">
      <c r="A49" s="3" t="s">
        <v>826</v>
      </c>
      <c r="B49" s="11" t="s">
        <v>59</v>
      </c>
      <c r="C49" s="33" t="n">
        <f aca="false">輸入與假設!$C$139-(輸入與假設!$C$240+輸入與假設!$C$241+輸入與假設!$C$245+輸入與假設!$C$248-輸入與假設!$C$242-輸入與假設!$C$244-輸入與假設!$C$246-輸入與假設!$C$247-輸入與假設!$C$259)</f>
        <v>-3.66600000000001</v>
      </c>
      <c r="D49" s="33" t="n">
        <f aca="false">0</f>
        <v>0</v>
      </c>
      <c r="E49" s="33" t="n">
        <f aca="false">0</f>
        <v>0</v>
      </c>
      <c r="F49" s="33" t="n">
        <f aca="false">0</f>
        <v>0</v>
      </c>
      <c r="G49" s="33" t="n">
        <f aca="false">0</f>
        <v>0</v>
      </c>
      <c r="I49" s="6" t="s">
        <v>827</v>
      </c>
    </row>
    <row r="50" customFormat="false" ht="15" hidden="false" customHeight="false" outlineLevel="1" collapsed="false">
      <c r="A50" s="2" t="s">
        <v>828</v>
      </c>
      <c r="B50" s="11" t="s">
        <v>59</v>
      </c>
      <c r="C50" s="38" t="n">
        <f aca="false">C40-(C29-C26-C27)</f>
        <v>-32.1477872210438</v>
      </c>
      <c r="D50" s="38" t="n">
        <f aca="false">D40-(D29-D26-D27)</f>
        <v>-27.4649071060896</v>
      </c>
      <c r="E50" s="38" t="n">
        <f aca="false">E40-(E29-E26-E27)</f>
        <v>17.3601498643467</v>
      </c>
      <c r="F50" s="38" t="n">
        <f aca="false">F40-(F29-F26-F27)</f>
        <v>3.58823736821891</v>
      </c>
      <c r="G50" s="38" t="n">
        <f aca="false">G40-(G29-G26-G27)</f>
        <v>2.00476258025265</v>
      </c>
      <c r="I50" s="6" t="s">
        <v>829</v>
      </c>
    </row>
    <row r="51" customFormat="false" ht="15" hidden="false" customHeight="false" outlineLevel="1" collapsed="false">
      <c r="A51" s="3" t="s">
        <v>830</v>
      </c>
      <c r="B51" s="11" t="s">
        <v>59</v>
      </c>
      <c r="C51" s="33" t="n">
        <f aca="false">C47-C29+C49</f>
        <v>-21.289</v>
      </c>
      <c r="D51" s="33" t="n">
        <f aca="false">D47-D29+D49</f>
        <v>0</v>
      </c>
      <c r="E51" s="33" t="n">
        <f aca="false">E47-E29+E49</f>
        <v>11.8601498643467</v>
      </c>
      <c r="F51" s="33" t="n">
        <f aca="false">F47-F29+F49</f>
        <v>-3.66176263178109</v>
      </c>
      <c r="G51" s="33" t="n">
        <f aca="false">G47-G29+G49</f>
        <v>-7.74523741974736</v>
      </c>
    </row>
    <row r="52" customFormat="false" ht="15" hidden="false" customHeight="false" outlineLevel="1" collapsed="false">
      <c r="A52" s="2" t="s">
        <v>831</v>
      </c>
      <c r="B52" s="11" t="s">
        <v>59</v>
      </c>
      <c r="C52" s="38" t="n">
        <f aca="false">C18+C51</f>
        <v>9.99999999999999</v>
      </c>
      <c r="D52" s="38" t="n">
        <f aca="false">D18+D51</f>
        <v>9.99999999999999</v>
      </c>
      <c r="E52" s="38" t="n">
        <f aca="false">E18+E51</f>
        <v>21.8601498643467</v>
      </c>
      <c r="F52" s="38" t="n">
        <f aca="false">F18+F51</f>
        <v>18.1983872325656</v>
      </c>
      <c r="G52" s="38" t="n">
        <f aca="false">G18+G51</f>
        <v>10.4531498128183</v>
      </c>
      <c r="I52" s="6" t="s">
        <v>832</v>
      </c>
    </row>
    <row r="54" customFormat="false" ht="15" hidden="false" customHeight="false" outlineLevel="0" collapsed="false">
      <c r="A54" s="49" t="s">
        <v>833</v>
      </c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1" collapsed="false">
      <c r="A55" s="3" t="s">
        <v>834</v>
      </c>
      <c r="B55" s="11" t="s">
        <v>42</v>
      </c>
      <c r="C55" s="24" t="n">
        <v>0.057</v>
      </c>
      <c r="I55" s="11" t="s">
        <v>835</v>
      </c>
    </row>
    <row r="56" customFormat="false" ht="15" hidden="false" customHeight="false" outlineLevel="1" collapsed="false">
      <c r="A56" s="3" t="s">
        <v>836</v>
      </c>
      <c r="B56" s="6" t="s">
        <v>190</v>
      </c>
      <c r="C56" s="26" t="n">
        <v>12</v>
      </c>
      <c r="I56" s="6" t="s">
        <v>837</v>
      </c>
    </row>
    <row r="57" customFormat="false" ht="15" hidden="false" customHeight="false" outlineLevel="1" collapsed="false">
      <c r="A57" s="3" t="s">
        <v>838</v>
      </c>
      <c r="B57" s="11" t="s">
        <v>59</v>
      </c>
      <c r="C57" s="33" t="n">
        <f aca="false">輸入與假設!D$117*(1+各期收支!$C$55)^(-(運營_產能與收入!$D$51-運營_產能與收入!$D$7/2-運營_產能與收入!$C$51))+輸入與假設!E$117*(1+各期收支!$C$55)^(-(運營_產能與收入!$E$51-運營_產能與收入!$E$7/2-運營_產能與收入!$C$51))+輸入與假設!F$117*(1+各期收支!$C$55)^(-(運營_產能與收入!$F$51-運營_產能與收入!$F$7/2-運營_產能與收入!$C$51))+輸入與假設!G$117*(1+各期收支!$C$55)^(-(運營_產能與收入!$G$51-運營_產能與收入!$G$7/2-運營_產能與收入!$C$51))+39.283/各期收支!$C$56*(1+各期收支!$C$55)^0.5*(1-(1+各期收支!$C$55)^(-各期收支!$C$56))/各期收支!$C$55*(1+各期收支!$C$55)^(-(運營_產能與收入!$G$51-運營_產能與收入!$C$51))</f>
        <v>41.0208905630245</v>
      </c>
      <c r="D57" s="33" t="n">
        <f aca="false">輸入與假設!E$117*(1+各期收支!$C$55)^(-(運營_產能與收入!$E$51-運營_產能與收入!$E$7/2-運營_產能與收入!$D$51))+輸入與假設!F$117*(1+各期收支!$C$55)^(-(運營_產能與收入!$F$51-運營_產能與收入!$F$7/2-運營_產能與收入!$D$51))+輸入與假設!G$117*(1+各期收支!$C$55)^(-(運營_產能與收入!$G$51-運營_產能與收入!$G$7/2-運營_產能與收入!$D$51))+39.283/各期收支!$C$56*(1+各期收支!$C$55)^0.5*(1-(1+各期收支!$C$55)^(-各期收支!$C$56))/各期收支!$C$55*(1+各期收支!$C$55)^(-(運營_產能與收入!$G$51-運營_產能與收入!$D$51))</f>
        <v>38.2319214258159</v>
      </c>
      <c r="E57" s="33" t="n">
        <f aca="false">輸入與假設!F$117*(1+各期收支!$C$55)^(-(運營_產能與收入!$F$51-運營_產能與收入!$F$7/2-運營_產能與收入!$E$51))+輸入與假設!G$117*(1+各期收支!$C$55)^(-(運營_產能與收入!$G$51-運營_產能與收入!$G$7/2-運營_產能與收入!$E$51))+39.283/各期收支!$C$56*(1+各期收支!$C$55)^0.5*(1-(1+各期收支!$C$55)^(-各期收支!$C$56))/各期收支!$C$55*(1+各期收支!$C$55)^(-(運營_產能與收入!$G$51-運營_產能與收入!$E$51))</f>
        <v>35.2500535810375</v>
      </c>
      <c r="F57" s="33" t="n">
        <f aca="false">輸入與假設!G$117*(1+各期收支!$C$55)^(-(運營_產能與收入!$G$51-運營_產能與收入!$G$7/2-運營_產能與收入!$F$51))+39.283/各期收支!$C$56*(1+各期收支!$C$55)^0.5*(1-(1+各期收支!$C$55)^(-各期收支!$C$56))/各期收支!$C$55*(1+各期收支!$C$55)^(-(運營_產能與收入!$G$51-運營_產能與收入!$F$51))</f>
        <v>32.0612074871988</v>
      </c>
      <c r="G57" s="33" t="n">
        <f aca="false">39.283/各期收支!$C$56*(1+各期收支!$C$55)^0.5*(1-(1+各期收支!$C$55)^(-各期收支!$C$56))/各期收支!$C$55*(1+各期收支!$C$55)^(-(運營_產能與收入!$G$51-運營_產能與收入!$G$51))</f>
        <v>28.6864847457993</v>
      </c>
      <c r="I57" s="6" t="s">
        <v>839</v>
      </c>
    </row>
    <row r="58" customFormat="false" ht="15" hidden="false" customHeight="false" outlineLevel="1" collapsed="false">
      <c r="A58" s="3" t="s">
        <v>840</v>
      </c>
      <c r="B58" s="11" t="s">
        <v>59</v>
      </c>
      <c r="C58" s="33" t="n">
        <f aca="false">IF(OR(運營_產能與收入!$C$50&lt;=0,運營_產能與收入!$C$56&lt;=0),1*輸入與假設!$C$26/輸入與假設!$C$28/輸入與假設!$C$29/4/((1+各期收支!$C$55)^0.25-1)*(MIN(MAX(0,輸入與假設!C$118-(輸入與假設!$C$27)),輸入與假設!$C$28)-(1+各期收支!$C$55)^(-(4*輸入與假設!$C$29-MAX(0,輸入與假設!C$118-(輸入與假設!$C$27)))/4)*(1-(1+各期收支!$C$55)^(-MIN(MAX(0,輸入與假設!C$118-(輸入與假設!$C$27)),輸入與假設!$C$28)/4))/(1-(1+各期收支!$C$55)^(-0.25))),(1-運營_產能與收入!$C$56)*輸入與假設!$C$26/輸入與假設!$C$28/輸入與假設!$C$29/4/((1+各期收支!$C$55)^0.25-1)*(MIN(MAX(0,輸入與假設!C$118-(輸入與假設!$C$27)),輸入與假設!$C$28)-(1+各期收支!$C$55)^(-(4*輸入與假設!$C$29-MAX(0,輸入與假設!C$118-(輸入與假設!$C$27)))/4)*(1-(1+各期收支!$C$55)^(-MIN(MAX(0,輸入與假設!C$118-(輸入與假設!$C$27)),輸入與假設!$C$28)/4))/(1-(1+各期收支!$C$55)^(-0.25)))+運營_產能與收入!$C$56*輸入與假設!$C$26/輸入與假設!$C$28/輸入與假設!$C$29/4/((1+各期收支!$C$55)^0.25-1)*(MIN(MAX(0,輸入與假設!C$118-(輸入與假設!$C$27+運營_產能與收入!$C$50/3)),輸入與假設!$C$28)-(1+各期收支!$C$55)^(-(4*輸入與假設!$C$29-MAX(0,輸入與假設!C$118-(輸入與假設!$C$27+運營_產能與收入!$C$50/3)))/4)*(1-(1+各期收支!$C$55)^(-MIN(MAX(0,輸入與假設!C$118-(輸入與假設!$C$27+運營_產能與收入!$C$50/3)),輸入與假設!$C$28)/4))/(1-(1+各期收支!$C$55)^(-0.25))))</f>
        <v>41.4157639335795</v>
      </c>
      <c r="D58" s="33" t="n">
        <f aca="false">IF(OR(運營_產能與收入!$C$50&lt;=0,運營_產能與收入!$C$56&lt;=0),1*輸入與假設!$C$26/輸入與假設!$C$28/輸入與假設!$C$29/4/((1+各期收支!$C$55)^0.25-1)*(MIN(MAX(0,輸入與假設!D$118-(輸入與假設!$C$27)),輸入與假設!$C$28)-(1+各期收支!$C$55)^(-(4*輸入與假設!$C$29-MAX(0,輸入與假設!D$118-(輸入與假設!$C$27)))/4)*(1-(1+各期收支!$C$55)^(-MIN(MAX(0,輸入與假設!D$118-(輸入與假設!$C$27)),輸入與假設!$C$28)/4))/(1-(1+各期收支!$C$55)^(-0.25))),(1-運營_產能與收入!$C$56)*輸入與假設!$C$26/輸入與假設!$C$28/輸入與假設!$C$29/4/((1+各期收支!$C$55)^0.25-1)*(MIN(MAX(0,輸入與假設!D$118-(輸入與假設!$C$27)),輸入與假設!$C$28)-(1+各期收支!$C$55)^(-(4*輸入與假設!$C$29-MAX(0,輸入與假設!D$118-(輸入與假設!$C$27)))/4)*(1-(1+各期收支!$C$55)^(-MIN(MAX(0,輸入與假設!D$118-(輸入與假設!$C$27)),輸入與假設!$C$28)/4))/(1-(1+各期收支!$C$55)^(-0.25)))+運營_產能與收入!$C$56*輸入與假設!$C$26/輸入與假設!$C$28/輸入與假設!$C$29/4/((1+各期收支!$C$55)^0.25-1)*(MIN(MAX(0,輸入與假設!D$118-(輸入與假設!$C$27+運營_產能與收入!$C$50/3)),輸入與假設!$C$28)-(1+各期收支!$C$55)^(-(4*輸入與假設!$C$29-MAX(0,輸入與假設!D$118-(輸入與假設!$C$27+運營_產能與收入!$C$50/3)))/4)*(1-(1+各期收支!$C$55)^(-MIN(MAX(0,輸入與假設!D$118-(輸入與假設!$C$27+運營_產能與收入!$C$50/3)),輸入與假設!$C$28)/4))/(1-(1+各期收支!$C$55)^(-0.25))))</f>
        <v>105.677261205946</v>
      </c>
      <c r="E58" s="33" t="n">
        <f aca="false">IF(OR(運營_產能與收入!$C$50&lt;=0,運營_產能與收入!$C$56&lt;=0),1*輸入與假設!$C$26/輸入與假設!$C$28/輸入與假設!$C$29/4/((1+各期收支!$C$55)^0.25-1)*(MIN(MAX(0,輸入與假設!E$118-(輸入與假設!$C$27)),輸入與假設!$C$28)-(1+各期收支!$C$55)^(-(4*輸入與假設!$C$29-MAX(0,輸入與假設!E$118-(輸入與假設!$C$27)))/4)*(1-(1+各期收支!$C$55)^(-MIN(MAX(0,輸入與假設!E$118-(輸入與假設!$C$27)),輸入與假設!$C$28)/4))/(1-(1+各期收支!$C$55)^(-0.25))),(1-運營_產能與收入!$C$56)*輸入與假設!$C$26/輸入與假設!$C$28/輸入與假設!$C$29/4/((1+各期收支!$C$55)^0.25-1)*(MIN(MAX(0,輸入與假設!E$118-(輸入與假設!$C$27)),輸入與假設!$C$28)-(1+各期收支!$C$55)^(-(4*輸入與假設!$C$29-MAX(0,輸入與假設!E$118-(輸入與假設!$C$27)))/4)*(1-(1+各期收支!$C$55)^(-MIN(MAX(0,輸入與假設!E$118-(輸入與假設!$C$27)),輸入與假設!$C$28)/4))/(1-(1+各期收支!$C$55)^(-0.25)))+運營_產能與收入!$C$56*輸入與假設!$C$26/輸入與假設!$C$28/輸入與假設!$C$29/4/((1+各期收支!$C$55)^0.25-1)*(MIN(MAX(0,輸入與假設!E$118-(輸入與假設!$C$27+運營_產能與收入!$C$50/3)),輸入與假設!$C$28)-(1+各期收支!$C$55)^(-(4*輸入與假設!$C$29-MAX(0,輸入與假設!E$118-(輸入與假設!$C$27+運營_產能與收入!$C$50/3)))/4)*(1-(1+各期收支!$C$55)^(-MIN(MAX(0,輸入與假設!E$118-(輸入與假設!$C$27+運營_產能與收入!$C$50/3)),輸入與假設!$C$28)/4))/(1-(1+各期收支!$C$55)^(-0.25))))</f>
        <v>167.311077537127</v>
      </c>
      <c r="F58" s="33" t="n">
        <f aca="false">IF(OR(運營_產能與收入!$C$50&lt;=0,運營_產能與收入!$C$56&lt;=0),1*輸入與假設!$C$26/輸入與假設!$C$28/輸入與假設!$C$29/4/((1+各期收支!$C$55)^0.25-1)*(MIN(MAX(0,輸入與假設!F$118-(輸入與假設!$C$27)),輸入與假設!$C$28)-(1+各期收支!$C$55)^(-(4*輸入與假設!$C$29-MAX(0,輸入與假設!F$118-(輸入與假設!$C$27)))/4)*(1-(1+各期收支!$C$55)^(-MIN(MAX(0,輸入與假設!F$118-(輸入與假設!$C$27)),輸入與假設!$C$28)/4))/(1-(1+各期收支!$C$55)^(-0.25))),(1-運營_產能與收入!$C$56)*輸入與假設!$C$26/輸入與假設!$C$28/輸入與假設!$C$29/4/((1+各期收支!$C$55)^0.25-1)*(MIN(MAX(0,輸入與假設!F$118-(輸入與假設!$C$27)),輸入與假設!$C$28)-(1+各期收支!$C$55)^(-(4*輸入與假設!$C$29-MAX(0,輸入與假設!F$118-(輸入與假設!$C$27)))/4)*(1-(1+各期收支!$C$55)^(-MIN(MAX(0,輸入與假設!F$118-(輸入與假設!$C$27)),輸入與假設!$C$28)/4))/(1-(1+各期收支!$C$55)^(-0.25)))+運營_產能與收入!$C$56*輸入與假設!$C$26/輸入與假設!$C$28/輸入與假設!$C$29/4/((1+各期收支!$C$55)^0.25-1)*(MIN(MAX(0,輸入與假設!F$118-(輸入與假設!$C$27+運營_產能與收入!$C$50/3)),輸入與假設!$C$28)-(1+各期收支!$C$55)^(-(4*輸入與假設!$C$29-MAX(0,輸入與假設!F$118-(輸入與假設!$C$27+運營_產能與收入!$C$50/3)))/4)*(1-(1+各期收支!$C$55)^(-MIN(MAX(0,輸入與假設!F$118-(輸入與假設!$C$27+運營_產能與收入!$C$50/3)),輸入與假設!$C$28)/4))/(1-(1+各期收支!$C$55)^(-0.25))))</f>
        <v>168.447834894463</v>
      </c>
      <c r="G58" s="33" t="n">
        <f aca="false">IF(OR(運營_產能與收入!$C$50&lt;=0,運營_產能與收入!$C$56&lt;=0),1*輸入與假設!$C$26/輸入與假設!$C$28/輸入與假設!$C$29/4/((1+各期收支!$C$55)^0.25-1)*(MIN(MAX(0,輸入與假設!G$118-(輸入與假設!$C$27)),輸入與假設!$C$28)-(1+各期收支!$C$55)^(-(4*輸入與假設!$C$29-MAX(0,輸入與假設!G$118-(輸入與假設!$C$27)))/4)*(1-(1+各期收支!$C$55)^(-MIN(MAX(0,輸入與假設!G$118-(輸入與假設!$C$27)),輸入與假設!$C$28)/4))/(1-(1+各期收支!$C$55)^(-0.25))),(1-運營_產能與收入!$C$56)*輸入與假設!$C$26/輸入與假設!$C$28/輸入與假設!$C$29/4/((1+各期收支!$C$55)^0.25-1)*(MIN(MAX(0,輸入與假設!G$118-(輸入與假設!$C$27)),輸入與假設!$C$28)-(1+各期收支!$C$55)^(-(4*輸入與假設!$C$29-MAX(0,輸入與假設!G$118-(輸入與假設!$C$27)))/4)*(1-(1+各期收支!$C$55)^(-MIN(MAX(0,輸入與假設!G$118-(輸入與假設!$C$27)),輸入與假設!$C$28)/4))/(1-(1+各期收支!$C$55)^(-0.25)))+運營_產能與收入!$C$56*輸入與假設!$C$26/輸入與假設!$C$28/輸入與假設!$C$29/4/((1+各期收支!$C$55)^0.25-1)*(MIN(MAX(0,輸入與假設!G$118-(輸入與假設!$C$27+運營_產能與收入!$C$50/3)),輸入與假設!$C$28)-(1+各期收支!$C$55)^(-(4*輸入與假設!$C$29-MAX(0,輸入與假設!G$118-(輸入與假設!$C$27+運營_產能與收入!$C$50/3)))/4)*(1-(1+各期收支!$C$55)^(-MIN(MAX(0,輸入與假設!G$118-(輸入與假設!$C$27+運營_產能與收入!$C$50/3)),輸入與假設!$C$28)/4))/(1-(1+各期收支!$C$55)^(-0.25))))</f>
        <v>160.750249197744</v>
      </c>
      <c r="I58" s="6" t="s">
        <v>841</v>
      </c>
    </row>
    <row r="59" customFormat="false" ht="15" hidden="false" customHeight="false" outlineLevel="1" collapsed="false">
      <c r="A59" s="2" t="s">
        <v>842</v>
      </c>
      <c r="B59" s="11" t="s">
        <v>59</v>
      </c>
      <c r="C59" s="38" t="n">
        <f aca="false">C57+C58</f>
        <v>82.436654496604</v>
      </c>
      <c r="D59" s="38" t="n">
        <f aca="false">D57+D58</f>
        <v>143.909182631762</v>
      </c>
      <c r="E59" s="38" t="n">
        <f aca="false">E57+E58</f>
        <v>202.561131118165</v>
      </c>
      <c r="F59" s="38" t="n">
        <f aca="false">F57+F58</f>
        <v>200.509042381662</v>
      </c>
      <c r="G59" s="38" t="n">
        <f aca="false">G57+G58</f>
        <v>189.436733943543</v>
      </c>
    </row>
    <row r="61" customFormat="false" ht="15" hidden="false" customHeight="false" outlineLevel="0" collapsed="false">
      <c r="A61" s="49" t="s">
        <v>843</v>
      </c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1" collapsed="false">
      <c r="A62" s="3" t="s">
        <v>844</v>
      </c>
      <c r="B62" s="11" t="s">
        <v>59</v>
      </c>
      <c r="C62" s="33" t="n">
        <f aca="false">C13+C16+C17+C22+C24+C25+C26+C27+C28+C23</f>
        <v>118.100656738847</v>
      </c>
      <c r="D62" s="33" t="n">
        <f aca="false">D13+D16+D17+D22+D24+D25+D26+D27+D28+D23</f>
        <v>118.703364678337</v>
      </c>
      <c r="E62" s="33" t="n">
        <f aca="false">E13+E16+E17+E22+E24+E25+E26+E27+E28+E23</f>
        <v>71.2982078468548</v>
      </c>
      <c r="F62" s="33" t="n">
        <f aca="false">F13+F16+F17+F22+F24+F25+F26+F27+F28+F23</f>
        <v>99.5374218943402</v>
      </c>
      <c r="G62" s="33" t="n">
        <f aca="false">G13+G16+G17+G22+G24+G25+G26+G27+G28+G23</f>
        <v>101.544743627336</v>
      </c>
      <c r="I62" s="6" t="s">
        <v>845</v>
      </c>
    </row>
    <row r="63" customFormat="false" ht="15" hidden="false" customHeight="false" outlineLevel="1" collapsed="false">
      <c r="A63" s="3" t="s">
        <v>846</v>
      </c>
      <c r="B63" s="11" t="s">
        <v>59</v>
      </c>
      <c r="C63" s="33" t="n">
        <f aca="false">0</f>
        <v>0</v>
      </c>
      <c r="D63" s="33" t="n">
        <f aca="false">C90</f>
        <v>1.82478722104382</v>
      </c>
      <c r="E63" s="33" t="n">
        <f aca="false">D90</f>
        <v>39.4366943271334</v>
      </c>
      <c r="F63" s="33" t="n">
        <f aca="false">E90</f>
        <v>39.4366943271334</v>
      </c>
      <c r="G63" s="33" t="n">
        <f aca="false">F90</f>
        <v>39.4366943271334</v>
      </c>
    </row>
    <row r="64" customFormat="false" ht="15" hidden="false" customHeight="false" outlineLevel="1" collapsed="false">
      <c r="A64" s="3" t="s">
        <v>847</v>
      </c>
      <c r="B64" s="11" t="s">
        <v>42</v>
      </c>
      <c r="C64" s="51" t="n">
        <f aca="false">C19*運營_產能與收入!C7</f>
        <v>0.0435</v>
      </c>
      <c r="D64" s="51" t="n">
        <f aca="false">D19*運營_產能與收入!D7</f>
        <v>0.058</v>
      </c>
      <c r="E64" s="51" t="n">
        <f aca="false">E19*運營_產能與收入!E7</f>
        <v>0.058</v>
      </c>
      <c r="F64" s="51" t="n">
        <f aca="false">F19*運營_產能與收入!F7</f>
        <v>0.058</v>
      </c>
      <c r="G64" s="51" t="n">
        <f aca="false">G19*運營_產能與收入!G7</f>
        <v>0.058</v>
      </c>
    </row>
    <row r="65" customFormat="false" ht="15" hidden="false" customHeight="false" outlineLevel="1" collapsed="false">
      <c r="A65" s="3" t="s">
        <v>848</v>
      </c>
      <c r="B65" s="11" t="s">
        <v>59</v>
      </c>
      <c r="C65" s="33" t="n">
        <f aca="false">0</f>
        <v>0</v>
      </c>
      <c r="D65" s="33" t="n">
        <f aca="false">C92</f>
        <v>0</v>
      </c>
      <c r="E65" s="33" t="n">
        <f aca="false">D92</f>
        <v>0</v>
      </c>
      <c r="F65" s="33" t="n">
        <f aca="false">E92</f>
        <v>0</v>
      </c>
      <c r="G65" s="33" t="n">
        <f aca="false">F92</f>
        <v>0</v>
      </c>
    </row>
    <row r="66" customFormat="false" ht="15" hidden="false" customHeight="false" outlineLevel="1" collapsed="false">
      <c r="A66" s="3" t="s">
        <v>849</v>
      </c>
      <c r="B66" s="11" t="s">
        <v>59</v>
      </c>
      <c r="C66" s="33" t="n">
        <f aca="false">0</f>
        <v>0</v>
      </c>
      <c r="D66" s="33" t="n">
        <f aca="false">C93</f>
        <v>0</v>
      </c>
      <c r="E66" s="33" t="n">
        <f aca="false">D93</f>
        <v>0</v>
      </c>
      <c r="F66" s="33" t="n">
        <f aca="false">E93</f>
        <v>0</v>
      </c>
      <c r="G66" s="33" t="n">
        <f aca="false">F93</f>
        <v>0</v>
      </c>
    </row>
    <row r="67" customFormat="false" ht="15" hidden="false" customHeight="false" outlineLevel="1" collapsed="false">
      <c r="A67" s="3" t="s">
        <v>850</v>
      </c>
      <c r="B67" s="11" t="s">
        <v>42</v>
      </c>
      <c r="C67" s="51" t="n">
        <f aca="false">輸入與假設!$C$160*運營_產能與收入!C7</f>
        <v>0</v>
      </c>
      <c r="D67" s="51" t="n">
        <f aca="false">輸入與假設!$C$160*運營_產能與收入!D7</f>
        <v>0</v>
      </c>
      <c r="E67" s="51" t="n">
        <f aca="false">輸入與假設!$C$160*運營_產能與收入!E7</f>
        <v>0</v>
      </c>
      <c r="F67" s="51" t="n">
        <f aca="false">輸入與假設!$C$160*運營_產能與收入!F7</f>
        <v>0</v>
      </c>
      <c r="G67" s="51" t="n">
        <f aca="false">輸入與假設!$C$160*運營_產能與收入!G7</f>
        <v>0</v>
      </c>
    </row>
    <row r="68" customFormat="false" ht="15" hidden="false" customHeight="false" outlineLevel="1" collapsed="false">
      <c r="A68" s="3" t="s">
        <v>851</v>
      </c>
      <c r="B68" s="11" t="s">
        <v>42</v>
      </c>
      <c r="C68" s="51" t="n">
        <f aca="false">(輸入與假設!$C$162+IF(輸入與假設!$C$165=1,MAX(0,輸入與假設!$C$164-輸入與假設!$C$166)/10000*輸入與假設!$C$167,0))*運營_產能與收入!C7</f>
        <v>0.09</v>
      </c>
      <c r="D68" s="51" t="n">
        <f aca="false">(輸入與假設!$C$162+IF(輸入與假設!$C$165=1,MAX(0,輸入與假設!$C$164-輸入與假設!$C$166)/10000*輸入與假設!$C$167,0))*運營_產能與收入!D7</f>
        <v>0.12</v>
      </c>
      <c r="E68" s="51" t="n">
        <f aca="false">(輸入與假設!$C$162+IF(輸入與假設!$C$165=1,MAX(0,輸入與假設!$C$164-輸入與假設!$C$166)/10000*輸入與假設!$C$167,0))*運營_產能與收入!E7</f>
        <v>0.12</v>
      </c>
      <c r="F68" s="51" t="n">
        <f aca="false">(輸入與假設!$C$162+IF(輸入與假設!$C$165=1,MAX(0,輸入與假設!$C$164-輸入與假設!$C$166)/10000*輸入與假設!$C$167,0))*運營_產能與收入!F7</f>
        <v>0.12</v>
      </c>
      <c r="G68" s="51" t="n">
        <f aca="false">(輸入與假設!$C$162+IF(輸入與假設!$C$165=1,MAX(0,輸入與假設!$C$164-輸入與假設!$C$166)/10000*輸入與假設!$C$167,0))*運營_產能與收入!G7</f>
        <v>0.12</v>
      </c>
    </row>
    <row r="69" customFormat="false" ht="15" hidden="false" customHeight="false" outlineLevel="1" collapsed="false">
      <c r="A69" s="3" t="s">
        <v>852</v>
      </c>
      <c r="B69" s="11" t="s">
        <v>59</v>
      </c>
      <c r="C69" s="33" t="n">
        <f aca="false">C18+C40+C41+C42+C49-C62-C64*C63-C68*C65-C67*C66</f>
        <v>8.25459102307158</v>
      </c>
      <c r="D69" s="33" t="n">
        <f aca="false">D18+D40+D41+D42+D49-D62-D64*D63-D68*D65-D67*D66</f>
        <v>-25.4304164939364</v>
      </c>
      <c r="E69" s="33" t="n">
        <f aca="false">E18+E40+E41+E42+E49-E62-E64*E63-E68*E65-E67*E66</f>
        <v>21.8601498643467</v>
      </c>
      <c r="F69" s="33" t="n">
        <f aca="false">F18+F40+F41+F42+F49-F62-F64*F63-F68*F65-F67*F66</f>
        <v>18.1983872325656</v>
      </c>
      <c r="G69" s="33" t="n">
        <f aca="false">G18+G40+G41+G42+G49-G62-G64*G63-G68*G65-G67*G66</f>
        <v>10.4531498128183</v>
      </c>
    </row>
    <row r="70" customFormat="false" ht="15" hidden="false" customHeight="false" outlineLevel="1" collapsed="false">
      <c r="A70" s="2" t="s">
        <v>853</v>
      </c>
      <c r="B70" s="11" t="s">
        <v>59</v>
      </c>
      <c r="C70" s="38" t="n">
        <f aca="false">MAX(0,輸入與假設!$C$151-C69)</f>
        <v>1.74540897692842</v>
      </c>
      <c r="D70" s="38" t="n">
        <f aca="false">MAX(0,輸入與假設!$C$151-D69)</f>
        <v>35.4304164939364</v>
      </c>
      <c r="E70" s="38" t="n">
        <f aca="false">MAX(0,輸入與假設!$C$151-E69)</f>
        <v>0</v>
      </c>
      <c r="F70" s="38" t="n">
        <f aca="false">MAX(0,輸入與假設!$C$151-F69)</f>
        <v>0</v>
      </c>
      <c r="G70" s="38" t="n">
        <f aca="false">MAX(0,輸入與假設!$C$151-G69)</f>
        <v>0</v>
      </c>
    </row>
    <row r="71" customFormat="false" ht="15" hidden="false" customHeight="false" outlineLevel="1" collapsed="false">
      <c r="A71" s="3" t="s">
        <v>854</v>
      </c>
      <c r="B71" s="11" t="s">
        <v>59</v>
      </c>
      <c r="C71" s="33" t="n">
        <f aca="false">輸入與假設!$C$31+輸入與假設!$C$32</f>
        <v>664</v>
      </c>
      <c r="D71" s="33" t="n">
        <f aca="false">C73</f>
        <v>599.26</v>
      </c>
      <c r="E71" s="33" t="n">
        <f aca="false">D73</f>
        <v>485.55</v>
      </c>
      <c r="F71" s="33" t="n">
        <f aca="false">E73</f>
        <v>362.71</v>
      </c>
      <c r="G71" s="33" t="n">
        <f aca="false">F73</f>
        <v>247.34</v>
      </c>
      <c r="I71" s="11" t="s">
        <v>855</v>
      </c>
    </row>
    <row r="72" customFormat="false" ht="15" hidden="false" customHeight="false" outlineLevel="1" collapsed="false">
      <c r="A72" s="3" t="s">
        <v>856</v>
      </c>
      <c r="B72" s="11" t="s">
        <v>59</v>
      </c>
      <c r="C72" s="33" t="n">
        <f aca="false">MAX(0,運營_產能與收入!C24/運營_產能與收入!C7-0)*輸入與假設!$C$148</f>
        <v>0</v>
      </c>
      <c r="D72" s="33" t="n">
        <f aca="false">MAX(0,運營_產能與收入!D24/運營_產能與收入!D7-運營_產能與收入!C24/運營_產能與收入!C7)*輸入與假設!$C$148</f>
        <v>0</v>
      </c>
      <c r="E72" s="33" t="n">
        <f aca="false">MAX(0,運營_產能與收入!E24/運營_產能與收入!E7-運營_產能與收入!D24/運營_產能與收入!D7)*輸入與假設!$C$148</f>
        <v>0</v>
      </c>
      <c r="F72" s="33" t="n">
        <f aca="false">MAX(0,運營_產能與收入!F24/運營_產能與收入!F7-運營_產能與收入!E24/運營_產能與收入!E7)*輸入與假設!$C$148</f>
        <v>0</v>
      </c>
      <c r="G72" s="33" t="n">
        <f aca="false">MAX(0,運營_產能與收入!G24/運營_產能與收入!G7-運營_產能與收入!F24/運營_產能與收入!F7)*輸入與假設!$C$148</f>
        <v>0</v>
      </c>
    </row>
    <row r="73" customFormat="false" ht="15" hidden="false" customHeight="false" outlineLevel="1" collapsed="false">
      <c r="A73" s="3" t="s">
        <v>857</v>
      </c>
      <c r="B73" s="11" t="s">
        <v>59</v>
      </c>
      <c r="C73" s="33" t="n">
        <f aca="false">C71-運營_產能與收入!C18-運營_產能與收入!C24+C72</f>
        <v>599.26</v>
      </c>
      <c r="D73" s="33" t="n">
        <f aca="false">D71-運營_產能與收入!D18-運營_產能與收入!D24+D72</f>
        <v>485.55</v>
      </c>
      <c r="E73" s="33" t="n">
        <f aca="false">E71-運營_產能與收入!E18-運營_產能與收入!E24+E72</f>
        <v>362.71</v>
      </c>
      <c r="F73" s="33" t="n">
        <f aca="false">F71-運營_產能與收入!F18-運營_產能與收入!F24+F72</f>
        <v>247.34</v>
      </c>
      <c r="G73" s="33" t="n">
        <f aca="false">G71-運營_產能與收入!G18-運營_產能與收入!G24+G72</f>
        <v>134.46</v>
      </c>
      <c r="I73" s="6" t="s">
        <v>858</v>
      </c>
    </row>
    <row r="74" customFormat="false" ht="15" hidden="false" customHeight="false" outlineLevel="1" collapsed="false">
      <c r="A74" s="3" t="s">
        <v>859</v>
      </c>
      <c r="B74" s="11" t="s">
        <v>59</v>
      </c>
      <c r="C74" s="33" t="n">
        <f aca="false">IF(輸入與假設!$C$144=1,資產負債_既有債務!C80,資產負債_既有債務!$E$62)+資產負債_既有債務!$E$65+資產負債_既有債務!C85</f>
        <v>122.897</v>
      </c>
      <c r="D74" s="33" t="n">
        <f aca="false">IF(輸入與假設!$C$144=1,資產負債_既有債務!D80,資產負債_既有債務!$E$62)+資產負債_既有債務!$E$65+資產負債_既有債務!D85</f>
        <v>112.75</v>
      </c>
      <c r="E74" s="33" t="n">
        <f aca="false">IF(輸入與假設!$C$144=1,資產負債_既有債務!E80,資產負債_既有債務!$E$62)+資產負債_既有債務!$E$65+資產負債_既有債務!E85</f>
        <v>107.25</v>
      </c>
      <c r="F74" s="33" t="n">
        <f aca="false">IF(輸入與假設!$C$144=1,資產負債_既有債務!F80,資產負債_既有債務!$E$62)+資產負債_既有債務!$E$65+資產負債_既有債務!F85</f>
        <v>100</v>
      </c>
      <c r="G74" s="33" t="n">
        <f aca="false">IF(輸入與假設!$C$144=1,資產負債_既有債務!G80,資產負債_既有債務!$E$62)+資產負債_既有債務!$E$65+資產負債_既有債務!G85</f>
        <v>90.25</v>
      </c>
      <c r="I74" s="6" t="s">
        <v>860</v>
      </c>
    </row>
    <row r="75" customFormat="false" ht="15" hidden="false" customHeight="false" outlineLevel="1" collapsed="false">
      <c r="A75" s="3" t="s">
        <v>861</v>
      </c>
      <c r="B75" s="11" t="s">
        <v>59</v>
      </c>
      <c r="C75" s="33" t="n">
        <f aca="false">IF(輸入與假設!$C$146="leaseAdj",輸入與假設!$C$147*(損益!C22+C16)/運營_產能與收入!C7-C59,IF(輸入與假設!$C$146="ebitda",輸入與假設!$C$147*損益!C22/運營_產能與收入!C7,輸入與假設!$C$145*C73))</f>
        <v>176.255839342117</v>
      </c>
      <c r="D75" s="33" t="n">
        <f aca="false">IF(輸入與假設!$C$146="leaseAdj",輸入與假設!$C$147*(損益!D22+D16)/運營_產能與收入!D7-D59,IF(輸入與假設!$C$146="ebitda",輸入與假設!$C$147*損益!D22/運營_產能與收入!D7,輸入與假設!$C$145*D73))</f>
        <v>174.816904246745</v>
      </c>
      <c r="E75" s="33" t="n">
        <f aca="false">IF(輸入與假設!$C$146="leaseAdj",輸入與假設!$C$147*(損益!E22+E16)/運營_產能與收入!E7-E59,IF(輸入與假設!$C$146="ebitda",輸入與假設!$C$147*損益!E22/運營_產能與收入!E7,輸入與假設!$C$145*E73))</f>
        <v>194.852110051094</v>
      </c>
      <c r="F75" s="33" t="n">
        <f aca="false">IF(輸入與假設!$C$146="leaseAdj",輸入與假設!$C$147*(損益!F22+F16)/運營_產能與收入!F7-F59,IF(輸入與假設!$C$146="ebitda",輸入與假設!$C$147*損益!F22/運營_產能與收入!F7,輸入與假設!$C$145*F73))</f>
        <v>230.83480585878</v>
      </c>
      <c r="G75" s="33" t="n">
        <f aca="false">IF(輸入與假設!$C$146="leaseAdj",輸入與假設!$C$147*(損益!G22+G16)/運營_產能與收入!G7-G59,IF(輸入與假設!$C$146="ebitda",輸入與假設!$C$147*損益!G22/運營_產能與收入!G7,輸入與假設!$C$145*G73))</f>
        <v>240.373906205793</v>
      </c>
      <c r="I75" s="11" t="s">
        <v>862</v>
      </c>
    </row>
    <row r="76" customFormat="false" ht="15" hidden="false" customHeight="false" outlineLevel="1" collapsed="false">
      <c r="A76" s="3" t="s">
        <v>863</v>
      </c>
      <c r="B76" s="11" t="s">
        <v>59</v>
      </c>
      <c r="C76" s="33" t="n">
        <f aca="false">IF(輸入與假設!$C$143=1,輸入與假設!$C$142,0)</f>
        <v>0</v>
      </c>
      <c r="D76" s="33" t="n">
        <f aca="false">C91</f>
        <v>0</v>
      </c>
      <c r="E76" s="33" t="n">
        <f aca="false">D91</f>
        <v>0</v>
      </c>
      <c r="F76" s="33" t="n">
        <f aca="false">E91</f>
        <v>0</v>
      </c>
      <c r="G76" s="33" t="n">
        <f aca="false">F91</f>
        <v>0</v>
      </c>
    </row>
    <row r="77" customFormat="false" ht="15" hidden="false" customHeight="false" outlineLevel="1" collapsed="false">
      <c r="A77" s="3" t="s">
        <v>864</v>
      </c>
      <c r="B77" s="11" t="s">
        <v>59</v>
      </c>
      <c r="C77" s="33" t="n">
        <f aca="false">MAX(0,C75-(C74+C63+C66),C76)</f>
        <v>53.3588393421171</v>
      </c>
      <c r="D77" s="33" t="n">
        <f aca="false">MAX(0,D75-(D74+D63+D66),D76)</f>
        <v>60.2421170257014</v>
      </c>
      <c r="E77" s="33" t="n">
        <f aca="false">MAX(0,E75-(E74+E63+E66),E76)</f>
        <v>48.1654157239603</v>
      </c>
      <c r="F77" s="33" t="n">
        <f aca="false">MAX(0,F75-(F74+F63+F66),F76)</f>
        <v>91.3981115316462</v>
      </c>
      <c r="G77" s="33" t="n">
        <f aca="false">MAX(0,G75-(G74+G63+G66),G76)</f>
        <v>110.68721187866</v>
      </c>
      <c r="I77" s="6" t="s">
        <v>865</v>
      </c>
    </row>
    <row r="78" customFormat="false" ht="15" hidden="false" customHeight="false" outlineLevel="1" collapsed="false">
      <c r="A78" s="2" t="s">
        <v>866</v>
      </c>
      <c r="B78" s="11" t="s">
        <v>59</v>
      </c>
      <c r="C78" s="38" t="n">
        <f aca="false">MIN(C77,C70/(1-C64))</f>
        <v>1.82478722104382</v>
      </c>
      <c r="D78" s="38" t="n">
        <f aca="false">MIN(D77,D70/(1-D64))</f>
        <v>37.6119071060896</v>
      </c>
      <c r="E78" s="38" t="n">
        <f aca="false">MIN(E77,E70/(1-E64))</f>
        <v>0</v>
      </c>
      <c r="F78" s="38" t="n">
        <f aca="false">MIN(F77,F70/(1-F64))</f>
        <v>0</v>
      </c>
      <c r="G78" s="38" t="n">
        <f aca="false">MIN(G77,G70/(1-G64))</f>
        <v>0</v>
      </c>
      <c r="I78" s="6" t="s">
        <v>867</v>
      </c>
    </row>
    <row r="79" customFormat="false" ht="15" hidden="false" customHeight="false" outlineLevel="1" collapsed="false">
      <c r="A79" s="3" t="s">
        <v>868</v>
      </c>
      <c r="B79" s="11" t="s">
        <v>59</v>
      </c>
      <c r="C79" s="33" t="n">
        <f aca="false">MAX(0,C70+C64*C78-C78)</f>
        <v>0</v>
      </c>
      <c r="D79" s="33" t="n">
        <f aca="false">MAX(0,D70+D64*D78-D78)</f>
        <v>0</v>
      </c>
      <c r="E79" s="33" t="n">
        <f aca="false">MAX(0,E70+E64*E78-E78)</f>
        <v>0</v>
      </c>
      <c r="F79" s="33" t="n">
        <f aca="false">MAX(0,F70+F64*F78-F78)</f>
        <v>0</v>
      </c>
      <c r="G79" s="33" t="n">
        <f aca="false">MAX(0,G70+G64*G78-G78)</f>
        <v>0</v>
      </c>
    </row>
    <row r="80" customFormat="false" ht="15" hidden="false" customHeight="false" outlineLevel="1" collapsed="false">
      <c r="A80" s="3" t="s">
        <v>869</v>
      </c>
      <c r="B80" s="11" t="s">
        <v>59</v>
      </c>
      <c r="C80" s="33" t="n">
        <f aca="false">MAX(0,輸入與假設!$C$159)*運營_產能與收入!C7</f>
        <v>0</v>
      </c>
      <c r="D80" s="33" t="n">
        <f aca="false">MAX(0,輸入與假設!$C$159)*運營_產能與收入!D7</f>
        <v>0</v>
      </c>
      <c r="E80" s="33" t="n">
        <f aca="false">MAX(0,輸入與假設!$C$159)*運營_產能與收入!E7</f>
        <v>0</v>
      </c>
      <c r="F80" s="33" t="n">
        <f aca="false">MAX(0,輸入與假設!$C$159)*運營_產能與收入!F7</f>
        <v>0</v>
      </c>
      <c r="G80" s="33" t="n">
        <f aca="false">MAX(0,輸入與假設!$C$159)*運營_產能與收入!G7</f>
        <v>0</v>
      </c>
      <c r="I80" s="6" t="s">
        <v>870</v>
      </c>
    </row>
    <row r="81" customFormat="false" ht="15" hidden="false" customHeight="false" outlineLevel="1" collapsed="false">
      <c r="A81" s="2" t="s">
        <v>871</v>
      </c>
      <c r="B81" s="11" t="s">
        <v>59</v>
      </c>
      <c r="C81" s="38" t="n">
        <f aca="false">MIN(C80,C79/(1-C67))</f>
        <v>0</v>
      </c>
      <c r="D81" s="38" t="n">
        <f aca="false">MIN(D80,D79/(1-D67))</f>
        <v>0</v>
      </c>
      <c r="E81" s="38" t="n">
        <f aca="false">MIN(E80,E79/(1-E67))</f>
        <v>0</v>
      </c>
      <c r="F81" s="38" t="n">
        <f aca="false">MIN(F80,F79/(1-F67))</f>
        <v>0</v>
      </c>
      <c r="G81" s="38" t="n">
        <f aca="false">MIN(G80,G79/(1-G67))</f>
        <v>0</v>
      </c>
      <c r="I81" s="6" t="s">
        <v>872</v>
      </c>
    </row>
    <row r="82" customFormat="false" ht="15" hidden="false" customHeight="false" outlineLevel="1" collapsed="false">
      <c r="A82" s="3" t="s">
        <v>873</v>
      </c>
      <c r="B82" s="11" t="s">
        <v>59</v>
      </c>
      <c r="C82" s="33" t="n">
        <f aca="false">MAX(0,C79+C67*C81-C81)</f>
        <v>0</v>
      </c>
      <c r="D82" s="33" t="n">
        <f aca="false">MAX(0,D79+D67*D81-D81)</f>
        <v>0</v>
      </c>
      <c r="E82" s="33" t="n">
        <f aca="false">MAX(0,E79+E67*E81-E81)</f>
        <v>0</v>
      </c>
      <c r="F82" s="33" t="n">
        <f aca="false">MAX(0,F79+F67*F81-F81)</f>
        <v>0</v>
      </c>
      <c r="G82" s="33" t="n">
        <f aca="false">MAX(0,G79+G67*G81-G81)</f>
        <v>0</v>
      </c>
    </row>
    <row r="83" customFormat="false" ht="15" hidden="false" customHeight="false" outlineLevel="1" collapsed="false">
      <c r="A83" s="3" t="s">
        <v>874</v>
      </c>
      <c r="B83" s="11" t="s">
        <v>59</v>
      </c>
      <c r="C83" s="33" t="n">
        <f aca="false">IF(輸入與假設!$C$154&gt;=9,1E+099,輸入與假設!$C$154*輸入與假設!$C$152*輸入與假設!$C$155*運營_產能與收入!C7)</f>
        <v>16.415484777</v>
      </c>
      <c r="D83" s="33" t="n">
        <f aca="false">IF(輸入與假設!$C$154&gt;=9,1E+099,輸入與假設!$C$154*輸入與假設!$C$152*輸入與假設!$C$155*運營_產能與收入!D7)</f>
        <v>21.887313036</v>
      </c>
      <c r="E83" s="33" t="n">
        <f aca="false">IF(輸入與假設!$C$154&gt;=9,1E+099,輸入與假設!$C$154*輸入與假設!$C$152*輸入與假設!$C$155*運營_產能與收入!E7)</f>
        <v>21.887313036</v>
      </c>
      <c r="F83" s="33" t="n">
        <f aca="false">IF(輸入與假設!$C$154&gt;=9,1E+099,輸入與假設!$C$154*輸入與假設!$C$152*輸入與假設!$C$155*運營_產能與收入!F7)</f>
        <v>21.887313036</v>
      </c>
      <c r="G83" s="33" t="n">
        <f aca="false">IF(輸入與假設!$C$154&gt;=9,1E+099,輸入與假設!$C$154*輸入與假設!$C$152*輸入與假設!$C$155*運營_產能與收入!G7)</f>
        <v>21.887313036</v>
      </c>
      <c r="I83" s="6" t="s">
        <v>875</v>
      </c>
    </row>
    <row r="84" customFormat="false" ht="15" hidden="false" customHeight="false" outlineLevel="1" collapsed="false">
      <c r="A84" s="2" t="s">
        <v>876</v>
      </c>
      <c r="B84" s="11" t="s">
        <v>59</v>
      </c>
      <c r="C84" s="38" t="n">
        <f aca="false">MIN(C82,C83)</f>
        <v>0</v>
      </c>
      <c r="D84" s="38" t="n">
        <f aca="false">MIN(D82,D83)</f>
        <v>0</v>
      </c>
      <c r="E84" s="38" t="n">
        <f aca="false">MIN(E82,E83)</f>
        <v>0</v>
      </c>
      <c r="F84" s="38" t="n">
        <f aca="false">MIN(F82,F83)</f>
        <v>0</v>
      </c>
      <c r="G84" s="38" t="n">
        <f aca="false">MIN(G82,G83)</f>
        <v>0</v>
      </c>
    </row>
    <row r="85" customFormat="false" ht="15" hidden="false" customHeight="false" outlineLevel="1" collapsed="false">
      <c r="A85" s="2" t="s">
        <v>877</v>
      </c>
      <c r="B85" s="11" t="s">
        <v>59</v>
      </c>
      <c r="C85" s="38" t="n">
        <f aca="false">(C82-C84)/(1-C68)</f>
        <v>0</v>
      </c>
      <c r="D85" s="38" t="n">
        <f aca="false">(D82-D84)/(1-D68)</f>
        <v>0</v>
      </c>
      <c r="E85" s="38" t="n">
        <f aca="false">(E82-E84)/(1-E68)</f>
        <v>0</v>
      </c>
      <c r="F85" s="38" t="n">
        <f aca="false">(F82-F84)/(1-F68)</f>
        <v>0</v>
      </c>
      <c r="G85" s="38" t="n">
        <f aca="false">(G82-G84)/(1-G68)</f>
        <v>0</v>
      </c>
    </row>
    <row r="86" customFormat="false" ht="15" hidden="false" customHeight="false" outlineLevel="1" collapsed="false">
      <c r="A86" s="3" t="s">
        <v>878</v>
      </c>
      <c r="B86" s="11" t="s">
        <v>59</v>
      </c>
      <c r="C86" s="33" t="n">
        <f aca="false">C64*(C63+C78)+C68*(C65+C85)+C67*(C66+C81)</f>
        <v>0.0793782441154063</v>
      </c>
      <c r="D86" s="33" t="n">
        <f aca="false">D64*(D63+D78)+D68*(D65+D85)+D67*(D66+D81)</f>
        <v>2.28732827097374</v>
      </c>
      <c r="E86" s="33" t="n">
        <f aca="false">E64*(E63+E78)+E68*(E65+E85)+E67*(E66+E81)</f>
        <v>2.28732827097374</v>
      </c>
      <c r="F86" s="33" t="n">
        <f aca="false">F64*(F63+F78)+F68*(F65+F85)+F67*(F66+F81)</f>
        <v>2.28732827097374</v>
      </c>
      <c r="G86" s="33" t="n">
        <f aca="false">G64*(G63+G78)+G68*(G65+G85)+G67*(G66+G81)</f>
        <v>2.28732827097374</v>
      </c>
      <c r="I86" s="6" t="s">
        <v>879</v>
      </c>
    </row>
    <row r="87" customFormat="false" ht="15" hidden="false" customHeight="false" outlineLevel="1" collapsed="false">
      <c r="A87" s="3" t="s">
        <v>880</v>
      </c>
      <c r="B87" s="11" t="s">
        <v>39</v>
      </c>
      <c r="C87" s="52" t="n">
        <f aca="false">輸入與假設!$C$152*(1-輸入與假設!$C$153)</f>
        <v>130.293</v>
      </c>
      <c r="D87" s="52" t="n">
        <f aca="false">輸入與假設!$C$152*(1-輸入與假設!$C$153)</f>
        <v>130.293</v>
      </c>
      <c r="E87" s="52" t="n">
        <f aca="false">輸入與假設!$C$152*(1-輸入與假設!$C$153)</f>
        <v>130.293</v>
      </c>
      <c r="F87" s="52" t="n">
        <f aca="false">輸入與假設!$C$152*(1-輸入與假設!$C$153)</f>
        <v>130.293</v>
      </c>
      <c r="G87" s="52" t="n">
        <f aca="false">輸入與假設!$C$152*(1-輸入與假設!$C$153)</f>
        <v>130.293</v>
      </c>
    </row>
    <row r="88" customFormat="false" ht="15" hidden="false" customHeight="false" outlineLevel="1" collapsed="false">
      <c r="A88" s="3" t="s">
        <v>881</v>
      </c>
      <c r="B88" s="11" t="s">
        <v>391</v>
      </c>
      <c r="C88" s="53" t="n">
        <f aca="false">C84/C87</f>
        <v>0</v>
      </c>
      <c r="D88" s="53" t="n">
        <f aca="false">D84/D87</f>
        <v>0</v>
      </c>
      <c r="E88" s="53" t="n">
        <f aca="false">E84/E87</f>
        <v>0</v>
      </c>
      <c r="F88" s="53" t="n">
        <f aca="false">F84/F87</f>
        <v>0</v>
      </c>
      <c r="G88" s="53" t="n">
        <f aca="false">G84/G87</f>
        <v>0</v>
      </c>
    </row>
    <row r="89" customFormat="false" ht="15" hidden="false" customHeight="false" outlineLevel="1" collapsed="false">
      <c r="A89" s="2" t="s">
        <v>882</v>
      </c>
      <c r="B89" s="11" t="s">
        <v>391</v>
      </c>
      <c r="C89" s="54" t="n">
        <f aca="false">C88</f>
        <v>0</v>
      </c>
      <c r="D89" s="54" t="n">
        <f aca="false">C89+D88</f>
        <v>0</v>
      </c>
      <c r="E89" s="54" t="n">
        <f aca="false">D89+E88</f>
        <v>0</v>
      </c>
      <c r="F89" s="54" t="n">
        <f aca="false">E89+F88</f>
        <v>0</v>
      </c>
      <c r="G89" s="54" t="n">
        <f aca="false">F89+G88</f>
        <v>0</v>
      </c>
    </row>
    <row r="90" customFormat="false" ht="15" hidden="false" customHeight="false" outlineLevel="1" collapsed="false">
      <c r="A90" s="3" t="s">
        <v>883</v>
      </c>
      <c r="B90" s="11" t="s">
        <v>59</v>
      </c>
      <c r="C90" s="33" t="n">
        <f aca="false">C63+C78</f>
        <v>1.82478722104382</v>
      </c>
      <c r="D90" s="33" t="n">
        <f aca="false">D63+D78</f>
        <v>39.4366943271334</v>
      </c>
      <c r="E90" s="33" t="n">
        <f aca="false">E63+E78</f>
        <v>39.4366943271334</v>
      </c>
      <c r="F90" s="33" t="n">
        <f aca="false">F63+F78</f>
        <v>39.4366943271334</v>
      </c>
      <c r="G90" s="33" t="n">
        <f aca="false">G63+G78</f>
        <v>39.4366943271334</v>
      </c>
    </row>
    <row r="91" customFormat="false" ht="15" hidden="false" customHeight="false" outlineLevel="1" collapsed="false">
      <c r="A91" s="3" t="s">
        <v>884</v>
      </c>
      <c r="B91" s="11" t="s">
        <v>59</v>
      </c>
      <c r="C91" s="33" t="n">
        <f aca="false">C76-MIN(C76,C78)</f>
        <v>0</v>
      </c>
      <c r="D91" s="33" t="n">
        <f aca="false">D76-MIN(D76,D78)</f>
        <v>0</v>
      </c>
      <c r="E91" s="33" t="n">
        <f aca="false">E76-MIN(E76,E78)</f>
        <v>0</v>
      </c>
      <c r="F91" s="33" t="n">
        <f aca="false">F76-MIN(F76,F78)</f>
        <v>0</v>
      </c>
      <c r="G91" s="33" t="n">
        <f aca="false">G76-MIN(G76,G78)</f>
        <v>0</v>
      </c>
    </row>
    <row r="92" customFormat="false" ht="15" hidden="false" customHeight="false" outlineLevel="1" collapsed="false">
      <c r="A92" s="3" t="s">
        <v>885</v>
      </c>
      <c r="B92" s="11" t="s">
        <v>59</v>
      </c>
      <c r="C92" s="33" t="n">
        <f aca="false">C65+C85</f>
        <v>0</v>
      </c>
      <c r="D92" s="33" t="n">
        <f aca="false">D65+D85</f>
        <v>0</v>
      </c>
      <c r="E92" s="33" t="n">
        <f aca="false">E65+E85</f>
        <v>0</v>
      </c>
      <c r="F92" s="33" t="n">
        <f aca="false">F65+F85</f>
        <v>0</v>
      </c>
      <c r="G92" s="33" t="n">
        <f aca="false">G65+G85</f>
        <v>0</v>
      </c>
    </row>
    <row r="93" customFormat="false" ht="15" hidden="false" customHeight="false" outlineLevel="1" collapsed="false">
      <c r="A93" s="3" t="s">
        <v>886</v>
      </c>
      <c r="B93" s="11" t="s">
        <v>59</v>
      </c>
      <c r="C93" s="33" t="n">
        <f aca="false">C66+C81</f>
        <v>0</v>
      </c>
      <c r="D93" s="33" t="n">
        <f aca="false">D66+D81</f>
        <v>0</v>
      </c>
      <c r="E93" s="33" t="n">
        <f aca="false">E66+E81</f>
        <v>0</v>
      </c>
      <c r="F93" s="33" t="n">
        <f aca="false">F66+F81</f>
        <v>0</v>
      </c>
      <c r="G93" s="33" t="n">
        <f aca="false">G66+G81</f>
        <v>0</v>
      </c>
    </row>
    <row r="94" customFormat="false" ht="15" hidden="false" customHeight="false" outlineLevel="1" collapsed="false">
      <c r="A94" s="2" t="s">
        <v>887</v>
      </c>
      <c r="B94" s="11" t="s">
        <v>59</v>
      </c>
      <c r="C94" s="38" t="n">
        <f aca="false">C74+C90+C93+C92</f>
        <v>124.721787221044</v>
      </c>
      <c r="D94" s="38" t="n">
        <f aca="false">D74+D90+D93+D92</f>
        <v>152.186694327133</v>
      </c>
      <c r="E94" s="38" t="n">
        <f aca="false">E74+E90+E93+E92</f>
        <v>146.686694327133</v>
      </c>
      <c r="F94" s="38" t="n">
        <f aca="false">F74+F90+F93+F92</f>
        <v>139.436694327133</v>
      </c>
      <c r="G94" s="38" t="n">
        <f aca="false">G74+G90+G93+G92</f>
        <v>129.686694327133</v>
      </c>
    </row>
    <row r="95" customFormat="false" ht="15" hidden="false" customHeight="false" outlineLevel="1" collapsed="false">
      <c r="A95" s="2" t="s">
        <v>888</v>
      </c>
      <c r="B95" s="11" t="s">
        <v>59</v>
      </c>
      <c r="C95" s="38" t="n">
        <f aca="false">C18+C40+C41+C42+C49-C62</f>
        <v>8.25459102307158</v>
      </c>
      <c r="D95" s="38" t="n">
        <f aca="false">C95+D40+D41-D62</f>
        <v>-27.0699878120443</v>
      </c>
      <c r="E95" s="38" t="n">
        <f aca="false">D95+E40+E41-E62</f>
        <v>-12.9225096767238</v>
      </c>
      <c r="F95" s="38" t="n">
        <f aca="false">E95+F40+F41-F62</f>
        <v>-14.2969440375312</v>
      </c>
      <c r="G95" s="38" t="n">
        <f aca="false">F95+G40+G41-G62</f>
        <v>-19.7548531863048</v>
      </c>
      <c r="I95" s="6" t="s">
        <v>889</v>
      </c>
    </row>
    <row r="97" customFormat="false" ht="15" hidden="false" customHeight="false" outlineLevel="0" collapsed="true">
      <c r="A97" s="49" t="s">
        <v>890</v>
      </c>
      <c r="B97" s="8"/>
      <c r="C97" s="8"/>
      <c r="D97" s="8"/>
      <c r="E97" s="8"/>
      <c r="F97" s="8"/>
      <c r="G97" s="8"/>
      <c r="H97" s="8"/>
    </row>
    <row r="98" customFormat="false" ht="15" hidden="true" customHeight="false" outlineLevel="1" collapsed="false">
      <c r="A98" s="3" t="s">
        <v>891</v>
      </c>
      <c r="C98" s="55" t="n">
        <f aca="false">輸入與假設!$C$240</f>
        <v>31.289</v>
      </c>
    </row>
    <row r="99" customFormat="false" ht="15" hidden="true" customHeight="false" outlineLevel="1" collapsed="false">
      <c r="A99" s="3" t="s">
        <v>892</v>
      </c>
      <c r="C99" s="55" t="n">
        <f aca="false">SUM(C50:G50)</f>
        <v>-36.6595445143151</v>
      </c>
    </row>
    <row r="100" customFormat="false" ht="15" hidden="true" customHeight="false" outlineLevel="1" collapsed="false">
      <c r="A100" s="3" t="s">
        <v>893</v>
      </c>
      <c r="C100" s="55" t="n">
        <f aca="false">SUM(C41:G41)</f>
        <v>19.909</v>
      </c>
    </row>
    <row r="101" customFormat="false" ht="15" hidden="true" customHeight="false" outlineLevel="1" collapsed="false">
      <c r="A101" s="3" t="s">
        <v>894</v>
      </c>
      <c r="C101" s="55" t="n">
        <f aca="false">SUM(C42:G42)</f>
        <v>0</v>
      </c>
    </row>
    <row r="102" customFormat="false" ht="15" hidden="true" customHeight="false" outlineLevel="1" collapsed="false">
      <c r="A102" s="4" t="s">
        <v>895</v>
      </c>
      <c r="C102" s="55" t="n">
        <f aca="false">-SUM(C27:G27)</f>
        <v>-0</v>
      </c>
    </row>
    <row r="103" customFormat="false" ht="15" hidden="true" customHeight="false" outlineLevel="1" collapsed="false">
      <c r="A103" s="3" t="s">
        <v>896</v>
      </c>
      <c r="C103" s="55" t="n">
        <f aca="false">SUM(C49:G49)</f>
        <v>-3.66600000000001</v>
      </c>
    </row>
    <row r="104" customFormat="false" ht="15" hidden="true" customHeight="false" outlineLevel="1" collapsed="false">
      <c r="A104" s="3" t="s">
        <v>897</v>
      </c>
      <c r="C104" s="55" t="n">
        <f aca="false">SUM(C43:G43)+SUM(C44:G44)+SUM(C45:G45)+SUM(C46:G46)</f>
        <v>39.4366943271334</v>
      </c>
    </row>
    <row r="105" customFormat="false" ht="15" hidden="true" customHeight="false" outlineLevel="1" collapsed="false">
      <c r="A105" s="3" t="s">
        <v>898</v>
      </c>
      <c r="C105" s="55" t="n">
        <f aca="false">-SUM(C26:G26)</f>
        <v>-39.856</v>
      </c>
    </row>
    <row r="106" customFormat="false" ht="15" hidden="true" customHeight="false" outlineLevel="1" collapsed="false">
      <c r="A106" s="2" t="s">
        <v>899</v>
      </c>
      <c r="C106" s="56" t="n">
        <f aca="false">SUM(C98:C105)</f>
        <v>10.4531498128183</v>
      </c>
    </row>
    <row r="107" customFormat="false" ht="15" hidden="true" customHeight="false" outlineLevel="1" collapsed="false">
      <c r="A107" s="3" t="s">
        <v>900</v>
      </c>
      <c r="C107" s="55" t="n">
        <f aca="false">G52</f>
        <v>10.4531498128183</v>
      </c>
    </row>
    <row r="108" customFormat="false" ht="15" hidden="true" customHeight="false" outlineLevel="1" collapsed="false">
      <c r="A108" s="2" t="s">
        <v>901</v>
      </c>
      <c r="C108" s="55" t="n">
        <f aca="false">C106-C107</f>
        <v>0</v>
      </c>
      <c r="I108" s="6" t="s">
        <v>902</v>
      </c>
    </row>
    <row r="110" customFormat="false" ht="15" hidden="false" customHeight="false" outlineLevel="0" collapsed="true">
      <c r="A110" s="7" t="s">
        <v>903</v>
      </c>
      <c r="B110" s="8"/>
      <c r="C110" s="8"/>
      <c r="D110" s="8"/>
      <c r="E110" s="8"/>
      <c r="F110" s="8"/>
      <c r="G110" s="8"/>
      <c r="H110" s="8"/>
    </row>
    <row r="111" customFormat="false" ht="15" hidden="true" customHeight="false" outlineLevel="1" collapsed="false">
      <c r="A111" s="4" t="s">
        <v>904</v>
      </c>
      <c r="C111" s="10" t="n">
        <f aca="false">運營_產能與收入!C31</f>
        <v>83.0511942273139</v>
      </c>
      <c r="I111" s="6" t="s">
        <v>905</v>
      </c>
    </row>
    <row r="112" customFormat="false" ht="15" hidden="true" customHeight="false" outlineLevel="1" collapsed="false">
      <c r="A112" s="4" t="s">
        <v>906</v>
      </c>
      <c r="C112" s="10" t="n">
        <f aca="false">C6</f>
        <v>91.328055592</v>
      </c>
      <c r="I112" s="6" t="s">
        <v>907</v>
      </c>
    </row>
    <row r="113" customFormat="false" ht="15" hidden="true" customHeight="false" outlineLevel="1" collapsed="false">
      <c r="A113" s="4" t="s">
        <v>908</v>
      </c>
      <c r="C113" s="10" t="n">
        <f aca="false">輸入與假設!$C$249+輸入與假設!C$172+C20</f>
        <v>5.98694916001502</v>
      </c>
      <c r="I113" s="6" t="s">
        <v>909</v>
      </c>
    </row>
    <row r="114" customFormat="false" ht="15" hidden="true" customHeight="false" outlineLevel="1" collapsed="false">
      <c r="A114" s="4" t="s">
        <v>910</v>
      </c>
      <c r="C114" s="10" t="n">
        <f aca="false">輸入與假設!$C$250+C16</f>
        <v>6.70762032085562</v>
      </c>
      <c r="I114" s="11" t="s">
        <v>911</v>
      </c>
    </row>
    <row r="115" customFormat="false" ht="15" hidden="true" customHeight="false" outlineLevel="1" collapsed="false">
      <c r="A115" s="4" t="s">
        <v>912</v>
      </c>
      <c r="C115" s="10" t="n">
        <f aca="false">C26</f>
        <v>7.209</v>
      </c>
      <c r="I115" s="11" t="s">
        <v>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914</v>
      </c>
    </row>
    <row r="2" customFormat="false" ht="15" hidden="false" customHeight="false" outlineLevel="0" collapsed="false">
      <c r="A2" s="6" t="s">
        <v>915</v>
      </c>
    </row>
    <row r="4" customFormat="false" ht="15" hidden="false" customHeight="false" outlineLevel="0" collapsed="false">
      <c r="A4" s="7" t="s">
        <v>916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917</v>
      </c>
      <c r="B5" s="14" t="s">
        <v>54</v>
      </c>
      <c r="C5" s="14" t="s">
        <v>918</v>
      </c>
      <c r="D5" s="14" t="s">
        <v>919</v>
      </c>
      <c r="E5" s="14" t="s">
        <v>920</v>
      </c>
      <c r="F5" s="14" t="s">
        <v>921</v>
      </c>
      <c r="G5" s="14" t="s">
        <v>922</v>
      </c>
      <c r="H5" s="14" t="s">
        <v>923</v>
      </c>
      <c r="I5" s="14" t="s">
        <v>924</v>
      </c>
      <c r="J5" s="14" t="s">
        <v>925</v>
      </c>
      <c r="K5" s="14" t="s">
        <v>926</v>
      </c>
      <c r="L5" s="14" t="s">
        <v>927</v>
      </c>
      <c r="M5" s="14" t="s">
        <v>928</v>
      </c>
      <c r="N5" s="14" t="s">
        <v>929</v>
      </c>
      <c r="O5" s="14" t="s">
        <v>925</v>
      </c>
      <c r="P5" s="14" t="s">
        <v>926</v>
      </c>
      <c r="Q5" s="14" t="s">
        <v>930</v>
      </c>
    </row>
    <row r="6" customFormat="false" ht="15" hidden="false" customHeight="false" outlineLevel="1" collapsed="false">
      <c r="A6" s="3" t="s">
        <v>931</v>
      </c>
      <c r="B6" s="11" t="s">
        <v>59</v>
      </c>
      <c r="C6" s="57" t="n">
        <f aca="false">INDEX($C$22:$H$22,輸入與假設!$C$339)</f>
        <v>20.2901990378857</v>
      </c>
      <c r="D6" s="57" t="n">
        <f aca="false">INDEX($C$34:$H$34,輸入與假設!$C$339)</f>
        <v>21.322</v>
      </c>
      <c r="E6" s="58" t="n">
        <f aca="false">INDEX($C$44:$H$44,輸入與假設!$C$339)</f>
        <v>-0.0483913780186822</v>
      </c>
      <c r="F6" s="57" t="n">
        <f aca="false">IF(ISNUMBER(INDEX($C$31:$H$31,輸入與假設!$C$339)),INDEX($C$31:$H$31,輸入與假設!$C$339),"不適用")</f>
        <v>20.875</v>
      </c>
      <c r="G6" s="57" t="n">
        <f aca="false">INDEX($C$32:$H$32,輸入與假設!$C$339)</f>
        <v>21.518</v>
      </c>
      <c r="H6" s="58" t="n">
        <f aca="false">INDEX($C$45:$H$45,輸入與假設!$C$339)</f>
        <v>-0.042757104338657</v>
      </c>
      <c r="I6" s="57" t="str">
        <f aca="false">IF(ISNUMBER(INDEX($C$38:$H$38,輸入與假設!$C$339)),INDEX($C$38:$H$38,輸入與假設!$C$339),"待公布")</f>
        <v>待公布</v>
      </c>
      <c r="J6" s="58" t="str">
        <f aca="false">INDEX($C$46:$H$46,輸入與假設!$C$339)</f>
        <v/>
      </c>
      <c r="K6" s="58" t="str">
        <f aca="false">INDEX($C$47:$H$47,輸入與假設!$C$339)</f>
        <v/>
      </c>
      <c r="L6" s="58" t="str">
        <f aca="false">INDEX($C$48:$H$48,輸入與假設!$C$339)</f>
        <v/>
      </c>
      <c r="M6" s="58"/>
      <c r="N6" s="58"/>
      <c r="O6" s="58"/>
      <c r="P6" s="58"/>
      <c r="Q6" s="58"/>
    </row>
    <row r="7" customFormat="false" ht="15" hidden="false" customHeight="false" outlineLevel="1" collapsed="false">
      <c r="A7" s="3" t="s">
        <v>932</v>
      </c>
      <c r="B7" s="11" t="s">
        <v>59</v>
      </c>
      <c r="C7" s="57" t="n">
        <f aca="false">INDEX($C$28:$H$28,輸入與假設!$C$339)</f>
        <v>12.1122419915827</v>
      </c>
      <c r="D7" s="57" t="n">
        <f aca="false">INDEX($C$35:$H$35,輸入與假設!$C$339)</f>
        <v>12.359</v>
      </c>
      <c r="E7" s="57" t="n">
        <f aca="false">INDEX($C$49:$H$49,輸入與假設!$C$339)</f>
        <v>-0.246758008417325</v>
      </c>
      <c r="F7" s="59" t="s">
        <v>579</v>
      </c>
      <c r="G7" s="59" t="s">
        <v>579</v>
      </c>
      <c r="H7" s="57" t="str">
        <f aca="false">INDEX($C$50:$H$50,輸入與假設!$C$339)</f>
        <v>不適用</v>
      </c>
      <c r="I7" s="57" t="str">
        <f aca="false">IF(ISNUMBER(INDEX($C$39:$H$39,輸入與假設!$C$339)),INDEX($C$39:$H$39,輸入與假設!$C$339),"待公布")</f>
        <v>待公布</v>
      </c>
      <c r="J7" s="57" t="str">
        <f aca="false">INDEX($C$51:$H$51,輸入與假設!$C$339)</f>
        <v/>
      </c>
      <c r="K7" s="57" t="str">
        <f aca="false">INDEX($C$52:$H$52,輸入與假設!$C$339)</f>
        <v/>
      </c>
      <c r="L7" s="57" t="str">
        <f aca="false">INDEX($C$53:$H$53,輸入與假設!$C$339)</f>
        <v/>
      </c>
      <c r="M7" s="58" t="n">
        <f aca="false">INDEX($C$54:$H$54,輸入與假設!$C$339)</f>
        <v>0.0173143216515325</v>
      </c>
      <c r="N7" s="58" t="str">
        <f aca="false">INDEX($C$55:$H$55,輸入與假設!$C$339)</f>
        <v>不適用</v>
      </c>
      <c r="O7" s="58" t="str">
        <f aca="false">INDEX($C$56:$H$56,輸入與假設!$C$339)</f>
        <v/>
      </c>
      <c r="P7" s="58" t="str">
        <f aca="false">INDEX($C$57:$H$57,輸入與假設!$C$339)</f>
        <v/>
      </c>
      <c r="Q7" s="58" t="str">
        <f aca="false">INDEX($C$58:$H$58,輸入與假設!$C$339)</f>
        <v/>
      </c>
    </row>
    <row r="8" customFormat="false" ht="15" hidden="false" customHeight="false" outlineLevel="1" collapsed="false">
      <c r="A8" s="3" t="s">
        <v>933</v>
      </c>
      <c r="B8" s="11" t="s">
        <v>42</v>
      </c>
      <c r="C8" s="58" t="n">
        <f aca="false">INDEX($C$27:$H$27,輸入與假設!$C$339)</f>
        <v>0.596950378306631</v>
      </c>
      <c r="D8" s="58" t="n">
        <f aca="false">INDEX($C$36:$H$36,輸入與假設!$C$339)</f>
        <v>0.579636056655098</v>
      </c>
      <c r="E8" s="58" t="n">
        <f aca="false">INDEX($C$59:$H$59,輸入與假設!$C$339)</f>
        <v>0.0173143216515325</v>
      </c>
      <c r="F8" s="60" t="s">
        <v>579</v>
      </c>
      <c r="G8" s="60" t="s">
        <v>579</v>
      </c>
      <c r="H8" s="58" t="str">
        <f aca="false">INDEX($C$60:$H$60,輸入與假設!$C$339)</f>
        <v>不適用</v>
      </c>
      <c r="I8" s="58" t="str">
        <f aca="false">IF(ISNUMBER(INDEX($C$40:$H$40,輸入與假設!$C$339)),INDEX($C$40:$H$40,輸入與假設!$C$339),"待公布")</f>
        <v>待公布</v>
      </c>
      <c r="J8" s="58" t="str">
        <f aca="false">INDEX($C$61:$H$61,輸入與假設!$C$339)</f>
        <v/>
      </c>
      <c r="K8" s="58" t="str">
        <f aca="false">INDEX($C$62:$H$62,輸入與假設!$C$339)</f>
        <v/>
      </c>
      <c r="L8" s="58" t="str">
        <f aca="false">INDEX($C$63:$H$63,輸入與假設!$C$339)</f>
        <v/>
      </c>
      <c r="M8" s="58"/>
      <c r="N8" s="58"/>
      <c r="O8" s="58"/>
      <c r="P8" s="58"/>
      <c r="Q8" s="58"/>
    </row>
    <row r="9" customFormat="false" ht="15" hidden="false" customHeight="false" outlineLevel="1" collapsed="false">
      <c r="A9" s="3" t="s">
        <v>934</v>
      </c>
      <c r="B9" s="11" t="s">
        <v>59</v>
      </c>
      <c r="C9" s="57" t="n">
        <f aca="false">INDEX($C$30:$H$30,輸入與假設!$C$339)</f>
        <v>8.66553340087897</v>
      </c>
      <c r="D9" s="59" t="s">
        <v>579</v>
      </c>
      <c r="E9" s="57" t="str">
        <f aca="false">INDEX($C$64:$H$64,輸入與假設!$C$339)</f>
        <v>不適用</v>
      </c>
      <c r="F9" s="59" t="s">
        <v>579</v>
      </c>
      <c r="G9" s="59" t="s">
        <v>579</v>
      </c>
      <c r="H9" s="57" t="str">
        <f aca="false">INDEX($C$65:$H$65,輸入與假設!$C$339)</f>
        <v>不適用</v>
      </c>
      <c r="I9" s="57" t="str">
        <f aca="false">IF(ISNUMBER(INDEX($C$41:$H$41,輸入與假設!$C$339)),INDEX($C$41:$H$41,輸入與假設!$C$339),"待公布")</f>
        <v>待公布</v>
      </c>
      <c r="J9" s="57" t="str">
        <f aca="false">INDEX($C$66:$H$66,輸入與假設!$C$339)</f>
        <v/>
      </c>
      <c r="K9" s="57" t="str">
        <f aca="false">INDEX($C$67:$H$67,輸入與假設!$C$339)</f>
        <v/>
      </c>
      <c r="L9" s="57" t="str">
        <f aca="false">INDEX($C$68:$H$68,輸入與假設!$C$339)</f>
        <v/>
      </c>
      <c r="M9" s="58" t="str">
        <f aca="false">INDEX($C$69:$H$69,輸入與假設!$C$339)</f>
        <v>不適用</v>
      </c>
      <c r="N9" s="58" t="str">
        <f aca="false">INDEX($C$70:$H$70,輸入與假設!$C$339)</f>
        <v>不適用</v>
      </c>
      <c r="O9" s="58" t="str">
        <f aca="false">INDEX($C$71:$H$71,輸入與假設!$C$339)</f>
        <v/>
      </c>
      <c r="P9" s="58" t="str">
        <f aca="false">INDEX($C$72:$H$72,輸入與假設!$C$339)</f>
        <v/>
      </c>
      <c r="Q9" s="58" t="str">
        <f aca="false">INDEX($C$73:$H$73,輸入與假設!$C$339)</f>
        <v/>
      </c>
    </row>
    <row r="10" customFormat="false" ht="15" hidden="false" customHeight="false" outlineLevel="1" collapsed="false">
      <c r="A10" s="3" t="s">
        <v>935</v>
      </c>
      <c r="B10" s="11" t="s">
        <v>59</v>
      </c>
      <c r="C10" s="57" t="n">
        <f aca="false">INDEX($C$33:$H$33,輸入與假設!$C$339)</f>
        <v>20.9430185306667</v>
      </c>
      <c r="D10" s="59" t="s">
        <v>579</v>
      </c>
      <c r="E10" s="58" t="str">
        <f aca="false">INDEX($C$74:$H$74,輸入與假設!$C$339)</f>
        <v>不適用</v>
      </c>
      <c r="F10" s="59" t="s">
        <v>579</v>
      </c>
      <c r="G10" s="59" t="s">
        <v>579</v>
      </c>
      <c r="H10" s="58" t="str">
        <f aca="false">INDEX($C$75:$H$75,輸入與假設!$C$339)</f>
        <v>不適用</v>
      </c>
      <c r="I10" s="57" t="str">
        <f aca="false">IF(ISNUMBER(INDEX($C$42:$H$42,輸入與假設!$C$339)),INDEX($C$42:$H$42,輸入與假設!$C$339),"待公布")</f>
        <v>待公布</v>
      </c>
      <c r="J10" s="58" t="str">
        <f aca="false">INDEX($C$76:$H$76,輸入與假設!$C$339)</f>
        <v/>
      </c>
      <c r="K10" s="58" t="str">
        <f aca="false">INDEX($C$77:$H$77,輸入與假設!$C$339)</f>
        <v/>
      </c>
      <c r="L10" s="58" t="str">
        <f aca="false">INDEX($C$78:$H$78,輸入與假設!$C$339)</f>
        <v/>
      </c>
      <c r="M10" s="58"/>
      <c r="N10" s="58"/>
      <c r="O10" s="58"/>
      <c r="P10" s="58"/>
      <c r="Q10" s="58"/>
    </row>
    <row r="11" customFormat="false" ht="15" hidden="false" customHeight="false" outlineLevel="1" collapsed="false">
      <c r="A11" s="3" t="s">
        <v>936</v>
      </c>
      <c r="B11" s="11" t="s">
        <v>152</v>
      </c>
      <c r="C11" s="61" t="n">
        <f aca="false">INDEX($C$19:$H$19,輸入與假設!$C$339)</f>
        <v>3251.33333333333</v>
      </c>
      <c r="D11" s="62" t="s">
        <v>579</v>
      </c>
      <c r="E11" s="61" t="str">
        <f aca="false">INDEX($C$79:$H$79,輸入與假設!$C$339)</f>
        <v>不適用</v>
      </c>
      <c r="F11" s="62" t="s">
        <v>579</v>
      </c>
      <c r="G11" s="62" t="s">
        <v>579</v>
      </c>
      <c r="H11" s="61" t="str">
        <f aca="false">INDEX($C$80:$H$80,輸入與假設!$C$339)</f>
        <v>不適用</v>
      </c>
      <c r="I11" s="61" t="str">
        <f aca="false">IF(ISNUMBER(INDEX($C$43:$H$43,輸入與假設!$C$339)),INDEX($C$43:$H$43,輸入與假設!$C$339),"待公布")</f>
        <v>待公布</v>
      </c>
      <c r="J11" s="61" t="str">
        <f aca="false">INDEX($C$81:$H$81,輸入與假設!$C$339)</f>
        <v/>
      </c>
      <c r="K11" s="61" t="str">
        <f aca="false">INDEX($C$82:$H$82,輸入與假設!$C$339)</f>
        <v/>
      </c>
      <c r="L11" s="61" t="str">
        <f aca="false">INDEX($C$83:$H$83,輸入與假設!$C$339)</f>
        <v/>
      </c>
      <c r="M11" s="58"/>
      <c r="N11" s="58"/>
      <c r="O11" s="58"/>
      <c r="P11" s="58"/>
      <c r="Q11" s="58"/>
    </row>
    <row r="12" customFormat="false" ht="15" hidden="false" customHeight="false" outlineLevel="1" collapsed="false">
      <c r="A12" s="2" t="s">
        <v>937</v>
      </c>
      <c r="C12" s="2" t="str">
        <f aca="false">INDEX($C$16:$H$16,輸入與假設!$C$339)</f>
        <v>Q2 FY27</v>
      </c>
    </row>
    <row r="13" customFormat="false" ht="17.15" hidden="false" customHeight="false" outlineLevel="1" collapsed="false">
      <c r="A13" s="2" t="s">
        <v>938</v>
      </c>
      <c r="C13" s="0" t="str">
        <f aca="false">IF(INDEX($C$123:$H$123,輸入與假設!$C$339)="","無（差距皆在 "&amp;IF(ROUND(ABS(輸入與假設!$C$333)*100,4)=INT(ROUND(ABS(輸入與假設!$C$333)*100,4)),TEXT(ROUND(ABS(輸入與假設!$C$333)*100,4),"0"),TEXT(ROUND(ABS(輸入與假設!$C$333)*100,4),"0.0"))&amp;"%"&amp;" 以內）",INDEX($C$123:$H$123,輸入與假設!$C$339))</f>
        <v>營收 vs 指引中點 −4.3%：觀點（水準 −$2.085bn（2Q–4Q27 模型 $63.706bn，指引隱含 $70.655bn）；分配 +$1.178bn；OCI 營收＝在役 MW × 每 MW 年收入（Tokenomics 正向推導），期初可計費 MW 以 Q1 實際 OCI 年化校準；傳統事業四線依近四季年增率；共識未揭露 MW 與單價假設）</v>
      </c>
    </row>
    <row r="15" customFormat="false" ht="15" hidden="false" customHeight="false" outlineLevel="0" collapsed="true">
      <c r="A15" s="7" t="s">
        <v>939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53</v>
      </c>
      <c r="B16" s="14" t="s">
        <v>54</v>
      </c>
      <c r="C16" s="15" t="s">
        <v>718</v>
      </c>
      <c r="D16" s="15" t="s">
        <v>719</v>
      </c>
      <c r="E16" s="15" t="s">
        <v>720</v>
      </c>
      <c r="F16" s="15" t="s">
        <v>721</v>
      </c>
      <c r="G16" s="15" t="s">
        <v>722</v>
      </c>
      <c r="H16" s="15" t="s">
        <v>723</v>
      </c>
    </row>
    <row r="17" customFormat="false" ht="15" hidden="true" customHeight="false" outlineLevel="1" collapsed="false">
      <c r="A17" s="3" t="s">
        <v>940</v>
      </c>
      <c r="C17" s="36" t="n">
        <f aca="false">輸入與假設!C$338</f>
        <v>1</v>
      </c>
      <c r="D17" s="36" t="n">
        <f aca="false">輸入與假設!D$338</f>
        <v>1</v>
      </c>
      <c r="E17" s="36" t="n">
        <f aca="false">輸入與假設!E$338</f>
        <v>1</v>
      </c>
      <c r="F17" s="36" t="n">
        <f aca="false">輸入與假設!F$338</f>
        <v>2</v>
      </c>
      <c r="G17" s="36" t="n">
        <f aca="false">輸入與假設!G$338</f>
        <v>2</v>
      </c>
      <c r="H17" s="36" t="n">
        <f aca="false">輸入與假設!H$338</f>
        <v>2</v>
      </c>
      <c r="J17" s="11" t="s">
        <v>941</v>
      </c>
    </row>
    <row r="18" customFormat="false" ht="15" hidden="true" customHeight="false" outlineLevel="1" collapsed="false">
      <c r="A18" s="3" t="s">
        <v>942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943</v>
      </c>
    </row>
    <row r="19" customFormat="false" ht="15" hidden="true" customHeight="false" outlineLevel="1" collapsed="false">
      <c r="A19" s="3" t="s">
        <v>944</v>
      </c>
      <c r="B19" s="11" t="s">
        <v>152</v>
      </c>
      <c r="C19" s="22" t="n">
        <f aca="false">輸入與假設!$C$341+(輸入與假設!C$43-輸入與假設!$C$341)*1/3</f>
        <v>3251.33333333333</v>
      </c>
      <c r="D19" s="22" t="n">
        <f aca="false">輸入與假設!$C$341+(輸入與假設!C$43-輸入與假設!$C$341)*2/3</f>
        <v>3959.66666666667</v>
      </c>
      <c r="E19" s="22" t="n">
        <f aca="false">輸入與假設!$C$341+(輸入與假設!C$43-輸入與假設!$C$341)*3/3</f>
        <v>4668</v>
      </c>
      <c r="F19" s="22" t="n">
        <f aca="false">輸入與假設!C$43+(輸入與假設!D$43-輸入與假設!C$43)*1/3</f>
        <v>5612.33333333333</v>
      </c>
      <c r="G19" s="22" t="n">
        <f aca="false">輸入與假設!C$43+(輸入與假設!D$43-輸入與假設!C$43)*2/3</f>
        <v>6556.66666666667</v>
      </c>
      <c r="H19" s="22" t="n">
        <f aca="false">輸入與假設!C$43+(輸入與假設!D$43-輸入與假設!C$43)*3/3</f>
        <v>7501</v>
      </c>
      <c r="J19" s="6" t="s">
        <v>945</v>
      </c>
    </row>
    <row r="20" customFormat="false" ht="15" hidden="true" customHeight="false" outlineLevel="1" collapsed="false">
      <c r="A20" s="3" t="s">
        <v>946</v>
      </c>
      <c r="B20" s="11" t="s">
        <v>152</v>
      </c>
      <c r="C20" s="22" t="n">
        <f aca="false">輸入與假設!$C$36+(運營_產能與收入!C$11-輸入與假設!$C$36)*1/6</f>
        <v>3116.33333333333</v>
      </c>
      <c r="D20" s="22" t="n">
        <f aca="false">輸入與假設!$C$36+(運營_產能與收入!C$11-輸入與假設!$C$36)*3/6</f>
        <v>3299</v>
      </c>
      <c r="E20" s="22" t="n">
        <f aca="false">輸入與假設!$C$36+(運營_產能與收入!C$11-輸入與假設!$C$36)*5/6</f>
        <v>3481.66666666667</v>
      </c>
      <c r="F20" s="22" t="n">
        <f aca="false">運營_產能與收入!C$11+(運營_產能與收入!D$11-運營_產能與收入!C$11)*1/6</f>
        <v>3963.54166666667</v>
      </c>
      <c r="G20" s="22" t="n">
        <f aca="false">運營_產能與收入!C$11+(運營_產能與收入!D$11-運營_產能與收入!C$11)*3/6</f>
        <v>4744.625</v>
      </c>
      <c r="H20" s="22" t="n">
        <f aca="false">運營_產能與收入!C$11+(運營_產能與收入!D$11-運營_產能與收入!C$11)*5/6</f>
        <v>5525.70833333333</v>
      </c>
      <c r="J20" s="6" t="s">
        <v>947</v>
      </c>
    </row>
    <row r="21" customFormat="false" ht="15" hidden="true" customHeight="false" outlineLevel="1" collapsed="false">
      <c r="A21" s="3" t="s">
        <v>948</v>
      </c>
      <c r="B21" s="11" t="s">
        <v>152</v>
      </c>
      <c r="C21" s="22" t="n">
        <f aca="false">C19-輸入與假設!$C$341</f>
        <v>708.333333333334</v>
      </c>
      <c r="D21" s="22" t="n">
        <f aca="false">D19-C19</f>
        <v>708.333333333334</v>
      </c>
      <c r="E21" s="22" t="n">
        <f aca="false">E19-D19</f>
        <v>708.333333333333</v>
      </c>
      <c r="F21" s="22" t="n">
        <f aca="false">F19-輸入與假設!C$43</f>
        <v>944.333333333333</v>
      </c>
      <c r="G21" s="22" t="n">
        <f aca="false">G19-F19</f>
        <v>944.333333333334</v>
      </c>
      <c r="H21" s="22" t="n">
        <f aca="false">H19-G19</f>
        <v>944.333333333333</v>
      </c>
      <c r="J21" s="11" t="s">
        <v>949</v>
      </c>
    </row>
    <row r="22" customFormat="false" ht="15" hidden="true" customHeight="false" outlineLevel="1" collapsed="false">
      <c r="A22" s="3" t="s">
        <v>950</v>
      </c>
      <c r="B22" s="11" t="s">
        <v>59</v>
      </c>
      <c r="C22" s="33" t="n">
        <f aca="false">輸入與假設!$C$340+1*(損益!C9-3*輸入與假設!$C$340)/6</f>
        <v>20.2901990378857</v>
      </c>
      <c r="D22" s="33" t="n">
        <f aca="false">輸入與假設!$C$340+2*(損益!C9-3*輸入與假設!$C$340)/6</f>
        <v>21.2353980757713</v>
      </c>
      <c r="E22" s="33" t="n">
        <f aca="false">輸入與假設!$C$340+3*(損益!C9-3*輸入與假設!$C$340)/6</f>
        <v>22.180597113657</v>
      </c>
      <c r="F22" s="33" t="n">
        <f aca="false">損益!D9*F20/(F20+G20+H20)</f>
        <v>28.5772603896165</v>
      </c>
      <c r="G22" s="33" t="n">
        <f aca="false">損益!D9*G20/(F20+G20+H20)</f>
        <v>34.2088958509962</v>
      </c>
      <c r="H22" s="33" t="n">
        <f aca="false">損益!D9*H20/(F20+G20+H20)</f>
        <v>39.840531312376</v>
      </c>
      <c r="J22" s="6" t="s">
        <v>951</v>
      </c>
    </row>
    <row r="23" customFormat="false" ht="15" hidden="true" customHeight="false" outlineLevel="1" collapsed="false">
      <c r="A23" s="4" t="s">
        <v>952</v>
      </c>
      <c r="C23" s="57" t="n">
        <f aca="false">C22+D22+E22</f>
        <v>63.7061942273139</v>
      </c>
      <c r="D23" s="57" t="n">
        <f aca="false">F22+G22+H22</f>
        <v>102.626687552989</v>
      </c>
      <c r="J23" s="6" t="s">
        <v>953</v>
      </c>
    </row>
    <row r="24" customFormat="false" ht="15" hidden="true" customHeight="false" outlineLevel="1" collapsed="false">
      <c r="A24" s="4" t="s">
        <v>954</v>
      </c>
      <c r="C24" s="57" t="n">
        <f aca="false">C22*C18+D22*D18+E22*E18</f>
        <v>129.302786530399</v>
      </c>
      <c r="D24" s="57" t="n">
        <f aca="false">F22*F18+G22*G18+H22*H18</f>
        <v>524.396708687703</v>
      </c>
      <c r="J24" s="6" t="s">
        <v>953</v>
      </c>
    </row>
    <row r="25" customFormat="false" ht="15" hidden="true" customHeight="false" outlineLevel="1" collapsed="false">
      <c r="A25" s="4" t="s">
        <v>955</v>
      </c>
      <c r="C25" s="57" t="n">
        <f aca="false">損益!C22</f>
        <v>37.5437953189312</v>
      </c>
      <c r="D25" s="57" t="n">
        <f aca="false">損益!D22</f>
        <v>58.1404845469767</v>
      </c>
      <c r="J25" s="6" t="s">
        <v>953</v>
      </c>
    </row>
    <row r="26" customFormat="false" ht="15" hidden="true" customHeight="false" outlineLevel="1" collapsed="false">
      <c r="A26" s="4" t="s">
        <v>956</v>
      </c>
      <c r="C26" s="63" t="n">
        <f aca="false">(C25*D24-C24*D25)/(C23*D24-C24*D23)</f>
        <v>0.604353833402219</v>
      </c>
      <c r="D26" s="63" t="n">
        <f aca="false">(C23*D25-D23*C25)/(C23*D24-C24*D23)</f>
        <v>-0.00740345509558858</v>
      </c>
      <c r="J26" s="6" t="s">
        <v>957</v>
      </c>
    </row>
    <row r="27" customFormat="false" ht="15" hidden="true" customHeight="false" outlineLevel="1" collapsed="false">
      <c r="A27" s="4" t="s">
        <v>958</v>
      </c>
      <c r="B27" s="11" t="s">
        <v>42</v>
      </c>
      <c r="C27" s="32" t="n">
        <f aca="false">$C$26+$D$26*C18</f>
        <v>0.596950378306631</v>
      </c>
      <c r="D27" s="32" t="n">
        <f aca="false">$C$26+$D$26*D18</f>
        <v>0.589546923211042</v>
      </c>
      <c r="E27" s="32" t="n">
        <f aca="false">$C$26+$D$26*E18</f>
        <v>0.582143468115453</v>
      </c>
      <c r="F27" s="32" t="n">
        <f aca="false">$C$26+$D$26*F18</f>
        <v>0.574740013019865</v>
      </c>
      <c r="G27" s="32" t="n">
        <f aca="false">$C$26+$D$26*G18</f>
        <v>0.567336557924276</v>
      </c>
      <c r="H27" s="32" t="n">
        <f aca="false">$C$26+$D$26*H18</f>
        <v>0.559933102828688</v>
      </c>
      <c r="J27" s="6" t="s">
        <v>959</v>
      </c>
    </row>
    <row r="28" customFormat="false" ht="15" hidden="true" customHeight="false" outlineLevel="1" collapsed="false">
      <c r="A28" s="3" t="s">
        <v>960</v>
      </c>
      <c r="B28" s="11" t="s">
        <v>59</v>
      </c>
      <c r="C28" s="33" t="n">
        <f aca="false">C22*C27</f>
        <v>12.1122419915827</v>
      </c>
      <c r="D28" s="33" t="n">
        <f aca="false">D22*D27</f>
        <v>12.5192635987327</v>
      </c>
      <c r="E28" s="33" t="n">
        <f aca="false">E22*E27</f>
        <v>12.9122897286159</v>
      </c>
      <c r="F28" s="33" t="n">
        <f aca="false">F22*F27</f>
        <v>16.4244950084002</v>
      </c>
      <c r="G28" s="33" t="n">
        <f aca="false">G22*G27</f>
        <v>19.4079572224943</v>
      </c>
      <c r="H28" s="33" t="n">
        <f aca="false">H22*H27</f>
        <v>22.3080323160822</v>
      </c>
    </row>
    <row r="29" customFormat="false" ht="15" hidden="true" customHeight="false" outlineLevel="1" collapsed="false">
      <c r="A29" s="3" t="s">
        <v>961</v>
      </c>
      <c r="B29" s="11" t="s">
        <v>59</v>
      </c>
      <c r="C29" s="33" t="n">
        <f aca="false">(輸入與假設!C$133+運營_產能與收入!C$54*1/6)/輸入與假設!$C$105*輸入與假設!C$41/3</f>
        <v>3.4467085907037</v>
      </c>
      <c r="D29" s="33" t="n">
        <f aca="false">(輸入與假設!C$133+運營_產能與收入!C$54*3/6)/輸入與假設!$C$105*輸入與假設!C$41/3</f>
        <v>4.02845910544444</v>
      </c>
      <c r="E29" s="33" t="n">
        <f aca="false">(輸入與假設!C$133+運營_產能與收入!C$54*5/6)/輸入與假設!$C$105*輸入與假設!C$41/3</f>
        <v>4.61020962018518</v>
      </c>
      <c r="F29" s="33" t="n">
        <f aca="false">(輸入與假設!D$133+運營_產能與收入!D$54*1/6)/輸入與假設!$C$105*輸入與假設!D$41/3</f>
        <v>7.28350317262099</v>
      </c>
      <c r="G29" s="33" t="n">
        <f aca="false">(輸入與假設!D$133+運營_產能與收入!D$54*3/6)/輸入與假設!$C$105*輸入與假設!D$41/3</f>
        <v>8.78094984438148</v>
      </c>
      <c r="H29" s="33" t="n">
        <f aca="false">(輸入與假設!D$133+運營_產能與收入!D$54*5/6)/輸入與假設!$C$105*輸入與假設!D$41/3</f>
        <v>10.278396516142</v>
      </c>
      <c r="J29" s="6" t="s">
        <v>962</v>
      </c>
    </row>
    <row r="30" customFormat="false" ht="15" hidden="true" customHeight="false" outlineLevel="1" collapsed="false">
      <c r="A30" s="3" t="s">
        <v>963</v>
      </c>
      <c r="B30" s="11" t="s">
        <v>59</v>
      </c>
      <c r="C30" s="33" t="n">
        <f aca="false">C28-C29</f>
        <v>8.66553340087897</v>
      </c>
      <c r="D30" s="33" t="n">
        <f aca="false">D28-D29</f>
        <v>8.49080449328822</v>
      </c>
      <c r="E30" s="33" t="n">
        <f aca="false">E28-E29</f>
        <v>8.3020801084307</v>
      </c>
      <c r="F30" s="33" t="n">
        <f aca="false">F28-F29</f>
        <v>9.14099183577925</v>
      </c>
      <c r="G30" s="33" t="n">
        <f aca="false">G28-G29</f>
        <v>10.6270073781128</v>
      </c>
      <c r="H30" s="33" t="n">
        <f aca="false">H28-H29</f>
        <v>12.0296357999402</v>
      </c>
      <c r="J30" s="6" t="s">
        <v>964</v>
      </c>
    </row>
    <row r="31" customFormat="false" ht="15" hidden="true" customHeight="false" outlineLevel="1" collapsed="false">
      <c r="A31" s="3" t="s">
        <v>965</v>
      </c>
      <c r="B31" s="11" t="s">
        <v>59</v>
      </c>
      <c r="C31" s="33" t="n">
        <f aca="false">IF(ISNUMBER(輸入與假設!C$350),輸入與假設!C$350,"不適用")</f>
        <v>20.875</v>
      </c>
      <c r="D31" s="33" t="str">
        <f aca="false">IF(ISNUMBER(輸入與假設!D$350),輸入與假設!D$350,"不適用")</f>
        <v>不適用</v>
      </c>
      <c r="E31" s="33" t="str">
        <f aca="false">IF(ISNUMBER(輸入與假設!E$350),輸入與假設!E$350,"不適用")</f>
        <v>不適用</v>
      </c>
      <c r="F31" s="33" t="str">
        <f aca="false">IF(ISNUMBER(輸入與假設!F$350),輸入與假設!F$350,"不適用")</f>
        <v>不適用</v>
      </c>
      <c r="G31" s="33" t="str">
        <f aca="false">IF(ISNUMBER(輸入與假設!G$350),輸入與假設!G$350,"不適用")</f>
        <v>不適用</v>
      </c>
      <c r="H31" s="33" t="str">
        <f aca="false">IF(ISNUMBER(輸入與假設!H$350),輸入與假設!H$350,"不適用")</f>
        <v>不適用</v>
      </c>
    </row>
    <row r="32" customFormat="false" ht="15" hidden="true" customHeight="false" outlineLevel="1" collapsed="false">
      <c r="A32" s="3" t="s">
        <v>966</v>
      </c>
      <c r="B32" s="11" t="s">
        <v>59</v>
      </c>
      <c r="C32" s="33" t="n">
        <f aca="false">IF(ISNUMBER(輸入與假設!C$351),輸入與假設!C$351,"不適用")</f>
        <v>21.518</v>
      </c>
      <c r="D32" s="33" t="str">
        <f aca="false">IF(ISNUMBER(輸入與假設!D$351),輸入與假設!D$351,"不適用")</f>
        <v>不適用</v>
      </c>
      <c r="E32" s="33" t="str">
        <f aca="false">IF(ISNUMBER(輸入與假設!E$351),輸入與假設!E$351,"不適用")</f>
        <v>不適用</v>
      </c>
      <c r="F32" s="33" t="str">
        <f aca="false">IF(ISNUMBER(輸入與假設!F$351),輸入與假設!F$351,"不適用")</f>
        <v>不適用</v>
      </c>
      <c r="G32" s="33" t="str">
        <f aca="false">IF(ISNUMBER(輸入與假設!G$351),輸入與假設!G$351,"不適用")</f>
        <v>不適用</v>
      </c>
      <c r="H32" s="33" t="str">
        <f aca="false">IF(ISNUMBER(輸入與假設!H$351),輸入與假設!H$351,"不適用")</f>
        <v>不適用</v>
      </c>
    </row>
    <row r="33" customFormat="false" ht="15" hidden="true" customHeight="false" outlineLevel="1" collapsed="false">
      <c r="A33" s="4" t="s">
        <v>967</v>
      </c>
      <c r="B33" s="11" t="s">
        <v>59</v>
      </c>
      <c r="C33" s="33" t="n">
        <f aca="false">IF((C21+D21+E21)&gt;0,輸入與假設!C$135*C21/(C21+D21+E21),輸入與假設!C$135/3)</f>
        <v>20.9430185306667</v>
      </c>
      <c r="D33" s="33" t="n">
        <f aca="false">IF((C21+D21+E21)&gt;0,輸入與假設!C$135*D21/(C21+D21+E21),輸入與假設!C$135/3)</f>
        <v>20.9430185306667</v>
      </c>
      <c r="E33" s="33" t="n">
        <f aca="false">IF((C21+D21+E21)&gt;0,輸入與假設!C$135*E21/(C21+D21+E21),輸入與假設!C$135/3)</f>
        <v>20.9430185306667</v>
      </c>
      <c r="F33" s="33" t="n">
        <f aca="false">IF((F21+G21+H21)&gt;0,輸入與假設!D$135*F21/(F21+G21+H21),輸入與假設!D$135/3)</f>
        <v>26.6307118864</v>
      </c>
      <c r="G33" s="33" t="n">
        <f aca="false">IF((F21+G21+H21)&gt;0,輸入與假設!D$135*G21/(F21+G21+H21),輸入與假設!D$135/3)</f>
        <v>26.6307118864</v>
      </c>
      <c r="H33" s="33" t="n">
        <f aca="false">IF((F21+G21+H21)&gt;0,輸入與假設!D$135*H21/(F21+G21+H21),輸入與假設!D$135/3)</f>
        <v>26.6307118864</v>
      </c>
      <c r="J33" s="6" t="s">
        <v>968</v>
      </c>
    </row>
    <row r="34" customFormat="false" ht="15" hidden="true" customHeight="false" outlineLevel="1" collapsed="false">
      <c r="A34" s="3" t="s">
        <v>969</v>
      </c>
      <c r="B34" s="11" t="s">
        <v>59</v>
      </c>
      <c r="C34" s="33" t="n">
        <f aca="false">IF(ISNUMBER(輸入與假設!$C$305),輸入與假設!$C$305,"不適用")</f>
        <v>21.322</v>
      </c>
      <c r="D34" s="33" t="n">
        <f aca="false">IF(ISNUMBER(輸入與假設!$D$305),輸入與假設!$D$305,"不適用")</f>
        <v>23.38</v>
      </c>
      <c r="E34" s="64" t="s">
        <v>579</v>
      </c>
      <c r="F34" s="64" t="s">
        <v>579</v>
      </c>
      <c r="G34" s="64" t="s">
        <v>579</v>
      </c>
      <c r="H34" s="64" t="s">
        <v>579</v>
      </c>
      <c r="J34" s="11" t="s">
        <v>970</v>
      </c>
    </row>
    <row r="35" customFormat="false" ht="15" hidden="true" customHeight="false" outlineLevel="1" collapsed="false">
      <c r="A35" s="3" t="s">
        <v>971</v>
      </c>
      <c r="B35" s="11" t="s">
        <v>59</v>
      </c>
      <c r="C35" s="64" t="n">
        <f aca="false">IF(ISNUMBER(輸入與假設!$C$306),輸入與假設!$C$306,"不適用")</f>
        <v>12.359</v>
      </c>
      <c r="D35" s="64" t="n">
        <f aca="false">IF(ISNUMBER(輸入與假設!$D$306),輸入與假設!$D$306,"不適用")</f>
        <v>13.515</v>
      </c>
      <c r="E35" s="64" t="s">
        <v>579</v>
      </c>
      <c r="F35" s="64" t="s">
        <v>579</v>
      </c>
      <c r="G35" s="64" t="s">
        <v>579</v>
      </c>
      <c r="H35" s="64" t="s">
        <v>579</v>
      </c>
      <c r="J35" s="11" t="s">
        <v>970</v>
      </c>
    </row>
    <row r="36" customFormat="false" ht="15" hidden="true" customHeight="false" outlineLevel="1" collapsed="false">
      <c r="A36" s="3" t="s">
        <v>972</v>
      </c>
      <c r="B36" s="11" t="s">
        <v>42</v>
      </c>
      <c r="C36" s="32" t="n">
        <f aca="false">IF(AND(ISNUMBER(輸入與假設!$C$306),ISNUMBER(輸入與假設!$C$305)),輸入與假設!$C$306/輸入與假設!$C$305,"不適用")</f>
        <v>0.579636056655098</v>
      </c>
      <c r="D36" s="32" t="n">
        <f aca="false">IF(AND(ISNUMBER(輸入與假設!$D$306),ISNUMBER(輸入與假設!$D$305)),輸入與假設!$D$306/輸入與假設!$D$305,"不適用")</f>
        <v>0.578058169375535</v>
      </c>
      <c r="E36" s="65" t="s">
        <v>579</v>
      </c>
      <c r="F36" s="65" t="s">
        <v>579</v>
      </c>
      <c r="G36" s="65" t="s">
        <v>579</v>
      </c>
      <c r="H36" s="65" t="s">
        <v>579</v>
      </c>
      <c r="J36" s="6" t="s">
        <v>973</v>
      </c>
    </row>
    <row r="37" customFormat="false" ht="15" hidden="true" customHeight="false" outlineLevel="1" collapsed="false">
      <c r="A37" s="3" t="s">
        <v>974</v>
      </c>
      <c r="B37" s="11" t="s">
        <v>59</v>
      </c>
      <c r="C37" s="64" t="n">
        <f aca="false">IF(ISNUMBER(輸入與假設!$C$307),輸入與假設!$C$307,"不適用")</f>
        <v>8.536</v>
      </c>
      <c r="D37" s="64" t="n">
        <f aca="false">IF(ISNUMBER(輸入與假設!$D$307),輸入與假設!$D$307,"不適用")</f>
        <v>9.23</v>
      </c>
      <c r="E37" s="64" t="s">
        <v>579</v>
      </c>
      <c r="F37" s="64" t="s">
        <v>579</v>
      </c>
      <c r="G37" s="64" t="s">
        <v>579</v>
      </c>
      <c r="H37" s="64" t="s">
        <v>579</v>
      </c>
      <c r="J37" s="6" t="s">
        <v>975</v>
      </c>
    </row>
    <row r="38" customFormat="false" ht="15" hidden="true" customHeight="false" outlineLevel="1" collapsed="false">
      <c r="A38" s="3" t="s">
        <v>976</v>
      </c>
      <c r="B38" s="11" t="s">
        <v>59</v>
      </c>
      <c r="C38" s="42" t="str">
        <f aca="false">IF(ISNUMBER(輸入與假設!C$342),輸入與假設!C$342,"")</f>
        <v/>
      </c>
      <c r="D38" s="42" t="str">
        <f aca="false">IF(ISNUMBER(輸入與假設!D$342),輸入與假設!D$342,"")</f>
        <v/>
      </c>
      <c r="E38" s="42" t="str">
        <f aca="false">IF(ISNUMBER(輸入與假設!E$342),輸入與假設!E$342,"")</f>
        <v/>
      </c>
      <c r="F38" s="42" t="str">
        <f aca="false">IF(ISNUMBER(輸入與假設!F$342),輸入與假設!F$342,"")</f>
        <v/>
      </c>
      <c r="G38" s="42" t="str">
        <f aca="false">IF(ISNUMBER(輸入與假設!G$342),輸入與假設!G$342,"")</f>
        <v/>
      </c>
      <c r="H38" s="42" t="str">
        <f aca="false">IF(ISNUMBER(輸入與假設!H$342),輸入與假設!H$342,"")</f>
        <v/>
      </c>
    </row>
    <row r="39" customFormat="false" ht="15" hidden="true" customHeight="false" outlineLevel="1" collapsed="false">
      <c r="A39" s="3" t="s">
        <v>977</v>
      </c>
      <c r="B39" s="11" t="s">
        <v>59</v>
      </c>
      <c r="C39" s="42" t="str">
        <f aca="false">IF(ISNUMBER(輸入與假設!C$343),輸入與假設!C$343,"")</f>
        <v/>
      </c>
      <c r="D39" s="42" t="str">
        <f aca="false">IF(ISNUMBER(輸入與假設!D$343),輸入與假設!D$343,"")</f>
        <v/>
      </c>
      <c r="E39" s="42" t="str">
        <f aca="false">IF(ISNUMBER(輸入與假設!E$343),輸入與假設!E$343,"")</f>
        <v/>
      </c>
      <c r="F39" s="42" t="str">
        <f aca="false">IF(ISNUMBER(輸入與假設!F$343),輸入與假設!F$343,"")</f>
        <v/>
      </c>
      <c r="G39" s="42" t="str">
        <f aca="false">IF(ISNUMBER(輸入與假設!G$343),輸入與假設!G$343,"")</f>
        <v/>
      </c>
      <c r="H39" s="42" t="str">
        <f aca="false">IF(ISNUMBER(輸入與假設!H$343),輸入與假設!H$343,"")</f>
        <v/>
      </c>
    </row>
    <row r="40" customFormat="false" ht="15" hidden="true" customHeight="false" outlineLevel="1" collapsed="false">
      <c r="A40" s="3" t="s">
        <v>978</v>
      </c>
      <c r="B40" s="11" t="s">
        <v>42</v>
      </c>
      <c r="C40" s="65" t="str">
        <f aca="false">IF(AND(ISNUMBER(輸入與假設!C$343),ISNUMBER(輸入與假設!C$342)),輸入與假設!C$343/輸入與假設!C$342,"")</f>
        <v/>
      </c>
      <c r="D40" s="65" t="str">
        <f aca="false">IF(AND(ISNUMBER(輸入與假設!D$343),ISNUMBER(輸入與假設!D$342)),輸入與假設!D$343/輸入與假設!D$342,"")</f>
        <v/>
      </c>
      <c r="E40" s="65" t="str">
        <f aca="false">IF(AND(ISNUMBER(輸入與假設!E$343),ISNUMBER(輸入與假設!E$342)),輸入與假設!E$343/輸入與假設!E$342,"")</f>
        <v/>
      </c>
      <c r="F40" s="65" t="str">
        <f aca="false">IF(AND(ISNUMBER(輸入與假設!F$343),ISNUMBER(輸入與假設!F$342)),輸入與假設!F$343/輸入與假設!F$342,"")</f>
        <v/>
      </c>
      <c r="G40" s="65" t="str">
        <f aca="false">IF(AND(ISNUMBER(輸入與假設!G$343),ISNUMBER(輸入與假設!G$342)),輸入與假設!G$343/輸入與假設!G$342,"")</f>
        <v/>
      </c>
      <c r="H40" s="65" t="str">
        <f aca="false">IF(AND(ISNUMBER(輸入與假設!H$343),ISNUMBER(輸入與假設!H$342)),輸入與假設!H$343/輸入與假設!H$342,"")</f>
        <v/>
      </c>
      <c r="J40" s="6" t="s">
        <v>979</v>
      </c>
    </row>
    <row r="41" customFormat="false" ht="15" hidden="true" customHeight="false" outlineLevel="1" collapsed="false">
      <c r="A41" s="3" t="s">
        <v>980</v>
      </c>
      <c r="B41" s="11" t="s">
        <v>59</v>
      </c>
      <c r="C41" s="42" t="str">
        <f aca="false">IF(ISNUMBER(輸入與假設!C$344),輸入與假設!C$344,"")</f>
        <v/>
      </c>
      <c r="D41" s="42" t="str">
        <f aca="false">IF(ISNUMBER(輸入與假設!D$344),輸入與假設!D$344,"")</f>
        <v/>
      </c>
      <c r="E41" s="42" t="str">
        <f aca="false">IF(ISNUMBER(輸入與假設!E$344),輸入與假設!E$344,"")</f>
        <v/>
      </c>
      <c r="F41" s="42" t="str">
        <f aca="false">IF(ISNUMBER(輸入與假設!F$344),輸入與假設!F$344,"")</f>
        <v/>
      </c>
      <c r="G41" s="42" t="str">
        <f aca="false">IF(ISNUMBER(輸入與假設!G$344),輸入與假設!G$344,"")</f>
        <v/>
      </c>
      <c r="H41" s="42" t="str">
        <f aca="false">IF(ISNUMBER(輸入與假設!H$344),輸入與假設!H$344,"")</f>
        <v/>
      </c>
    </row>
    <row r="42" customFormat="false" ht="15" hidden="true" customHeight="false" outlineLevel="1" collapsed="false">
      <c r="A42" s="3" t="s">
        <v>981</v>
      </c>
      <c r="B42" s="11" t="s">
        <v>59</v>
      </c>
      <c r="C42" s="42" t="str">
        <f aca="false">IF(ISNUMBER(輸入與假設!C$345),輸入與假設!C$345,"")</f>
        <v/>
      </c>
      <c r="D42" s="42" t="str">
        <f aca="false">IF(ISNUMBER(輸入與假設!D$345),輸入與假設!D$345,"")</f>
        <v/>
      </c>
      <c r="E42" s="42" t="str">
        <f aca="false">IF(ISNUMBER(輸入與假設!E$345),輸入與假設!E$345,"")</f>
        <v/>
      </c>
      <c r="F42" s="42" t="str">
        <f aca="false">IF(ISNUMBER(輸入與假設!F$345),輸入與假設!F$345,"")</f>
        <v/>
      </c>
      <c r="G42" s="42" t="str">
        <f aca="false">IF(ISNUMBER(輸入與假設!G$345),輸入與假設!G$345,"")</f>
        <v/>
      </c>
      <c r="H42" s="42" t="str">
        <f aca="false">IF(ISNUMBER(輸入與假設!H$345),輸入與假設!H$345,"")</f>
        <v/>
      </c>
    </row>
    <row r="43" customFormat="false" ht="15" hidden="true" customHeight="false" outlineLevel="1" collapsed="false">
      <c r="A43" s="3" t="s">
        <v>982</v>
      </c>
      <c r="B43" s="11" t="s">
        <v>152</v>
      </c>
      <c r="C43" s="42" t="str">
        <f aca="false">IF(ISNUMBER(輸入與假設!C$346),輸入與假設!C$346,"")</f>
        <v/>
      </c>
      <c r="D43" s="42" t="str">
        <f aca="false">IF(ISNUMBER(輸入與假設!D$346),輸入與假設!D$346,"")</f>
        <v/>
      </c>
      <c r="E43" s="42" t="str">
        <f aca="false">IF(ISNUMBER(輸入與假設!E$346),輸入與假設!E$346,"")</f>
        <v/>
      </c>
      <c r="F43" s="42" t="str">
        <f aca="false">IF(ISNUMBER(輸入與假設!F$346),輸入與假設!F$346,"")</f>
        <v/>
      </c>
      <c r="G43" s="42" t="str">
        <f aca="false">IF(ISNUMBER(輸入與假設!G$346),輸入與假設!G$346,"")</f>
        <v/>
      </c>
      <c r="H43" s="42" t="str">
        <f aca="false">IF(ISNUMBER(輸入與假設!H$346),輸入與假設!H$346,"")</f>
        <v/>
      </c>
    </row>
    <row r="44" customFormat="false" ht="15" hidden="true" customHeight="false" outlineLevel="1" collapsed="false">
      <c r="A44" s="3" t="s">
        <v>983</v>
      </c>
      <c r="B44" s="11" t="s">
        <v>42</v>
      </c>
      <c r="C44" s="65" t="n">
        <f aca="false">IF(AND(ISNUMBER(C22),ISNUMBER(C34),C34&lt;&gt;0),C22/(C34)-1,"不適用")</f>
        <v>-0.0483913780186822</v>
      </c>
      <c r="D44" s="65" t="n">
        <f aca="false">IF(AND(ISNUMBER(D22),ISNUMBER(D34),D34&lt;&gt;0),D22/(D34)-1,"不適用")</f>
        <v>-0.091728054928515</v>
      </c>
      <c r="E44" s="65" t="str">
        <f aca="false">IF(AND(ISNUMBER(E22),ISNUMBER(E34),E34&lt;&gt;0),E22/(E34)-1,"不適用")</f>
        <v>不適用</v>
      </c>
      <c r="F44" s="65" t="str">
        <f aca="false">IF(AND(ISNUMBER(F22),ISNUMBER(F34),F34&lt;&gt;0),F22/(F34)-1,"不適用")</f>
        <v>不適用</v>
      </c>
      <c r="G44" s="65" t="str">
        <f aca="false">IF(AND(ISNUMBER(G22),ISNUMBER(G34),G34&lt;&gt;0),G22/(G34)-1,"不適用")</f>
        <v>不適用</v>
      </c>
      <c r="H44" s="65" t="str">
        <f aca="false">IF(AND(ISNUMBER(H22),ISNUMBER(H34),H34&lt;&gt;0),H22/(H34)-1,"不適用")</f>
        <v>不適用</v>
      </c>
    </row>
    <row r="45" customFormat="false" ht="15" hidden="true" customHeight="false" outlineLevel="1" collapsed="false">
      <c r="A45" s="3" t="s">
        <v>984</v>
      </c>
      <c r="B45" s="11" t="s">
        <v>42</v>
      </c>
      <c r="C45" s="65" t="n">
        <f aca="false">IF(AND(ISNUMBER(C22),ISNUMBER(C31),ISNUMBER(C32)),C22/(((C31+C32)/2))-1,"不適用")</f>
        <v>-0.042757104338657</v>
      </c>
      <c r="D45" s="65" t="str">
        <f aca="false">IF(AND(ISNUMBER(D22),ISNUMBER(D31),ISNUMBER(D32)),D22/(((D31+D32)/2))-1,"不適用")</f>
        <v>不適用</v>
      </c>
      <c r="E45" s="65" t="str">
        <f aca="false">IF(AND(ISNUMBER(E22),ISNUMBER(E31),ISNUMBER(E32)),E22/(((E31+E32)/2))-1,"不適用")</f>
        <v>不適用</v>
      </c>
      <c r="F45" s="65" t="str">
        <f aca="false">IF(AND(ISNUMBER(F22),ISNUMBER(F31),ISNUMBER(F32)),F22/(((F31+F32)/2))-1,"不適用")</f>
        <v>不適用</v>
      </c>
      <c r="G45" s="65" t="str">
        <f aca="false">IF(AND(ISNUMBER(G22),ISNUMBER(G31),ISNUMBER(G32)),G22/(((G31+G32)/2))-1,"不適用")</f>
        <v>不適用</v>
      </c>
      <c r="H45" s="65" t="str">
        <f aca="false">IF(AND(ISNUMBER(H22),ISNUMBER(H31),ISNUMBER(H32)),H22/(((H31+H32)/2))-1,"不適用")</f>
        <v>不適用</v>
      </c>
    </row>
    <row r="46" customFormat="false" ht="15" hidden="true" customHeight="false" outlineLevel="1" collapsed="false">
      <c r="A46" s="3" t="s">
        <v>985</v>
      </c>
      <c r="B46" s="11" t="s">
        <v>42</v>
      </c>
      <c r="C46" s="65" t="str">
        <f aca="false">IF(ISNUMBER(C38),IF(AND(ISNUMBER(C22),C22&lt;&gt;0),C38/(C22)-1,"不適用"),"")</f>
        <v/>
      </c>
      <c r="D46" s="65" t="str">
        <f aca="false">IF(ISNUMBER(D38),IF(AND(ISNUMBER(D22),D22&lt;&gt;0),D38/(D22)-1,"不適用"),"")</f>
        <v/>
      </c>
      <c r="E46" s="65" t="str">
        <f aca="false">IF(ISNUMBER(E38),IF(AND(ISNUMBER(E22),E22&lt;&gt;0),E38/(E22)-1,"不適用"),"")</f>
        <v/>
      </c>
      <c r="F46" s="65" t="str">
        <f aca="false">IF(ISNUMBER(F38),IF(AND(ISNUMBER(F22),F22&lt;&gt;0),F38/(F22)-1,"不適用"),"")</f>
        <v/>
      </c>
      <c r="G46" s="65" t="str">
        <f aca="false">IF(ISNUMBER(G38),IF(AND(ISNUMBER(G22),G22&lt;&gt;0),G38/(G22)-1,"不適用"),"")</f>
        <v/>
      </c>
      <c r="H46" s="65" t="str">
        <f aca="false">IF(ISNUMBER(H38),IF(AND(ISNUMBER(H22),H22&lt;&gt;0),H38/(H22)-1,"不適用"),"")</f>
        <v/>
      </c>
    </row>
    <row r="47" customFormat="false" ht="15" hidden="true" customHeight="false" outlineLevel="1" collapsed="false">
      <c r="A47" s="3" t="s">
        <v>986</v>
      </c>
      <c r="B47" s="11" t="s">
        <v>42</v>
      </c>
      <c r="C47" s="65" t="str">
        <f aca="false">IF(ISNUMBER(C38),IF(AND(ISNUMBER(C34),C34&lt;&gt;0),C38/(C34)-1,"不適用"),"")</f>
        <v/>
      </c>
      <c r="D47" s="65" t="str">
        <f aca="false">IF(ISNUMBER(D38),IF(AND(ISNUMBER(D34),D34&lt;&gt;0),D38/(D34)-1,"不適用"),"")</f>
        <v/>
      </c>
      <c r="E47" s="65" t="str">
        <f aca="false">IF(ISNUMBER(E38),IF(AND(ISNUMBER(E34),E34&lt;&gt;0),E38/(E34)-1,"不適用"),"")</f>
        <v/>
      </c>
      <c r="F47" s="65" t="str">
        <f aca="false">IF(ISNUMBER(F38),IF(AND(ISNUMBER(F34),F34&lt;&gt;0),F38/(F34)-1,"不適用"),"")</f>
        <v/>
      </c>
      <c r="G47" s="65" t="str">
        <f aca="false">IF(ISNUMBER(G38),IF(AND(ISNUMBER(G34),G34&lt;&gt;0),G38/(G34)-1,"不適用"),"")</f>
        <v/>
      </c>
      <c r="H47" s="65" t="str">
        <f aca="false">IF(ISNUMBER(H38),IF(AND(ISNUMBER(H34),H34&lt;&gt;0),H38/(H34)-1,"不適用"),"")</f>
        <v/>
      </c>
    </row>
    <row r="48" customFormat="false" ht="15" hidden="true" customHeight="false" outlineLevel="1" collapsed="false">
      <c r="A48" s="3" t="s">
        <v>987</v>
      </c>
      <c r="B48" s="11" t="s">
        <v>42</v>
      </c>
      <c r="C48" s="65" t="str">
        <f aca="false">IF(ISNUMBER(C38),IF(AND(ISNUMBER(C31),ISNUMBER(C32)),C38/(((C31+C32)/2))-1,"不適用"),"")</f>
        <v/>
      </c>
      <c r="D48" s="65" t="str">
        <f aca="false">IF(ISNUMBER(D38),IF(AND(ISNUMBER(D31),ISNUMBER(D32)),D38/(((D31+D32)/2))-1,"不適用"),"")</f>
        <v/>
      </c>
      <c r="E48" s="65" t="str">
        <f aca="false">IF(ISNUMBER(E38),IF(AND(ISNUMBER(E31),ISNUMBER(E32)),E38/(((E31+E32)/2))-1,"不適用"),"")</f>
        <v/>
      </c>
      <c r="F48" s="65" t="str">
        <f aca="false">IF(ISNUMBER(F38),IF(AND(ISNUMBER(F31),ISNUMBER(F32)),F38/(((F31+F32)/2))-1,"不適用"),"")</f>
        <v/>
      </c>
      <c r="G48" s="65" t="str">
        <f aca="false">IF(ISNUMBER(G38),IF(AND(ISNUMBER(G31),ISNUMBER(G32)),G38/(((G31+G32)/2))-1,"不適用"),"")</f>
        <v/>
      </c>
      <c r="H48" s="65" t="str">
        <f aca="false">IF(ISNUMBER(H38),IF(AND(ISNUMBER(H31),ISNUMBER(H32)),H38/(((H31+H32)/2))-1,"不適用"),"")</f>
        <v/>
      </c>
    </row>
    <row r="49" customFormat="false" ht="15" hidden="true" customHeight="false" outlineLevel="1" collapsed="false">
      <c r="A49" s="3" t="s">
        <v>988</v>
      </c>
      <c r="B49" s="11" t="s">
        <v>59</v>
      </c>
      <c r="C49" s="64" t="n">
        <f aca="false">IF(AND(ISNUMBER(C28),ISNUMBER(C35)),C28-(C35),"不適用")</f>
        <v>-0.246758008417325</v>
      </c>
      <c r="D49" s="64" t="n">
        <f aca="false">IF(AND(ISNUMBER(D28),ISNUMBER(D35)),D28-(D35),"不適用")</f>
        <v>-0.995736401267338</v>
      </c>
      <c r="E49" s="64" t="str">
        <f aca="false">IF(AND(ISNUMBER(E28),ISNUMBER(E35)),E28-(E35),"不適用")</f>
        <v>不適用</v>
      </c>
      <c r="F49" s="64" t="str">
        <f aca="false">IF(AND(ISNUMBER(F28),ISNUMBER(F35)),F28-(F35),"不適用")</f>
        <v>不適用</v>
      </c>
      <c r="G49" s="64" t="str">
        <f aca="false">IF(AND(ISNUMBER(G28),ISNUMBER(G35)),G28-(G35),"不適用")</f>
        <v>不適用</v>
      </c>
      <c r="H49" s="64" t="str">
        <f aca="false">IF(AND(ISNUMBER(H28),ISNUMBER(H35)),H28-(H35),"不適用")</f>
        <v>不適用</v>
      </c>
    </row>
    <row r="50" customFormat="false" ht="15" hidden="true" customHeight="false" outlineLevel="1" collapsed="false">
      <c r="A50" s="3" t="s">
        <v>989</v>
      </c>
      <c r="B50" s="11" t="s">
        <v>59</v>
      </c>
      <c r="C50" s="64" t="s">
        <v>579</v>
      </c>
      <c r="D50" s="64" t="s">
        <v>579</v>
      </c>
      <c r="E50" s="64" t="s">
        <v>579</v>
      </c>
      <c r="F50" s="64" t="s">
        <v>579</v>
      </c>
      <c r="G50" s="64" t="s">
        <v>579</v>
      </c>
      <c r="H50" s="64" t="s">
        <v>579</v>
      </c>
    </row>
    <row r="51" customFormat="false" ht="15" hidden="true" customHeight="false" outlineLevel="1" collapsed="false">
      <c r="A51" s="3" t="s">
        <v>990</v>
      </c>
      <c r="B51" s="11" t="s">
        <v>59</v>
      </c>
      <c r="C51" s="64" t="str">
        <f aca="false">IF(ISNUMBER(C39),IF(AND(ISNUMBER(C28)),C39-(C28),"不適用"),"")</f>
        <v/>
      </c>
      <c r="D51" s="64" t="str">
        <f aca="false">IF(ISNUMBER(D39),IF(AND(ISNUMBER(D28)),D39-(D28),"不適用"),"")</f>
        <v/>
      </c>
      <c r="E51" s="64" t="str">
        <f aca="false">IF(ISNUMBER(E39),IF(AND(ISNUMBER(E28)),E39-(E28),"不適用"),"")</f>
        <v/>
      </c>
      <c r="F51" s="64" t="str">
        <f aca="false">IF(ISNUMBER(F39),IF(AND(ISNUMBER(F28)),F39-(F28),"不適用"),"")</f>
        <v/>
      </c>
      <c r="G51" s="64" t="str">
        <f aca="false">IF(ISNUMBER(G39),IF(AND(ISNUMBER(G28)),G39-(G28),"不適用"),"")</f>
        <v/>
      </c>
      <c r="H51" s="64" t="str">
        <f aca="false">IF(ISNUMBER(H39),IF(AND(ISNUMBER(H28)),H39-(H28),"不適用"),"")</f>
        <v/>
      </c>
    </row>
    <row r="52" customFormat="false" ht="15" hidden="true" customHeight="false" outlineLevel="1" collapsed="false">
      <c r="A52" s="3" t="s">
        <v>991</v>
      </c>
      <c r="B52" s="11" t="s">
        <v>59</v>
      </c>
      <c r="C52" s="64" t="str">
        <f aca="false">IF(ISNUMBER(C39),IF(AND(ISNUMBER(C35)),C39-(C35),"不適用"),"")</f>
        <v/>
      </c>
      <c r="D52" s="64" t="str">
        <f aca="false">IF(ISNUMBER(D39),IF(AND(ISNUMBER(D35)),D39-(D35),"不適用"),"")</f>
        <v/>
      </c>
      <c r="E52" s="64" t="str">
        <f aca="false">IF(ISNUMBER(E39),IF(AND(ISNUMBER(E35)),E39-(E35),"不適用"),"")</f>
        <v/>
      </c>
      <c r="F52" s="64" t="str">
        <f aca="false">IF(ISNUMBER(F39),IF(AND(ISNUMBER(F35)),F39-(F35),"不適用"),"")</f>
        <v/>
      </c>
      <c r="G52" s="64" t="str">
        <f aca="false">IF(ISNUMBER(G39),IF(AND(ISNUMBER(G35)),G39-(G35),"不適用"),"")</f>
        <v/>
      </c>
      <c r="H52" s="64" t="str">
        <f aca="false">IF(ISNUMBER(H39),IF(AND(ISNUMBER(H35)),H39-(H35),"不適用"),"")</f>
        <v/>
      </c>
    </row>
    <row r="53" customFormat="false" ht="15" hidden="true" customHeight="false" outlineLevel="1" collapsed="false">
      <c r="A53" s="3" t="s">
        <v>992</v>
      </c>
      <c r="B53" s="11" t="s">
        <v>59</v>
      </c>
      <c r="C53" s="64" t="str">
        <f aca="false">IF(ISNUMBER(C39),"不適用","")</f>
        <v/>
      </c>
      <c r="D53" s="64" t="str">
        <f aca="false">IF(ISNUMBER(D39),"不適用","")</f>
        <v/>
      </c>
      <c r="E53" s="64" t="str">
        <f aca="false">IF(ISNUMBER(E39),"不適用","")</f>
        <v/>
      </c>
      <c r="F53" s="64" t="str">
        <f aca="false">IF(ISNUMBER(F39),"不適用","")</f>
        <v/>
      </c>
      <c r="G53" s="64" t="str">
        <f aca="false">IF(ISNUMBER(G39),"不適用","")</f>
        <v/>
      </c>
      <c r="H53" s="64" t="str">
        <f aca="false">IF(ISNUMBER(H39),"不適用","")</f>
        <v/>
      </c>
    </row>
    <row r="54" customFormat="false" ht="15" hidden="true" customHeight="false" outlineLevel="1" collapsed="false">
      <c r="A54" s="3" t="s">
        <v>993</v>
      </c>
      <c r="B54" s="11" t="s">
        <v>71</v>
      </c>
      <c r="C54" s="65" t="n">
        <f aca="false">IF(AND(ISNUMBER(C28),ISNUMBER(C22),C22&lt;&gt;0,ISNUMBER(C35),ISNUMBER(C34),C34&lt;&gt;0),C28/C22-C35/C34,"不適用")</f>
        <v>0.0173143216515325</v>
      </c>
      <c r="D54" s="65" t="n">
        <f aca="false">IF(AND(ISNUMBER(D28),ISNUMBER(D22),D22&lt;&gt;0,ISNUMBER(D35),ISNUMBER(D34),D34&lt;&gt;0),D28/D22-D35/D34,"不適用")</f>
        <v>0.0114887538355073</v>
      </c>
      <c r="E54" s="65" t="str">
        <f aca="false">IF(AND(ISNUMBER(E28),ISNUMBER(E22),E22&lt;&gt;0,ISNUMBER(E35),ISNUMBER(E34),E34&lt;&gt;0),E28/E22-E35/E34,"不適用")</f>
        <v>不適用</v>
      </c>
      <c r="F54" s="65" t="str">
        <f aca="false">IF(AND(ISNUMBER(F28),ISNUMBER(F22),F22&lt;&gt;0,ISNUMBER(F35),ISNUMBER(F34),F34&lt;&gt;0),F28/F22-F35/F34,"不適用")</f>
        <v>不適用</v>
      </c>
      <c r="G54" s="65" t="str">
        <f aca="false">IF(AND(ISNUMBER(G28),ISNUMBER(G22),G22&lt;&gt;0,ISNUMBER(G35),ISNUMBER(G34),G34&lt;&gt;0),G28/G22-G35/G34,"不適用")</f>
        <v>不適用</v>
      </c>
      <c r="H54" s="65" t="str">
        <f aca="false">IF(AND(ISNUMBER(H28),ISNUMBER(H22),H22&lt;&gt;0,ISNUMBER(H35),ISNUMBER(H34),H34&lt;&gt;0),H28/H22-H35/H34,"不適用")</f>
        <v>不適用</v>
      </c>
    </row>
    <row r="55" customFormat="false" ht="15" hidden="true" customHeight="false" outlineLevel="1" collapsed="false">
      <c r="A55" s="3" t="s">
        <v>994</v>
      </c>
      <c r="B55" s="11" t="s">
        <v>71</v>
      </c>
      <c r="C55" s="65" t="s">
        <v>579</v>
      </c>
      <c r="D55" s="65" t="s">
        <v>579</v>
      </c>
      <c r="E55" s="65" t="s">
        <v>579</v>
      </c>
      <c r="F55" s="65" t="s">
        <v>579</v>
      </c>
      <c r="G55" s="65" t="s">
        <v>579</v>
      </c>
      <c r="H55" s="65" t="s">
        <v>579</v>
      </c>
    </row>
    <row r="56" customFormat="false" ht="15" hidden="true" customHeight="false" outlineLevel="1" collapsed="false">
      <c r="A56" s="3" t="s">
        <v>995</v>
      </c>
      <c r="B56" s="11" t="s">
        <v>71</v>
      </c>
      <c r="C56" s="65" t="str">
        <f aca="false">IF(ISNUMBER(C39),IF(AND(ISNUMBER(C39),ISNUMBER(C38),C38&lt;&gt;0,ISNUMBER(C28),ISNUMBER(C22),C22&lt;&gt;0),C39/C38-C28/C22,"不適用"),"")</f>
        <v/>
      </c>
      <c r="D56" s="65" t="str">
        <f aca="false">IF(ISNUMBER(D39),IF(AND(ISNUMBER(D39),ISNUMBER(D38),D38&lt;&gt;0,ISNUMBER(D28),ISNUMBER(D22),D22&lt;&gt;0),D39/D38-D28/D22,"不適用"),"")</f>
        <v/>
      </c>
      <c r="E56" s="65" t="str">
        <f aca="false">IF(ISNUMBER(E39),IF(AND(ISNUMBER(E39),ISNUMBER(E38),E38&lt;&gt;0,ISNUMBER(E28),ISNUMBER(E22),E22&lt;&gt;0),E39/E38-E28/E22,"不適用"),"")</f>
        <v/>
      </c>
      <c r="F56" s="65" t="str">
        <f aca="false">IF(ISNUMBER(F39),IF(AND(ISNUMBER(F39),ISNUMBER(F38),F38&lt;&gt;0,ISNUMBER(F28),ISNUMBER(F22),F22&lt;&gt;0),F39/F38-F28/F22,"不適用"),"")</f>
        <v/>
      </c>
      <c r="G56" s="65" t="str">
        <f aca="false">IF(ISNUMBER(G39),IF(AND(ISNUMBER(G39),ISNUMBER(G38),G38&lt;&gt;0,ISNUMBER(G28),ISNUMBER(G22),G22&lt;&gt;0),G39/G38-G28/G22,"不適用"),"")</f>
        <v/>
      </c>
      <c r="H56" s="65" t="str">
        <f aca="false">IF(ISNUMBER(H39),IF(AND(ISNUMBER(H39),ISNUMBER(H38),H38&lt;&gt;0,ISNUMBER(H28),ISNUMBER(H22),H22&lt;&gt;0),H39/H38-H28/H22,"不適用"),"")</f>
        <v/>
      </c>
    </row>
    <row r="57" customFormat="false" ht="15" hidden="true" customHeight="false" outlineLevel="1" collapsed="false">
      <c r="A57" s="3" t="s">
        <v>996</v>
      </c>
      <c r="B57" s="11" t="s">
        <v>71</v>
      </c>
      <c r="C57" s="65" t="str">
        <f aca="false">IF(ISNUMBER(C39),IF(AND(ISNUMBER(C39),ISNUMBER(C38),C38&lt;&gt;0,ISNUMBER(C35),ISNUMBER(C34),C34&lt;&gt;0),C39/C38-C35/C34,"不適用"),"")</f>
        <v/>
      </c>
      <c r="D57" s="65" t="str">
        <f aca="false">IF(ISNUMBER(D39),IF(AND(ISNUMBER(D39),ISNUMBER(D38),D38&lt;&gt;0,ISNUMBER(D35),ISNUMBER(D34),D34&lt;&gt;0),D39/D38-D35/D34,"不適用"),"")</f>
        <v/>
      </c>
      <c r="E57" s="65" t="str">
        <f aca="false">IF(ISNUMBER(E39),IF(AND(ISNUMBER(E39),ISNUMBER(E38),E38&lt;&gt;0,ISNUMBER(E35),ISNUMBER(E34),E34&lt;&gt;0),E39/E38-E35/E34,"不適用"),"")</f>
        <v/>
      </c>
      <c r="F57" s="65" t="str">
        <f aca="false">IF(ISNUMBER(F39),IF(AND(ISNUMBER(F39),ISNUMBER(F38),F38&lt;&gt;0,ISNUMBER(F35),ISNUMBER(F34),F34&lt;&gt;0),F39/F38-F35/F34,"不適用"),"")</f>
        <v/>
      </c>
      <c r="G57" s="65" t="str">
        <f aca="false">IF(ISNUMBER(G39),IF(AND(ISNUMBER(G39),ISNUMBER(G38),G38&lt;&gt;0,ISNUMBER(G35),ISNUMBER(G34),G34&lt;&gt;0),G39/G38-G35/G34,"不適用"),"")</f>
        <v/>
      </c>
      <c r="H57" s="65" t="str">
        <f aca="false">IF(ISNUMBER(H39),IF(AND(ISNUMBER(H39),ISNUMBER(H38),H38&lt;&gt;0,ISNUMBER(H35),ISNUMBER(H34),H34&lt;&gt;0),H39/H38-H35/H34,"不適用"),"")</f>
        <v/>
      </c>
    </row>
    <row r="58" customFormat="false" ht="15" hidden="true" customHeight="false" outlineLevel="1" collapsed="false">
      <c r="A58" s="3" t="s">
        <v>997</v>
      </c>
      <c r="B58" s="11" t="s">
        <v>71</v>
      </c>
      <c r="C58" s="65" t="str">
        <f aca="false">IF(ISNUMBER(C39),"不適用","")</f>
        <v/>
      </c>
      <c r="D58" s="65" t="str">
        <f aca="false">IF(ISNUMBER(D39),"不適用","")</f>
        <v/>
      </c>
      <c r="E58" s="65" t="str">
        <f aca="false">IF(ISNUMBER(E39),"不適用","")</f>
        <v/>
      </c>
      <c r="F58" s="65" t="str">
        <f aca="false">IF(ISNUMBER(F39),"不適用","")</f>
        <v/>
      </c>
      <c r="G58" s="65" t="str">
        <f aca="false">IF(ISNUMBER(G39),"不適用","")</f>
        <v/>
      </c>
      <c r="H58" s="65" t="str">
        <f aca="false">IF(ISNUMBER(H39),"不適用","")</f>
        <v/>
      </c>
    </row>
    <row r="59" customFormat="false" ht="15" hidden="true" customHeight="false" outlineLevel="1" collapsed="false">
      <c r="A59" s="3" t="s">
        <v>998</v>
      </c>
      <c r="B59" s="11" t="s">
        <v>71</v>
      </c>
      <c r="C59" s="65" t="n">
        <f aca="false">IF(AND(ISNUMBER(C27),ISNUMBER(C36)),C27-(C36),"不適用")</f>
        <v>0.0173143216515325</v>
      </c>
      <c r="D59" s="65" t="n">
        <f aca="false">IF(AND(ISNUMBER(D27),ISNUMBER(D36)),D27-(D36),"不適用")</f>
        <v>0.0114887538355073</v>
      </c>
      <c r="E59" s="65" t="str">
        <f aca="false">IF(AND(ISNUMBER(E27),ISNUMBER(E36)),E27-(E36),"不適用")</f>
        <v>不適用</v>
      </c>
      <c r="F59" s="65" t="str">
        <f aca="false">IF(AND(ISNUMBER(F27),ISNUMBER(F36)),F27-(F36),"不適用")</f>
        <v>不適用</v>
      </c>
      <c r="G59" s="65" t="str">
        <f aca="false">IF(AND(ISNUMBER(G27),ISNUMBER(G36)),G27-(G36),"不適用")</f>
        <v>不適用</v>
      </c>
      <c r="H59" s="65" t="str">
        <f aca="false">IF(AND(ISNUMBER(H27),ISNUMBER(H36)),H27-(H36),"不適用")</f>
        <v>不適用</v>
      </c>
    </row>
    <row r="60" customFormat="false" ht="15" hidden="true" customHeight="false" outlineLevel="1" collapsed="false">
      <c r="A60" s="3" t="s">
        <v>999</v>
      </c>
      <c r="B60" s="11" t="s">
        <v>71</v>
      </c>
      <c r="C60" s="65" t="s">
        <v>579</v>
      </c>
      <c r="D60" s="65" t="s">
        <v>579</v>
      </c>
      <c r="E60" s="65" t="s">
        <v>579</v>
      </c>
      <c r="F60" s="65" t="s">
        <v>579</v>
      </c>
      <c r="G60" s="65" t="s">
        <v>579</v>
      </c>
      <c r="H60" s="65" t="s">
        <v>579</v>
      </c>
    </row>
    <row r="61" customFormat="false" ht="15" hidden="true" customHeight="false" outlineLevel="1" collapsed="false">
      <c r="A61" s="3" t="s">
        <v>1000</v>
      </c>
      <c r="B61" s="11" t="s">
        <v>71</v>
      </c>
      <c r="C61" s="65" t="str">
        <f aca="false">IF(ISNUMBER(C40),IF(AND(ISNUMBER(C27)),C40-(C27),"不適用"),"")</f>
        <v/>
      </c>
      <c r="D61" s="65" t="str">
        <f aca="false">IF(ISNUMBER(D40),IF(AND(ISNUMBER(D27)),D40-(D27),"不適用"),"")</f>
        <v/>
      </c>
      <c r="E61" s="65" t="str">
        <f aca="false">IF(ISNUMBER(E40),IF(AND(ISNUMBER(E27)),E40-(E27),"不適用"),"")</f>
        <v/>
      </c>
      <c r="F61" s="65" t="str">
        <f aca="false">IF(ISNUMBER(F40),IF(AND(ISNUMBER(F27)),F40-(F27),"不適用"),"")</f>
        <v/>
      </c>
      <c r="G61" s="65" t="str">
        <f aca="false">IF(ISNUMBER(G40),IF(AND(ISNUMBER(G27)),G40-(G27),"不適用"),"")</f>
        <v/>
      </c>
      <c r="H61" s="65" t="str">
        <f aca="false">IF(ISNUMBER(H40),IF(AND(ISNUMBER(H27)),H40-(H27),"不適用"),"")</f>
        <v/>
      </c>
    </row>
    <row r="62" customFormat="false" ht="15" hidden="true" customHeight="false" outlineLevel="1" collapsed="false">
      <c r="A62" s="3" t="s">
        <v>1001</v>
      </c>
      <c r="B62" s="11" t="s">
        <v>71</v>
      </c>
      <c r="C62" s="65" t="str">
        <f aca="false">IF(ISNUMBER(C40),IF(AND(ISNUMBER(C36)),C40-(C36),"不適用"),"")</f>
        <v/>
      </c>
      <c r="D62" s="65" t="str">
        <f aca="false">IF(ISNUMBER(D40),IF(AND(ISNUMBER(D36)),D40-(D36),"不適用"),"")</f>
        <v/>
      </c>
      <c r="E62" s="65" t="str">
        <f aca="false">IF(ISNUMBER(E40),IF(AND(ISNUMBER(E36)),E40-(E36),"不適用"),"")</f>
        <v/>
      </c>
      <c r="F62" s="65" t="str">
        <f aca="false">IF(ISNUMBER(F40),IF(AND(ISNUMBER(F36)),F40-(F36),"不適用"),"")</f>
        <v/>
      </c>
      <c r="G62" s="65" t="str">
        <f aca="false">IF(ISNUMBER(G40),IF(AND(ISNUMBER(G36)),G40-(G36),"不適用"),"")</f>
        <v/>
      </c>
      <c r="H62" s="65" t="str">
        <f aca="false">IF(ISNUMBER(H40),IF(AND(ISNUMBER(H36)),H40-(H36),"不適用"),"")</f>
        <v/>
      </c>
    </row>
    <row r="63" customFormat="false" ht="15" hidden="true" customHeight="false" outlineLevel="1" collapsed="false">
      <c r="A63" s="3" t="s">
        <v>1002</v>
      </c>
      <c r="B63" s="11" t="s">
        <v>71</v>
      </c>
      <c r="C63" s="65" t="str">
        <f aca="false">IF(ISNUMBER(C40),"不適用","")</f>
        <v/>
      </c>
      <c r="D63" s="65" t="str">
        <f aca="false">IF(ISNUMBER(D40),"不適用","")</f>
        <v/>
      </c>
      <c r="E63" s="65" t="str">
        <f aca="false">IF(ISNUMBER(E40),"不適用","")</f>
        <v/>
      </c>
      <c r="F63" s="65" t="str">
        <f aca="false">IF(ISNUMBER(F40),"不適用","")</f>
        <v/>
      </c>
      <c r="G63" s="65" t="str">
        <f aca="false">IF(ISNUMBER(G40),"不適用","")</f>
        <v/>
      </c>
      <c r="H63" s="65" t="str">
        <f aca="false">IF(ISNUMBER(H40),"不適用","")</f>
        <v/>
      </c>
    </row>
    <row r="64" customFormat="false" ht="15" hidden="true" customHeight="false" outlineLevel="1" collapsed="false">
      <c r="A64" s="3" t="s">
        <v>1003</v>
      </c>
      <c r="B64" s="11" t="s">
        <v>59</v>
      </c>
      <c r="C64" s="64" t="s">
        <v>579</v>
      </c>
      <c r="D64" s="64" t="s">
        <v>579</v>
      </c>
      <c r="E64" s="64" t="s">
        <v>579</v>
      </c>
      <c r="F64" s="64" t="s">
        <v>579</v>
      </c>
      <c r="G64" s="64" t="s">
        <v>579</v>
      </c>
      <c r="H64" s="64" t="s">
        <v>579</v>
      </c>
    </row>
    <row r="65" customFormat="false" ht="15" hidden="true" customHeight="false" outlineLevel="1" collapsed="false">
      <c r="A65" s="3" t="s">
        <v>1004</v>
      </c>
      <c r="B65" s="11" t="s">
        <v>59</v>
      </c>
      <c r="C65" s="64" t="s">
        <v>579</v>
      </c>
      <c r="D65" s="64" t="s">
        <v>579</v>
      </c>
      <c r="E65" s="64" t="s">
        <v>579</v>
      </c>
      <c r="F65" s="64" t="s">
        <v>579</v>
      </c>
      <c r="G65" s="64" t="s">
        <v>579</v>
      </c>
      <c r="H65" s="64" t="s">
        <v>579</v>
      </c>
    </row>
    <row r="66" customFormat="false" ht="15" hidden="true" customHeight="false" outlineLevel="1" collapsed="false">
      <c r="A66" s="3" t="s">
        <v>1005</v>
      </c>
      <c r="B66" s="11" t="s">
        <v>59</v>
      </c>
      <c r="C66" s="64" t="str">
        <f aca="false">IF(ISNUMBER(C41),IF(AND(ISNUMBER(C30)),C41-(C30),"不適用"),"")</f>
        <v/>
      </c>
      <c r="D66" s="64" t="str">
        <f aca="false">IF(ISNUMBER(D41),IF(AND(ISNUMBER(D30)),D41-(D30),"不適用"),"")</f>
        <v/>
      </c>
      <c r="E66" s="64" t="str">
        <f aca="false">IF(ISNUMBER(E41),IF(AND(ISNUMBER(E30)),E41-(E30),"不適用"),"")</f>
        <v/>
      </c>
      <c r="F66" s="64" t="str">
        <f aca="false">IF(ISNUMBER(F41),IF(AND(ISNUMBER(F30)),F41-(F30),"不適用"),"")</f>
        <v/>
      </c>
      <c r="G66" s="64" t="str">
        <f aca="false">IF(ISNUMBER(G41),IF(AND(ISNUMBER(G30)),G41-(G30),"不適用"),"")</f>
        <v/>
      </c>
      <c r="H66" s="64" t="str">
        <f aca="false">IF(ISNUMBER(H41),IF(AND(ISNUMBER(H30)),H41-(H30),"不適用"),"")</f>
        <v/>
      </c>
    </row>
    <row r="67" customFormat="false" ht="15" hidden="true" customHeight="false" outlineLevel="1" collapsed="false">
      <c r="A67" s="3" t="s">
        <v>1006</v>
      </c>
      <c r="B67" s="11" t="s">
        <v>59</v>
      </c>
      <c r="C67" s="64" t="str">
        <f aca="false">IF(ISNUMBER(C41),"不適用","")</f>
        <v/>
      </c>
      <c r="D67" s="64" t="str">
        <f aca="false">IF(ISNUMBER(D41),"不適用","")</f>
        <v/>
      </c>
      <c r="E67" s="64" t="str">
        <f aca="false">IF(ISNUMBER(E41),"不適用","")</f>
        <v/>
      </c>
      <c r="F67" s="64" t="str">
        <f aca="false">IF(ISNUMBER(F41),"不適用","")</f>
        <v/>
      </c>
      <c r="G67" s="64" t="str">
        <f aca="false">IF(ISNUMBER(G41),"不適用","")</f>
        <v/>
      </c>
      <c r="H67" s="64" t="str">
        <f aca="false">IF(ISNUMBER(H41),"不適用","")</f>
        <v/>
      </c>
    </row>
    <row r="68" customFormat="false" ht="15" hidden="true" customHeight="false" outlineLevel="1" collapsed="false">
      <c r="A68" s="3" t="s">
        <v>1007</v>
      </c>
      <c r="B68" s="11" t="s">
        <v>59</v>
      </c>
      <c r="C68" s="64" t="str">
        <f aca="false">IF(ISNUMBER(C41),"不適用","")</f>
        <v/>
      </c>
      <c r="D68" s="64" t="str">
        <f aca="false">IF(ISNUMBER(D41),"不適用","")</f>
        <v/>
      </c>
      <c r="E68" s="64" t="str">
        <f aca="false">IF(ISNUMBER(E41),"不適用","")</f>
        <v/>
      </c>
      <c r="F68" s="64" t="str">
        <f aca="false">IF(ISNUMBER(F41),"不適用","")</f>
        <v/>
      </c>
      <c r="G68" s="64" t="str">
        <f aca="false">IF(ISNUMBER(G41),"不適用","")</f>
        <v/>
      </c>
      <c r="H68" s="64" t="str">
        <f aca="false">IF(ISNUMBER(H41),"不適用","")</f>
        <v/>
      </c>
    </row>
    <row r="69" customFormat="false" ht="15" hidden="true" customHeight="false" outlineLevel="1" collapsed="false">
      <c r="A69" s="3" t="s">
        <v>1008</v>
      </c>
      <c r="B69" s="11" t="s">
        <v>71</v>
      </c>
      <c r="C69" s="65" t="s">
        <v>579</v>
      </c>
      <c r="D69" s="65" t="s">
        <v>579</v>
      </c>
      <c r="E69" s="65" t="s">
        <v>579</v>
      </c>
      <c r="F69" s="65" t="s">
        <v>579</v>
      </c>
      <c r="G69" s="65" t="s">
        <v>579</v>
      </c>
      <c r="H69" s="65" t="s">
        <v>579</v>
      </c>
    </row>
    <row r="70" customFormat="false" ht="15" hidden="true" customHeight="false" outlineLevel="1" collapsed="false">
      <c r="A70" s="3" t="s">
        <v>1009</v>
      </c>
      <c r="B70" s="11" t="s">
        <v>71</v>
      </c>
      <c r="C70" s="65" t="s">
        <v>579</v>
      </c>
      <c r="D70" s="65" t="s">
        <v>579</v>
      </c>
      <c r="E70" s="65" t="s">
        <v>579</v>
      </c>
      <c r="F70" s="65" t="s">
        <v>579</v>
      </c>
      <c r="G70" s="65" t="s">
        <v>579</v>
      </c>
      <c r="H70" s="65" t="s">
        <v>579</v>
      </c>
    </row>
    <row r="71" customFormat="false" ht="15" hidden="true" customHeight="false" outlineLevel="1" collapsed="false">
      <c r="A71" s="3" t="s">
        <v>1010</v>
      </c>
      <c r="B71" s="11" t="s">
        <v>71</v>
      </c>
      <c r="C71" s="65" t="str">
        <f aca="false">IF(ISNUMBER(C41),IF(AND(ISNUMBER(C41),ISNUMBER(C38),C38&lt;&gt;0,ISNUMBER(C30),ISNUMBER(C22),C22&lt;&gt;0),C41/C38-C30/C22,"不適用"),"")</f>
        <v/>
      </c>
      <c r="D71" s="65" t="str">
        <f aca="false">IF(ISNUMBER(D41),IF(AND(ISNUMBER(D41),ISNUMBER(D38),D38&lt;&gt;0,ISNUMBER(D30),ISNUMBER(D22),D22&lt;&gt;0),D41/D38-D30/D22,"不適用"),"")</f>
        <v/>
      </c>
      <c r="E71" s="65" t="str">
        <f aca="false">IF(ISNUMBER(E41),IF(AND(ISNUMBER(E41),ISNUMBER(E38),E38&lt;&gt;0,ISNUMBER(E30),ISNUMBER(E22),E22&lt;&gt;0),E41/E38-E30/E22,"不適用"),"")</f>
        <v/>
      </c>
      <c r="F71" s="65" t="str">
        <f aca="false">IF(ISNUMBER(F41),IF(AND(ISNUMBER(F41),ISNUMBER(F38),F38&lt;&gt;0,ISNUMBER(F30),ISNUMBER(F22),F22&lt;&gt;0),F41/F38-F30/F22,"不適用"),"")</f>
        <v/>
      </c>
      <c r="G71" s="65" t="str">
        <f aca="false">IF(ISNUMBER(G41),IF(AND(ISNUMBER(G41),ISNUMBER(G38),G38&lt;&gt;0,ISNUMBER(G30),ISNUMBER(G22),G22&lt;&gt;0),G41/G38-G30/G22,"不適用"),"")</f>
        <v/>
      </c>
      <c r="H71" s="65" t="str">
        <f aca="false">IF(ISNUMBER(H41),IF(AND(ISNUMBER(H41),ISNUMBER(H38),H38&lt;&gt;0,ISNUMBER(H30),ISNUMBER(H22),H22&lt;&gt;0),H41/H38-H30/H22,"不適用"),"")</f>
        <v/>
      </c>
    </row>
    <row r="72" customFormat="false" ht="15" hidden="true" customHeight="false" outlineLevel="1" collapsed="false">
      <c r="A72" s="3" t="s">
        <v>1011</v>
      </c>
      <c r="B72" s="11" t="s">
        <v>71</v>
      </c>
      <c r="C72" s="65" t="str">
        <f aca="false">IF(ISNUMBER(C41),"不適用","")</f>
        <v/>
      </c>
      <c r="D72" s="65" t="str">
        <f aca="false">IF(ISNUMBER(D41),"不適用","")</f>
        <v/>
      </c>
      <c r="E72" s="65" t="str">
        <f aca="false">IF(ISNUMBER(E41),"不適用","")</f>
        <v/>
      </c>
      <c r="F72" s="65" t="str">
        <f aca="false">IF(ISNUMBER(F41),"不適用","")</f>
        <v/>
      </c>
      <c r="G72" s="65" t="str">
        <f aca="false">IF(ISNUMBER(G41),"不適用","")</f>
        <v/>
      </c>
      <c r="H72" s="65" t="str">
        <f aca="false">IF(ISNUMBER(H41),"不適用","")</f>
        <v/>
      </c>
    </row>
    <row r="73" customFormat="false" ht="15" hidden="true" customHeight="false" outlineLevel="1" collapsed="false">
      <c r="A73" s="3" t="s">
        <v>1012</v>
      </c>
      <c r="B73" s="11" t="s">
        <v>71</v>
      </c>
      <c r="C73" s="65" t="str">
        <f aca="false">IF(ISNUMBER(C41),"不適用","")</f>
        <v/>
      </c>
      <c r="D73" s="65" t="str">
        <f aca="false">IF(ISNUMBER(D41),"不適用","")</f>
        <v/>
      </c>
      <c r="E73" s="65" t="str">
        <f aca="false">IF(ISNUMBER(E41),"不適用","")</f>
        <v/>
      </c>
      <c r="F73" s="65" t="str">
        <f aca="false">IF(ISNUMBER(F41),"不適用","")</f>
        <v/>
      </c>
      <c r="G73" s="65" t="str">
        <f aca="false">IF(ISNUMBER(G41),"不適用","")</f>
        <v/>
      </c>
      <c r="H73" s="65" t="str">
        <f aca="false">IF(ISNUMBER(H41),"不適用","")</f>
        <v/>
      </c>
    </row>
    <row r="74" customFormat="false" ht="15" hidden="true" customHeight="false" outlineLevel="1" collapsed="false">
      <c r="A74" s="3" t="s">
        <v>1013</v>
      </c>
      <c r="B74" s="11" t="s">
        <v>42</v>
      </c>
      <c r="C74" s="65" t="s">
        <v>579</v>
      </c>
      <c r="D74" s="65" t="s">
        <v>579</v>
      </c>
      <c r="E74" s="65" t="s">
        <v>579</v>
      </c>
      <c r="F74" s="65" t="s">
        <v>579</v>
      </c>
      <c r="G74" s="65" t="s">
        <v>579</v>
      </c>
      <c r="H74" s="65" t="s">
        <v>579</v>
      </c>
    </row>
    <row r="75" customFormat="false" ht="15" hidden="true" customHeight="false" outlineLevel="1" collapsed="false">
      <c r="A75" s="3" t="s">
        <v>1014</v>
      </c>
      <c r="B75" s="11" t="s">
        <v>42</v>
      </c>
      <c r="C75" s="65" t="s">
        <v>579</v>
      </c>
      <c r="D75" s="65" t="s">
        <v>579</v>
      </c>
      <c r="E75" s="65" t="s">
        <v>579</v>
      </c>
      <c r="F75" s="65" t="s">
        <v>579</v>
      </c>
      <c r="G75" s="65" t="s">
        <v>579</v>
      </c>
      <c r="H75" s="65" t="s">
        <v>579</v>
      </c>
    </row>
    <row r="76" customFormat="false" ht="15" hidden="true" customHeight="false" outlineLevel="1" collapsed="false">
      <c r="A76" s="3" t="s">
        <v>1015</v>
      </c>
      <c r="B76" s="11" t="s">
        <v>42</v>
      </c>
      <c r="C76" s="65" t="str">
        <f aca="false">IF(ISNUMBER(C42),IF(AND(ISNUMBER(C33),C33&lt;&gt;0),C42/(C33)-1,"不適用"),"")</f>
        <v/>
      </c>
      <c r="D76" s="65" t="str">
        <f aca="false">IF(ISNUMBER(D42),IF(AND(ISNUMBER(D33),D33&lt;&gt;0),D42/(D33)-1,"不適用"),"")</f>
        <v/>
      </c>
      <c r="E76" s="65" t="str">
        <f aca="false">IF(ISNUMBER(E42),IF(AND(ISNUMBER(E33),E33&lt;&gt;0),E42/(E33)-1,"不適用"),"")</f>
        <v/>
      </c>
      <c r="F76" s="65" t="str">
        <f aca="false">IF(ISNUMBER(F42),IF(AND(ISNUMBER(F33),F33&lt;&gt;0),F42/(F33)-1,"不適用"),"")</f>
        <v/>
      </c>
      <c r="G76" s="65" t="str">
        <f aca="false">IF(ISNUMBER(G42),IF(AND(ISNUMBER(G33),G33&lt;&gt;0),G42/(G33)-1,"不適用"),"")</f>
        <v/>
      </c>
      <c r="H76" s="65" t="str">
        <f aca="false">IF(ISNUMBER(H42),IF(AND(ISNUMBER(H33),H33&lt;&gt;0),H42/(H33)-1,"不適用"),"")</f>
        <v/>
      </c>
    </row>
    <row r="77" customFormat="false" ht="15" hidden="true" customHeight="false" outlineLevel="1" collapsed="false">
      <c r="A77" s="3" t="s">
        <v>1016</v>
      </c>
      <c r="B77" s="11" t="s">
        <v>42</v>
      </c>
      <c r="C77" s="65" t="str">
        <f aca="false">IF(ISNUMBER(C42),"不適用","")</f>
        <v/>
      </c>
      <c r="D77" s="65" t="str">
        <f aca="false">IF(ISNUMBER(D42),"不適用","")</f>
        <v/>
      </c>
      <c r="E77" s="65" t="str">
        <f aca="false">IF(ISNUMBER(E42),"不適用","")</f>
        <v/>
      </c>
      <c r="F77" s="65" t="str">
        <f aca="false">IF(ISNUMBER(F42),"不適用","")</f>
        <v/>
      </c>
      <c r="G77" s="65" t="str">
        <f aca="false">IF(ISNUMBER(G42),"不適用","")</f>
        <v/>
      </c>
      <c r="H77" s="65" t="str">
        <f aca="false">IF(ISNUMBER(H42),"不適用","")</f>
        <v/>
      </c>
    </row>
    <row r="78" customFormat="false" ht="15" hidden="true" customHeight="false" outlineLevel="1" collapsed="false">
      <c r="A78" s="3" t="s">
        <v>1017</v>
      </c>
      <c r="B78" s="11" t="s">
        <v>42</v>
      </c>
      <c r="C78" s="65" t="str">
        <f aca="false">IF(ISNUMBER(C42),"不適用","")</f>
        <v/>
      </c>
      <c r="D78" s="65" t="str">
        <f aca="false">IF(ISNUMBER(D42),"不適用","")</f>
        <v/>
      </c>
      <c r="E78" s="65" t="str">
        <f aca="false">IF(ISNUMBER(E42),"不適用","")</f>
        <v/>
      </c>
      <c r="F78" s="65" t="str">
        <f aca="false">IF(ISNUMBER(F42),"不適用","")</f>
        <v/>
      </c>
      <c r="G78" s="65" t="str">
        <f aca="false">IF(ISNUMBER(G42),"不適用","")</f>
        <v/>
      </c>
      <c r="H78" s="65" t="str">
        <f aca="false">IF(ISNUMBER(H42),"不適用","")</f>
        <v/>
      </c>
    </row>
    <row r="79" customFormat="false" ht="15" hidden="true" customHeight="false" outlineLevel="1" collapsed="false">
      <c r="A79" s="3" t="s">
        <v>1018</v>
      </c>
      <c r="B79" s="11" t="s">
        <v>152</v>
      </c>
      <c r="C79" s="66" t="s">
        <v>579</v>
      </c>
      <c r="D79" s="66" t="s">
        <v>579</v>
      </c>
      <c r="E79" s="66" t="s">
        <v>579</v>
      </c>
      <c r="F79" s="66" t="s">
        <v>579</v>
      </c>
      <c r="G79" s="66" t="s">
        <v>579</v>
      </c>
      <c r="H79" s="66" t="s">
        <v>579</v>
      </c>
    </row>
    <row r="80" customFormat="false" ht="15" hidden="true" customHeight="false" outlineLevel="1" collapsed="false">
      <c r="A80" s="3" t="s">
        <v>1019</v>
      </c>
      <c r="B80" s="11" t="s">
        <v>152</v>
      </c>
      <c r="C80" s="66" t="s">
        <v>579</v>
      </c>
      <c r="D80" s="66" t="s">
        <v>579</v>
      </c>
      <c r="E80" s="66" t="s">
        <v>579</v>
      </c>
      <c r="F80" s="66" t="s">
        <v>579</v>
      </c>
      <c r="G80" s="66" t="s">
        <v>579</v>
      </c>
      <c r="H80" s="66" t="s">
        <v>579</v>
      </c>
    </row>
    <row r="81" customFormat="false" ht="15" hidden="true" customHeight="false" outlineLevel="1" collapsed="false">
      <c r="A81" s="3" t="s">
        <v>1020</v>
      </c>
      <c r="B81" s="11" t="s">
        <v>152</v>
      </c>
      <c r="C81" s="66" t="str">
        <f aca="false">IF(ISNUMBER(C43),IF(AND(ISNUMBER(C19)),C43-(C19),"不適用"),"")</f>
        <v/>
      </c>
      <c r="D81" s="66" t="str">
        <f aca="false">IF(ISNUMBER(D43),IF(AND(ISNUMBER(D19)),D43-(D19),"不適用"),"")</f>
        <v/>
      </c>
      <c r="E81" s="66" t="str">
        <f aca="false">IF(ISNUMBER(E43),IF(AND(ISNUMBER(E19)),E43-(E19),"不適用"),"")</f>
        <v/>
      </c>
      <c r="F81" s="66" t="str">
        <f aca="false">IF(ISNUMBER(F43),IF(AND(ISNUMBER(F19)),F43-(F19),"不適用"),"")</f>
        <v/>
      </c>
      <c r="G81" s="66" t="str">
        <f aca="false">IF(ISNUMBER(G43),IF(AND(ISNUMBER(G19)),G43-(G19),"不適用"),"")</f>
        <v/>
      </c>
      <c r="H81" s="66" t="str">
        <f aca="false">IF(ISNUMBER(H43),IF(AND(ISNUMBER(H19)),H43-(H19),"不適用"),"")</f>
        <v/>
      </c>
    </row>
    <row r="82" customFormat="false" ht="15" hidden="true" customHeight="false" outlineLevel="1" collapsed="false">
      <c r="A82" s="3" t="s">
        <v>1021</v>
      </c>
      <c r="B82" s="11" t="s">
        <v>152</v>
      </c>
      <c r="C82" s="66" t="str">
        <f aca="false">IF(ISNUMBER(C43),"不適用","")</f>
        <v/>
      </c>
      <c r="D82" s="66" t="str">
        <f aca="false">IF(ISNUMBER(D43),"不適用","")</f>
        <v/>
      </c>
      <c r="E82" s="66" t="str">
        <f aca="false">IF(ISNUMBER(E43),"不適用","")</f>
        <v/>
      </c>
      <c r="F82" s="66" t="str">
        <f aca="false">IF(ISNUMBER(F43),"不適用","")</f>
        <v/>
      </c>
      <c r="G82" s="66" t="str">
        <f aca="false">IF(ISNUMBER(G43),"不適用","")</f>
        <v/>
      </c>
      <c r="H82" s="66" t="str">
        <f aca="false">IF(ISNUMBER(H43),"不適用","")</f>
        <v/>
      </c>
    </row>
    <row r="83" customFormat="false" ht="15" hidden="true" customHeight="false" outlineLevel="1" collapsed="false">
      <c r="A83" s="3" t="s">
        <v>1022</v>
      </c>
      <c r="B83" s="11" t="s">
        <v>152</v>
      </c>
      <c r="C83" s="66" t="str">
        <f aca="false">IF(ISNUMBER(C43),"不適用","")</f>
        <v/>
      </c>
      <c r="D83" s="66" t="str">
        <f aca="false">IF(ISNUMBER(D43),"不適用","")</f>
        <v/>
      </c>
      <c r="E83" s="66" t="str">
        <f aca="false">IF(ISNUMBER(E43),"不適用","")</f>
        <v/>
      </c>
      <c r="F83" s="66" t="str">
        <f aca="false">IF(ISNUMBER(F43),"不適用","")</f>
        <v/>
      </c>
      <c r="G83" s="66" t="str">
        <f aca="false">IF(ISNUMBER(G43),"不適用","")</f>
        <v/>
      </c>
      <c r="H83" s="66" t="str">
        <f aca="false">IF(ISNUMBER(H43),"不適用","")</f>
        <v/>
      </c>
    </row>
    <row r="84" customFormat="false" ht="15" hidden="true" customHeight="false" outlineLevel="1" collapsed="false">
      <c r="A84" s="3" t="s">
        <v>1023</v>
      </c>
      <c r="B84" s="11" t="s">
        <v>59</v>
      </c>
      <c r="C84" s="64" t="str">
        <f aca="false">IF(COUNT(C34,D34,E34)=3,C34+D34+E34,"不適用")</f>
        <v>不適用</v>
      </c>
      <c r="D84" s="64" t="str">
        <f aca="false">IF(COUNT(C34,D34,E34)=3,C34+D34+E34,"不適用")</f>
        <v>不適用</v>
      </c>
      <c r="E84" s="64" t="str">
        <f aca="false">IF(COUNT(C34,D34,E34)=3,C34+D34+E34,"不適用")</f>
        <v>不適用</v>
      </c>
      <c r="F84" s="64" t="str">
        <f aca="false">IF(COUNT(F34,G34,H34)=3,F34+G34+H34,"不適用")</f>
        <v>不適用</v>
      </c>
      <c r="G84" s="64" t="str">
        <f aca="false">IF(COUNT(F34,G34,H34)=3,F34+G34+H34,"不適用")</f>
        <v>不適用</v>
      </c>
      <c r="H84" s="64" t="str">
        <f aca="false">IF(COUNT(F34,G34,H34)=3,F34+G34+H34,"不適用")</f>
        <v>不適用</v>
      </c>
      <c r="J84" s="6" t="s">
        <v>1024</v>
      </c>
    </row>
    <row r="85" customFormat="false" ht="15" hidden="true" customHeight="false" outlineLevel="1" collapsed="false">
      <c r="A85" s="3" t="s">
        <v>1025</v>
      </c>
      <c r="B85" s="11" t="s">
        <v>59</v>
      </c>
      <c r="C85" s="64" t="str">
        <f aca="false">IF(AND(ISNUMBER(C84),C84&lt;&gt;0,ISNUMBER(C34),ISNUMBER(C22)),(損益!C9-C84)*(C34)/C84,"不適用")</f>
        <v>不適用</v>
      </c>
      <c r="D85" s="64" t="str">
        <f aca="false">IF(AND(ISNUMBER(D84),D84&lt;&gt;0,ISNUMBER(D34),ISNUMBER(D22)),(損益!C9-D84)*(D34)/D84,"不適用")</f>
        <v>不適用</v>
      </c>
      <c r="E85" s="64" t="str">
        <f aca="false">IF(AND(ISNUMBER(E84),E84&lt;&gt;0,ISNUMBER(E34),ISNUMBER(E22)),(損益!C9-E84)*(E34)/E84,"不適用")</f>
        <v>不適用</v>
      </c>
      <c r="F85" s="64" t="str">
        <f aca="false">IF(AND(ISNUMBER(F84),F84&lt;&gt;0,ISNUMBER(F34),ISNUMBER(F22)),(損益!D9-F84)*(F34)/F84,"不適用")</f>
        <v>不適用</v>
      </c>
      <c r="G85" s="64" t="str">
        <f aca="false">IF(AND(ISNUMBER(G84),G84&lt;&gt;0,ISNUMBER(G34),ISNUMBER(G22)),(損益!D9-G84)*(G34)/G84,"不適用")</f>
        <v>不適用</v>
      </c>
      <c r="H85" s="64" t="str">
        <f aca="false">IF(AND(ISNUMBER(H84),H84&lt;&gt;0,ISNUMBER(H34),ISNUMBER(H22)),(損益!D9-H84)*(H34)/H84,"不適用")</f>
        <v>不適用</v>
      </c>
      <c r="J85" s="11" t="s">
        <v>1026</v>
      </c>
    </row>
    <row r="86" customFormat="false" ht="15" hidden="true" customHeight="false" outlineLevel="1" collapsed="false">
      <c r="A86" s="3" t="s">
        <v>1027</v>
      </c>
      <c r="B86" s="11" t="s">
        <v>59</v>
      </c>
      <c r="C86" s="64" t="str">
        <f aca="false">IF(AND(ISNUMBER(C84),C84&lt;&gt;0,ISNUMBER(C34),ISNUMBER(C22)),(C22/損益!C9-(C34)/C84)*損益!C9,"不適用")</f>
        <v>不適用</v>
      </c>
      <c r="D86" s="64" t="str">
        <f aca="false">IF(AND(ISNUMBER(D84),D84&lt;&gt;0,ISNUMBER(D34),ISNUMBER(D22)),(D22/損益!C9-(D34)/D84)*損益!C9,"不適用")</f>
        <v>不適用</v>
      </c>
      <c r="E86" s="64" t="str">
        <f aca="false">IF(AND(ISNUMBER(E84),E84&lt;&gt;0,ISNUMBER(E34),ISNUMBER(E22)),(E22/損益!C9-(E34)/E84)*損益!C9,"不適用")</f>
        <v>不適用</v>
      </c>
      <c r="F86" s="64" t="str">
        <f aca="false">IF(AND(ISNUMBER(F84),F84&lt;&gt;0,ISNUMBER(F34),ISNUMBER(F22)),(F22/損益!D9-(F34)/F84)*損益!D9,"不適用")</f>
        <v>不適用</v>
      </c>
      <c r="G86" s="64" t="str">
        <f aca="false">IF(AND(ISNUMBER(G84),G84&lt;&gt;0,ISNUMBER(G34),ISNUMBER(G22)),(G22/損益!D9-(G34)/G84)*損益!D9,"不適用")</f>
        <v>不適用</v>
      </c>
      <c r="H86" s="64" t="str">
        <f aca="false">IF(AND(ISNUMBER(H84),H84&lt;&gt;0,ISNUMBER(H34),ISNUMBER(H22)),(H22/損益!D9-(H34)/H84)*損益!D9,"不適用")</f>
        <v>不適用</v>
      </c>
      <c r="J86" s="11" t="s">
        <v>1028</v>
      </c>
    </row>
    <row r="87" customFormat="false" ht="15" hidden="true" customHeight="false" outlineLevel="1" collapsed="false">
      <c r="A87" s="3" t="s">
        <v>1029</v>
      </c>
      <c r="B87" s="11" t="s">
        <v>59</v>
      </c>
      <c r="C87" s="64" t="n">
        <f aca="false">(輸入與假設!$C$352+輸入與假設!$D$352)/2-輸入與假設!$E$352</f>
        <v>70.655</v>
      </c>
      <c r="D87" s="64" t="n">
        <f aca="false">(輸入與假設!$C$352+輸入與假設!$D$352)/2-輸入與假設!$E$352</f>
        <v>70.655</v>
      </c>
      <c r="E87" s="64" t="n">
        <f aca="false">(輸入與假設!$C$352+輸入與假設!$D$352)/2-輸入與假設!$E$352</f>
        <v>70.655</v>
      </c>
      <c r="F87" s="64" t="s">
        <v>579</v>
      </c>
      <c r="G87" s="64" t="s">
        <v>579</v>
      </c>
      <c r="H87" s="64" t="s">
        <v>579</v>
      </c>
      <c r="J87" s="6" t="s">
        <v>1030</v>
      </c>
    </row>
    <row r="88" customFormat="false" ht="15" hidden="true" customHeight="false" outlineLevel="1" collapsed="false">
      <c r="A88" s="3" t="s">
        <v>1031</v>
      </c>
      <c r="B88" s="11" t="s">
        <v>59</v>
      </c>
      <c r="C88" s="64" t="n">
        <f aca="false">IF(AND(ISNUMBER(C87),C87&lt;&gt;0,ISNUMBER(((C31+C32)/2)),ISNUMBER(C22)),(損益!C9-C87)*(((C31+C32)/2))/C87,"不適用")</f>
        <v>-2.08464173180582</v>
      </c>
      <c r="D88" s="64" t="str">
        <f aca="false">IF(AND(ISNUMBER(D87),D87&lt;&gt;0,ISNUMBER(((D31+D32)/2)),ISNUMBER(D22)),(損益!C9-D87)*(((D31+D32)/2))/D87,"不適用")</f>
        <v>不適用</v>
      </c>
      <c r="E88" s="64" t="str">
        <f aca="false">IF(AND(ISNUMBER(E87),E87&lt;&gt;0,ISNUMBER(((E31+E32)/2)),ISNUMBER(E22)),(損益!C9-E87)*(((E31+E32)/2))/E87,"不適用")</f>
        <v>不適用</v>
      </c>
      <c r="F88" s="64" t="str">
        <f aca="false">IF(AND(ISNUMBER(F87),F87&lt;&gt;0,ISNUMBER(((F31+F32)/2)),ISNUMBER(F22)),(損益!D9-F87)*(((F31+F32)/2))/F87,"不適用")</f>
        <v>不適用</v>
      </c>
      <c r="G88" s="64" t="str">
        <f aca="false">IF(AND(ISNUMBER(G87),G87&lt;&gt;0,ISNUMBER(((G31+G32)/2)),ISNUMBER(G22)),(損益!D9-G87)*(((G31+G32)/2))/G87,"不適用")</f>
        <v>不適用</v>
      </c>
      <c r="H88" s="64" t="str">
        <f aca="false">IF(AND(ISNUMBER(H87),H87&lt;&gt;0,ISNUMBER(((H31+H32)/2)),ISNUMBER(H22)),(損益!D9-H87)*(((H31+H32)/2))/H87,"不適用")</f>
        <v>不適用</v>
      </c>
      <c r="J88" s="11" t="s">
        <v>1026</v>
      </c>
    </row>
    <row r="89" customFormat="false" ht="15" hidden="true" customHeight="false" outlineLevel="1" collapsed="false">
      <c r="A89" s="3" t="s">
        <v>1032</v>
      </c>
      <c r="B89" s="11" t="s">
        <v>59</v>
      </c>
      <c r="C89" s="64" t="n">
        <f aca="false">IF(AND(ISNUMBER(C87),C87&lt;&gt;0,ISNUMBER(((C31+C32)/2)),ISNUMBER(C22)),(C22/損益!C9-(((C31+C32)/2))/C87)*損益!C9,"不適用")</f>
        <v>1.17834076969147</v>
      </c>
      <c r="D89" s="64" t="str">
        <f aca="false">IF(AND(ISNUMBER(D87),D87&lt;&gt;0,ISNUMBER(((D31+D32)/2)),ISNUMBER(D22)),(D22/損益!C9-(((D31+D32)/2))/D87)*損益!C9,"不適用")</f>
        <v>不適用</v>
      </c>
      <c r="E89" s="64" t="str">
        <f aca="false">IF(AND(ISNUMBER(E87),E87&lt;&gt;0,ISNUMBER(((E31+E32)/2)),ISNUMBER(E22)),(E22/損益!C9-(((E31+E32)/2))/E87)*損益!C9,"不適用")</f>
        <v>不適用</v>
      </c>
      <c r="F89" s="64" t="str">
        <f aca="false">IF(AND(ISNUMBER(F87),F87&lt;&gt;0,ISNUMBER(((F31+F32)/2)),ISNUMBER(F22)),(F22/損益!D9-(((F31+F32)/2))/F87)*損益!D9,"不適用")</f>
        <v>不適用</v>
      </c>
      <c r="G89" s="64" t="str">
        <f aca="false">IF(AND(ISNUMBER(G87),G87&lt;&gt;0,ISNUMBER(((G31+G32)/2)),ISNUMBER(G22)),(G22/損益!D9-(((G31+G32)/2))/G87)*損益!D9,"不適用")</f>
        <v>不適用</v>
      </c>
      <c r="H89" s="64" t="str">
        <f aca="false">IF(AND(ISNUMBER(H87),H87&lt;&gt;0,ISNUMBER(((H31+H32)/2)),ISNUMBER(H22)),(H22/損益!D9-(((H31+H32)/2))/H87)*損益!D9,"不適用")</f>
        <v>不適用</v>
      </c>
      <c r="J89" s="11" t="s">
        <v>1028</v>
      </c>
    </row>
    <row r="90" customFormat="false" ht="15" hidden="true" customHeight="false" outlineLevel="1" collapsed="false">
      <c r="A90" s="3" t="s">
        <v>1033</v>
      </c>
      <c r="C90" s="45" t="str">
        <f aca="false">IF(ISNUMBER(C44),IF(ABS(C44)&gt;輸入與假設!$C$333,IF(ISNUMBER(C85),IF(ABS(C86)&gt;ABS(C85),"營收 vs 共識 "&amp;IF(C44&lt;0,"−","+")&amp;TEXT(ABS(C44)*100,"#,##0.0")&amp;"%"&amp;"：拆法（分配 "&amp;IF(C86&lt;0,"−","+")&amp;IF(ABS(C86)&lt;0,"−","")&amp;"$"&amp;TEXT(ABS(ABS(C86)),"#,##0.000")&amp;"bn"&amp;"（Q2 FY27 占 2Q–4Q27 "&amp;TEXT((C22/損益!C9)*100,"#,##0.0")&amp;"%"&amp;"，共識合計 "&amp;TEXT(((C34)/C84)*100,"#,##0.0")&amp;"%"&amp;"）；水準 "&amp;IF(C85&lt;0,"−","+")&amp;IF(ABS(C85)&lt;0,"−","")&amp;"$"&amp;TEXT(ABS(ABS(C85)),"#,##0.000")&amp;"bn"&amp;"）","營收 vs 共識 "&amp;IF(C44&lt;0,"−","+")&amp;TEXT(ABS(C44)*100,"#,##0.0")&amp;"%"&amp;"：觀點（水準 "&amp;IF(C85&lt;0,"−","+")&amp;IF(ABS(C85)&lt;0,"−","")&amp;"$"&amp;TEXT(ABS(ABS(C85)),"#,##0.000")&amp;"bn"&amp;"（2Q–4Q27 模型 "&amp;IF(損益!C9&lt;0,"−","")&amp;"$"&amp;TEXT(ABS(損益!C9),"#,##0.000")&amp;"bn"&amp;"，共識合計 "&amp;IF(C84&lt;0,"−","")&amp;"$"&amp;TEXT(ABS(C84),"#,##0.000")&amp;"bn"&amp;"）；分配 "&amp;IF(C86&lt;0,"−","+")&amp;IF(ABS(C86)&lt;0,"−","")&amp;"$"&amp;TEXT(ABS(ABS(C86)),"#,##0.000")&amp;"bn"&amp;"；"&amp;"OCI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"&amp;IF(C44&lt;0,"−","+")&amp;TEXT(ABS(C44)*100,"#,##0.0")&amp;"%"&amp;"：觀點（"&amp;"OCI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D90" s="45" t="str">
        <f aca="false">IF(ISNUMBER(D44),IF(ABS(D44)&gt;輸入與假設!$C$333,IF(ISNUMBER(D85),IF(ABS(D86)&gt;ABS(D85),"營收 vs 共識 "&amp;IF(D44&lt;0,"−","+")&amp;TEXT(ABS(D44)*100,"#,##0.0")&amp;"%"&amp;"：拆法（分配 "&amp;IF(D86&lt;0,"−","+")&amp;IF(ABS(D86)&lt;0,"−","")&amp;"$"&amp;TEXT(ABS(ABS(D86)),"#,##0.000")&amp;"bn"&amp;"（Q3 FY27 占 2Q–4Q27 "&amp;TEXT((D22/損益!C9)*100,"#,##0.0")&amp;"%"&amp;"，共識合計 "&amp;TEXT(((D34)/D84)*100,"#,##0.0")&amp;"%"&amp;"）；水準 "&amp;IF(D85&lt;0,"−","+")&amp;IF(ABS(D85)&lt;0,"−","")&amp;"$"&amp;TEXT(ABS(ABS(D85)),"#,##0.000")&amp;"bn"&amp;"）","營收 vs 共識 "&amp;IF(D44&lt;0,"−","+")&amp;TEXT(ABS(D44)*100,"#,##0.0")&amp;"%"&amp;"：觀點（水準 "&amp;IF(D85&lt;0,"−","+")&amp;IF(ABS(D85)&lt;0,"−","")&amp;"$"&amp;TEXT(ABS(ABS(D85)),"#,##0.000")&amp;"bn"&amp;"（2Q–4Q27 模型 "&amp;IF(損益!C9&lt;0,"−","")&amp;"$"&amp;TEXT(ABS(損益!C9),"#,##0.000")&amp;"bn"&amp;"，共識合計 "&amp;IF(D84&lt;0,"−","")&amp;"$"&amp;TEXT(ABS(D84),"#,##0.000")&amp;"bn"&amp;"）；分配 "&amp;IF(D86&lt;0,"−","+")&amp;IF(ABS(D86)&lt;0,"−","")&amp;"$"&amp;TEXT(ABS(ABS(D86)),"#,##0.000")&amp;"bn"&amp;"；"&amp;"OCI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"&amp;IF(D44&lt;0,"−","+")&amp;TEXT(ABS(D44)*100,"#,##0.0")&amp;"%"&amp;"：觀點（"&amp;"OCI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>營收 vs 共識 −9.2%：觀點（OCI 營收＝在役 MW × 每 MW 年收入（Tokenomics 正向推導），期初可計費 MW 以 Q1 實際 OCI 年化校準；傳統事業四線依近四季年增率；共識未揭露 MW 與單價假設）</v>
      </c>
      <c r="E90" s="45" t="str">
        <f aca="false">IF(ISNUMBER(E44),IF(ABS(E44)&gt;輸入與假設!$C$333,IF(ISNUMBER(E85),IF(ABS(E86)&gt;ABS(E85),"營收 vs 共識 "&amp;IF(E44&lt;0,"−","+")&amp;TEXT(ABS(E44)*100,"#,##0.0")&amp;"%"&amp;"：拆法（分配 "&amp;IF(E86&lt;0,"−","+")&amp;IF(ABS(E86)&lt;0,"−","")&amp;"$"&amp;TEXT(ABS(ABS(E86)),"#,##0.000")&amp;"bn"&amp;"（Q4 FY27 占 2Q–4Q27 "&amp;TEXT((E22/損益!C9)*100,"#,##0.0")&amp;"%"&amp;"，共識合計 "&amp;TEXT(((E34)/E84)*100,"#,##0.0")&amp;"%"&amp;"）；水準 "&amp;IF(E85&lt;0,"−","+")&amp;IF(ABS(E85)&lt;0,"−","")&amp;"$"&amp;TEXT(ABS(ABS(E85)),"#,##0.000")&amp;"bn"&amp;"）","營收 vs 共識 "&amp;IF(E44&lt;0,"−","+")&amp;TEXT(ABS(E44)*100,"#,##0.0")&amp;"%"&amp;"：觀點（水準 "&amp;IF(E85&lt;0,"−","+")&amp;IF(ABS(E85)&lt;0,"−","")&amp;"$"&amp;TEXT(ABS(ABS(E85)),"#,##0.000")&amp;"bn"&amp;"（2Q–4Q27 模型 "&amp;IF(損益!C9&lt;0,"−","")&amp;"$"&amp;TEXT(ABS(損益!C9),"#,##0.000")&amp;"bn"&amp;"，共識合計 "&amp;IF(E84&lt;0,"−","")&amp;"$"&amp;TEXT(ABS(E84),"#,##0.000")&amp;"bn"&amp;"）；分配 "&amp;IF(E86&lt;0,"−","+")&amp;IF(ABS(E86)&lt;0,"−","")&amp;"$"&amp;TEXT(ABS(ABS(E86)),"#,##0.000")&amp;"bn"&amp;"；"&amp;"OCI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"&amp;IF(E44&lt;0,"−","+")&amp;TEXT(ABS(E44)*100,"#,##0.0")&amp;"%"&amp;"：觀點（"&amp;"OCI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F90" s="45" t="str">
        <f aca="false">IF(ISNUMBER(F44),IF(ABS(F44)&gt;輸入與假設!$C$333,IF(ISNUMBER(F85),IF(ABS(F86)&gt;ABS(F85),"營收 vs 共識 "&amp;IF(F44&lt;0,"−","+")&amp;TEXT(ABS(F44)*100,"#,##0.0")&amp;"%"&amp;"：拆法（分配 "&amp;IF(F86&lt;0,"−","+")&amp;IF(ABS(F86)&lt;0,"−","")&amp;"$"&amp;TEXT(ABS(ABS(F86)),"#,##0.000")&amp;"bn"&amp;"（Q1 FY28 占 FY28 "&amp;TEXT((F22/損益!D9)*100,"#,##0.0")&amp;"%"&amp;"，共識合計 "&amp;TEXT(((F34)/F84)*100,"#,##0.0")&amp;"%"&amp;"）；水準 "&amp;IF(F85&lt;0,"−","+")&amp;IF(ABS(F85)&lt;0,"−","")&amp;"$"&amp;TEXT(ABS(ABS(F85)),"#,##0.000")&amp;"bn"&amp;"）","營收 vs 共識 "&amp;IF(F44&lt;0,"−","+")&amp;TEXT(ABS(F44)*100,"#,##0.0")&amp;"%"&amp;"：觀點（水準 "&amp;IF(F85&lt;0,"−","+")&amp;IF(ABS(F85)&lt;0,"−","")&amp;"$"&amp;TEXT(ABS(ABS(F85)),"#,##0.000")&amp;"bn"&amp;"（FY28 模型 "&amp;IF(損益!D9&lt;0,"−","")&amp;"$"&amp;TEXT(ABS(損益!D9),"#,##0.000")&amp;"bn"&amp;"，共識合計 "&amp;IF(F84&lt;0,"−","")&amp;"$"&amp;TEXT(ABS(F84),"#,##0.000")&amp;"bn"&amp;"）；分配 "&amp;IF(F86&lt;0,"−","+")&amp;IF(ABS(F86)&lt;0,"−","")&amp;"$"&amp;TEXT(ABS(ABS(F86)),"#,##0.000")&amp;"bn"&amp;"；"&amp;"OCI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"&amp;IF(F44&lt;0,"−","+")&amp;TEXT(ABS(F44)*100,"#,##0.0")&amp;"%"&amp;"：觀點（"&amp;"OCI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G90" s="45" t="str">
        <f aca="false">IF(ISNUMBER(G44),IF(ABS(G44)&gt;輸入與假設!$C$333,IF(ISNUMBER(G85),IF(ABS(G86)&gt;ABS(G85),"營收 vs 共識 "&amp;IF(G44&lt;0,"−","+")&amp;TEXT(ABS(G44)*100,"#,##0.0")&amp;"%"&amp;"：拆法（分配 "&amp;IF(G86&lt;0,"−","+")&amp;IF(ABS(G86)&lt;0,"−","")&amp;"$"&amp;TEXT(ABS(ABS(G86)),"#,##0.000")&amp;"bn"&amp;"（Q2 FY28 占 FY28 "&amp;TEXT((G22/損益!D9)*100,"#,##0.0")&amp;"%"&amp;"，共識合計 "&amp;TEXT(((G34)/G84)*100,"#,##0.0")&amp;"%"&amp;"）；水準 "&amp;IF(G85&lt;0,"−","+")&amp;IF(ABS(G85)&lt;0,"−","")&amp;"$"&amp;TEXT(ABS(ABS(G85)),"#,##0.000")&amp;"bn"&amp;"）","營收 vs 共識 "&amp;IF(G44&lt;0,"−","+")&amp;TEXT(ABS(G44)*100,"#,##0.0")&amp;"%"&amp;"：觀點（水準 "&amp;IF(G85&lt;0,"−","+")&amp;IF(ABS(G85)&lt;0,"−","")&amp;"$"&amp;TEXT(ABS(ABS(G85)),"#,##0.000")&amp;"bn"&amp;"（FY28 模型 "&amp;IF(損益!D9&lt;0,"−","")&amp;"$"&amp;TEXT(ABS(損益!D9),"#,##0.000")&amp;"bn"&amp;"，共識合計 "&amp;IF(G84&lt;0,"−","")&amp;"$"&amp;TEXT(ABS(G84),"#,##0.000")&amp;"bn"&amp;"）；分配 "&amp;IF(G86&lt;0,"−","+")&amp;IF(ABS(G86)&lt;0,"−","")&amp;"$"&amp;TEXT(ABS(ABS(G86)),"#,##0.000")&amp;"bn"&amp;"；"&amp;"OCI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"&amp;IF(G44&lt;0,"−","+")&amp;TEXT(ABS(G44)*100,"#,##0.0")&amp;"%"&amp;"：觀點（"&amp;"OCI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H90" s="45" t="str">
        <f aca="false">IF(ISNUMBER(H44),IF(ABS(H44)&gt;輸入與假設!$C$333,IF(ISNUMBER(H85),IF(ABS(H86)&gt;ABS(H85),"營收 vs 共識 "&amp;IF(H44&lt;0,"−","+")&amp;TEXT(ABS(H44)*100,"#,##0.0")&amp;"%"&amp;"：拆法（分配 "&amp;IF(H86&lt;0,"−","+")&amp;IF(ABS(H86)&lt;0,"−","")&amp;"$"&amp;TEXT(ABS(ABS(H86)),"#,##0.000")&amp;"bn"&amp;"（Q3 FY28 占 FY28 "&amp;TEXT((H22/損益!D9)*100,"#,##0.0")&amp;"%"&amp;"，共識合計 "&amp;TEXT(((H34)/H84)*100,"#,##0.0")&amp;"%"&amp;"）；水準 "&amp;IF(H85&lt;0,"−","+")&amp;IF(ABS(H85)&lt;0,"−","")&amp;"$"&amp;TEXT(ABS(ABS(H85)),"#,##0.000")&amp;"bn"&amp;"）","營收 vs 共識 "&amp;IF(H44&lt;0,"−","+")&amp;TEXT(ABS(H44)*100,"#,##0.0")&amp;"%"&amp;"：觀點（水準 "&amp;IF(H85&lt;0,"−","+")&amp;IF(ABS(H85)&lt;0,"−","")&amp;"$"&amp;TEXT(ABS(ABS(H85)),"#,##0.000")&amp;"bn"&amp;"（FY28 模型 "&amp;IF(損益!D9&lt;0,"−","")&amp;"$"&amp;TEXT(ABS(損益!D9),"#,##0.000")&amp;"bn"&amp;"，共識合計 "&amp;IF(H84&lt;0,"−","")&amp;"$"&amp;TEXT(ABS(H84),"#,##0.000")&amp;"bn"&amp;"）；分配 "&amp;IF(H86&lt;0,"−","+")&amp;IF(ABS(H86)&lt;0,"−","")&amp;"$"&amp;TEXT(ABS(ABS(H86)),"#,##0.000")&amp;"bn"&amp;"；"&amp;"OCI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"&amp;IF(H44&lt;0,"−","+")&amp;TEXT(ABS(H44)*100,"#,##0.0")&amp;"%"&amp;"：觀點（"&amp;"OCI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</row>
    <row r="91" customFormat="false" ht="15" hidden="true" customHeight="false" outlineLevel="1" collapsed="false">
      <c r="A91" s="3" t="s">
        <v>1034</v>
      </c>
      <c r="C91" s="45" t="str">
        <f aca="false">IF(ISNUMBER(C44),IF(ABS(C44)&gt;輸入與假設!$C$333,IF(ISNUMBER(C85),IF(ABS(C86)&gt;ABS(C85),"拆法","觀點"),"觀點"),""),"")</f>
        <v/>
      </c>
      <c r="D91" s="45" t="str">
        <f aca="false">IF(ISNUMBER(D44),IF(ABS(D44)&gt;輸入與假設!$C$333,IF(ISNUMBER(D85),IF(ABS(D86)&gt;ABS(D85),"拆法","觀點"),"觀點"),""),"")</f>
        <v>觀點</v>
      </c>
      <c r="E91" s="45" t="str">
        <f aca="false">IF(ISNUMBER(E44),IF(ABS(E44)&gt;輸入與假設!$C$333,IF(ISNUMBER(E85),IF(ABS(E86)&gt;ABS(E85),"拆法","觀點"),"觀點"),""),"")</f>
        <v/>
      </c>
      <c r="F91" s="45" t="str">
        <f aca="false">IF(ISNUMBER(F44),IF(ABS(F44)&gt;輸入與假設!$C$333,IF(ISNUMBER(F85),IF(ABS(F86)&gt;ABS(F85),"拆法","觀點"),"觀點"),""),"")</f>
        <v/>
      </c>
      <c r="G91" s="45" t="str">
        <f aca="false">IF(ISNUMBER(G44),IF(ABS(G44)&gt;輸入與假設!$C$333,IF(ISNUMBER(G85),IF(ABS(G86)&gt;ABS(G85),"拆法","觀點"),"觀點"),""),"")</f>
        <v/>
      </c>
      <c r="H91" s="45" t="str">
        <f aca="false">IF(ISNUMBER(H44),IF(ABS(H44)&gt;輸入與假設!$C$333,IF(ISNUMBER(H85),IF(ABS(H86)&gt;ABS(H85),"拆法","觀點"),"觀點"),""),"")</f>
        <v/>
      </c>
    </row>
    <row r="92" customFormat="false" ht="15" hidden="true" customHeight="false" outlineLevel="1" collapsed="false">
      <c r="A92" s="3" t="s">
        <v>1035</v>
      </c>
      <c r="C92" s="45" t="str">
        <f aca="false">IF(ISNUMBER(C45),IF(OR(ABS(C45)&gt;輸入與假設!$C$333,C22&gt;C32,C22&lt;C31),IF(ISNUMBER(C88),IF(ABS(C89)&gt;ABS(C88),"營收 vs 指引中點 "&amp;IF(C45&lt;0,"−","+")&amp;TEXT(ABS(C45)*100,"#,##0.0")&amp;"%"&amp;"：拆法（分配 "&amp;IF(C89&lt;0,"−","+")&amp;IF(ABS(C89)&lt;0,"−","")&amp;"$"&amp;TEXT(ABS(ABS(C89)),"#,##0.000")&amp;"bn"&amp;"（Q2 FY27 占 2Q–4Q27 "&amp;TEXT((C22/損益!C9)*100,"#,##0.0")&amp;"%"&amp;"，指引隱含 "&amp;TEXT(((((C31+C32)/2))/C87)*100,"#,##0.0")&amp;"%"&amp;"）；水準 "&amp;IF(C88&lt;0,"−","+")&amp;IF(ABS(C88)&lt;0,"−","")&amp;"$"&amp;TEXT(ABS(ABS(C88)),"#,##0.000")&amp;"bn"&amp;"）","營收 vs 指引中點 "&amp;IF(C45&lt;0,"−","+")&amp;TEXT(ABS(C45)*100,"#,##0.0")&amp;"%"&amp;"：觀點（水準 "&amp;IF(C88&lt;0,"−","+")&amp;IF(ABS(C88)&lt;0,"−","")&amp;"$"&amp;TEXT(ABS(ABS(C88)),"#,##0.000")&amp;"bn"&amp;"（2Q–4Q27 模型 "&amp;IF(損益!C9&lt;0,"−","")&amp;"$"&amp;TEXT(ABS(損益!C9),"#,##0.000")&amp;"bn"&amp;"，指引隱含 "&amp;IF(C87&lt;0,"−","")&amp;"$"&amp;TEXT(ABS(C87),"#,##0.000")&amp;"bn"&amp;"）；分配 "&amp;IF(C89&lt;0,"−","+")&amp;IF(ABS(C89)&lt;0,"−","")&amp;"$"&amp;TEXT(ABS(ABS(C89)),"#,##0.000")&amp;"bn"&amp;"；"&amp;"OCI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"&amp;IF(C45&lt;0,"−","+")&amp;TEXT(ABS(C45)*100,"#,##0.0")&amp;"%"&amp;"：觀點（"&amp;"OCI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>營收 vs 指引中點 −4.3%：觀點（水準 −$2.085bn（2Q–4Q27 模型 $63.706bn，指引隱含 $70.655bn）；分配 +$1.178bn；OCI 營收＝在役 MW × 每 MW 年收入（Tokenomics 正向推導），期初可計費 MW 以 Q1 實際 OCI 年化校準；傳統事業四線依近四季年增率；共識未揭露 MW 與單價假設）</v>
      </c>
      <c r="D92" s="45" t="str">
        <f aca="false">IF(ISNUMBER(D45),IF(OR(ABS(D45)&gt;輸入與假設!$C$333,D22&gt;D32,D22&lt;D31),IF(ISNUMBER(D88),IF(ABS(D89)&gt;ABS(D88),"營收 vs 指引中點 "&amp;IF(D45&lt;0,"−","+")&amp;TEXT(ABS(D45)*100,"#,##0.0")&amp;"%"&amp;"：拆法（分配 "&amp;IF(D89&lt;0,"−","+")&amp;IF(ABS(D89)&lt;0,"−","")&amp;"$"&amp;TEXT(ABS(ABS(D89)),"#,##0.000")&amp;"bn"&amp;"（Q3 FY27 占 2Q–4Q27 "&amp;TEXT((D22/損益!C9)*100,"#,##0.0")&amp;"%"&amp;"，指引隱含 "&amp;TEXT(((((D31+D32)/2))/D87)*100,"#,##0.0")&amp;"%"&amp;"）；水準 "&amp;IF(D88&lt;0,"−","+")&amp;IF(ABS(D88)&lt;0,"−","")&amp;"$"&amp;TEXT(ABS(ABS(D88)),"#,##0.000")&amp;"bn"&amp;"）","營收 vs 指引中點 "&amp;IF(D45&lt;0,"−","+")&amp;TEXT(ABS(D45)*100,"#,##0.0")&amp;"%"&amp;"：觀點（水準 "&amp;IF(D88&lt;0,"−","+")&amp;IF(ABS(D88)&lt;0,"−","")&amp;"$"&amp;TEXT(ABS(ABS(D88)),"#,##0.000")&amp;"bn"&amp;"（2Q–4Q27 模型 "&amp;IF(損益!C9&lt;0,"−","")&amp;"$"&amp;TEXT(ABS(損益!C9),"#,##0.000")&amp;"bn"&amp;"，指引隱含 "&amp;IF(D87&lt;0,"−","")&amp;"$"&amp;TEXT(ABS(D87),"#,##0.000")&amp;"bn"&amp;"）；分配 "&amp;IF(D89&lt;0,"−","+")&amp;IF(ABS(D89)&lt;0,"−","")&amp;"$"&amp;TEXT(ABS(ABS(D89)),"#,##0.000")&amp;"bn"&amp;"；"&amp;"OCI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"&amp;IF(D45&lt;0,"−","+")&amp;TEXT(ABS(D45)*100,"#,##0.0")&amp;"%"&amp;"：觀點（"&amp;"OCI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E92" s="45" t="str">
        <f aca="false">IF(ISNUMBER(E45),IF(OR(ABS(E45)&gt;輸入與假設!$C$333,E22&gt;E32,E22&lt;E31),IF(ISNUMBER(E88),IF(ABS(E89)&gt;ABS(E88),"營收 vs 指引中點 "&amp;IF(E45&lt;0,"−","+")&amp;TEXT(ABS(E45)*100,"#,##0.0")&amp;"%"&amp;"：拆法（分配 "&amp;IF(E89&lt;0,"−","+")&amp;IF(ABS(E89)&lt;0,"−","")&amp;"$"&amp;TEXT(ABS(ABS(E89)),"#,##0.000")&amp;"bn"&amp;"（Q4 FY27 占 2Q–4Q27 "&amp;TEXT((E22/損益!C9)*100,"#,##0.0")&amp;"%"&amp;"，指引隱含 "&amp;TEXT(((((E31+E32)/2))/E87)*100,"#,##0.0")&amp;"%"&amp;"）；水準 "&amp;IF(E88&lt;0,"−","+")&amp;IF(ABS(E88)&lt;0,"−","")&amp;"$"&amp;TEXT(ABS(ABS(E88)),"#,##0.000")&amp;"bn"&amp;"）","營收 vs 指引中點 "&amp;IF(E45&lt;0,"−","+")&amp;TEXT(ABS(E45)*100,"#,##0.0")&amp;"%"&amp;"：觀點（水準 "&amp;IF(E88&lt;0,"−","+")&amp;IF(ABS(E88)&lt;0,"−","")&amp;"$"&amp;TEXT(ABS(ABS(E88)),"#,##0.000")&amp;"bn"&amp;"（2Q–4Q27 模型 "&amp;IF(損益!C9&lt;0,"−","")&amp;"$"&amp;TEXT(ABS(損益!C9),"#,##0.000")&amp;"bn"&amp;"，指引隱含 "&amp;IF(E87&lt;0,"−","")&amp;"$"&amp;TEXT(ABS(E87),"#,##0.000")&amp;"bn"&amp;"）；分配 "&amp;IF(E89&lt;0,"−","+")&amp;IF(ABS(E89)&lt;0,"−","")&amp;"$"&amp;TEXT(ABS(ABS(E89)),"#,##0.000")&amp;"bn"&amp;"；"&amp;"OCI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"&amp;IF(E45&lt;0,"−","+")&amp;TEXT(ABS(E45)*100,"#,##0.0")&amp;"%"&amp;"：觀點（"&amp;"OCI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F92" s="45" t="str">
        <f aca="false">IF(ISNUMBER(F45),IF(OR(ABS(F45)&gt;輸入與假設!$C$333,F22&gt;F32,F22&lt;F31),IF(ISNUMBER(F88),IF(ABS(F89)&gt;ABS(F88),"營收 vs 指引中點 "&amp;IF(F45&lt;0,"−","+")&amp;TEXT(ABS(F45)*100,"#,##0.0")&amp;"%"&amp;"：拆法（分配 "&amp;IF(F89&lt;0,"−","+")&amp;IF(ABS(F89)&lt;0,"−","")&amp;"$"&amp;TEXT(ABS(ABS(F89)),"#,##0.000")&amp;"bn"&amp;"（Q1 FY28 占 FY28 "&amp;TEXT((F22/損益!D9)*100,"#,##0.0")&amp;"%"&amp;"，指引隱含 "&amp;TEXT(((((F31+F32)/2))/F87)*100,"#,##0.0")&amp;"%"&amp;"）；水準 "&amp;IF(F88&lt;0,"−","+")&amp;IF(ABS(F88)&lt;0,"−","")&amp;"$"&amp;TEXT(ABS(ABS(F88)),"#,##0.000")&amp;"bn"&amp;"）","營收 vs 指引中點 "&amp;IF(F45&lt;0,"−","+")&amp;TEXT(ABS(F45)*100,"#,##0.0")&amp;"%"&amp;"：觀點（水準 "&amp;IF(F88&lt;0,"−","+")&amp;IF(ABS(F88)&lt;0,"−","")&amp;"$"&amp;TEXT(ABS(ABS(F88)),"#,##0.000")&amp;"bn"&amp;"（FY28 模型 "&amp;IF(損益!D9&lt;0,"−","")&amp;"$"&amp;TEXT(ABS(損益!D9),"#,##0.000")&amp;"bn"&amp;"，指引隱含 "&amp;IF(F87&lt;0,"−","")&amp;"$"&amp;TEXT(ABS(F87),"#,##0.000")&amp;"bn"&amp;"）；分配 "&amp;IF(F89&lt;0,"−","+")&amp;IF(ABS(F89)&lt;0,"−","")&amp;"$"&amp;TEXT(ABS(ABS(F89)),"#,##0.000")&amp;"bn"&amp;"；"&amp;"OCI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"&amp;IF(F45&lt;0,"−","+")&amp;TEXT(ABS(F45)*100,"#,##0.0")&amp;"%"&amp;"：觀點（"&amp;"OCI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G92" s="45" t="str">
        <f aca="false">IF(ISNUMBER(G45),IF(OR(ABS(G45)&gt;輸入與假設!$C$333,G22&gt;G32,G22&lt;G31),IF(ISNUMBER(G88),IF(ABS(G89)&gt;ABS(G88),"營收 vs 指引中點 "&amp;IF(G45&lt;0,"−","+")&amp;TEXT(ABS(G45)*100,"#,##0.0")&amp;"%"&amp;"：拆法（分配 "&amp;IF(G89&lt;0,"−","+")&amp;IF(ABS(G89)&lt;0,"−","")&amp;"$"&amp;TEXT(ABS(ABS(G89)),"#,##0.000")&amp;"bn"&amp;"（Q2 FY28 占 FY28 "&amp;TEXT((G22/損益!D9)*100,"#,##0.0")&amp;"%"&amp;"，指引隱含 "&amp;TEXT(((((G31+G32)/2))/G87)*100,"#,##0.0")&amp;"%"&amp;"）；水準 "&amp;IF(G88&lt;0,"−","+")&amp;IF(ABS(G88)&lt;0,"−","")&amp;"$"&amp;TEXT(ABS(ABS(G88)),"#,##0.000")&amp;"bn"&amp;"）","營收 vs 指引中點 "&amp;IF(G45&lt;0,"−","+")&amp;TEXT(ABS(G45)*100,"#,##0.0")&amp;"%"&amp;"：觀點（水準 "&amp;IF(G88&lt;0,"−","+")&amp;IF(ABS(G88)&lt;0,"−","")&amp;"$"&amp;TEXT(ABS(ABS(G88)),"#,##0.000")&amp;"bn"&amp;"（FY28 模型 "&amp;IF(損益!D9&lt;0,"−","")&amp;"$"&amp;TEXT(ABS(損益!D9),"#,##0.000")&amp;"bn"&amp;"，指引隱含 "&amp;IF(G87&lt;0,"−","")&amp;"$"&amp;TEXT(ABS(G87),"#,##0.000")&amp;"bn"&amp;"）；分配 "&amp;IF(G89&lt;0,"−","+")&amp;IF(ABS(G89)&lt;0,"−","")&amp;"$"&amp;TEXT(ABS(ABS(G89)),"#,##0.000")&amp;"bn"&amp;"；"&amp;"OCI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"&amp;IF(G45&lt;0,"−","+")&amp;TEXT(ABS(G45)*100,"#,##0.0")&amp;"%"&amp;"：觀點（"&amp;"OCI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H92" s="45" t="str">
        <f aca="false">IF(ISNUMBER(H45),IF(OR(ABS(H45)&gt;輸入與假設!$C$333,H22&gt;H32,H22&lt;H31),IF(ISNUMBER(H88),IF(ABS(H89)&gt;ABS(H88),"營收 vs 指引中點 "&amp;IF(H45&lt;0,"−","+")&amp;TEXT(ABS(H45)*100,"#,##0.0")&amp;"%"&amp;"：拆法（分配 "&amp;IF(H89&lt;0,"−","+")&amp;IF(ABS(H89)&lt;0,"−","")&amp;"$"&amp;TEXT(ABS(ABS(H89)),"#,##0.000")&amp;"bn"&amp;"（Q3 FY28 占 FY28 "&amp;TEXT((H22/損益!D9)*100,"#,##0.0")&amp;"%"&amp;"，指引隱含 "&amp;TEXT(((((H31+H32)/2))/H87)*100,"#,##0.0")&amp;"%"&amp;"）；水準 "&amp;IF(H88&lt;0,"−","+")&amp;IF(ABS(H88)&lt;0,"−","")&amp;"$"&amp;TEXT(ABS(ABS(H88)),"#,##0.000")&amp;"bn"&amp;"）","營收 vs 指引中點 "&amp;IF(H45&lt;0,"−","+")&amp;TEXT(ABS(H45)*100,"#,##0.0")&amp;"%"&amp;"：觀點（水準 "&amp;IF(H88&lt;0,"−","+")&amp;IF(ABS(H88)&lt;0,"−","")&amp;"$"&amp;TEXT(ABS(ABS(H88)),"#,##0.000")&amp;"bn"&amp;"（FY28 模型 "&amp;IF(損益!D9&lt;0,"−","")&amp;"$"&amp;TEXT(ABS(損益!D9),"#,##0.000")&amp;"bn"&amp;"，指引隱含 "&amp;IF(H87&lt;0,"−","")&amp;"$"&amp;TEXT(ABS(H87),"#,##0.000")&amp;"bn"&amp;"）；分配 "&amp;IF(H89&lt;0,"−","+")&amp;IF(ABS(H89)&lt;0,"−","")&amp;"$"&amp;TEXT(ABS(ABS(H89)),"#,##0.000")&amp;"bn"&amp;"；"&amp;"OCI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"&amp;IF(H45&lt;0,"−","+")&amp;TEXT(ABS(H45)*100,"#,##0.0")&amp;"%"&amp;"：觀點（"&amp;"OCI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</row>
    <row r="93" customFormat="false" ht="15" hidden="true" customHeight="false" outlineLevel="1" collapsed="false">
      <c r="A93" s="3" t="s">
        <v>1036</v>
      </c>
      <c r="C93" s="45" t="str">
        <f aca="false">IF(ISNUMBER(C45),IF(OR(ABS(C45)&gt;輸入與假設!$C$333,C22&gt;C32,C22&lt;C31),IF(ISNUMBER(C88),IF(ABS(C89)&gt;ABS(C88),"拆法","觀點"),"觀點"),""),"")</f>
        <v>觀點</v>
      </c>
      <c r="D93" s="45" t="str">
        <f aca="false">IF(ISNUMBER(D45),IF(OR(ABS(D45)&gt;輸入與假設!$C$333,D22&gt;D32,D22&lt;D31),IF(ISNUMBER(D88),IF(ABS(D89)&gt;ABS(D88),"拆法","觀點"),"觀點"),""),"")</f>
        <v/>
      </c>
      <c r="E93" s="45" t="str">
        <f aca="false">IF(ISNUMBER(E45),IF(OR(ABS(E45)&gt;輸入與假設!$C$333,E22&gt;E32,E22&lt;E31),IF(ISNUMBER(E88),IF(ABS(E89)&gt;ABS(E88),"拆法","觀點"),"觀點"),""),"")</f>
        <v/>
      </c>
      <c r="F93" s="45" t="str">
        <f aca="false">IF(ISNUMBER(F45),IF(OR(ABS(F45)&gt;輸入與假設!$C$333,F22&gt;F32,F22&lt;F31),IF(ISNUMBER(F88),IF(ABS(F89)&gt;ABS(F88),"拆法","觀點"),"觀點"),""),"")</f>
        <v/>
      </c>
      <c r="G93" s="45" t="str">
        <f aca="false">IF(ISNUMBER(G45),IF(OR(ABS(G45)&gt;輸入與假設!$C$333,G22&gt;G32,G22&lt;G31),IF(ISNUMBER(G88),IF(ABS(G89)&gt;ABS(G88),"拆法","觀點"),"觀點"),""),"")</f>
        <v/>
      </c>
      <c r="H93" s="45" t="str">
        <f aca="false">IF(ISNUMBER(H45),IF(OR(ABS(H45)&gt;輸入與假設!$C$333,H22&gt;H32,H22&lt;H31),IF(ISNUMBER(H88),IF(ABS(H89)&gt;ABS(H88),"拆法","觀點"),"觀點"),""),"")</f>
        <v/>
      </c>
    </row>
    <row r="94" customFormat="false" ht="15" hidden="true" customHeight="false" outlineLevel="1" collapsed="false">
      <c r="A94" s="3" t="s">
        <v>1037</v>
      </c>
      <c r="C94" s="45" t="str">
        <f aca="false">IF(ISNUMBER(C46),IF(ABS(C46)&gt;輸入與假設!$C$333,"營收 實際 vs 模型 "&amp;IF(C46&lt;0,"−","+")&amp;TEXT(ABS(C46)*100,"#,##0.0")&amp;"%"&amp;"：觀點（"&amp;"OCI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D94" s="45" t="str">
        <f aca="false">IF(ISNUMBER(D46),IF(ABS(D46)&gt;輸入與假設!$C$333,"營收 實際 vs 模型 "&amp;IF(D46&lt;0,"−","+")&amp;TEXT(ABS(D46)*100,"#,##0.0")&amp;"%"&amp;"：觀點（"&amp;"OCI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E94" s="45" t="str">
        <f aca="false">IF(ISNUMBER(E46),IF(ABS(E46)&gt;輸入與假設!$C$333,"營收 實際 vs 模型 "&amp;IF(E46&lt;0,"−","+")&amp;TEXT(ABS(E46)*100,"#,##0.0")&amp;"%"&amp;"：觀點（"&amp;"OCI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F94" s="45" t="str">
        <f aca="false">IF(ISNUMBER(F46),IF(ABS(F46)&gt;輸入與假設!$C$333,"營收 實際 vs 模型 "&amp;IF(F46&lt;0,"−","+")&amp;TEXT(ABS(F46)*100,"#,##0.0")&amp;"%"&amp;"：觀點（"&amp;"OCI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G94" s="45" t="str">
        <f aca="false">IF(ISNUMBER(G46),IF(ABS(G46)&gt;輸入與假設!$C$333,"營收 實際 vs 模型 "&amp;IF(G46&lt;0,"−","+")&amp;TEXT(ABS(G46)*100,"#,##0.0")&amp;"%"&amp;"：觀點（"&amp;"OCI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H94" s="45" t="str">
        <f aca="false">IF(ISNUMBER(H46),IF(ABS(H46)&gt;輸入與假設!$C$333,"營收 實際 vs 模型 "&amp;IF(H46&lt;0,"−","+")&amp;TEXT(ABS(H46)*100,"#,##0.0")&amp;"%"&amp;"：觀點（"&amp;"OCI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</row>
    <row r="95" customFormat="false" ht="15" hidden="true" customHeight="false" outlineLevel="1" collapsed="false">
      <c r="A95" s="3" t="s">
        <v>1038</v>
      </c>
      <c r="C95" s="45" t="str">
        <f aca="false">IF(ISNUMBER(C46),IF(ABS(C46)&gt;輸入與假設!$C$333,"觀點",""),"")</f>
        <v/>
      </c>
      <c r="D95" s="45" t="str">
        <f aca="false">IF(ISNUMBER(D46),IF(ABS(D46)&gt;輸入與假設!$C$333,"觀點",""),"")</f>
        <v/>
      </c>
      <c r="E95" s="45" t="str">
        <f aca="false">IF(ISNUMBER(E46),IF(ABS(E46)&gt;輸入與假設!$C$333,"觀點",""),"")</f>
        <v/>
      </c>
      <c r="F95" s="45" t="str">
        <f aca="false">IF(ISNUMBER(F46),IF(ABS(F46)&gt;輸入與假設!$C$333,"觀點",""),"")</f>
        <v/>
      </c>
      <c r="G95" s="45" t="str">
        <f aca="false">IF(ISNUMBER(G46),IF(ABS(G46)&gt;輸入與假設!$C$333,"觀點",""),"")</f>
        <v/>
      </c>
      <c r="H95" s="45" t="str">
        <f aca="false">IF(ISNUMBER(H46),IF(ABS(H46)&gt;輸入與假設!$C$333,"觀點",""),"")</f>
        <v/>
      </c>
    </row>
    <row r="96" customFormat="false" ht="15" hidden="true" customHeight="false" outlineLevel="1" collapsed="false">
      <c r="A96" s="3" t="s">
        <v>1039</v>
      </c>
      <c r="B96" s="11" t="s">
        <v>59</v>
      </c>
      <c r="C96" s="64" t="str">
        <f aca="false">IF(COUNT(C35,D35,E35)=3,C35+D35+E35,"不適用")</f>
        <v>不適用</v>
      </c>
      <c r="D96" s="64" t="str">
        <f aca="false">IF(COUNT(C35,D35,E35)=3,C35+D35+E35,"不適用")</f>
        <v>不適用</v>
      </c>
      <c r="E96" s="64" t="str">
        <f aca="false">IF(COUNT(C35,D35,E35)=3,C35+D35+E35,"不適用")</f>
        <v>不適用</v>
      </c>
      <c r="F96" s="64" t="str">
        <f aca="false">IF(COUNT(F35,G35,H35)=3,F35+G35+H35,"不適用")</f>
        <v>不適用</v>
      </c>
      <c r="G96" s="64" t="str">
        <f aca="false">IF(COUNT(F35,G35,H35)=3,F35+G35+H35,"不適用")</f>
        <v>不適用</v>
      </c>
      <c r="H96" s="64" t="str">
        <f aca="false">IF(COUNT(F35,G35,H35)=3,F35+G35+H35,"不適用")</f>
        <v>不適用</v>
      </c>
      <c r="J96" s="6" t="s">
        <v>1024</v>
      </c>
    </row>
    <row r="97" customFormat="false" ht="15" hidden="true" customHeight="false" outlineLevel="1" collapsed="false">
      <c r="A97" s="3" t="s">
        <v>1040</v>
      </c>
      <c r="B97" s="11" t="s">
        <v>59</v>
      </c>
      <c r="C97" s="64" t="str">
        <f aca="false">IF(AND(ISNUMBER(C96),C96&lt;&gt;0,ISNUMBER(C35),ISNUMBER(C28)),(損益!C22-C96)*(C35)/C96,"不適用")</f>
        <v>不適用</v>
      </c>
      <c r="D97" s="64" t="str">
        <f aca="false">IF(AND(ISNUMBER(D96),D96&lt;&gt;0,ISNUMBER(D35),ISNUMBER(D28)),(損益!C22-D96)*(D35)/D96,"不適用")</f>
        <v>不適用</v>
      </c>
      <c r="E97" s="64" t="str">
        <f aca="false">IF(AND(ISNUMBER(E96),E96&lt;&gt;0,ISNUMBER(E35),ISNUMBER(E28)),(損益!C22-E96)*(E35)/E96,"不適用")</f>
        <v>不適用</v>
      </c>
      <c r="F97" s="64" t="str">
        <f aca="false">IF(AND(ISNUMBER(F96),F96&lt;&gt;0,ISNUMBER(F35),ISNUMBER(F28)),(損益!D22-F96)*(F35)/F96,"不適用")</f>
        <v>不適用</v>
      </c>
      <c r="G97" s="64" t="str">
        <f aca="false">IF(AND(ISNUMBER(G96),G96&lt;&gt;0,ISNUMBER(G35),ISNUMBER(G28)),(損益!D22-G96)*(G35)/G96,"不適用")</f>
        <v>不適用</v>
      </c>
      <c r="H97" s="64" t="str">
        <f aca="false">IF(AND(ISNUMBER(H96),H96&lt;&gt;0,ISNUMBER(H35),ISNUMBER(H28)),(損益!D22-H96)*(H35)/H96,"不適用")</f>
        <v>不適用</v>
      </c>
      <c r="J97" s="11" t="s">
        <v>1026</v>
      </c>
    </row>
    <row r="98" customFormat="false" ht="15" hidden="true" customHeight="false" outlineLevel="1" collapsed="false">
      <c r="A98" s="3" t="s">
        <v>1041</v>
      </c>
      <c r="B98" s="11" t="s">
        <v>59</v>
      </c>
      <c r="C98" s="64" t="str">
        <f aca="false">IF(AND(ISNUMBER(C96),C96&lt;&gt;0,ISNUMBER(C35),ISNUMBER(C28)),(C28/損益!C22-(C35)/C96)*損益!C22,"不適用")</f>
        <v>不適用</v>
      </c>
      <c r="D98" s="64" t="str">
        <f aca="false">IF(AND(ISNUMBER(D96),D96&lt;&gt;0,ISNUMBER(D35),ISNUMBER(D28)),(D28/損益!C22-(D35)/D96)*損益!C22,"不適用")</f>
        <v>不適用</v>
      </c>
      <c r="E98" s="64" t="str">
        <f aca="false">IF(AND(ISNUMBER(E96),E96&lt;&gt;0,ISNUMBER(E35),ISNUMBER(E28)),(E28/損益!C22-(E35)/E96)*損益!C22,"不適用")</f>
        <v>不適用</v>
      </c>
      <c r="F98" s="64" t="str">
        <f aca="false">IF(AND(ISNUMBER(F96),F96&lt;&gt;0,ISNUMBER(F35),ISNUMBER(F28)),(F28/損益!D22-(F35)/F96)*損益!D22,"不適用")</f>
        <v>不適用</v>
      </c>
      <c r="G98" s="64" t="str">
        <f aca="false">IF(AND(ISNUMBER(G96),G96&lt;&gt;0,ISNUMBER(G35),ISNUMBER(G28)),(G28/損益!D22-(G35)/G96)*損益!D22,"不適用")</f>
        <v>不適用</v>
      </c>
      <c r="H98" s="64" t="str">
        <f aca="false">IF(AND(ISNUMBER(H96),H96&lt;&gt;0,ISNUMBER(H35),ISNUMBER(H28)),(H28/損益!D22-(H35)/H96)*損益!D22,"不適用")</f>
        <v>不適用</v>
      </c>
      <c r="J98" s="11" t="s">
        <v>1028</v>
      </c>
    </row>
    <row r="99" customFormat="false" ht="15" hidden="true" customHeight="false" outlineLevel="1" collapsed="false">
      <c r="A99" s="3" t="s">
        <v>1042</v>
      </c>
      <c r="C99" s="45" t="str">
        <f aca="false">IF(ISNUMBER(C49),IF(IF(ISNUMBER(C54),ABS(C54)&gt;輸入與假設!$C$334,OR(AND(C35&lt;&gt;0,ABS(C49)&gt;輸入與假設!$C$333*ABS(C35)),AND(C35=0,C49&lt;&gt;0))),IF(ISNUMBER(C97),IF(ABS(C98)&gt;ABS(C97),"調整後 EBITDA vs 共識 "&amp;IF(C49&lt;0,"−","+")&amp;IF(ABS(C49)&lt;0,"−","")&amp;"$"&amp;TEXT(ABS(ABS(C49)),"#,##0.00")&amp;"bn"&amp;IF(ISNUMBER(C54),"／"&amp;IF(C54&lt;0,"−","+")&amp;TEXT(ABS(C54)*100,"#,##0.0")&amp;"pt","")&amp;"：拆法（分配 "&amp;IF(C98&lt;0,"−","+")&amp;IF(ABS(C98)&lt;0,"−","")&amp;"$"&amp;TEXT(ABS(ABS(C98)),"#,##0.000")&amp;"bn"&amp;"（Q2 FY27 占 2Q–4Q27 "&amp;TEXT((C28/損益!C22)*100,"#,##0.0")&amp;"%"&amp;"，共識合計 "&amp;TEXT(((C35)/C96)*100,"#,##0.0")&amp;"%"&amp;"）；水準 "&amp;IF(C97&lt;0,"−","+")&amp;IF(ABS(C97)&lt;0,"−","")&amp;"$"&amp;TEXT(ABS(ABS(C97)),"#,##0.000")&amp;"bn"&amp;"）","調整後 EBITDA vs 共識 "&amp;IF(C49&lt;0,"−","+")&amp;IF(ABS(C49)&lt;0,"−","")&amp;"$"&amp;TEXT(ABS(ABS(C49)),"#,##0.00")&amp;"bn"&amp;IF(ISNUMBER(C54),"／"&amp;IF(C54&lt;0,"−","+")&amp;TEXT(ABS(C54)*100,"#,##0.0")&amp;"pt","")&amp;"：觀點（水準 "&amp;IF(C97&lt;0,"−","+")&amp;IF(ABS(C97)&lt;0,"−","")&amp;"$"&amp;TEXT(ABS(ABS(C97)),"#,##0.000")&amp;"bn"&amp;"（2Q–4Q27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營業利益＋折舊）"&amp;"）"),"調整後 EBITDA vs 共識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營業利益＋折舊）"&amp;"）"),""),"")</f>
        <v/>
      </c>
      <c r="D99" s="45" t="str">
        <f aca="false">IF(ISNUMBER(D49),IF(IF(ISNUMBER(D54),ABS(D54)&gt;輸入與假設!$C$334,OR(AND(D35&lt;&gt;0,ABS(D49)&gt;輸入與假設!$C$333*ABS(D35)),AND(D35=0,D49&lt;&gt;0))),IF(ISNUMBER(D97),IF(ABS(D98)&gt;ABS(D97),"調整後 EBITDA vs 共識 "&amp;IF(D49&lt;0,"−","+")&amp;IF(ABS(D49)&lt;0,"−","")&amp;"$"&amp;TEXT(ABS(ABS(D49)),"#,##0.00")&amp;"bn"&amp;IF(ISNUMBER(D54),"／"&amp;IF(D54&lt;0,"−","+")&amp;TEXT(ABS(D54)*100,"#,##0.0")&amp;"pt","")&amp;"：拆法（分配 "&amp;IF(D98&lt;0,"−","+")&amp;IF(ABS(D98)&lt;0,"−","")&amp;"$"&amp;TEXT(ABS(ABS(D98)),"#,##0.000")&amp;"bn"&amp;"（Q3 FY27 占 2Q–4Q27 "&amp;TEXT((D28/損益!C22)*100,"#,##0.0")&amp;"%"&amp;"，共識合計 "&amp;TEXT(((D35)/D96)*100,"#,##0.0")&amp;"%"&amp;"）；水準 "&amp;IF(D97&lt;0,"−","+")&amp;IF(ABS(D97)&lt;0,"−","")&amp;"$"&amp;TEXT(ABS(ABS(D97)),"#,##0.000")&amp;"bn"&amp;"）","調整後 EBITDA vs 共識 "&amp;IF(D49&lt;0,"−","+")&amp;IF(ABS(D49)&lt;0,"−","")&amp;"$"&amp;TEXT(ABS(ABS(D49)),"#,##0.00")&amp;"bn"&amp;IF(ISNUMBER(D54),"／"&amp;IF(D54&lt;0,"−","+")&amp;TEXT(ABS(D54)*100,"#,##0.0")&amp;"pt","")&amp;"：觀點（水準 "&amp;IF(D97&lt;0,"−","+")&amp;IF(ABS(D97)&lt;0,"−","")&amp;"$"&amp;TEXT(ABS(ABS(D97)),"#,##0.000")&amp;"bn"&amp;"（2Q–4Q27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營業利益＋折舊）"&amp;"）"),"調整後 EBITDA vs 共識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營業利益＋折舊）"&amp;"）"),""),"")</f>
        <v/>
      </c>
      <c r="E99" s="45" t="str">
        <f aca="false">IF(ISNUMBER(E49),IF(IF(ISNUMBER(E54),ABS(E54)&gt;輸入與假設!$C$334,OR(AND(E35&lt;&gt;0,ABS(E49)&gt;輸入與假設!$C$333*ABS(E35)),AND(E35=0,E49&lt;&gt;0))),IF(ISNUMBER(E97),IF(ABS(E98)&gt;ABS(E97),"調整後 EBITDA vs 共識 "&amp;IF(E49&lt;0,"−","+")&amp;IF(ABS(E49)&lt;0,"−","")&amp;"$"&amp;TEXT(ABS(ABS(E49)),"#,##0.00")&amp;"bn"&amp;IF(ISNUMBER(E54),"／"&amp;IF(E54&lt;0,"−","+")&amp;TEXT(ABS(E54)*100,"#,##0.0")&amp;"pt","")&amp;"：拆法（分配 "&amp;IF(E98&lt;0,"−","+")&amp;IF(ABS(E98)&lt;0,"−","")&amp;"$"&amp;TEXT(ABS(ABS(E98)),"#,##0.000")&amp;"bn"&amp;"（Q4 FY27 占 2Q–4Q27 "&amp;TEXT((E28/損益!C22)*100,"#,##0.0")&amp;"%"&amp;"，共識合計 "&amp;TEXT(((E35)/E96)*100,"#,##0.0")&amp;"%"&amp;"）；水準 "&amp;IF(E97&lt;0,"−","+")&amp;IF(ABS(E97)&lt;0,"−","")&amp;"$"&amp;TEXT(ABS(ABS(E97)),"#,##0.000")&amp;"bn"&amp;"）","調整後 EBITDA vs 共識 "&amp;IF(E49&lt;0,"−","+")&amp;IF(ABS(E49)&lt;0,"−","")&amp;"$"&amp;TEXT(ABS(ABS(E49)),"#,##0.00")&amp;"bn"&amp;IF(ISNUMBER(E54),"／"&amp;IF(E54&lt;0,"−","+")&amp;TEXT(ABS(E54)*100,"#,##0.0")&amp;"pt","")&amp;"：觀點（水準 "&amp;IF(E97&lt;0,"−","+")&amp;IF(ABS(E97)&lt;0,"−","")&amp;"$"&amp;TEXT(ABS(ABS(E97)),"#,##0.000")&amp;"bn"&amp;"（2Q–4Q27 模型 "&amp;IF(損益!C22&lt;0,"−","")&amp;"$"&amp;TEXT(ABS(損益!C22),"#,##0.000")&amp;"bn"&amp;"，共識合計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"&amp;IF((E27)&lt;0,"−","")&amp;TEXT(ABS((E27))*100,"#,##0.0")&amp;"%"&amp;"；季度共識 EBITDA "&amp;"不適用"&amp;"、營收 "&amp;"不適用"&amp;"（共識 EBITDA＝非 GAAP 營業利益＋折舊）"&amp;"）"),"調整後 EBITDA vs 共識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"&amp;"不適用"&amp;"（共識 EBITDA＝非 GAAP 營業利益＋折舊）"&amp;"）"),""),"")</f>
        <v/>
      </c>
      <c r="F99" s="45" t="str">
        <f aca="false">IF(ISNUMBER(F49),IF(IF(ISNUMBER(F54),ABS(F54)&gt;輸入與假設!$C$334,OR(AND(F35&lt;&gt;0,ABS(F49)&gt;輸入與假設!$C$333*ABS(F35)),AND(F35=0,F49&lt;&gt;0))),IF(ISNUMBER(F97),IF(ABS(F98)&gt;ABS(F97),"調整後 EBITDA vs 共識 "&amp;IF(F49&lt;0,"−","+")&amp;IF(ABS(F49)&lt;0,"−","")&amp;"$"&amp;TEXT(ABS(ABS(F49)),"#,##0.00")&amp;"bn"&amp;IF(ISNUMBER(F54),"／"&amp;IF(F54&lt;0,"−","+")&amp;TEXT(ABS(F54)*100,"#,##0.0")&amp;"pt","")&amp;"：拆法（分配 "&amp;IF(F98&lt;0,"−","+")&amp;IF(ABS(F98)&lt;0,"−","")&amp;"$"&amp;TEXT(ABS(ABS(F98)),"#,##0.000")&amp;"bn"&amp;"（Q1 FY28 占 FY28 "&amp;TEXT((F28/損益!D22)*100,"#,##0.0")&amp;"%"&amp;"，共識合計 "&amp;TEXT(((F35)/F96)*100,"#,##0.0")&amp;"%"&amp;"）；水準 "&amp;IF(F97&lt;0,"−","+")&amp;IF(ABS(F97)&lt;0,"−","")&amp;"$"&amp;TEXT(ABS(ABS(F97)),"#,##0.000")&amp;"bn"&amp;"）","調整後 EBITDA vs 共識 "&amp;IF(F49&lt;0,"−","+")&amp;IF(ABS(F49)&lt;0,"−","")&amp;"$"&amp;TEXT(ABS(ABS(F49)),"#,##0.00")&amp;"bn"&amp;IF(ISNUMBER(F54),"／"&amp;IF(F54&lt;0,"−","+")&amp;TEXT(ABS(F54)*100,"#,##0.0")&amp;"pt","")&amp;"：觀點（水準 "&amp;IF(F97&lt;0,"−","+")&amp;IF(ABS(F97)&lt;0,"−","")&amp;"$"&amp;TEXT(ABS(ABS(F97)),"#,##0.000")&amp;"bn"&amp;"（FY28 模型 "&amp;IF(損益!D22&lt;0,"−","")&amp;"$"&amp;TEXT(ABS(損益!D22),"#,##0.000")&amp;"bn"&amp;"，共識合計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"&amp;IF((F27)&lt;0,"−","")&amp;TEXT(ABS((F27))*100,"#,##0.0")&amp;"%"&amp;"；季度共識 EBITDA "&amp;"不適用"&amp;"、營收 "&amp;"不適用"&amp;"（共識 EBITDA＝非 GAAP 營業利益＋折舊）"&amp;"）"),"調整後 EBITDA vs 共識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"&amp;"不適用"&amp;"（共識 EBITDA＝非 GAAP 營業利益＋折舊）"&amp;"）"),""),"")</f>
        <v/>
      </c>
      <c r="G99" s="45" t="str">
        <f aca="false">IF(ISNUMBER(G49),IF(IF(ISNUMBER(G54),ABS(G54)&gt;輸入與假設!$C$334,OR(AND(G35&lt;&gt;0,ABS(G49)&gt;輸入與假設!$C$333*ABS(G35)),AND(G35=0,G49&lt;&gt;0))),IF(ISNUMBER(G97),IF(ABS(G98)&gt;ABS(G97),"調整後 EBITDA vs 共識 "&amp;IF(G49&lt;0,"−","+")&amp;IF(ABS(G49)&lt;0,"−","")&amp;"$"&amp;TEXT(ABS(ABS(G49)),"#,##0.00")&amp;"bn"&amp;IF(ISNUMBER(G54),"／"&amp;IF(G54&lt;0,"−","+")&amp;TEXT(ABS(G54)*100,"#,##0.0")&amp;"pt","")&amp;"：拆法（分配 "&amp;IF(G98&lt;0,"−","+")&amp;IF(ABS(G98)&lt;0,"−","")&amp;"$"&amp;TEXT(ABS(ABS(G98)),"#,##0.000")&amp;"bn"&amp;"（Q2 FY28 占 FY28 "&amp;TEXT((G28/損益!D22)*100,"#,##0.0")&amp;"%"&amp;"，共識合計 "&amp;TEXT(((G35)/G96)*100,"#,##0.0")&amp;"%"&amp;"）；水準 "&amp;IF(G97&lt;0,"−","+")&amp;IF(ABS(G97)&lt;0,"−","")&amp;"$"&amp;TEXT(ABS(ABS(G97)),"#,##0.000")&amp;"bn"&amp;"）","調整後 EBITDA vs 共識 "&amp;IF(G49&lt;0,"−","+")&amp;IF(ABS(G49)&lt;0,"−","")&amp;"$"&amp;TEXT(ABS(ABS(G49)),"#,##0.00")&amp;"bn"&amp;IF(ISNUMBER(G54),"／"&amp;IF(G54&lt;0,"−","+")&amp;TEXT(ABS(G54)*100,"#,##0.0")&amp;"pt","")&amp;"：觀點（水準 "&amp;IF(G97&lt;0,"−","+")&amp;IF(ABS(G97)&lt;0,"−","")&amp;"$"&amp;TEXT(ABS(ABS(G97)),"#,##0.000")&amp;"bn"&amp;"（FY28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"&amp;IF((G27)&lt;0,"−","")&amp;TEXT(ABS((G27))*100,"#,##0.0")&amp;"%"&amp;"；季度共識 EBITDA "&amp;"不適用"&amp;"、營收 "&amp;"不適用"&amp;"（共識 EBITDA＝非 GAAP 營業利益＋折舊）"&amp;"）"),"調整後 EBITDA vs 共識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"&amp;"不適用"&amp;"（共識 EBITDA＝非 GAAP 營業利益＋折舊）"&amp;"）"),""),"")</f>
        <v/>
      </c>
      <c r="H99" s="45" t="str">
        <f aca="false">IF(ISNUMBER(H49),IF(IF(ISNUMBER(H54),ABS(H54)&gt;輸入與假設!$C$334,OR(AND(H35&lt;&gt;0,ABS(H49)&gt;輸入與假設!$C$333*ABS(H35)),AND(H35=0,H49&lt;&gt;0))),IF(ISNUMBER(H97),IF(ABS(H98)&gt;ABS(H97),"調整後 EBITDA vs 共識 "&amp;IF(H49&lt;0,"−","+")&amp;IF(ABS(H49)&lt;0,"−","")&amp;"$"&amp;TEXT(ABS(ABS(H49)),"#,##0.00")&amp;"bn"&amp;IF(ISNUMBER(H54),"／"&amp;IF(H54&lt;0,"−","+")&amp;TEXT(ABS(H54)*100,"#,##0.0")&amp;"pt","")&amp;"：拆法（分配 "&amp;IF(H98&lt;0,"−","+")&amp;IF(ABS(H98)&lt;0,"−","")&amp;"$"&amp;TEXT(ABS(ABS(H98)),"#,##0.000")&amp;"bn"&amp;"（Q3 FY28 占 FY28 "&amp;TEXT((H28/損益!D22)*100,"#,##0.0")&amp;"%"&amp;"，共識合計 "&amp;TEXT(((H35)/H96)*100,"#,##0.0")&amp;"%"&amp;"）；水準 "&amp;IF(H97&lt;0,"−","+")&amp;IF(ABS(H97)&lt;0,"−","")&amp;"$"&amp;TEXT(ABS(ABS(H97)),"#,##0.000")&amp;"bn"&amp;"）","調整後 EBITDA vs 共識 "&amp;IF(H49&lt;0,"−","+")&amp;IF(ABS(H49)&lt;0,"−","")&amp;"$"&amp;TEXT(ABS(ABS(H49)),"#,##0.00")&amp;"bn"&amp;IF(ISNUMBER(H54),"／"&amp;IF(H54&lt;0,"−","+")&amp;TEXT(ABS(H54)*100,"#,##0.0")&amp;"pt","")&amp;"：觀點（水準 "&amp;IF(H97&lt;0,"−","+")&amp;IF(ABS(H97)&lt;0,"−","")&amp;"$"&amp;TEXT(ABS(ABS(H97)),"#,##0.000")&amp;"bn"&amp;"（FY28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"&amp;IF((H27)&lt;0,"−","")&amp;TEXT(ABS((H27))*100,"#,##0.0")&amp;"%"&amp;"；季度共識 EBITDA "&amp;"不適用"&amp;"、營收 "&amp;"不適用"&amp;"（共識 EBITDA＝非 GAAP 營業利益＋折舊）"&amp;"）"),"調整後 EBITDA vs 共識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"&amp;"不適用"&amp;"（共識 EBITDA＝非 GAAP 營業利益＋折舊）"&amp;"）"),""),"")</f>
        <v/>
      </c>
    </row>
    <row r="100" customFormat="false" ht="15" hidden="true" customHeight="false" outlineLevel="1" collapsed="false">
      <c r="A100" s="3" t="s">
        <v>1043</v>
      </c>
      <c r="C100" s="45" t="str">
        <f aca="false">IF(ISNUMBER(C49),IF(IF(ISNUMBER(C54),ABS(C54)&gt;輸入與假設!$C$334,OR(AND(C35&lt;&gt;0,ABS(C49)&gt;輸入與假設!$C$333*ABS(C35)),AND(C35=0,C49&lt;&gt;0))),IF(ISNUMBER(C97),IF(ABS(C98)&gt;ABS(C97),"拆法","觀點"),"觀點"),""),"")</f>
        <v/>
      </c>
      <c r="D100" s="45" t="str">
        <f aca="false">IF(ISNUMBER(D49),IF(IF(ISNUMBER(D54),ABS(D54)&gt;輸入與假設!$C$334,OR(AND(D35&lt;&gt;0,ABS(D49)&gt;輸入與假設!$C$333*ABS(D35)),AND(D35=0,D49&lt;&gt;0))),IF(ISNUMBER(D97),IF(ABS(D98)&gt;ABS(D97),"拆法","觀點"),"觀點"),""),"")</f>
        <v/>
      </c>
      <c r="E100" s="45" t="str">
        <f aca="false">IF(ISNUMBER(E49),IF(IF(ISNUMBER(E54),ABS(E54)&gt;輸入與假設!$C$334,OR(AND(E35&lt;&gt;0,ABS(E49)&gt;輸入與假設!$C$333*ABS(E35)),AND(E35=0,E49&lt;&gt;0))),IF(ISNUMBER(E97),IF(ABS(E98)&gt;ABS(E97),"拆法","觀點"),"觀點"),""),"")</f>
        <v/>
      </c>
      <c r="F100" s="45" t="str">
        <f aca="false">IF(ISNUMBER(F49),IF(IF(ISNUMBER(F54),ABS(F54)&gt;輸入與假設!$C$334,OR(AND(F35&lt;&gt;0,ABS(F49)&gt;輸入與假設!$C$333*ABS(F35)),AND(F35=0,F49&lt;&gt;0))),IF(ISNUMBER(F97),IF(ABS(F98)&gt;ABS(F97),"拆法","觀點"),"觀點"),""),"")</f>
        <v/>
      </c>
      <c r="G100" s="45" t="str">
        <f aca="false">IF(ISNUMBER(G49),IF(IF(ISNUMBER(G54),ABS(G54)&gt;輸入與假設!$C$334,OR(AND(G35&lt;&gt;0,ABS(G49)&gt;輸入與假設!$C$333*ABS(G35)),AND(G35=0,G49&lt;&gt;0))),IF(ISNUMBER(G97),IF(ABS(G98)&gt;ABS(G97),"拆法","觀點"),"觀點"),""),"")</f>
        <v/>
      </c>
      <c r="H100" s="45" t="str">
        <f aca="false">IF(ISNUMBER(H49),IF(IF(ISNUMBER(H54),ABS(H54)&gt;輸入與假設!$C$334,OR(AND(H35&lt;&gt;0,ABS(H49)&gt;輸入與假設!$C$333*ABS(H35)),AND(H35=0,H49&lt;&gt;0))),IF(ISNUMBER(H97),IF(ABS(H98)&gt;ABS(H97),"拆法","觀點"),"觀點"),""),"")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1044</v>
      </c>
      <c r="C101" s="45"/>
      <c r="D101" s="45"/>
      <c r="E101" s="45"/>
      <c r="F101" s="45"/>
      <c r="G101" s="45"/>
      <c r="H101" s="45"/>
    </row>
    <row r="102" customFormat="false" ht="15" hidden="true" customHeight="false" outlineLevel="1" collapsed="false">
      <c r="A102" s="3" t="s">
        <v>1045</v>
      </c>
      <c r="C102" s="45"/>
      <c r="D102" s="45"/>
      <c r="E102" s="45"/>
      <c r="F102" s="45"/>
      <c r="G102" s="45"/>
      <c r="H102" s="45"/>
    </row>
    <row r="103" customFormat="false" ht="15" hidden="true" customHeight="false" outlineLevel="1" collapsed="false">
      <c r="A103" s="3" t="s">
        <v>1046</v>
      </c>
      <c r="C103" s="45" t="str">
        <f aca="false">IF(ISNUMBER(C51),IF(IF(ISNUMBER(C56),ABS(C56)&gt;輸入與假設!$C$334,OR(AND(C28&lt;&gt;0,ABS(C51)&gt;輸入與假設!$C$333*ABS(C28)),AND(C28=0,C51&lt;&gt;0))),"調整後 EBITDA 實際 vs 模型 "&amp;IF(C51&lt;0,"−","+")&amp;IF(ABS(C51)&lt;0,"−","")&amp;"$"&amp;TEXT(ABS(ABS(C51)),"#,##0.00")&amp;"bn"&amp;IF(ISNUMBER(C56),"／"&amp;IF(C56&lt;0,"−","+")&amp;TEXT(ABS(C56)*100,"#,##0.0")&amp;"pt","")&amp;"：觀點（"&amp;"模型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營業利益＋折舊）"&amp;"）",""),"")</f>
        <v/>
      </c>
      <c r="D103" s="45" t="str">
        <f aca="false">IF(ISNUMBER(D51),IF(IF(ISNUMBER(D56),ABS(D56)&gt;輸入與假設!$C$334,OR(AND(D28&lt;&gt;0,ABS(D51)&gt;輸入與假設!$C$333*ABS(D28)),AND(D28=0,D51&lt;&gt;0))),"調整後 EBITDA 實際 vs 模型 "&amp;IF(D51&lt;0,"−","+")&amp;IF(ABS(D51)&lt;0,"−","")&amp;"$"&amp;TEXT(ABS(ABS(D51)),"#,##0.00")&amp;"bn"&amp;IF(ISNUMBER(D56),"／"&amp;IF(D56&lt;0,"−","+")&amp;TEXT(ABS(D56)*100,"#,##0.0")&amp;"pt","")&amp;"：觀點（"&amp;"模型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營業利益＋折舊）"&amp;"）",""),"")</f>
        <v/>
      </c>
      <c r="E103" s="45" t="str">
        <f aca="false">IF(ISNUMBER(E51),IF(IF(ISNUMBER(E56),ABS(E56)&gt;輸入與假設!$C$334,OR(AND(E28&lt;&gt;0,ABS(E51)&gt;輸入與假設!$C$333*ABS(E28)),AND(E28=0,E51&lt;&gt;0))),"調整後 EBITDA 實際 vs 模型 "&amp;IF(E51&lt;0,"−","+")&amp;IF(ABS(E51)&lt;0,"−","")&amp;"$"&amp;TEXT(ABS(ABS(E51)),"#,##0.00")&amp;"bn"&amp;IF(ISNUMBER(E56),"／"&amp;IF(E56&lt;0,"−","+")&amp;TEXT(ABS(E56)*100,"#,##0.0")&amp;"pt","")&amp;"：觀點（"&amp;"模型 EBITDA 率 "&amp;IF((E27)&lt;0,"−","")&amp;TEXT(ABS((E27))*100,"#,##0.0")&amp;"%"&amp;"；季度共識 EBITDA "&amp;"不適用"&amp;"、營收 "&amp;"不適用"&amp;"（共識 EBITDA＝非 GAAP 營業利益＋折舊）"&amp;"）",""),"")</f>
        <v/>
      </c>
      <c r="F103" s="45" t="str">
        <f aca="false">IF(ISNUMBER(F51),IF(IF(ISNUMBER(F56),ABS(F56)&gt;輸入與假設!$C$334,OR(AND(F28&lt;&gt;0,ABS(F51)&gt;輸入與假設!$C$333*ABS(F28)),AND(F28=0,F51&lt;&gt;0))),"調整後 EBITDA 實際 vs 模型 "&amp;IF(F51&lt;0,"−","+")&amp;IF(ABS(F51)&lt;0,"−","")&amp;"$"&amp;TEXT(ABS(ABS(F51)),"#,##0.00")&amp;"bn"&amp;IF(ISNUMBER(F56),"／"&amp;IF(F56&lt;0,"−","+")&amp;TEXT(ABS(F56)*100,"#,##0.0")&amp;"pt","")&amp;"：觀點（"&amp;"模型 EBITDA 率 "&amp;IF((F27)&lt;0,"−","")&amp;TEXT(ABS((F27))*100,"#,##0.0")&amp;"%"&amp;"；季度共識 EBITDA "&amp;"不適用"&amp;"、營收 "&amp;"不適用"&amp;"（共識 EBITDA＝非 GAAP 營業利益＋折舊）"&amp;"）",""),"")</f>
        <v/>
      </c>
      <c r="G103" s="45" t="str">
        <f aca="false">IF(ISNUMBER(G51),IF(IF(ISNUMBER(G56),ABS(G56)&gt;輸入與假設!$C$334,OR(AND(G28&lt;&gt;0,ABS(G51)&gt;輸入與假設!$C$333*ABS(G28)),AND(G28=0,G51&lt;&gt;0))),"調整後 EBITDA 實際 vs 模型 "&amp;IF(G51&lt;0,"−","+")&amp;IF(ABS(G51)&lt;0,"−","")&amp;"$"&amp;TEXT(ABS(ABS(G51)),"#,##0.00")&amp;"bn"&amp;IF(ISNUMBER(G56),"／"&amp;IF(G56&lt;0,"−","+")&amp;TEXT(ABS(G56)*100,"#,##0.0")&amp;"pt","")&amp;"：觀點（"&amp;"模型 EBITDA 率 "&amp;IF((G27)&lt;0,"−","")&amp;TEXT(ABS((G27))*100,"#,##0.0")&amp;"%"&amp;"；季度共識 EBITDA "&amp;"不適用"&amp;"、營收 "&amp;"不適用"&amp;"（共識 EBITDA＝非 GAAP 營業利益＋折舊）"&amp;"）",""),"")</f>
        <v/>
      </c>
      <c r="H103" s="45" t="str">
        <f aca="false">IF(ISNUMBER(H51),IF(IF(ISNUMBER(H56),ABS(H56)&gt;輸入與假設!$C$334,OR(AND(H28&lt;&gt;0,ABS(H51)&gt;輸入與假設!$C$333*ABS(H28)),AND(H28=0,H51&lt;&gt;0))),"調整後 EBITDA 實際 vs 模型 "&amp;IF(H51&lt;0,"−","+")&amp;IF(ABS(H51)&lt;0,"−","")&amp;"$"&amp;TEXT(ABS(ABS(H51)),"#,##0.00")&amp;"bn"&amp;IF(ISNUMBER(H56),"／"&amp;IF(H56&lt;0,"−","+")&amp;TEXT(ABS(H56)*100,"#,##0.0")&amp;"pt","")&amp;"：觀點（"&amp;"模型 EBITDA 率 "&amp;IF((H27)&lt;0,"−","")&amp;TEXT(ABS((H27))*100,"#,##0.0")&amp;"%"&amp;"；季度共識 EBITDA "&amp;"不適用"&amp;"、營收 "&amp;"不適用"&amp;"（共識 EBITDA＝非 GAAP 營業利益＋折舊）"&amp;"）",""),"")</f>
        <v/>
      </c>
    </row>
    <row r="104" customFormat="false" ht="15" hidden="true" customHeight="false" outlineLevel="1" collapsed="false">
      <c r="A104" s="3" t="s">
        <v>1047</v>
      </c>
      <c r="C104" s="45" t="str">
        <f aca="false">IF(ISNUMBER(C51),IF(IF(ISNUMBER(C56),ABS(C56)&gt;輸入與假設!$C$334,OR(AND(C28&lt;&gt;0,ABS(C51)&gt;輸入與假設!$C$333*ABS(C28)),AND(C28=0,C51&lt;&gt;0))),"觀點",""),"")</f>
        <v/>
      </c>
      <c r="D104" s="45" t="str">
        <f aca="false">IF(ISNUMBER(D51),IF(IF(ISNUMBER(D56),ABS(D56)&gt;輸入與假設!$C$334,OR(AND(D28&lt;&gt;0,ABS(D51)&gt;輸入與假設!$C$333*ABS(D28)),AND(D28=0,D51&lt;&gt;0))),"觀點",""),"")</f>
        <v/>
      </c>
      <c r="E104" s="45" t="str">
        <f aca="false">IF(ISNUMBER(E51),IF(IF(ISNUMBER(E56),ABS(E56)&gt;輸入與假設!$C$334,OR(AND(E28&lt;&gt;0,ABS(E51)&gt;輸入與假設!$C$333*ABS(E28)),AND(E28=0,E51&lt;&gt;0))),"觀點",""),"")</f>
        <v/>
      </c>
      <c r="F104" s="45" t="str">
        <f aca="false">IF(ISNUMBER(F51),IF(IF(ISNUMBER(F56),ABS(F56)&gt;輸入與假設!$C$334,OR(AND(F28&lt;&gt;0,ABS(F51)&gt;輸入與假設!$C$333*ABS(F28)),AND(F28=0,F51&lt;&gt;0))),"觀點",""),"")</f>
        <v/>
      </c>
      <c r="G104" s="45" t="str">
        <f aca="false">IF(ISNUMBER(G51),IF(IF(ISNUMBER(G56),ABS(G56)&gt;輸入與假設!$C$334,OR(AND(G28&lt;&gt;0,ABS(G51)&gt;輸入與假設!$C$333*ABS(G28)),AND(G28=0,G51&lt;&gt;0))),"觀點",""),"")</f>
        <v/>
      </c>
      <c r="H104" s="45" t="str">
        <f aca="false">IF(ISNUMBER(H51),IF(IF(ISNUMBER(H56),ABS(H56)&gt;輸入與假設!$C$334,OR(AND(H28&lt;&gt;0,ABS(H51)&gt;輸入與假設!$C$333*ABS(H28)),AND(H28=0,H51&lt;&gt;0))),"觀點",""),"")</f>
        <v/>
      </c>
    </row>
    <row r="105" customFormat="false" ht="15" hidden="true" customHeight="false" outlineLevel="1" collapsed="false">
      <c r="A105" s="3" t="s">
        <v>1048</v>
      </c>
      <c r="C105" s="45"/>
      <c r="D105" s="45"/>
      <c r="E105" s="45"/>
      <c r="F105" s="45"/>
      <c r="G105" s="45"/>
      <c r="H105" s="45"/>
    </row>
    <row r="106" customFormat="false" ht="15" hidden="true" customHeight="false" outlineLevel="1" collapsed="false">
      <c r="A106" s="3" t="s">
        <v>1049</v>
      </c>
      <c r="C106" s="45"/>
      <c r="D106" s="45"/>
      <c r="E106" s="45"/>
      <c r="F106" s="45"/>
      <c r="G106" s="45"/>
      <c r="H106" s="45"/>
    </row>
    <row r="107" customFormat="false" ht="15" hidden="true" customHeight="false" outlineLevel="1" collapsed="false">
      <c r="A107" s="3" t="s">
        <v>1050</v>
      </c>
      <c r="C107" s="45"/>
      <c r="D107" s="45"/>
      <c r="E107" s="45"/>
      <c r="F107" s="45"/>
      <c r="G107" s="45"/>
      <c r="H107" s="45"/>
    </row>
    <row r="108" customFormat="false" ht="15" hidden="true" customHeight="false" outlineLevel="1" collapsed="false">
      <c r="A108" s="3" t="s">
        <v>1051</v>
      </c>
      <c r="C108" s="45"/>
      <c r="D108" s="45"/>
      <c r="E108" s="45"/>
      <c r="F108" s="45"/>
      <c r="G108" s="45"/>
      <c r="H108" s="45"/>
    </row>
    <row r="109" customFormat="false" ht="15" hidden="true" customHeight="false" outlineLevel="1" collapsed="false">
      <c r="A109" s="3" t="s">
        <v>1052</v>
      </c>
      <c r="C109" s="45" t="str">
        <f aca="false">IF(ISNUMBER(C66),IF(IF(ISNUMBER(C71),ABS(C71)&gt;輸入與假設!$C$334,OR(AND(C30&lt;&gt;0,ABS(C66)&gt;輸入與假設!$C$333*ABS(C30)),AND(C30=0,C66&lt;&gt;0))),"調整後營業利益 實際 vs 模型 "&amp;IF(C66&lt;0,"−","+")&amp;IF(ABS(C66)&lt;0,"−","")&amp;"$"&amp;TEXT(ABS(ABS(C66)),"#,##0.00")&amp;"bn"&amp;IF(ISNUMBER(C71),"／"&amp;IF(C71&lt;0,"−","+")&amp;TEXT(ABS(C71)*100,"#,##0.0")&amp;"pt","")&amp;"：已知限制（"&amp;"模型車隊折舊 "&amp;IF((C29)&lt;0,"−","")&amp;TEXT(ABS((C29)),"#,##0.00")&amp;" 以校準後期初 PP&amp;E 與成長型 CapEx 計，未扣 SBC；與公司非 GAAP 營業利益口徑不同"&amp;"）",""),"")</f>
        <v/>
      </c>
      <c r="D109" s="45" t="str">
        <f aca="false">IF(ISNUMBER(D66),IF(IF(ISNUMBER(D71),ABS(D71)&gt;輸入與假設!$C$334,OR(AND(D30&lt;&gt;0,ABS(D66)&gt;輸入與假設!$C$333*ABS(D30)),AND(D30=0,D66&lt;&gt;0))),"調整後營業利益 實際 vs 模型 "&amp;IF(D66&lt;0,"−","+")&amp;IF(ABS(D66)&lt;0,"−","")&amp;"$"&amp;TEXT(ABS(ABS(D66)),"#,##0.00")&amp;"bn"&amp;IF(ISNUMBER(D71),"／"&amp;IF(D71&lt;0,"−","+")&amp;TEXT(ABS(D71)*100,"#,##0.0")&amp;"pt","")&amp;"：已知限制（"&amp;"模型車隊折舊 "&amp;IF((D29)&lt;0,"−","")&amp;TEXT(ABS((D29)),"#,##0.00")&amp;" 以校準後期初 PP&amp;E 與成長型 CapEx 計，未扣 SBC；與公司非 GAAP 營業利益口徑不同"&amp;"）",""),"")</f>
        <v/>
      </c>
      <c r="E109" s="45" t="str">
        <f aca="false">IF(ISNUMBER(E66),IF(IF(ISNUMBER(E71),ABS(E71)&gt;輸入與假設!$C$334,OR(AND(E30&lt;&gt;0,ABS(E66)&gt;輸入與假設!$C$333*ABS(E30)),AND(E30=0,E66&lt;&gt;0))),"調整後營業利益 實際 vs 模型 "&amp;IF(E66&lt;0,"−","+")&amp;IF(ABS(E66)&lt;0,"−","")&amp;"$"&amp;TEXT(ABS(ABS(E66)),"#,##0.00")&amp;"bn"&amp;IF(ISNUMBER(E71),"／"&amp;IF(E71&lt;0,"−","+")&amp;TEXT(ABS(E71)*100,"#,##0.0")&amp;"pt","")&amp;"：已知限制（"&amp;"模型車隊折舊 "&amp;IF((E29)&lt;0,"−","")&amp;TEXT(ABS((E29)),"#,##0.00")&amp;" 以校準後期初 PP&amp;E 與成長型 CapEx 計，未扣 SBC；與公司非 GAAP 營業利益口徑不同"&amp;"）",""),"")</f>
        <v/>
      </c>
      <c r="F109" s="45" t="str">
        <f aca="false">IF(ISNUMBER(F66),IF(IF(ISNUMBER(F71),ABS(F71)&gt;輸入與假設!$C$334,OR(AND(F30&lt;&gt;0,ABS(F66)&gt;輸入與假設!$C$333*ABS(F30)),AND(F30=0,F66&lt;&gt;0))),"調整後營業利益 實際 vs 模型 "&amp;IF(F66&lt;0,"−","+")&amp;IF(ABS(F66)&lt;0,"−","")&amp;"$"&amp;TEXT(ABS(ABS(F66)),"#,##0.00")&amp;"bn"&amp;IF(ISNUMBER(F71),"／"&amp;IF(F71&lt;0,"−","+")&amp;TEXT(ABS(F71)*100,"#,##0.0")&amp;"pt","")&amp;"：已知限制（"&amp;"模型車隊折舊 "&amp;IF((F29)&lt;0,"−","")&amp;TEXT(ABS((F29)),"#,##0.00")&amp;" 以校準後期初 PP&amp;E 與成長型 CapEx 計，未扣 SBC；與公司非 GAAP 營業利益口徑不同"&amp;"）",""),"")</f>
        <v/>
      </c>
      <c r="G109" s="45" t="str">
        <f aca="false">IF(ISNUMBER(G66),IF(IF(ISNUMBER(G71),ABS(G71)&gt;輸入與假設!$C$334,OR(AND(G30&lt;&gt;0,ABS(G66)&gt;輸入與假設!$C$333*ABS(G30)),AND(G30=0,G66&lt;&gt;0))),"調整後營業利益 實際 vs 模型 "&amp;IF(G66&lt;0,"−","+")&amp;IF(ABS(G66)&lt;0,"−","")&amp;"$"&amp;TEXT(ABS(ABS(G66)),"#,##0.00")&amp;"bn"&amp;IF(ISNUMBER(G71),"／"&amp;IF(G71&lt;0,"−","+")&amp;TEXT(ABS(G71)*100,"#,##0.0")&amp;"pt","")&amp;"：已知限制（"&amp;"模型車隊折舊 "&amp;IF((G29)&lt;0,"−","")&amp;TEXT(ABS((G29)),"#,##0.00")&amp;" 以校準後期初 PP&amp;E 與成長型 CapEx 計，未扣 SBC；與公司非 GAAP 營業利益口徑不同"&amp;"）",""),"")</f>
        <v/>
      </c>
      <c r="H109" s="45" t="str">
        <f aca="false">IF(ISNUMBER(H66),IF(IF(ISNUMBER(H71),ABS(H71)&gt;輸入與假設!$C$334,OR(AND(H30&lt;&gt;0,ABS(H66)&gt;輸入與假設!$C$333*ABS(H30)),AND(H30=0,H66&lt;&gt;0))),"調整後營業利益 實際 vs 模型 "&amp;IF(H66&lt;0,"−","+")&amp;IF(ABS(H66)&lt;0,"−","")&amp;"$"&amp;TEXT(ABS(ABS(H66)),"#,##0.00")&amp;"bn"&amp;IF(ISNUMBER(H71),"／"&amp;IF(H71&lt;0,"−","+")&amp;TEXT(ABS(H71)*100,"#,##0.0")&amp;"pt","")&amp;"：已知限制（"&amp;"模型車隊折舊 "&amp;IF((H29)&lt;0,"−","")&amp;TEXT(ABS((H29)),"#,##0.00")&amp;" 以校準後期初 PP&amp;E 與成長型 CapEx 計，未扣 SBC；與公司非 GAAP 營業利益口徑不同"&amp;"）",""),"")</f>
        <v/>
      </c>
    </row>
    <row r="110" customFormat="false" ht="15" hidden="true" customHeight="false" outlineLevel="1" collapsed="false">
      <c r="A110" s="3" t="s">
        <v>1053</v>
      </c>
      <c r="C110" s="45" t="str">
        <f aca="false">IF(ISNUMBER(C66),IF(IF(ISNUMBER(C71),ABS(C71)&gt;輸入與假設!$C$334,OR(AND(C30&lt;&gt;0,ABS(C66)&gt;輸入與假設!$C$333*ABS(C30)),AND(C30=0,C66&lt;&gt;0))),"已知限制",""),"")</f>
        <v/>
      </c>
      <c r="D110" s="45" t="str">
        <f aca="false">IF(ISNUMBER(D66),IF(IF(ISNUMBER(D71),ABS(D71)&gt;輸入與假設!$C$334,OR(AND(D30&lt;&gt;0,ABS(D66)&gt;輸入與假設!$C$333*ABS(D30)),AND(D30=0,D66&lt;&gt;0))),"已知限制",""),"")</f>
        <v/>
      </c>
      <c r="E110" s="45" t="str">
        <f aca="false">IF(ISNUMBER(E66),IF(IF(ISNUMBER(E71),ABS(E71)&gt;輸入與假設!$C$334,OR(AND(E30&lt;&gt;0,ABS(E66)&gt;輸入與假設!$C$333*ABS(E30)),AND(E30=0,E66&lt;&gt;0))),"已知限制",""),"")</f>
        <v/>
      </c>
      <c r="F110" s="45" t="str">
        <f aca="false">IF(ISNUMBER(F66),IF(IF(ISNUMBER(F71),ABS(F71)&gt;輸入與假設!$C$334,OR(AND(F30&lt;&gt;0,ABS(F66)&gt;輸入與假設!$C$333*ABS(F30)),AND(F30=0,F66&lt;&gt;0))),"已知限制",""),"")</f>
        <v/>
      </c>
      <c r="G110" s="45" t="str">
        <f aca="false">IF(ISNUMBER(G66),IF(IF(ISNUMBER(G71),ABS(G71)&gt;輸入與假設!$C$334,OR(AND(G30&lt;&gt;0,ABS(G66)&gt;輸入與假設!$C$333*ABS(G30)),AND(G30=0,G66&lt;&gt;0))),"已知限制",""),"")</f>
        <v/>
      </c>
      <c r="H110" s="45" t="str">
        <f aca="false">IF(ISNUMBER(H66),IF(IF(ISNUMBER(H71),ABS(H71)&gt;輸入與假設!$C$334,OR(AND(H30&lt;&gt;0,ABS(H66)&gt;輸入與假設!$C$333*ABS(H30)),AND(H30=0,H66&lt;&gt;0))),"已知限制",""),"")</f>
        <v/>
      </c>
    </row>
    <row r="111" customFormat="false" ht="15" hidden="true" customHeight="false" outlineLevel="1" collapsed="false">
      <c r="A111" s="3" t="s">
        <v>1054</v>
      </c>
      <c r="C111" s="45"/>
      <c r="D111" s="45"/>
      <c r="E111" s="45"/>
      <c r="F111" s="45"/>
      <c r="G111" s="45"/>
      <c r="H111" s="45"/>
    </row>
    <row r="112" customFormat="false" ht="15" hidden="true" customHeight="false" outlineLevel="1" collapsed="false">
      <c r="A112" s="3" t="s">
        <v>1055</v>
      </c>
      <c r="C112" s="45"/>
      <c r="D112" s="45"/>
      <c r="E112" s="45"/>
      <c r="F112" s="45"/>
      <c r="G112" s="45"/>
      <c r="H112" s="45"/>
    </row>
    <row r="113" customFormat="false" ht="15" hidden="true" customHeight="false" outlineLevel="1" collapsed="false">
      <c r="A113" s="3" t="s">
        <v>1056</v>
      </c>
      <c r="C113" s="45"/>
      <c r="D113" s="45"/>
      <c r="E113" s="45"/>
      <c r="F113" s="45"/>
      <c r="G113" s="45"/>
      <c r="H113" s="45"/>
    </row>
    <row r="114" customFormat="false" ht="15" hidden="true" customHeight="false" outlineLevel="1" collapsed="false">
      <c r="A114" s="3" t="s">
        <v>1057</v>
      </c>
      <c r="C114" s="45"/>
      <c r="D114" s="45"/>
      <c r="E114" s="45"/>
      <c r="F114" s="45"/>
      <c r="G114" s="45"/>
      <c r="H114" s="45"/>
    </row>
    <row r="115" customFormat="false" ht="15" hidden="true" customHeight="false" outlineLevel="1" collapsed="false">
      <c r="A115" s="3" t="s">
        <v>1058</v>
      </c>
      <c r="C115" s="45" t="str">
        <f aca="false">IF(ISNUMBER(C76),IF(ABS(C76)&gt;輸入與假設!$C$333,"CapEx（毛額） 實際 vs 模型 "&amp;IF(C76&lt;0,"−","+")&amp;TEXT(ABS(C76)*100,"#,##0.0")&amp;"%"&amp;"：觀點（"&amp;"CapEx 依新增已連網 MW × 每 MW IT 建置成本（Tokenomics IF_CapexIT；機房由開發商建、以租賃取得）計算；客戶自帶硬體不建模"&amp;"）",""),"")</f>
        <v/>
      </c>
      <c r="D115" s="45" t="str">
        <f aca="false">IF(ISNUMBER(D76),IF(ABS(D76)&gt;輸入與假設!$C$333,"CapEx（毛額） 實際 vs 模型 "&amp;IF(D76&lt;0,"−","+")&amp;TEXT(ABS(D76)*100,"#,##0.0")&amp;"%"&amp;"：觀點（"&amp;"CapEx 依新增已連網 MW × 每 MW IT 建置成本（Tokenomics IF_CapexIT；機房由開發商建、以租賃取得）計算；客戶自帶硬體不建模"&amp;"）",""),"")</f>
        <v/>
      </c>
      <c r="E115" s="45" t="str">
        <f aca="false">IF(ISNUMBER(E76),IF(ABS(E76)&gt;輸入與假設!$C$333,"CapEx（毛額） 實際 vs 模型 "&amp;IF(E76&lt;0,"−","+")&amp;TEXT(ABS(E76)*100,"#,##0.0")&amp;"%"&amp;"：觀點（"&amp;"CapEx 依新增已連網 MW × 每 MW IT 建置成本（Tokenomics IF_CapexIT；機房由開發商建、以租賃取得）計算；客戶自帶硬體不建模"&amp;"）",""),"")</f>
        <v/>
      </c>
      <c r="F115" s="45" t="str">
        <f aca="false">IF(ISNUMBER(F76),IF(ABS(F76)&gt;輸入與假設!$C$333,"CapEx（毛額） 實際 vs 模型 "&amp;IF(F76&lt;0,"−","+")&amp;TEXT(ABS(F76)*100,"#,##0.0")&amp;"%"&amp;"：觀點（"&amp;"CapEx 依新增已連網 MW × 每 MW IT 建置成本（Tokenomics IF_CapexIT；機房由開發商建、以租賃取得）計算；客戶自帶硬體不建模"&amp;"）",""),"")</f>
        <v/>
      </c>
      <c r="G115" s="45" t="str">
        <f aca="false">IF(ISNUMBER(G76),IF(ABS(G76)&gt;輸入與假設!$C$333,"CapEx（毛額） 實際 vs 模型 "&amp;IF(G76&lt;0,"−","+")&amp;TEXT(ABS(G76)*100,"#,##0.0")&amp;"%"&amp;"：觀點（"&amp;"CapEx 依新增已連網 MW × 每 MW IT 建置成本（Tokenomics IF_CapexIT；機房由開發商建、以租賃取得）計算；客戶自帶硬體不建模"&amp;"）",""),"")</f>
        <v/>
      </c>
      <c r="H115" s="45" t="str">
        <f aca="false">IF(ISNUMBER(H76),IF(ABS(H76)&gt;輸入與假設!$C$333,"CapEx（毛額） 實際 vs 模型 "&amp;IF(H76&lt;0,"−","+")&amp;TEXT(ABS(H76)*100,"#,##0.0")&amp;"%"&amp;"：觀點（"&amp;"CapEx 依新增已連網 MW × 每 MW IT 建置成本（Tokenomics IF_CapexIT；機房由開發商建、以租賃取得）計算；客戶自帶硬體不建模"&amp;"）",""),"")</f>
        <v/>
      </c>
    </row>
    <row r="116" customFormat="false" ht="15" hidden="true" customHeight="false" outlineLevel="1" collapsed="false">
      <c r="A116" s="3" t="s">
        <v>1059</v>
      </c>
      <c r="C116" s="45" t="str">
        <f aca="false">IF(ISNUMBER(C76),IF(ABS(C76)&gt;輸入與假設!$C$333,"觀點",""),"")</f>
        <v/>
      </c>
      <c r="D116" s="45" t="str">
        <f aca="false">IF(ISNUMBER(D76),IF(ABS(D76)&gt;輸入與假設!$C$333,"觀點",""),"")</f>
        <v/>
      </c>
      <c r="E116" s="45" t="str">
        <f aca="false">IF(ISNUMBER(E76),IF(ABS(E76)&gt;輸入與假設!$C$333,"觀點",""),"")</f>
        <v/>
      </c>
      <c r="F116" s="45" t="str">
        <f aca="false">IF(ISNUMBER(F76),IF(ABS(F76)&gt;輸入與假設!$C$333,"觀點",""),"")</f>
        <v/>
      </c>
      <c r="G116" s="45" t="str">
        <f aca="false">IF(ISNUMBER(G76),IF(ABS(G76)&gt;輸入與假設!$C$333,"觀點",""),"")</f>
        <v/>
      </c>
      <c r="H116" s="45" t="str">
        <f aca="false">IF(ISNUMBER(H76),IF(ABS(H76)&gt;輸入與假設!$C$333,"觀點",""),"")</f>
        <v/>
      </c>
    </row>
    <row r="117" customFormat="false" ht="15" hidden="true" customHeight="false" outlineLevel="1" collapsed="false">
      <c r="A117" s="3" t="s">
        <v>1060</v>
      </c>
      <c r="C117" s="45"/>
      <c r="D117" s="45"/>
      <c r="E117" s="45"/>
      <c r="F117" s="45"/>
      <c r="G117" s="45"/>
      <c r="H117" s="45"/>
    </row>
    <row r="118" customFormat="false" ht="15" hidden="true" customHeight="false" outlineLevel="1" collapsed="false">
      <c r="A118" s="3" t="s">
        <v>1061</v>
      </c>
      <c r="C118" s="45"/>
      <c r="D118" s="45"/>
      <c r="E118" s="45"/>
      <c r="F118" s="45"/>
      <c r="G118" s="45"/>
      <c r="H118" s="45"/>
    </row>
    <row r="119" customFormat="false" ht="15" hidden="true" customHeight="false" outlineLevel="1" collapsed="false">
      <c r="A119" s="3" t="s">
        <v>1062</v>
      </c>
      <c r="C119" s="45"/>
      <c r="D119" s="45"/>
      <c r="E119" s="45"/>
      <c r="F119" s="45"/>
      <c r="G119" s="45"/>
      <c r="H119" s="45"/>
    </row>
    <row r="120" customFormat="false" ht="15" hidden="true" customHeight="false" outlineLevel="1" collapsed="false">
      <c r="A120" s="3" t="s">
        <v>1063</v>
      </c>
      <c r="C120" s="45"/>
      <c r="D120" s="45"/>
      <c r="E120" s="45"/>
      <c r="F120" s="45"/>
      <c r="G120" s="45"/>
      <c r="H120" s="45"/>
    </row>
    <row r="121" customFormat="false" ht="15" hidden="true" customHeight="false" outlineLevel="1" collapsed="false">
      <c r="A121" s="3" t="s">
        <v>1064</v>
      </c>
      <c r="C121" s="45"/>
      <c r="D121" s="45"/>
      <c r="E121" s="45"/>
      <c r="F121" s="45"/>
      <c r="G121" s="45"/>
      <c r="H121" s="45"/>
    </row>
    <row r="122" customFormat="false" ht="15" hidden="true" customHeight="false" outlineLevel="1" collapsed="false">
      <c r="A122" s="3" t="s">
        <v>1065</v>
      </c>
      <c r="C122" s="45"/>
      <c r="D122" s="45"/>
      <c r="E122" s="45"/>
      <c r="F122" s="45"/>
      <c r="G122" s="45"/>
      <c r="H122" s="45"/>
    </row>
    <row r="123" customFormat="false" ht="15" hidden="true" customHeight="false" outlineLevel="1" collapsed="false">
      <c r="A123" s="3" t="s">
        <v>1066</v>
      </c>
      <c r="C123" s="45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−4.3%：觀點（水準 −$2.085bn（2Q–4Q27 模型 $63.706bn，指引隱含 $70.655bn）；分配 +$1.178bn；OCI 營收＝在役 MW × 每 MW 年收入（Tokenomics 正向推導），期初可計費 MW 以 Q1 實際 OCI 年化校準；傳統事業四線依近四季年增率；共識未揭露 MW 與單價假設）</v>
      </c>
      <c r="D123" s="45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>營收 vs 共識 −9.2%：觀點（OCI 營收＝在役 MW × 每 MW 年收入（Tokenomics 正向推導），期初可計費 MW 以 Q1 實際 OCI 年化校準；傳統事業四線依近四季年增率；共識未揭露 MW 與單價假設）</v>
      </c>
      <c r="E123" s="45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5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5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5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1067</v>
      </c>
      <c r="C124" s="45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5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>〔觀點〕</v>
      </c>
      <c r="E124" s="45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5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5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5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1068</v>
      </c>
      <c r="C125" s="45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5" s="45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5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5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5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5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1069</v>
      </c>
      <c r="C126" s="45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/>
      </c>
      <c r="D126" s="45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5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5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5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5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1070</v>
      </c>
      <c r="C127" s="45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5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5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5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5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5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1071</v>
      </c>
      <c r="C128" s="45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5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5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5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5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5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1072</v>
      </c>
      <c r="C129" s="45" t="str">
        <f aca="false">"營收：模型 "&amp;IF(ISNUMBER(C22),IF(C22&lt;0,"−","")&amp;"$"&amp;TEXT(ABS(C22),"#,##0.00")&amp;"bn","不適用")&amp;IF(ISNUMBER(C34),"｜共識 "&amp;IF(C34&lt;0,"−","")&amp;"$"&amp;TEXT(ABS(C34),"#,##0.00")&amp;"bn"&amp;"（"&amp;IF(ISNUMBER(C44),IF(C44&lt;0,"−","+")&amp;TEXT(ABS(C44)*100,"#,##0.0")&amp;"%","不適用")&amp;"）","")&amp;IF(AND(ISNUMBER(C31),ISNUMBER(C32)),"｜指引 "&amp;"$"&amp;IF(C31&lt;0,"−","")&amp;TEXT(ABS(C31),"#,##0.00")&amp;"–"&amp;IF(C32&lt;0,"−","")&amp;TEXT(ABS(C32),"#,##0.00")&amp;"bn"&amp;"（中點 "&amp;IF(ISNUMBER(C45),IF(C45&lt;0,"−","+")&amp;TEXT(ABS(C45)*100,"#,##0.0")&amp;"%","不適用")&amp;"，"&amp;IF(C22&gt;C32,"高於上緣",IF(C22&lt;C31,"低於下緣",IF(C22&gt;=(C31+C32)/2,"區間上半部","區間下半部")))&amp;"）","")&amp;IF(ISNUMBER(C38),"｜實際 "&amp;IF(C38&lt;0,"−","")&amp;"$"&amp;TEXT(ABS(C38),"#,##0.00")&amp;"bn"&amp;"（較模型 "&amp;IF(ISNUMBER(C46),IF(C46&lt;0,"−","+")&amp;TEXT(ABS(C46)*100,"#,##0.0")&amp;"%","不適用")&amp;IF(ISNUMBER(C34),"、較共識 "&amp;IF(ISNUMBER(C47),IF(C47&lt;0,"−","+")&amp;TEXT(ABS(C47)*100,"#,##0.0")&amp;"%","不適用"),"")&amp;IF(AND(ISNUMBER(C31),ISNUMBER(C32)),"、"&amp;IF(C38&gt;C32,"高於上緣",IF(C38&lt;C31,"低於下緣",IF(C38&gt;=(C31+C32)/2,"區間上半部","區間下半部"))),"")&amp;"）","")&amp;C124</f>
        <v>營收：模型 $20.29bn｜共識 $21.32bn（−4.8%）｜指引 $20.88–21.52bn（中點 −4.3%，低於下緣）〔觀點〕</v>
      </c>
      <c r="D129" s="45" t="str">
        <f aca="false">"營收：模型 "&amp;IF(ISNUMBER(D22),IF(D22&lt;0,"−","")&amp;"$"&amp;TEXT(ABS(D22),"#,##0.00")&amp;"bn","不適用")&amp;IF(ISNUMBER(D34),"｜共識 "&amp;IF(D34&lt;0,"−","")&amp;"$"&amp;TEXT(ABS(D34),"#,##0.00")&amp;"bn"&amp;"（"&amp;IF(ISNUMBER(D44),IF(D44&lt;0,"−","+")&amp;TEXT(ABS(D44)*100,"#,##0.0")&amp;"%","不適用")&amp;"）","")&amp;IF(AND(ISNUMBER(D31),ISNUMBER(D32)),"｜指引 "&amp;"$"&amp;IF(D31&lt;0,"−","")&amp;TEXT(ABS(D31),"#,##0.00")&amp;"–"&amp;IF(D32&lt;0,"−","")&amp;TEXT(ABS(D32),"#,##0.00")&amp;"bn"&amp;"（中點 "&amp;IF(ISNUMBER(D45),IF(D45&lt;0,"−","+")&amp;TEXT(ABS(D45)*100,"#,##0.0")&amp;"%","不適用")&amp;"，"&amp;IF(D22&gt;D32,"高於上緣",IF(D22&lt;D31,"低於下緣",IF(D22&gt;=(D31+D32)/2,"區間上半部","區間下半部")))&amp;"）","")&amp;IF(ISNUMBER(D38),"｜實際 "&amp;IF(D38&lt;0,"−","")&amp;"$"&amp;TEXT(ABS(D38),"#,##0.00")&amp;"bn"&amp;"（較模型 "&amp;IF(ISNUMBER(D46),IF(D46&lt;0,"−","+")&amp;TEXT(ABS(D46)*100,"#,##0.0")&amp;"%","不適用")&amp;IF(ISNUMBER(D34),"、較共識 "&amp;IF(ISNUMBER(D47),IF(D47&lt;0,"−","+")&amp;TEXT(ABS(D47)*100,"#,##0.0")&amp;"%","不適用"),"")&amp;IF(AND(ISNUMBER(D31),ISNUMBER(D32)),"、"&amp;IF(D38&gt;D32,"高於上緣",IF(D38&lt;D31,"低於下緣",IF(D38&gt;=(D31+D32)/2,"區間上半部","區間下半部"))),"")&amp;"）","")&amp;D124</f>
        <v>營收：模型 $21.24bn｜共識 $23.38bn（−9.2%）〔觀點〕</v>
      </c>
      <c r="E129" s="45" t="str">
        <f aca="false">"營收：模型 "&amp;IF(ISNUMBER(E22),IF(E22&lt;0,"−","")&amp;"$"&amp;TEXT(ABS(E22),"#,##0.00")&amp;"bn","不適用")&amp;IF(ISNUMBER(E34),"｜共識 "&amp;IF(E34&lt;0,"−","")&amp;"$"&amp;TEXT(ABS(E34),"#,##0.00")&amp;"bn"&amp;"（"&amp;IF(ISNUMBER(E44),IF(E44&lt;0,"−","+")&amp;TEXT(ABS(E44)*100,"#,##0.0")&amp;"%","不適用")&amp;"）","")&amp;IF(AND(ISNUMBER(E31),ISNUMBER(E32)),"｜指引 "&amp;"$"&amp;IF(E31&lt;0,"−","")&amp;TEXT(ABS(E31),"#,##0.00")&amp;"–"&amp;IF(E32&lt;0,"−","")&amp;TEXT(ABS(E32),"#,##0.00")&amp;"bn"&amp;"（中點 "&amp;IF(ISNUMBER(E45),IF(E45&lt;0,"−","+")&amp;TEXT(ABS(E45)*100,"#,##0.0")&amp;"%","不適用")&amp;"，"&amp;IF(E22&gt;E32,"高於上緣",IF(E22&lt;E31,"低於下緣",IF(E22&gt;=(E31+E32)/2,"區間上半部","區間下半部")))&amp;"）","")&amp;IF(ISNUMBER(E38),"｜實際 "&amp;IF(E38&lt;0,"−","")&amp;"$"&amp;TEXT(ABS(E38),"#,##0.00")&amp;"bn"&amp;"（較模型 "&amp;IF(ISNUMBER(E46),IF(E46&lt;0,"−","+")&amp;TEXT(ABS(E46)*100,"#,##0.0")&amp;"%","不適用")&amp;IF(ISNUMBER(E34),"、較共識 "&amp;IF(ISNUMBER(E47),IF(E47&lt;0,"−","+")&amp;TEXT(ABS(E47)*100,"#,##0.0")&amp;"%","不適用"),"")&amp;IF(AND(ISNUMBER(E31),ISNUMBER(E32)),"、"&amp;IF(E38&gt;E32,"高於上緣",IF(E38&lt;E31,"低於下緣",IF(E38&gt;=(E31+E32)/2,"區間上半部","區間下半部"))),"")&amp;"）","")&amp;E124</f>
        <v>營收：模型 $22.18bn</v>
      </c>
      <c r="F129" s="45" t="str">
        <f aca="false">"營收：模型 "&amp;IF(ISNUMBER(F22),IF(F22&lt;0,"−","")&amp;"$"&amp;TEXT(ABS(F22),"#,##0.00")&amp;"bn","不適用")&amp;IF(ISNUMBER(F34),"｜共識 "&amp;IF(F34&lt;0,"−","")&amp;"$"&amp;TEXT(ABS(F34),"#,##0.00")&amp;"bn"&amp;"（"&amp;IF(ISNUMBER(F44),IF(F44&lt;0,"−","+")&amp;TEXT(ABS(F44)*100,"#,##0.0")&amp;"%","不適用")&amp;"）","")&amp;IF(AND(ISNUMBER(F31),ISNUMBER(F32)),"｜指引 "&amp;"$"&amp;IF(F31&lt;0,"−","")&amp;TEXT(ABS(F31),"#,##0.00")&amp;"–"&amp;IF(F32&lt;0,"−","")&amp;TEXT(ABS(F32),"#,##0.00")&amp;"bn"&amp;"（中點 "&amp;IF(ISNUMBER(F45),IF(F45&lt;0,"−","+")&amp;TEXT(ABS(F45)*100,"#,##0.0")&amp;"%","不適用")&amp;"，"&amp;IF(F22&gt;F32,"高於上緣",IF(F22&lt;F31,"低於下緣",IF(F22&gt;=(F31+F32)/2,"區間上半部","區間下半部")))&amp;"）","")&amp;IF(ISNUMBER(F38),"｜實際 "&amp;IF(F38&lt;0,"−","")&amp;"$"&amp;TEXT(ABS(F38),"#,##0.00")&amp;"bn"&amp;"（較模型 "&amp;IF(ISNUMBER(F46),IF(F46&lt;0,"−","+")&amp;TEXT(ABS(F46)*100,"#,##0.0")&amp;"%","不適用")&amp;IF(ISNUMBER(F34),"、較共識 "&amp;IF(ISNUMBER(F47),IF(F47&lt;0,"−","+")&amp;TEXT(ABS(F47)*100,"#,##0.0")&amp;"%","不適用"),"")&amp;IF(AND(ISNUMBER(F31),ISNUMBER(F32)),"、"&amp;IF(F38&gt;F32,"高於上緣",IF(F38&lt;F31,"低於下緣",IF(F38&gt;=(F31+F32)/2,"區間上半部","區間下半部"))),"")&amp;"）","")&amp;F124</f>
        <v>營收：模型 $28.58bn</v>
      </c>
      <c r="G129" s="45" t="str">
        <f aca="false">"營收：模型 "&amp;IF(ISNUMBER(G22),IF(G22&lt;0,"−","")&amp;"$"&amp;TEXT(ABS(G22),"#,##0.00")&amp;"bn","不適用")&amp;IF(ISNUMBER(G34),"｜共識 "&amp;IF(G34&lt;0,"−","")&amp;"$"&amp;TEXT(ABS(G34),"#,##0.00")&amp;"bn"&amp;"（"&amp;IF(ISNUMBER(G44),IF(G44&lt;0,"−","+")&amp;TEXT(ABS(G44)*100,"#,##0.0")&amp;"%","不適用")&amp;"）","")&amp;IF(AND(ISNUMBER(G31),ISNUMBER(G32)),"｜指引 "&amp;"$"&amp;IF(G31&lt;0,"−","")&amp;TEXT(ABS(G31),"#,##0.00")&amp;"–"&amp;IF(G32&lt;0,"−","")&amp;TEXT(ABS(G32),"#,##0.00")&amp;"bn"&amp;"（中點 "&amp;IF(ISNUMBER(G45),IF(G45&lt;0,"−","+")&amp;TEXT(ABS(G45)*100,"#,##0.0")&amp;"%","不適用")&amp;"，"&amp;IF(G22&gt;G32,"高於上緣",IF(G22&lt;G31,"低於下緣",IF(G22&gt;=(G31+G32)/2,"區間上半部","區間下半部")))&amp;"）","")&amp;IF(ISNUMBER(G38),"｜實際 "&amp;IF(G38&lt;0,"−","")&amp;"$"&amp;TEXT(ABS(G38),"#,##0.00")&amp;"bn"&amp;"（較模型 "&amp;IF(ISNUMBER(G46),IF(G46&lt;0,"−","+")&amp;TEXT(ABS(G46)*100,"#,##0.0")&amp;"%","不適用")&amp;IF(ISNUMBER(G34),"、較共識 "&amp;IF(ISNUMBER(G47),IF(G47&lt;0,"−","+")&amp;TEXT(ABS(G47)*100,"#,##0.0")&amp;"%","不適用"),"")&amp;IF(AND(ISNUMBER(G31),ISNUMBER(G32)),"、"&amp;IF(G38&gt;G32,"高於上緣",IF(G38&lt;G31,"低於下緣",IF(G38&gt;=(G31+G32)/2,"區間上半部","區間下半部"))),"")&amp;"）","")&amp;G124</f>
        <v>營收：模型 $34.21bn</v>
      </c>
      <c r="H129" s="45" t="str">
        <f aca="false">"營收：模型 "&amp;IF(ISNUMBER(H22),IF(H22&lt;0,"−","")&amp;"$"&amp;TEXT(ABS(H22),"#,##0.00")&amp;"bn","不適用")&amp;IF(ISNUMBER(H34),"｜共識 "&amp;IF(H34&lt;0,"−","")&amp;"$"&amp;TEXT(ABS(H34),"#,##0.00")&amp;"bn"&amp;"（"&amp;IF(ISNUMBER(H44),IF(H44&lt;0,"−","+")&amp;TEXT(ABS(H44)*100,"#,##0.0")&amp;"%","不適用")&amp;"）","")&amp;IF(AND(ISNUMBER(H31),ISNUMBER(H32)),"｜指引 "&amp;"$"&amp;IF(H31&lt;0,"−","")&amp;TEXT(ABS(H31),"#,##0.00")&amp;"–"&amp;IF(H32&lt;0,"−","")&amp;TEXT(ABS(H32),"#,##0.00")&amp;"bn"&amp;"（中點 "&amp;IF(ISNUMBER(H45),IF(H45&lt;0,"−","+")&amp;TEXT(ABS(H45)*100,"#,##0.0")&amp;"%","不適用")&amp;"，"&amp;IF(H22&gt;H32,"高於上緣",IF(H22&lt;H31,"低於下緣",IF(H22&gt;=(H31+H32)/2,"區間上半部","區間下半部")))&amp;"）","")&amp;IF(ISNUMBER(H38),"｜實際 "&amp;IF(H38&lt;0,"−","")&amp;"$"&amp;TEXT(ABS(H38),"#,##0.00")&amp;"bn"&amp;"（較模型 "&amp;IF(ISNUMBER(H46),IF(H46&lt;0,"−","+")&amp;TEXT(ABS(H46)*100,"#,##0.0")&amp;"%","不適用")&amp;IF(ISNUMBER(H34),"、較共識 "&amp;IF(ISNUMBER(H47),IF(H47&lt;0,"−","+")&amp;TEXT(ABS(H47)*100,"#,##0.0")&amp;"%","不適用"),"")&amp;IF(AND(ISNUMBER(H31),ISNUMBER(H32)),"、"&amp;IF(H38&gt;H32,"高於上緣",IF(H38&lt;H31,"低於下緣",IF(H38&gt;=(H31+H32)/2,"區間上半部","區間下半部"))),"")&amp;"）","")&amp;H124</f>
        <v>營收：模型 $39.84bn</v>
      </c>
    </row>
    <row r="130" customFormat="false" ht="15" hidden="true" customHeight="false" outlineLevel="1" collapsed="false">
      <c r="A130" s="3" t="s">
        <v>1073</v>
      </c>
      <c r="C130" s="45" t="str">
        <f aca="false">"調整後 EBITDA：模型 "&amp;IF(ISNUMBER(C28),IF(C28&lt;0,"−","")&amp;"$"&amp;TEXT(ABS(C28),"#,##0.00")&amp;"bn","不適用")&amp;IF(ISNUMBER(C35),"｜共識 "&amp;IF(C35&lt;0,"−","")&amp;"$"&amp;TEXT(ABS(C35),"#,##0.00")&amp;"bn"&amp;"（"&amp;IF(ISNUMBER(C49),IF(C49&lt;0,"−","+")&amp;IF(ABS(C49)&lt;0,"−","")&amp;"$"&amp;TEXT(ABS(ABS(C49)),"#,##0.00")&amp;"bn"&amp;IF(ISNUMBER(C54),"／"&amp;IF(C54&lt;0,"−","+")&amp;TEXT(ABS(C54)*100,"#,##0.0")&amp;"pt",""),"不適用")&amp;"）","")&amp;IF(ISNUMBER(C39),"｜實際 "&amp;IF(C39&lt;0,"−","")&amp;"$"&amp;TEXT(ABS(C39),"#,##0.00")&amp;"bn"&amp;"（較模型 "&amp;IF(ISNUMBER(C51),IF(C51&lt;0,"−","+")&amp;IF(ABS(C51)&lt;0,"−","")&amp;"$"&amp;TEXT(ABS(ABS(C51)),"#,##0.00")&amp;"bn"&amp;IF(ISNUMBER(C56),"／"&amp;IF(C56&lt;0,"−","+")&amp;TEXT(ABS(C56)*100,"#,##0.0")&amp;"pt",""),"不適用")&amp;IF(ISNUMBER(C35),"、較共識 "&amp;IF(ISNUMBER(C52),IF(C52&lt;0,"−","+")&amp;IF(ABS(C52)&lt;0,"−","")&amp;"$"&amp;TEXT(ABS(ABS(C52)),"#,##0.00")&amp;"bn"&amp;IF(ISNUMBER(C57),"／"&amp;IF(C57&lt;0,"−","+")&amp;TEXT(ABS(C57)*100,"#,##0.0")&amp;"pt",""),"不適用"),"")&amp;"）","")&amp;C125</f>
        <v>調整後 EBITDA：模型 $12.11bn｜共識 $12.36bn（−$0.25bn／+1.7pt）</v>
      </c>
      <c r="D130" s="45" t="str">
        <f aca="false">"調整後 EBITDA：模型 "&amp;IF(ISNUMBER(D28),IF(D28&lt;0,"−","")&amp;"$"&amp;TEXT(ABS(D28),"#,##0.00")&amp;"bn","不適用")&amp;IF(ISNUMBER(D35),"｜共識 "&amp;IF(D35&lt;0,"−","")&amp;"$"&amp;TEXT(ABS(D35),"#,##0.00")&amp;"bn"&amp;"（"&amp;IF(ISNUMBER(D49),IF(D49&lt;0,"−","+")&amp;IF(ABS(D49)&lt;0,"−","")&amp;"$"&amp;TEXT(ABS(ABS(D49)),"#,##0.00")&amp;"bn"&amp;IF(ISNUMBER(D54),"／"&amp;IF(D54&lt;0,"−","+")&amp;TEXT(ABS(D54)*100,"#,##0.0")&amp;"pt",""),"不適用")&amp;"）","")&amp;IF(ISNUMBER(D39),"｜實際 "&amp;IF(D39&lt;0,"−","")&amp;"$"&amp;TEXT(ABS(D39),"#,##0.00")&amp;"bn"&amp;"（較模型 "&amp;IF(ISNUMBER(D51),IF(D51&lt;0,"−","+")&amp;IF(ABS(D51)&lt;0,"−","")&amp;"$"&amp;TEXT(ABS(ABS(D51)),"#,##0.00")&amp;"bn"&amp;IF(ISNUMBER(D56),"／"&amp;IF(D56&lt;0,"−","+")&amp;TEXT(ABS(D56)*100,"#,##0.0")&amp;"pt",""),"不適用")&amp;IF(ISNUMBER(D35),"、較共識 "&amp;IF(ISNUMBER(D52),IF(D52&lt;0,"−","+")&amp;IF(ABS(D52)&lt;0,"−","")&amp;"$"&amp;TEXT(ABS(ABS(D52)),"#,##0.00")&amp;"bn"&amp;IF(ISNUMBER(D57),"／"&amp;IF(D57&lt;0,"−","+")&amp;TEXT(ABS(D57)*100,"#,##0.0")&amp;"pt",""),"不適用"),"")&amp;"）","")&amp;D125</f>
        <v>調整後 EBITDA：模型 $12.52bn｜共識 $13.52bn（−$1.00bn／+1.1pt）</v>
      </c>
      <c r="E130" s="45" t="str">
        <f aca="false">"調整後 EBITDA：模型 "&amp;IF(ISNUMBER(E28),IF(E28&lt;0,"−","")&amp;"$"&amp;TEXT(ABS(E28),"#,##0.00")&amp;"bn","不適用")&amp;IF(ISNUMBER(E35),"｜共識 "&amp;IF(E35&lt;0,"−","")&amp;"$"&amp;TEXT(ABS(E35),"#,##0.00")&amp;"bn"&amp;"（"&amp;IF(ISNUMBER(E49),IF(E49&lt;0,"−","+")&amp;IF(ABS(E49)&lt;0,"−","")&amp;"$"&amp;TEXT(ABS(ABS(E49)),"#,##0.00")&amp;"bn"&amp;IF(ISNUMBER(E54),"／"&amp;IF(E54&lt;0,"−","+")&amp;TEXT(ABS(E54)*100,"#,##0.0")&amp;"pt",""),"不適用")&amp;"）","")&amp;IF(ISNUMBER(E39),"｜實際 "&amp;IF(E39&lt;0,"−","")&amp;"$"&amp;TEXT(ABS(E39),"#,##0.00")&amp;"bn"&amp;"（較模型 "&amp;IF(ISNUMBER(E51),IF(E51&lt;0,"−","+")&amp;IF(ABS(E51)&lt;0,"−","")&amp;"$"&amp;TEXT(ABS(ABS(E51)),"#,##0.00")&amp;"bn"&amp;IF(ISNUMBER(E56),"／"&amp;IF(E56&lt;0,"−","+")&amp;TEXT(ABS(E56)*100,"#,##0.0")&amp;"pt",""),"不適用")&amp;IF(ISNUMBER(E35),"、較共識 "&amp;IF(ISNUMBER(E52),IF(E52&lt;0,"−","+")&amp;IF(ABS(E52)&lt;0,"−","")&amp;"$"&amp;TEXT(ABS(ABS(E52)),"#,##0.00")&amp;"bn"&amp;IF(ISNUMBER(E57),"／"&amp;IF(E57&lt;0,"−","+")&amp;TEXT(ABS(E57)*100,"#,##0.0")&amp;"pt",""),"不適用"),"")&amp;"）","")&amp;E125</f>
        <v>調整後 EBITDA：模型 $12.91bn</v>
      </c>
      <c r="F130" s="45" t="str">
        <f aca="false">"調整後 EBITDA：模型 "&amp;IF(ISNUMBER(F28),IF(F28&lt;0,"−","")&amp;"$"&amp;TEXT(ABS(F28),"#,##0.00")&amp;"bn","不適用")&amp;IF(ISNUMBER(F35),"｜共識 "&amp;IF(F35&lt;0,"−","")&amp;"$"&amp;TEXT(ABS(F35),"#,##0.00")&amp;"bn"&amp;"（"&amp;IF(ISNUMBER(F49),IF(F49&lt;0,"−","+")&amp;IF(ABS(F49)&lt;0,"−","")&amp;"$"&amp;TEXT(ABS(ABS(F49)),"#,##0.00")&amp;"bn"&amp;IF(ISNUMBER(F54),"／"&amp;IF(F54&lt;0,"−","+")&amp;TEXT(ABS(F54)*100,"#,##0.0")&amp;"pt",""),"不適用")&amp;"）","")&amp;IF(ISNUMBER(F39),"｜實際 "&amp;IF(F39&lt;0,"−","")&amp;"$"&amp;TEXT(ABS(F39),"#,##0.00")&amp;"bn"&amp;"（較模型 "&amp;IF(ISNUMBER(F51),IF(F51&lt;0,"−","+")&amp;IF(ABS(F51)&lt;0,"−","")&amp;"$"&amp;TEXT(ABS(ABS(F51)),"#,##0.00")&amp;"bn"&amp;IF(ISNUMBER(F56),"／"&amp;IF(F56&lt;0,"−","+")&amp;TEXT(ABS(F56)*100,"#,##0.0")&amp;"pt",""),"不適用")&amp;IF(ISNUMBER(F35),"、較共識 "&amp;IF(ISNUMBER(F52),IF(F52&lt;0,"−","+")&amp;IF(ABS(F52)&lt;0,"−","")&amp;"$"&amp;TEXT(ABS(ABS(F52)),"#,##0.00")&amp;"bn"&amp;IF(ISNUMBER(F57),"／"&amp;IF(F57&lt;0,"−","+")&amp;TEXT(ABS(F57)*100,"#,##0.0")&amp;"pt",""),"不適用"),"")&amp;"）","")&amp;F125</f>
        <v>調整後 EBITDA：模型 $16.42bn</v>
      </c>
      <c r="G130" s="45" t="str">
        <f aca="false">"調整後 EBITDA：模型 "&amp;IF(ISNUMBER(G28),IF(G28&lt;0,"−","")&amp;"$"&amp;TEXT(ABS(G28),"#,##0.00")&amp;"bn","不適用")&amp;IF(ISNUMBER(G35),"｜共識 "&amp;IF(G35&lt;0,"−","")&amp;"$"&amp;TEXT(ABS(G35),"#,##0.00")&amp;"bn"&amp;"（"&amp;IF(ISNUMBER(G49),IF(G49&lt;0,"−","+")&amp;IF(ABS(G49)&lt;0,"−","")&amp;"$"&amp;TEXT(ABS(ABS(G49)),"#,##0.00")&amp;"bn"&amp;IF(ISNUMBER(G54),"／"&amp;IF(G54&lt;0,"−","+")&amp;TEXT(ABS(G54)*100,"#,##0.0")&amp;"pt",""),"不適用")&amp;"）","")&amp;IF(ISNUMBER(G39),"｜實際 "&amp;IF(G39&lt;0,"−","")&amp;"$"&amp;TEXT(ABS(G39),"#,##0.00")&amp;"bn"&amp;"（較模型 "&amp;IF(ISNUMBER(G51),IF(G51&lt;0,"−","+")&amp;IF(ABS(G51)&lt;0,"−","")&amp;"$"&amp;TEXT(ABS(ABS(G51)),"#,##0.00")&amp;"bn"&amp;IF(ISNUMBER(G56),"／"&amp;IF(G56&lt;0,"−","+")&amp;TEXT(ABS(G56)*100,"#,##0.0")&amp;"pt",""),"不適用")&amp;IF(ISNUMBER(G35),"、較共識 "&amp;IF(ISNUMBER(G52),IF(G52&lt;0,"−","+")&amp;IF(ABS(G52)&lt;0,"−","")&amp;"$"&amp;TEXT(ABS(ABS(G52)),"#,##0.00")&amp;"bn"&amp;IF(ISNUMBER(G57),"／"&amp;IF(G57&lt;0,"−","+")&amp;TEXT(ABS(G57)*100,"#,##0.0")&amp;"pt",""),"不適用"),"")&amp;"）","")&amp;G125</f>
        <v>調整後 EBITDA：模型 $19.41bn</v>
      </c>
      <c r="H130" s="45" t="str">
        <f aca="false">"調整後 EBITDA：模型 "&amp;IF(ISNUMBER(H28),IF(H28&lt;0,"−","")&amp;"$"&amp;TEXT(ABS(H28),"#,##0.00")&amp;"bn","不適用")&amp;IF(ISNUMBER(H35),"｜共識 "&amp;IF(H35&lt;0,"−","")&amp;"$"&amp;TEXT(ABS(H35),"#,##0.00")&amp;"bn"&amp;"（"&amp;IF(ISNUMBER(H49),IF(H49&lt;0,"−","+")&amp;IF(ABS(H49)&lt;0,"−","")&amp;"$"&amp;TEXT(ABS(ABS(H49)),"#,##0.00")&amp;"bn"&amp;IF(ISNUMBER(H54),"／"&amp;IF(H54&lt;0,"−","+")&amp;TEXT(ABS(H54)*100,"#,##0.0")&amp;"pt",""),"不適用")&amp;"）","")&amp;IF(ISNUMBER(H39),"｜實際 "&amp;IF(H39&lt;0,"−","")&amp;"$"&amp;TEXT(ABS(H39),"#,##0.00")&amp;"bn"&amp;"（較模型 "&amp;IF(ISNUMBER(H51),IF(H51&lt;0,"−","+")&amp;IF(ABS(H51)&lt;0,"−","")&amp;"$"&amp;TEXT(ABS(ABS(H51)),"#,##0.00")&amp;"bn"&amp;IF(ISNUMBER(H56),"／"&amp;IF(H56&lt;0,"−","+")&amp;TEXT(ABS(H56)*100,"#,##0.0")&amp;"pt",""),"不適用")&amp;IF(ISNUMBER(H35),"、較共識 "&amp;IF(ISNUMBER(H52),IF(H52&lt;0,"−","+")&amp;IF(ABS(H52)&lt;0,"−","")&amp;"$"&amp;TEXT(ABS(ABS(H52)),"#,##0.00")&amp;"bn"&amp;IF(ISNUMBER(H57),"／"&amp;IF(H57&lt;0,"−","+")&amp;TEXT(ABS(H57)*100,"#,##0.0")&amp;"pt",""),"不適用"),"")&amp;"）","")&amp;H125</f>
        <v>調整後 EBITDA：模型 $22.31bn</v>
      </c>
    </row>
    <row r="131" customFormat="false" ht="15" hidden="true" customHeight="false" outlineLevel="1" collapsed="false">
      <c r="A131" s="3" t="s">
        <v>1074</v>
      </c>
      <c r="C131" s="45" t="str">
        <f aca="false">"EBITDA 率：模型 "&amp;IF(ISNUMBER(C27),IF(C27&lt;0,"−","")&amp;TEXT(ABS(C27)*100,"#,##0.0")&amp;"%","不適用")&amp;IF(ISNUMBER(C36),"｜共識 "&amp;IF(C36&lt;0,"−","")&amp;TEXT(ABS(C36)*100,"#,##0.0")&amp;"%"&amp;"（"&amp;IF(ISNUMBER(C59),IF(C59&lt;0,"−","+")&amp;TEXT(ABS(C59)*100,"#,##0.0")&amp;"pt","不適用")&amp;"）","")&amp;IF(ISNUMBER(C40),"｜實際 "&amp;IF(C40&lt;0,"−","")&amp;TEXT(ABS(C40)*100,"#,##0.0")&amp;"%"&amp;"（較模型 "&amp;IF(ISNUMBER(C61),IF(C61&lt;0,"−","+")&amp;TEXT(ABS(C61)*100,"#,##0.0")&amp;"pt","不適用")&amp;IF(ISNUMBER(C36),"、較共識 "&amp;IF(ISNUMBER(C62),IF(C62&lt;0,"−","+")&amp;TEXT(ABS(C62)*100,"#,##0.0")&amp;"pt","不適用"),"")&amp;"）","")</f>
        <v>EBITDA 率：模型 59.7%｜共識 58.0%（+1.7pt）</v>
      </c>
      <c r="D131" s="45" t="str">
        <f aca="false">"EBITDA 率：模型 "&amp;IF(ISNUMBER(D27),IF(D27&lt;0,"−","")&amp;TEXT(ABS(D27)*100,"#,##0.0")&amp;"%","不適用")&amp;IF(ISNUMBER(D36),"｜共識 "&amp;IF(D36&lt;0,"−","")&amp;TEXT(ABS(D36)*100,"#,##0.0")&amp;"%"&amp;"（"&amp;IF(ISNUMBER(D59),IF(D59&lt;0,"−","+")&amp;TEXT(ABS(D59)*100,"#,##0.0")&amp;"pt","不適用")&amp;"）","")&amp;IF(ISNUMBER(D40),"｜實際 "&amp;IF(D40&lt;0,"−","")&amp;TEXT(ABS(D40)*100,"#,##0.0")&amp;"%"&amp;"（較模型 "&amp;IF(ISNUMBER(D61),IF(D61&lt;0,"−","+")&amp;TEXT(ABS(D61)*100,"#,##0.0")&amp;"pt","不適用")&amp;IF(ISNUMBER(D36),"、較共識 "&amp;IF(ISNUMBER(D62),IF(D62&lt;0,"−","+")&amp;TEXT(ABS(D62)*100,"#,##0.0")&amp;"pt","不適用"),"")&amp;"）","")</f>
        <v>EBITDA 率：模型 59.0%｜共識 57.8%（+1.1pt）</v>
      </c>
      <c r="E131" s="45" t="str">
        <f aca="false">"EBITDA 率：模型 "&amp;IF(ISNUMBER(E27),IF(E27&lt;0,"−","")&amp;TEXT(ABS(E27)*100,"#,##0.0")&amp;"%","不適用")&amp;IF(ISNUMBER(E36),"｜共識 "&amp;IF(E36&lt;0,"−","")&amp;TEXT(ABS(E36)*100,"#,##0.0")&amp;"%"&amp;"（"&amp;IF(ISNUMBER(E59),IF(E59&lt;0,"−","+")&amp;TEXT(ABS(E59)*100,"#,##0.0")&amp;"pt","不適用")&amp;"）","")&amp;IF(ISNUMBER(E40),"｜實際 "&amp;IF(E40&lt;0,"−","")&amp;TEXT(ABS(E40)*100,"#,##0.0")&amp;"%"&amp;"（較模型 "&amp;IF(ISNUMBER(E61),IF(E61&lt;0,"−","+")&amp;TEXT(ABS(E61)*100,"#,##0.0")&amp;"pt","不適用")&amp;IF(ISNUMBER(E36),"、較共識 "&amp;IF(ISNUMBER(E62),IF(E62&lt;0,"−","+")&amp;TEXT(ABS(E62)*100,"#,##0.0")&amp;"pt","不適用"),"")&amp;"）","")</f>
        <v>EBITDA 率：模型 58.2%</v>
      </c>
      <c r="F131" s="45" t="str">
        <f aca="false">"EBITDA 率：模型 "&amp;IF(ISNUMBER(F27),IF(F27&lt;0,"−","")&amp;TEXT(ABS(F27)*100,"#,##0.0")&amp;"%","不適用")&amp;IF(ISNUMBER(F36),"｜共識 "&amp;IF(F36&lt;0,"−","")&amp;TEXT(ABS(F36)*100,"#,##0.0")&amp;"%"&amp;"（"&amp;IF(ISNUMBER(F59),IF(F59&lt;0,"−","+")&amp;TEXT(ABS(F59)*100,"#,##0.0")&amp;"pt","不適用")&amp;"）","")&amp;IF(ISNUMBER(F40),"｜實際 "&amp;IF(F40&lt;0,"−","")&amp;TEXT(ABS(F40)*100,"#,##0.0")&amp;"%"&amp;"（較模型 "&amp;IF(ISNUMBER(F61),IF(F61&lt;0,"−","+")&amp;TEXT(ABS(F61)*100,"#,##0.0")&amp;"pt","不適用")&amp;IF(ISNUMBER(F36),"、較共識 "&amp;IF(ISNUMBER(F62),IF(F62&lt;0,"−","+")&amp;TEXT(ABS(F62)*100,"#,##0.0")&amp;"pt","不適用"),"")&amp;"）","")</f>
        <v>EBITDA 率：模型 57.5%</v>
      </c>
      <c r="G131" s="45" t="str">
        <f aca="false">"EBITDA 率：模型 "&amp;IF(ISNUMBER(G27),IF(G27&lt;0,"−","")&amp;TEXT(ABS(G27)*100,"#,##0.0")&amp;"%","不適用")&amp;IF(ISNUMBER(G36),"｜共識 "&amp;IF(G36&lt;0,"−","")&amp;TEXT(ABS(G36)*100,"#,##0.0")&amp;"%"&amp;"（"&amp;IF(ISNUMBER(G59),IF(G59&lt;0,"−","+")&amp;TEXT(ABS(G59)*100,"#,##0.0")&amp;"pt","不適用")&amp;"）","")&amp;IF(ISNUMBER(G40),"｜實際 "&amp;IF(G40&lt;0,"−","")&amp;TEXT(ABS(G40)*100,"#,##0.0")&amp;"%"&amp;"（較模型 "&amp;IF(ISNUMBER(G61),IF(G61&lt;0,"−","+")&amp;TEXT(ABS(G61)*100,"#,##0.0")&amp;"pt","不適用")&amp;IF(ISNUMBER(G36),"、較共識 "&amp;IF(ISNUMBER(G62),IF(G62&lt;0,"−","+")&amp;TEXT(ABS(G62)*100,"#,##0.0")&amp;"pt","不適用"),"")&amp;"）","")</f>
        <v>EBITDA 率：模型 56.7%</v>
      </c>
      <c r="H131" s="45" t="str">
        <f aca="false">"EBITDA 率：模型 "&amp;IF(ISNUMBER(H27),IF(H27&lt;0,"−","")&amp;TEXT(ABS(H27)*100,"#,##0.0")&amp;"%","不適用")&amp;IF(ISNUMBER(H36),"｜共識 "&amp;IF(H36&lt;0,"−","")&amp;TEXT(ABS(H36)*100,"#,##0.0")&amp;"%"&amp;"（"&amp;IF(ISNUMBER(H59),IF(H59&lt;0,"−","+")&amp;TEXT(ABS(H59)*100,"#,##0.0")&amp;"pt","不適用")&amp;"）","")&amp;IF(ISNUMBER(H40),"｜實際 "&amp;IF(H40&lt;0,"−","")&amp;TEXT(ABS(H40)*100,"#,##0.0")&amp;"%"&amp;"（較模型 "&amp;IF(ISNUMBER(H61),IF(H61&lt;0,"−","+")&amp;TEXT(ABS(H61)*100,"#,##0.0")&amp;"pt","不適用")&amp;IF(ISNUMBER(H36),"、較共識 "&amp;IF(ISNUMBER(H62),IF(H62&lt;0,"−","+")&amp;TEXT(ABS(H62)*100,"#,##0.0")&amp;"pt","不適用"),"")&amp;"）","")</f>
        <v>EBITDA 率：模型 56.0%</v>
      </c>
    </row>
    <row r="132" customFormat="false" ht="15" hidden="true" customHeight="false" outlineLevel="1" collapsed="false">
      <c r="A132" s="3" t="s">
        <v>1075</v>
      </c>
      <c r="C132" s="45" t="str">
        <f aca="false">"調整後營業利益：模型 "&amp;IF(ISNUMBER(C30),IF(C30&lt;0,"−","")&amp;"$"&amp;TEXT(ABS(C30),"#,##0.00")&amp;"bn","不適用")&amp;IF(ISNUMBER(C41),"｜實際 "&amp;IF(C41&lt;0,"−","")&amp;"$"&amp;TEXT(ABS(C41),"#,##0.00")&amp;"bn"&amp;"（較模型 "&amp;IF(ISNUMBER(C66),IF(C66&lt;0,"−","+")&amp;IF(ABS(C66)&lt;0,"−","")&amp;"$"&amp;TEXT(ABS(ABS(C66)),"#,##0.00")&amp;"bn"&amp;IF(ISNUMBER(C71),"／"&amp;IF(C71&lt;0,"−","+")&amp;TEXT(ABS(C71)*100,"#,##0.0")&amp;"pt",""),"不適用")&amp;"）","")&amp;C126</f>
        <v>調整後營業利益：模型 $8.67bn</v>
      </c>
      <c r="D132" s="45" t="str">
        <f aca="false">"調整後營業利益：模型 "&amp;IF(ISNUMBER(D30),IF(D30&lt;0,"−","")&amp;"$"&amp;TEXT(ABS(D30),"#,##0.00")&amp;"bn","不適用")&amp;IF(ISNUMBER(D41),"｜實際 "&amp;IF(D41&lt;0,"−","")&amp;"$"&amp;TEXT(ABS(D41),"#,##0.00")&amp;"bn"&amp;"（較模型 "&amp;IF(ISNUMBER(D66),IF(D66&lt;0,"−","+")&amp;IF(ABS(D66)&lt;0,"−","")&amp;"$"&amp;TEXT(ABS(ABS(D66)),"#,##0.00")&amp;"bn"&amp;IF(ISNUMBER(D71),"／"&amp;IF(D71&lt;0,"−","+")&amp;TEXT(ABS(D71)*100,"#,##0.0")&amp;"pt",""),"不適用")&amp;"）","")&amp;D126</f>
        <v>調整後營業利益：模型 $8.49bn</v>
      </c>
      <c r="E132" s="45" t="str">
        <f aca="false">"調整後營業利益：模型 "&amp;IF(ISNUMBER(E30),IF(E30&lt;0,"−","")&amp;"$"&amp;TEXT(ABS(E30),"#,##0.00")&amp;"bn","不適用")&amp;IF(ISNUMBER(E41),"｜實際 "&amp;IF(E41&lt;0,"−","")&amp;"$"&amp;TEXT(ABS(E41),"#,##0.00")&amp;"bn"&amp;"（較模型 "&amp;IF(ISNUMBER(E66),IF(E66&lt;0,"−","+")&amp;IF(ABS(E66)&lt;0,"−","")&amp;"$"&amp;TEXT(ABS(ABS(E66)),"#,##0.00")&amp;"bn"&amp;IF(ISNUMBER(E71),"／"&amp;IF(E71&lt;0,"−","+")&amp;TEXT(ABS(E71)*100,"#,##0.0")&amp;"pt",""),"不適用")&amp;"）","")&amp;E126</f>
        <v>調整後營業利益：模型 $8.30bn</v>
      </c>
      <c r="F132" s="45" t="str">
        <f aca="false">"調整後營業利益：模型 "&amp;IF(ISNUMBER(F30),IF(F30&lt;0,"−","")&amp;"$"&amp;TEXT(ABS(F30),"#,##0.00")&amp;"bn","不適用")&amp;IF(ISNUMBER(F41),"｜實際 "&amp;IF(F41&lt;0,"−","")&amp;"$"&amp;TEXT(ABS(F41),"#,##0.00")&amp;"bn"&amp;"（較模型 "&amp;IF(ISNUMBER(F66),IF(F66&lt;0,"−","+")&amp;IF(ABS(F66)&lt;0,"−","")&amp;"$"&amp;TEXT(ABS(ABS(F66)),"#,##0.00")&amp;"bn"&amp;IF(ISNUMBER(F71),"／"&amp;IF(F71&lt;0,"−","+")&amp;TEXT(ABS(F71)*100,"#,##0.0")&amp;"pt",""),"不適用")&amp;"）","")&amp;F126</f>
        <v>調整後營業利益：模型 $9.14bn</v>
      </c>
      <c r="G132" s="45" t="str">
        <f aca="false">"調整後營業利益：模型 "&amp;IF(ISNUMBER(G30),IF(G30&lt;0,"−","")&amp;"$"&amp;TEXT(ABS(G30),"#,##0.00")&amp;"bn","不適用")&amp;IF(ISNUMBER(G41),"｜實際 "&amp;IF(G41&lt;0,"−","")&amp;"$"&amp;TEXT(ABS(G41),"#,##0.00")&amp;"bn"&amp;"（較模型 "&amp;IF(ISNUMBER(G66),IF(G66&lt;0,"−","+")&amp;IF(ABS(G66)&lt;0,"−","")&amp;"$"&amp;TEXT(ABS(ABS(G66)),"#,##0.00")&amp;"bn"&amp;IF(ISNUMBER(G71),"／"&amp;IF(G71&lt;0,"−","+")&amp;TEXT(ABS(G71)*100,"#,##0.0")&amp;"pt",""),"不適用")&amp;"）","")&amp;G126</f>
        <v>調整後營業利益：模型 $10.63bn</v>
      </c>
      <c r="H132" s="45" t="str">
        <f aca="false">"調整後營業利益：模型 "&amp;IF(ISNUMBER(H30),IF(H30&lt;0,"−","")&amp;"$"&amp;TEXT(ABS(H30),"#,##0.00")&amp;"bn","不適用")&amp;IF(ISNUMBER(H41),"｜實際 "&amp;IF(H41&lt;0,"−","")&amp;"$"&amp;TEXT(ABS(H41),"#,##0.00")&amp;"bn"&amp;"（較模型 "&amp;IF(ISNUMBER(H66),IF(H66&lt;0,"−","+")&amp;IF(ABS(H66)&lt;0,"−","")&amp;"$"&amp;TEXT(ABS(ABS(H66)),"#,##0.00")&amp;"bn"&amp;IF(ISNUMBER(H71),"／"&amp;IF(H71&lt;0,"−","+")&amp;TEXT(ABS(H71)*100,"#,##0.0")&amp;"pt",""),"不適用")&amp;"）","")&amp;H126</f>
        <v>調整後營業利益：模型 $12.03bn</v>
      </c>
    </row>
    <row r="133" customFormat="false" ht="15" hidden="true" customHeight="false" outlineLevel="1" collapsed="false">
      <c r="A133" s="3" t="s">
        <v>1076</v>
      </c>
      <c r="C133" s="45" t="str">
        <f aca="false">"CapEx（毛額）：模型 "&amp;IF(ISNUMBER(C33),IF(C33&lt;0,"−","")&amp;"$"&amp;TEXT(ABS(C33),"#,##0.00")&amp;"bn","不適用")&amp;IF(ISNUMBER(C42),"｜實際 "&amp;IF(C42&lt;0,"−","")&amp;"$"&amp;TEXT(ABS(C42),"#,##0.00")&amp;"bn"&amp;"（較模型 "&amp;IF(ISNUMBER(C76),IF(C76&lt;0,"−","+")&amp;TEXT(ABS(C76)*100,"#,##0.0")&amp;"%","不適用")&amp;"）","")&amp;C127</f>
        <v>CapEx（毛額）：模型 $20.94bn</v>
      </c>
      <c r="D133" s="45" t="str">
        <f aca="false">"CapEx（毛額）：模型 "&amp;IF(ISNUMBER(D33),IF(D33&lt;0,"−","")&amp;"$"&amp;TEXT(ABS(D33),"#,##0.00")&amp;"bn","不適用")&amp;IF(ISNUMBER(D42),"｜實際 "&amp;IF(D42&lt;0,"−","")&amp;"$"&amp;TEXT(ABS(D42),"#,##0.00")&amp;"bn"&amp;"（較模型 "&amp;IF(ISNUMBER(D76),IF(D76&lt;0,"−","+")&amp;TEXT(ABS(D76)*100,"#,##0.0")&amp;"%","不適用")&amp;"）","")&amp;D127</f>
        <v>CapEx（毛額）：模型 $20.94bn</v>
      </c>
      <c r="E133" s="45" t="str">
        <f aca="false">"CapEx（毛額）：模型 "&amp;IF(ISNUMBER(E33),IF(E33&lt;0,"−","")&amp;"$"&amp;TEXT(ABS(E33),"#,##0.00")&amp;"bn","不適用")&amp;IF(ISNUMBER(E42),"｜實際 "&amp;IF(E42&lt;0,"−","")&amp;"$"&amp;TEXT(ABS(E42),"#,##0.00")&amp;"bn"&amp;"（較模型 "&amp;IF(ISNUMBER(E76),IF(E76&lt;0,"−","+")&amp;TEXT(ABS(E76)*100,"#,##0.0")&amp;"%","不適用")&amp;"）","")&amp;E127</f>
        <v>CapEx（毛額）：模型 $20.94bn</v>
      </c>
      <c r="F133" s="45" t="str">
        <f aca="false">"CapEx（毛額）：模型 "&amp;IF(ISNUMBER(F33),IF(F33&lt;0,"−","")&amp;"$"&amp;TEXT(ABS(F33),"#,##0.00")&amp;"bn","不適用")&amp;IF(ISNUMBER(F42),"｜實際 "&amp;IF(F42&lt;0,"−","")&amp;"$"&amp;TEXT(ABS(F42),"#,##0.00")&amp;"bn"&amp;"（較模型 "&amp;IF(ISNUMBER(F76),IF(F76&lt;0,"−","+")&amp;TEXT(ABS(F76)*100,"#,##0.0")&amp;"%","不適用")&amp;"）","")&amp;F127</f>
        <v>CapEx（毛額）：模型 $26.63bn</v>
      </c>
      <c r="G133" s="45" t="str">
        <f aca="false">"CapEx（毛額）：模型 "&amp;IF(ISNUMBER(G33),IF(G33&lt;0,"−","")&amp;"$"&amp;TEXT(ABS(G33),"#,##0.00")&amp;"bn","不適用")&amp;IF(ISNUMBER(G42),"｜實際 "&amp;IF(G42&lt;0,"−","")&amp;"$"&amp;TEXT(ABS(G42),"#,##0.00")&amp;"bn"&amp;"（較模型 "&amp;IF(ISNUMBER(G76),IF(G76&lt;0,"−","+")&amp;TEXT(ABS(G76)*100,"#,##0.0")&amp;"%","不適用")&amp;"）","")&amp;G127</f>
        <v>CapEx（毛額）：模型 $26.63bn</v>
      </c>
      <c r="H133" s="45" t="str">
        <f aca="false">"CapEx（毛額）：模型 "&amp;IF(ISNUMBER(H33),IF(H33&lt;0,"−","")&amp;"$"&amp;TEXT(ABS(H33),"#,##0.00")&amp;"bn","不適用")&amp;IF(ISNUMBER(H42),"｜實際 "&amp;IF(H42&lt;0,"−","")&amp;"$"&amp;TEXT(ABS(H42),"#,##0.00")&amp;"bn"&amp;"（較模型 "&amp;IF(ISNUMBER(H76),IF(H76&lt;0,"−","+")&amp;TEXT(ABS(H76)*100,"#,##0.0")&amp;"%","不適用")&amp;"）","")&amp;H127</f>
        <v>CapEx（毛額）：模型 $26.63bn</v>
      </c>
    </row>
    <row r="134" customFormat="false" ht="15" hidden="true" customHeight="false" outlineLevel="1" collapsed="false">
      <c r="A134" s="3" t="s">
        <v>1077</v>
      </c>
      <c r="C134" s="45" t="str">
        <f aca="false">"季末已連網 MW-IT：模型 "&amp;IF(ISNUMBER(C19),IF(C19&lt;0,"−","")&amp;TEXT(ABS(C19),"#,##0")&amp;" MW","不適用")&amp;IF(ISNUMBER(C43),"｜實際 "&amp;IF(C43&lt;0,"−","")&amp;TEXT(ABS(C43),"#,##0")&amp;" MW"&amp;"（較模型 "&amp;IF(ISNUMBER(C81),IF(C81&lt;0,"−","+")&amp;IF(ABS(C81)&lt;0,"−","")&amp;TEXT(ABS(ABS(C81)),"#,##0")&amp;" MW","不適用")&amp;"）","")&amp;C128</f>
        <v>季末已連網 MW-IT：模型 3,251 MW</v>
      </c>
      <c r="D134" s="45" t="str">
        <f aca="false">"季末已連網 MW-IT：模型 "&amp;IF(ISNUMBER(D19),IF(D19&lt;0,"−","")&amp;TEXT(ABS(D19),"#,##0")&amp;" MW","不適用")&amp;IF(ISNUMBER(D43),"｜實際 "&amp;IF(D43&lt;0,"−","")&amp;TEXT(ABS(D43),"#,##0")&amp;" MW"&amp;"（較模型 "&amp;IF(ISNUMBER(D81),IF(D81&lt;0,"−","+")&amp;IF(ABS(D81)&lt;0,"−","")&amp;TEXT(ABS(ABS(D81)),"#,##0")&amp;" MW","不適用")&amp;"）","")&amp;D128</f>
        <v>季末已連網 MW-IT：模型 3,960 MW</v>
      </c>
      <c r="E134" s="45" t="str">
        <f aca="false">"季末已連網 MW-IT：模型 "&amp;IF(ISNUMBER(E19),IF(E19&lt;0,"−","")&amp;TEXT(ABS(E19),"#,##0")&amp;" MW","不適用")&amp;IF(ISNUMBER(E43),"｜實際 "&amp;IF(E43&lt;0,"−","")&amp;TEXT(ABS(E43),"#,##0")&amp;" MW"&amp;"（較模型 "&amp;IF(ISNUMBER(E81),IF(E81&lt;0,"−","+")&amp;IF(ABS(E81)&lt;0,"−","")&amp;TEXT(ABS(ABS(E81)),"#,##0")&amp;" MW","不適用")&amp;"）","")&amp;E128</f>
        <v>季末已連網 MW-IT：模型 4,668 MW</v>
      </c>
      <c r="F134" s="45" t="str">
        <f aca="false">"季末已連網 MW-IT：模型 "&amp;IF(ISNUMBER(F19),IF(F19&lt;0,"−","")&amp;TEXT(ABS(F19),"#,##0")&amp;" MW","不適用")&amp;IF(ISNUMBER(F43),"｜實際 "&amp;IF(F43&lt;0,"−","")&amp;TEXT(ABS(F43),"#,##0")&amp;" MW"&amp;"（較模型 "&amp;IF(ISNUMBER(F81),IF(F81&lt;0,"−","+")&amp;IF(ABS(F81)&lt;0,"−","")&amp;TEXT(ABS(ABS(F81)),"#,##0")&amp;" MW","不適用")&amp;"）","")&amp;F128</f>
        <v>季末已連網 MW-IT：模型 5,612 MW</v>
      </c>
      <c r="G134" s="45" t="str">
        <f aca="false">"季末已連網 MW-IT：模型 "&amp;IF(ISNUMBER(G19),IF(G19&lt;0,"−","")&amp;TEXT(ABS(G19),"#,##0")&amp;" MW","不適用")&amp;IF(ISNUMBER(G43),"｜實際 "&amp;IF(G43&lt;0,"−","")&amp;TEXT(ABS(G43),"#,##0")&amp;" MW"&amp;"（較模型 "&amp;IF(ISNUMBER(G81),IF(G81&lt;0,"−","+")&amp;IF(ABS(G81)&lt;0,"−","")&amp;TEXT(ABS(ABS(G81)),"#,##0")&amp;" MW","不適用")&amp;"）","")&amp;G128</f>
        <v>季末已連網 MW-IT：模型 6,557 MW</v>
      </c>
      <c r="H134" s="45" t="str">
        <f aca="false">"季末已連網 MW-IT：模型 "&amp;IF(ISNUMBER(H19),IF(H19&lt;0,"−","")&amp;TEXT(ABS(H19),"#,##0")&amp;" MW","不適用")&amp;IF(ISNUMBER(H43),"｜實際 "&amp;IF(H43&lt;0,"−","")&amp;TEXT(ABS(H43),"#,##0")&amp;" MW"&amp;"（較模型 "&amp;IF(ISNUMBER(H81),IF(H81&lt;0,"−","+")&amp;IF(ABS(H81)&lt;0,"−","")&amp;TEXT(ABS(ABS(H81)),"#,##0")&amp;" MW","不適用")&amp;"）","")&amp;H128</f>
        <v>季末已連網 MW-IT：模型 7,501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1078</v>
      </c>
    </row>
    <row r="137" customFormat="false" ht="15" hidden="true" customHeight="false" outlineLevel="1" collapsed="false">
      <c r="A137" s="3" t="s">
        <v>1079</v>
      </c>
      <c r="C137" s="67" t="n">
        <f aca="false">C22+D22+E22-損益!C9</f>
        <v>0</v>
      </c>
      <c r="D137" s="67" t="n">
        <f aca="false">F22+G22+H22-損益!D9</f>
        <v>0</v>
      </c>
    </row>
    <row r="138" customFormat="false" ht="15" hidden="true" customHeight="false" outlineLevel="1" collapsed="false">
      <c r="A138" s="3" t="s">
        <v>1080</v>
      </c>
      <c r="C138" s="67" t="n">
        <f aca="false">C28+D28+E28-損益!C22</f>
        <v>0</v>
      </c>
      <c r="D138" s="67" t="n">
        <f aca="false">F28+G28+H28-損益!D22</f>
        <v>0</v>
      </c>
    </row>
    <row r="139" customFormat="false" ht="15" hidden="true" customHeight="false" outlineLevel="1" collapsed="false">
      <c r="A139" s="3" t="s">
        <v>1081</v>
      </c>
      <c r="C139" s="67" t="n">
        <f aca="false">C30+D30+E30-損益!C12</f>
        <v>0</v>
      </c>
      <c r="D139" s="67" t="n">
        <f aca="false">F30+G30+H30-損益!D12</f>
        <v>0</v>
      </c>
    </row>
    <row r="140" customFormat="false" ht="15" hidden="true" customHeight="false" outlineLevel="1" collapsed="false">
      <c r="A140" s="3" t="s">
        <v>1082</v>
      </c>
      <c r="C140" s="67" t="n">
        <f aca="false">C33+D33+E33-輸入與假設!C$135</f>
        <v>0</v>
      </c>
      <c r="D140" s="67" t="n">
        <f aca="false">F33+G33+H33-輸入與假設!D$135</f>
        <v>0</v>
      </c>
    </row>
    <row r="141" customFormat="false" ht="15" hidden="true" customHeight="false" outlineLevel="1" collapsed="false">
      <c r="A141" s="3" t="s">
        <v>1083</v>
      </c>
      <c r="C141" s="67" t="n">
        <f aca="false">C29+D29+E29-輸入與假設!C$136</f>
        <v>0</v>
      </c>
      <c r="D141" s="67" t="n">
        <f aca="false">F29+G29+H29-輸入與假設!D$136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1084</v>
      </c>
    </row>
    <row r="2" customFormat="false" ht="15" hidden="false" customHeight="false" outlineLevel="0" collapsed="false">
      <c r="A2" s="6" t="s">
        <v>1085</v>
      </c>
    </row>
    <row r="3" customFormat="false" ht="15" hidden="false" customHeight="false" outlineLevel="0" collapsed="false">
      <c r="A3" s="11" t="s">
        <v>1086</v>
      </c>
    </row>
    <row r="5" customFormat="false" ht="15" hidden="false" customHeight="false" outlineLevel="0" collapsed="false">
      <c r="A5" s="14" t="s">
        <v>53</v>
      </c>
      <c r="B5" s="14" t="s">
        <v>54</v>
      </c>
      <c r="C5" s="28" t="s">
        <v>55</v>
      </c>
      <c r="D5" s="28" t="s">
        <v>56</v>
      </c>
      <c r="E5" s="28" t="s">
        <v>57</v>
      </c>
      <c r="F5" s="28" t="s">
        <v>148</v>
      </c>
      <c r="G5" s="28" t="s">
        <v>149</v>
      </c>
      <c r="I5" s="14" t="s">
        <v>750</v>
      </c>
    </row>
    <row r="6" customFormat="false" ht="15" hidden="false" customHeight="false" outlineLevel="0" collapsed="false">
      <c r="A6" s="3" t="s">
        <v>527</v>
      </c>
      <c r="B6" s="6"/>
      <c r="C6" s="64" t="str">
        <f aca="false">"2026-09-01~05-31"</f>
        <v>2026-09-01~05-31</v>
      </c>
      <c r="D6" s="64" t="str">
        <f aca="false">"2028 全年"</f>
        <v>2028 全年</v>
      </c>
      <c r="E6" s="64" t="str">
        <f aca="false">"2029 全年"</f>
        <v>2029 全年</v>
      </c>
      <c r="F6" s="64" t="str">
        <f aca="false">"2030 全年"</f>
        <v>2030 全年</v>
      </c>
      <c r="G6" s="64" t="str">
        <f aca="false">"2031 全年"</f>
        <v>2031 全年</v>
      </c>
      <c r="I6" s="11" t="s">
        <v>1087</v>
      </c>
    </row>
    <row r="7" customFormat="false" ht="15" hidden="false" customHeight="false" outlineLevel="0" collapsed="false">
      <c r="A7" s="3" t="s">
        <v>213</v>
      </c>
      <c r="B7" s="6"/>
      <c r="C7" s="42" t="n">
        <f aca="false">輸入與假設!C$41</f>
        <v>0.75</v>
      </c>
      <c r="D7" s="42" t="n">
        <f aca="false">輸入與假設!D$41</f>
        <v>1</v>
      </c>
      <c r="E7" s="42" t="n">
        <f aca="false">輸入與假設!E$41</f>
        <v>1</v>
      </c>
      <c r="F7" s="42" t="n">
        <f aca="false">輸入與假設!F$41</f>
        <v>1</v>
      </c>
      <c r="G7" s="42" t="n">
        <f aca="false">輸入與假設!G$41</f>
        <v>1</v>
      </c>
      <c r="I7" s="6" t="s">
        <v>1088</v>
      </c>
    </row>
    <row r="8" customFormat="false" ht="15" hidden="false" customHeight="false" outlineLevel="0" collapsed="false">
      <c r="A8" s="49" t="s">
        <v>1089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1090</v>
      </c>
      <c r="B9" s="11" t="s">
        <v>152</v>
      </c>
      <c r="C9" s="66" t="n">
        <f aca="false">MAX(0,輸入與假設!C$43)</f>
        <v>4668</v>
      </c>
      <c r="D9" s="66" t="n">
        <f aca="false">MAX(輸入與假設!D$43,C9)</f>
        <v>7501</v>
      </c>
      <c r="E9" s="66" t="n">
        <f aca="false">MAX(輸入與假設!E$43,D9)</f>
        <v>8778</v>
      </c>
      <c r="F9" s="66" t="n">
        <f aca="false">MAX(輸入與假設!F$43,E9)</f>
        <v>8778</v>
      </c>
      <c r="G9" s="66" t="n">
        <f aca="false">MAX(輸入與假設!G$43,F9)</f>
        <v>8778</v>
      </c>
      <c r="I9" s="6" t="s">
        <v>1091</v>
      </c>
    </row>
    <row r="10" customFormat="false" ht="15" hidden="false" customHeight="false" outlineLevel="1" collapsed="false">
      <c r="A10" s="4" t="s">
        <v>1092</v>
      </c>
      <c r="B10" s="11" t="s">
        <v>152</v>
      </c>
      <c r="C10" s="66" t="n">
        <f aca="false">MIN(MAX(0,輸入與假設!C$44),C9)</f>
        <v>3847</v>
      </c>
      <c r="D10" s="66" t="n">
        <f aca="false">MIN(MAX(0,輸入與假設!D$44),D9)</f>
        <v>6606</v>
      </c>
      <c r="E10" s="66" t="n">
        <f aca="false">MIN(MAX(0,輸入與假設!E$44),E9)</f>
        <v>7915</v>
      </c>
      <c r="F10" s="66" t="n">
        <f aca="false">MIN(MAX(0,輸入與假設!F$44),F9)</f>
        <v>8203</v>
      </c>
      <c r="G10" s="66" t="n">
        <f aca="false">MIN(MAX(0,輸入與假設!G$44),G9)</f>
        <v>8203</v>
      </c>
      <c r="I10" s="6" t="s">
        <v>1093</v>
      </c>
    </row>
    <row r="11" customFormat="false" ht="15" hidden="false" customHeight="false" outlineLevel="1" collapsed="false">
      <c r="A11" s="4" t="s">
        <v>1094</v>
      </c>
      <c r="B11" s="11" t="s">
        <v>152</v>
      </c>
      <c r="C11" s="66" t="n">
        <f aca="false">IF($C$50&lt;=0,$C$10,輸入與假設!$C$36+($C$10-輸入與假設!$C$36)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3573</v>
      </c>
      <c r="D11" s="66" t="n">
        <f aca="false">IF($C$50&lt;=0,$D$10,輸入與假設!$C$36+($C$10-輸入與假設!$C$36)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5916.25</v>
      </c>
      <c r="E11" s="66" t="n">
        <f aca="false">IF($C$50&lt;=0,$E$10,輸入與假設!$C$36+($C$10-輸入與假設!$C$36)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7587.75</v>
      </c>
      <c r="F11" s="66" t="n">
        <f aca="false">IF($C$50&lt;=0,$F$10,輸入與假設!$C$36+($C$10-輸入與假設!$C$36)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8131</v>
      </c>
      <c r="G11" s="66" t="n">
        <f aca="false">IF($C$50&lt;=0,$G$10,輸入與假設!$C$36+($C$10-輸入與假設!$C$36)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8203</v>
      </c>
      <c r="I11" s="6" t="s">
        <v>1095</v>
      </c>
    </row>
    <row r="12" customFormat="false" ht="15" hidden="false" customHeight="false" outlineLevel="1" collapsed="false">
      <c r="A12" s="3" t="s">
        <v>1096</v>
      </c>
      <c r="B12" s="11" t="s">
        <v>152</v>
      </c>
      <c r="C12" s="66" t="n">
        <f aca="false">輸入與假設!$C$36</f>
        <v>3025</v>
      </c>
      <c r="D12" s="66" t="n">
        <f aca="false">C11</f>
        <v>3573</v>
      </c>
      <c r="E12" s="66" t="n">
        <f aca="false">D11</f>
        <v>5916.25</v>
      </c>
      <c r="F12" s="66" t="n">
        <f aca="false">E11</f>
        <v>7587.75</v>
      </c>
      <c r="G12" s="66" t="n">
        <f aca="false">F11</f>
        <v>8131</v>
      </c>
      <c r="I12" s="6" t="s">
        <v>1097</v>
      </c>
    </row>
    <row r="13" customFormat="false" ht="15" hidden="false" customHeight="false" outlineLevel="1" collapsed="false">
      <c r="A13" s="3" t="s">
        <v>1098</v>
      </c>
      <c r="B13" s="11" t="s">
        <v>152</v>
      </c>
      <c r="C13" s="66" t="n">
        <f aca="false">IF(輸入與假設!$C$37=1,(C12+C11)/2,C11)</f>
        <v>3299</v>
      </c>
      <c r="D13" s="66" t="n">
        <f aca="false">IF(輸入與假設!$C$37=1,(D12+D11)/2,D11)</f>
        <v>4744.625</v>
      </c>
      <c r="E13" s="66" t="n">
        <f aca="false">IF(輸入與假設!$C$37=1,(E12+E11)/2,E11)</f>
        <v>6752</v>
      </c>
      <c r="F13" s="66" t="n">
        <f aca="false">IF(輸入與假設!$C$37=1,(F12+F11)/2,F11)</f>
        <v>7859.375</v>
      </c>
      <c r="G13" s="66" t="n">
        <f aca="false">IF(輸入與假設!$C$37=1,(G12+G11)/2,G11)</f>
        <v>8167</v>
      </c>
      <c r="I13" s="6" t="s">
        <v>1099</v>
      </c>
    </row>
    <row r="14" customFormat="false" ht="15" hidden="false" customHeight="false" outlineLevel="1" collapsed="false">
      <c r="A14" s="3" t="s">
        <v>221</v>
      </c>
      <c r="B14" s="11" t="s">
        <v>42</v>
      </c>
      <c r="C14" s="50" t="n">
        <f aca="false">輸入與假設!C$45</f>
        <v>1</v>
      </c>
      <c r="D14" s="50" t="n">
        <f aca="false">輸入與假設!D$45</f>
        <v>1</v>
      </c>
      <c r="E14" s="50" t="n">
        <f aca="false">輸入與假設!E$45</f>
        <v>1</v>
      </c>
      <c r="F14" s="50" t="n">
        <f aca="false">輸入與假設!F$45</f>
        <v>1</v>
      </c>
      <c r="G14" s="50" t="n">
        <f aca="false">輸入與假設!G$45</f>
        <v>1</v>
      </c>
    </row>
    <row r="15" customFormat="false" ht="15" hidden="false" customHeight="false" outlineLevel="1" collapsed="false">
      <c r="A15" s="3" t="s">
        <v>223</v>
      </c>
      <c r="B15" s="11" t="s">
        <v>170</v>
      </c>
      <c r="C15" s="23" t="n">
        <f aca="false">輸入與假設!C$46</f>
        <v>0.00976951578349558</v>
      </c>
      <c r="D15" s="23" t="n">
        <f aca="false">輸入與假設!D$46</f>
        <v>0.0103103123011932</v>
      </c>
      <c r="E15" s="23" t="n">
        <f aca="false">輸入與假設!E$46</f>
        <v>0.010631954862887</v>
      </c>
      <c r="F15" s="23" t="n">
        <f aca="false">輸入與假設!F$46</f>
        <v>0.010734282326708</v>
      </c>
      <c r="G15" s="23" t="n">
        <f aca="false">輸入與假設!G$46</f>
        <v>0.010734282326708</v>
      </c>
    </row>
    <row r="16" customFormat="false" ht="15" hidden="false" customHeight="false" outlineLevel="1" collapsed="false">
      <c r="A16" s="3" t="s">
        <v>1100</v>
      </c>
      <c r="B16" s="11" t="s">
        <v>59</v>
      </c>
      <c r="C16" s="38" t="n">
        <f aca="false">C13*輸入與假設!C$46*輸入與假設!$C$39*輸入與假設!C$45*C7</f>
        <v>24.1722244273139</v>
      </c>
      <c r="D16" s="38" t="n">
        <f aca="false">D13*輸入與假設!D$46*輸入與假設!$C$39*輸入與假設!D$45*D7</f>
        <v>48.9185655020487</v>
      </c>
      <c r="E16" s="38" t="n">
        <f aca="false">E13*輸入與假設!E$46*輸入與假設!$C$39*輸入與假設!E$45*E7</f>
        <v>71.7869592342131</v>
      </c>
      <c r="F16" s="38" t="n">
        <f aca="false">F13*輸入與假設!F$46*輸入與假設!$C$39*輸入與假設!F$45*F7</f>
        <v>84.3647501614705</v>
      </c>
      <c r="G16" s="38" t="n">
        <f aca="false">G13*輸入與假設!G$46*輸入與假設!$C$39*輸入與假設!G$45*G7</f>
        <v>87.666883762224</v>
      </c>
      <c r="I16" s="6" t="s">
        <v>1101</v>
      </c>
    </row>
    <row r="17" customFormat="false" ht="15" hidden="false" customHeight="false" outlineLevel="0" collapsed="false">
      <c r="A17" s="49" t="s">
        <v>1102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1103</v>
      </c>
      <c r="B18" s="11" t="s">
        <v>59</v>
      </c>
      <c r="C18" s="64" t="n">
        <f aca="false">(輸入與假設!$C$31+輸入與假設!$C$32)*(輸入與假設!C$42/輸入與假設!$C$34)*輸入與假設!$C$33</f>
        <v>64.74</v>
      </c>
      <c r="D18" s="64" t="n">
        <f aca="false">(輸入與假設!$C$31+輸入與假設!$C$32)*(輸入與假設!D$42/輸入與假設!$C$34)*輸入與假設!$C$33</f>
        <v>113.71</v>
      </c>
      <c r="E18" s="64" t="n">
        <f aca="false">(輸入與假設!$C$31+輸入與假設!$C$32)*(輸入與假設!E$42/輸入與假設!$C$34)*輸入與假設!$C$33</f>
        <v>122.84</v>
      </c>
      <c r="F18" s="64" t="n">
        <f aca="false">(輸入與假設!$C$31+輸入與假設!$C$32)*(輸入與假設!F$42/輸入與假設!$C$34)*輸入與假設!$C$33</f>
        <v>115.37</v>
      </c>
      <c r="G18" s="64" t="n">
        <f aca="false">(輸入與假設!$C$31+輸入與假設!$C$32)*(輸入與假設!G$42/輸入與假設!$C$34)*輸入與假設!$C$33</f>
        <v>112.88</v>
      </c>
      <c r="I18" s="6" t="s">
        <v>1104</v>
      </c>
    </row>
    <row r="19" customFormat="false" ht="15" hidden="false" customHeight="false" outlineLevel="0" collapsed="false">
      <c r="A19" s="49" t="s">
        <v>1105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1106</v>
      </c>
      <c r="B20" s="11" t="s">
        <v>59</v>
      </c>
      <c r="C20" s="38" t="n">
        <f aca="false">MAX(0,C18-C16)</f>
        <v>40.567775572686</v>
      </c>
      <c r="D20" s="38" t="n">
        <f aca="false">MAX(0,D18-D16)</f>
        <v>64.7914344979513</v>
      </c>
      <c r="E20" s="38" t="n">
        <f aca="false">MAX(0,E18-E16)</f>
        <v>51.0530407657869</v>
      </c>
      <c r="F20" s="38" t="n">
        <f aca="false">MAX(0,F18-F16)</f>
        <v>31.0052498385295</v>
      </c>
      <c r="G20" s="38" t="n">
        <f aca="false">MAX(0,G18-G16)</f>
        <v>25.213116237776</v>
      </c>
      <c r="I20" s="6" t="s">
        <v>1107</v>
      </c>
    </row>
    <row r="21" customFormat="false" ht="15" hidden="false" customHeight="false" outlineLevel="1" collapsed="false">
      <c r="A21" s="3" t="s">
        <v>1108</v>
      </c>
      <c r="B21" s="11" t="s">
        <v>59</v>
      </c>
      <c r="C21" s="64" t="n">
        <f aca="false">C18-C20</f>
        <v>24.172224427314</v>
      </c>
      <c r="D21" s="64" t="n">
        <f aca="false">D18-D20</f>
        <v>48.9185655020487</v>
      </c>
      <c r="E21" s="64" t="n">
        <f aca="false">E18-E20</f>
        <v>71.7869592342131</v>
      </c>
      <c r="F21" s="64" t="n">
        <f aca="false">F18-F20</f>
        <v>84.3647501614705</v>
      </c>
      <c r="G21" s="64" t="n">
        <f aca="false">G18-G20</f>
        <v>87.666883762224</v>
      </c>
      <c r="I21" s="6" t="s">
        <v>1109</v>
      </c>
    </row>
    <row r="22" customFormat="false" ht="15" hidden="false" customHeight="false" outlineLevel="1" collapsed="false">
      <c r="A22" s="3" t="s">
        <v>1110</v>
      </c>
      <c r="B22" s="11" t="s">
        <v>59</v>
      </c>
      <c r="C22" s="64" t="n">
        <f aca="false">MAX(0,C16-C18)</f>
        <v>0</v>
      </c>
      <c r="D22" s="64" t="n">
        <f aca="false">MAX(0,D16-D18)</f>
        <v>0</v>
      </c>
      <c r="E22" s="64" t="n">
        <f aca="false">MAX(0,E16-E18)</f>
        <v>0</v>
      </c>
      <c r="F22" s="64" t="n">
        <f aca="false">MAX(0,F16-F18)</f>
        <v>0</v>
      </c>
      <c r="G22" s="64" t="n">
        <f aca="false">MAX(0,G16-G18)</f>
        <v>0</v>
      </c>
      <c r="I22" s="6" t="s">
        <v>1111</v>
      </c>
    </row>
    <row r="23" customFormat="false" ht="15" hidden="false" customHeight="false" outlineLevel="1" collapsed="false">
      <c r="A23" s="3" t="s">
        <v>225</v>
      </c>
      <c r="B23" s="11" t="s">
        <v>42</v>
      </c>
      <c r="C23" s="50" t="n">
        <f aca="false">IF(輸入與假設!$C$38="mw",1,輸入與假設!C$47)</f>
        <v>1</v>
      </c>
      <c r="D23" s="50" t="n">
        <f aca="false">IF(輸入與假設!$C$38="mw",1,輸入與假設!D$47)</f>
        <v>1</v>
      </c>
      <c r="E23" s="50" t="n">
        <f aca="false">IF(輸入與假設!$C$38="mw",1,輸入與假設!E$47)</f>
        <v>1</v>
      </c>
      <c r="F23" s="50" t="n">
        <f aca="false">IF(輸入與假設!$C$38="mw",1,輸入與假設!F$47)</f>
        <v>1</v>
      </c>
      <c r="G23" s="50" t="n">
        <f aca="false">IF(輸入與假設!$C$38="mw",1,輸入與假設!G$47)</f>
        <v>1</v>
      </c>
      <c r="I23" s="11" t="s">
        <v>1112</v>
      </c>
    </row>
    <row r="24" customFormat="false" ht="15" hidden="false" customHeight="false" outlineLevel="1" collapsed="false">
      <c r="A24" s="3" t="s">
        <v>1113</v>
      </c>
      <c r="B24" s="11" t="s">
        <v>59</v>
      </c>
      <c r="C24" s="64" t="n">
        <f aca="false">C22*C23</f>
        <v>0</v>
      </c>
      <c r="D24" s="64" t="n">
        <f aca="false">D22*D23</f>
        <v>0</v>
      </c>
      <c r="E24" s="64" t="n">
        <f aca="false">E22*E23</f>
        <v>0</v>
      </c>
      <c r="F24" s="64" t="n">
        <f aca="false">F22*F23</f>
        <v>0</v>
      </c>
      <c r="G24" s="64" t="n">
        <f aca="false">G22*G23</f>
        <v>0</v>
      </c>
      <c r="I24" s="6" t="s">
        <v>1114</v>
      </c>
    </row>
    <row r="25" customFormat="false" ht="15" hidden="false" customHeight="false" outlineLevel="1" collapsed="false">
      <c r="A25" s="3" t="s">
        <v>1115</v>
      </c>
      <c r="B25" s="11" t="s">
        <v>59</v>
      </c>
      <c r="C25" s="64" t="n">
        <f aca="false">MAX(0,C16-C21-C24)</f>
        <v>0</v>
      </c>
      <c r="D25" s="64" t="n">
        <f aca="false">MAX(0,D16-D21-D24)</f>
        <v>0</v>
      </c>
      <c r="E25" s="64" t="n">
        <f aca="false">MAX(0,E16-E21-E24)</f>
        <v>0</v>
      </c>
      <c r="F25" s="64" t="n">
        <f aca="false">MAX(0,F16-F21-F24)</f>
        <v>0</v>
      </c>
      <c r="G25" s="64" t="n">
        <f aca="false">MAX(0,G16-G21-G24)</f>
        <v>0</v>
      </c>
      <c r="I25" s="6" t="s">
        <v>1116</v>
      </c>
    </row>
    <row r="26" customFormat="false" ht="15" hidden="false" customHeight="false" outlineLevel="1" collapsed="false">
      <c r="A26" s="3" t="s">
        <v>1117</v>
      </c>
      <c r="B26" s="11" t="s">
        <v>59</v>
      </c>
      <c r="C26" s="38" t="n">
        <f aca="false">C21+C24</f>
        <v>24.172224427314</v>
      </c>
      <c r="D26" s="38" t="n">
        <f aca="false">D21+D24</f>
        <v>48.9185655020487</v>
      </c>
      <c r="E26" s="38" t="n">
        <f aca="false">E21+E24</f>
        <v>71.7869592342131</v>
      </c>
      <c r="F26" s="38" t="n">
        <f aca="false">F21+F24</f>
        <v>84.3647501614705</v>
      </c>
      <c r="G26" s="38" t="n">
        <f aca="false">G21+G24</f>
        <v>87.666883762224</v>
      </c>
      <c r="I26" s="6" t="s">
        <v>1118</v>
      </c>
    </row>
    <row r="27" customFormat="false" ht="15" hidden="false" customHeight="false" outlineLevel="1" collapsed="false">
      <c r="A27" s="3" t="s">
        <v>1119</v>
      </c>
      <c r="B27" s="11" t="s">
        <v>59</v>
      </c>
      <c r="C27" s="64" t="n">
        <f aca="false">C26-C13*輸入與假設!C$46*輸入與假設!$C$39*輸入與假設!C$45*C7</f>
        <v>0</v>
      </c>
      <c r="D27" s="64" t="n">
        <f aca="false">D26-D13*輸入與假設!D$46*輸入與假設!$C$39*輸入與假設!D$45*D7</f>
        <v>0</v>
      </c>
      <c r="E27" s="64" t="n">
        <f aca="false">E26-E13*輸入與假設!E$46*輸入與假設!$C$39*輸入與假設!E$45*E7</f>
        <v>0</v>
      </c>
      <c r="F27" s="64" t="n">
        <f aca="false">F26-F13*輸入與假設!F$46*輸入與假設!$C$39*輸入與假設!F$45*F7</f>
        <v>0</v>
      </c>
      <c r="G27" s="64" t="n">
        <f aca="false">G26-G13*輸入與假設!G$46*輸入與假設!$C$39*輸入與假設!G$45*G7</f>
        <v>0</v>
      </c>
      <c r="I27" s="11" t="s">
        <v>1120</v>
      </c>
    </row>
    <row r="28" customFormat="false" ht="15" hidden="false" customHeight="false" outlineLevel="1" collapsed="false">
      <c r="A28" s="3" t="s">
        <v>1121</v>
      </c>
      <c r="B28" s="11" t="s">
        <v>42</v>
      </c>
      <c r="C28" s="65" t="n">
        <v>1</v>
      </c>
      <c r="D28" s="65" t="n">
        <v>1</v>
      </c>
      <c r="E28" s="65" t="n">
        <v>1</v>
      </c>
      <c r="F28" s="65" t="n">
        <v>0.25</v>
      </c>
      <c r="G28" s="65" t="n">
        <v>0</v>
      </c>
      <c r="I28" s="11" t="s">
        <v>1122</v>
      </c>
    </row>
    <row r="29" customFormat="false" ht="15" hidden="false" customHeight="false" outlineLevel="1" collapsed="false">
      <c r="A29" s="3" t="s">
        <v>1123</v>
      </c>
      <c r="B29" s="11" t="s">
        <v>59</v>
      </c>
      <c r="C29" s="64" t="n">
        <f aca="false">C26*C28</f>
        <v>24.172224427314</v>
      </c>
      <c r="D29" s="64" t="n">
        <f aca="false">D26*D28</f>
        <v>48.9185655020487</v>
      </c>
      <c r="E29" s="64" t="n">
        <f aca="false">E26*E28</f>
        <v>71.7869592342131</v>
      </c>
      <c r="F29" s="64" t="n">
        <f aca="false">F26*F28</f>
        <v>21.0911875403676</v>
      </c>
      <c r="G29" s="64" t="n">
        <f aca="false">G26*G28</f>
        <v>0</v>
      </c>
      <c r="I29" s="6" t="s">
        <v>1124</v>
      </c>
    </row>
    <row r="30" customFormat="false" ht="15" hidden="false" customHeight="false" outlineLevel="1" collapsed="false">
      <c r="A30" s="4" t="s">
        <v>1125</v>
      </c>
      <c r="B30" s="11" t="s">
        <v>59</v>
      </c>
      <c r="C30" s="42" t="n">
        <f aca="false">輸入與假設!$C$251</f>
        <v>19.345</v>
      </c>
      <c r="D30" s="42" t="n">
        <f aca="false">0</f>
        <v>0</v>
      </c>
      <c r="E30" s="42" t="n">
        <f aca="false">0</f>
        <v>0</v>
      </c>
      <c r="F30" s="42" t="n">
        <f aca="false">0</f>
        <v>0</v>
      </c>
      <c r="G30" s="42" t="n">
        <f aca="false">0</f>
        <v>0</v>
      </c>
      <c r="I30" s="11" t="s">
        <v>1126</v>
      </c>
    </row>
    <row r="31" customFormat="false" ht="15" hidden="false" customHeight="false" outlineLevel="1" collapsed="false">
      <c r="A31" s="4" t="s">
        <v>1127</v>
      </c>
      <c r="B31" s="11" t="s">
        <v>59</v>
      </c>
      <c r="C31" s="68" t="n">
        <f aca="false">C30+C26+輸入與假設!C$50+輸入與假設!C$81</f>
        <v>83.0511942273139</v>
      </c>
      <c r="D31" s="38" t="n">
        <f aca="false">D30+D26+輸入與假設!D$50+輸入與假設!D$81</f>
        <v>102.626687552989</v>
      </c>
      <c r="E31" s="38" t="n">
        <f aca="false">E30+E26+輸入與假設!E$50+輸入與假設!E$81</f>
        <v>127.640770776134</v>
      </c>
      <c r="F31" s="38" t="n">
        <f aca="false">F30+F26+輸入與假設!F$50+輸入與假設!F$81</f>
        <v>142.239872909041</v>
      </c>
      <c r="G31" s="38" t="n">
        <f aca="false">G30+G26+輸入與假設!G$50+輸入與假設!G$81</f>
        <v>147.389363139112</v>
      </c>
      <c r="I31" s="11" t="s">
        <v>1128</v>
      </c>
    </row>
    <row r="32" customFormat="false" ht="15" hidden="false" customHeight="false" outlineLevel="0" collapsed="false">
      <c r="A32" s="49" t="s">
        <v>1129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227</v>
      </c>
      <c r="B33" s="11" t="s">
        <v>42</v>
      </c>
      <c r="C33" s="50" t="n">
        <f aca="false">輸入與假設!C$48</f>
        <v>0.005</v>
      </c>
      <c r="D33" s="50" t="n">
        <f aca="false">輸入與假設!D$48</f>
        <v>0.01</v>
      </c>
      <c r="E33" s="50" t="n">
        <f aca="false">輸入與假設!E$48</f>
        <v>0.015</v>
      </c>
      <c r="F33" s="50" t="n">
        <f aca="false">輸入與假設!F$48</f>
        <v>0.02</v>
      </c>
      <c r="G33" s="50" t="n">
        <f aca="false">輸入與假設!G$48</f>
        <v>0.025</v>
      </c>
    </row>
    <row r="34" customFormat="false" ht="15" hidden="false" customHeight="false" outlineLevel="1" collapsed="false">
      <c r="A34" s="3" t="s">
        <v>229</v>
      </c>
      <c r="B34" s="11" t="s">
        <v>42</v>
      </c>
      <c r="C34" s="50" t="n">
        <f aca="false">輸入與假設!C$49</f>
        <v>0.5</v>
      </c>
      <c r="D34" s="50" t="n">
        <f aca="false">輸入與假設!D$49</f>
        <v>0.5</v>
      </c>
      <c r="E34" s="50" t="n">
        <f aca="false">輸入與假設!E$49</f>
        <v>0.5</v>
      </c>
      <c r="F34" s="50" t="n">
        <f aca="false">輸入與假設!F$49</f>
        <v>0.5</v>
      </c>
      <c r="G34" s="50" t="n">
        <f aca="false">輸入與假設!G$49</f>
        <v>0.5</v>
      </c>
    </row>
    <row r="35" customFormat="false" ht="15" hidden="false" customHeight="false" outlineLevel="1" collapsed="false">
      <c r="A35" s="3" t="s">
        <v>1130</v>
      </c>
      <c r="B35" s="11" t="s">
        <v>59</v>
      </c>
      <c r="C35" s="64" t="n">
        <f aca="false">C21*輸入與假設!C$48*(1-輸入與假設!C$49)</f>
        <v>0.0604305610682849</v>
      </c>
      <c r="D35" s="64" t="n">
        <f aca="false">D21*輸入與假設!D$48*(1-輸入與假設!D$49)</f>
        <v>0.244592827510243</v>
      </c>
      <c r="E35" s="64" t="n">
        <f aca="false">E21*輸入與假設!E$48*(1-輸入與假設!E$49)</f>
        <v>0.538402194256598</v>
      </c>
      <c r="F35" s="64" t="n">
        <f aca="false">F21*輸入與假設!F$48*(1-輸入與假設!F$49)</f>
        <v>0.843647501614705</v>
      </c>
      <c r="G35" s="64" t="n">
        <f aca="false">G21*輸入與假設!G$48*(1-輸入與假設!G$49)</f>
        <v>1.0958360470278</v>
      </c>
      <c r="I35" s="6" t="s">
        <v>1131</v>
      </c>
    </row>
    <row r="36" customFormat="false" ht="15" hidden="false" customHeight="false" outlineLevel="1" collapsed="false">
      <c r="A36" s="3" t="s">
        <v>1132</v>
      </c>
      <c r="B36" s="11" t="s">
        <v>59</v>
      </c>
      <c r="C36" s="64" t="n">
        <f aca="false">C21-C35</f>
        <v>24.1117938662457</v>
      </c>
      <c r="D36" s="64" t="n">
        <f aca="false">D21-D35</f>
        <v>48.6739726745384</v>
      </c>
      <c r="E36" s="64" t="n">
        <f aca="false">E21-E35</f>
        <v>71.2485570399565</v>
      </c>
      <c r="F36" s="64" t="n">
        <f aca="false">F21-F35</f>
        <v>83.5211026598558</v>
      </c>
      <c r="G36" s="64" t="n">
        <f aca="false">G21-G35</f>
        <v>86.5710477151962</v>
      </c>
    </row>
    <row r="37" customFormat="false" ht="15" hidden="false" customHeight="false" outlineLevel="1" collapsed="false">
      <c r="A37" s="4" t="s">
        <v>1133</v>
      </c>
      <c r="B37" s="11" t="s">
        <v>42</v>
      </c>
      <c r="C37" s="50" t="n">
        <f aca="false">輸入與假設!C$93</f>
        <v>0.665750202421047</v>
      </c>
      <c r="D37" s="50" t="n">
        <f aca="false">輸入與假設!D$93</f>
        <v>0.592790430882978</v>
      </c>
      <c r="E37" s="50" t="n">
        <f aca="false">輸入與假設!E$93</f>
        <v>0.545040677318869</v>
      </c>
      <c r="F37" s="50" t="n">
        <f aca="false">輸入與假設!F$93</f>
        <v>0.503219298856464</v>
      </c>
      <c r="G37" s="50" t="n">
        <f aca="false">輸入與假設!G$93</f>
        <v>0.468898631320656</v>
      </c>
      <c r="I37" s="6" t="s">
        <v>1134</v>
      </c>
    </row>
    <row r="38" customFormat="false" ht="15" hidden="false" customHeight="false" outlineLevel="1" collapsed="false">
      <c r="A38" s="3" t="s">
        <v>1135</v>
      </c>
      <c r="B38" s="11" t="s">
        <v>59</v>
      </c>
      <c r="C38" s="64" t="n">
        <f aca="false">C26+輸入與假設!C$50</f>
        <v>24.172224427314</v>
      </c>
      <c r="D38" s="64" t="n">
        <f aca="false">D26+輸入與假設!D$50</f>
        <v>48.9185655020487</v>
      </c>
      <c r="E38" s="64" t="n">
        <f aca="false">E26+輸入與假設!E$50</f>
        <v>71.7869592342131</v>
      </c>
      <c r="F38" s="64" t="n">
        <f aca="false">F26+輸入與假設!F$50</f>
        <v>84.3647501614705</v>
      </c>
      <c r="G38" s="64" t="n">
        <f aca="false">G26+輸入與假設!G$50</f>
        <v>87.666883762224</v>
      </c>
    </row>
    <row r="39" customFormat="false" ht="15" hidden="false" customHeight="false" outlineLevel="1" collapsed="false">
      <c r="A39" s="4" t="s">
        <v>1136</v>
      </c>
      <c r="B39" s="11" t="s">
        <v>42</v>
      </c>
      <c r="C39" s="69" t="n">
        <f aca="false">輸入與假設!C$93+各期收支!C16/MAX(0.01,C38)</f>
        <v>0.896247</v>
      </c>
      <c r="D39" s="69" t="n">
        <f aca="false">輸入與假設!D$93+各期收支!D16/MAX(0.01,D38)</f>
        <v>0.85215075</v>
      </c>
      <c r="E39" s="69" t="n">
        <f aca="false">輸入與假設!E$93+各期收支!E16/MAX(0.01,E38)</f>
        <v>0.8080545</v>
      </c>
      <c r="F39" s="69" t="n">
        <f aca="false">輸入與假設!F$93+各期收支!F16/MAX(0.01,F38)</f>
        <v>0.76395825</v>
      </c>
      <c r="G39" s="69" t="n">
        <f aca="false">輸入與假設!G$93+各期收支!G16/MAX(0.01,G38)</f>
        <v>0.719862</v>
      </c>
      <c r="I39" s="6" t="s">
        <v>1137</v>
      </c>
    </row>
    <row r="40" customFormat="false" ht="15" hidden="false" customHeight="false" outlineLevel="1" collapsed="false">
      <c r="A40" s="4" t="s">
        <v>1138</v>
      </c>
      <c r="B40" s="11" t="s">
        <v>59</v>
      </c>
      <c r="C40" s="38" t="n">
        <f aca="false">C36*C39</f>
        <v>21.6101229172411</v>
      </c>
      <c r="D40" s="38" t="n">
        <f aca="false">D36*D39</f>
        <v>41.4775623200874</v>
      </c>
      <c r="E40" s="38" t="n">
        <f aca="false">E36*E39</f>
        <v>57.5727171346435</v>
      </c>
      <c r="F40" s="38" t="n">
        <f aca="false">F36*F39</f>
        <v>63.8066354260938</v>
      </c>
      <c r="G40" s="38" t="n">
        <f aca="false">G36*G39</f>
        <v>62.3192075503566</v>
      </c>
      <c r="I40" s="11" t="s">
        <v>1139</v>
      </c>
    </row>
    <row r="41" customFormat="false" ht="15" hidden="false" customHeight="false" outlineLevel="1" collapsed="false">
      <c r="A41" s="3" t="s">
        <v>1140</v>
      </c>
      <c r="B41" s="11" t="s">
        <v>59</v>
      </c>
      <c r="C41" s="64" t="n">
        <f aca="false">C24*(1-輸入與假設!C$48*(1-輸入與假設!C$49))*C39</f>
        <v>0</v>
      </c>
      <c r="D41" s="64" t="n">
        <f aca="false">D24*(1-輸入與假設!D$48*(1-輸入與假設!D$49))*D39</f>
        <v>0</v>
      </c>
      <c r="E41" s="64" t="n">
        <f aca="false">E24*(1-輸入與假設!E$48*(1-輸入與假設!E$49))*E39</f>
        <v>0</v>
      </c>
      <c r="F41" s="64" t="n">
        <f aca="false">F24*(1-輸入與假設!F$48*(1-輸入與假設!F$49))*F39</f>
        <v>0</v>
      </c>
      <c r="G41" s="64" t="n">
        <f aca="false">G24*(1-輸入與假設!G$48*(1-輸入與假設!G$49))*G39</f>
        <v>0</v>
      </c>
      <c r="I41" s="6" t="s">
        <v>1141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1142</v>
      </c>
    </row>
    <row r="44" customFormat="false" ht="15" hidden="false" customHeight="false" outlineLevel="1" collapsed="false">
      <c r="A44" s="6" t="s">
        <v>1143</v>
      </c>
    </row>
    <row r="46" customFormat="false" ht="15" hidden="false" customHeight="false" outlineLevel="0" collapsed="false">
      <c r="A46" s="49" t="s">
        <v>1144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1145</v>
      </c>
      <c r="B47" s="6" t="s">
        <v>515</v>
      </c>
      <c r="C47" s="26" t="n">
        <v>6</v>
      </c>
      <c r="I47" s="11" t="s">
        <v>1146</v>
      </c>
    </row>
    <row r="48" customFormat="false" ht="15" hidden="false" customHeight="false" outlineLevel="1" collapsed="false">
      <c r="A48" s="3" t="s">
        <v>1147</v>
      </c>
      <c r="B48" s="6" t="s">
        <v>515</v>
      </c>
      <c r="C48" s="26" t="n">
        <v>3</v>
      </c>
      <c r="I48" s="11" t="s">
        <v>1146</v>
      </c>
    </row>
    <row r="49" customFormat="false" ht="15" hidden="false" customHeight="false" outlineLevel="1" collapsed="false">
      <c r="A49" s="3" t="s">
        <v>1148</v>
      </c>
      <c r="B49" s="6" t="s">
        <v>515</v>
      </c>
      <c r="C49" s="26" t="n">
        <v>0</v>
      </c>
      <c r="I49" s="11" t="s">
        <v>1146</v>
      </c>
    </row>
    <row r="50" customFormat="false" ht="15" hidden="false" customHeight="false" outlineLevel="1" collapsed="false">
      <c r="A50" s="3" t="s">
        <v>1149</v>
      </c>
      <c r="B50" s="6" t="s">
        <v>515</v>
      </c>
      <c r="C50" s="70" t="n">
        <f aca="false">CHOOSE(輸入與假設!$C$5,運營_產能與收入!$C$47,運營_產能與收入!$C$48,運營_產能與收入!$C$49)</f>
        <v>3</v>
      </c>
      <c r="I50" s="6" t="s">
        <v>1150</v>
      </c>
    </row>
    <row r="51" customFormat="false" ht="15" hidden="false" customHeight="false" outlineLevel="1" collapsed="false">
      <c r="A51" s="3" t="s">
        <v>1151</v>
      </c>
      <c r="B51" s="6" t="s">
        <v>190</v>
      </c>
      <c r="C51" s="64" t="n">
        <f aca="false">SUM($C$7:C7)</f>
        <v>0.75</v>
      </c>
      <c r="D51" s="64" t="n">
        <f aca="false">SUM($C$7:D7)</f>
        <v>1.75</v>
      </c>
      <c r="E51" s="64" t="n">
        <f aca="false">SUM($C$7:E7)</f>
        <v>2.75</v>
      </c>
      <c r="F51" s="64" t="n">
        <f aca="false">SUM($C$7:F7)</f>
        <v>3.75</v>
      </c>
      <c r="G51" s="64" t="n">
        <f aca="false">SUM($C$7:G7)</f>
        <v>4.75</v>
      </c>
      <c r="I51" s="6" t="s">
        <v>1152</v>
      </c>
    </row>
    <row r="52" customFormat="false" ht="15" hidden="false" customHeight="false" outlineLevel="1" collapsed="false">
      <c r="A52" s="3" t="s">
        <v>1153</v>
      </c>
      <c r="B52" s="11" t="s">
        <v>59</v>
      </c>
      <c r="C52" s="64" t="n">
        <f aca="false">SUM(輸入與假設!$C$128:C$128)</f>
        <v>62.829055592</v>
      </c>
      <c r="D52" s="64" t="n">
        <f aca="false">SUM(輸入與假設!$C$128:D$128)</f>
        <v>142.7211912512</v>
      </c>
      <c r="E52" s="64" t="n">
        <f aca="false">SUM(輸入與假設!$C$128:E$128)</f>
        <v>173.9197427288</v>
      </c>
      <c r="F52" s="64" t="n">
        <f aca="false">SUM(輸入與假設!$C$128:F$128)</f>
        <v>173.9197427288</v>
      </c>
      <c r="G52" s="64" t="n">
        <f aca="false">SUM(輸入與假設!$C$128:G$128)</f>
        <v>173.9197427288</v>
      </c>
      <c r="I52" s="11" t="s">
        <v>1154</v>
      </c>
    </row>
    <row r="53" customFormat="false" ht="15" hidden="false" customHeight="false" outlineLevel="1" collapsed="false">
      <c r="A53" s="3" t="s">
        <v>1155</v>
      </c>
      <c r="B53" s="11" t="s">
        <v>59</v>
      </c>
      <c r="C53" s="64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41.8860370613333</v>
      </c>
      <c r="D53" s="64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122.7481573364</v>
      </c>
      <c r="E53" s="64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166.1201048594</v>
      </c>
      <c r="F53" s="64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173.9197427288</v>
      </c>
      <c r="G53" s="64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173.9197427288</v>
      </c>
      <c r="I53" s="6" t="s">
        <v>1156</v>
      </c>
    </row>
    <row r="54" customFormat="false" ht="15" hidden="false" customHeight="false" outlineLevel="1" collapsed="false">
      <c r="A54" s="3" t="s">
        <v>1157</v>
      </c>
      <c r="B54" s="11" t="s">
        <v>59</v>
      </c>
      <c r="C54" s="64" t="n">
        <f aca="false">C53</f>
        <v>41.8860370613333</v>
      </c>
      <c r="D54" s="64" t="n">
        <f aca="false">D53-C53</f>
        <v>80.8621202750667</v>
      </c>
      <c r="E54" s="64" t="n">
        <f aca="false">E53-D53</f>
        <v>43.371947523</v>
      </c>
      <c r="F54" s="64" t="n">
        <f aca="false">F53-E53</f>
        <v>7.79963786940002</v>
      </c>
      <c r="G54" s="64" t="n">
        <f aca="false">G53-F53</f>
        <v>0</v>
      </c>
      <c r="I54" s="6" t="s">
        <v>1158</v>
      </c>
    </row>
    <row r="55" customFormat="false" ht="15" hidden="false" customHeight="false" outlineLevel="1" collapsed="false">
      <c r="A55" s="3" t="s">
        <v>1159</v>
      </c>
      <c r="B55" s="11" t="s">
        <v>59</v>
      </c>
      <c r="C55" s="38" t="n">
        <f aca="false">C52-C53</f>
        <v>20.9430185306667</v>
      </c>
      <c r="D55" s="38" t="n">
        <f aca="false">D52-D53</f>
        <v>19.9730339148</v>
      </c>
      <c r="E55" s="38" t="n">
        <f aca="false">E52-E53</f>
        <v>7.79963786940002</v>
      </c>
      <c r="F55" s="38" t="n">
        <f aca="false">F52-F53</f>
        <v>0</v>
      </c>
      <c r="G55" s="38" t="n">
        <f aca="false">G52-G53</f>
        <v>0</v>
      </c>
      <c r="I55" s="6" t="s">
        <v>1160</v>
      </c>
    </row>
    <row r="56" customFormat="false" ht="15" hidden="false" customHeight="false" outlineLevel="1" collapsed="false">
      <c r="A56" s="3" t="s">
        <v>1161</v>
      </c>
      <c r="B56" s="11" t="s">
        <v>42</v>
      </c>
      <c r="C56" s="24" t="n">
        <v>0.5</v>
      </c>
      <c r="I56" s="6" t="s">
        <v>1162</v>
      </c>
    </row>
    <row r="57" customFormat="false" ht="15" hidden="false" customHeight="false" outlineLevel="1" collapsed="false">
      <c r="A57" s="3" t="s">
        <v>1163</v>
      </c>
      <c r="B57" s="11" t="s">
        <v>42</v>
      </c>
      <c r="C57" s="24" t="n">
        <v>0</v>
      </c>
      <c r="I57" s="6" t="s">
        <v>1164</v>
      </c>
    </row>
    <row r="58" customFormat="false" ht="15" hidden="false" customHeight="false" outlineLevel="1" collapsed="false">
      <c r="A58" s="3" t="s">
        <v>1165</v>
      </c>
      <c r="B58" s="11" t="s">
        <v>59</v>
      </c>
      <c r="C58" s="64" t="n">
        <f aca="false">輸入與假設!$C$26/輸入與假設!$C$28/輸入與假設!$C$29/4*((MIN(MAX(0,輸入與假設!C$118-(輸入與假設!$C$27+運營_產能與收入!$C$50/3)),輸入與假設!$C$28)*(MIN(MAX(0,輸入與假設!C$118-(輸入與假設!$C$27+運營_產能與收入!$C$50/3)),輸入與假設!$C$28)+1)/2+輸入與假設!$C$28*MAX(0,MAX(0,輸入與假設!C$118-(輸入與假設!$C$27+運營_產能與收入!$C$50/3))-輸入與假設!$C$28))-(MIN(MAX(0,0-(輸入與假設!$C$27+運營_產能與收入!$C$50/3)),輸入與假設!$C$28)*(MIN(MAX(0,0-(輸入與假設!$C$27+運營_產能與收入!$C$50/3)),輸入與假設!$C$28)+1)/2+輸入與假設!$C$28*MAX(0,MAX(0,0-(輸入與假設!$C$27+運營_產能與收入!$C$50/3))-輸入與假設!$C$28)))</f>
        <v>1.15508021390374</v>
      </c>
      <c r="D58" s="64" t="n">
        <f aca="false">輸入與假設!$C$26/輸入與假設!$C$28/輸入與假設!$C$29/4*((MIN(MAX(0,輸入與假設!D$118-(輸入與假設!$C$27+運營_產能與收入!$C$50/3)),輸入與假設!$C$28)*(MIN(MAX(0,輸入與假設!D$118-(輸入與假設!$C$27+運營_產能與收入!$C$50/3)),輸入與假設!$C$28)+1)/2+輸入與假設!$C$28*MAX(0,MAX(0,輸入與假設!D$118-(輸入與假設!$C$27+運營_產能與收入!$C$50/3))-輸入與假設!$C$28))-(MIN(MAX(0,輸入與假設!C$118-(輸入與假設!$C$27+運營_產能與收入!$C$50/3)),輸入與假設!$C$28)*(MIN(MAX(0,輸入與假設!C$118-(輸入與假設!$C$27+運營_產能與收入!$C$50/3)),輸入與假設!$C$28)+1)/2+輸入與假設!$C$28*MAX(0,MAX(0,輸入與假設!C$118-(輸入與假設!$C$27+運營_產能與收入!$C$50/3))-輸入與假設!$C$28)))</f>
        <v>6.93048128342246</v>
      </c>
      <c r="E58" s="64" t="n">
        <f aca="false">輸入與假設!$C$26/輸入與假設!$C$28/輸入與假設!$C$29/4*((MIN(MAX(0,輸入與假設!E$118-(輸入與假設!$C$27+運營_產能與收入!$C$50/3)),輸入與假設!$C$28)*(MIN(MAX(0,輸入與假設!E$118-(輸入與假設!$C$27+運營_產能與收入!$C$50/3)),輸入與假設!$C$28)+1)/2+輸入與假設!$C$28*MAX(0,MAX(0,輸入與假設!E$118-(輸入與假設!$C$27+運營_產能與收入!$C$50/3))-輸入與假設!$C$28))-(MIN(MAX(0,輸入與假設!D$118-(輸入與假設!$C$27+運營_產能與收入!$C$50/3)),輸入與假設!$C$28)*(MIN(MAX(0,輸入與假設!D$118-(輸入與假設!$C$27+運營_產能與收入!$C$50/3)),輸入與假設!$C$28)+1)/2+輸入與假設!$C$28*MAX(0,MAX(0,輸入與假設!D$118-(輸入與假設!$C$27+運營_產能與收入!$C$50/3))-輸入與假設!$C$28)))</f>
        <v>13.0909090909091</v>
      </c>
      <c r="F58" s="64" t="n">
        <f aca="false">輸入與假設!$C$26/輸入與假設!$C$28/輸入與假設!$C$29/4*((MIN(MAX(0,輸入與假設!F$118-(輸入與假設!$C$27+運營_產能與收入!$C$50/3)),輸入與假設!$C$28)*(MIN(MAX(0,輸入與假設!F$118-(輸入與假設!$C$27+運營_產能與收入!$C$50/3)),輸入與假設!$C$28)+1)/2+輸入與假設!$C$28*MAX(0,MAX(0,輸入與假設!F$118-(輸入與假設!$C$27+運營_產能與收入!$C$50/3))-輸入與假設!$C$28))-(MIN(MAX(0,輸入與假設!E$118-(輸入與假設!$C$27+運營_產能與收入!$C$50/3)),輸入與假設!$C$28)*(MIN(MAX(0,輸入與假設!E$118-(輸入與假設!$C$27+運營_產能與收入!$C$50/3)),輸入與假設!$C$28)+1)/2+輸入與假設!$C$28*MAX(0,MAX(0,輸入與假設!E$118-(輸入與假設!$C$27+運營_產能與收入!$C$50/3))-輸入與假設!$C$28)))</f>
        <v>16.9411764705882</v>
      </c>
      <c r="G58" s="64" t="n">
        <f aca="false">輸入與假設!$C$26/輸入與假設!$C$28/輸入與假設!$C$29/4*((MIN(MAX(0,輸入與假設!G$118-(輸入與假設!$C$27+運營_產能與收入!$C$50/3)),輸入與假設!$C$28)*(MIN(MAX(0,輸入與假設!G$118-(輸入與假設!$C$27+運營_產能與收入!$C$50/3)),輸入與假設!$C$28)+1)/2+輸入與假設!$C$28*MAX(0,MAX(0,輸入與假設!G$118-(輸入與假設!$C$27+運營_產能與收入!$C$50/3))-輸入與假設!$C$28))-(MIN(MAX(0,輸入與假設!F$118-(輸入與假設!$C$27+運營_產能與收入!$C$50/3)),輸入與假設!$C$28)*(MIN(MAX(0,輸入與假設!F$118-(輸入與假設!$C$27+運營_產能與收入!$C$50/3)),輸入與假設!$C$28)+1)/2+輸入與假設!$C$28*MAX(0,MAX(0,輸入與假設!F$118-(輸入與假設!$C$27+運營_產能與收入!$C$50/3))-輸入與假設!$C$28)))</f>
        <v>16.9411764705882</v>
      </c>
      <c r="I58" s="6" t="s">
        <v>1166</v>
      </c>
    </row>
    <row r="59" customFormat="false" ht="15" hidden="false" customHeight="false" outlineLevel="1" collapsed="false">
      <c r="A59" s="3" t="s">
        <v>1167</v>
      </c>
      <c r="B59" s="11" t="s">
        <v>59</v>
      </c>
      <c r="C59" s="38" t="n">
        <f aca="false">IF(OR(運營_產能與收入!$C$50&lt;=0,運營_產能與收入!$C$56&lt;=0),輸入與假設!C$119,(1-運營_產能與收入!$C$56)*輸入與假設!C$119+運營_產能與收入!$C$56*C58)</f>
        <v>1.73262032085562</v>
      </c>
      <c r="D59" s="38" t="n">
        <f aca="false">IF(OR(運營_產能與收入!$C$50&lt;=0,運營_產能與收入!$C$56&lt;=0),輸入與假設!D$119,(1-運營_產能與收入!$C$56)*輸入與假設!D$119+運營_產能與收入!$C$56*D58)</f>
        <v>7.70053475935829</v>
      </c>
      <c r="E59" s="38" t="n">
        <f aca="false">IF(OR(運營_產能與收入!$C$50&lt;=0,運營_產能與收入!$C$56&lt;=0),輸入與假設!E$119,(1-運營_產能與收入!$C$56)*輸入與假設!E$119+運營_產能與收入!$C$56*E58)</f>
        <v>13.8609625668449</v>
      </c>
      <c r="F59" s="38" t="n">
        <f aca="false">IF(OR(運營_產能與收入!$C$50&lt;=0,運營_產能與收入!$C$56&lt;=0),輸入與假設!F$119,(1-運營_產能與收入!$C$56)*輸入與假設!F$119+運營_產能與收入!$C$56*F58)</f>
        <v>16.9411764705882</v>
      </c>
      <c r="G59" s="38" t="n">
        <f aca="false">IF(OR(運營_產能與收入!$C$50&lt;=0,運營_產能與收入!$C$56&lt;=0),輸入與假設!G$119,(1-運營_產能與收入!$C$56)*輸入與假設!G$119+運營_產能與收入!$C$56*G58)</f>
        <v>16.9411764705882</v>
      </c>
      <c r="I59" s="6" t="s">
        <v>1168</v>
      </c>
    </row>
    <row r="60" customFormat="false" ht="15" hidden="false" customHeight="false" outlineLevel="1" collapsed="false">
      <c r="A60" s="3" t="s">
        <v>1169</v>
      </c>
      <c r="B60" s="11" t="s">
        <v>59</v>
      </c>
      <c r="C60" s="64" t="n">
        <f aca="false">IF(輸入與假設!$C$37=1,(輸入與假設!$C$36+C10)/2,C10)*輸入與假設!C$46*輸入與假設!$C$39*輸入與假設!C$45*C7</f>
        <v>25.1760421740681</v>
      </c>
      <c r="D60" s="64" t="n">
        <f aca="false">IF(輸入與假設!$C$37=1,(C10+D10)/2,D10)*輸入與假設!D$46*輸入與假設!$C$39*輸入與假設!D$45*D7</f>
        <v>53.8868472421861</v>
      </c>
      <c r="E60" s="64" t="n">
        <f aca="false">IF(輸入與假設!$C$37=1,(D10+E10)/2,E10)*輸入與假設!E$46*輸入與假設!$C$39*輸入與假設!E$45*E7</f>
        <v>77.1933082819912</v>
      </c>
      <c r="F60" s="64" t="n">
        <f aca="false">IF(輸入與假設!$C$37=1,(E10+F10)/2,F10)*輸入與假設!F$46*輸入與假設!$C$39*輸入與假設!F$45*F7</f>
        <v>86.5075812709396</v>
      </c>
      <c r="G60" s="64" t="n">
        <f aca="false">IF(輸入與假設!$C$37=1,(F10+G10)/2,G10)*輸入與假設!G$46*輸入與假設!$C$39*輸入與假設!G$45*G7</f>
        <v>88.0533179259855</v>
      </c>
      <c r="I60" s="6" t="s">
        <v>1170</v>
      </c>
    </row>
    <row r="61" customFormat="false" ht="15" hidden="false" customHeight="false" outlineLevel="1" collapsed="false">
      <c r="A61" s="3" t="s">
        <v>1171</v>
      </c>
      <c r="B61" s="11" t="s">
        <v>59</v>
      </c>
      <c r="C61" s="64" t="n">
        <f aca="false">IF(運營_產能與收入!$C$50&lt;=0,0,MAX(0,C60-C16))</f>
        <v>1.00381774675417</v>
      </c>
      <c r="D61" s="64" t="n">
        <f aca="false">IF(運營_產能與收入!$C$50&lt;=0,0,MAX(0,D60-D16))</f>
        <v>4.96828174013746</v>
      </c>
      <c r="E61" s="64" t="n">
        <f aca="false">IF(運營_產能與收入!$C$50&lt;=0,0,MAX(0,E60-E16))</f>
        <v>5.40634904777805</v>
      </c>
      <c r="F61" s="64" t="n">
        <f aca="false">IF(運營_產能與收入!$C$50&lt;=0,0,MAX(0,F60-F16))</f>
        <v>2.14283110946909</v>
      </c>
      <c r="G61" s="64" t="n">
        <f aca="false">IF(運營_產能與收入!$C$50&lt;=0,0,MAX(0,G60-G16))</f>
        <v>0.386434163761479</v>
      </c>
      <c r="I61" s="6" t="s">
        <v>1172</v>
      </c>
    </row>
    <row r="62" customFormat="false" ht="15" hidden="false" customHeight="false" outlineLevel="1" collapsed="false">
      <c r="A62" s="3" t="s">
        <v>1173</v>
      </c>
      <c r="B62" s="11" t="s">
        <v>59</v>
      </c>
      <c r="C62" s="64" t="n">
        <f aca="false">運營_產能與收入!$C$57*C61</f>
        <v>0</v>
      </c>
      <c r="D62" s="64" t="n">
        <f aca="false">運營_產能與收入!$C$57*D61</f>
        <v>0</v>
      </c>
      <c r="E62" s="64" t="n">
        <f aca="false">運營_產能與收入!$C$57*E61</f>
        <v>0</v>
      </c>
      <c r="F62" s="64" t="n">
        <f aca="false">運營_產能與收入!$C$57*F61</f>
        <v>0</v>
      </c>
      <c r="G62" s="64" t="n">
        <f aca="false">運營_產能與收入!$C$57*G61</f>
        <v>0</v>
      </c>
      <c r="I62" s="6" t="s">
        <v>1174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1175</v>
      </c>
    </row>
    <row r="2" customFormat="false" ht="15" hidden="false" customHeight="false" outlineLevel="0" collapsed="false">
      <c r="A2" s="6" t="s">
        <v>1176</v>
      </c>
    </row>
    <row r="4" customFormat="false" ht="17.15" hidden="false" customHeight="false" outlineLevel="0" collapsed="false">
      <c r="A4" s="14" t="s">
        <v>1177</v>
      </c>
      <c r="B4" s="14" t="s">
        <v>1178</v>
      </c>
      <c r="C4" s="14" t="s">
        <v>1179</v>
      </c>
      <c r="D4" s="14" t="s">
        <v>1180</v>
      </c>
      <c r="E4" s="14" t="s">
        <v>1181</v>
      </c>
      <c r="F4" s="14" t="s">
        <v>1182</v>
      </c>
      <c r="G4" s="14" t="s">
        <v>1183</v>
      </c>
      <c r="H4" s="14" t="s">
        <v>1184</v>
      </c>
      <c r="I4" s="14" t="s">
        <v>1185</v>
      </c>
      <c r="J4" s="14" t="s">
        <v>1186</v>
      </c>
      <c r="K4" s="14" t="s">
        <v>724</v>
      </c>
    </row>
    <row r="5" customFormat="false" ht="15" hidden="false" customHeight="false" outlineLevel="0" collapsed="false">
      <c r="A5" s="4" t="s">
        <v>1187</v>
      </c>
      <c r="B5" s="11" t="s">
        <v>1188</v>
      </c>
      <c r="C5" s="21" t="n">
        <v>1000</v>
      </c>
      <c r="D5" s="21" t="n">
        <v>515</v>
      </c>
      <c r="E5" s="71" t="s">
        <v>1189</v>
      </c>
      <c r="F5" s="71" t="s">
        <v>1189</v>
      </c>
      <c r="I5" s="11" t="s">
        <v>1190</v>
      </c>
      <c r="J5" s="11" t="s">
        <v>1191</v>
      </c>
      <c r="K5" s="6" t="s">
        <v>1192</v>
      </c>
    </row>
    <row r="6" customFormat="false" ht="15" hidden="false" customHeight="false" outlineLevel="0" collapsed="false">
      <c r="A6" s="4" t="s">
        <v>1193</v>
      </c>
      <c r="B6" s="11" t="s">
        <v>1194</v>
      </c>
      <c r="C6" s="21" t="n">
        <v>1667</v>
      </c>
      <c r="D6" s="21" t="n">
        <v>0</v>
      </c>
      <c r="E6" s="71" t="s">
        <v>1189</v>
      </c>
      <c r="F6" s="71" t="s">
        <v>1189</v>
      </c>
      <c r="I6" s="11" t="s">
        <v>1195</v>
      </c>
      <c r="J6" s="11" t="s">
        <v>1191</v>
      </c>
      <c r="K6" s="11" t="s">
        <v>1196</v>
      </c>
    </row>
    <row r="7" customFormat="false" ht="15" hidden="false" customHeight="false" outlineLevel="0" collapsed="false">
      <c r="A7" s="4" t="s">
        <v>1197</v>
      </c>
      <c r="B7" s="11" t="s">
        <v>1198</v>
      </c>
      <c r="C7" s="21" t="n">
        <v>1833</v>
      </c>
      <c r="D7" s="21" t="n">
        <v>0</v>
      </c>
      <c r="E7" s="71" t="s">
        <v>1189</v>
      </c>
      <c r="F7" s="71" t="s">
        <v>1189</v>
      </c>
      <c r="I7" s="6" t="s">
        <v>1199</v>
      </c>
      <c r="J7" s="11" t="s">
        <v>1191</v>
      </c>
      <c r="K7" s="11" t="s">
        <v>1200</v>
      </c>
    </row>
    <row r="8" customFormat="false" ht="15" hidden="false" customHeight="false" outlineLevel="0" collapsed="false">
      <c r="A8" s="4" t="s">
        <v>1201</v>
      </c>
      <c r="B8" s="11" t="s">
        <v>1194</v>
      </c>
      <c r="C8" s="21" t="n">
        <v>1083</v>
      </c>
      <c r="D8" s="21" t="n">
        <v>0</v>
      </c>
      <c r="E8" s="71" t="s">
        <v>1189</v>
      </c>
      <c r="F8" s="71" t="s">
        <v>1189</v>
      </c>
      <c r="I8" s="11" t="s">
        <v>1195</v>
      </c>
      <c r="J8" s="11" t="s">
        <v>1191</v>
      </c>
      <c r="K8" s="11" t="s">
        <v>1202</v>
      </c>
    </row>
    <row r="9" customFormat="false" ht="15" hidden="false" customHeight="false" outlineLevel="0" collapsed="false">
      <c r="A9" s="4" t="s">
        <v>1203</v>
      </c>
      <c r="B9" s="11" t="s">
        <v>1204</v>
      </c>
      <c r="C9" s="21" t="n">
        <v>1167</v>
      </c>
      <c r="D9" s="21" t="n">
        <v>0</v>
      </c>
      <c r="E9" s="71" t="s">
        <v>1189</v>
      </c>
      <c r="F9" s="71" t="s">
        <v>1189</v>
      </c>
      <c r="I9" s="11" t="s">
        <v>1195</v>
      </c>
      <c r="J9" s="11" t="s">
        <v>1191</v>
      </c>
      <c r="K9" s="11" t="s">
        <v>1205</v>
      </c>
    </row>
    <row r="10" customFormat="false" ht="15" hidden="false" customHeight="false" outlineLevel="0" collapsed="false">
      <c r="A10" s="2" t="s">
        <v>1206</v>
      </c>
      <c r="C10" s="72" t="n">
        <f aca="false">SUM(C5:C9)</f>
        <v>6750</v>
      </c>
      <c r="D10" s="72" t="n">
        <f aca="false">SUM(D5:D9)</f>
        <v>515</v>
      </c>
      <c r="E10" s="56" t="n">
        <f aca="false">SUM(E5:E9)</f>
        <v>0</v>
      </c>
      <c r="G10" s="56" t="n">
        <f aca="false">SUM(G5:G9)</f>
        <v>0</v>
      </c>
      <c r="H10" s="73" t="n">
        <f aca="false">IF(I10&gt;0,G10/I10*1000,0)</f>
        <v>0</v>
      </c>
      <c r="I10" s="47" t="n">
        <f aca="false">SUMPRODUCT(ISNUMBER(G5:G9)*C5:C9)</f>
        <v>0</v>
      </c>
      <c r="K10" s="6" t="s">
        <v>1207</v>
      </c>
    </row>
    <row r="12" customFormat="false" ht="15" hidden="false" customHeight="false" outlineLevel="0" collapsed="false">
      <c r="A12" s="49" t="s">
        <v>1208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1" collapsed="false">
      <c r="A13" s="3" t="s">
        <v>1209</v>
      </c>
      <c r="E13" s="25" t="n">
        <v>63.245</v>
      </c>
      <c r="K13" s="11" t="s">
        <v>1210</v>
      </c>
    </row>
    <row r="14" customFormat="false" ht="15" hidden="false" customHeight="false" outlineLevel="1" collapsed="false">
      <c r="A14" s="3" t="s">
        <v>1211</v>
      </c>
      <c r="E14" s="25" t="n">
        <v>288</v>
      </c>
      <c r="K14" s="11" t="s">
        <v>1212</v>
      </c>
    </row>
    <row r="15" customFormat="false" ht="15" hidden="false" customHeight="false" outlineLevel="1" collapsed="false">
      <c r="A15" s="3" t="s">
        <v>1213</v>
      </c>
      <c r="E15" s="25" t="n">
        <v>0</v>
      </c>
      <c r="K15" s="11" t="s">
        <v>1214</v>
      </c>
    </row>
    <row r="16" customFormat="false" ht="15" hidden="false" customHeight="false" outlineLevel="1" collapsed="false">
      <c r="A16" s="2" t="s">
        <v>1215</v>
      </c>
      <c r="E16" s="56" t="n">
        <f aca="false">SUM(E13:E15)</f>
        <v>351.245</v>
      </c>
      <c r="K16" s="6" t="s">
        <v>1216</v>
      </c>
    </row>
    <row r="17" customFormat="false" ht="15" hidden="false" customHeight="false" outlineLevel="1" collapsed="false">
      <c r="A17" s="3" t="s">
        <v>1217</v>
      </c>
      <c r="E17" s="55" t="n">
        <f aca="false">-E10</f>
        <v>-0</v>
      </c>
    </row>
    <row r="18" customFormat="false" ht="15" hidden="false" customHeight="false" outlineLevel="1" collapsed="false">
      <c r="A18" s="2" t="s">
        <v>1218</v>
      </c>
      <c r="E18" s="56" t="n">
        <f aca="false">E16+E17</f>
        <v>351.245</v>
      </c>
      <c r="K18" s="6" t="s">
        <v>1219</v>
      </c>
    </row>
    <row r="19" customFormat="false" ht="15" hidden="false" customHeight="false" outlineLevel="1" collapsed="false">
      <c r="A19" s="3" t="s">
        <v>1220</v>
      </c>
      <c r="E19" s="29" t="n">
        <f aca="false">IF(E16&lt;&gt;0,E18/E16,0)</f>
        <v>1</v>
      </c>
    </row>
    <row r="21" customFormat="false" ht="15" hidden="false" customHeight="false" outlineLevel="0" collapsed="false">
      <c r="A21" s="49" t="s">
        <v>1221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1" collapsed="false">
      <c r="A22" s="14" t="s">
        <v>53</v>
      </c>
      <c r="B22" s="14" t="s">
        <v>54</v>
      </c>
      <c r="C22" s="15" t="s">
        <v>55</v>
      </c>
      <c r="D22" s="15" t="s">
        <v>56</v>
      </c>
      <c r="E22" s="15" t="s">
        <v>57</v>
      </c>
      <c r="F22" s="15" t="s">
        <v>148</v>
      </c>
      <c r="G22" s="15" t="s">
        <v>149</v>
      </c>
    </row>
    <row r="23" customFormat="false" ht="15" hidden="false" customHeight="false" outlineLevel="1" collapsed="false">
      <c r="A23" s="3" t="s">
        <v>1222</v>
      </c>
      <c r="B23" s="11" t="s">
        <v>59</v>
      </c>
      <c r="C23" s="64" t="n">
        <f aca="false">各期收支!C16</f>
        <v>5.57162032085562</v>
      </c>
      <c r="D23" s="64" t="n">
        <f aca="false">各期收支!D16</f>
        <v>12.6875347593583</v>
      </c>
      <c r="E23" s="64" t="n">
        <f aca="false">各期收支!E16</f>
        <v>18.8809625668449</v>
      </c>
      <c r="F23" s="64" t="n">
        <f aca="false">各期收支!F16</f>
        <v>21.9971764705882</v>
      </c>
      <c r="G23" s="64" t="n">
        <f aca="false">各期收支!G16</f>
        <v>22.0011764705882</v>
      </c>
    </row>
    <row r="24" customFormat="false" ht="15" hidden="false" customHeight="false" outlineLevel="1" collapsed="false">
      <c r="A24" s="3" t="s">
        <v>1223</v>
      </c>
      <c r="B24" s="11" t="s">
        <v>152</v>
      </c>
      <c r="C24" s="66" t="n">
        <f aca="false">(輸入與假設!C$124+輸入與假設!C$43)/2</f>
        <v>3251.5</v>
      </c>
      <c r="D24" s="66" t="n">
        <f aca="false">(輸入與假設!D$124+輸入與假設!D$43)/2</f>
        <v>6084.5</v>
      </c>
      <c r="E24" s="66" t="n">
        <f aca="false">(輸入與假設!E$124+輸入與假設!E$43)/2</f>
        <v>8139.5</v>
      </c>
      <c r="F24" s="66" t="n">
        <f aca="false">(輸入與假設!F$124+輸入與假設!F$43)/2</f>
        <v>8778</v>
      </c>
      <c r="G24" s="66" t="n">
        <f aca="false">(輸入與假設!G$124+輸入與假設!G$43)/2</f>
        <v>8778</v>
      </c>
    </row>
    <row r="25" customFormat="false" ht="15" hidden="false" customHeight="false" outlineLevel="1" collapsed="false">
      <c r="A25" s="3" t="s">
        <v>213</v>
      </c>
      <c r="B25" s="6" t="s">
        <v>190</v>
      </c>
      <c r="C25" s="64" t="n">
        <f aca="false">輸入與假設!C$41</f>
        <v>0.75</v>
      </c>
      <c r="D25" s="64" t="n">
        <f aca="false">輸入與假設!D$41</f>
        <v>1</v>
      </c>
      <c r="E25" s="64" t="n">
        <f aca="false">輸入與假設!E$41</f>
        <v>1</v>
      </c>
      <c r="F25" s="64" t="n">
        <f aca="false">輸入與假設!F$41</f>
        <v>1</v>
      </c>
      <c r="G25" s="64" t="n">
        <f aca="false">輸入與假設!G$41</f>
        <v>1</v>
      </c>
    </row>
    <row r="26" customFormat="false" ht="15" hidden="false" customHeight="false" outlineLevel="1" collapsed="false">
      <c r="A26" s="2" t="s">
        <v>1224</v>
      </c>
      <c r="B26" s="11" t="s">
        <v>302</v>
      </c>
      <c r="C26" s="38" t="n">
        <f aca="false">C23/C25/C24*1000</f>
        <v>2.28473845747321</v>
      </c>
      <c r="D26" s="38" t="n">
        <f aca="false">D23/D25/D24*1000</f>
        <v>2.08522224658695</v>
      </c>
      <c r="E26" s="38" t="n">
        <f aca="false">E23/E25/E24*1000</f>
        <v>2.31967105680262</v>
      </c>
      <c r="F26" s="38" t="n">
        <f aca="false">F23/F25/F24*1000</f>
        <v>2.50594400439602</v>
      </c>
      <c r="G26" s="38" t="n">
        <f aca="false">G23/G25/G24*1000</f>
        <v>2.50639968906223</v>
      </c>
      <c r="K26" s="11" t="s">
        <v>1225</v>
      </c>
    </row>
    <row r="27" customFormat="false" ht="15" hidden="false" customHeight="false" outlineLevel="1" collapsed="false">
      <c r="A27" s="3" t="s">
        <v>1226</v>
      </c>
      <c r="C27" s="24" t="n">
        <v>1</v>
      </c>
      <c r="K27" s="6" t="s">
        <v>1227</v>
      </c>
    </row>
    <row r="28" customFormat="false" ht="15" hidden="false" customHeight="false" outlineLevel="1" collapsed="false">
      <c r="A28" s="3" t="s">
        <v>1228</v>
      </c>
      <c r="B28" s="11" t="s">
        <v>59</v>
      </c>
      <c r="C28" s="64" t="n">
        <f aca="false">C24*運營_站點!$H$10/1000*$C$27*C25</f>
        <v>0</v>
      </c>
      <c r="D28" s="64" t="n">
        <f aca="false">D24*運營_站點!$H$10/1000*$C$27*D25</f>
        <v>0</v>
      </c>
      <c r="E28" s="64" t="n">
        <f aca="false">E24*運營_站點!$H$10/1000*$C$27*E25</f>
        <v>0</v>
      </c>
      <c r="F28" s="64" t="n">
        <f aca="false">F24*運營_站點!$H$10/1000*$C$27*F25</f>
        <v>0</v>
      </c>
      <c r="G28" s="64" t="n">
        <f aca="false">G24*運營_站點!$H$10/1000*$C$27*G25</f>
        <v>0</v>
      </c>
      <c r="K28" s="6" t="s">
        <v>1229</v>
      </c>
    </row>
    <row r="29" customFormat="false" ht="15" hidden="false" customHeight="false" outlineLevel="1" collapsed="false">
      <c r="A29" s="2" t="s">
        <v>1230</v>
      </c>
      <c r="B29" s="11" t="s">
        <v>59</v>
      </c>
      <c r="C29" s="38" t="n">
        <f aca="false">C28-C23</f>
        <v>-5.57162032085562</v>
      </c>
      <c r="D29" s="38" t="n">
        <f aca="false">D28-D23</f>
        <v>-12.6875347593583</v>
      </c>
      <c r="E29" s="38" t="n">
        <f aca="false">E28-E23</f>
        <v>-18.8809625668449</v>
      </c>
      <c r="F29" s="38" t="n">
        <f aca="false">F28-F23</f>
        <v>-21.9971764705882</v>
      </c>
      <c r="G29" s="38" t="n">
        <f aca="false">G28-G23</f>
        <v>-22.0011764705882</v>
      </c>
      <c r="K29" s="6" t="s">
        <v>1231</v>
      </c>
    </row>
    <row r="30" customFormat="false" ht="15" hidden="false" customHeight="false" outlineLevel="1" collapsed="false">
      <c r="A30" s="2" t="s">
        <v>1232</v>
      </c>
      <c r="C30" s="73" t="n">
        <f aca="false">SUM(C29:G29)</f>
        <v>-81.1384705882353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3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1233</v>
      </c>
    </row>
    <row r="2" customFormat="false" ht="15" hidden="false" customHeight="false" outlineLevel="0" collapsed="false">
      <c r="A2" s="6" t="s">
        <v>1234</v>
      </c>
    </row>
    <row r="3" customFormat="false" ht="15" hidden="false" customHeight="false" outlineLevel="0" collapsed="false">
      <c r="A3" s="6" t="s">
        <v>1235</v>
      </c>
    </row>
    <row r="4" customFormat="false" ht="15" hidden="false" customHeight="false" outlineLevel="0" collapsed="false">
      <c r="A4" s="7" t="s">
        <v>1236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14" t="s">
        <v>53</v>
      </c>
      <c r="B5" s="14" t="s">
        <v>54</v>
      </c>
      <c r="C5" s="14" t="s">
        <v>1237</v>
      </c>
      <c r="D5" s="14" t="s">
        <v>1238</v>
      </c>
      <c r="E5" s="14" t="s">
        <v>1239</v>
      </c>
      <c r="I5" s="14" t="s">
        <v>1240</v>
      </c>
    </row>
    <row r="6" customFormat="false" ht="15" hidden="false" customHeight="false" outlineLevel="1" collapsed="false">
      <c r="A6" s="4" t="s">
        <v>1241</v>
      </c>
      <c r="B6" s="6" t="s">
        <v>1242</v>
      </c>
      <c r="C6" s="74" t="n">
        <f aca="false">8.9073/TK_HoldEcon_GB300</f>
        <v>0.81820353817925</v>
      </c>
      <c r="D6" s="74" t="n">
        <f aca="false">9.7/TK_HoldEcon_GB300</f>
        <v>0.891019087752599</v>
      </c>
      <c r="E6" s="74" t="n">
        <f aca="false">12.7247/TK_HoldEcon_GB300</f>
        <v>1.16886088514696</v>
      </c>
      <c r="I6" s="11" t="s">
        <v>1243</v>
      </c>
    </row>
    <row r="7" customFormat="false" ht="15" hidden="false" customHeight="false" outlineLevel="1" collapsed="false">
      <c r="A7" s="4" t="s">
        <v>1244</v>
      </c>
      <c r="B7" s="6" t="s">
        <v>1242</v>
      </c>
      <c r="C7" s="74" t="n">
        <f aca="false">2.4075/TK_GPUhrEcon_H100</f>
        <v>1.56068027206872</v>
      </c>
      <c r="D7" s="74" t="n">
        <f aca="false">2.82/TK_GPUhrEcon_H100</f>
        <v>1.82808654921445</v>
      </c>
      <c r="E7" s="74" t="n">
        <f aca="false">6.82/TK_GPUhrEcon_GB300</f>
        <v>2.67263621959162</v>
      </c>
      <c r="I7" s="11" t="s">
        <v>1245</v>
      </c>
    </row>
    <row r="8" customFormat="false" ht="15" hidden="false" customHeight="false" outlineLevel="1" collapsed="false">
      <c r="A8" s="75" t="s">
        <v>1246</v>
      </c>
      <c r="B8" s="6" t="s">
        <v>1242</v>
      </c>
      <c r="C8" s="76" t="n">
        <f aca="false">CHOOSE(輸入與假設!$F$5,C6,D6,E6)</f>
        <v>0.891019087752599</v>
      </c>
      <c r="I8" s="6" t="s">
        <v>1247</v>
      </c>
    </row>
    <row r="9" customFormat="false" ht="15" hidden="false" customHeight="false" outlineLevel="1" collapsed="false">
      <c r="A9" s="75" t="s">
        <v>1248</v>
      </c>
      <c r="B9" s="6" t="s">
        <v>1242</v>
      </c>
      <c r="C9" s="76" t="n">
        <f aca="false">CHOOSE(輸入與假設!$F$5,C7,D7,E7)</f>
        <v>1.82808654921445</v>
      </c>
      <c r="I9" s="6" t="s">
        <v>1247</v>
      </c>
    </row>
    <row r="10" customFormat="false" ht="15" hidden="false" customHeight="false" outlineLevel="1" collapsed="false">
      <c r="A10" s="2" t="s">
        <v>1249</v>
      </c>
      <c r="B10" s="11" t="s">
        <v>42</v>
      </c>
      <c r="C10" s="24" t="n">
        <v>0.1</v>
      </c>
      <c r="I10" s="6" t="s">
        <v>1250</v>
      </c>
    </row>
    <row r="11" customFormat="false" ht="15" hidden="false" customHeight="false" outlineLevel="1" collapsed="false">
      <c r="A11" s="4" t="s">
        <v>1251</v>
      </c>
      <c r="B11" s="6" t="s">
        <v>1242</v>
      </c>
      <c r="C11" s="74" t="n">
        <f aca="false">300000/5/4500/TK_HoldEcon_GB300</f>
        <v>1.22476850550185</v>
      </c>
      <c r="D11" s="74" t="n">
        <f aca="false">300000/5/3750/TK_HoldEcon_GB300</f>
        <v>1.46972220660223</v>
      </c>
      <c r="I11" s="11" t="s">
        <v>1252</v>
      </c>
    </row>
    <row r="12" customFormat="false" ht="15" hidden="false" customHeight="false" outlineLevel="1" collapsed="false">
      <c r="A12" s="3" t="s">
        <v>1253</v>
      </c>
      <c r="I12" s="6" t="s">
        <v>1254</v>
      </c>
    </row>
    <row r="14" customFormat="false" ht="15" hidden="false" customHeight="false" outlineLevel="0" collapsed="false">
      <c r="A14" s="7" t="s">
        <v>1255</v>
      </c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1" collapsed="false">
      <c r="A15" s="14" t="s">
        <v>1256</v>
      </c>
      <c r="B15" s="14" t="s">
        <v>54</v>
      </c>
      <c r="C15" s="15" t="s">
        <v>1257</v>
      </c>
      <c r="D15" s="15" t="s">
        <v>1258</v>
      </c>
      <c r="E15" s="14" t="s">
        <v>1259</v>
      </c>
      <c r="I15" s="14" t="s">
        <v>1240</v>
      </c>
    </row>
    <row r="16" customFormat="false" ht="15" hidden="false" customHeight="false" outlineLevel="1" collapsed="false">
      <c r="A16" s="3" t="s">
        <v>1260</v>
      </c>
      <c r="B16" s="11" t="s">
        <v>302</v>
      </c>
      <c r="C16" s="77" t="n">
        <f aca="false">TK_HoldEcon_H100</f>
        <v>9.70308728611469</v>
      </c>
      <c r="D16" s="77" t="n">
        <f aca="false">TK_RevGWFleet_H100</f>
        <v>6.68304023377571</v>
      </c>
      <c r="E16" s="24" t="n">
        <v>0.2</v>
      </c>
      <c r="I16" s="11" t="s">
        <v>1261</v>
      </c>
    </row>
    <row r="17" customFormat="false" ht="15" hidden="false" customHeight="false" outlineLevel="1" collapsed="false">
      <c r="A17" s="3" t="s">
        <v>1262</v>
      </c>
      <c r="B17" s="11" t="s">
        <v>302</v>
      </c>
      <c r="C17" s="77" t="n">
        <f aca="false">TK_HoldEcon_GB200</f>
        <v>8.82816556596761</v>
      </c>
      <c r="D17" s="77" t="n">
        <f aca="false">TK_RevGWFleet_GB200</f>
        <v>32.8855044002063</v>
      </c>
      <c r="E17" s="24" t="n">
        <v>0.55</v>
      </c>
      <c r="I17" s="6" t="s">
        <v>1263</v>
      </c>
    </row>
    <row r="18" customFormat="false" ht="15" hidden="false" customHeight="false" outlineLevel="1" collapsed="false">
      <c r="A18" s="3" t="s">
        <v>1264</v>
      </c>
      <c r="B18" s="11" t="s">
        <v>302</v>
      </c>
      <c r="C18" s="77" t="n">
        <f aca="false">TK_HoldEcon_GB300</f>
        <v>10.8864110021101</v>
      </c>
      <c r="D18" s="77" t="n">
        <f aca="false">TK_RevGWFleet_GB300</f>
        <v>40.1114652107936</v>
      </c>
      <c r="E18" s="24" t="n">
        <v>0.25</v>
      </c>
      <c r="I18" s="6" t="s">
        <v>1265</v>
      </c>
    </row>
    <row r="19" customFormat="false" ht="15" hidden="false" customHeight="false" outlineLevel="1" collapsed="false">
      <c r="A19" s="3" t="s">
        <v>1266</v>
      </c>
      <c r="B19" s="11" t="s">
        <v>302</v>
      </c>
      <c r="C19" s="77" t="n">
        <f aca="false">TK_HoldEcon_VR200</f>
        <v>12.2254710045841</v>
      </c>
      <c r="D19" s="77" t="n">
        <f aca="false">TK_RevGWFleet_VR200</f>
        <v>65.9628389770872</v>
      </c>
      <c r="E19" s="24" t="n">
        <v>0</v>
      </c>
      <c r="I19" s="11" t="s">
        <v>1267</v>
      </c>
    </row>
    <row r="20" customFormat="false" ht="15" hidden="false" customHeight="false" outlineLevel="1" collapsed="false">
      <c r="A20" s="3" t="s">
        <v>1268</v>
      </c>
      <c r="E20" s="58" t="n">
        <f aca="false">SUM(E16:E19)</f>
        <v>1</v>
      </c>
      <c r="I20" s="11" t="s">
        <v>1269</v>
      </c>
    </row>
    <row r="21" customFormat="false" ht="15" hidden="false" customHeight="false" outlineLevel="1" collapsed="false">
      <c r="A21" s="3" t="s">
        <v>1270</v>
      </c>
      <c r="B21" s="11" t="s">
        <v>152</v>
      </c>
      <c r="C21" s="21" t="n">
        <v>2543</v>
      </c>
      <c r="I21" s="6" t="s">
        <v>1271</v>
      </c>
    </row>
    <row r="22" customFormat="false" ht="15" hidden="false" customHeight="false" outlineLevel="1" collapsed="false"/>
    <row r="23" customFormat="false" ht="17.15" hidden="false" customHeight="false" outlineLevel="1" collapsed="false">
      <c r="A23" s="14" t="s">
        <v>1272</v>
      </c>
      <c r="B23" s="14" t="s">
        <v>54</v>
      </c>
      <c r="C23" s="15" t="s">
        <v>55</v>
      </c>
      <c r="D23" s="15" t="s">
        <v>56</v>
      </c>
      <c r="E23" s="15" t="s">
        <v>57</v>
      </c>
      <c r="F23" s="15" t="s">
        <v>148</v>
      </c>
      <c r="G23" s="15" t="s">
        <v>149</v>
      </c>
      <c r="I23" s="14" t="s">
        <v>1240</v>
      </c>
    </row>
    <row r="24" customFormat="false" ht="15" hidden="false" customHeight="false" outlineLevel="1" collapsed="false">
      <c r="A24" s="3" t="s">
        <v>1273</v>
      </c>
      <c r="B24" s="11" t="s">
        <v>42</v>
      </c>
      <c r="C24" s="24" t="n">
        <v>0</v>
      </c>
      <c r="D24" s="24" t="n">
        <v>0</v>
      </c>
      <c r="E24" s="24" t="n">
        <v>0</v>
      </c>
      <c r="F24" s="24" t="n">
        <v>0</v>
      </c>
      <c r="G24" s="24" t="n">
        <v>0</v>
      </c>
      <c r="I24" s="11" t="s">
        <v>1274</v>
      </c>
    </row>
    <row r="25" customFormat="false" ht="15" hidden="false" customHeight="false" outlineLevel="1" collapsed="false">
      <c r="A25" s="3" t="s">
        <v>1275</v>
      </c>
      <c r="B25" s="11" t="s">
        <v>42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</row>
    <row r="26" customFormat="false" ht="15" hidden="false" customHeight="false" outlineLevel="1" collapsed="false">
      <c r="A26" s="3" t="s">
        <v>1276</v>
      </c>
      <c r="B26" s="11" t="s">
        <v>42</v>
      </c>
      <c r="C26" s="24" t="n">
        <v>1</v>
      </c>
      <c r="D26" s="24" t="n">
        <v>0.5</v>
      </c>
      <c r="E26" s="24" t="n">
        <v>0</v>
      </c>
      <c r="F26" s="24" t="n">
        <v>0</v>
      </c>
      <c r="G26" s="24" t="n">
        <v>0</v>
      </c>
    </row>
    <row r="27" customFormat="false" ht="15" hidden="false" customHeight="false" outlineLevel="1" collapsed="false">
      <c r="A27" s="3" t="s">
        <v>1277</v>
      </c>
      <c r="B27" s="11" t="s">
        <v>42</v>
      </c>
      <c r="C27" s="24" t="n">
        <v>0</v>
      </c>
      <c r="D27" s="24" t="n">
        <v>0.5</v>
      </c>
      <c r="E27" s="24" t="n">
        <v>1</v>
      </c>
      <c r="F27" s="24" t="n">
        <v>1</v>
      </c>
      <c r="G27" s="24" t="n">
        <v>1</v>
      </c>
    </row>
    <row r="29" customFormat="false" ht="15" hidden="false" customHeight="false" outlineLevel="0" collapsed="false">
      <c r="A29" s="7" t="s">
        <v>1278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14" t="s">
        <v>1256</v>
      </c>
      <c r="B30" s="14" t="s">
        <v>54</v>
      </c>
      <c r="C30" s="15" t="s">
        <v>1279</v>
      </c>
      <c r="D30" s="15" t="s">
        <v>1280</v>
      </c>
      <c r="E30" s="15" t="s">
        <v>1281</v>
      </c>
      <c r="F30" s="15" t="s">
        <v>1282</v>
      </c>
      <c r="I30" s="14" t="s">
        <v>1240</v>
      </c>
    </row>
    <row r="31" customFormat="false" ht="15" hidden="false" customHeight="false" outlineLevel="1" collapsed="false">
      <c r="A31" s="3" t="s">
        <v>1283</v>
      </c>
      <c r="B31" s="11" t="s">
        <v>302</v>
      </c>
      <c r="C31" s="77" t="n">
        <f aca="false">TK_RevGWFleet_100_H100</f>
        <v>11.1384003896262</v>
      </c>
      <c r="D31" s="77" t="n">
        <f aca="false">TK_RevGWFleet_Util_H100</f>
        <v>6.68304023377571</v>
      </c>
      <c r="E31" s="77" t="n">
        <f aca="false">TK_RevGWFleet_Prod_H100</f>
        <v>5.01848956376868</v>
      </c>
      <c r="F31" s="77" t="n">
        <f aca="false">TK_RevGWFleet_Life_H100</f>
        <v>5.01848956376868</v>
      </c>
      <c r="I31" s="6" t="s">
        <v>1284</v>
      </c>
    </row>
    <row r="32" customFormat="false" ht="15" hidden="false" customHeight="false" outlineLevel="1" collapsed="false">
      <c r="A32" s="3" t="s">
        <v>1285</v>
      </c>
      <c r="B32" s="11" t="s">
        <v>302</v>
      </c>
      <c r="C32" s="77" t="n">
        <f aca="false">TK_RevGWFleet_100_GB200</f>
        <v>54.8091740003439</v>
      </c>
      <c r="D32" s="77" t="n">
        <f aca="false">TK_RevGWFleet_Util_GB200</f>
        <v>32.8855044002063</v>
      </c>
      <c r="E32" s="77" t="n">
        <f aca="false">TK_RevGWFleet_Prod_GB200</f>
        <v>26.277375674595</v>
      </c>
      <c r="F32" s="77" t="n">
        <f aca="false">TK_RevGWFleet_Life_GB200</f>
        <v>26.277375674595</v>
      </c>
    </row>
    <row r="33" customFormat="false" ht="15" hidden="false" customHeight="false" outlineLevel="1" collapsed="false">
      <c r="A33" s="3" t="s">
        <v>1286</v>
      </c>
      <c r="B33" s="11" t="s">
        <v>302</v>
      </c>
      <c r="C33" s="77" t="n">
        <f aca="false">TK_RevGWFleet_100_GB300</f>
        <v>66.8524420179894</v>
      </c>
      <c r="D33" s="77" t="n">
        <f aca="false">TK_RevGWFleet_Util_GB300</f>
        <v>40.1114652107936</v>
      </c>
      <c r="E33" s="77" t="n">
        <f aca="false">TK_RevGWFleet_Prod_GB300</f>
        <v>31.7743161074204</v>
      </c>
      <c r="F33" s="77" t="n">
        <f aca="false">TK_RevGWFleet_Life_GB300</f>
        <v>31.7743161074204</v>
      </c>
    </row>
    <row r="34" customFormat="false" ht="15" hidden="false" customHeight="false" outlineLevel="1" collapsed="false">
      <c r="A34" s="3" t="s">
        <v>1287</v>
      </c>
      <c r="B34" s="11" t="s">
        <v>302</v>
      </c>
      <c r="C34" s="77" t="n">
        <f aca="false">TK_RevGWFleet_100_VR200</f>
        <v>109.938064961812</v>
      </c>
      <c r="D34" s="77" t="n">
        <f aca="false">TK_RevGWFleet_Util_VR200</f>
        <v>65.9628389770872</v>
      </c>
      <c r="E34" s="77" t="n">
        <f aca="false">TK_RevGWFleet_Prod_VR200</f>
        <v>53.1540686485926</v>
      </c>
      <c r="F34" s="77" t="n">
        <f aca="false">TK_RevGWFleet_Life_VR200</f>
        <v>53.1540686485926</v>
      </c>
    </row>
    <row r="35" customFormat="false" ht="15" hidden="false" customHeight="false" outlineLevel="1" collapsed="false"/>
    <row r="36" customFormat="false" ht="15" hidden="false" customHeight="false" outlineLevel="1" collapsed="false">
      <c r="A36" s="19" t="s">
        <v>1288</v>
      </c>
      <c r="B36" s="20"/>
      <c r="C36" s="20"/>
      <c r="D36" s="20"/>
      <c r="E36" s="20"/>
      <c r="F36" s="20"/>
      <c r="G36" s="20"/>
      <c r="H36" s="20"/>
    </row>
    <row r="37" customFormat="false" ht="15" hidden="false" customHeight="false" outlineLevel="2" collapsed="false">
      <c r="A37" s="14" t="s">
        <v>53</v>
      </c>
      <c r="B37" s="14" t="s">
        <v>54</v>
      </c>
      <c r="C37" s="15" t="s">
        <v>55</v>
      </c>
      <c r="D37" s="15" t="s">
        <v>56</v>
      </c>
      <c r="E37" s="15" t="s">
        <v>57</v>
      </c>
      <c r="F37" s="15" t="s">
        <v>148</v>
      </c>
      <c r="G37" s="15" t="s">
        <v>149</v>
      </c>
      <c r="I37" s="14" t="s">
        <v>1240</v>
      </c>
    </row>
    <row r="38" customFormat="false" ht="15" hidden="false" customHeight="false" outlineLevel="2" collapsed="false">
      <c r="A38" s="3" t="s">
        <v>1289</v>
      </c>
      <c r="B38" s="11" t="s">
        <v>152</v>
      </c>
      <c r="C38" s="36" t="n">
        <f aca="false">輸入與假設!C11</f>
        <v>4668</v>
      </c>
      <c r="D38" s="36" t="n">
        <f aca="false">輸入與假設!D11</f>
        <v>5668</v>
      </c>
      <c r="E38" s="36" t="n">
        <f aca="false">輸入與假設!E11</f>
        <v>6284</v>
      </c>
      <c r="F38" s="36" t="n">
        <f aca="false">輸入與假設!F11</f>
        <v>6284</v>
      </c>
      <c r="G38" s="36" t="n">
        <f aca="false">輸入與假設!G11</f>
        <v>6284</v>
      </c>
      <c r="I38" s="6" t="s">
        <v>1290</v>
      </c>
    </row>
    <row r="39" customFormat="false" ht="15" hidden="false" customHeight="false" outlineLevel="2" collapsed="false">
      <c r="A39" s="3" t="s">
        <v>1291</v>
      </c>
      <c r="B39" s="11" t="s">
        <v>152</v>
      </c>
      <c r="C39" s="66" t="n">
        <f aca="false">$C$21</f>
        <v>2543</v>
      </c>
      <c r="D39" s="66" t="n">
        <f aca="false">C38</f>
        <v>4668</v>
      </c>
      <c r="E39" s="66" t="n">
        <f aca="false">D38</f>
        <v>5668</v>
      </c>
      <c r="F39" s="66" t="n">
        <f aca="false">E38</f>
        <v>6284</v>
      </c>
      <c r="G39" s="66" t="n">
        <f aca="false">F38</f>
        <v>6284</v>
      </c>
    </row>
    <row r="40" customFormat="false" ht="15" hidden="false" customHeight="false" outlineLevel="2" collapsed="false">
      <c r="A40" s="3" t="s">
        <v>1292</v>
      </c>
      <c r="B40" s="11" t="s">
        <v>152</v>
      </c>
      <c r="C40" s="66" t="n">
        <f aca="false">MAX(0,C38-C39)</f>
        <v>2125</v>
      </c>
      <c r="D40" s="66" t="n">
        <f aca="false">MAX(0,D38-D39)</f>
        <v>1000</v>
      </c>
      <c r="E40" s="66" t="n">
        <f aca="false">MAX(0,E38-E39)</f>
        <v>616</v>
      </c>
      <c r="F40" s="66" t="n">
        <f aca="false">MAX(0,F38-F39)</f>
        <v>0</v>
      </c>
      <c r="G40" s="66" t="n">
        <f aca="false">MAX(0,G38-G39)</f>
        <v>0</v>
      </c>
    </row>
    <row r="41" customFormat="false" ht="15" hidden="false" customHeight="false" outlineLevel="2" collapsed="false">
      <c r="A41" s="3" t="s">
        <v>1293</v>
      </c>
      <c r="B41" s="11" t="s">
        <v>152</v>
      </c>
      <c r="C41" s="66" t="n">
        <f aca="false">$C$21*$E$16+C40*C24</f>
        <v>508.6</v>
      </c>
      <c r="D41" s="66" t="n">
        <f aca="false">C41+D40*D24</f>
        <v>508.6</v>
      </c>
      <c r="E41" s="66" t="n">
        <f aca="false">D41+E40*E24</f>
        <v>508.6</v>
      </c>
      <c r="F41" s="66" t="n">
        <f aca="false">E41+F40*F24</f>
        <v>508.6</v>
      </c>
      <c r="G41" s="66" t="n">
        <f aca="false">F41+G40*G24</f>
        <v>508.6</v>
      </c>
    </row>
    <row r="42" customFormat="false" ht="15" hidden="false" customHeight="false" outlineLevel="2" collapsed="false">
      <c r="A42" s="3" t="s">
        <v>1294</v>
      </c>
      <c r="B42" s="11" t="s">
        <v>152</v>
      </c>
      <c r="C42" s="66" t="n">
        <f aca="false">$C$21*$E$17+C40*C25</f>
        <v>1398.65</v>
      </c>
      <c r="D42" s="66" t="n">
        <f aca="false">C42+D40*D25</f>
        <v>1398.65</v>
      </c>
      <c r="E42" s="66" t="n">
        <f aca="false">D42+E40*E25</f>
        <v>1398.65</v>
      </c>
      <c r="F42" s="66" t="n">
        <f aca="false">E42+F40*F25</f>
        <v>1398.65</v>
      </c>
      <c r="G42" s="66" t="n">
        <f aca="false">F42+G40*G25</f>
        <v>1398.65</v>
      </c>
    </row>
    <row r="43" customFormat="false" ht="15" hidden="false" customHeight="false" outlineLevel="2" collapsed="false">
      <c r="A43" s="3" t="s">
        <v>1295</v>
      </c>
      <c r="B43" s="11" t="s">
        <v>152</v>
      </c>
      <c r="C43" s="66" t="n">
        <f aca="false">$C$21*$E$18+C40*C26</f>
        <v>2760.75</v>
      </c>
      <c r="D43" s="66" t="n">
        <f aca="false">C43+D40*D26</f>
        <v>3260.75</v>
      </c>
      <c r="E43" s="66" t="n">
        <f aca="false">D43+E40*E26</f>
        <v>3260.75</v>
      </c>
      <c r="F43" s="66" t="n">
        <f aca="false">E43+F40*F26</f>
        <v>3260.75</v>
      </c>
      <c r="G43" s="66" t="n">
        <f aca="false">F43+G40*G26</f>
        <v>3260.75</v>
      </c>
    </row>
    <row r="44" customFormat="false" ht="15" hidden="false" customHeight="false" outlineLevel="2" collapsed="false">
      <c r="A44" s="3" t="s">
        <v>1296</v>
      </c>
      <c r="B44" s="11" t="s">
        <v>152</v>
      </c>
      <c r="C44" s="66" t="n">
        <f aca="false">$C$21*$E$19+C40*C27</f>
        <v>0</v>
      </c>
      <c r="D44" s="66" t="n">
        <f aca="false">C44+D40*D27</f>
        <v>500</v>
      </c>
      <c r="E44" s="66" t="n">
        <f aca="false">D44+E40*E27</f>
        <v>1116</v>
      </c>
      <c r="F44" s="66" t="n">
        <f aca="false">E44+F40*F27</f>
        <v>1116</v>
      </c>
      <c r="G44" s="66" t="n">
        <f aca="false">F44+G40*G27</f>
        <v>1116</v>
      </c>
    </row>
    <row r="45" customFormat="false" ht="15" hidden="false" customHeight="false" outlineLevel="2" collapsed="false">
      <c r="A45" s="3" t="s">
        <v>1297</v>
      </c>
      <c r="B45" s="11" t="s">
        <v>42</v>
      </c>
      <c r="C45" s="65" t="n">
        <f aca="false">($C$21*$E$16+C41)/(C39+C38)</f>
        <v>0.141062265982527</v>
      </c>
      <c r="D45" s="65" t="n">
        <f aca="false">(C41+D41)/(D39+D38)</f>
        <v>0.0984133126934985</v>
      </c>
      <c r="E45" s="65" t="n">
        <f aca="false">(D41+E41)/(E39+E38)</f>
        <v>0.0851070950468541</v>
      </c>
      <c r="F45" s="65" t="n">
        <f aca="false">(E41+F41)/(F39+F38)</f>
        <v>0.0809357097390197</v>
      </c>
      <c r="G45" s="65" t="n">
        <f aca="false">(F41+G41)/(G39+G38)</f>
        <v>0.0809357097390197</v>
      </c>
    </row>
    <row r="46" customFormat="false" ht="15" hidden="false" customHeight="false" outlineLevel="2" collapsed="false">
      <c r="A46" s="3" t="s">
        <v>1298</v>
      </c>
      <c r="B46" s="11" t="s">
        <v>42</v>
      </c>
      <c r="C46" s="65" t="n">
        <f aca="false">($C$21*$E$17+C42)/(C39+C38)</f>
        <v>0.387921231451948</v>
      </c>
      <c r="D46" s="65" t="n">
        <f aca="false">(C42+D42)/(D39+D38)</f>
        <v>0.270636609907121</v>
      </c>
      <c r="E46" s="65" t="n">
        <f aca="false">(D42+E42)/(E39+E38)</f>
        <v>0.234044511378849</v>
      </c>
      <c r="F46" s="65" t="n">
        <f aca="false">(E42+F42)/(F39+F38)</f>
        <v>0.222573201782304</v>
      </c>
      <c r="G46" s="65" t="n">
        <f aca="false">(F42+G42)/(G39+G38)</f>
        <v>0.222573201782304</v>
      </c>
    </row>
    <row r="47" customFormat="false" ht="15" hidden="false" customHeight="false" outlineLevel="2" collapsed="false">
      <c r="A47" s="3" t="s">
        <v>1299</v>
      </c>
      <c r="B47" s="11" t="s">
        <v>42</v>
      </c>
      <c r="C47" s="65" t="n">
        <f aca="false">($C$21*$E$18+C43)/(C39+C38)</f>
        <v>0.471016502565525</v>
      </c>
      <c r="D47" s="65" t="n">
        <f aca="false">(C43+D43)/(D39+D38)</f>
        <v>0.582575464396285</v>
      </c>
      <c r="E47" s="65" t="n">
        <f aca="false">(D43+E43)/(E39+E38)</f>
        <v>0.545640896921017</v>
      </c>
      <c r="F47" s="65" t="n">
        <f aca="false">(E43+F43)/(F39+F38)</f>
        <v>0.518897199236155</v>
      </c>
      <c r="G47" s="65" t="n">
        <f aca="false">(F43+G43)/(G39+G38)</f>
        <v>0.518897199236155</v>
      </c>
    </row>
    <row r="48" customFormat="false" ht="15" hidden="false" customHeight="false" outlineLevel="2" collapsed="false">
      <c r="A48" s="3" t="s">
        <v>1300</v>
      </c>
      <c r="B48" s="11" t="s">
        <v>42</v>
      </c>
      <c r="C48" s="65" t="n">
        <f aca="false">($C$21*$E$19+C44)/(C39+C38)</f>
        <v>0</v>
      </c>
      <c r="D48" s="65" t="n">
        <f aca="false">(C44+D44)/(D39+D38)</f>
        <v>0.048374613003096</v>
      </c>
      <c r="E48" s="65" t="n">
        <f aca="false">(D44+E44)/(E39+E38)</f>
        <v>0.13520749665328</v>
      </c>
      <c r="F48" s="65" t="n">
        <f aca="false">(E44+F44)/(F39+F38)</f>
        <v>0.177593889242521</v>
      </c>
      <c r="G48" s="65" t="n">
        <f aca="false">(F44+G44)/(G39+G38)</f>
        <v>0.177593889242521</v>
      </c>
    </row>
    <row r="49" customFormat="false" ht="15" hidden="false" customHeight="false" outlineLevel="2" collapsed="false">
      <c r="A49" s="2" t="s">
        <v>1301</v>
      </c>
      <c r="B49" s="11" t="s">
        <v>302</v>
      </c>
      <c r="C49" s="54" t="n">
        <f aca="false">C45*$C$16+C46*$C$17+C47*$C$18+C48*$C$19</f>
        <v>9.92105157312218</v>
      </c>
      <c r="D49" s="54" t="n">
        <f aca="false">D45*$C$16+D46*$C$17+D47*$C$18+D48*$C$19</f>
        <v>10.2776961374434</v>
      </c>
      <c r="E49" s="54" t="n">
        <f aca="false">E45*$C$16+E46*$C$17+E47*$C$18+E48*$C$19</f>
        <v>10.485031661545</v>
      </c>
      <c r="F49" s="54" t="n">
        <f aca="false">F45*$C$16+F46*$C$17+F47*$C$18+F48*$C$19</f>
        <v>10.5703364542974</v>
      </c>
      <c r="G49" s="54" t="n">
        <f aca="false">G45*$C$16+G46*$C$17+G47*$C$18+G48*$C$19</f>
        <v>10.5703364542974</v>
      </c>
      <c r="I49" s="11" t="s">
        <v>1302</v>
      </c>
    </row>
    <row r="50" customFormat="false" ht="15" hidden="false" customHeight="false" outlineLevel="2" collapsed="false">
      <c r="A50" s="2" t="s">
        <v>1303</v>
      </c>
      <c r="B50" s="6" t="s">
        <v>1242</v>
      </c>
      <c r="C50" s="54" t="n">
        <f aca="false">$C$10*$C$9+(1-$C$10)*$C$8</f>
        <v>0.984725833898784</v>
      </c>
      <c r="D50" s="54" t="n">
        <f aca="false">$C$10*$C$9+(1-$C$10)*$C$8</f>
        <v>0.984725833898784</v>
      </c>
      <c r="E50" s="54" t="n">
        <f aca="false">$C$10*$C$9+(1-$C$10)*$C$8</f>
        <v>0.984725833898784</v>
      </c>
      <c r="F50" s="54" t="n">
        <f aca="false">$C$10*$C$9+(1-$C$10)*$C$8</f>
        <v>0.984725833898784</v>
      </c>
      <c r="G50" s="54" t="n">
        <f aca="false">$C$10*$C$9+(1-$C$10)*$C$8</f>
        <v>0.984725833898784</v>
      </c>
    </row>
    <row r="51" customFormat="false" ht="15" hidden="false" customHeight="false" outlineLevel="2" collapsed="false">
      <c r="A51" s="2" t="s">
        <v>1304</v>
      </c>
      <c r="B51" s="11" t="s">
        <v>302</v>
      </c>
      <c r="C51" s="54" t="n">
        <f aca="false">C49*C50</f>
        <v>9.76951578349558</v>
      </c>
      <c r="D51" s="54" t="n">
        <f aca="false">D49*D50</f>
        <v>10.1207128995023</v>
      </c>
      <c r="E51" s="54" t="n">
        <f aca="false">E49*E50</f>
        <v>10.3248815463701</v>
      </c>
      <c r="F51" s="54" t="n">
        <f aca="false">F49*F50</f>
        <v>10.4088833795487</v>
      </c>
      <c r="G51" s="54" t="n">
        <f aca="false">G49*G50</f>
        <v>10.4088833795487</v>
      </c>
      <c r="I51" s="6" t="s">
        <v>1305</v>
      </c>
    </row>
    <row r="52" customFormat="false" ht="15" hidden="false" customHeight="false" outlineLevel="2" collapsed="false">
      <c r="A52" s="3" t="s">
        <v>1306</v>
      </c>
      <c r="B52" s="11" t="s">
        <v>302</v>
      </c>
      <c r="C52" s="53" t="n">
        <f aca="false">C45*$D$16+C46*$D$17+C47*$D$18+C48*$D$19</f>
        <v>32.592872219242</v>
      </c>
      <c r="D52" s="53" t="n">
        <f aca="false">D45*$D$16+D46*$D$17+D47*$D$18+D48*$D$19</f>
        <v>36.116603835123</v>
      </c>
      <c r="E52" s="53" t="n">
        <f aca="false">E45*$D$16+E46*$D$17+E47*$D$18+E48*$D$19</f>
        <v>39.0705721338401</v>
      </c>
      <c r="F52" s="53" t="n">
        <f aca="false">F45*$D$16+F46*$D$17+F47*$D$18+F48*$D$19</f>
        <v>40.3886526856734</v>
      </c>
      <c r="G52" s="53" t="n">
        <f aca="false">G45*$D$16+G46*$D$17+G47*$D$18+G48*$D$19</f>
        <v>40.3886526856734</v>
      </c>
    </row>
    <row r="53" customFormat="false" ht="15" hidden="false" customHeight="false" outlineLevel="2" collapsed="false">
      <c r="A53" s="3" t="s">
        <v>1307</v>
      </c>
      <c r="B53" s="11" t="s">
        <v>302</v>
      </c>
      <c r="C53" s="53" t="n">
        <f aca="false">C45*$C$31+C46*$C$32+C47*$C$33+C48*$C$34</f>
        <v>54.3214536987368</v>
      </c>
      <c r="D53" s="53" t="n">
        <f aca="false">D45*$C$31+D46*$C$32+D47*$C$33+D48*$C$34</f>
        <v>60.194339725205</v>
      </c>
      <c r="E53" s="53" t="n">
        <f aca="false">E45*$C$31+E46*$C$32+E47*$C$33+E48*$C$34</f>
        <v>65.1176202230669</v>
      </c>
      <c r="F53" s="53" t="n">
        <f aca="false">F45*$C$31+F46*$C$32+F47*$C$33+F48*$C$34</f>
        <v>67.314421142789</v>
      </c>
      <c r="G53" s="53" t="n">
        <f aca="false">G45*$C$31+G46*$C$32+G47*$C$33+G48*$C$34</f>
        <v>67.314421142789</v>
      </c>
    </row>
    <row r="54" customFormat="false" ht="15" hidden="false" customHeight="false" outlineLevel="2" collapsed="false">
      <c r="A54" s="3" t="s">
        <v>1308</v>
      </c>
      <c r="B54" s="11" t="s">
        <v>302</v>
      </c>
      <c r="C54" s="53" t="n">
        <f aca="false">C45*$D$31+C46*$D$32+C47*$D$33+C48*$D$34</f>
        <v>32.592872219242</v>
      </c>
      <c r="D54" s="53" t="n">
        <f aca="false">D45*$D$31+D46*$D$32+D47*$D$33+D48*$D$34</f>
        <v>36.116603835123</v>
      </c>
      <c r="E54" s="53" t="n">
        <f aca="false">E45*$D$31+E46*$D$32+E47*$D$33+E48*$D$34</f>
        <v>39.0705721338401</v>
      </c>
      <c r="F54" s="53" t="n">
        <f aca="false">F45*$D$31+F46*$D$32+F47*$D$33+F48*$D$34</f>
        <v>40.3886526856734</v>
      </c>
      <c r="G54" s="53" t="n">
        <f aca="false">G45*$D$31+G46*$D$32+G47*$D$33+G48*$D$34</f>
        <v>40.3886526856734</v>
      </c>
    </row>
    <row r="55" customFormat="false" ht="15" hidden="false" customHeight="false" outlineLevel="2" collapsed="false">
      <c r="A55" s="3" t="s">
        <v>1309</v>
      </c>
      <c r="B55" s="11" t="s">
        <v>302</v>
      </c>
      <c r="C55" s="53" t="n">
        <f aca="false">C45*$E$31+C46*$E$32+C47*$E$33+C48*$E$34</f>
        <v>25.8676986850178</v>
      </c>
      <c r="D55" s="53" t="n">
        <f aca="false">D45*$E$31+D46*$E$32+D47*$E$33+D48*$E$34</f>
        <v>28.6877505150869</v>
      </c>
      <c r="E55" s="53" t="n">
        <f aca="false">E45*$E$31+E46*$E$32+E47*$E$33+E48*$E$34</f>
        <v>31.1013795171919</v>
      </c>
      <c r="F55" s="53" t="n">
        <f aca="false">F45*$E$31+F46*$E$32+F47*$E$33+F48*$E$34</f>
        <v>32.1822560691447</v>
      </c>
      <c r="G55" s="53" t="n">
        <f aca="false">G45*$E$31+G46*$E$32+G47*$E$33+G48*$E$34</f>
        <v>32.1822560691447</v>
      </c>
    </row>
    <row r="56" customFormat="false" ht="15" hidden="false" customHeight="false" outlineLevel="2" collapsed="false">
      <c r="A56" s="3" t="s">
        <v>1310</v>
      </c>
      <c r="B56" s="11" t="s">
        <v>302</v>
      </c>
      <c r="C56" s="53" t="n">
        <f aca="false">C45*$F$31+C46*$F$32+C47*$F$33+C48*$F$34</f>
        <v>25.8676986850178</v>
      </c>
      <c r="D56" s="53" t="n">
        <f aca="false">D45*$F$31+D46*$F$32+D47*$F$33+D48*$F$34</f>
        <v>28.6877505150869</v>
      </c>
      <c r="E56" s="53" t="n">
        <f aca="false">E45*$F$31+E46*$F$32+E47*$F$33+E48*$F$34</f>
        <v>31.1013795171919</v>
      </c>
      <c r="F56" s="53" t="n">
        <f aca="false">F45*$F$31+F46*$F$32+F47*$F$33+F48*$F$34</f>
        <v>32.1822560691447</v>
      </c>
      <c r="G56" s="53" t="n">
        <f aca="false">G45*$F$31+G46*$F$32+G47*$F$33+G48*$F$34</f>
        <v>32.1822560691447</v>
      </c>
    </row>
    <row r="57" customFormat="false" ht="15" hidden="false" customHeight="false" outlineLevel="2" collapsed="false">
      <c r="A57" s="3" t="s">
        <v>1311</v>
      </c>
      <c r="B57" s="11" t="s">
        <v>42</v>
      </c>
      <c r="C57" s="65" t="n">
        <f aca="false">C51/C53</f>
        <v>0.179846361212582</v>
      </c>
      <c r="D57" s="65" t="n">
        <f aca="false">D51/D53</f>
        <v>0.168133963188311</v>
      </c>
      <c r="E57" s="65" t="n">
        <f aca="false">E51/E53</f>
        <v>0.158557415197318</v>
      </c>
      <c r="F57" s="65" t="n">
        <f aca="false">F51/F53</f>
        <v>0.154630808715849</v>
      </c>
      <c r="G57" s="65" t="n">
        <f aca="false">G51/G53</f>
        <v>0.154630808715849</v>
      </c>
      <c r="I57" s="6" t="s">
        <v>1312</v>
      </c>
    </row>
    <row r="58" customFormat="false" ht="15" hidden="false" customHeight="false" outlineLevel="2" collapsed="false">
      <c r="A58" s="3" t="s">
        <v>1313</v>
      </c>
      <c r="B58" s="11" t="s">
        <v>42</v>
      </c>
      <c r="C58" s="65" t="n">
        <f aca="false">C51/C54</f>
        <v>0.299743935354304</v>
      </c>
      <c r="D58" s="65" t="n">
        <f aca="false">D51/D54</f>
        <v>0.280223271980518</v>
      </c>
      <c r="E58" s="65" t="n">
        <f aca="false">E51/E54</f>
        <v>0.264262358662196</v>
      </c>
      <c r="F58" s="65" t="n">
        <f aca="false">F51/F54</f>
        <v>0.257718014526416</v>
      </c>
      <c r="G58" s="65" t="n">
        <f aca="false">G51/G54</f>
        <v>0.257718014526416</v>
      </c>
      <c r="I58" s="6" t="s">
        <v>1312</v>
      </c>
    </row>
    <row r="59" customFormat="false" ht="15" hidden="false" customHeight="false" outlineLevel="2" collapsed="false">
      <c r="A59" s="3" t="s">
        <v>1314</v>
      </c>
      <c r="B59" s="11" t="s">
        <v>42</v>
      </c>
      <c r="C59" s="65" t="n">
        <f aca="false">C51/C55</f>
        <v>0.377672397628241</v>
      </c>
      <c r="D59" s="65" t="n">
        <f aca="false">D51/D55</f>
        <v>0.352788654313617</v>
      </c>
      <c r="E59" s="65" t="n">
        <f aca="false">E51/E55</f>
        <v>0.331975034762133</v>
      </c>
      <c r="F59" s="65" t="n">
        <f aca="false">F51/F55</f>
        <v>0.323435478146245</v>
      </c>
      <c r="G59" s="65" t="n">
        <f aca="false">G51/G55</f>
        <v>0.323435478146245</v>
      </c>
      <c r="I59" s="6" t="s">
        <v>1315</v>
      </c>
    </row>
    <row r="60" customFormat="false" ht="15" hidden="false" customHeight="false" outlineLevel="2" collapsed="false">
      <c r="A60" s="3" t="s">
        <v>1316</v>
      </c>
      <c r="B60" s="11" t="s">
        <v>42</v>
      </c>
      <c r="C60" s="65" t="n">
        <f aca="false">C51/C56</f>
        <v>0.377672397628241</v>
      </c>
      <c r="D60" s="65" t="n">
        <f aca="false">D51/D56</f>
        <v>0.352788654313617</v>
      </c>
      <c r="E60" s="65" t="n">
        <f aca="false">E51/E56</f>
        <v>0.331975034762133</v>
      </c>
      <c r="F60" s="65" t="n">
        <f aca="false">F51/F56</f>
        <v>0.323435478146245</v>
      </c>
      <c r="G60" s="65" t="n">
        <f aca="false">G51/G56</f>
        <v>0.323435478146245</v>
      </c>
      <c r="I60" s="6" t="s">
        <v>1312</v>
      </c>
    </row>
    <row r="61" customFormat="false" ht="15" hidden="false" customHeight="false" outlineLevel="2" collapsed="false">
      <c r="A61" s="3" t="s">
        <v>1317</v>
      </c>
      <c r="B61" s="11" t="s">
        <v>42</v>
      </c>
      <c r="C61" s="65" t="n">
        <f aca="false">C59</f>
        <v>0.377672397628241</v>
      </c>
      <c r="D61" s="65" t="n">
        <f aca="false">D59</f>
        <v>0.352788654313617</v>
      </c>
      <c r="E61" s="65" t="n">
        <f aca="false">E59</f>
        <v>0.331975034762133</v>
      </c>
      <c r="F61" s="65" t="n">
        <f aca="false">F59</f>
        <v>0.323435478146245</v>
      </c>
      <c r="G61" s="65" t="n">
        <f aca="false">G59</f>
        <v>0.323435478146245</v>
      </c>
      <c r="I61" s="6" t="s">
        <v>1318</v>
      </c>
    </row>
    <row r="62" customFormat="false" ht="15" hidden="false" customHeight="false" outlineLevel="1" collapsed="false"/>
    <row r="63" customFormat="false" ht="15" hidden="false" customHeight="false" outlineLevel="1" collapsed="false">
      <c r="A63" s="19" t="s">
        <v>1319</v>
      </c>
      <c r="B63" s="20"/>
      <c r="C63" s="20"/>
      <c r="D63" s="20"/>
      <c r="E63" s="20"/>
      <c r="F63" s="20"/>
      <c r="G63" s="20"/>
      <c r="H63" s="20"/>
    </row>
    <row r="64" customFormat="false" ht="15" hidden="false" customHeight="false" outlineLevel="2" collapsed="false">
      <c r="A64" s="14" t="s">
        <v>53</v>
      </c>
      <c r="B64" s="14" t="s">
        <v>54</v>
      </c>
      <c r="C64" s="15" t="s">
        <v>55</v>
      </c>
      <c r="D64" s="15" t="s">
        <v>56</v>
      </c>
      <c r="E64" s="15" t="s">
        <v>57</v>
      </c>
      <c r="F64" s="15" t="s">
        <v>148</v>
      </c>
      <c r="G64" s="15" t="s">
        <v>149</v>
      </c>
      <c r="I64" s="14" t="s">
        <v>1240</v>
      </c>
    </row>
    <row r="65" customFormat="false" ht="15" hidden="false" customHeight="false" outlineLevel="2" collapsed="false">
      <c r="A65" s="3" t="s">
        <v>1320</v>
      </c>
      <c r="B65" s="11" t="s">
        <v>152</v>
      </c>
      <c r="C65" s="36" t="n">
        <f aca="false">輸入與假設!C14</f>
        <v>4668</v>
      </c>
      <c r="D65" s="36" t="n">
        <f aca="false">輸入與假設!D14</f>
        <v>7501</v>
      </c>
      <c r="E65" s="36" t="n">
        <f aca="false">輸入與假設!E14</f>
        <v>8778</v>
      </c>
      <c r="F65" s="36" t="n">
        <f aca="false">輸入與假設!F14</f>
        <v>8778</v>
      </c>
      <c r="G65" s="36" t="n">
        <f aca="false">輸入與假設!G14</f>
        <v>8778</v>
      </c>
      <c r="I65" s="6" t="s">
        <v>1290</v>
      </c>
    </row>
    <row r="66" customFormat="false" ht="15" hidden="false" customHeight="false" outlineLevel="2" collapsed="false">
      <c r="A66" s="3" t="s">
        <v>1321</v>
      </c>
      <c r="B66" s="11" t="s">
        <v>152</v>
      </c>
      <c r="C66" s="66" t="n">
        <f aca="false">$C$21</f>
        <v>2543</v>
      </c>
      <c r="D66" s="66" t="n">
        <f aca="false">C65</f>
        <v>4668</v>
      </c>
      <c r="E66" s="66" t="n">
        <f aca="false">D65</f>
        <v>7501</v>
      </c>
      <c r="F66" s="66" t="n">
        <f aca="false">E65</f>
        <v>8778</v>
      </c>
      <c r="G66" s="66" t="n">
        <f aca="false">F65</f>
        <v>8778</v>
      </c>
    </row>
    <row r="67" customFormat="false" ht="15" hidden="false" customHeight="false" outlineLevel="2" collapsed="false">
      <c r="A67" s="3" t="s">
        <v>1322</v>
      </c>
      <c r="B67" s="11" t="s">
        <v>152</v>
      </c>
      <c r="C67" s="66" t="n">
        <f aca="false">MAX(0,C65-C66)</f>
        <v>2125</v>
      </c>
      <c r="D67" s="66" t="n">
        <f aca="false">MAX(0,D65-D66)</f>
        <v>2833</v>
      </c>
      <c r="E67" s="66" t="n">
        <f aca="false">MAX(0,E65-E66)</f>
        <v>1277</v>
      </c>
      <c r="F67" s="66" t="n">
        <f aca="false">MAX(0,F65-F66)</f>
        <v>0</v>
      </c>
      <c r="G67" s="66" t="n">
        <f aca="false">MAX(0,G65-G66)</f>
        <v>0</v>
      </c>
    </row>
    <row r="68" customFormat="false" ht="15" hidden="false" customHeight="false" outlineLevel="2" collapsed="false">
      <c r="A68" s="3" t="s">
        <v>1323</v>
      </c>
      <c r="B68" s="11" t="s">
        <v>152</v>
      </c>
      <c r="C68" s="66" t="n">
        <f aca="false">$C$21*$E$16+C67*C24</f>
        <v>508.6</v>
      </c>
      <c r="D68" s="66" t="n">
        <f aca="false">C68+D67*D24</f>
        <v>508.6</v>
      </c>
      <c r="E68" s="66" t="n">
        <f aca="false">D68+E67*E24</f>
        <v>508.6</v>
      </c>
      <c r="F68" s="66" t="n">
        <f aca="false">E68+F67*F24</f>
        <v>508.6</v>
      </c>
      <c r="G68" s="66" t="n">
        <f aca="false">F68+G67*G24</f>
        <v>508.6</v>
      </c>
    </row>
    <row r="69" customFormat="false" ht="15" hidden="false" customHeight="false" outlineLevel="2" collapsed="false">
      <c r="A69" s="3" t="s">
        <v>1324</v>
      </c>
      <c r="B69" s="11" t="s">
        <v>152</v>
      </c>
      <c r="C69" s="66" t="n">
        <f aca="false">$C$21*$E$17+C67*C25</f>
        <v>1398.65</v>
      </c>
      <c r="D69" s="66" t="n">
        <f aca="false">C69+D67*D25</f>
        <v>1398.65</v>
      </c>
      <c r="E69" s="66" t="n">
        <f aca="false">D69+E67*E25</f>
        <v>1398.65</v>
      </c>
      <c r="F69" s="66" t="n">
        <f aca="false">E69+F67*F25</f>
        <v>1398.65</v>
      </c>
      <c r="G69" s="66" t="n">
        <f aca="false">F69+G67*G25</f>
        <v>1398.65</v>
      </c>
    </row>
    <row r="70" customFormat="false" ht="15" hidden="false" customHeight="false" outlineLevel="2" collapsed="false">
      <c r="A70" s="3" t="s">
        <v>1325</v>
      </c>
      <c r="B70" s="11" t="s">
        <v>152</v>
      </c>
      <c r="C70" s="66" t="n">
        <f aca="false">$C$21*$E$18+C67*C26</f>
        <v>2760.75</v>
      </c>
      <c r="D70" s="66" t="n">
        <f aca="false">C70+D67*D26</f>
        <v>4177.25</v>
      </c>
      <c r="E70" s="66" t="n">
        <f aca="false">D70+E67*E26</f>
        <v>4177.25</v>
      </c>
      <c r="F70" s="66" t="n">
        <f aca="false">E70+F67*F26</f>
        <v>4177.25</v>
      </c>
      <c r="G70" s="66" t="n">
        <f aca="false">F70+G67*G26</f>
        <v>4177.25</v>
      </c>
    </row>
    <row r="71" customFormat="false" ht="15" hidden="false" customHeight="false" outlineLevel="2" collapsed="false">
      <c r="A71" s="3" t="s">
        <v>1326</v>
      </c>
      <c r="B71" s="11" t="s">
        <v>152</v>
      </c>
      <c r="C71" s="66" t="n">
        <f aca="false">$C$21*$E$19+C67*C27</f>
        <v>0</v>
      </c>
      <c r="D71" s="66" t="n">
        <f aca="false">C71+D67*D27</f>
        <v>1416.5</v>
      </c>
      <c r="E71" s="66" t="n">
        <f aca="false">D71+E67*E27</f>
        <v>2693.5</v>
      </c>
      <c r="F71" s="66" t="n">
        <f aca="false">E71+F67*F27</f>
        <v>2693.5</v>
      </c>
      <c r="G71" s="66" t="n">
        <f aca="false">F71+G67*G27</f>
        <v>2693.5</v>
      </c>
    </row>
    <row r="72" customFormat="false" ht="15" hidden="false" customHeight="false" outlineLevel="2" collapsed="false">
      <c r="A72" s="3" t="s">
        <v>1327</v>
      </c>
      <c r="B72" s="11" t="s">
        <v>42</v>
      </c>
      <c r="C72" s="65" t="n">
        <f aca="false">($C$21*$E$16+C68)/(C66+C65)</f>
        <v>0.141062265982527</v>
      </c>
      <c r="D72" s="65" t="n">
        <f aca="false">(C68+D68)/(D66+D65)</f>
        <v>0.0835894485988988</v>
      </c>
      <c r="E72" s="65" t="n">
        <f aca="false">(D68+E68)/(E66+E65)</f>
        <v>0.0624854106517599</v>
      </c>
      <c r="F72" s="65" t="n">
        <f aca="false">(E68+F68)/(F66+F65)</f>
        <v>0.0579403053087264</v>
      </c>
      <c r="G72" s="65" t="n">
        <f aca="false">(F68+G68)/(G66+G65)</f>
        <v>0.0579403053087264</v>
      </c>
    </row>
    <row r="73" customFormat="false" ht="15" hidden="false" customHeight="false" outlineLevel="2" collapsed="false">
      <c r="A73" s="3" t="s">
        <v>1328</v>
      </c>
      <c r="B73" s="11" t="s">
        <v>42</v>
      </c>
      <c r="C73" s="65" t="n">
        <f aca="false">($C$21*$E$17+C69)/(C66+C65)</f>
        <v>0.387921231451948</v>
      </c>
      <c r="D73" s="65" t="n">
        <f aca="false">(C69+D69)/(D66+D65)</f>
        <v>0.229870983646972</v>
      </c>
      <c r="E73" s="65" t="n">
        <f aca="false">(D69+E69)/(E66+E65)</f>
        <v>0.17183487929234</v>
      </c>
      <c r="F73" s="65" t="n">
        <f aca="false">(E69+F69)/(F66+F65)</f>
        <v>0.159335839598998</v>
      </c>
      <c r="G73" s="65" t="n">
        <f aca="false">(F69+G69)/(G66+G65)</f>
        <v>0.159335839598998</v>
      </c>
    </row>
    <row r="74" customFormat="false" ht="15" hidden="false" customHeight="false" outlineLevel="2" collapsed="false">
      <c r="A74" s="3" t="s">
        <v>1329</v>
      </c>
      <c r="B74" s="11" t="s">
        <v>42</v>
      </c>
      <c r="C74" s="65" t="n">
        <f aca="false">($C$21*$E$18+C70)/(C66+C65)</f>
        <v>0.471016502565525</v>
      </c>
      <c r="D74" s="65" t="n">
        <f aca="false">(C70+D70)/(D66+D65)</f>
        <v>0.570137233955132</v>
      </c>
      <c r="E74" s="65" t="n">
        <f aca="false">(D70+E70)/(E66+E65)</f>
        <v>0.513207199459426</v>
      </c>
      <c r="F74" s="65" t="n">
        <f aca="false">(E70+F70)/(F66+F65)</f>
        <v>0.475877192982456</v>
      </c>
      <c r="G74" s="65" t="n">
        <f aca="false">(F70+G70)/(G66+G65)</f>
        <v>0.475877192982456</v>
      </c>
    </row>
    <row r="75" customFormat="false" ht="15" hidden="false" customHeight="false" outlineLevel="2" collapsed="false">
      <c r="A75" s="3" t="s">
        <v>1330</v>
      </c>
      <c r="B75" s="11" t="s">
        <v>42</v>
      </c>
      <c r="C75" s="65" t="n">
        <f aca="false">($C$21*$E$19+C71)/(C66+C65)</f>
        <v>0</v>
      </c>
      <c r="D75" s="65" t="n">
        <f aca="false">(C71+D71)/(D66+D65)</f>
        <v>0.116402333798997</v>
      </c>
      <c r="E75" s="65" t="n">
        <f aca="false">(D71+E71)/(E66+E65)</f>
        <v>0.252472510596474</v>
      </c>
      <c r="F75" s="65" t="n">
        <f aca="false">(E71+F71)/(F66+F65)</f>
        <v>0.30684666210982</v>
      </c>
      <c r="G75" s="65" t="n">
        <f aca="false">(F71+G71)/(G66+G65)</f>
        <v>0.30684666210982</v>
      </c>
    </row>
    <row r="76" customFormat="false" ht="15" hidden="false" customHeight="false" outlineLevel="2" collapsed="false">
      <c r="A76" s="2" t="s">
        <v>1331</v>
      </c>
      <c r="B76" s="11" t="s">
        <v>302</v>
      </c>
      <c r="C76" s="54" t="n">
        <f aca="false">C72*$C$16+C73*$C$17+C74*$C$18+C75*$C$19</f>
        <v>9.92105157312218</v>
      </c>
      <c r="D76" s="54" t="n">
        <f aca="false">D72*$C$16+D73*$C$17+D74*$C$18+D75*$C$19</f>
        <v>10.4702364315679</v>
      </c>
      <c r="E76" s="54" t="n">
        <f aca="false">E72*$C$16+E73*$C$17+E74*$C$18+E75*$C$19</f>
        <v>10.7968680183725</v>
      </c>
      <c r="F76" s="54" t="n">
        <f aca="false">F72*$C$16+F73*$C$17+F74*$C$18+F75*$C$19</f>
        <v>10.9007826921816</v>
      </c>
      <c r="G76" s="54" t="n">
        <f aca="false">G72*$C$16+G73*$C$17+G74*$C$18+G75*$C$19</f>
        <v>10.9007826921816</v>
      </c>
    </row>
    <row r="77" customFormat="false" ht="15" hidden="false" customHeight="false" outlineLevel="2" collapsed="false">
      <c r="A77" s="2" t="s">
        <v>1332</v>
      </c>
      <c r="B77" s="6" t="s">
        <v>1242</v>
      </c>
      <c r="C77" s="54" t="n">
        <f aca="false">$C$10*$C$9+(1-$C$10)*$C$8</f>
        <v>0.984725833898784</v>
      </c>
      <c r="D77" s="54" t="n">
        <f aca="false">$C$10*$C$9+(1-$C$10)*$C$8</f>
        <v>0.984725833898784</v>
      </c>
      <c r="E77" s="54" t="n">
        <f aca="false">$C$10*$C$9+(1-$C$10)*$C$8</f>
        <v>0.984725833898784</v>
      </c>
      <c r="F77" s="54" t="n">
        <f aca="false">$C$10*$C$9+(1-$C$10)*$C$8</f>
        <v>0.984725833898784</v>
      </c>
      <c r="G77" s="54" t="n">
        <f aca="false">$C$10*$C$9+(1-$C$10)*$C$8</f>
        <v>0.984725833898784</v>
      </c>
    </row>
    <row r="78" customFormat="false" ht="15" hidden="false" customHeight="false" outlineLevel="2" collapsed="false">
      <c r="A78" s="2" t="s">
        <v>1333</v>
      </c>
      <c r="B78" s="11" t="s">
        <v>302</v>
      </c>
      <c r="C78" s="54" t="n">
        <f aca="false">C76*C77</f>
        <v>9.76951578349558</v>
      </c>
      <c r="D78" s="54" t="n">
        <f aca="false">D76*D77</f>
        <v>10.3103123011932</v>
      </c>
      <c r="E78" s="54" t="n">
        <f aca="false">E76*E77</f>
        <v>10.631954862887</v>
      </c>
      <c r="F78" s="54" t="n">
        <f aca="false">F76*F77</f>
        <v>10.734282326708</v>
      </c>
      <c r="G78" s="54" t="n">
        <f aca="false">G76*G77</f>
        <v>10.734282326708</v>
      </c>
      <c r="I78" s="6" t="s">
        <v>1334</v>
      </c>
    </row>
    <row r="79" customFormat="false" ht="15" hidden="false" customHeight="false" outlineLevel="2" collapsed="false">
      <c r="A79" s="3" t="s">
        <v>1335</v>
      </c>
      <c r="B79" s="11" t="s">
        <v>302</v>
      </c>
      <c r="C79" s="53" t="n">
        <f aca="false">C72*$D$16+C73*$D$17+C74*$D$18+C75*$D$19</f>
        <v>32.592872219242</v>
      </c>
      <c r="D79" s="53" t="n">
        <f aca="false">D72*$D$16+D73*$D$17+D74*$D$18+D75*$D$19</f>
        <v>38.6653231184176</v>
      </c>
      <c r="E79" s="53" t="n">
        <f aca="false">E72*$D$16+E73*$D$17+E74*$D$18+E75*$D$19</f>
        <v>43.3077654821486</v>
      </c>
      <c r="F79" s="53" t="n">
        <f aca="false">F72*$D$16+F73*$D$17+F74*$D$18+F75*$D$19</f>
        <v>44.9556652801115</v>
      </c>
      <c r="G79" s="53" t="n">
        <f aca="false">G72*$D$16+G73*$D$17+G74*$D$18+G75*$D$19</f>
        <v>44.9556652801115</v>
      </c>
    </row>
    <row r="80" customFormat="false" ht="15" hidden="false" customHeight="false" outlineLevel="2" collapsed="false">
      <c r="A80" s="3" t="s">
        <v>1336</v>
      </c>
      <c r="B80" s="11" t="s">
        <v>302</v>
      </c>
      <c r="C80" s="53" t="n">
        <f aca="false">C72*$C$31+C73*$C$32+C74*$C$33+C75*$C$34</f>
        <v>54.3214536987368</v>
      </c>
      <c r="D80" s="53" t="n">
        <f aca="false">D72*$C$31+D73*$C$32+D74*$C$33+D75*$C$34</f>
        <v>64.4422051973627</v>
      </c>
      <c r="E80" s="53" t="n">
        <f aca="false">E72*$C$31+E73*$C$32+E74*$C$33+E75*$C$34</f>
        <v>72.1796091369144</v>
      </c>
      <c r="F80" s="53" t="n">
        <f aca="false">F72*$C$31+F73*$C$32+F74*$C$33+F75*$C$34</f>
        <v>74.9261088001859</v>
      </c>
      <c r="G80" s="53" t="n">
        <f aca="false">G72*$C$31+G73*$C$32+G74*$C$33+G75*$C$34</f>
        <v>74.9261088001859</v>
      </c>
    </row>
    <row r="81" customFormat="false" ht="15" hidden="false" customHeight="false" outlineLevel="2" collapsed="false">
      <c r="A81" s="3" t="s">
        <v>1337</v>
      </c>
      <c r="B81" s="11" t="s">
        <v>302</v>
      </c>
      <c r="C81" s="53" t="n">
        <f aca="false">C72*$D$31+C73*$D$32+C74*$D$33+C75*$D$34</f>
        <v>32.592872219242</v>
      </c>
      <c r="D81" s="53" t="n">
        <f aca="false">D72*$D$31+D73*$D$32+D74*$D$33+D75*$D$34</f>
        <v>38.6653231184176</v>
      </c>
      <c r="E81" s="53" t="n">
        <f aca="false">E72*$D$31+E73*$D$32+E74*$D$33+E75*$D$34</f>
        <v>43.3077654821486</v>
      </c>
      <c r="F81" s="53" t="n">
        <f aca="false">F72*$D$31+F73*$D$32+F74*$D$33+F75*$D$34</f>
        <v>44.9556652801115</v>
      </c>
      <c r="G81" s="53" t="n">
        <f aca="false">G72*$D$31+G73*$D$32+G74*$D$33+G75*$D$34</f>
        <v>44.9556652801115</v>
      </c>
    </row>
    <row r="82" customFormat="false" ht="15" hidden="false" customHeight="false" outlineLevel="2" collapsed="false">
      <c r="A82" s="3" t="s">
        <v>1338</v>
      </c>
      <c r="B82" s="11" t="s">
        <v>302</v>
      </c>
      <c r="C82" s="53" t="n">
        <f aca="false">C72*$E$31+C73*$E$32+C74*$E$33+C75*$E$34</f>
        <v>25.8676986850178</v>
      </c>
      <c r="D82" s="53" t="n">
        <f aca="false">D72*$E$31+D73*$E$32+D74*$E$33+D75*$E$34</f>
        <v>30.7628773073239</v>
      </c>
      <c r="E82" s="53" t="n">
        <f aca="false">E72*$E$31+E73*$E$32+E74*$E$33+E75*$E$34</f>
        <v>34.5557010027624</v>
      </c>
      <c r="F82" s="53" t="n">
        <f aca="false">F72*$E$31+F73*$E$32+F74*$E$33+F75*$E$34</f>
        <v>35.9085214335966</v>
      </c>
      <c r="G82" s="53" t="n">
        <f aca="false">G72*$E$31+G73*$E$32+G74*$E$33+G75*$E$34</f>
        <v>35.9085214335966</v>
      </c>
    </row>
    <row r="83" customFormat="false" ht="15" hidden="false" customHeight="false" outlineLevel="2" collapsed="false">
      <c r="A83" s="3" t="s">
        <v>1339</v>
      </c>
      <c r="B83" s="11" t="s">
        <v>302</v>
      </c>
      <c r="C83" s="53" t="n">
        <f aca="false">C72*$F$31+C73*$F$32+C74*$F$33+C75*$F$34</f>
        <v>25.8676986850178</v>
      </c>
      <c r="D83" s="53" t="n">
        <f aca="false">D72*$F$31+D73*$F$32+D74*$F$33+D75*$F$34</f>
        <v>30.7628773073239</v>
      </c>
      <c r="E83" s="53" t="n">
        <f aca="false">E72*$F$31+E73*$F$32+E74*$F$33+E75*$F$34</f>
        <v>34.5557010027624</v>
      </c>
      <c r="F83" s="53" t="n">
        <f aca="false">F72*$F$31+F73*$F$32+F74*$F$33+F75*$F$34</f>
        <v>35.9085214335966</v>
      </c>
      <c r="G83" s="53" t="n">
        <f aca="false">G72*$F$31+G73*$F$32+G74*$F$33+G75*$F$34</f>
        <v>35.9085214335966</v>
      </c>
    </row>
    <row r="84" customFormat="false" ht="15" hidden="false" customHeight="false" outlineLevel="2" collapsed="false">
      <c r="A84" s="3" t="s">
        <v>1340</v>
      </c>
      <c r="B84" s="11" t="s">
        <v>42</v>
      </c>
      <c r="C84" s="65" t="n">
        <f aca="false">C78/C80</f>
        <v>0.179846361212582</v>
      </c>
      <c r="D84" s="65" t="n">
        <f aca="false">D78/D80</f>
        <v>0.159993163946151</v>
      </c>
      <c r="E84" s="65" t="n">
        <f aca="false">E78/E80</f>
        <v>0.147298592913128</v>
      </c>
      <c r="F84" s="65" t="n">
        <f aca="false">F78/F80</f>
        <v>0.143264911238542</v>
      </c>
      <c r="G84" s="65" t="n">
        <f aca="false">G78/G80</f>
        <v>0.143264911238542</v>
      </c>
      <c r="I84" s="6" t="s">
        <v>1312</v>
      </c>
    </row>
    <row r="85" customFormat="false" ht="15" hidden="false" customHeight="false" outlineLevel="2" collapsed="false">
      <c r="A85" s="3" t="s">
        <v>1341</v>
      </c>
      <c r="B85" s="11" t="s">
        <v>42</v>
      </c>
      <c r="C85" s="65" t="n">
        <f aca="false">C78/C81</f>
        <v>0.299743935354304</v>
      </c>
      <c r="D85" s="65" t="n">
        <f aca="false">D78/D81</f>
        <v>0.266655273243586</v>
      </c>
      <c r="E85" s="65" t="n">
        <f aca="false">E78/E81</f>
        <v>0.245497654855213</v>
      </c>
      <c r="F85" s="65" t="n">
        <f aca="false">F78/F81</f>
        <v>0.238774852064237</v>
      </c>
      <c r="G85" s="65" t="n">
        <f aca="false">G78/G81</f>
        <v>0.238774852064237</v>
      </c>
      <c r="I85" s="6" t="s">
        <v>1312</v>
      </c>
    </row>
    <row r="86" customFormat="false" ht="15" hidden="false" customHeight="false" outlineLevel="2" collapsed="false">
      <c r="A86" s="3" t="s">
        <v>1342</v>
      </c>
      <c r="B86" s="11" t="s">
        <v>42</v>
      </c>
      <c r="C86" s="65" t="n">
        <f aca="false">C78/C82</f>
        <v>0.377672397628241</v>
      </c>
      <c r="D86" s="65" t="n">
        <f aca="false">D78/D82</f>
        <v>0.335154354977665</v>
      </c>
      <c r="E86" s="65" t="n">
        <f aca="false">E78/E82</f>
        <v>0.307675855339676</v>
      </c>
      <c r="F86" s="65" t="n">
        <f aca="false">F78/F82</f>
        <v>0.298934121989907</v>
      </c>
      <c r="G86" s="65" t="n">
        <f aca="false">G78/G82</f>
        <v>0.298934121989907</v>
      </c>
      <c r="I86" s="6" t="s">
        <v>1315</v>
      </c>
    </row>
    <row r="87" customFormat="false" ht="15" hidden="false" customHeight="false" outlineLevel="2" collapsed="false">
      <c r="A87" s="3" t="s">
        <v>1343</v>
      </c>
      <c r="B87" s="11" t="s">
        <v>42</v>
      </c>
      <c r="C87" s="65" t="n">
        <f aca="false">C78/C83</f>
        <v>0.377672397628241</v>
      </c>
      <c r="D87" s="65" t="n">
        <f aca="false">D78/D83</f>
        <v>0.335154354977665</v>
      </c>
      <c r="E87" s="65" t="n">
        <f aca="false">E78/E83</f>
        <v>0.307675855339676</v>
      </c>
      <c r="F87" s="65" t="n">
        <f aca="false">F78/F83</f>
        <v>0.298934121989907</v>
      </c>
      <c r="G87" s="65" t="n">
        <f aca="false">G78/G83</f>
        <v>0.298934121989907</v>
      </c>
      <c r="I87" s="6" t="s">
        <v>1312</v>
      </c>
    </row>
    <row r="88" customFormat="false" ht="15" hidden="false" customHeight="false" outlineLevel="2" collapsed="false">
      <c r="A88" s="3" t="s">
        <v>1344</v>
      </c>
      <c r="B88" s="11" t="s">
        <v>42</v>
      </c>
      <c r="C88" s="65" t="n">
        <f aca="false">C86</f>
        <v>0.377672397628241</v>
      </c>
      <c r="D88" s="65" t="n">
        <f aca="false">D86</f>
        <v>0.335154354977665</v>
      </c>
      <c r="E88" s="65" t="n">
        <f aca="false">E86</f>
        <v>0.307675855339676</v>
      </c>
      <c r="F88" s="65" t="n">
        <f aca="false">F86</f>
        <v>0.298934121989907</v>
      </c>
      <c r="G88" s="65" t="n">
        <f aca="false">G86</f>
        <v>0.298934121989907</v>
      </c>
      <c r="I88" s="6" t="s">
        <v>1318</v>
      </c>
    </row>
    <row r="89" customFormat="false" ht="15" hidden="false" customHeight="false" outlineLevel="1" collapsed="false"/>
    <row r="90" customFormat="false" ht="15" hidden="false" customHeight="false" outlineLevel="1" collapsed="false">
      <c r="A90" s="19" t="s">
        <v>1345</v>
      </c>
      <c r="B90" s="20"/>
      <c r="C90" s="20"/>
      <c r="D90" s="20"/>
      <c r="E90" s="20"/>
      <c r="F90" s="20"/>
      <c r="G90" s="20"/>
      <c r="H90" s="20"/>
    </row>
    <row r="91" customFormat="false" ht="15" hidden="false" customHeight="false" outlineLevel="2" collapsed="false">
      <c r="A91" s="14" t="s">
        <v>53</v>
      </c>
      <c r="B91" s="14" t="s">
        <v>54</v>
      </c>
      <c r="C91" s="15" t="s">
        <v>55</v>
      </c>
      <c r="D91" s="15" t="s">
        <v>56</v>
      </c>
      <c r="E91" s="15" t="s">
        <v>57</v>
      </c>
      <c r="F91" s="15" t="s">
        <v>148</v>
      </c>
      <c r="G91" s="15" t="s">
        <v>149</v>
      </c>
      <c r="I91" s="14" t="s">
        <v>1240</v>
      </c>
    </row>
    <row r="92" customFormat="false" ht="15" hidden="false" customHeight="false" outlineLevel="2" collapsed="false">
      <c r="A92" s="3" t="s">
        <v>1346</v>
      </c>
      <c r="B92" s="11" t="s">
        <v>152</v>
      </c>
      <c r="C92" s="36" t="n">
        <f aca="false">輸入與假設!C17</f>
        <v>4668</v>
      </c>
      <c r="D92" s="36" t="n">
        <f aca="false">輸入與假設!D17</f>
        <v>8001</v>
      </c>
      <c r="E92" s="36" t="n">
        <f aca="false">輸入與假設!E17</f>
        <v>8778</v>
      </c>
      <c r="F92" s="36" t="n">
        <f aca="false">輸入與假設!F17</f>
        <v>8778</v>
      </c>
      <c r="G92" s="36" t="n">
        <f aca="false">輸入與假設!G17</f>
        <v>8778</v>
      </c>
      <c r="I92" s="6" t="s">
        <v>1290</v>
      </c>
    </row>
    <row r="93" customFormat="false" ht="15" hidden="false" customHeight="false" outlineLevel="2" collapsed="false">
      <c r="A93" s="3" t="s">
        <v>1347</v>
      </c>
      <c r="B93" s="11" t="s">
        <v>152</v>
      </c>
      <c r="C93" s="66" t="n">
        <f aca="false">$C$21</f>
        <v>2543</v>
      </c>
      <c r="D93" s="66" t="n">
        <f aca="false">C92</f>
        <v>4668</v>
      </c>
      <c r="E93" s="66" t="n">
        <f aca="false">D92</f>
        <v>8001</v>
      </c>
      <c r="F93" s="66" t="n">
        <f aca="false">E92</f>
        <v>8778</v>
      </c>
      <c r="G93" s="66" t="n">
        <f aca="false">F92</f>
        <v>8778</v>
      </c>
    </row>
    <row r="94" customFormat="false" ht="15" hidden="false" customHeight="false" outlineLevel="2" collapsed="false">
      <c r="A94" s="3" t="s">
        <v>1348</v>
      </c>
      <c r="B94" s="11" t="s">
        <v>152</v>
      </c>
      <c r="C94" s="66" t="n">
        <f aca="false">MAX(0,C92-C93)</f>
        <v>2125</v>
      </c>
      <c r="D94" s="66" t="n">
        <f aca="false">MAX(0,D92-D93)</f>
        <v>3333</v>
      </c>
      <c r="E94" s="66" t="n">
        <f aca="false">MAX(0,E92-E93)</f>
        <v>777</v>
      </c>
      <c r="F94" s="66" t="n">
        <f aca="false">MAX(0,F92-F93)</f>
        <v>0</v>
      </c>
      <c r="G94" s="66" t="n">
        <f aca="false">MAX(0,G92-G93)</f>
        <v>0</v>
      </c>
    </row>
    <row r="95" customFormat="false" ht="15" hidden="false" customHeight="false" outlineLevel="2" collapsed="false">
      <c r="A95" s="3" t="s">
        <v>1349</v>
      </c>
      <c r="B95" s="11" t="s">
        <v>152</v>
      </c>
      <c r="C95" s="66" t="n">
        <f aca="false">$C$21*$E$16+C94*C24</f>
        <v>508.6</v>
      </c>
      <c r="D95" s="66" t="n">
        <f aca="false">C95+D94*D24</f>
        <v>508.6</v>
      </c>
      <c r="E95" s="66" t="n">
        <f aca="false">D95+E94*E24</f>
        <v>508.6</v>
      </c>
      <c r="F95" s="66" t="n">
        <f aca="false">E95+F94*F24</f>
        <v>508.6</v>
      </c>
      <c r="G95" s="66" t="n">
        <f aca="false">F95+G94*G24</f>
        <v>508.6</v>
      </c>
    </row>
    <row r="96" customFormat="false" ht="15" hidden="false" customHeight="false" outlineLevel="2" collapsed="false">
      <c r="A96" s="3" t="s">
        <v>1350</v>
      </c>
      <c r="B96" s="11" t="s">
        <v>152</v>
      </c>
      <c r="C96" s="66" t="n">
        <f aca="false">$C$21*$E$17+C94*C25</f>
        <v>1398.65</v>
      </c>
      <c r="D96" s="66" t="n">
        <f aca="false">C96+D94*D25</f>
        <v>1398.65</v>
      </c>
      <c r="E96" s="66" t="n">
        <f aca="false">D96+E94*E25</f>
        <v>1398.65</v>
      </c>
      <c r="F96" s="66" t="n">
        <f aca="false">E96+F94*F25</f>
        <v>1398.65</v>
      </c>
      <c r="G96" s="66" t="n">
        <f aca="false">F96+G94*G25</f>
        <v>1398.65</v>
      </c>
    </row>
    <row r="97" customFormat="false" ht="15" hidden="false" customHeight="false" outlineLevel="2" collapsed="false">
      <c r="A97" s="3" t="s">
        <v>1351</v>
      </c>
      <c r="B97" s="11" t="s">
        <v>152</v>
      </c>
      <c r="C97" s="66" t="n">
        <f aca="false">$C$21*$E$18+C94*C26</f>
        <v>2760.75</v>
      </c>
      <c r="D97" s="66" t="n">
        <f aca="false">C97+D94*D26</f>
        <v>4427.25</v>
      </c>
      <c r="E97" s="66" t="n">
        <f aca="false">D97+E94*E26</f>
        <v>4427.25</v>
      </c>
      <c r="F97" s="66" t="n">
        <f aca="false">E97+F94*F26</f>
        <v>4427.25</v>
      </c>
      <c r="G97" s="66" t="n">
        <f aca="false">F97+G94*G26</f>
        <v>4427.25</v>
      </c>
    </row>
    <row r="98" customFormat="false" ht="15" hidden="false" customHeight="false" outlineLevel="2" collapsed="false">
      <c r="A98" s="3" t="s">
        <v>1352</v>
      </c>
      <c r="B98" s="11" t="s">
        <v>152</v>
      </c>
      <c r="C98" s="66" t="n">
        <f aca="false">$C$21*$E$19+C94*C27</f>
        <v>0</v>
      </c>
      <c r="D98" s="66" t="n">
        <f aca="false">C98+D94*D27</f>
        <v>1666.5</v>
      </c>
      <c r="E98" s="66" t="n">
        <f aca="false">D98+E94*E27</f>
        <v>2443.5</v>
      </c>
      <c r="F98" s="66" t="n">
        <f aca="false">E98+F94*F27</f>
        <v>2443.5</v>
      </c>
      <c r="G98" s="66" t="n">
        <f aca="false">F98+G94*G27</f>
        <v>2443.5</v>
      </c>
    </row>
    <row r="99" customFormat="false" ht="15" hidden="false" customHeight="false" outlineLevel="2" collapsed="false">
      <c r="A99" s="3" t="s">
        <v>1353</v>
      </c>
      <c r="B99" s="11" t="s">
        <v>42</v>
      </c>
      <c r="C99" s="65" t="n">
        <f aca="false">($C$21*$E$16+C95)/(C93+C92)</f>
        <v>0.141062265982527</v>
      </c>
      <c r="D99" s="65" t="n">
        <f aca="false">(C95+D95)/(D93+D92)</f>
        <v>0.0802904728076407</v>
      </c>
      <c r="E99" s="65" t="n">
        <f aca="false">(D95+E95)/(E93+E92)</f>
        <v>0.0606233982954884</v>
      </c>
      <c r="F99" s="65" t="n">
        <f aca="false">(E95+F95)/(F93+F92)</f>
        <v>0.0579403053087264</v>
      </c>
      <c r="G99" s="65" t="n">
        <f aca="false">(F95+G95)/(G93+G92)</f>
        <v>0.0579403053087264</v>
      </c>
    </row>
    <row r="100" customFormat="false" ht="15" hidden="false" customHeight="false" outlineLevel="2" collapsed="false">
      <c r="A100" s="3" t="s">
        <v>1354</v>
      </c>
      <c r="B100" s="11" t="s">
        <v>42</v>
      </c>
      <c r="C100" s="65" t="n">
        <f aca="false">($C$21*$E$17+C96)/(C93+C92)</f>
        <v>0.387921231451948</v>
      </c>
      <c r="D100" s="65" t="n">
        <f aca="false">(C96+D96)/(D93+D92)</f>
        <v>0.220798800221012</v>
      </c>
      <c r="E100" s="65" t="n">
        <f aca="false">(D96+E96)/(E93+E92)</f>
        <v>0.166714345312593</v>
      </c>
      <c r="F100" s="65" t="n">
        <f aca="false">(E96+F96)/(F93+F92)</f>
        <v>0.159335839598998</v>
      </c>
      <c r="G100" s="65" t="n">
        <f aca="false">(F96+G96)/(G93+G92)</f>
        <v>0.159335839598998</v>
      </c>
    </row>
    <row r="101" customFormat="false" ht="15" hidden="false" customHeight="false" outlineLevel="2" collapsed="false">
      <c r="A101" s="3" t="s">
        <v>1355</v>
      </c>
      <c r="B101" s="11" t="s">
        <v>42</v>
      </c>
      <c r="C101" s="65" t="n">
        <f aca="false">($C$21*$E$18+C97)/(C93+C92)</f>
        <v>0.471016502565525</v>
      </c>
      <c r="D101" s="65" t="n">
        <f aca="false">(C97+D97)/(D93+D92)</f>
        <v>0.56736916883732</v>
      </c>
      <c r="E101" s="65" t="n">
        <f aca="false">(D97+E97)/(E93+E92)</f>
        <v>0.527713212944752</v>
      </c>
      <c r="F101" s="65" t="n">
        <f aca="false">(E97+F97)/(F93+F92)</f>
        <v>0.504357484620643</v>
      </c>
      <c r="G101" s="65" t="n">
        <f aca="false">(F97+G97)/(G93+G92)</f>
        <v>0.504357484620643</v>
      </c>
    </row>
    <row r="102" customFormat="false" ht="15" hidden="false" customHeight="false" outlineLevel="2" collapsed="false">
      <c r="A102" s="3" t="s">
        <v>1356</v>
      </c>
      <c r="B102" s="11" t="s">
        <v>42</v>
      </c>
      <c r="C102" s="65" t="n">
        <f aca="false">($C$21*$E$19+C98)/(C93+C92)</f>
        <v>0</v>
      </c>
      <c r="D102" s="65" t="n">
        <f aca="false">(C98+D98)/(D93+D92)</f>
        <v>0.131541558134028</v>
      </c>
      <c r="E102" s="65" t="n">
        <f aca="false">(D98+E98)/(E93+E92)</f>
        <v>0.244949043447166</v>
      </c>
      <c r="F102" s="65" t="n">
        <f aca="false">(E98+F98)/(F93+F92)</f>
        <v>0.278366370471634</v>
      </c>
      <c r="G102" s="65" t="n">
        <f aca="false">(F98+G98)/(G93+G92)</f>
        <v>0.278366370471634</v>
      </c>
    </row>
    <row r="103" customFormat="false" ht="15" hidden="false" customHeight="false" outlineLevel="2" collapsed="false">
      <c r="A103" s="2" t="s">
        <v>1357</v>
      </c>
      <c r="B103" s="11" t="s">
        <v>302</v>
      </c>
      <c r="C103" s="54" t="n">
        <f aca="false">C99*$C$16+C100*$C$17+C101*$C$18+C102*$C$19</f>
        <v>9.92105157312218</v>
      </c>
      <c r="D103" s="54" t="n">
        <f aca="false">D99*$C$16+D100*$C$17+D101*$C$18+D102*$C$19</f>
        <v>10.5130852977681</v>
      </c>
      <c r="E103" s="54" t="n">
        <f aca="false">E99*$C$16+E100*$C$17+E101*$C$18+E102*$C$19</f>
        <v>10.7995363235081</v>
      </c>
      <c r="F103" s="54" t="n">
        <f aca="false">F99*$C$16+F100*$C$17+F101*$C$18+F102*$C$19</f>
        <v>10.8626458727901</v>
      </c>
      <c r="G103" s="54" t="n">
        <f aca="false">G99*$C$16+G100*$C$17+G101*$C$18+G102*$C$19</f>
        <v>10.8626458727901</v>
      </c>
    </row>
    <row r="104" customFormat="false" ht="15" hidden="false" customHeight="false" outlineLevel="2" collapsed="false">
      <c r="A104" s="2" t="s">
        <v>1358</v>
      </c>
      <c r="B104" s="6" t="s">
        <v>1242</v>
      </c>
      <c r="C104" s="54" t="n">
        <f aca="false">$C$10*$C$9+(1-$C$10)*$C$8</f>
        <v>0.984725833898784</v>
      </c>
      <c r="D104" s="54" t="n">
        <f aca="false">$C$10*$C$9+(1-$C$10)*$C$8</f>
        <v>0.984725833898784</v>
      </c>
      <c r="E104" s="54" t="n">
        <f aca="false">$C$10*$C$9+(1-$C$10)*$C$8</f>
        <v>0.984725833898784</v>
      </c>
      <c r="F104" s="54" t="n">
        <f aca="false">$C$10*$C$9+(1-$C$10)*$C$8</f>
        <v>0.984725833898784</v>
      </c>
      <c r="G104" s="54" t="n">
        <f aca="false">$C$10*$C$9+(1-$C$10)*$C$8</f>
        <v>0.984725833898784</v>
      </c>
    </row>
    <row r="105" customFormat="false" ht="15" hidden="false" customHeight="false" outlineLevel="2" collapsed="false">
      <c r="A105" s="2" t="s">
        <v>1359</v>
      </c>
      <c r="B105" s="11" t="s">
        <v>302</v>
      </c>
      <c r="C105" s="54" t="n">
        <f aca="false">C103*C104</f>
        <v>9.76951578349558</v>
      </c>
      <c r="D105" s="54" t="n">
        <f aca="false">D103*D104</f>
        <v>10.3525066866937</v>
      </c>
      <c r="E105" s="54" t="n">
        <f aca="false">E103*E104</f>
        <v>10.6345824118867</v>
      </c>
      <c r="F105" s="54" t="n">
        <f aca="false">F103*F104</f>
        <v>10.6967280154304</v>
      </c>
      <c r="G105" s="54" t="n">
        <f aca="false">G103*G104</f>
        <v>10.6967280154304</v>
      </c>
      <c r="I105" s="6" t="s">
        <v>1360</v>
      </c>
    </row>
    <row r="106" customFormat="false" ht="15" hidden="false" customHeight="false" outlineLevel="2" collapsed="false">
      <c r="A106" s="3" t="s">
        <v>1361</v>
      </c>
      <c r="B106" s="11" t="s">
        <v>302</v>
      </c>
      <c r="C106" s="53" t="n">
        <f aca="false">C99*$D$16+C100*$D$17+C101*$D$18+C102*$D$19</f>
        <v>32.592872219242</v>
      </c>
      <c r="D106" s="53" t="n">
        <f aca="false">D99*$D$16+D100*$D$17+D101*$D$18+D102*$D$19</f>
        <v>39.2325276718758</v>
      </c>
      <c r="E106" s="53" t="n">
        <f aca="false">E99*$D$16+E100*$D$17+E101*$D$18+E102*$D$19</f>
        <v>43.2125184390783</v>
      </c>
      <c r="F106" s="53" t="n">
        <f aca="false">F99*$D$16+F100*$D$17+F101*$D$18+F102*$D$19</f>
        <v>44.2194106159997</v>
      </c>
      <c r="G106" s="53" t="n">
        <f aca="false">G99*$D$16+G100*$D$17+G101*$D$18+G102*$D$19</f>
        <v>44.2194106159997</v>
      </c>
    </row>
    <row r="107" customFormat="false" ht="15" hidden="false" customHeight="false" outlineLevel="2" collapsed="false">
      <c r="A107" s="3" t="s">
        <v>1362</v>
      </c>
      <c r="B107" s="11" t="s">
        <v>302</v>
      </c>
      <c r="C107" s="53" t="n">
        <f aca="false">C99*$C$31+C100*$C$32+C101*$C$33+C102*$C$34</f>
        <v>54.3214536987368</v>
      </c>
      <c r="D107" s="53" t="n">
        <f aca="false">D99*$C$31+D100*$C$32+D101*$C$33+D102*$C$34</f>
        <v>65.387546119793</v>
      </c>
      <c r="E107" s="53" t="n">
        <f aca="false">E99*$C$31+E100*$C$32+E101*$C$33+E102*$C$34</f>
        <v>72.0208640651305</v>
      </c>
      <c r="F107" s="53" t="n">
        <f aca="false">F99*$C$31+F100*$C$32+F101*$C$33+F102*$C$34</f>
        <v>73.6990176933329</v>
      </c>
      <c r="G107" s="53" t="n">
        <f aca="false">G99*$C$31+G100*$C$32+G101*$C$33+G102*$C$34</f>
        <v>73.6990176933329</v>
      </c>
    </row>
    <row r="108" customFormat="false" ht="15" hidden="false" customHeight="false" outlineLevel="2" collapsed="false">
      <c r="A108" s="3" t="s">
        <v>1363</v>
      </c>
      <c r="B108" s="11" t="s">
        <v>302</v>
      </c>
      <c r="C108" s="53" t="n">
        <f aca="false">C99*$D$31+C100*$D$32+C101*$D$33+C102*$D$34</f>
        <v>32.592872219242</v>
      </c>
      <c r="D108" s="53" t="n">
        <f aca="false">D99*$D$31+D100*$D$32+D101*$D$33+D102*$D$34</f>
        <v>39.2325276718758</v>
      </c>
      <c r="E108" s="53" t="n">
        <f aca="false">E99*$D$31+E100*$D$32+E101*$D$33+E102*$D$34</f>
        <v>43.2125184390783</v>
      </c>
      <c r="F108" s="53" t="n">
        <f aca="false">F99*$D$31+F100*$D$32+F101*$D$33+F102*$D$34</f>
        <v>44.2194106159997</v>
      </c>
      <c r="G108" s="53" t="n">
        <f aca="false">G99*$D$31+G100*$D$32+G101*$D$33+G102*$D$34</f>
        <v>44.2194106159997</v>
      </c>
    </row>
    <row r="109" customFormat="false" ht="15" hidden="false" customHeight="false" outlineLevel="2" collapsed="false">
      <c r="A109" s="3" t="s">
        <v>1364</v>
      </c>
      <c r="B109" s="11" t="s">
        <v>302</v>
      </c>
      <c r="C109" s="53" t="n">
        <f aca="false">C99*$E$31+C100*$E$32+C101*$E$33+C102*$E$34</f>
        <v>25.8676986850178</v>
      </c>
      <c r="D109" s="53" t="n">
        <f aca="false">D99*$E$31+D100*$E$32+D101*$E$33+D102*$E$34</f>
        <v>31.2246862532029</v>
      </c>
      <c r="E109" s="53" t="n">
        <f aca="false">E99*$E$31+E100*$E$32+E101*$E$33+E102*$E$34</f>
        <v>34.472818086756</v>
      </c>
      <c r="F109" s="53" t="n">
        <f aca="false">F99*$E$31+F100*$E$32+F101*$E$33+F102*$E$34</f>
        <v>35.2996198460718</v>
      </c>
      <c r="G109" s="53" t="n">
        <f aca="false">G99*$E$31+G100*$E$32+G101*$E$33+G102*$E$34</f>
        <v>35.2996198460718</v>
      </c>
    </row>
    <row r="110" customFormat="false" ht="15" hidden="false" customHeight="false" outlineLevel="2" collapsed="false">
      <c r="A110" s="3" t="s">
        <v>1365</v>
      </c>
      <c r="B110" s="11" t="s">
        <v>302</v>
      </c>
      <c r="C110" s="53" t="n">
        <f aca="false">C99*$F$31+C100*$F$32+C101*$F$33+C102*$F$34</f>
        <v>25.8676986850178</v>
      </c>
      <c r="D110" s="53" t="n">
        <f aca="false">D99*$F$31+D100*$F$32+D101*$F$33+D102*$F$34</f>
        <v>31.2246862532029</v>
      </c>
      <c r="E110" s="53" t="n">
        <f aca="false">E99*$F$31+E100*$F$32+E101*$F$33+E102*$F$34</f>
        <v>34.472818086756</v>
      </c>
      <c r="F110" s="53" t="n">
        <f aca="false">F99*$F$31+F100*$F$32+F101*$F$33+F102*$F$34</f>
        <v>35.2996198460718</v>
      </c>
      <c r="G110" s="53" t="n">
        <f aca="false">G99*$F$31+G100*$F$32+G101*$F$33+G102*$F$34</f>
        <v>35.2996198460718</v>
      </c>
    </row>
    <row r="111" customFormat="false" ht="15" hidden="false" customHeight="false" outlineLevel="2" collapsed="false">
      <c r="A111" s="3" t="s">
        <v>1366</v>
      </c>
      <c r="B111" s="11" t="s">
        <v>42</v>
      </c>
      <c r="C111" s="65" t="n">
        <f aca="false">C105/C107</f>
        <v>0.179846361212582</v>
      </c>
      <c r="D111" s="65" t="n">
        <f aca="false">D105/D107</f>
        <v>0.158325358589348</v>
      </c>
      <c r="E111" s="65" t="n">
        <f aca="false">E105/E107</f>
        <v>0.147659744852124</v>
      </c>
      <c r="F111" s="65" t="n">
        <f aca="false">F105/F107</f>
        <v>0.145140713543026</v>
      </c>
      <c r="G111" s="65" t="n">
        <f aca="false">G105/G107</f>
        <v>0.145140713543026</v>
      </c>
      <c r="I111" s="6" t="s">
        <v>1312</v>
      </c>
    </row>
    <row r="112" customFormat="false" ht="15" hidden="false" customHeight="false" outlineLevel="2" collapsed="false">
      <c r="A112" s="3" t="s">
        <v>1367</v>
      </c>
      <c r="B112" s="11" t="s">
        <v>42</v>
      </c>
      <c r="C112" s="65" t="n">
        <f aca="false">C105/C108</f>
        <v>0.299743935354304</v>
      </c>
      <c r="D112" s="65" t="n">
        <f aca="false">D105/D108</f>
        <v>0.263875597648913</v>
      </c>
      <c r="E112" s="65" t="n">
        <f aca="false">E105/E108</f>
        <v>0.24609957475354</v>
      </c>
      <c r="F112" s="65" t="n">
        <f aca="false">F105/F108</f>
        <v>0.241901189238377</v>
      </c>
      <c r="G112" s="65" t="n">
        <f aca="false">G105/G108</f>
        <v>0.241901189238377</v>
      </c>
      <c r="I112" s="6" t="s">
        <v>1312</v>
      </c>
    </row>
    <row r="113" customFormat="false" ht="15" hidden="false" customHeight="false" outlineLevel="2" collapsed="false">
      <c r="A113" s="3" t="s">
        <v>1368</v>
      </c>
      <c r="B113" s="11" t="s">
        <v>42</v>
      </c>
      <c r="C113" s="65" t="n">
        <f aca="false">C105/C109</f>
        <v>0.377672397628241</v>
      </c>
      <c r="D113" s="65" t="n">
        <f aca="false">D105/D109</f>
        <v>0.331548781715359</v>
      </c>
      <c r="E113" s="65" t="n">
        <f aca="false">E105/E109</f>
        <v>0.308491820573623</v>
      </c>
      <c r="F113" s="65" t="n">
        <f aca="false">F105/F109</f>
        <v>0.303026719893155</v>
      </c>
      <c r="G113" s="65" t="n">
        <f aca="false">G105/G109</f>
        <v>0.303026719893155</v>
      </c>
      <c r="I113" s="6" t="s">
        <v>1315</v>
      </c>
    </row>
    <row r="114" customFormat="false" ht="15" hidden="false" customHeight="false" outlineLevel="2" collapsed="false">
      <c r="A114" s="3" t="s">
        <v>1369</v>
      </c>
      <c r="B114" s="11" t="s">
        <v>42</v>
      </c>
      <c r="C114" s="65" t="n">
        <f aca="false">C105/C110</f>
        <v>0.377672397628241</v>
      </c>
      <c r="D114" s="65" t="n">
        <f aca="false">D105/D110</f>
        <v>0.331548781715359</v>
      </c>
      <c r="E114" s="65" t="n">
        <f aca="false">E105/E110</f>
        <v>0.308491820573623</v>
      </c>
      <c r="F114" s="65" t="n">
        <f aca="false">F105/F110</f>
        <v>0.303026719893155</v>
      </c>
      <c r="G114" s="65" t="n">
        <f aca="false">G105/G110</f>
        <v>0.303026719893155</v>
      </c>
      <c r="I114" s="6" t="s">
        <v>1312</v>
      </c>
    </row>
    <row r="115" customFormat="false" ht="15" hidden="false" customHeight="false" outlineLevel="2" collapsed="false">
      <c r="A115" s="3" t="s">
        <v>1370</v>
      </c>
      <c r="B115" s="11" t="s">
        <v>42</v>
      </c>
      <c r="C115" s="65" t="n">
        <f aca="false">C113</f>
        <v>0.377672397628241</v>
      </c>
      <c r="D115" s="65" t="n">
        <f aca="false">D113</f>
        <v>0.331548781715359</v>
      </c>
      <c r="E115" s="65" t="n">
        <f aca="false">E113</f>
        <v>0.308491820573623</v>
      </c>
      <c r="F115" s="65" t="n">
        <f aca="false">F113</f>
        <v>0.303026719893155</v>
      </c>
      <c r="G115" s="65" t="n">
        <f aca="false">G113</f>
        <v>0.303026719893155</v>
      </c>
      <c r="I115" s="6" t="s">
        <v>1318</v>
      </c>
    </row>
    <row r="117" customFormat="false" ht="15" hidden="false" customHeight="false" outlineLevel="0" collapsed="false">
      <c r="A117" s="49" t="s">
        <v>1371</v>
      </c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1" collapsed="false">
      <c r="A118" s="14" t="s">
        <v>53</v>
      </c>
      <c r="B118" s="14" t="s">
        <v>54</v>
      </c>
      <c r="C118" s="15" t="s">
        <v>55</v>
      </c>
      <c r="D118" s="15" t="s">
        <v>56</v>
      </c>
      <c r="E118" s="15" t="s">
        <v>57</v>
      </c>
      <c r="F118" s="15" t="s">
        <v>148</v>
      </c>
      <c r="G118" s="15" t="s">
        <v>149</v>
      </c>
      <c r="I118" s="14" t="s">
        <v>1240</v>
      </c>
    </row>
    <row r="119" customFormat="false" ht="15" hidden="false" customHeight="false" outlineLevel="1" collapsed="false">
      <c r="A119" s="3" t="s">
        <v>1372</v>
      </c>
      <c r="B119" s="11" t="s">
        <v>302</v>
      </c>
      <c r="C119" s="53" t="n">
        <f aca="false">CHOOSE(輸入與假設!$C$5,C49,C76,C103)</f>
        <v>9.92105157312218</v>
      </c>
      <c r="D119" s="53" t="n">
        <f aca="false">CHOOSE(輸入與假設!$C$5,D49,D76,D103)</f>
        <v>10.4702364315679</v>
      </c>
      <c r="E119" s="53" t="n">
        <f aca="false">CHOOSE(輸入與假設!$C$5,E49,E76,E103)</f>
        <v>10.7968680183725</v>
      </c>
      <c r="F119" s="53" t="n">
        <f aca="false">CHOOSE(輸入與假設!$C$5,F49,F76,F103)</f>
        <v>10.9007826921816</v>
      </c>
      <c r="G119" s="53" t="n">
        <f aca="false">CHOOSE(輸入與假設!$C$5,G49,G76,G103)</f>
        <v>10.9007826921816</v>
      </c>
    </row>
    <row r="120" customFormat="false" ht="15" hidden="false" customHeight="false" outlineLevel="1" collapsed="false">
      <c r="A120" s="3" t="s">
        <v>1373</v>
      </c>
      <c r="B120" s="6" t="s">
        <v>1242</v>
      </c>
      <c r="C120" s="53" t="n">
        <f aca="false">CHOOSE(輸入與假設!$C$5,C50,C77,C104)</f>
        <v>0.984725833898784</v>
      </c>
      <c r="D120" s="53" t="n">
        <f aca="false">CHOOSE(輸入與假設!$C$5,D50,D77,D104)</f>
        <v>0.984725833898784</v>
      </c>
      <c r="E120" s="53" t="n">
        <f aca="false">CHOOSE(輸入與假設!$C$5,E50,E77,E104)</f>
        <v>0.984725833898784</v>
      </c>
      <c r="F120" s="53" t="n">
        <f aca="false">CHOOSE(輸入與假設!$C$5,F50,F77,F104)</f>
        <v>0.984725833898784</v>
      </c>
      <c r="G120" s="53" t="n">
        <f aca="false">CHOOSE(輸入與假設!$C$5,G50,G77,G104)</f>
        <v>0.984725833898784</v>
      </c>
    </row>
    <row r="121" customFormat="false" ht="15" hidden="false" customHeight="false" outlineLevel="1" collapsed="false">
      <c r="A121" s="2" t="s">
        <v>1374</v>
      </c>
      <c r="B121" s="11" t="s">
        <v>302</v>
      </c>
      <c r="C121" s="54" t="n">
        <f aca="false">CHOOSE(輸入與假設!$C$5,C51,C78,C105)</f>
        <v>9.76951578349558</v>
      </c>
      <c r="D121" s="54" t="n">
        <f aca="false">CHOOSE(輸入與假設!$C$5,D51,D78,D105)</f>
        <v>10.3103123011932</v>
      </c>
      <c r="E121" s="54" t="n">
        <f aca="false">CHOOSE(輸入與假設!$C$5,E51,E78,E105)</f>
        <v>10.631954862887</v>
      </c>
      <c r="F121" s="54" t="n">
        <f aca="false">CHOOSE(輸入與假設!$C$5,F51,F78,F105)</f>
        <v>10.734282326708</v>
      </c>
      <c r="G121" s="54" t="n">
        <f aca="false">CHOOSE(輸入與假設!$C$5,G51,G78,G105)</f>
        <v>10.734282326708</v>
      </c>
    </row>
    <row r="122" customFormat="false" ht="15" hidden="false" customHeight="false" outlineLevel="1" collapsed="false">
      <c r="A122" s="3" t="s">
        <v>1375</v>
      </c>
      <c r="B122" s="11" t="s">
        <v>42</v>
      </c>
      <c r="C122" s="65" t="n">
        <f aca="false">CHOOSE(輸入與假設!$C$5,C57,C84,C111)</f>
        <v>0.179846361212582</v>
      </c>
      <c r="D122" s="65" t="n">
        <f aca="false">CHOOSE(輸入與假設!$C$5,D57,D84,D111)</f>
        <v>0.159993163946151</v>
      </c>
      <c r="E122" s="65" t="n">
        <f aca="false">CHOOSE(輸入與假設!$C$5,E57,E84,E111)</f>
        <v>0.147298592913128</v>
      </c>
      <c r="F122" s="65" t="n">
        <f aca="false">CHOOSE(輸入與假設!$C$5,F57,F84,F111)</f>
        <v>0.143264911238542</v>
      </c>
      <c r="G122" s="65" t="n">
        <f aca="false">CHOOSE(輸入與假設!$C$5,G57,G84,G111)</f>
        <v>0.143264911238542</v>
      </c>
    </row>
    <row r="123" customFormat="false" ht="15" hidden="false" customHeight="false" outlineLevel="1" collapsed="false">
      <c r="A123" s="3" t="s">
        <v>1376</v>
      </c>
      <c r="B123" s="11" t="s">
        <v>42</v>
      </c>
      <c r="C123" s="65" t="n">
        <f aca="false">CHOOSE(輸入與假設!$C$5,C58,C85,C112)</f>
        <v>0.299743935354304</v>
      </c>
      <c r="D123" s="65" t="n">
        <f aca="false">CHOOSE(輸入與假設!$C$5,D58,D85,D112)</f>
        <v>0.266655273243586</v>
      </c>
      <c r="E123" s="65" t="n">
        <f aca="false">CHOOSE(輸入與假設!$C$5,E58,E85,E112)</f>
        <v>0.245497654855213</v>
      </c>
      <c r="F123" s="65" t="n">
        <f aca="false">CHOOSE(輸入與假設!$C$5,F58,F85,F112)</f>
        <v>0.238774852064237</v>
      </c>
      <c r="G123" s="65" t="n">
        <f aca="false">CHOOSE(輸入與假設!$C$5,G58,G85,G112)</f>
        <v>0.238774852064237</v>
      </c>
    </row>
    <row r="124" customFormat="false" ht="15" hidden="false" customHeight="false" outlineLevel="1" collapsed="false">
      <c r="A124" s="3" t="s">
        <v>1377</v>
      </c>
      <c r="B124" s="11" t="s">
        <v>42</v>
      </c>
      <c r="C124" s="65" t="n">
        <f aca="false">CHOOSE(輸入與假設!$C$5,C59,C86,C113)</f>
        <v>0.377672397628241</v>
      </c>
      <c r="D124" s="65" t="n">
        <f aca="false">CHOOSE(輸入與假設!$C$5,D59,D86,D113)</f>
        <v>0.335154354977665</v>
      </c>
      <c r="E124" s="65" t="n">
        <f aca="false">CHOOSE(輸入與假設!$C$5,E59,E86,E113)</f>
        <v>0.307675855339676</v>
      </c>
      <c r="F124" s="65" t="n">
        <f aca="false">CHOOSE(輸入與假設!$C$5,F59,F86,F113)</f>
        <v>0.298934121989907</v>
      </c>
      <c r="G124" s="65" t="n">
        <f aca="false">CHOOSE(輸入與假設!$C$5,G59,G86,G113)</f>
        <v>0.298934121989907</v>
      </c>
    </row>
    <row r="125" customFormat="false" ht="15" hidden="false" customHeight="false" outlineLevel="1" collapsed="false">
      <c r="A125" s="3" t="s">
        <v>1378</v>
      </c>
      <c r="B125" s="11" t="s">
        <v>42</v>
      </c>
      <c r="C125" s="65" t="n">
        <f aca="false">CHOOSE(輸入與假設!$C$5,C60,C87,C114)</f>
        <v>0.377672397628241</v>
      </c>
      <c r="D125" s="65" t="n">
        <f aca="false">CHOOSE(輸入與假設!$C$5,D60,D87,D114)</f>
        <v>0.335154354977665</v>
      </c>
      <c r="E125" s="65" t="n">
        <f aca="false">CHOOSE(輸入與假設!$C$5,E60,E87,E114)</f>
        <v>0.307675855339676</v>
      </c>
      <c r="F125" s="65" t="n">
        <f aca="false">CHOOSE(輸入與假設!$C$5,F60,F87,F114)</f>
        <v>0.298934121989907</v>
      </c>
      <c r="G125" s="65" t="n">
        <f aca="false">CHOOSE(輸入與假設!$C$5,G60,G87,G114)</f>
        <v>0.298934121989907</v>
      </c>
    </row>
    <row r="126" customFormat="false" ht="15" hidden="false" customHeight="false" outlineLevel="1" collapsed="false">
      <c r="A126" s="3" t="s">
        <v>1379</v>
      </c>
      <c r="B126" s="11" t="s">
        <v>42</v>
      </c>
      <c r="C126" s="65" t="n">
        <f aca="false">CHOOSE(輸入與假設!$C$5,C61,C88,C115)</f>
        <v>0.377672397628241</v>
      </c>
      <c r="D126" s="65" t="n">
        <f aca="false">CHOOSE(輸入與假設!$C$5,D61,D88,D115)</f>
        <v>0.335154354977665</v>
      </c>
      <c r="E126" s="65" t="n">
        <f aca="false">CHOOSE(輸入與假設!$C$5,E61,E88,E115)</f>
        <v>0.307675855339676</v>
      </c>
      <c r="F126" s="65" t="n">
        <f aca="false">CHOOSE(輸入與假設!$C$5,F61,F88,F115)</f>
        <v>0.298934121989907</v>
      </c>
      <c r="G126" s="65" t="n">
        <f aca="false">CHOOSE(輸入與假設!$C$5,G61,G88,G115)</f>
        <v>0.298934121989907</v>
      </c>
    </row>
    <row r="127" customFormat="false" ht="15" hidden="false" customHeight="false" outlineLevel="1" collapsed="false">
      <c r="A127" s="3" t="s">
        <v>1380</v>
      </c>
      <c r="B127" s="11" t="s">
        <v>42</v>
      </c>
      <c r="C127" s="65" t="n">
        <f aca="false">MAX(C126:G126)</f>
        <v>0.377672397628241</v>
      </c>
      <c r="D127" s="65"/>
      <c r="E127" s="65"/>
      <c r="F127" s="65"/>
      <c r="G127" s="65"/>
    </row>
    <row r="128" customFormat="false" ht="15" hidden="false" customHeight="false" outlineLevel="1" collapsed="false">
      <c r="A128" s="3" t="s">
        <v>1381</v>
      </c>
      <c r="B128" s="11" t="s">
        <v>302</v>
      </c>
      <c r="C128" s="37" t="n">
        <f aca="false">TK_RevGW_PQ_VR200</f>
        <v>48.7876810461932</v>
      </c>
      <c r="D128" s="37" t="n">
        <f aca="false">TK_RevGW_PQ_VR200_Lo</f>
        <v>35.6983032045316</v>
      </c>
      <c r="E128" s="37" t="n">
        <f aca="false">TK_RevGW_PQ_VR200_Hi</f>
        <v>77.3463236098185</v>
      </c>
      <c r="F128" s="37"/>
      <c r="G128" s="37"/>
      <c r="I128" s="11" t="s">
        <v>1382</v>
      </c>
    </row>
    <row r="129" customFormat="false" ht="15" hidden="false" customHeight="false" outlineLevel="1" collapsed="false">
      <c r="A129" s="3" t="s">
        <v>1383</v>
      </c>
      <c r="B129" s="11" t="s">
        <v>42</v>
      </c>
      <c r="C129" s="65" t="n">
        <f aca="false">C121/$C$128</f>
        <v>0.200245545063837</v>
      </c>
      <c r="D129" s="65" t="n">
        <f aca="false">D121/$C$128</f>
        <v>0.211330239111614</v>
      </c>
      <c r="E129" s="65" t="n">
        <f aca="false">E121/$C$128</f>
        <v>0.217922939457206</v>
      </c>
      <c r="F129" s="65" t="n">
        <f aca="false">F121/$C$128</f>
        <v>0.220020343179348</v>
      </c>
      <c r="G129" s="65" t="n">
        <f aca="false">G121/$C$128</f>
        <v>0.220020343179348</v>
      </c>
      <c r="I129" s="6" t="s">
        <v>1384</v>
      </c>
    </row>
    <row r="130" customFormat="false" ht="15" hidden="false" customHeight="false" outlineLevel="1" collapsed="false">
      <c r="A130" s="3" t="s">
        <v>1385</v>
      </c>
      <c r="B130" s="11" t="s">
        <v>42</v>
      </c>
      <c r="C130" s="65" t="n">
        <f aca="false">C121/$E$128</f>
        <v>0.126308728424882</v>
      </c>
      <c r="D130" s="65" t="n">
        <f aca="false">D121/$E$128</f>
        <v>0.13330061236271</v>
      </c>
      <c r="E130" s="65" t="n">
        <f aca="false">E121/$E$128</f>
        <v>0.137459084888391</v>
      </c>
      <c r="F130" s="65" t="n">
        <f aca="false">F121/$E$128</f>
        <v>0.138782062620819</v>
      </c>
      <c r="G130" s="65" t="n">
        <f aca="false">G121/$E$128</f>
        <v>0.138782062620819</v>
      </c>
    </row>
    <row r="131" customFormat="false" ht="15" hidden="false" customHeight="false" outlineLevel="1" collapsed="false">
      <c r="A131" s="3" t="s">
        <v>1386</v>
      </c>
      <c r="B131" s="11" t="s">
        <v>42</v>
      </c>
      <c r="C131" s="65" t="n">
        <f aca="false">C121/$D$128</f>
        <v>0.273668911587244</v>
      </c>
      <c r="D131" s="65" t="n">
        <f aca="false">D121/$D$128</f>
        <v>0.28881799345254</v>
      </c>
      <c r="E131" s="65" t="n">
        <f aca="false">E121/$D$128</f>
        <v>0.297828017258181</v>
      </c>
      <c r="F131" s="65" t="n">
        <f aca="false">F121/$D$128</f>
        <v>0.300694469011775</v>
      </c>
      <c r="G131" s="65" t="n">
        <f aca="false">G121/$D$128</f>
        <v>0.300694469011775</v>
      </c>
    </row>
    <row r="133" customFormat="false" ht="15" hidden="false" customHeight="false" outlineLevel="0" collapsed="false">
      <c r="A133" s="7" t="s">
        <v>1387</v>
      </c>
      <c r="B133" s="8"/>
      <c r="C133" s="8"/>
      <c r="D133" s="8"/>
      <c r="E133" s="8"/>
      <c r="F133" s="8"/>
      <c r="G133" s="8"/>
      <c r="H133" s="8"/>
    </row>
    <row r="134" customFormat="false" ht="17.15" hidden="false" customHeight="false" outlineLevel="1" collapsed="false">
      <c r="A134" s="14" t="s">
        <v>1388</v>
      </c>
      <c r="B134" s="14" t="s">
        <v>54</v>
      </c>
      <c r="C134" s="14" t="s">
        <v>1389</v>
      </c>
      <c r="D134" s="15" t="s">
        <v>1390</v>
      </c>
      <c r="E134" s="14" t="s">
        <v>1391</v>
      </c>
      <c r="F134" s="14" t="s">
        <v>1392</v>
      </c>
      <c r="I134" s="14" t="s">
        <v>1393</v>
      </c>
    </row>
    <row r="135" customFormat="false" ht="15" hidden="false" customHeight="false" outlineLevel="1" collapsed="false">
      <c r="A135" s="3" t="s">
        <v>1394</v>
      </c>
      <c r="B135" s="11" t="s">
        <v>1395</v>
      </c>
      <c r="C135" s="78" t="n">
        <v>9.7</v>
      </c>
      <c r="D135" s="23" t="n">
        <f aca="false">TK_HoldEcon_GB300</f>
        <v>10.8864110021101</v>
      </c>
      <c r="E135" s="53" t="n">
        <f aca="false">C135/D135</f>
        <v>0.891019087752599</v>
      </c>
      <c r="F135" s="3" t="s">
        <v>1396</v>
      </c>
      <c r="I135" s="11" t="s">
        <v>1397</v>
      </c>
    </row>
    <row r="136" customFormat="false" ht="15" hidden="false" customHeight="false" outlineLevel="1" collapsed="false">
      <c r="A136" s="3" t="s">
        <v>1398</v>
      </c>
      <c r="B136" s="11" t="s">
        <v>1395</v>
      </c>
      <c r="C136" s="78" t="n">
        <v>11.333</v>
      </c>
      <c r="D136" s="23" t="n">
        <f aca="false">TK_HoldEcon_GB300</f>
        <v>10.8864110021101</v>
      </c>
      <c r="E136" s="53" t="n">
        <f aca="false">C136/D136</f>
        <v>1.04102261046394</v>
      </c>
      <c r="F136" s="3" t="s">
        <v>1399</v>
      </c>
      <c r="I136" s="11" t="s">
        <v>1400</v>
      </c>
    </row>
    <row r="137" customFormat="false" ht="15" hidden="false" customHeight="false" outlineLevel="1" collapsed="false">
      <c r="A137" s="3" t="s">
        <v>1401</v>
      </c>
      <c r="B137" s="11" t="s">
        <v>1395</v>
      </c>
      <c r="C137" s="78" t="n">
        <v>13.333</v>
      </c>
      <c r="D137" s="23" t="n">
        <f aca="false">TK_HoldEcon_GB300</f>
        <v>10.8864110021101</v>
      </c>
      <c r="E137" s="53" t="n">
        <f aca="false">C137/D137</f>
        <v>1.22473788628922</v>
      </c>
      <c r="F137" s="3" t="s">
        <v>1402</v>
      </c>
      <c r="I137" s="11" t="s">
        <v>1403</v>
      </c>
    </row>
    <row r="138" customFormat="false" ht="15" hidden="false" customHeight="false" outlineLevel="1" collapsed="false">
      <c r="A138" s="3" t="s">
        <v>1404</v>
      </c>
      <c r="B138" s="11" t="s">
        <v>1405</v>
      </c>
      <c r="C138" s="78" t="n">
        <v>2.82</v>
      </c>
      <c r="D138" s="23" t="n">
        <f aca="false">TK_GPUhrEcon_H100</f>
        <v>1.54259654785589</v>
      </c>
      <c r="E138" s="53" t="n">
        <f aca="false">C138/D138</f>
        <v>1.82808654921445</v>
      </c>
      <c r="F138" s="3" t="s">
        <v>1406</v>
      </c>
      <c r="I138" s="11" t="s">
        <v>1407</v>
      </c>
    </row>
    <row r="139" customFormat="false" ht="15" hidden="false" customHeight="false" outlineLevel="1" collapsed="false">
      <c r="A139" s="3" t="s">
        <v>1408</v>
      </c>
      <c r="B139" s="11" t="s">
        <v>1405</v>
      </c>
      <c r="C139" s="78" t="n">
        <v>6.82</v>
      </c>
      <c r="D139" s="23" t="n">
        <f aca="false">TK_GPUhrEcon_GB300</f>
        <v>2.55178761329595</v>
      </c>
      <c r="E139" s="53" t="n">
        <f aca="false">C139/D139</f>
        <v>2.67263621959162</v>
      </c>
      <c r="F139" s="3" t="s">
        <v>1399</v>
      </c>
      <c r="I139" s="11" t="s">
        <v>1409</v>
      </c>
    </row>
    <row r="140" customFormat="false" ht="15" hidden="false" customHeight="false" outlineLevel="1" collapsed="false">
      <c r="A140" s="3" t="s">
        <v>1410</v>
      </c>
      <c r="B140" s="11" t="s">
        <v>1405</v>
      </c>
      <c r="C140" s="78" t="n">
        <v>4.08</v>
      </c>
      <c r="D140" s="23" t="n">
        <f aca="false">TK_GPUhrEcon_GB200</f>
        <v>2.00846099652078</v>
      </c>
      <c r="E140" s="53" t="n">
        <f aca="false">C140/D140</f>
        <v>2.03140613985918</v>
      </c>
      <c r="F140" s="3" t="s">
        <v>1399</v>
      </c>
      <c r="I140" s="11" t="s">
        <v>1411</v>
      </c>
    </row>
    <row r="141" customFormat="false" ht="15" hidden="false" customHeight="false" outlineLevel="1" collapsed="false">
      <c r="A141" s="3" t="s">
        <v>1412</v>
      </c>
      <c r="B141" s="11" t="s">
        <v>1405</v>
      </c>
      <c r="C141" s="78" t="n">
        <v>5.87</v>
      </c>
      <c r="D141" s="23" t="n">
        <f aca="false">TK_GPUhrEcon_GB200</f>
        <v>2.00846099652078</v>
      </c>
      <c r="E141" s="53" t="n">
        <f aca="false">C141/D141</f>
        <v>2.92263579435622</v>
      </c>
      <c r="F141" s="3" t="s">
        <v>1402</v>
      </c>
      <c r="I141" s="11" t="s">
        <v>1413</v>
      </c>
    </row>
    <row r="142" customFormat="false" ht="15" hidden="false" customHeight="false" outlineLevel="1" collapsed="false">
      <c r="A142" s="3" t="s">
        <v>1414</v>
      </c>
      <c r="B142" s="11" t="s">
        <v>1405</v>
      </c>
      <c r="C142" s="78" t="n">
        <v>4.5</v>
      </c>
      <c r="D142" s="23" t="n">
        <f aca="false">TK_GPUhrEcon_H100</f>
        <v>1.54259654785589</v>
      </c>
      <c r="E142" s="53" t="n">
        <f aca="false">C142/D142</f>
        <v>2.91715938704434</v>
      </c>
      <c r="F142" s="3" t="s">
        <v>1402</v>
      </c>
      <c r="I142" s="11" t="s">
        <v>1415</v>
      </c>
    </row>
    <row r="143" customFormat="false" ht="15" hidden="false" customHeight="false" outlineLevel="1" collapsed="false">
      <c r="A143" s="3" t="s">
        <v>1416</v>
      </c>
      <c r="B143" s="11" t="s">
        <v>1405</v>
      </c>
      <c r="C143" s="78" t="n">
        <v>5.4</v>
      </c>
      <c r="D143" s="23" t="n">
        <f aca="false">TK_GPUhrEcon_H100</f>
        <v>1.54259654785589</v>
      </c>
      <c r="E143" s="53" t="n">
        <f aca="false">C143/D143</f>
        <v>3.50059126445321</v>
      </c>
      <c r="F143" s="3" t="s">
        <v>1402</v>
      </c>
      <c r="I143" s="11" t="s">
        <v>1417</v>
      </c>
    </row>
    <row r="144" customFormat="false" ht="15" hidden="false" customHeight="false" outlineLevel="1" collapsed="false">
      <c r="A144" s="3" t="s">
        <v>1418</v>
      </c>
      <c r="B144" s="11" t="s">
        <v>1405</v>
      </c>
      <c r="C144" s="78" t="n">
        <v>9.5</v>
      </c>
      <c r="D144" s="23" t="n">
        <f aca="false">TK_GPUhrEcon_GB300</f>
        <v>2.55178761329595</v>
      </c>
      <c r="E144" s="53" t="n">
        <f aca="false">C144/D144</f>
        <v>3.72288036453378</v>
      </c>
      <c r="F144" s="3" t="s">
        <v>1402</v>
      </c>
      <c r="I144" s="11" t="s">
        <v>1419</v>
      </c>
    </row>
    <row r="145" customFormat="false" ht="15" hidden="false" customHeight="false" outlineLevel="1" collapsed="false">
      <c r="A145" s="3" t="s">
        <v>1420</v>
      </c>
      <c r="B145" s="11" t="s">
        <v>1405</v>
      </c>
      <c r="C145" s="78" t="n">
        <v>3.973</v>
      </c>
      <c r="D145" s="23" t="n">
        <f aca="false">TK_GPUhrEcon_GB300</f>
        <v>2.55178761329595</v>
      </c>
      <c r="E145" s="53" t="n">
        <f aca="false">C145/D145</f>
        <v>1.55694775666239</v>
      </c>
      <c r="F145" s="3" t="s">
        <v>1402</v>
      </c>
      <c r="I145" s="11" t="s">
        <v>1421</v>
      </c>
    </row>
    <row r="146" customFormat="false" ht="15" hidden="false" customHeight="false" outlineLevel="1" collapsed="false">
      <c r="A146" s="3" t="s">
        <v>1422</v>
      </c>
      <c r="B146" s="6"/>
      <c r="C146" s="79" t="s">
        <v>1423</v>
      </c>
      <c r="I146" s="6" t="s">
        <v>1424</v>
      </c>
    </row>
    <row r="147" customFormat="false" ht="15" hidden="false" customHeight="false" outlineLevel="1" collapsed="false">
      <c r="A147" s="6" t="s">
        <v>1423</v>
      </c>
      <c r="I147" s="11" t="s">
        <v>1425</v>
      </c>
    </row>
    <row r="148" customFormat="false" ht="15" hidden="false" customHeight="false" outlineLevel="1" collapsed="false">
      <c r="A148" s="6" t="s">
        <v>1423</v>
      </c>
      <c r="I148" s="11" t="s">
        <v>1426</v>
      </c>
    </row>
    <row r="149" customFormat="false" ht="15" hidden="false" customHeight="false" outlineLevel="1" collapsed="false">
      <c r="A149" s="6" t="s">
        <v>1423</v>
      </c>
      <c r="I149" s="6" t="s">
        <v>1427</v>
      </c>
    </row>
    <row r="151" customFormat="false" ht="15" hidden="false" customHeight="false" outlineLevel="0" collapsed="false">
      <c r="A151" s="7" t="s">
        <v>1428</v>
      </c>
      <c r="B151" s="8"/>
      <c r="C151" s="8"/>
      <c r="D151" s="8"/>
      <c r="E151" s="8"/>
      <c r="F151" s="8"/>
      <c r="G151" s="8"/>
      <c r="H151" s="8"/>
    </row>
    <row r="152" customFormat="false" ht="15" hidden="false" customHeight="false" outlineLevel="1" collapsed="false">
      <c r="A152" s="14" t="s">
        <v>53</v>
      </c>
      <c r="B152" s="14" t="s">
        <v>54</v>
      </c>
      <c r="C152" s="15" t="s">
        <v>55</v>
      </c>
      <c r="D152" s="15" t="s">
        <v>56</v>
      </c>
      <c r="E152" s="15" t="s">
        <v>57</v>
      </c>
      <c r="F152" s="15" t="s">
        <v>148</v>
      </c>
      <c r="G152" s="15" t="s">
        <v>149</v>
      </c>
      <c r="I152" s="14" t="s">
        <v>1240</v>
      </c>
    </row>
    <row r="153" customFormat="false" ht="15" hidden="false" customHeight="false" outlineLevel="1" collapsed="false">
      <c r="A153" s="3" t="s">
        <v>1429</v>
      </c>
      <c r="B153" s="11" t="s">
        <v>302</v>
      </c>
      <c r="C153" s="78" t="n">
        <v>11.62</v>
      </c>
      <c r="D153" s="78" t="n">
        <v>11.62</v>
      </c>
      <c r="E153" s="78" t="n">
        <v>11.62</v>
      </c>
      <c r="F153" s="78" t="n">
        <v>11.62</v>
      </c>
      <c r="G153" s="78" t="n">
        <v>11.62</v>
      </c>
      <c r="I153" s="11" t="s">
        <v>1430</v>
      </c>
    </row>
    <row r="154" customFormat="false" ht="15" hidden="false" customHeight="false" outlineLevel="1" collapsed="false">
      <c r="A154" s="3" t="s">
        <v>1431</v>
      </c>
      <c r="B154" s="11" t="s">
        <v>302</v>
      </c>
      <c r="C154" s="78" t="n">
        <v>17.4</v>
      </c>
      <c r="D154" s="78" t="n">
        <v>17.4</v>
      </c>
      <c r="E154" s="78" t="n">
        <v>17.4</v>
      </c>
      <c r="F154" s="78" t="n">
        <v>17.4</v>
      </c>
      <c r="G154" s="78" t="n">
        <v>17.4</v>
      </c>
    </row>
    <row r="155" customFormat="false" ht="15" hidden="false" customHeight="false" outlineLevel="1" collapsed="false">
      <c r="A155" s="3" t="s">
        <v>1432</v>
      </c>
      <c r="B155" s="11" t="s">
        <v>302</v>
      </c>
      <c r="C155" s="78" t="n">
        <v>24.2</v>
      </c>
      <c r="D155" s="78" t="n">
        <v>24.2</v>
      </c>
      <c r="E155" s="78" t="n">
        <v>24.2</v>
      </c>
      <c r="F155" s="78" t="n">
        <v>24.2</v>
      </c>
      <c r="G155" s="78" t="n">
        <v>24.2</v>
      </c>
    </row>
    <row r="156" customFormat="false" ht="15" hidden="false" customHeight="false" outlineLevel="1" collapsed="false">
      <c r="A156" s="3" t="s">
        <v>1433</v>
      </c>
      <c r="B156" s="11" t="s">
        <v>42</v>
      </c>
      <c r="C156" s="65" t="n">
        <f aca="false">C121/CHOOSE(輸入與假設!$C$5,C153,C154,C155)-1</f>
        <v>-0.438533575661173</v>
      </c>
      <c r="D156" s="65" t="n">
        <f aca="false">D121/CHOOSE(輸入與假設!$C$5,D153,D154,D155)-1</f>
        <v>-0.407453316023381</v>
      </c>
      <c r="E156" s="65" t="n">
        <f aca="false">E121/CHOOSE(輸入與假設!$C$5,E153,E154,E155)-1</f>
        <v>-0.388968111328333</v>
      </c>
      <c r="F156" s="65" t="n">
        <f aca="false">F121/CHOOSE(輸入與假設!$C$5,F153,F154,F155)-1</f>
        <v>-0.38308722260299</v>
      </c>
      <c r="G156" s="65" t="n">
        <f aca="false">G121/CHOOSE(輸入與假設!$C$5,G153,G154,G155)-1</f>
        <v>-0.38308722260299</v>
      </c>
    </row>
    <row r="157" customFormat="false" ht="15" hidden="false" customHeight="false" outlineLevel="1" collapsed="false">
      <c r="A157" s="3" t="s">
        <v>1434</v>
      </c>
      <c r="B157" s="11" t="s">
        <v>302</v>
      </c>
      <c r="C157" s="53" t="n">
        <f aca="false">C119*(1+0.15)/(1-0.08)</f>
        <v>12.4013144664027</v>
      </c>
      <c r="D157" s="53" t="n">
        <f aca="false">D119*(1+0.15)/(1-0.08)</f>
        <v>13.0877955394599</v>
      </c>
      <c r="E157" s="53" t="n">
        <f aca="false">E119*(1+0.15)/(1-0.08)</f>
        <v>13.4960850229657</v>
      </c>
      <c r="F157" s="53" t="n">
        <f aca="false">F119*(1+0.15)/(1-0.08)</f>
        <v>13.625978365227</v>
      </c>
      <c r="G157" s="53" t="n">
        <f aca="false">G119*(1+0.15)/(1-0.08)</f>
        <v>13.625978365227</v>
      </c>
      <c r="I157" s="11" t="s">
        <v>1435</v>
      </c>
    </row>
    <row r="158" customFormat="false" ht="15" hidden="false" customHeight="false" outlineLevel="1" collapsed="false">
      <c r="A158" s="3" t="s">
        <v>1436</v>
      </c>
      <c r="B158" s="11" t="s">
        <v>302</v>
      </c>
      <c r="C158" s="26" t="n">
        <v>37.45</v>
      </c>
      <c r="D158" s="26" t="n">
        <v>37.59</v>
      </c>
      <c r="E158" s="26" t="n">
        <v>37.59</v>
      </c>
      <c r="F158" s="26" t="n">
        <v>37.59</v>
      </c>
      <c r="G158" s="26" t="n">
        <v>37.59</v>
      </c>
      <c r="I158" s="11" t="s">
        <v>1437</v>
      </c>
    </row>
    <row r="159" customFormat="false" ht="15" hidden="false" customHeight="false" outlineLevel="1" collapsed="false">
      <c r="A159" s="4" t="s">
        <v>1438</v>
      </c>
      <c r="B159" s="6" t="s">
        <v>1242</v>
      </c>
      <c r="C159" s="30" t="n">
        <f aca="false">TK_FacilityGW_GB300-1.2</f>
        <v>0</v>
      </c>
      <c r="D159" s="30"/>
      <c r="E159" s="30"/>
      <c r="F159" s="30"/>
      <c r="G159" s="30"/>
      <c r="I159" s="11" t="s">
        <v>1439</v>
      </c>
    </row>
    <row r="160" customFormat="false" ht="15" hidden="false" customHeight="false" outlineLevel="1" collapsed="false">
      <c r="A160" s="3" t="s">
        <v>1440</v>
      </c>
      <c r="B160" s="11" t="s">
        <v>302</v>
      </c>
      <c r="C160" s="53" t="n">
        <f aca="false">29.552/$C$21*1000</f>
        <v>11.620920173024</v>
      </c>
      <c r="D160" s="53"/>
      <c r="E160" s="53"/>
      <c r="F160" s="53"/>
      <c r="G160" s="53"/>
      <c r="I160" s="11" t="s">
        <v>1441</v>
      </c>
    </row>
    <row r="161" customFormat="false" ht="15" hidden="false" customHeight="false" outlineLevel="1" collapsed="false">
      <c r="A161" s="3" t="s">
        <v>1442</v>
      </c>
      <c r="B161" s="11" t="s">
        <v>302</v>
      </c>
      <c r="C161" s="53" t="n">
        <f aca="false">C137</f>
        <v>13.333</v>
      </c>
      <c r="D161" s="53"/>
      <c r="E161" s="53"/>
      <c r="F161" s="53"/>
      <c r="G161" s="53"/>
      <c r="I161" s="6" t="s">
        <v>1443</v>
      </c>
    </row>
    <row r="163" customFormat="false" ht="15" hidden="false" customHeight="false" outlineLevel="0" collapsed="false">
      <c r="A163" s="7" t="s">
        <v>1444</v>
      </c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1" collapsed="false">
      <c r="A164" s="14" t="s">
        <v>53</v>
      </c>
      <c r="B164" s="14" t="s">
        <v>54</v>
      </c>
      <c r="C164" s="14" t="s">
        <v>615</v>
      </c>
      <c r="I164" s="14" t="s">
        <v>1445</v>
      </c>
    </row>
    <row r="165" customFormat="false" ht="15" hidden="false" customHeight="false" outlineLevel="1" collapsed="false">
      <c r="A165" s="4" t="s">
        <v>1446</v>
      </c>
      <c r="B165" s="11" t="s">
        <v>59</v>
      </c>
      <c r="C165" s="64" t="n">
        <f aca="false">輸入與假設!$C$22</f>
        <v>29.552</v>
      </c>
      <c r="I165" s="6" t="s">
        <v>1447</v>
      </c>
    </row>
    <row r="166" customFormat="false" ht="15" hidden="false" customHeight="false" outlineLevel="1" collapsed="false">
      <c r="A166" s="4" t="s">
        <v>1448</v>
      </c>
      <c r="B166" s="11" t="s">
        <v>152</v>
      </c>
      <c r="C166" s="66" t="n">
        <f aca="false">$C$21</f>
        <v>2543</v>
      </c>
      <c r="I166" s="6" t="s">
        <v>1449</v>
      </c>
    </row>
    <row r="167" customFormat="false" ht="15" hidden="false" customHeight="false" outlineLevel="1" collapsed="false">
      <c r="A167" s="4" t="s">
        <v>1450</v>
      </c>
      <c r="B167" s="11" t="s">
        <v>152</v>
      </c>
      <c r="C167" s="66" t="n">
        <f aca="false">輸入與假設!$C$36</f>
        <v>3025</v>
      </c>
      <c r="I167" s="6" t="s">
        <v>1451</v>
      </c>
    </row>
    <row r="168" customFormat="false" ht="15" hidden="false" customHeight="false" outlineLevel="1" collapsed="false">
      <c r="A168" s="3" t="s">
        <v>1452</v>
      </c>
      <c r="B168" s="11" t="s">
        <v>42</v>
      </c>
      <c r="C168" s="65" t="n">
        <f aca="false">$C$167/$C$166</f>
        <v>1.18953991348801</v>
      </c>
      <c r="I168" s="6" t="s">
        <v>1453</v>
      </c>
    </row>
    <row r="169" customFormat="false" ht="15" hidden="false" customHeight="false" outlineLevel="1" collapsed="false">
      <c r="A169" s="4" t="s">
        <v>1454</v>
      </c>
      <c r="B169" s="11" t="s">
        <v>302</v>
      </c>
      <c r="C169" s="53" t="n">
        <f aca="false">$C$165/$C$166*1000</f>
        <v>11.620920173024</v>
      </c>
      <c r="I169" s="11" t="s">
        <v>1455</v>
      </c>
    </row>
    <row r="170" customFormat="false" ht="15" hidden="false" customHeight="false" outlineLevel="1" collapsed="false">
      <c r="A170" s="4" t="s">
        <v>1456</v>
      </c>
      <c r="B170" s="11" t="s">
        <v>302</v>
      </c>
      <c r="C170" s="53" t="n">
        <f aca="false">$C$165/$C$167*1000</f>
        <v>9.76925619834711</v>
      </c>
      <c r="I170" s="6" t="s">
        <v>1457</v>
      </c>
    </row>
    <row r="171" customFormat="false" ht="15" hidden="false" customHeight="false" outlineLevel="1" collapsed="false">
      <c r="A171" s="4" t="s">
        <v>1458</v>
      </c>
      <c r="B171" s="11" t="s">
        <v>59</v>
      </c>
      <c r="C171" s="25" t="n">
        <f aca="false">6.5*4</f>
        <v>26</v>
      </c>
      <c r="I171" s="11" t="s">
        <v>1459</v>
      </c>
    </row>
    <row r="172" customFormat="false" ht="15" hidden="false" customHeight="false" outlineLevel="1" collapsed="false">
      <c r="A172" s="4" t="s">
        <v>1460</v>
      </c>
      <c r="B172" s="11" t="s">
        <v>302</v>
      </c>
      <c r="C172" s="53" t="n">
        <f aca="false">$C$171/$C$166*1000</f>
        <v>10.2241447109713</v>
      </c>
      <c r="I172" s="6" t="s">
        <v>1461</v>
      </c>
    </row>
    <row r="173" customFormat="false" ht="15" hidden="false" customHeight="false" outlineLevel="1" collapsed="false">
      <c r="A173" s="3" t="s">
        <v>1462</v>
      </c>
      <c r="B173" s="11" t="s">
        <v>302</v>
      </c>
      <c r="C173" s="53" t="n">
        <f aca="false">$E$16*$C$16+$E$17*$C$17+$E$18*$C$18+$E$19*$C$19</f>
        <v>9.51771126903265</v>
      </c>
      <c r="I173" s="6" t="s">
        <v>1463</v>
      </c>
    </row>
    <row r="174" customFormat="false" ht="15" hidden="false" customHeight="false" outlineLevel="1" collapsed="false">
      <c r="A174" s="3" t="s">
        <v>1464</v>
      </c>
      <c r="B174" s="11" t="s">
        <v>302</v>
      </c>
      <c r="C174" s="53" t="n">
        <f aca="false">C119</f>
        <v>9.92105157312218</v>
      </c>
    </row>
    <row r="175" customFormat="false" ht="15" hidden="false" customHeight="false" outlineLevel="1" collapsed="false">
      <c r="A175" s="3" t="s">
        <v>1465</v>
      </c>
      <c r="B175" s="6" t="s">
        <v>1242</v>
      </c>
      <c r="C175" s="53" t="n">
        <f aca="false">C120</f>
        <v>0.984725833898784</v>
      </c>
    </row>
    <row r="176" customFormat="false" ht="15" hidden="false" customHeight="false" outlineLevel="1" collapsed="false">
      <c r="A176" s="2" t="s">
        <v>1466</v>
      </c>
      <c r="B176" s="11" t="s">
        <v>302</v>
      </c>
      <c r="C176" s="54" t="n">
        <f aca="false">C121</f>
        <v>9.76951578349558</v>
      </c>
    </row>
    <row r="177" customFormat="false" ht="15" hidden="false" customHeight="false" outlineLevel="1" collapsed="false">
      <c r="A177" s="4" t="s">
        <v>1467</v>
      </c>
      <c r="B177" s="6" t="s">
        <v>1242</v>
      </c>
      <c r="C177" s="53" t="n">
        <f aca="false">$C$169/$C$173</f>
        <v>1.22097843111027</v>
      </c>
      <c r="I177" s="6" t="s">
        <v>1468</v>
      </c>
    </row>
    <row r="178" customFormat="false" ht="15" hidden="false" customHeight="false" outlineLevel="1" collapsed="false">
      <c r="A178" s="4" t="s">
        <v>1469</v>
      </c>
      <c r="B178" s="6" t="s">
        <v>1242</v>
      </c>
      <c r="C178" s="53" t="n">
        <f aca="false">C11</f>
        <v>1.22476850550185</v>
      </c>
      <c r="I178" s="11" t="s">
        <v>1470</v>
      </c>
    </row>
    <row r="179" customFormat="false" ht="15" hidden="false" customHeight="false" outlineLevel="1" collapsed="false">
      <c r="A179" s="4" t="s">
        <v>1471</v>
      </c>
      <c r="B179" s="6" t="s">
        <v>1242</v>
      </c>
      <c r="C179" s="53" t="n">
        <f aca="false">D11</f>
        <v>1.46972220660223</v>
      </c>
    </row>
    <row r="180" customFormat="false" ht="15" hidden="false" customHeight="false" outlineLevel="1" collapsed="false">
      <c r="A180" s="2" t="s">
        <v>1472</v>
      </c>
      <c r="B180" s="11" t="s">
        <v>302</v>
      </c>
      <c r="C180" s="54" t="n">
        <f aca="false">$C$169-$C$176</f>
        <v>1.85140438952841</v>
      </c>
    </row>
    <row r="181" customFormat="false" ht="15" hidden="false" customHeight="false" outlineLevel="1" collapsed="false">
      <c r="A181" s="3" t="s">
        <v>1473</v>
      </c>
      <c r="B181" s="11" t="s">
        <v>42</v>
      </c>
      <c r="C181" s="65" t="n">
        <f aca="false">$C$180/$C$176</f>
        <v>0.189508306302768</v>
      </c>
      <c r="I181" s="11" t="s">
        <v>1474</v>
      </c>
    </row>
    <row r="182" customFormat="false" ht="15" hidden="false" customHeight="false" outlineLevel="1" collapsed="false"/>
    <row r="183" customFormat="false" ht="17.15" hidden="false" customHeight="false" outlineLevel="1" collapsed="false">
      <c r="A183" s="14" t="s">
        <v>1475</v>
      </c>
      <c r="B183" s="14" t="s">
        <v>54</v>
      </c>
      <c r="C183" s="14" t="s">
        <v>1476</v>
      </c>
      <c r="D183" s="14" t="s">
        <v>1477</v>
      </c>
      <c r="E183" s="14" t="s">
        <v>1478</v>
      </c>
      <c r="F183" s="14" t="s">
        <v>1479</v>
      </c>
      <c r="I183" s="14" t="s">
        <v>1445</v>
      </c>
    </row>
    <row r="184" customFormat="false" ht="15" hidden="false" customHeight="false" outlineLevel="1" collapsed="false">
      <c r="A184" s="3" t="s">
        <v>1480</v>
      </c>
      <c r="B184" s="11" t="s">
        <v>42</v>
      </c>
      <c r="C184" s="24" t="n">
        <v>0</v>
      </c>
      <c r="D184" s="24" t="n">
        <v>0.12</v>
      </c>
      <c r="E184" s="24" t="n">
        <v>0.2</v>
      </c>
      <c r="F184" s="24" t="n">
        <v>0.3</v>
      </c>
      <c r="I184" s="6" t="s">
        <v>1481</v>
      </c>
    </row>
    <row r="185" customFormat="false" ht="15" hidden="false" customHeight="false" outlineLevel="1" collapsed="false">
      <c r="A185" s="3" t="s">
        <v>1482</v>
      </c>
      <c r="B185" s="11" t="s">
        <v>302</v>
      </c>
      <c r="C185" s="53" t="n">
        <f aca="false">$C$176</f>
        <v>9.76951578349558</v>
      </c>
      <c r="D185" s="53" t="n">
        <f aca="false">$C$176</f>
        <v>9.76951578349558</v>
      </c>
      <c r="E185" s="53" t="n">
        <f aca="false">$C$176</f>
        <v>9.76951578349558</v>
      </c>
      <c r="F185" s="53" t="n">
        <f aca="false">$C$176</f>
        <v>9.76951578349558</v>
      </c>
    </row>
    <row r="186" customFormat="false" ht="15" hidden="false" customHeight="false" outlineLevel="1" collapsed="false">
      <c r="A186" s="4" t="s">
        <v>1483</v>
      </c>
      <c r="B186" s="11" t="s">
        <v>302</v>
      </c>
      <c r="C186" s="53" t="n">
        <f aca="false">($C$173-$C$174)*$C$175</f>
        <v>-0.39717961728955</v>
      </c>
      <c r="D186" s="53" t="n">
        <f aca="false">($C$173-$C$174)*$C$175</f>
        <v>-0.39717961728955</v>
      </c>
      <c r="E186" s="53" t="n">
        <f aca="false">($C$173-$C$174)*$C$175</f>
        <v>-0.39717961728955</v>
      </c>
      <c r="F186" s="53" t="n">
        <f aca="false">($C$173-$C$174)*$C$175</f>
        <v>-0.39717961728955</v>
      </c>
      <c r="I186" s="6" t="s">
        <v>1484</v>
      </c>
    </row>
    <row r="187" customFormat="false" ht="15" hidden="false" customHeight="false" outlineLevel="1" collapsed="false">
      <c r="A187" s="4" t="s">
        <v>1485</v>
      </c>
      <c r="B187" s="11" t="s">
        <v>302</v>
      </c>
      <c r="C187" s="53" t="n">
        <f aca="false">($C$178-$C$175)*$C$173</f>
        <v>2.28465684056525</v>
      </c>
      <c r="D187" s="53" t="n">
        <f aca="false">($C$178-$C$175)*$C$173</f>
        <v>2.28465684056525</v>
      </c>
      <c r="E187" s="53" t="n">
        <f aca="false">($C$178-$C$175)*$C$173</f>
        <v>2.28465684056525</v>
      </c>
      <c r="F187" s="53" t="n">
        <f aca="false">($C$178-$C$175)*$C$173</f>
        <v>2.28465684056525</v>
      </c>
      <c r="I187" s="6" t="s">
        <v>1486</v>
      </c>
    </row>
    <row r="188" customFormat="false" ht="15" hidden="false" customHeight="false" outlineLevel="1" collapsed="false">
      <c r="A188" s="3" t="s">
        <v>1487</v>
      </c>
      <c r="B188" s="11" t="s">
        <v>302</v>
      </c>
      <c r="C188" s="53" t="n">
        <f aca="false">C185+C186+C187</f>
        <v>11.6569930067713</v>
      </c>
      <c r="D188" s="53" t="n">
        <f aca="false">D185+D186+D187</f>
        <v>11.6569930067713</v>
      </c>
      <c r="E188" s="53" t="n">
        <f aca="false">E185+E186+E187</f>
        <v>11.6569930067713</v>
      </c>
      <c r="F188" s="53" t="n">
        <f aca="false">F185+F186+F187</f>
        <v>11.6569930067713</v>
      </c>
      <c r="I188" s="6" t="s">
        <v>1488</v>
      </c>
    </row>
    <row r="189" customFormat="false" ht="15" hidden="false" customHeight="false" outlineLevel="1" collapsed="false">
      <c r="A189" s="4" t="s">
        <v>1489</v>
      </c>
      <c r="B189" s="11" t="s">
        <v>302</v>
      </c>
      <c r="C189" s="53" t="n">
        <f aca="false">$C$169*(1-C184)-C188</f>
        <v>-0.0360728337472889</v>
      </c>
      <c r="D189" s="53" t="n">
        <f aca="false">$C$169*(1-D184)-D188</f>
        <v>-1.43058325451017</v>
      </c>
      <c r="E189" s="53" t="n">
        <f aca="false">$C$169*(1-E184)-E188</f>
        <v>-2.36025686835209</v>
      </c>
      <c r="F189" s="53" t="n">
        <f aca="false">$C$169*(1-F184)-F188</f>
        <v>-3.52234888565449</v>
      </c>
      <c r="I189" s="6" t="s">
        <v>1490</v>
      </c>
    </row>
    <row r="190" customFormat="false" ht="15" hidden="false" customHeight="false" outlineLevel="1" collapsed="false">
      <c r="A190" s="4" t="s">
        <v>1491</v>
      </c>
      <c r="B190" s="11" t="s">
        <v>302</v>
      </c>
      <c r="C190" s="53" t="n">
        <f aca="false">$C$169*C184</f>
        <v>0</v>
      </c>
      <c r="D190" s="53" t="n">
        <f aca="false">$C$169*D184</f>
        <v>1.39451042076288</v>
      </c>
      <c r="E190" s="53" t="n">
        <f aca="false">$C$169*E184</f>
        <v>2.3241840346048</v>
      </c>
      <c r="F190" s="53" t="n">
        <f aca="false">$C$169*F184</f>
        <v>3.4862760519072</v>
      </c>
      <c r="I190" s="6" t="s">
        <v>1492</v>
      </c>
    </row>
    <row r="191" customFormat="false" ht="15" hidden="false" customHeight="false" outlineLevel="1" collapsed="false">
      <c r="A191" s="2" t="s">
        <v>1493</v>
      </c>
      <c r="B191" s="11" t="s">
        <v>302</v>
      </c>
      <c r="C191" s="54" t="n">
        <f aca="false">C188+C189+C190</f>
        <v>11.620920173024</v>
      </c>
      <c r="D191" s="54" t="n">
        <f aca="false">D188+D189+D190</f>
        <v>11.620920173024</v>
      </c>
      <c r="E191" s="54" t="n">
        <f aca="false">E188+E189+E190</f>
        <v>11.620920173024</v>
      </c>
      <c r="F191" s="54" t="n">
        <f aca="false">F188+F189+F190</f>
        <v>11.620920173024</v>
      </c>
    </row>
    <row r="192" customFormat="false" ht="15" hidden="false" customHeight="false" outlineLevel="1" collapsed="false">
      <c r="A192" s="3" t="s">
        <v>1494</v>
      </c>
      <c r="B192" s="11" t="s">
        <v>302</v>
      </c>
      <c r="C192" s="80" t="n">
        <f aca="false">C191-$C$169</f>
        <v>0</v>
      </c>
      <c r="D192" s="80" t="n">
        <f aca="false">D191-$C$169</f>
        <v>0</v>
      </c>
      <c r="E192" s="80" t="n">
        <f aca="false">E191-$C$169</f>
        <v>0</v>
      </c>
      <c r="F192" s="80" t="n">
        <f aca="false">F191-$C$169</f>
        <v>0</v>
      </c>
      <c r="I192" s="6" t="s">
        <v>1495</v>
      </c>
    </row>
    <row r="193" customFormat="false" ht="15" hidden="false" customHeight="false" outlineLevel="1" collapsed="false">
      <c r="A193" s="3" t="s">
        <v>1496</v>
      </c>
      <c r="B193" s="11" t="s">
        <v>42</v>
      </c>
      <c r="C193" s="65" t="n">
        <f aca="false">$C$169*(1-C184)/C188</f>
        <v>0.996905476933345</v>
      </c>
      <c r="D193" s="65" t="n">
        <f aca="false">$C$169*(1-D184)/D188</f>
        <v>0.877276819701344</v>
      </c>
      <c r="E193" s="65" t="n">
        <f aca="false">$C$169*(1-E184)/E188</f>
        <v>0.797524381546676</v>
      </c>
      <c r="F193" s="65" t="n">
        <f aca="false">$C$169*(1-F184)/F188</f>
        <v>0.697833833853342</v>
      </c>
      <c r="I193" s="6" t="s">
        <v>1497</v>
      </c>
    </row>
    <row r="194" customFormat="false" ht="15" hidden="false" customHeight="false" outlineLevel="1" collapsed="false">
      <c r="A194" s="3" t="s">
        <v>1498</v>
      </c>
      <c r="B194" s="11" t="s">
        <v>152</v>
      </c>
      <c r="C194" s="66" t="n">
        <f aca="false">C193*$C$166</f>
        <v>2535.1306278415</v>
      </c>
      <c r="D194" s="66" t="n">
        <f aca="false">D193*$C$166</f>
        <v>2230.91495250052</v>
      </c>
      <c r="E194" s="66" t="n">
        <f aca="false">E193*$C$166</f>
        <v>2028.1045022732</v>
      </c>
      <c r="F194" s="66" t="n">
        <f aca="false">F193*$C$166</f>
        <v>1774.59143948905</v>
      </c>
    </row>
    <row r="195" customFormat="false" ht="15" hidden="false" customHeight="false" outlineLevel="1" collapsed="false">
      <c r="A195" s="3" t="s">
        <v>1499</v>
      </c>
      <c r="B195" s="11" t="s">
        <v>42</v>
      </c>
      <c r="C195" s="65" t="n">
        <f aca="false">$C$169*(1-C184)/($C$173*$C$175)</f>
        <v>1.23991713132588</v>
      </c>
      <c r="D195" s="65" t="n">
        <f aca="false">$C$169*(1-D184)/($C$173*$C$175)</f>
        <v>1.09112707556678</v>
      </c>
      <c r="E195" s="65" t="n">
        <f aca="false">$C$169*(1-E184)/($C$173*$C$175)</f>
        <v>0.991933705060705</v>
      </c>
      <c r="F195" s="65" t="n">
        <f aca="false">$C$169*(1-F184)/($C$173*$C$175)</f>
        <v>0.867941991928117</v>
      </c>
      <c r="I195" s="6" t="s">
        <v>1500</v>
      </c>
    </row>
    <row r="196" customFormat="false" ht="15" hidden="false" customHeight="false" outlineLevel="1" collapsed="false">
      <c r="A196" s="3" t="s">
        <v>1501</v>
      </c>
      <c r="B196" s="11" t="s">
        <v>42</v>
      </c>
      <c r="C196" s="65" t="n">
        <f aca="false">$C$169*(1-C184)/($C$173*$C$179)</f>
        <v>0.830754564111121</v>
      </c>
      <c r="D196" s="65" t="n">
        <f aca="false">$C$169*(1-D184)/($C$173*$C$179)</f>
        <v>0.731064016417786</v>
      </c>
      <c r="E196" s="65" t="n">
        <f aca="false">$C$169*(1-E184)/($C$173*$C$179)</f>
        <v>0.664603651288897</v>
      </c>
      <c r="F196" s="65" t="n">
        <f aca="false">$C$169*(1-F184)/($C$173*$C$179)</f>
        <v>0.581528194877785</v>
      </c>
    </row>
    <row r="197" customFormat="false" ht="15" hidden="false" customHeight="false" outlineLevel="1" collapsed="false">
      <c r="A197" s="3" t="s">
        <v>1502</v>
      </c>
      <c r="B197" s="11" t="s">
        <v>42</v>
      </c>
      <c r="C197" s="58" t="n">
        <f aca="false">MAX(0,1-$C$173*$C$175/$C$169)</f>
        <v>0.193494488675489</v>
      </c>
      <c r="I197" s="6" t="s">
        <v>1503</v>
      </c>
    </row>
    <row r="198" customFormat="false" ht="15" hidden="false" customHeight="false" outlineLevel="1" collapsed="false">
      <c r="A198" s="2" t="s">
        <v>1504</v>
      </c>
      <c r="I198" s="6" t="s">
        <v>1505</v>
      </c>
    </row>
    <row r="200" customFormat="false" ht="15" hidden="false" customHeight="false" outlineLevel="0" collapsed="false">
      <c r="A200" s="7" t="s">
        <v>1506</v>
      </c>
      <c r="B200" s="8"/>
      <c r="C200" s="8"/>
      <c r="D200" s="8"/>
      <c r="E200" s="8"/>
      <c r="F200" s="8"/>
      <c r="G200" s="8"/>
      <c r="H200" s="8"/>
    </row>
    <row r="201" customFormat="false" ht="15" hidden="false" customHeight="false" outlineLevel="1" collapsed="false">
      <c r="A201" s="14" t="s">
        <v>1507</v>
      </c>
      <c r="B201" s="14" t="s">
        <v>54</v>
      </c>
      <c r="C201" s="14" t="s">
        <v>1508</v>
      </c>
      <c r="D201" s="14" t="s">
        <v>1509</v>
      </c>
      <c r="E201" s="14" t="s">
        <v>1510</v>
      </c>
      <c r="I201" s="14" t="s">
        <v>724</v>
      </c>
    </row>
    <row r="202" customFormat="false" ht="15" hidden="false" customHeight="false" outlineLevel="1" collapsed="false">
      <c r="A202" s="3" t="s">
        <v>1511</v>
      </c>
      <c r="B202" s="11" t="s">
        <v>39</v>
      </c>
      <c r="C202" s="52" t="n">
        <v>68.550954</v>
      </c>
      <c r="D202" s="52" t="n">
        <v>76.559821</v>
      </c>
      <c r="E202" s="52" t="n">
        <v>105.583361</v>
      </c>
      <c r="I202" s="6" t="s">
        <v>1512</v>
      </c>
    </row>
    <row r="203" customFormat="false" ht="15" hidden="false" customHeight="false" outlineLevel="1" collapsed="false">
      <c r="A203" s="3" t="s">
        <v>1513</v>
      </c>
      <c r="B203" s="11" t="s">
        <v>39</v>
      </c>
      <c r="C203" s="52" t="n">
        <v>75.060507</v>
      </c>
      <c r="D203" s="52" t="n">
        <v>83.275912</v>
      </c>
      <c r="E203" s="52" t="n">
        <v>126.393663</v>
      </c>
    </row>
    <row r="204" customFormat="false" ht="15" hidden="false" customHeight="false" outlineLevel="1" collapsed="false">
      <c r="A204" s="3" t="s">
        <v>1514</v>
      </c>
      <c r="B204" s="11" t="s">
        <v>39</v>
      </c>
      <c r="C204" s="52" t="n">
        <v>80.271354</v>
      </c>
      <c r="D204" s="52" t="n">
        <v>90.883666</v>
      </c>
      <c r="E204" s="52" t="n">
        <v>137.79216</v>
      </c>
    </row>
    <row r="205" customFormat="false" ht="15" hidden="false" customHeight="false" outlineLevel="1" collapsed="false">
      <c r="A205" s="3" t="s">
        <v>1515</v>
      </c>
      <c r="B205" s="11" t="s">
        <v>59</v>
      </c>
      <c r="C205" s="64" t="n">
        <v>0</v>
      </c>
      <c r="D205" s="64" t="n">
        <v>0</v>
      </c>
      <c r="E205" s="64" t="n">
        <v>0</v>
      </c>
    </row>
    <row r="206" customFormat="false" ht="15" hidden="false" customHeight="false" outlineLevel="1" collapsed="false">
      <c r="A206" s="3" t="s">
        <v>1516</v>
      </c>
      <c r="B206" s="11" t="s">
        <v>59</v>
      </c>
      <c r="C206" s="64" t="n">
        <v>0</v>
      </c>
      <c r="D206" s="64" t="n">
        <v>0</v>
      </c>
      <c r="E206" s="64" t="n">
        <v>0</v>
      </c>
    </row>
    <row r="207" customFormat="false" ht="15" hidden="false" customHeight="false" outlineLevel="1" collapsed="false">
      <c r="A207" s="3" t="s">
        <v>1517</v>
      </c>
      <c r="B207" s="11" t="s">
        <v>59</v>
      </c>
      <c r="C207" s="64" t="n">
        <v>0</v>
      </c>
      <c r="D207" s="64" t="n">
        <v>0</v>
      </c>
      <c r="E207" s="64" t="n">
        <v>0</v>
      </c>
    </row>
    <row r="208" customFormat="false" ht="15" hidden="false" customHeight="false" outlineLevel="1" collapsed="false">
      <c r="A208" s="3" t="s">
        <v>1518</v>
      </c>
      <c r="B208" s="11" t="s">
        <v>59</v>
      </c>
      <c r="C208" s="64" t="n">
        <v>3.674649</v>
      </c>
      <c r="D208" s="64" t="n">
        <v>0</v>
      </c>
      <c r="E208" s="64" t="n">
        <v>0</v>
      </c>
    </row>
    <row r="209" customFormat="false" ht="15" hidden="false" customHeight="false" outlineLevel="1" collapsed="false">
      <c r="A209" s="3" t="s">
        <v>1519</v>
      </c>
      <c r="B209" s="11" t="s">
        <v>59</v>
      </c>
      <c r="C209" s="64" t="n">
        <v>36.150491</v>
      </c>
      <c r="D209" s="64" t="n">
        <v>19.754853</v>
      </c>
      <c r="E209" s="64" t="n">
        <v>0</v>
      </c>
    </row>
    <row r="210" customFormat="false" ht="15" hidden="false" customHeight="false" outlineLevel="1" collapsed="false">
      <c r="A210" s="3" t="s">
        <v>1520</v>
      </c>
      <c r="B210" s="11" t="s">
        <v>59</v>
      </c>
      <c r="C210" s="64" t="n">
        <v>25.274584</v>
      </c>
      <c r="D210" s="64" t="n">
        <v>7.21198</v>
      </c>
      <c r="E210" s="64" t="n">
        <v>0</v>
      </c>
    </row>
    <row r="211" customFormat="false" ht="15" hidden="false" customHeight="false" outlineLevel="1" collapsed="false">
      <c r="A211" s="3" t="s">
        <v>1521</v>
      </c>
      <c r="B211" s="6" t="s">
        <v>1242</v>
      </c>
      <c r="C211" s="76" t="n">
        <v>4.524727</v>
      </c>
      <c r="D211" s="76" t="n">
        <v>4.294382</v>
      </c>
      <c r="E211" s="76" t="n">
        <v>3.618752</v>
      </c>
    </row>
    <row r="212" customFormat="false" ht="15" hidden="false" customHeight="false" outlineLevel="1" collapsed="false">
      <c r="A212" s="3" t="s">
        <v>1522</v>
      </c>
      <c r="B212" s="6" t="s">
        <v>1242</v>
      </c>
      <c r="C212" s="76" t="n">
        <v>4.391102</v>
      </c>
      <c r="D212" s="76" t="n">
        <v>4.180491</v>
      </c>
      <c r="E212" s="76" t="n">
        <v>3.537495</v>
      </c>
    </row>
    <row r="213" customFormat="false" ht="15" hidden="false" customHeight="false" outlineLevel="1" collapsed="false">
      <c r="A213" s="3" t="s">
        <v>1523</v>
      </c>
      <c r="B213" s="6" t="s">
        <v>1242</v>
      </c>
      <c r="C213" s="76" t="n">
        <v>4.236733</v>
      </c>
      <c r="D213" s="76" t="n">
        <v>3.987079</v>
      </c>
      <c r="E213" s="76" t="n">
        <v>3.49077</v>
      </c>
    </row>
    <row r="214" customFormat="false" ht="15" hidden="false" customHeight="false" outlineLevel="1" collapsed="false">
      <c r="A214" s="3" t="s">
        <v>1524</v>
      </c>
      <c r="B214" s="11" t="s">
        <v>1525</v>
      </c>
      <c r="C214" s="53" t="n">
        <v>0</v>
      </c>
      <c r="D214" s="53" t="n">
        <v>0</v>
      </c>
      <c r="E214" s="53" t="n">
        <v>0</v>
      </c>
    </row>
    <row r="215" customFormat="false" ht="15" hidden="false" customHeight="false" outlineLevel="1" collapsed="false">
      <c r="A215" s="3" t="s">
        <v>1526</v>
      </c>
      <c r="B215" s="11" t="s">
        <v>1525</v>
      </c>
      <c r="C215" s="53" t="n">
        <v>0</v>
      </c>
      <c r="D215" s="53" t="n">
        <v>0</v>
      </c>
      <c r="E215" s="53" t="n">
        <v>0</v>
      </c>
    </row>
    <row r="216" customFormat="false" ht="15" hidden="false" customHeight="false" outlineLevel="1" collapsed="false">
      <c r="A216" s="3" t="s">
        <v>1527</v>
      </c>
      <c r="B216" s="11" t="s">
        <v>1525</v>
      </c>
      <c r="C216" s="53" t="n">
        <v>0</v>
      </c>
      <c r="D216" s="53" t="n">
        <v>0</v>
      </c>
      <c r="E216" s="53" t="n">
        <v>0</v>
      </c>
    </row>
    <row r="217" customFormat="false" ht="15" hidden="false" customHeight="false" outlineLevel="1" collapsed="false">
      <c r="A217" s="2" t="s">
        <v>1528</v>
      </c>
      <c r="B217" s="11" t="s">
        <v>39</v>
      </c>
      <c r="C217" s="81" t="n">
        <f aca="false">INDEX(C202:E204,輸入與假設!$C$5,輸入與假設!$F$5)-評價_DCF與目標價!C51</f>
        <v>4.1423659524753E-007</v>
      </c>
      <c r="D217" s="2" t="str">
        <f aca="false">IF(ABS(C217)&lt;0.01,"通過","快照已過期")</f>
        <v>通過</v>
      </c>
      <c r="I217" s="6" t="s">
        <v>1529</v>
      </c>
    </row>
    <row r="219" customFormat="false" ht="15" hidden="false" customHeight="false" outlineLevel="0" collapsed="false">
      <c r="A219" s="7" t="s">
        <v>1530</v>
      </c>
      <c r="B219" s="8"/>
      <c r="C219" s="8"/>
      <c r="D219" s="8"/>
      <c r="E219" s="8"/>
      <c r="F219" s="8"/>
      <c r="G219" s="8"/>
      <c r="H219" s="8"/>
    </row>
    <row r="220" customFormat="false" ht="15" hidden="false" customHeight="false" outlineLevel="1" collapsed="false">
      <c r="A220" s="14" t="s">
        <v>1531</v>
      </c>
      <c r="B220" s="14" t="s">
        <v>54</v>
      </c>
      <c r="C220" s="14" t="s">
        <v>1532</v>
      </c>
      <c r="D220" s="14" t="s">
        <v>1238</v>
      </c>
      <c r="E220" s="14" t="s">
        <v>1533</v>
      </c>
    </row>
    <row r="221" customFormat="false" ht="15" hidden="false" customHeight="false" outlineLevel="1" collapsed="false">
      <c r="A221" s="2" t="s">
        <v>1534</v>
      </c>
      <c r="B221" s="11" t="s">
        <v>39</v>
      </c>
      <c r="C221" s="82" t="n">
        <v>76.559821</v>
      </c>
      <c r="D221" s="82" t="n">
        <v>83.275912</v>
      </c>
      <c r="E221" s="82" t="n">
        <v>90.883666</v>
      </c>
    </row>
    <row r="222" customFormat="false" ht="15" hidden="false" customHeight="false" outlineLevel="1" collapsed="false">
      <c r="A222" s="3" t="s">
        <v>1535</v>
      </c>
      <c r="B222" s="11" t="s">
        <v>39</v>
      </c>
      <c r="C222" s="82" t="n">
        <v>69.450389</v>
      </c>
      <c r="D222" s="82" t="n">
        <v>75.645891</v>
      </c>
      <c r="E222" s="82" t="n">
        <v>80.947727</v>
      </c>
    </row>
    <row r="223" customFormat="false" ht="15" hidden="false" customHeight="false" outlineLevel="1" collapsed="false">
      <c r="A223" s="3" t="s">
        <v>1536</v>
      </c>
      <c r="B223" s="11" t="s">
        <v>39</v>
      </c>
      <c r="C223" s="82" t="n">
        <v>85.08072</v>
      </c>
      <c r="D223" s="82" t="n">
        <v>95.916037</v>
      </c>
      <c r="E223" s="82" t="n">
        <v>104.634858</v>
      </c>
    </row>
    <row r="224" customFormat="false" ht="15" hidden="false" customHeight="false" outlineLevel="1" collapsed="false">
      <c r="A224" s="3" t="s">
        <v>1537</v>
      </c>
      <c r="B224" s="11" t="s">
        <v>39</v>
      </c>
      <c r="C224" s="82" t="n">
        <v>88.275687</v>
      </c>
      <c r="D224" s="82" t="n">
        <v>100.67245</v>
      </c>
      <c r="E224" s="82" t="n">
        <v>109.810483</v>
      </c>
    </row>
    <row r="225" customFormat="false" ht="15" hidden="false" customHeight="false" outlineLevel="1" collapsed="false">
      <c r="A225" s="3" t="s">
        <v>1538</v>
      </c>
      <c r="B225" s="11" t="s">
        <v>39</v>
      </c>
      <c r="C225" s="82" t="n">
        <v>102.629788</v>
      </c>
      <c r="D225" s="82" t="n">
        <v>121.992848</v>
      </c>
      <c r="E225" s="82" t="n">
        <v>133.005154</v>
      </c>
    </row>
    <row r="226" customFormat="false" ht="15" hidden="false" customHeight="false" outlineLevel="1" collapsed="false">
      <c r="A226" s="3" t="s">
        <v>1539</v>
      </c>
      <c r="B226" s="11" t="s">
        <v>39</v>
      </c>
      <c r="C226" s="82" t="n">
        <v>121.699013</v>
      </c>
      <c r="D226" s="82" t="n">
        <v>150.404724</v>
      </c>
      <c r="E226" s="82" t="n">
        <v>163.914878</v>
      </c>
    </row>
    <row r="227" customFormat="false" ht="15" hidden="false" customHeight="false" outlineLevel="1" collapsed="false">
      <c r="A227" s="3" t="s">
        <v>1540</v>
      </c>
      <c r="B227" s="11" t="s">
        <v>39</v>
      </c>
      <c r="C227" s="82" t="n">
        <v>74.24202</v>
      </c>
      <c r="D227" s="82" t="n">
        <v>79.826564</v>
      </c>
      <c r="E227" s="82" t="n">
        <v>87.131355</v>
      </c>
    </row>
    <row r="228" customFormat="false" ht="15" hidden="false" customHeight="false" outlineLevel="1" collapsed="false">
      <c r="A228" s="3" t="s">
        <v>1541</v>
      </c>
      <c r="B228" s="11" t="s">
        <v>39</v>
      </c>
      <c r="C228" s="82" t="n">
        <v>83.891371</v>
      </c>
      <c r="D228" s="82" t="n">
        <v>94.15953</v>
      </c>
      <c r="E228" s="82" t="n">
        <v>102.724821</v>
      </c>
    </row>
    <row r="229" customFormat="false" ht="15" hidden="false" customHeight="false" outlineLevel="1" collapsed="false">
      <c r="A229" s="3" t="s">
        <v>1542</v>
      </c>
      <c r="B229" s="11" t="s">
        <v>39</v>
      </c>
      <c r="C229" s="82" t="n">
        <v>68.429581</v>
      </c>
      <c r="D229" s="82" t="n">
        <v>74.980336</v>
      </c>
      <c r="E229" s="82" t="n">
        <v>80.178646</v>
      </c>
    </row>
    <row r="230" customFormat="false" ht="15" hidden="false" customHeight="false" outlineLevel="1" collapsed="false">
      <c r="A230" s="3" t="s">
        <v>1543</v>
      </c>
      <c r="B230" s="11" t="s">
        <v>39</v>
      </c>
      <c r="C230" s="82" t="n">
        <v>84.697838</v>
      </c>
      <c r="D230" s="82" t="n">
        <v>95.349334</v>
      </c>
      <c r="E230" s="82" t="n">
        <v>104.019091</v>
      </c>
    </row>
    <row r="231" customFormat="false" ht="15" hidden="false" customHeight="false" outlineLevel="1" collapsed="false">
      <c r="A231" s="3" t="s">
        <v>1544</v>
      </c>
      <c r="B231" s="11" t="s">
        <v>39</v>
      </c>
      <c r="C231" s="82" t="n">
        <v>82.955363</v>
      </c>
      <c r="D231" s="82" t="n">
        <v>94.463516</v>
      </c>
      <c r="E231" s="82" t="n">
        <v>103.453769</v>
      </c>
    </row>
    <row r="232" customFormat="false" ht="15" hidden="false" customHeight="false" outlineLevel="1" collapsed="false">
      <c r="A232" s="3" t="s">
        <v>1545</v>
      </c>
      <c r="B232" s="11" t="s">
        <v>39</v>
      </c>
      <c r="C232" s="82" t="n">
        <v>70.37803</v>
      </c>
      <c r="D232" s="82" t="n">
        <v>73.996524</v>
      </c>
      <c r="E232" s="82" t="n">
        <v>79.998542</v>
      </c>
    </row>
    <row r="233" customFormat="false" ht="15" hidden="false" customHeight="false" outlineLevel="1" collapsed="false">
      <c r="A233" s="3" t="s">
        <v>1546</v>
      </c>
      <c r="B233" s="11" t="s">
        <v>39</v>
      </c>
      <c r="C233" s="82" t="n">
        <v>75.995116</v>
      </c>
      <c r="D233" s="82" t="n">
        <v>82.823446</v>
      </c>
      <c r="E233" s="82" t="n">
        <v>90.556428</v>
      </c>
    </row>
    <row r="234" customFormat="false" ht="15" hidden="false" customHeight="false" outlineLevel="1" collapsed="false">
      <c r="A234" s="3" t="s">
        <v>1547</v>
      </c>
      <c r="B234" s="11" t="s">
        <v>39</v>
      </c>
      <c r="C234" s="82" t="n">
        <v>77.121104</v>
      </c>
      <c r="D234" s="82" t="n">
        <v>83.725635</v>
      </c>
      <c r="E234" s="82" t="n">
        <v>91.208921</v>
      </c>
    </row>
    <row r="235" customFormat="false" ht="15" hidden="false" customHeight="false" outlineLevel="1" collapsed="false">
      <c r="A235" s="3" t="s">
        <v>1548</v>
      </c>
      <c r="B235" s="11" t="s">
        <v>39</v>
      </c>
      <c r="C235" s="82" t="n">
        <v>71.999914</v>
      </c>
      <c r="D235" s="82" t="n">
        <v>76.394116</v>
      </c>
      <c r="E235" s="82" t="n">
        <v>81.50888</v>
      </c>
    </row>
    <row r="236" customFormat="false" ht="15" hidden="false" customHeight="false" outlineLevel="1" collapsed="false">
      <c r="A236" s="3" t="s">
        <v>1549</v>
      </c>
      <c r="B236" s="11" t="s">
        <v>39</v>
      </c>
      <c r="C236" s="82" t="n">
        <v>81.124963</v>
      </c>
      <c r="D236" s="82" t="n">
        <v>92.260097</v>
      </c>
      <c r="E236" s="82" t="n">
        <v>100.938442</v>
      </c>
    </row>
    <row r="237" customFormat="false" ht="15" hidden="false" customHeight="false" outlineLevel="1" collapsed="false">
      <c r="A237" s="3" t="s">
        <v>1550</v>
      </c>
      <c r="B237" s="11" t="s">
        <v>39</v>
      </c>
      <c r="C237" s="82" t="n">
        <v>74.332178</v>
      </c>
      <c r="D237" s="82" t="n">
        <v>81.308907</v>
      </c>
      <c r="E237" s="82" t="n">
        <v>89.232032</v>
      </c>
    </row>
    <row r="238" customFormat="false" ht="15" hidden="false" customHeight="false" outlineLevel="1" collapsed="false">
      <c r="A238" s="3" t="s">
        <v>1551</v>
      </c>
      <c r="B238" s="11" t="s">
        <v>39</v>
      </c>
      <c r="C238" s="82" t="n">
        <v>72.838587</v>
      </c>
      <c r="D238" s="82" t="n">
        <v>80.001711</v>
      </c>
      <c r="E238" s="82" t="n">
        <v>88.135313</v>
      </c>
    </row>
    <row r="239" customFormat="false" ht="15" hidden="false" customHeight="false" outlineLevel="1" collapsed="false">
      <c r="A239" s="3" t="s">
        <v>1552</v>
      </c>
      <c r="B239" s="11" t="s">
        <v>39</v>
      </c>
      <c r="C239" s="82" t="n">
        <v>71.339459</v>
      </c>
      <c r="D239" s="82" t="n">
        <v>78.620446</v>
      </c>
      <c r="E239" s="82" t="n">
        <v>86.765114</v>
      </c>
    </row>
    <row r="240" customFormat="false" ht="15" hidden="false" customHeight="false" outlineLevel="1" collapsed="false"/>
    <row r="241" customFormat="false" ht="15" hidden="false" customHeight="false" outlineLevel="1" collapsed="false">
      <c r="A241" s="14" t="s">
        <v>1553</v>
      </c>
      <c r="B241" s="14" t="s">
        <v>54</v>
      </c>
      <c r="C241" s="14" t="s">
        <v>1532</v>
      </c>
      <c r="D241" s="14" t="s">
        <v>1238</v>
      </c>
      <c r="E241" s="14" t="s">
        <v>1533</v>
      </c>
    </row>
    <row r="242" customFormat="false" ht="15" hidden="false" customHeight="false" outlineLevel="1" collapsed="false">
      <c r="A242" s="2" t="s">
        <v>1554</v>
      </c>
      <c r="B242" s="11" t="s">
        <v>59</v>
      </c>
      <c r="C242" s="57" t="n">
        <v>0</v>
      </c>
      <c r="D242" s="57" t="n">
        <v>0</v>
      </c>
      <c r="E242" s="57" t="n">
        <v>0</v>
      </c>
    </row>
    <row r="243" customFormat="false" ht="15" hidden="false" customHeight="false" outlineLevel="1" collapsed="false">
      <c r="A243" s="3" t="s">
        <v>1555</v>
      </c>
      <c r="B243" s="11" t="s">
        <v>59</v>
      </c>
      <c r="C243" s="57" t="n">
        <v>0</v>
      </c>
      <c r="D243" s="57" t="n">
        <v>0</v>
      </c>
      <c r="E243" s="57" t="n">
        <v>0</v>
      </c>
    </row>
    <row r="244" customFormat="false" ht="15" hidden="false" customHeight="false" outlineLevel="1" collapsed="false">
      <c r="A244" s="3" t="s">
        <v>1556</v>
      </c>
      <c r="B244" s="11" t="s">
        <v>59</v>
      </c>
      <c r="C244" s="57" t="n">
        <v>0</v>
      </c>
      <c r="D244" s="57" t="n">
        <v>0</v>
      </c>
      <c r="E244" s="57" t="n">
        <v>0</v>
      </c>
    </row>
    <row r="245" customFormat="false" ht="15" hidden="false" customHeight="false" outlineLevel="1" collapsed="false">
      <c r="A245" s="3" t="s">
        <v>1557</v>
      </c>
      <c r="B245" s="11" t="s">
        <v>59</v>
      </c>
      <c r="C245" s="57" t="n">
        <v>0</v>
      </c>
      <c r="D245" s="57" t="n">
        <v>0</v>
      </c>
      <c r="E245" s="57" t="n">
        <v>0</v>
      </c>
    </row>
    <row r="246" customFormat="false" ht="15" hidden="false" customHeight="false" outlineLevel="1" collapsed="false">
      <c r="A246" s="3" t="s">
        <v>1558</v>
      </c>
      <c r="B246" s="11" t="s">
        <v>59</v>
      </c>
      <c r="C246" s="57" t="n">
        <v>0</v>
      </c>
      <c r="D246" s="57" t="n">
        <v>0</v>
      </c>
      <c r="E246" s="57" t="n">
        <v>0</v>
      </c>
    </row>
    <row r="247" customFormat="false" ht="15" hidden="false" customHeight="false" outlineLevel="1" collapsed="false">
      <c r="A247" s="3" t="s">
        <v>1559</v>
      </c>
      <c r="B247" s="11" t="s">
        <v>59</v>
      </c>
      <c r="C247" s="57" t="n">
        <v>0</v>
      </c>
      <c r="D247" s="57" t="n">
        <v>0</v>
      </c>
      <c r="E247" s="57" t="n">
        <v>0</v>
      </c>
    </row>
    <row r="248" customFormat="false" ht="15" hidden="false" customHeight="false" outlineLevel="1" collapsed="false">
      <c r="A248" s="3" t="s">
        <v>1560</v>
      </c>
      <c r="B248" s="11" t="s">
        <v>59</v>
      </c>
      <c r="C248" s="57" t="n">
        <v>0</v>
      </c>
      <c r="D248" s="57" t="n">
        <v>0</v>
      </c>
      <c r="E248" s="57" t="n">
        <v>0</v>
      </c>
    </row>
    <row r="249" customFormat="false" ht="15" hidden="false" customHeight="false" outlineLevel="1" collapsed="false">
      <c r="A249" s="3" t="s">
        <v>1561</v>
      </c>
      <c r="B249" s="11" t="s">
        <v>59</v>
      </c>
      <c r="C249" s="57" t="n">
        <v>0</v>
      </c>
      <c r="D249" s="57" t="n">
        <v>0</v>
      </c>
      <c r="E249" s="57" t="n">
        <v>0</v>
      </c>
    </row>
    <row r="250" customFormat="false" ht="15" hidden="false" customHeight="false" outlineLevel="1" collapsed="false">
      <c r="A250" s="3" t="s">
        <v>1562</v>
      </c>
      <c r="B250" s="11" t="s">
        <v>59</v>
      </c>
      <c r="C250" s="57" t="n">
        <v>0</v>
      </c>
      <c r="D250" s="57" t="n">
        <v>0</v>
      </c>
      <c r="E250" s="57" t="n">
        <v>0</v>
      </c>
    </row>
    <row r="251" customFormat="false" ht="15" hidden="false" customHeight="false" outlineLevel="1" collapsed="false">
      <c r="A251" s="3" t="s">
        <v>1563</v>
      </c>
      <c r="B251" s="11" t="s">
        <v>59</v>
      </c>
      <c r="C251" s="57" t="n">
        <v>0</v>
      </c>
      <c r="D251" s="57" t="n">
        <v>0</v>
      </c>
      <c r="E251" s="57" t="n">
        <v>0</v>
      </c>
    </row>
    <row r="252" customFormat="false" ht="15" hidden="false" customHeight="false" outlineLevel="1" collapsed="false">
      <c r="A252" s="3" t="s">
        <v>1564</v>
      </c>
      <c r="B252" s="11" t="s">
        <v>59</v>
      </c>
      <c r="C252" s="57" t="n">
        <v>0</v>
      </c>
      <c r="D252" s="57" t="n">
        <v>0</v>
      </c>
      <c r="E252" s="57" t="n">
        <v>0</v>
      </c>
    </row>
    <row r="253" customFormat="false" ht="15" hidden="false" customHeight="false" outlineLevel="1" collapsed="false">
      <c r="A253" s="3" t="s">
        <v>1565</v>
      </c>
      <c r="B253" s="11" t="s">
        <v>59</v>
      </c>
      <c r="C253" s="57" t="n">
        <v>0</v>
      </c>
      <c r="D253" s="57" t="n">
        <v>8.048334</v>
      </c>
      <c r="E253" s="57" t="n">
        <v>0</v>
      </c>
    </row>
    <row r="254" customFormat="false" ht="15" hidden="false" customHeight="false" outlineLevel="1" collapsed="false">
      <c r="A254" s="3" t="s">
        <v>1566</v>
      </c>
      <c r="B254" s="11" t="s">
        <v>59</v>
      </c>
      <c r="C254" s="57" t="n">
        <v>0</v>
      </c>
      <c r="D254" s="57" t="n">
        <v>0</v>
      </c>
      <c r="E254" s="57" t="n">
        <v>0</v>
      </c>
    </row>
    <row r="255" customFormat="false" ht="15" hidden="false" customHeight="false" outlineLevel="1" collapsed="false">
      <c r="A255" s="3" t="s">
        <v>1567</v>
      </c>
      <c r="B255" s="11" t="s">
        <v>59</v>
      </c>
      <c r="C255" s="57" t="n">
        <v>0</v>
      </c>
      <c r="D255" s="57" t="n">
        <v>0</v>
      </c>
      <c r="E255" s="57" t="n">
        <v>0</v>
      </c>
    </row>
    <row r="256" customFormat="false" ht="15" hidden="false" customHeight="false" outlineLevel="1" collapsed="false">
      <c r="A256" s="3" t="s">
        <v>1568</v>
      </c>
      <c r="B256" s="11" t="s">
        <v>59</v>
      </c>
      <c r="C256" s="57" t="n">
        <v>0</v>
      </c>
      <c r="D256" s="57" t="n">
        <v>0</v>
      </c>
      <c r="E256" s="57" t="n">
        <v>0</v>
      </c>
    </row>
    <row r="257" customFormat="false" ht="15" hidden="false" customHeight="false" outlineLevel="1" collapsed="false">
      <c r="A257" s="3" t="s">
        <v>1569</v>
      </c>
      <c r="B257" s="11" t="s">
        <v>59</v>
      </c>
      <c r="C257" s="57" t="n">
        <v>0</v>
      </c>
      <c r="D257" s="57" t="n">
        <v>0</v>
      </c>
      <c r="E257" s="57" t="n">
        <v>0</v>
      </c>
    </row>
    <row r="258" customFormat="false" ht="15" hidden="false" customHeight="false" outlineLevel="1" collapsed="false">
      <c r="A258" s="3" t="s">
        <v>1570</v>
      </c>
      <c r="B258" s="11" t="s">
        <v>59</v>
      </c>
      <c r="C258" s="57" t="n">
        <v>0</v>
      </c>
      <c r="D258" s="57" t="n">
        <v>0</v>
      </c>
      <c r="E258" s="57" t="n">
        <v>0</v>
      </c>
    </row>
    <row r="259" customFormat="false" ht="15" hidden="false" customHeight="false" outlineLevel="1" collapsed="false">
      <c r="A259" s="3" t="s">
        <v>1571</v>
      </c>
      <c r="B259" s="11" t="s">
        <v>59</v>
      </c>
      <c r="C259" s="57" t="n">
        <v>0</v>
      </c>
      <c r="D259" s="57" t="n">
        <v>0</v>
      </c>
      <c r="E259" s="57" t="n">
        <v>0</v>
      </c>
    </row>
    <row r="260" customFormat="false" ht="15" hidden="false" customHeight="false" outlineLevel="1" collapsed="false">
      <c r="A260" s="3" t="s">
        <v>1572</v>
      </c>
      <c r="B260" s="11" t="s">
        <v>59</v>
      </c>
      <c r="C260" s="57" t="n">
        <v>2.707746</v>
      </c>
      <c r="D260" s="57" t="n">
        <v>2.179008</v>
      </c>
      <c r="E260" s="57" t="n">
        <v>0</v>
      </c>
    </row>
    <row r="261" customFormat="false" ht="15" hidden="false" customHeight="false" outlineLevel="1" collapsed="false"/>
    <row r="262" customFormat="false" ht="15" hidden="false" customHeight="false" outlineLevel="1" collapsed="false">
      <c r="A262" s="14" t="s">
        <v>1573</v>
      </c>
      <c r="B262" s="14" t="s">
        <v>54</v>
      </c>
      <c r="C262" s="14" t="s">
        <v>1532</v>
      </c>
      <c r="D262" s="14" t="s">
        <v>1238</v>
      </c>
      <c r="E262" s="14" t="s">
        <v>1533</v>
      </c>
    </row>
    <row r="263" customFormat="false" ht="15" hidden="false" customHeight="false" outlineLevel="1" collapsed="false">
      <c r="A263" s="2" t="s">
        <v>1574</v>
      </c>
      <c r="B263" s="11" t="s">
        <v>59</v>
      </c>
      <c r="C263" s="57" t="n">
        <v>0</v>
      </c>
      <c r="D263" s="57" t="n">
        <v>19.754853</v>
      </c>
      <c r="E263" s="57" t="n">
        <v>7.21198</v>
      </c>
    </row>
    <row r="264" customFormat="false" ht="15" hidden="false" customHeight="false" outlineLevel="1" collapsed="false">
      <c r="A264" s="3" t="s">
        <v>1575</v>
      </c>
      <c r="B264" s="11" t="s">
        <v>59</v>
      </c>
      <c r="C264" s="57" t="n">
        <v>2.45042</v>
      </c>
      <c r="D264" s="57" t="n">
        <v>34.31185</v>
      </c>
      <c r="E264" s="57" t="n">
        <v>23.247736</v>
      </c>
    </row>
    <row r="265" customFormat="false" ht="15" hidden="false" customHeight="false" outlineLevel="1" collapsed="false">
      <c r="A265" s="3" t="s">
        <v>1576</v>
      </c>
      <c r="B265" s="11" t="s">
        <v>59</v>
      </c>
      <c r="C265" s="57" t="n">
        <v>0</v>
      </c>
      <c r="D265" s="57" t="n">
        <v>2.340011</v>
      </c>
      <c r="E265" s="57" t="n">
        <v>0</v>
      </c>
    </row>
    <row r="266" customFormat="false" ht="15" hidden="false" customHeight="false" outlineLevel="1" collapsed="false">
      <c r="A266" s="3" t="s">
        <v>1577</v>
      </c>
      <c r="B266" s="11" t="s">
        <v>59</v>
      </c>
      <c r="C266" s="57" t="n">
        <v>0</v>
      </c>
      <c r="D266" s="57" t="n">
        <v>0</v>
      </c>
      <c r="E266" s="57" t="n">
        <v>0</v>
      </c>
    </row>
    <row r="267" customFormat="false" ht="15" hidden="false" customHeight="false" outlineLevel="1" collapsed="false">
      <c r="A267" s="3" t="s">
        <v>1578</v>
      </c>
      <c r="B267" s="11" t="s">
        <v>59</v>
      </c>
      <c r="C267" s="57" t="n">
        <v>0</v>
      </c>
      <c r="D267" s="57" t="n">
        <v>0</v>
      </c>
      <c r="E267" s="57" t="n">
        <v>0</v>
      </c>
    </row>
    <row r="268" customFormat="false" ht="15" hidden="false" customHeight="false" outlineLevel="1" collapsed="false">
      <c r="A268" s="3" t="s">
        <v>1579</v>
      </c>
      <c r="B268" s="11" t="s">
        <v>59</v>
      </c>
      <c r="C268" s="57" t="n">
        <v>0</v>
      </c>
      <c r="D268" s="57" t="n">
        <v>0</v>
      </c>
      <c r="E268" s="57" t="n">
        <v>0</v>
      </c>
    </row>
    <row r="269" customFormat="false" ht="15" hidden="false" customHeight="false" outlineLevel="1" collapsed="false">
      <c r="A269" s="3" t="s">
        <v>1580</v>
      </c>
      <c r="B269" s="11" t="s">
        <v>59</v>
      </c>
      <c r="C269" s="57" t="n">
        <v>0</v>
      </c>
      <c r="D269" s="57" t="n">
        <v>24.508307</v>
      </c>
      <c r="E269" s="57" t="n">
        <v>12.448036</v>
      </c>
    </row>
    <row r="270" customFormat="false" ht="15" hidden="false" customHeight="false" outlineLevel="1" collapsed="false">
      <c r="A270" s="3" t="s">
        <v>1581</v>
      </c>
      <c r="B270" s="11" t="s">
        <v>59</v>
      </c>
      <c r="C270" s="57" t="n">
        <v>0</v>
      </c>
      <c r="D270" s="57" t="n">
        <v>4.761996</v>
      </c>
      <c r="E270" s="57" t="n">
        <v>0</v>
      </c>
    </row>
    <row r="271" customFormat="false" ht="15" hidden="false" customHeight="false" outlineLevel="1" collapsed="false">
      <c r="A271" s="3" t="s">
        <v>1582</v>
      </c>
      <c r="B271" s="11" t="s">
        <v>59</v>
      </c>
      <c r="C271" s="57" t="n">
        <v>3.841602</v>
      </c>
      <c r="D271" s="57" t="n">
        <v>36.400504</v>
      </c>
      <c r="E271" s="57" t="n">
        <v>25.548944</v>
      </c>
    </row>
    <row r="272" customFormat="false" ht="15" hidden="false" customHeight="false" outlineLevel="1" collapsed="false">
      <c r="A272" s="3" t="s">
        <v>1583</v>
      </c>
      <c r="B272" s="11" t="s">
        <v>59</v>
      </c>
      <c r="C272" s="57" t="n">
        <v>0</v>
      </c>
      <c r="D272" s="57" t="n">
        <v>3.122461</v>
      </c>
      <c r="E272" s="57" t="n">
        <v>0</v>
      </c>
    </row>
    <row r="273" customFormat="false" ht="15" hidden="false" customHeight="false" outlineLevel="1" collapsed="false">
      <c r="A273" s="3" t="s">
        <v>1584</v>
      </c>
      <c r="B273" s="11" t="s">
        <v>59</v>
      </c>
      <c r="C273" s="57" t="n">
        <v>0</v>
      </c>
      <c r="D273" s="57" t="n">
        <v>0</v>
      </c>
      <c r="E273" s="57" t="n">
        <v>0</v>
      </c>
    </row>
    <row r="274" customFormat="false" ht="15" hidden="false" customHeight="false" outlineLevel="1" collapsed="false">
      <c r="A274" s="3" t="s">
        <v>1585</v>
      </c>
      <c r="B274" s="11" t="s">
        <v>59</v>
      </c>
      <c r="C274" s="57" t="n">
        <v>9.232908</v>
      </c>
      <c r="D274" s="57" t="n">
        <v>67.118703</v>
      </c>
      <c r="E274" s="57" t="n">
        <v>54.544971</v>
      </c>
    </row>
    <row r="275" customFormat="false" ht="15" hidden="false" customHeight="false" outlineLevel="1" collapsed="false">
      <c r="A275" s="3" t="s">
        <v>1586</v>
      </c>
      <c r="B275" s="11" t="s">
        <v>59</v>
      </c>
      <c r="C275" s="57" t="n">
        <v>0</v>
      </c>
      <c r="D275" s="57" t="n">
        <v>20.770486</v>
      </c>
      <c r="E275" s="57" t="n">
        <v>8.284858</v>
      </c>
    </row>
    <row r="276" customFormat="false" ht="15" hidden="false" customHeight="false" outlineLevel="1" collapsed="false">
      <c r="A276" s="3" t="s">
        <v>1587</v>
      </c>
      <c r="B276" s="11" t="s">
        <v>59</v>
      </c>
      <c r="C276" s="57" t="n">
        <v>0</v>
      </c>
      <c r="D276" s="57" t="n">
        <v>18.745376</v>
      </c>
      <c r="E276" s="57" t="n">
        <v>6.145605</v>
      </c>
    </row>
    <row r="277" customFormat="false" ht="15" hidden="false" customHeight="false" outlineLevel="1" collapsed="false">
      <c r="A277" s="3" t="s">
        <v>1588</v>
      </c>
      <c r="B277" s="11" t="s">
        <v>59</v>
      </c>
      <c r="C277" s="57" t="n">
        <v>0</v>
      </c>
      <c r="D277" s="57" t="n">
        <v>31.750742</v>
      </c>
      <c r="E277" s="57" t="n">
        <v>20.601397</v>
      </c>
    </row>
    <row r="278" customFormat="false" ht="15" hidden="false" customHeight="false" outlineLevel="1" collapsed="false">
      <c r="A278" s="3" t="s">
        <v>1589</v>
      </c>
      <c r="B278" s="11" t="s">
        <v>59</v>
      </c>
      <c r="C278" s="57" t="n">
        <v>0</v>
      </c>
      <c r="D278" s="57" t="n">
        <v>7.774456</v>
      </c>
      <c r="E278" s="57" t="n">
        <v>0</v>
      </c>
    </row>
    <row r="279" customFormat="false" ht="15" hidden="false" customHeight="false" outlineLevel="1" collapsed="false">
      <c r="A279" s="3" t="s">
        <v>1590</v>
      </c>
      <c r="B279" s="11" t="s">
        <v>59</v>
      </c>
      <c r="C279" s="57" t="n">
        <v>0</v>
      </c>
      <c r="D279" s="57" t="n">
        <v>23.879186</v>
      </c>
      <c r="E279" s="57" t="n">
        <v>10.685572</v>
      </c>
    </row>
    <row r="280" customFormat="false" ht="15" hidden="false" customHeight="false" outlineLevel="1" collapsed="false">
      <c r="A280" s="3" t="s">
        <v>1591</v>
      </c>
      <c r="B280" s="11" t="s">
        <v>59</v>
      </c>
      <c r="C280" s="57" t="n">
        <v>0.581865</v>
      </c>
      <c r="D280" s="57" t="n">
        <v>26.623321</v>
      </c>
      <c r="E280" s="57" t="n">
        <v>12.994704</v>
      </c>
    </row>
    <row r="281" customFormat="false" ht="15" hidden="false" customHeight="false" outlineLevel="1" collapsed="false">
      <c r="A281" s="3" t="s">
        <v>1592</v>
      </c>
      <c r="B281" s="11" t="s">
        <v>59</v>
      </c>
      <c r="C281" s="57" t="n">
        <v>4.625178</v>
      </c>
      <c r="D281" s="57" t="n">
        <v>30.153322</v>
      </c>
      <c r="E281" s="57" t="n">
        <v>15.879418</v>
      </c>
    </row>
    <row r="282" customFormat="false" ht="15" hidden="false" customHeight="false" outlineLevel="1" collapsed="false"/>
    <row r="283" customFormat="false" ht="15" hidden="false" customHeight="false" outlineLevel="1" collapsed="false">
      <c r="A283" s="14" t="s">
        <v>1593</v>
      </c>
      <c r="B283" s="14" t="s">
        <v>54</v>
      </c>
      <c r="C283" s="14" t="s">
        <v>1532</v>
      </c>
      <c r="D283" s="14" t="s">
        <v>1238</v>
      </c>
      <c r="E283" s="14" t="s">
        <v>1533</v>
      </c>
    </row>
    <row r="284" customFormat="false" ht="15" hidden="false" customHeight="false" outlineLevel="1" collapsed="false">
      <c r="A284" s="2" t="s">
        <v>1594</v>
      </c>
      <c r="B284" s="6" t="s">
        <v>1242</v>
      </c>
      <c r="C284" s="83" t="n">
        <v>4.294382</v>
      </c>
      <c r="D284" s="83" t="n">
        <v>4.180491</v>
      </c>
      <c r="E284" s="83" t="n">
        <v>3.987079</v>
      </c>
    </row>
    <row r="285" customFormat="false" ht="15" hidden="false" customHeight="false" outlineLevel="1" collapsed="false">
      <c r="A285" s="3" t="s">
        <v>1595</v>
      </c>
      <c r="B285" s="6" t="s">
        <v>1242</v>
      </c>
      <c r="C285" s="83" t="n">
        <v>4.497944</v>
      </c>
      <c r="D285" s="83" t="n">
        <v>4.366561</v>
      </c>
      <c r="E285" s="83" t="n">
        <v>4.207322</v>
      </c>
    </row>
    <row r="286" customFormat="false" ht="15" hidden="false" customHeight="false" outlineLevel="1" collapsed="false">
      <c r="A286" s="3" t="s">
        <v>1596</v>
      </c>
      <c r="B286" s="6" t="s">
        <v>1242</v>
      </c>
      <c r="C286" s="83" t="n">
        <v>4.07116</v>
      </c>
      <c r="D286" s="83" t="n">
        <v>3.973996</v>
      </c>
      <c r="E286" s="83" t="n">
        <v>3.746469</v>
      </c>
    </row>
    <row r="287" customFormat="false" ht="15" hidden="false" customHeight="false" outlineLevel="1" collapsed="false">
      <c r="A287" s="3" t="s">
        <v>1597</v>
      </c>
      <c r="B287" s="6" t="s">
        <v>1242</v>
      </c>
      <c r="C287" s="83" t="n">
        <v>3.992907</v>
      </c>
      <c r="D287" s="83" t="n">
        <v>3.900632</v>
      </c>
      <c r="E287" s="83" t="n">
        <v>3.661873</v>
      </c>
    </row>
    <row r="288" customFormat="false" ht="15" hidden="false" customHeight="false" outlineLevel="1" collapsed="false">
      <c r="A288" s="3" t="s">
        <v>1598</v>
      </c>
      <c r="B288" s="6" t="s">
        <v>1242</v>
      </c>
      <c r="C288" s="83" t="n">
        <v>3.671602</v>
      </c>
      <c r="D288" s="83" t="n">
        <v>3.595811</v>
      </c>
      <c r="E288" s="83" t="n">
        <v>3.514573</v>
      </c>
    </row>
    <row r="289" customFormat="false" ht="15" hidden="false" customHeight="false" outlineLevel="1" collapsed="false">
      <c r="A289" s="3" t="s">
        <v>1599</v>
      </c>
      <c r="B289" s="6" t="s">
        <v>1242</v>
      </c>
      <c r="C289" s="83" t="n">
        <v>3.441211</v>
      </c>
      <c r="D289" s="83" t="n">
        <v>3.361561</v>
      </c>
      <c r="E289" s="83" t="n">
        <v>3.365795</v>
      </c>
    </row>
    <row r="290" customFormat="false" ht="15" hidden="false" customHeight="false" outlineLevel="1" collapsed="false">
      <c r="A290" s="3" t="s">
        <v>1600</v>
      </c>
      <c r="B290" s="6" t="s">
        <v>1242</v>
      </c>
      <c r="C290" s="83" t="n">
        <v>4.358985</v>
      </c>
      <c r="D290" s="83" t="n">
        <v>4.239887</v>
      </c>
      <c r="E290" s="83" t="n">
        <v>4.056966</v>
      </c>
    </row>
    <row r="291" customFormat="false" ht="15" hidden="false" customHeight="false" outlineLevel="1" collapsed="false">
      <c r="A291" s="3" t="s">
        <v>1601</v>
      </c>
      <c r="B291" s="6" t="s">
        <v>1242</v>
      </c>
      <c r="C291" s="83" t="n">
        <v>4.101044</v>
      </c>
      <c r="D291" s="83" t="n">
        <v>4.0019</v>
      </c>
      <c r="E291" s="83" t="n">
        <v>3.778708</v>
      </c>
    </row>
    <row r="292" customFormat="false" ht="15" hidden="false" customHeight="false" outlineLevel="1" collapsed="false">
      <c r="A292" s="3" t="s">
        <v>1602</v>
      </c>
      <c r="B292" s="6" t="s">
        <v>1242</v>
      </c>
      <c r="C292" s="83" t="n">
        <v>4.528452</v>
      </c>
      <c r="D292" s="83" t="n">
        <v>4.394476</v>
      </c>
      <c r="E292" s="83" t="n">
        <v>4.240731</v>
      </c>
    </row>
    <row r="293" customFormat="false" ht="15" hidden="false" customHeight="false" outlineLevel="1" collapsed="false">
      <c r="A293" s="3" t="s">
        <v>1603</v>
      </c>
      <c r="B293" s="6" t="s">
        <v>1242</v>
      </c>
      <c r="C293" s="83" t="n">
        <v>4.080819</v>
      </c>
      <c r="D293" s="83" t="n">
        <v>3.983135</v>
      </c>
      <c r="E293" s="83" t="n">
        <v>3.756976</v>
      </c>
    </row>
    <row r="294" customFormat="false" ht="15" hidden="false" customHeight="false" outlineLevel="1" collapsed="false">
      <c r="A294" s="3" t="s">
        <v>1604</v>
      </c>
      <c r="B294" s="6" t="s">
        <v>1242</v>
      </c>
      <c r="C294" s="83" t="n">
        <v>4.236107</v>
      </c>
      <c r="D294" s="83" t="n">
        <v>4.038728</v>
      </c>
      <c r="E294" s="83" t="n">
        <v>3.785843</v>
      </c>
    </row>
    <row r="295" customFormat="false" ht="15" hidden="false" customHeight="false" outlineLevel="1" collapsed="false">
      <c r="A295" s="3" t="s">
        <v>1605</v>
      </c>
      <c r="B295" s="6" t="s">
        <v>1242</v>
      </c>
      <c r="C295" s="83" t="n">
        <v>4.395745</v>
      </c>
      <c r="D295" s="83" t="n">
        <v>4.5</v>
      </c>
      <c r="E295" s="83" t="n">
        <v>4.424966</v>
      </c>
    </row>
    <row r="296" customFormat="false" ht="15" hidden="false" customHeight="false" outlineLevel="1" collapsed="false">
      <c r="A296" s="3" t="s">
        <v>1606</v>
      </c>
      <c r="B296" s="6" t="s">
        <v>1242</v>
      </c>
      <c r="C296" s="83" t="n">
        <v>4.324851</v>
      </c>
      <c r="D296" s="83" t="n">
        <v>4.2334</v>
      </c>
      <c r="E296" s="83" t="n">
        <v>4.040337</v>
      </c>
    </row>
    <row r="297" customFormat="false" ht="15" hidden="false" customHeight="false" outlineLevel="1" collapsed="false">
      <c r="A297" s="3" t="s">
        <v>1607</v>
      </c>
      <c r="B297" s="6" t="s">
        <v>1242</v>
      </c>
      <c r="C297" s="83" t="n">
        <v>4.264386</v>
      </c>
      <c r="D297" s="83" t="n">
        <v>4.128877</v>
      </c>
      <c r="E297" s="83" t="n">
        <v>3.935131</v>
      </c>
    </row>
    <row r="298" customFormat="false" ht="15" hidden="false" customHeight="false" outlineLevel="1" collapsed="false">
      <c r="A298" s="3" t="s">
        <v>1608</v>
      </c>
      <c r="B298" s="6" t="s">
        <v>1242</v>
      </c>
      <c r="C298" s="83" t="n">
        <v>4.410822</v>
      </c>
      <c r="D298" s="83" t="n">
        <v>4.288534</v>
      </c>
      <c r="E298" s="83" t="n">
        <v>4.130446</v>
      </c>
    </row>
    <row r="299" customFormat="false" ht="15" hidden="false" customHeight="false" outlineLevel="1" collapsed="false">
      <c r="A299" s="3" t="s">
        <v>1609</v>
      </c>
      <c r="B299" s="6" t="s">
        <v>1242</v>
      </c>
      <c r="C299" s="83" t="n">
        <v>4.183313</v>
      </c>
      <c r="D299" s="83" t="n">
        <v>4.077085</v>
      </c>
      <c r="E299" s="83" t="n">
        <v>3.851928</v>
      </c>
    </row>
    <row r="300" customFormat="false" ht="15" hidden="false" customHeight="false" outlineLevel="1" collapsed="false">
      <c r="A300" s="3" t="s">
        <v>1610</v>
      </c>
      <c r="B300" s="6" t="s">
        <v>1242</v>
      </c>
      <c r="C300" s="83" t="n">
        <v>4.394536</v>
      </c>
      <c r="D300" s="83" t="n">
        <v>4.317634</v>
      </c>
      <c r="E300" s="83" t="n">
        <v>4.081606</v>
      </c>
    </row>
    <row r="301" customFormat="false" ht="15" hidden="false" customHeight="false" outlineLevel="1" collapsed="false">
      <c r="A301" s="3" t="s">
        <v>1611</v>
      </c>
      <c r="B301" s="6" t="s">
        <v>1242</v>
      </c>
      <c r="C301" s="83" t="n">
        <v>4.462916</v>
      </c>
      <c r="D301" s="83" t="n">
        <v>4.412134</v>
      </c>
      <c r="E301" s="83" t="n">
        <v>4.145887</v>
      </c>
    </row>
    <row r="302" customFormat="false" ht="15" hidden="false" customHeight="false" outlineLevel="1" collapsed="false">
      <c r="A302" s="3" t="s">
        <v>1612</v>
      </c>
      <c r="B302" s="6" t="s">
        <v>1242</v>
      </c>
      <c r="C302" s="83" t="n">
        <v>4.508181</v>
      </c>
      <c r="D302" s="83" t="n">
        <v>4.5</v>
      </c>
      <c r="E302" s="83" t="n">
        <v>4.233986</v>
      </c>
    </row>
    <row r="303" customFormat="false" ht="15" hidden="false" customHeight="false" outlineLevel="1" collapsed="false"/>
    <row r="304" customFormat="false" ht="15" hidden="false" customHeight="false" outlineLevel="1" collapsed="false">
      <c r="A304" s="14" t="s">
        <v>1613</v>
      </c>
      <c r="B304" s="14" t="s">
        <v>54</v>
      </c>
      <c r="C304" s="14" t="s">
        <v>1532</v>
      </c>
      <c r="D304" s="14" t="s">
        <v>1238</v>
      </c>
      <c r="E304" s="14" t="s">
        <v>1533</v>
      </c>
    </row>
    <row r="305" customFormat="false" ht="15" hidden="false" customHeight="false" outlineLevel="1" collapsed="false">
      <c r="A305" s="2" t="s">
        <v>1614</v>
      </c>
      <c r="B305" s="11" t="s">
        <v>1525</v>
      </c>
      <c r="C305" s="84" t="n">
        <v>0</v>
      </c>
      <c r="D305" s="84" t="n">
        <v>0</v>
      </c>
      <c r="E305" s="84" t="n">
        <v>0</v>
      </c>
    </row>
    <row r="306" customFormat="false" ht="15" hidden="false" customHeight="false" outlineLevel="1" collapsed="false">
      <c r="A306" s="3" t="s">
        <v>1615</v>
      </c>
      <c r="B306" s="11" t="s">
        <v>1525</v>
      </c>
      <c r="C306" s="84" t="n">
        <v>0</v>
      </c>
      <c r="D306" s="84" t="n">
        <v>0</v>
      </c>
      <c r="E306" s="84" t="n">
        <v>0</v>
      </c>
    </row>
    <row r="307" customFormat="false" ht="15" hidden="false" customHeight="false" outlineLevel="1" collapsed="false">
      <c r="A307" s="3" t="s">
        <v>1616</v>
      </c>
      <c r="B307" s="11" t="s">
        <v>1525</v>
      </c>
      <c r="C307" s="84" t="n">
        <v>0</v>
      </c>
      <c r="D307" s="84" t="n">
        <v>0</v>
      </c>
      <c r="E307" s="84" t="n">
        <v>0</v>
      </c>
    </row>
    <row r="308" customFormat="false" ht="15" hidden="false" customHeight="false" outlineLevel="1" collapsed="false">
      <c r="A308" s="3" t="s">
        <v>1617</v>
      </c>
      <c r="B308" s="11" t="s">
        <v>1525</v>
      </c>
      <c r="C308" s="84" t="n">
        <v>0</v>
      </c>
      <c r="D308" s="84" t="n">
        <v>0</v>
      </c>
      <c r="E308" s="84" t="n">
        <v>0</v>
      </c>
    </row>
    <row r="309" customFormat="false" ht="15" hidden="false" customHeight="false" outlineLevel="1" collapsed="false">
      <c r="A309" s="3" t="s">
        <v>1618</v>
      </c>
      <c r="B309" s="11" t="s">
        <v>1525</v>
      </c>
      <c r="C309" s="84" t="n">
        <v>0</v>
      </c>
      <c r="D309" s="84" t="n">
        <v>0</v>
      </c>
      <c r="E309" s="84" t="n">
        <v>0</v>
      </c>
    </row>
    <row r="310" customFormat="false" ht="15" hidden="false" customHeight="false" outlineLevel="1" collapsed="false">
      <c r="A310" s="3" t="s">
        <v>1619</v>
      </c>
      <c r="B310" s="11" t="s">
        <v>1525</v>
      </c>
      <c r="C310" s="84" t="n">
        <v>0</v>
      </c>
      <c r="D310" s="84" t="n">
        <v>0</v>
      </c>
      <c r="E310" s="84" t="n">
        <v>0</v>
      </c>
    </row>
    <row r="311" customFormat="false" ht="15" hidden="false" customHeight="false" outlineLevel="1" collapsed="false">
      <c r="A311" s="3" t="s">
        <v>1620</v>
      </c>
      <c r="B311" s="11" t="s">
        <v>1525</v>
      </c>
      <c r="C311" s="84" t="n">
        <v>0</v>
      </c>
      <c r="D311" s="84" t="n">
        <v>0</v>
      </c>
      <c r="E311" s="84" t="n">
        <v>0</v>
      </c>
    </row>
    <row r="312" customFormat="false" ht="15" hidden="false" customHeight="false" outlineLevel="1" collapsed="false">
      <c r="A312" s="3" t="s">
        <v>1621</v>
      </c>
      <c r="B312" s="11" t="s">
        <v>1525</v>
      </c>
      <c r="C312" s="84" t="n">
        <v>0</v>
      </c>
      <c r="D312" s="84" t="n">
        <v>0</v>
      </c>
      <c r="E312" s="84" t="n">
        <v>0</v>
      </c>
    </row>
    <row r="313" customFormat="false" ht="15" hidden="false" customHeight="false" outlineLevel="1" collapsed="false">
      <c r="A313" s="3" t="s">
        <v>1622</v>
      </c>
      <c r="B313" s="11" t="s">
        <v>1525</v>
      </c>
      <c r="C313" s="84" t="n">
        <v>0</v>
      </c>
      <c r="D313" s="84" t="n">
        <v>0</v>
      </c>
      <c r="E313" s="84" t="n">
        <v>0</v>
      </c>
    </row>
    <row r="314" customFormat="false" ht="15" hidden="false" customHeight="false" outlineLevel="1" collapsed="false">
      <c r="A314" s="3" t="s">
        <v>1623</v>
      </c>
      <c r="B314" s="11" t="s">
        <v>1525</v>
      </c>
      <c r="C314" s="84" t="n">
        <v>0</v>
      </c>
      <c r="D314" s="84" t="n">
        <v>0</v>
      </c>
      <c r="E314" s="84" t="n">
        <v>0</v>
      </c>
    </row>
    <row r="315" customFormat="false" ht="15" hidden="false" customHeight="false" outlineLevel="1" collapsed="false">
      <c r="A315" s="3" t="s">
        <v>1624</v>
      </c>
      <c r="B315" s="11" t="s">
        <v>1525</v>
      </c>
      <c r="C315" s="84" t="n">
        <v>0</v>
      </c>
      <c r="D315" s="84" t="n">
        <v>0</v>
      </c>
      <c r="E315" s="84" t="n">
        <v>0</v>
      </c>
    </row>
    <row r="316" customFormat="false" ht="15" hidden="false" customHeight="false" outlineLevel="1" collapsed="false">
      <c r="A316" s="3" t="s">
        <v>1625</v>
      </c>
      <c r="B316" s="11" t="s">
        <v>1525</v>
      </c>
      <c r="C316" s="84" t="n">
        <v>0</v>
      </c>
      <c r="D316" s="84" t="n">
        <v>0.061771</v>
      </c>
      <c r="E316" s="84" t="n">
        <v>0</v>
      </c>
    </row>
    <row r="317" customFormat="false" ht="15" hidden="false" customHeight="false" outlineLevel="1" collapsed="false">
      <c r="A317" s="3" t="s">
        <v>1626</v>
      </c>
      <c r="B317" s="11" t="s">
        <v>1525</v>
      </c>
      <c r="C317" s="84" t="n">
        <v>0</v>
      </c>
      <c r="D317" s="84" t="n">
        <v>0</v>
      </c>
      <c r="E317" s="84" t="n">
        <v>0</v>
      </c>
    </row>
    <row r="318" customFormat="false" ht="15" hidden="false" customHeight="false" outlineLevel="1" collapsed="false">
      <c r="A318" s="3" t="s">
        <v>1627</v>
      </c>
      <c r="B318" s="11" t="s">
        <v>1525</v>
      </c>
      <c r="C318" s="84" t="n">
        <v>0</v>
      </c>
      <c r="D318" s="84" t="n">
        <v>0</v>
      </c>
      <c r="E318" s="84" t="n">
        <v>0</v>
      </c>
    </row>
    <row r="319" customFormat="false" ht="15" hidden="false" customHeight="false" outlineLevel="1" collapsed="false">
      <c r="A319" s="3" t="s">
        <v>1628</v>
      </c>
      <c r="B319" s="11" t="s">
        <v>1525</v>
      </c>
      <c r="C319" s="84" t="n">
        <v>0</v>
      </c>
      <c r="D319" s="84" t="n">
        <v>0</v>
      </c>
      <c r="E319" s="84" t="n">
        <v>0</v>
      </c>
    </row>
    <row r="320" customFormat="false" ht="15" hidden="false" customHeight="false" outlineLevel="1" collapsed="false">
      <c r="A320" s="3" t="s">
        <v>1629</v>
      </c>
      <c r="B320" s="11" t="s">
        <v>1525</v>
      </c>
      <c r="C320" s="84" t="n">
        <v>0</v>
      </c>
      <c r="D320" s="84" t="n">
        <v>0</v>
      </c>
      <c r="E320" s="84" t="n">
        <v>0</v>
      </c>
    </row>
    <row r="321" customFormat="false" ht="15" hidden="false" customHeight="false" outlineLevel="1" collapsed="false">
      <c r="A321" s="3" t="s">
        <v>1630</v>
      </c>
      <c r="B321" s="11" t="s">
        <v>1525</v>
      </c>
      <c r="C321" s="84" t="n">
        <v>0</v>
      </c>
      <c r="D321" s="84" t="n">
        <v>0</v>
      </c>
      <c r="E321" s="84" t="n">
        <v>0</v>
      </c>
    </row>
    <row r="322" customFormat="false" ht="15" hidden="false" customHeight="false" outlineLevel="1" collapsed="false">
      <c r="A322" s="3" t="s">
        <v>1631</v>
      </c>
      <c r="B322" s="11" t="s">
        <v>1525</v>
      </c>
      <c r="C322" s="84" t="n">
        <v>0</v>
      </c>
      <c r="D322" s="84" t="n">
        <v>0</v>
      </c>
      <c r="E322" s="84" t="n">
        <v>0</v>
      </c>
    </row>
    <row r="323" customFormat="false" ht="15" hidden="false" customHeight="false" outlineLevel="1" collapsed="false">
      <c r="A323" s="3" t="s">
        <v>1632</v>
      </c>
      <c r="B323" s="11" t="s">
        <v>1525</v>
      </c>
      <c r="C323" s="84" t="n">
        <v>0.020782</v>
      </c>
      <c r="D323" s="84" t="n">
        <v>0.016724</v>
      </c>
      <c r="E323" s="84" t="n">
        <v>0</v>
      </c>
    </row>
    <row r="324" customFormat="false" ht="15" hidden="false" customHeight="false" outlineLevel="1" collapsed="false"/>
    <row r="325" customFormat="false" ht="15" hidden="false" customHeight="false" outlineLevel="1" collapsed="false">
      <c r="A325" s="6" t="s">
        <v>1633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1634</v>
      </c>
    </row>
    <row r="2" customFormat="false" ht="15" hidden="false" customHeight="false" outlineLevel="0" collapsed="false">
      <c r="A2" s="6" t="s">
        <v>1635</v>
      </c>
    </row>
    <row r="4" customFormat="false" ht="17.15" hidden="false" customHeight="false" outlineLevel="0" collapsed="false">
      <c r="A4" s="14" t="s">
        <v>1636</v>
      </c>
      <c r="B4" s="14" t="s">
        <v>1637</v>
      </c>
      <c r="C4" s="14" t="s">
        <v>1638</v>
      </c>
      <c r="D4" s="14" t="s">
        <v>1639</v>
      </c>
      <c r="E4" s="15" t="s">
        <v>1640</v>
      </c>
      <c r="F4" s="14" t="s">
        <v>1641</v>
      </c>
      <c r="I4" s="14" t="s">
        <v>619</v>
      </c>
    </row>
    <row r="5" customFormat="false" ht="15" hidden="false" customHeight="false" outlineLevel="0" collapsed="false">
      <c r="A5" s="4" t="s">
        <v>1642</v>
      </c>
      <c r="B5" s="6" t="s">
        <v>1643</v>
      </c>
      <c r="C5" s="11" t="s">
        <v>1644</v>
      </c>
      <c r="D5" s="24" t="n">
        <v>0.028</v>
      </c>
      <c r="E5" s="25" t="n">
        <v>2.25</v>
      </c>
      <c r="F5" s="64" t="n">
        <f aca="false">D5*E5</f>
        <v>0.063</v>
      </c>
      <c r="I5" s="11" t="s">
        <v>1645</v>
      </c>
    </row>
    <row r="6" customFormat="false" ht="15" hidden="false" customHeight="false" outlineLevel="0" collapsed="false">
      <c r="A6" s="4" t="s">
        <v>1646</v>
      </c>
      <c r="B6" s="6" t="s">
        <v>1643</v>
      </c>
      <c r="C6" s="11" t="s">
        <v>1647</v>
      </c>
      <c r="D6" s="24" t="n">
        <v>0.0325</v>
      </c>
      <c r="E6" s="25" t="n">
        <v>2.75</v>
      </c>
      <c r="F6" s="64" t="n">
        <f aca="false">D6*E6</f>
        <v>0.089375</v>
      </c>
      <c r="I6" s="11" t="s">
        <v>1648</v>
      </c>
    </row>
    <row r="7" customFormat="false" ht="15" hidden="false" customHeight="false" outlineLevel="0" collapsed="false">
      <c r="A7" s="4" t="s">
        <v>1649</v>
      </c>
      <c r="B7" s="6" t="s">
        <v>1643</v>
      </c>
      <c r="C7" s="11" t="s">
        <v>1650</v>
      </c>
      <c r="D7" s="24" t="n">
        <v>0.023</v>
      </c>
      <c r="E7" s="25" t="n">
        <v>2</v>
      </c>
      <c r="F7" s="64" t="n">
        <f aca="false">D7*E7</f>
        <v>0.046</v>
      </c>
      <c r="I7" s="11" t="s">
        <v>1651</v>
      </c>
    </row>
    <row r="8" customFormat="false" ht="15" hidden="false" customHeight="false" outlineLevel="0" collapsed="false">
      <c r="A8" s="4" t="s">
        <v>1652</v>
      </c>
      <c r="B8" s="6" t="s">
        <v>1643</v>
      </c>
      <c r="C8" s="11" t="s">
        <v>1653</v>
      </c>
      <c r="D8" s="24" t="n">
        <v>0.045</v>
      </c>
      <c r="E8" s="25" t="n">
        <v>0.75</v>
      </c>
      <c r="F8" s="64" t="n">
        <f aca="false">D8*E8</f>
        <v>0.03375</v>
      </c>
      <c r="I8" s="11" t="s">
        <v>1654</v>
      </c>
    </row>
    <row r="9" customFormat="false" ht="15" hidden="false" customHeight="false" outlineLevel="0" collapsed="false">
      <c r="A9" s="4" t="s">
        <v>1655</v>
      </c>
      <c r="B9" s="6" t="s">
        <v>1643</v>
      </c>
      <c r="C9" s="11" t="s">
        <v>1656</v>
      </c>
      <c r="D9" s="24" t="n">
        <v>0.048</v>
      </c>
      <c r="E9" s="25" t="n">
        <v>1.5</v>
      </c>
      <c r="F9" s="64" t="n">
        <f aca="false">D9*E9</f>
        <v>0.072</v>
      </c>
      <c r="I9" s="11" t="s">
        <v>1657</v>
      </c>
    </row>
    <row r="10" customFormat="false" ht="15" hidden="false" customHeight="false" outlineLevel="0" collapsed="false">
      <c r="A10" s="4" t="s">
        <v>1658</v>
      </c>
      <c r="B10" s="6" t="s">
        <v>1643</v>
      </c>
      <c r="C10" s="11" t="s">
        <v>1659</v>
      </c>
      <c r="D10" s="24" t="n">
        <v>0.0455</v>
      </c>
      <c r="E10" s="25" t="n">
        <v>3</v>
      </c>
      <c r="F10" s="64" t="n">
        <f aca="false">D10*E10</f>
        <v>0.1365</v>
      </c>
      <c r="I10" s="11" t="s">
        <v>1660</v>
      </c>
    </row>
    <row r="11" customFormat="false" ht="15" hidden="false" customHeight="false" outlineLevel="0" collapsed="false">
      <c r="A11" s="4" t="s">
        <v>1661</v>
      </c>
      <c r="B11" s="6" t="s">
        <v>1643</v>
      </c>
      <c r="C11" s="11" t="s">
        <v>1662</v>
      </c>
      <c r="D11" s="24" t="n">
        <v>0.042</v>
      </c>
      <c r="E11" s="25" t="n">
        <v>1.5</v>
      </c>
      <c r="F11" s="64" t="n">
        <f aca="false">D11*E11</f>
        <v>0.063</v>
      </c>
      <c r="I11" s="11" t="s">
        <v>1663</v>
      </c>
    </row>
    <row r="12" customFormat="false" ht="15" hidden="false" customHeight="false" outlineLevel="0" collapsed="false">
      <c r="A12" s="4" t="s">
        <v>1664</v>
      </c>
      <c r="B12" s="6" t="s">
        <v>1643</v>
      </c>
      <c r="C12" s="11" t="s">
        <v>1665</v>
      </c>
      <c r="D12" s="24" t="n">
        <v>0.0615</v>
      </c>
      <c r="E12" s="25" t="n">
        <v>1.25</v>
      </c>
      <c r="F12" s="64" t="n">
        <f aca="false">D12*E12</f>
        <v>0.076875</v>
      </c>
      <c r="I12" s="11" t="s">
        <v>1666</v>
      </c>
    </row>
    <row r="13" customFormat="false" ht="15" hidden="false" customHeight="false" outlineLevel="0" collapsed="false">
      <c r="A13" s="4" t="s">
        <v>1667</v>
      </c>
      <c r="B13" s="6" t="s">
        <v>1643</v>
      </c>
      <c r="C13" s="11" t="s">
        <v>1668</v>
      </c>
      <c r="D13" s="24" t="n">
        <v>0.0295</v>
      </c>
      <c r="E13" s="25" t="n">
        <v>3.25</v>
      </c>
      <c r="F13" s="64" t="n">
        <f aca="false">D13*E13</f>
        <v>0.095875</v>
      </c>
      <c r="I13" s="11" t="s">
        <v>1645</v>
      </c>
    </row>
    <row r="14" customFormat="false" ht="15" hidden="false" customHeight="false" outlineLevel="0" collapsed="false">
      <c r="A14" s="4" t="s">
        <v>1669</v>
      </c>
      <c r="B14" s="6" t="s">
        <v>1643</v>
      </c>
      <c r="C14" s="11" t="s">
        <v>1670</v>
      </c>
      <c r="D14" s="24" t="n">
        <v>0.0465</v>
      </c>
      <c r="E14" s="25" t="n">
        <v>0.75</v>
      </c>
      <c r="F14" s="64" t="n">
        <f aca="false">D14*E14</f>
        <v>0.034875</v>
      </c>
      <c r="I14" s="11" t="s">
        <v>1654</v>
      </c>
    </row>
    <row r="15" customFormat="false" ht="15" hidden="false" customHeight="false" outlineLevel="0" collapsed="false">
      <c r="A15" s="4" t="s">
        <v>1671</v>
      </c>
      <c r="B15" s="6" t="s">
        <v>1643</v>
      </c>
      <c r="C15" s="11" t="s">
        <v>1670</v>
      </c>
      <c r="D15" s="24" t="n">
        <v>0.0325</v>
      </c>
      <c r="E15" s="25" t="n">
        <v>0.5</v>
      </c>
      <c r="F15" s="64" t="n">
        <f aca="false">D15*E15</f>
        <v>0.01625</v>
      </c>
      <c r="I15" s="11" t="s">
        <v>1672</v>
      </c>
    </row>
    <row r="16" customFormat="false" ht="15" hidden="false" customHeight="false" outlineLevel="0" collapsed="false">
      <c r="A16" s="4" t="s">
        <v>1673</v>
      </c>
      <c r="B16" s="6" t="s">
        <v>1643</v>
      </c>
      <c r="C16" s="11" t="s">
        <v>1674</v>
      </c>
      <c r="D16" s="24" t="n">
        <v>0.0445</v>
      </c>
      <c r="E16" s="25" t="n">
        <v>3</v>
      </c>
      <c r="F16" s="64" t="n">
        <f aca="false">D16*E16</f>
        <v>0.1335</v>
      </c>
      <c r="I16" s="11" t="s">
        <v>1675</v>
      </c>
    </row>
    <row r="17" customFormat="false" ht="15" hidden="false" customHeight="false" outlineLevel="0" collapsed="false">
      <c r="A17" s="4" t="s">
        <v>1676</v>
      </c>
      <c r="B17" s="6" t="s">
        <v>1643</v>
      </c>
      <c r="C17" s="11" t="s">
        <v>1677</v>
      </c>
      <c r="D17" s="24" t="n">
        <v>0.0495</v>
      </c>
      <c r="E17" s="25" t="n">
        <v>3.5</v>
      </c>
      <c r="F17" s="64" t="n">
        <f aca="false">D17*E17</f>
        <v>0.17325</v>
      </c>
      <c r="I17" s="11" t="s">
        <v>1660</v>
      </c>
    </row>
    <row r="18" customFormat="false" ht="15" hidden="false" customHeight="false" outlineLevel="0" collapsed="false">
      <c r="A18" s="4" t="s">
        <v>1678</v>
      </c>
      <c r="B18" s="6" t="s">
        <v>1643</v>
      </c>
      <c r="C18" s="11" t="s">
        <v>1679</v>
      </c>
      <c r="D18" s="24" t="n">
        <v>0.02875</v>
      </c>
      <c r="E18" s="25" t="n">
        <v>3.25</v>
      </c>
      <c r="F18" s="64" t="n">
        <f aca="false">D18*E18</f>
        <v>0.0934375</v>
      </c>
      <c r="I18" s="11" t="s">
        <v>1651</v>
      </c>
    </row>
    <row r="19" customFormat="false" ht="15" hidden="false" customHeight="false" outlineLevel="0" collapsed="false">
      <c r="A19" s="4" t="s">
        <v>1680</v>
      </c>
      <c r="B19" s="6" t="s">
        <v>1643</v>
      </c>
      <c r="C19" s="11" t="s">
        <v>1681</v>
      </c>
      <c r="D19" s="24" t="n">
        <v>0.0525</v>
      </c>
      <c r="E19" s="25" t="n">
        <v>1.25</v>
      </c>
      <c r="F19" s="64" t="n">
        <f aca="false">D19*E19</f>
        <v>0.065625</v>
      </c>
      <c r="I19" s="11" t="s">
        <v>1657</v>
      </c>
    </row>
    <row r="20" customFormat="false" ht="15" hidden="false" customHeight="false" outlineLevel="0" collapsed="false">
      <c r="A20" s="4" t="s">
        <v>1682</v>
      </c>
      <c r="B20" s="6" t="s">
        <v>1643</v>
      </c>
      <c r="C20" s="11" t="s">
        <v>1683</v>
      </c>
      <c r="D20" s="24" t="n">
        <v>0.048</v>
      </c>
      <c r="E20" s="25" t="n">
        <v>3</v>
      </c>
      <c r="F20" s="64" t="n">
        <f aca="false">D20*E20</f>
        <v>0.144</v>
      </c>
      <c r="I20" s="11" t="s">
        <v>1675</v>
      </c>
    </row>
    <row r="21" customFormat="false" ht="15" hidden="false" customHeight="false" outlineLevel="0" collapsed="false">
      <c r="A21" s="4" t="s">
        <v>1684</v>
      </c>
      <c r="B21" s="6" t="s">
        <v>1643</v>
      </c>
      <c r="C21" s="11" t="s">
        <v>1685</v>
      </c>
      <c r="D21" s="24" t="n">
        <v>0.0625</v>
      </c>
      <c r="E21" s="25" t="n">
        <v>2.25</v>
      </c>
      <c r="F21" s="64" t="n">
        <f aca="false">D21*E21</f>
        <v>0.140625</v>
      </c>
      <c r="I21" s="11" t="s">
        <v>1666</v>
      </c>
    </row>
    <row r="22" customFormat="false" ht="15" hidden="false" customHeight="false" outlineLevel="0" collapsed="false">
      <c r="A22" s="4" t="s">
        <v>1686</v>
      </c>
      <c r="B22" s="6" t="s">
        <v>1643</v>
      </c>
      <c r="C22" s="11" t="s">
        <v>1687</v>
      </c>
      <c r="D22" s="24" t="n">
        <v>0.049</v>
      </c>
      <c r="E22" s="25" t="n">
        <v>1.5</v>
      </c>
      <c r="F22" s="64" t="n">
        <f aca="false">D22*E22</f>
        <v>0.0735</v>
      </c>
      <c r="I22" s="11" t="s">
        <v>1654</v>
      </c>
    </row>
    <row r="23" customFormat="false" ht="15" hidden="false" customHeight="false" outlineLevel="0" collapsed="false">
      <c r="A23" s="4" t="s">
        <v>1688</v>
      </c>
      <c r="B23" s="6" t="s">
        <v>1643</v>
      </c>
      <c r="C23" s="11" t="s">
        <v>1689</v>
      </c>
      <c r="D23" s="24" t="n">
        <v>0.0535</v>
      </c>
      <c r="E23" s="25" t="n">
        <v>3</v>
      </c>
      <c r="F23" s="64" t="n">
        <f aca="false">D23*E23</f>
        <v>0.1605</v>
      </c>
      <c r="I23" s="11" t="s">
        <v>1660</v>
      </c>
    </row>
    <row r="24" customFormat="false" ht="15" hidden="false" customHeight="false" outlineLevel="0" collapsed="false">
      <c r="A24" s="4" t="s">
        <v>1690</v>
      </c>
      <c r="B24" s="6" t="s">
        <v>1643</v>
      </c>
      <c r="C24" s="11" t="s">
        <v>1691</v>
      </c>
      <c r="D24" s="24" t="n">
        <v>0.043</v>
      </c>
      <c r="E24" s="25" t="n">
        <v>1.75</v>
      </c>
      <c r="F24" s="64" t="n">
        <f aca="false">D24*E24</f>
        <v>0.07525</v>
      </c>
      <c r="I24" s="11" t="s">
        <v>1692</v>
      </c>
    </row>
    <row r="25" customFormat="false" ht="15" hidden="false" customHeight="false" outlineLevel="0" collapsed="false">
      <c r="A25" s="4" t="s">
        <v>1693</v>
      </c>
      <c r="B25" s="6" t="s">
        <v>1643</v>
      </c>
      <c r="C25" s="11" t="s">
        <v>1694</v>
      </c>
      <c r="D25" s="24" t="n">
        <v>0.047</v>
      </c>
      <c r="E25" s="25" t="n">
        <v>1.75</v>
      </c>
      <c r="F25" s="64" t="n">
        <f aca="false">D25*E25</f>
        <v>0.08225</v>
      </c>
      <c r="I25" s="11" t="s">
        <v>1663</v>
      </c>
    </row>
    <row r="26" customFormat="false" ht="15" hidden="false" customHeight="false" outlineLevel="0" collapsed="false">
      <c r="A26" s="4" t="s">
        <v>1695</v>
      </c>
      <c r="B26" s="6" t="s">
        <v>1643</v>
      </c>
      <c r="C26" s="11" t="s">
        <v>1696</v>
      </c>
      <c r="D26" s="24" t="n">
        <v>0.039</v>
      </c>
      <c r="E26" s="25" t="n">
        <v>1.25</v>
      </c>
      <c r="F26" s="64" t="n">
        <f aca="false">D26*E26</f>
        <v>0.04875</v>
      </c>
      <c r="I26" s="11" t="s">
        <v>1672</v>
      </c>
    </row>
    <row r="27" customFormat="false" ht="15" hidden="false" customHeight="false" outlineLevel="0" collapsed="false">
      <c r="A27" s="4" t="s">
        <v>1697</v>
      </c>
      <c r="B27" s="6" t="s">
        <v>1643</v>
      </c>
      <c r="C27" s="11" t="s">
        <v>1698</v>
      </c>
      <c r="D27" s="24" t="n">
        <v>0.055</v>
      </c>
      <c r="E27" s="25" t="n">
        <v>1.75</v>
      </c>
      <c r="F27" s="64" t="n">
        <f aca="false">D27*E27</f>
        <v>0.09625</v>
      </c>
      <c r="I27" s="11" t="s">
        <v>1657</v>
      </c>
    </row>
    <row r="28" customFormat="false" ht="15" hidden="false" customHeight="false" outlineLevel="0" collapsed="false">
      <c r="A28" s="4" t="s">
        <v>1699</v>
      </c>
      <c r="B28" s="6" t="s">
        <v>1643</v>
      </c>
      <c r="C28" s="11" t="s">
        <v>1700</v>
      </c>
      <c r="D28" s="24" t="n">
        <v>0.052</v>
      </c>
      <c r="E28" s="25" t="n">
        <v>4</v>
      </c>
      <c r="F28" s="64" t="n">
        <f aca="false">D28*E28</f>
        <v>0.208</v>
      </c>
      <c r="I28" s="11" t="s">
        <v>1675</v>
      </c>
    </row>
    <row r="29" customFormat="false" ht="15" hidden="false" customHeight="false" outlineLevel="0" collapsed="false">
      <c r="A29" s="4" t="s">
        <v>1701</v>
      </c>
      <c r="B29" s="6" t="s">
        <v>1643</v>
      </c>
      <c r="C29" s="11" t="s">
        <v>1702</v>
      </c>
      <c r="D29" s="24" t="n">
        <v>0.057</v>
      </c>
      <c r="E29" s="25" t="n">
        <v>5</v>
      </c>
      <c r="F29" s="64" t="n">
        <f aca="false">D29*E29</f>
        <v>0.285</v>
      </c>
      <c r="I29" s="11" t="s">
        <v>1660</v>
      </c>
    </row>
    <row r="30" customFormat="false" ht="15" hidden="false" customHeight="false" outlineLevel="0" collapsed="false">
      <c r="A30" s="4" t="s">
        <v>1703</v>
      </c>
      <c r="B30" s="6" t="s">
        <v>1643</v>
      </c>
      <c r="C30" s="11" t="s">
        <v>1704</v>
      </c>
      <c r="D30" s="24" t="n">
        <v>0.0385</v>
      </c>
      <c r="E30" s="25" t="n">
        <v>1.25</v>
      </c>
      <c r="F30" s="64" t="n">
        <f aca="false">D30*E30</f>
        <v>0.048125</v>
      </c>
      <c r="I30" s="11" t="s">
        <v>1705</v>
      </c>
    </row>
    <row r="31" customFormat="false" ht="15" hidden="false" customHeight="false" outlineLevel="0" collapsed="false">
      <c r="A31" s="4" t="s">
        <v>1706</v>
      </c>
      <c r="B31" s="6" t="s">
        <v>1643</v>
      </c>
      <c r="C31" s="11" t="s">
        <v>1707</v>
      </c>
      <c r="D31" s="24" t="n">
        <v>0.038</v>
      </c>
      <c r="E31" s="25" t="n">
        <v>1.75</v>
      </c>
      <c r="F31" s="64" t="n">
        <f aca="false">D31*E31</f>
        <v>0.0665</v>
      </c>
      <c r="I31" s="11" t="s">
        <v>1648</v>
      </c>
    </row>
    <row r="32" customFormat="false" ht="15" hidden="false" customHeight="false" outlineLevel="0" collapsed="false">
      <c r="A32" s="4" t="s">
        <v>1708</v>
      </c>
      <c r="B32" s="6" t="s">
        <v>1643</v>
      </c>
      <c r="C32" s="11" t="s">
        <v>1709</v>
      </c>
      <c r="D32" s="24" t="n">
        <v>0.065</v>
      </c>
      <c r="E32" s="25" t="n">
        <v>1.25</v>
      </c>
      <c r="F32" s="64" t="n">
        <f aca="false">D32*E32</f>
        <v>0.08125</v>
      </c>
      <c r="I32" s="11" t="s">
        <v>1710</v>
      </c>
    </row>
    <row r="33" customFormat="false" ht="15" hidden="false" customHeight="false" outlineLevel="0" collapsed="false">
      <c r="A33" s="4" t="s">
        <v>1711</v>
      </c>
      <c r="B33" s="6" t="s">
        <v>1643</v>
      </c>
      <c r="C33" s="11" t="s">
        <v>1712</v>
      </c>
      <c r="D33" s="24" t="n">
        <v>0.06125</v>
      </c>
      <c r="E33" s="25" t="n">
        <v>1.25</v>
      </c>
      <c r="F33" s="64" t="n">
        <f aca="false">D33*E33</f>
        <v>0.0765625</v>
      </c>
      <c r="I33" s="11" t="s">
        <v>1713</v>
      </c>
    </row>
    <row r="34" customFormat="false" ht="15" hidden="false" customHeight="false" outlineLevel="0" collapsed="false">
      <c r="A34" s="4" t="s">
        <v>1714</v>
      </c>
      <c r="B34" s="6" t="s">
        <v>1643</v>
      </c>
      <c r="C34" s="11" t="s">
        <v>1715</v>
      </c>
      <c r="D34" s="24" t="n">
        <v>0.036</v>
      </c>
      <c r="E34" s="25" t="n">
        <v>3</v>
      </c>
      <c r="F34" s="64" t="n">
        <f aca="false">D34*E34</f>
        <v>0.108</v>
      </c>
      <c r="I34" s="11" t="s">
        <v>1645</v>
      </c>
    </row>
    <row r="35" customFormat="false" ht="15" hidden="false" customHeight="false" outlineLevel="0" collapsed="false">
      <c r="A35" s="4" t="s">
        <v>1716</v>
      </c>
      <c r="B35" s="6" t="s">
        <v>1643</v>
      </c>
      <c r="C35" s="11" t="s">
        <v>1717</v>
      </c>
      <c r="D35" s="24" t="n">
        <v>0.05375</v>
      </c>
      <c r="E35" s="25" t="n">
        <v>2.25</v>
      </c>
      <c r="F35" s="64" t="n">
        <f aca="false">D35*E35</f>
        <v>0.1209375</v>
      </c>
      <c r="I35" s="11" t="s">
        <v>1718</v>
      </c>
    </row>
    <row r="36" customFormat="false" ht="15" hidden="false" customHeight="false" outlineLevel="0" collapsed="false">
      <c r="A36" s="4" t="s">
        <v>1719</v>
      </c>
      <c r="B36" s="6" t="s">
        <v>1643</v>
      </c>
      <c r="C36" s="11" t="s">
        <v>1720</v>
      </c>
      <c r="D36" s="24" t="n">
        <v>0.0365</v>
      </c>
      <c r="E36" s="25" t="n">
        <v>2.25</v>
      </c>
      <c r="F36" s="64" t="n">
        <f aca="false">D36*E36</f>
        <v>0.082125</v>
      </c>
      <c r="I36" s="11" t="s">
        <v>1651</v>
      </c>
    </row>
    <row r="37" customFormat="false" ht="15" hidden="false" customHeight="false" outlineLevel="0" collapsed="false">
      <c r="A37" s="4" t="s">
        <v>1721</v>
      </c>
      <c r="B37" s="6" t="s">
        <v>1643</v>
      </c>
      <c r="C37" s="11" t="s">
        <v>1722</v>
      </c>
      <c r="D37" s="24" t="n">
        <v>0.045</v>
      </c>
      <c r="E37" s="25" t="n">
        <v>1</v>
      </c>
      <c r="F37" s="64" t="n">
        <f aca="false">D37*E37</f>
        <v>0.045</v>
      </c>
      <c r="I37" s="11" t="s">
        <v>1692</v>
      </c>
    </row>
    <row r="38" customFormat="false" ht="15" hidden="false" customHeight="false" outlineLevel="0" collapsed="false">
      <c r="A38" s="4" t="s">
        <v>1723</v>
      </c>
      <c r="B38" s="6" t="s">
        <v>1643</v>
      </c>
      <c r="C38" s="11" t="s">
        <v>1724</v>
      </c>
      <c r="D38" s="24" t="n">
        <v>0.04125</v>
      </c>
      <c r="E38" s="25" t="n">
        <v>2</v>
      </c>
      <c r="F38" s="64" t="n">
        <f aca="false">D38*E38</f>
        <v>0.0825</v>
      </c>
      <c r="I38" s="11" t="s">
        <v>1672</v>
      </c>
    </row>
    <row r="39" customFormat="false" ht="15" hidden="false" customHeight="false" outlineLevel="0" collapsed="false">
      <c r="A39" s="4" t="s">
        <v>1725</v>
      </c>
      <c r="B39" s="6" t="s">
        <v>1643</v>
      </c>
      <c r="C39" s="11" t="s">
        <v>1726</v>
      </c>
      <c r="D39" s="24" t="n">
        <v>0.05875</v>
      </c>
      <c r="E39" s="25" t="n">
        <v>2.5</v>
      </c>
      <c r="F39" s="64" t="n">
        <f aca="false">D39*E39</f>
        <v>0.146875</v>
      </c>
      <c r="I39" s="11" t="s">
        <v>1675</v>
      </c>
    </row>
    <row r="40" customFormat="false" ht="15" hidden="false" customHeight="false" outlineLevel="0" collapsed="false">
      <c r="A40" s="4" t="s">
        <v>1727</v>
      </c>
      <c r="B40" s="6" t="s">
        <v>1643</v>
      </c>
      <c r="C40" s="11" t="s">
        <v>1728</v>
      </c>
      <c r="D40" s="24" t="n">
        <v>0.0655</v>
      </c>
      <c r="E40" s="25" t="n">
        <v>2.25</v>
      </c>
      <c r="F40" s="64" t="n">
        <f aca="false">D40*E40</f>
        <v>0.147375</v>
      </c>
      <c r="I40" s="11" t="s">
        <v>1660</v>
      </c>
    </row>
    <row r="41" customFormat="false" ht="15" hidden="false" customHeight="false" outlineLevel="0" collapsed="false">
      <c r="A41" s="4" t="s">
        <v>1729</v>
      </c>
      <c r="B41" s="6" t="s">
        <v>1643</v>
      </c>
      <c r="C41" s="11" t="s">
        <v>1730</v>
      </c>
      <c r="D41" s="24" t="n">
        <v>0.04</v>
      </c>
      <c r="E41" s="25" t="n">
        <v>3</v>
      </c>
      <c r="F41" s="64" t="n">
        <f aca="false">D41*E41</f>
        <v>0.12</v>
      </c>
      <c r="I41" s="11" t="s">
        <v>1705</v>
      </c>
    </row>
    <row r="42" customFormat="false" ht="15" hidden="false" customHeight="false" outlineLevel="0" collapsed="false">
      <c r="A42" s="4" t="s">
        <v>1731</v>
      </c>
      <c r="B42" s="6" t="s">
        <v>1643</v>
      </c>
      <c r="C42" s="11" t="s">
        <v>1732</v>
      </c>
      <c r="D42" s="24" t="n">
        <v>0.04</v>
      </c>
      <c r="E42" s="25" t="n">
        <v>2.25</v>
      </c>
      <c r="F42" s="64" t="n">
        <f aca="false">D42*E42</f>
        <v>0.09</v>
      </c>
      <c r="I42" s="11" t="s">
        <v>1648</v>
      </c>
    </row>
    <row r="43" customFormat="false" ht="15" hidden="false" customHeight="false" outlineLevel="0" collapsed="false">
      <c r="A43" s="4" t="s">
        <v>1733</v>
      </c>
      <c r="B43" s="6" t="s">
        <v>1643</v>
      </c>
      <c r="C43" s="11" t="s">
        <v>1734</v>
      </c>
      <c r="D43" s="24" t="n">
        <v>0.036</v>
      </c>
      <c r="E43" s="25" t="n">
        <v>4.5</v>
      </c>
      <c r="F43" s="64" t="n">
        <f aca="false">D43*E43</f>
        <v>0.162</v>
      </c>
      <c r="I43" s="11" t="s">
        <v>1645</v>
      </c>
    </row>
    <row r="44" customFormat="false" ht="15" hidden="false" customHeight="false" outlineLevel="0" collapsed="false">
      <c r="A44" s="4" t="s">
        <v>1735</v>
      </c>
      <c r="B44" s="6" t="s">
        <v>1643</v>
      </c>
      <c r="C44" s="11" t="s">
        <v>1736</v>
      </c>
      <c r="D44" s="24" t="n">
        <v>0.0395</v>
      </c>
      <c r="E44" s="25" t="n">
        <v>3.25</v>
      </c>
      <c r="F44" s="64" t="n">
        <f aca="false">D44*E44</f>
        <v>0.128375</v>
      </c>
      <c r="I44" s="11" t="s">
        <v>1651</v>
      </c>
    </row>
    <row r="45" customFormat="false" ht="15" hidden="false" customHeight="false" outlineLevel="0" collapsed="false">
      <c r="A45" s="4" t="s">
        <v>1737</v>
      </c>
      <c r="B45" s="6" t="s">
        <v>1643</v>
      </c>
      <c r="C45" s="11" t="s">
        <v>1738</v>
      </c>
      <c r="D45" s="24" t="n">
        <v>0.069</v>
      </c>
      <c r="E45" s="25" t="n">
        <v>2.5</v>
      </c>
      <c r="F45" s="64" t="n">
        <f aca="false">D45*E45</f>
        <v>0.1725</v>
      </c>
      <c r="I45" s="11" t="s">
        <v>1666</v>
      </c>
    </row>
    <row r="46" customFormat="false" ht="15" hidden="false" customHeight="false" outlineLevel="0" collapsed="false">
      <c r="A46" s="4" t="s">
        <v>1739</v>
      </c>
      <c r="B46" s="6" t="s">
        <v>1643</v>
      </c>
      <c r="C46" s="11" t="s">
        <v>1740</v>
      </c>
      <c r="D46" s="24" t="n">
        <v>0.0555</v>
      </c>
      <c r="E46" s="25" t="n">
        <v>2.25</v>
      </c>
      <c r="F46" s="64" t="n">
        <f aca="false">D46*E46</f>
        <v>0.124875</v>
      </c>
      <c r="I46" s="11" t="s">
        <v>1654</v>
      </c>
    </row>
    <row r="47" customFormat="false" ht="15" hidden="false" customHeight="false" outlineLevel="0" collapsed="false">
      <c r="A47" s="4" t="s">
        <v>1741</v>
      </c>
      <c r="B47" s="6" t="s">
        <v>1643</v>
      </c>
      <c r="C47" s="11" t="s">
        <v>1742</v>
      </c>
      <c r="D47" s="24" t="n">
        <v>0.05375</v>
      </c>
      <c r="E47" s="25" t="n">
        <v>1.75</v>
      </c>
      <c r="F47" s="64" t="n">
        <f aca="false">D47*E47</f>
        <v>0.0940625</v>
      </c>
      <c r="I47" s="11" t="s">
        <v>1663</v>
      </c>
    </row>
    <row r="48" customFormat="false" ht="15" hidden="false" customHeight="false" outlineLevel="0" collapsed="false">
      <c r="A48" s="4" t="s">
        <v>1743</v>
      </c>
      <c r="B48" s="6" t="s">
        <v>1643</v>
      </c>
      <c r="C48" s="11" t="s">
        <v>1744</v>
      </c>
      <c r="D48" s="24" t="n">
        <v>0.04375</v>
      </c>
      <c r="E48" s="25" t="n">
        <v>1.25</v>
      </c>
      <c r="F48" s="64" t="n">
        <f aca="false">D48*E48</f>
        <v>0.0546875</v>
      </c>
      <c r="I48" s="11" t="s">
        <v>1672</v>
      </c>
    </row>
    <row r="49" customFormat="false" ht="15" hidden="false" customHeight="false" outlineLevel="0" collapsed="false">
      <c r="A49" s="4" t="s">
        <v>1745</v>
      </c>
      <c r="B49" s="6" t="s">
        <v>1643</v>
      </c>
      <c r="C49" s="11" t="s">
        <v>1746</v>
      </c>
      <c r="D49" s="24" t="n">
        <v>0.06</v>
      </c>
      <c r="E49" s="25" t="n">
        <v>1.75</v>
      </c>
      <c r="F49" s="64" t="n">
        <f aca="false">D49*E49</f>
        <v>0.105</v>
      </c>
      <c r="I49" s="11" t="s">
        <v>1657</v>
      </c>
    </row>
    <row r="50" customFormat="false" ht="15" hidden="false" customHeight="false" outlineLevel="0" collapsed="false">
      <c r="A50" s="4" t="s">
        <v>1747</v>
      </c>
      <c r="B50" s="6" t="s">
        <v>1643</v>
      </c>
      <c r="C50" s="11" t="s">
        <v>1748</v>
      </c>
      <c r="D50" s="24" t="n">
        <v>0.0595</v>
      </c>
      <c r="E50" s="25" t="n">
        <v>3.5</v>
      </c>
      <c r="F50" s="64" t="n">
        <f aca="false">D50*E50</f>
        <v>0.20825</v>
      </c>
      <c r="I50" s="11" t="s">
        <v>1675</v>
      </c>
    </row>
    <row r="51" customFormat="false" ht="15" hidden="false" customHeight="false" outlineLevel="0" collapsed="false">
      <c r="A51" s="4" t="s">
        <v>1749</v>
      </c>
      <c r="B51" s="6" t="s">
        <v>1643</v>
      </c>
      <c r="C51" s="11" t="s">
        <v>1750</v>
      </c>
      <c r="D51" s="24" t="n">
        <v>0.067</v>
      </c>
      <c r="E51" s="25" t="n">
        <v>5</v>
      </c>
      <c r="F51" s="64" t="n">
        <f aca="false">D51*E51</f>
        <v>0.335</v>
      </c>
      <c r="I51" s="11" t="s">
        <v>1660</v>
      </c>
    </row>
    <row r="52" customFormat="false" ht="15" hidden="false" customHeight="false" outlineLevel="0" collapsed="false">
      <c r="A52" s="4" t="s">
        <v>1751</v>
      </c>
      <c r="B52" s="6" t="s">
        <v>1643</v>
      </c>
      <c r="C52" s="11" t="s">
        <v>1752</v>
      </c>
      <c r="D52" s="24" t="n">
        <v>0.0385</v>
      </c>
      <c r="E52" s="25" t="n">
        <v>3.5</v>
      </c>
      <c r="F52" s="64" t="n">
        <f aca="false">D52*E52</f>
        <v>0.13475</v>
      </c>
      <c r="I52" s="11" t="s">
        <v>1645</v>
      </c>
    </row>
    <row r="53" customFormat="false" ht="15" hidden="false" customHeight="false" outlineLevel="0" collapsed="false">
      <c r="A53" s="4" t="s">
        <v>1753</v>
      </c>
      <c r="B53" s="6" t="s">
        <v>1643</v>
      </c>
      <c r="C53" s="11" t="s">
        <v>1754</v>
      </c>
      <c r="D53" s="24" t="n">
        <v>0.041</v>
      </c>
      <c r="E53" s="25" t="n">
        <v>1.5</v>
      </c>
      <c r="F53" s="64" t="n">
        <f aca="false">D53*E53</f>
        <v>0.0615</v>
      </c>
      <c r="I53" s="11" t="s">
        <v>1651</v>
      </c>
    </row>
    <row r="54" customFormat="false" ht="15" hidden="false" customHeight="false" outlineLevel="0" collapsed="false">
      <c r="A54" s="4" t="s">
        <v>1755</v>
      </c>
      <c r="B54" s="6" t="s">
        <v>1643</v>
      </c>
      <c r="C54" s="11" t="s">
        <v>1756</v>
      </c>
      <c r="D54" s="24" t="n">
        <v>0.055</v>
      </c>
      <c r="E54" s="25" t="n">
        <v>1.25</v>
      </c>
      <c r="F54" s="64" t="n">
        <f aca="false">D54*E54</f>
        <v>0.06875</v>
      </c>
      <c r="I54" s="11" t="s">
        <v>1663</v>
      </c>
    </row>
    <row r="55" customFormat="false" ht="15" hidden="false" customHeight="false" outlineLevel="0" collapsed="false">
      <c r="A55" s="4" t="s">
        <v>1757</v>
      </c>
      <c r="B55" s="6" t="s">
        <v>1643</v>
      </c>
      <c r="C55" s="11" t="s">
        <v>1758</v>
      </c>
      <c r="D55" s="24" t="n">
        <v>0.06125</v>
      </c>
      <c r="E55" s="25" t="n">
        <v>1</v>
      </c>
      <c r="F55" s="64" t="n">
        <f aca="false">D55*E55</f>
        <v>0.06125</v>
      </c>
      <c r="I55" s="11" t="s">
        <v>1657</v>
      </c>
    </row>
    <row r="56" customFormat="false" ht="15" hidden="false" customHeight="false" outlineLevel="0" collapsed="false">
      <c r="A56" s="4" t="s">
        <v>1759</v>
      </c>
      <c r="B56" s="6" t="s">
        <v>1643</v>
      </c>
      <c r="C56" s="11" t="s">
        <v>1760</v>
      </c>
      <c r="D56" s="24" t="n">
        <v>0.061</v>
      </c>
      <c r="E56" s="25" t="n">
        <v>2</v>
      </c>
      <c r="F56" s="64" t="n">
        <f aca="false">D56*E56</f>
        <v>0.122</v>
      </c>
      <c r="I56" s="11" t="s">
        <v>1675</v>
      </c>
    </row>
    <row r="57" customFormat="false" ht="15" hidden="false" customHeight="false" outlineLevel="0" collapsed="false">
      <c r="A57" s="4" t="s">
        <v>1761</v>
      </c>
      <c r="B57" s="6" t="s">
        <v>1643</v>
      </c>
      <c r="C57" s="11" t="s">
        <v>1762</v>
      </c>
      <c r="D57" s="24" t="n">
        <v>0.0685</v>
      </c>
      <c r="E57" s="25" t="n">
        <v>2.75</v>
      </c>
      <c r="F57" s="64" t="n">
        <f aca="false">D57*E57</f>
        <v>0.188375</v>
      </c>
      <c r="I57" s="11" t="s">
        <v>1660</v>
      </c>
    </row>
    <row r="58" customFormat="false" ht="15" hidden="false" customHeight="false" outlineLevel="0" collapsed="false">
      <c r="A58" s="3" t="s">
        <v>1763</v>
      </c>
      <c r="B58" s="6" t="s">
        <v>1643</v>
      </c>
      <c r="C58" s="11" t="s">
        <v>1656</v>
      </c>
      <c r="D58" s="24" t="n">
        <v>0.0443</v>
      </c>
      <c r="E58" s="25" t="n">
        <v>0.5</v>
      </c>
      <c r="F58" s="64" t="n">
        <f aca="false">D58*E58</f>
        <v>0.02215</v>
      </c>
      <c r="I58" s="11" t="s">
        <v>1657</v>
      </c>
    </row>
    <row r="59" customFormat="false" ht="15" hidden="false" customHeight="false" outlineLevel="0" collapsed="false">
      <c r="A59" s="3" t="s">
        <v>1764</v>
      </c>
      <c r="B59" s="6" t="s">
        <v>1643</v>
      </c>
      <c r="C59" s="11" t="s">
        <v>1659</v>
      </c>
      <c r="D59" s="24" t="n">
        <v>0.0478</v>
      </c>
      <c r="E59" s="25" t="n">
        <v>0.5</v>
      </c>
      <c r="F59" s="64" t="n">
        <f aca="false">D59*E59</f>
        <v>0.0239</v>
      </c>
      <c r="I59" s="11" t="s">
        <v>1660</v>
      </c>
    </row>
    <row r="60" customFormat="false" ht="15" hidden="false" customHeight="false" outlineLevel="0" collapsed="false">
      <c r="A60" s="3" t="s">
        <v>1765</v>
      </c>
      <c r="B60" s="6" t="s">
        <v>1643</v>
      </c>
      <c r="C60" s="11" t="s">
        <v>1766</v>
      </c>
      <c r="D60" s="24" t="n">
        <v>0.0474</v>
      </c>
      <c r="E60" s="25" t="n">
        <v>5.067</v>
      </c>
      <c r="F60" s="64" t="n">
        <f aca="false">D60*E60</f>
        <v>0.2401758</v>
      </c>
      <c r="I60" s="11" t="s">
        <v>1767</v>
      </c>
    </row>
    <row r="61" customFormat="false" ht="15" hidden="false" customHeight="false" outlineLevel="0" collapsed="false">
      <c r="A61" s="3" t="s">
        <v>1768</v>
      </c>
      <c r="B61" s="6" t="s">
        <v>1643</v>
      </c>
      <c r="C61" s="11" t="s">
        <v>1769</v>
      </c>
      <c r="D61" s="24" t="n">
        <v>0.0435</v>
      </c>
      <c r="E61" s="25" t="n">
        <v>0.337</v>
      </c>
      <c r="F61" s="64" t="n">
        <f aca="false">D61*E61</f>
        <v>0.0146595</v>
      </c>
      <c r="I61" s="6" t="s">
        <v>1770</v>
      </c>
    </row>
    <row r="62" customFormat="false" ht="15" hidden="false" customHeight="false" outlineLevel="0" collapsed="false">
      <c r="A62" s="2" t="s">
        <v>1771</v>
      </c>
      <c r="E62" s="56" t="n">
        <f aca="false">SUM(E5:E61)</f>
        <v>125.904</v>
      </c>
      <c r="F62" s="56" t="n">
        <f aca="false">SUM(F5:F61)</f>
        <v>6.0449478</v>
      </c>
      <c r="I62" s="6" t="s">
        <v>1772</v>
      </c>
    </row>
    <row r="63" customFormat="false" ht="15" hidden="false" customHeight="false" outlineLevel="0" collapsed="false">
      <c r="A63" s="2" t="s">
        <v>1773</v>
      </c>
      <c r="D63" s="85" t="n">
        <f aca="false">F62/E62</f>
        <v>0.0480123570339306</v>
      </c>
      <c r="I63" s="6" t="s">
        <v>1774</v>
      </c>
    </row>
    <row r="65" customFormat="false" ht="15" hidden="false" customHeight="false" outlineLevel="0" collapsed="false">
      <c r="A65" s="3" t="s">
        <v>1775</v>
      </c>
      <c r="D65" s="86" t="n">
        <v>0</v>
      </c>
      <c r="E65" s="25" t="n">
        <v>0</v>
      </c>
      <c r="F65" s="10" t="n">
        <f aca="false">D65*E65</f>
        <v>0</v>
      </c>
      <c r="I65" s="11" t="s">
        <v>1776</v>
      </c>
    </row>
    <row r="67" customFormat="false" ht="15" hidden="false" customHeight="false" outlineLevel="0" collapsed="false">
      <c r="A67" s="49" t="s">
        <v>1777</v>
      </c>
      <c r="B67" s="8"/>
      <c r="C67" s="8"/>
      <c r="D67" s="8"/>
      <c r="E67" s="8"/>
      <c r="F67" s="8"/>
      <c r="G67" s="8"/>
      <c r="H67" s="8"/>
    </row>
    <row r="68" customFormat="false" ht="17.15" hidden="false" customHeight="false" outlineLevel="1" collapsed="false">
      <c r="A68" s="14" t="s">
        <v>1778</v>
      </c>
      <c r="B68" s="14" t="s">
        <v>1638</v>
      </c>
      <c r="C68" s="14" t="s">
        <v>1779</v>
      </c>
      <c r="D68" s="14" t="s">
        <v>1780</v>
      </c>
      <c r="E68" s="14" t="s">
        <v>1781</v>
      </c>
      <c r="F68" s="14" t="s">
        <v>1782</v>
      </c>
      <c r="G68" s="14" t="s">
        <v>1783</v>
      </c>
      <c r="H68" s="14" t="s">
        <v>1784</v>
      </c>
      <c r="I68" s="14" t="s">
        <v>619</v>
      </c>
    </row>
    <row r="69" customFormat="false" ht="15" hidden="false" customHeight="false" outlineLevel="1" collapsed="false">
      <c r="A69" s="4" t="s">
        <v>1785</v>
      </c>
      <c r="B69" s="11" t="s">
        <v>1786</v>
      </c>
      <c r="C69" s="86" t="n">
        <v>0.065</v>
      </c>
      <c r="D69" s="41" t="n">
        <v>5</v>
      </c>
      <c r="E69" s="78" t="n">
        <v>1</v>
      </c>
      <c r="F69" s="40" t="n">
        <v>160.06</v>
      </c>
      <c r="G69" s="66" t="n">
        <v>2</v>
      </c>
      <c r="H69" s="21" t="n">
        <v>1</v>
      </c>
      <c r="I69" s="6" t="s">
        <v>1787</v>
      </c>
    </row>
    <row r="70" customFormat="false" ht="15" hidden="false" customHeight="false" outlineLevel="1" collapsed="false">
      <c r="I70" s="6" t="s">
        <v>1788</v>
      </c>
    </row>
    <row r="71" customFormat="false" ht="15" hidden="false" customHeight="false" outlineLevel="1" collapsed="false"/>
    <row r="72" customFormat="false" ht="15" hidden="false" customHeight="false" outlineLevel="1" collapsed="false">
      <c r="A72" s="14" t="s">
        <v>1789</v>
      </c>
      <c r="C72" s="14" t="s">
        <v>1790</v>
      </c>
      <c r="D72" s="14" t="s">
        <v>1791</v>
      </c>
      <c r="E72" s="14" t="s">
        <v>1792</v>
      </c>
      <c r="F72" s="14" t="s">
        <v>1793</v>
      </c>
      <c r="G72" s="14" t="s">
        <v>1794</v>
      </c>
      <c r="H72" s="14" t="s">
        <v>1795</v>
      </c>
      <c r="I72" s="14" t="s">
        <v>724</v>
      </c>
    </row>
    <row r="73" customFormat="false" ht="15" hidden="false" customHeight="false" outlineLevel="1" collapsed="false">
      <c r="A73" s="3" t="str">
        <f aca="false">A69</f>
        <v>6.50% Series D 強制轉換特別股（2026-02）</v>
      </c>
      <c r="C73" s="30" t="n">
        <f aca="false">D69*E69</f>
        <v>5</v>
      </c>
      <c r="D73" s="30" t="n">
        <f aca="false">D69/F69</f>
        <v>0.0312382856428839</v>
      </c>
      <c r="E73" s="52" t="n">
        <f aca="false">F69*E69</f>
        <v>160.06</v>
      </c>
      <c r="F73" s="66" t="n">
        <f aca="false">IF(OR(H69=1,E73&lt;輸入與假設!$C$152),1,0)</f>
        <v>1</v>
      </c>
      <c r="G73" s="66" t="n">
        <f aca="false">IF(OR(H69=1,E73&lt;輸入與假設!$C$175),1,0)</f>
        <v>1</v>
      </c>
      <c r="H73" s="66" t="n">
        <f aca="false">IF(OR(H69=1,E73&lt;評價_DCF與目標價!$C$66),1,0)</f>
        <v>1</v>
      </c>
    </row>
    <row r="74" customFormat="false" ht="15" hidden="false" customHeight="false" outlineLevel="1" collapsed="false">
      <c r="A74" s="2" t="s">
        <v>1796</v>
      </c>
      <c r="C74" s="87" t="n">
        <f aca="false">SUM(C73:C73)</f>
        <v>5</v>
      </c>
      <c r="D74" s="87" t="n">
        <f aca="false">SUM(D73:D73)</f>
        <v>0.0312382856428839</v>
      </c>
      <c r="I74" s="6" t="s">
        <v>1797</v>
      </c>
    </row>
    <row r="76" customFormat="false" ht="15" hidden="false" customHeight="false" outlineLevel="0" collapsed="false">
      <c r="A76" s="49" t="s">
        <v>1798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14" t="s">
        <v>53</v>
      </c>
      <c r="B77" s="14" t="s">
        <v>54</v>
      </c>
      <c r="C77" s="28" t="s">
        <v>55</v>
      </c>
      <c r="D77" s="28" t="s">
        <v>56</v>
      </c>
      <c r="E77" s="28" t="s">
        <v>57</v>
      </c>
      <c r="F77" s="28" t="s">
        <v>148</v>
      </c>
      <c r="G77" s="28" t="s">
        <v>149</v>
      </c>
      <c r="I77" s="14" t="s">
        <v>750</v>
      </c>
    </row>
    <row r="78" customFormat="false" ht="15" hidden="false" customHeight="false" outlineLevel="1" collapsed="false">
      <c r="A78" s="3" t="s">
        <v>1799</v>
      </c>
      <c r="B78" s="11" t="s">
        <v>59</v>
      </c>
      <c r="C78" s="64" t="n">
        <f aca="false">E62</f>
        <v>125.904</v>
      </c>
      <c r="D78" s="64" t="n">
        <f aca="false">C80</f>
        <v>122.897</v>
      </c>
      <c r="E78" s="64" t="n">
        <f aca="false">D80</f>
        <v>112.75</v>
      </c>
      <c r="F78" s="64" t="n">
        <f aca="false">E80</f>
        <v>107.25</v>
      </c>
      <c r="G78" s="64" t="n">
        <f aca="false">F80</f>
        <v>100</v>
      </c>
      <c r="I78" s="11" t="s">
        <v>1800</v>
      </c>
    </row>
    <row r="79" customFormat="false" ht="15" hidden="false" customHeight="false" outlineLevel="1" collapsed="false">
      <c r="A79" s="3" t="s">
        <v>1801</v>
      </c>
      <c r="B79" s="11" t="s">
        <v>59</v>
      </c>
      <c r="C79" s="42" t="n">
        <f aca="false">輸入與假設!C$170</f>
        <v>3.007</v>
      </c>
      <c r="D79" s="42" t="n">
        <f aca="false">輸入與假設!D$170</f>
        <v>10.147</v>
      </c>
      <c r="E79" s="42" t="n">
        <f aca="false">輸入與假設!E$170</f>
        <v>5.5</v>
      </c>
      <c r="F79" s="42" t="n">
        <f aca="false">輸入與假設!F$170</f>
        <v>7.25</v>
      </c>
      <c r="G79" s="42" t="n">
        <f aca="false">輸入與假設!G$170</f>
        <v>9.75</v>
      </c>
      <c r="I79" s="6" t="s">
        <v>1802</v>
      </c>
    </row>
    <row r="80" customFormat="false" ht="15" hidden="false" customHeight="false" outlineLevel="1" collapsed="false">
      <c r="A80" s="3" t="s">
        <v>1803</v>
      </c>
      <c r="B80" s="11" t="s">
        <v>59</v>
      </c>
      <c r="C80" s="64" t="n">
        <f aca="false">C78-C79</f>
        <v>122.897</v>
      </c>
      <c r="D80" s="64" t="n">
        <f aca="false">D78-D79</f>
        <v>112.75</v>
      </c>
      <c r="E80" s="64" t="n">
        <f aca="false">E78-E79</f>
        <v>107.25</v>
      </c>
      <c r="F80" s="64" t="n">
        <f aca="false">F78-F79</f>
        <v>100</v>
      </c>
      <c r="G80" s="64" t="n">
        <f aca="false">G78-G79</f>
        <v>90.25</v>
      </c>
    </row>
    <row r="81" customFormat="false" ht="15" hidden="false" customHeight="false" outlineLevel="1" collapsed="false">
      <c r="A81" s="3" t="s">
        <v>1804</v>
      </c>
      <c r="B81" s="11" t="s">
        <v>59</v>
      </c>
      <c r="C81" s="64" t="n">
        <f aca="false">(C78+C80)/2</f>
        <v>124.4005</v>
      </c>
      <c r="D81" s="64" t="n">
        <f aca="false">(D78+D80)/2</f>
        <v>117.8235</v>
      </c>
      <c r="E81" s="64" t="n">
        <f aca="false">(E78+E80)/2</f>
        <v>110</v>
      </c>
      <c r="F81" s="64" t="n">
        <f aca="false">(F78+F80)/2</f>
        <v>103.625</v>
      </c>
      <c r="G81" s="64" t="n">
        <f aca="false">(G78+G80)/2</f>
        <v>95.125</v>
      </c>
    </row>
    <row r="82" customFormat="false" ht="15" hidden="false" customHeight="false" outlineLevel="1" collapsed="false">
      <c r="A82" s="3" t="s">
        <v>1805</v>
      </c>
      <c r="B82" s="11" t="s">
        <v>59</v>
      </c>
      <c r="C82" s="64" t="n">
        <f aca="false">C81*資產負債_既有債務!$D$63*輸入與假設!C$41</f>
        <v>4.47957091589961</v>
      </c>
      <c r="D82" s="64" t="n">
        <f aca="false">D81*資產負債_既有債務!$D$63*輸入與假設!D$41</f>
        <v>5.65698394898732</v>
      </c>
      <c r="E82" s="64" t="n">
        <f aca="false">E81*資產負債_既有債務!$D$63*輸入與假設!E$41</f>
        <v>5.28135927373237</v>
      </c>
      <c r="F82" s="64" t="n">
        <f aca="false">F81*資產負債_既有債務!$D$63*輸入與假設!F$41</f>
        <v>4.97528049764106</v>
      </c>
      <c r="G82" s="64" t="n">
        <f aca="false">G81*資產負債_既有債務!$D$63*輸入與假設!G$41</f>
        <v>4.56717546285265</v>
      </c>
      <c r="I82" s="6" t="s">
        <v>1806</v>
      </c>
    </row>
    <row r="83" customFormat="false" ht="15" hidden="false" customHeight="false" outlineLevel="1" collapsed="false">
      <c r="A83" s="3" t="s">
        <v>1807</v>
      </c>
      <c r="B83" s="11" t="s">
        <v>59</v>
      </c>
      <c r="C83" s="64" t="n">
        <f aca="false">資產負債_既有債務!$F$65*輸入與假設!C$41</f>
        <v>0</v>
      </c>
      <c r="D83" s="64" t="n">
        <f aca="false">資產負債_既有債務!$F$65*輸入與假設!D$41</f>
        <v>0</v>
      </c>
      <c r="E83" s="64" t="n">
        <f aca="false">資產負債_既有債務!$F$65*輸入與假設!E$41</f>
        <v>0</v>
      </c>
      <c r="F83" s="64" t="n">
        <f aca="false">資產負債_既有債務!$F$65*輸入與假設!F$41</f>
        <v>0</v>
      </c>
      <c r="G83" s="64" t="n">
        <f aca="false">資產負債_既有債務!$F$65*輸入與假設!G$41</f>
        <v>0</v>
      </c>
    </row>
    <row r="84" customFormat="false" ht="15" hidden="false" customHeight="false" outlineLevel="1" collapsed="false">
      <c r="A84" s="3" t="s">
        <v>1808</v>
      </c>
      <c r="B84" s="11" t="s">
        <v>59</v>
      </c>
      <c r="C84" s="64" t="n">
        <f aca="false">IF(輸入與假設!$C$144=1,SUMPRODUCT((1-資產負債_既有債務!$F$73:$F$73)*資產負債_既有債務!$C$73:$C$73*(資產負債_既有債務!$G$69:$G$69=0)),0)</f>
        <v>0</v>
      </c>
      <c r="D84" s="64" t="n">
        <f aca="false">IF(輸入與假設!$C$144=1,SUMPRODUCT((1-資產負債_既有債務!$F$73:$F$73)*資產負債_既有債務!$C$73:$C$73*(資產負債_既有債務!$G$69:$G$69=1)),0)</f>
        <v>0</v>
      </c>
      <c r="E84" s="64" t="n">
        <f aca="false">IF(輸入與假設!$C$144=1,SUMPRODUCT((1-資產負債_既有債務!$F$73:$F$73)*資產負債_既有債務!$C$73:$C$73*(資產負債_既有債務!$G$69:$G$69=2)),0)</f>
        <v>0</v>
      </c>
      <c r="F84" s="64" t="n">
        <f aca="false">IF(輸入與假設!$C$144=1,SUMPRODUCT((1-資產負債_既有債務!$F$73:$F$73)*資產負債_既有債務!$C$73:$C$73*(資產負債_既有債務!$G$69:$G$69=3)),0)</f>
        <v>0</v>
      </c>
      <c r="G84" s="64" t="n">
        <f aca="false">IF(輸入與假設!$C$144=1,SUMPRODUCT((1-資產負債_既有債務!$F$73:$F$73)*資產負債_既有債務!$C$73:$C$73*(資產負債_既有債務!$G$69:$G$69=4)),0)</f>
        <v>0</v>
      </c>
      <c r="I84" s="6" t="s">
        <v>1809</v>
      </c>
    </row>
    <row r="85" customFormat="false" ht="15" hidden="false" customHeight="false" outlineLevel="1" collapsed="false">
      <c r="A85" s="3" t="s">
        <v>1810</v>
      </c>
      <c r="B85" s="11" t="s">
        <v>59</v>
      </c>
      <c r="C85" s="64" t="n">
        <f aca="false">IF(輸入與假設!$C$144=1,SUMPRODUCT((1-資產負債_既有債務!$F$73:$F$73)*資產負債_既有債務!$C$73:$C$73*(資產負債_既有債務!$G$69:$G$69&gt;0)),SUMPRODUCT((1-資產負債_既有債務!$F$73:$F$73)*資產負債_既有債務!$C$73:$C$73))</f>
        <v>0</v>
      </c>
      <c r="D85" s="64" t="n">
        <f aca="false">IF(輸入與假設!$C$144=1,SUMPRODUCT((1-資產負債_既有債務!$F$73:$F$73)*資產負債_既有債務!$C$73:$C$73*(資產負債_既有債務!$G$69:$G$69&gt;1)),SUMPRODUCT((1-資產負債_既有債務!$F$73:$F$73)*資產負債_既有債務!$C$73:$C$73))</f>
        <v>0</v>
      </c>
      <c r="E85" s="64" t="n">
        <f aca="false">IF(輸入與假設!$C$144=1,SUMPRODUCT((1-資產負債_既有債務!$F$73:$F$73)*資產負債_既有債務!$C$73:$C$73*(資產負債_既有債務!$G$69:$G$69&gt;2)),SUMPRODUCT((1-資產負債_既有債務!$F$73:$F$73)*資產負債_既有債務!$C$73:$C$73))</f>
        <v>0</v>
      </c>
      <c r="F85" s="64" t="n">
        <f aca="false">IF(輸入與假設!$C$144=1,SUMPRODUCT((1-資產負債_既有債務!$F$73:$F$73)*資產負債_既有債務!$C$73:$C$73*(資產負債_既有債務!$G$69:$G$69&gt;3)),SUMPRODUCT((1-資產負債_既有債務!$F$73:$F$73)*資產負債_既有債務!$C$73:$C$73))</f>
        <v>0</v>
      </c>
      <c r="G85" s="64" t="n">
        <f aca="false">IF(輸入與假設!$C$144=1,SUMPRODUCT((1-資產負債_既有債務!$F$73:$F$73)*資產負債_既有債務!$C$73:$C$73*(資產負債_既有債務!$G$69:$G$69&gt;4)),SUMPRODUCT((1-資產負債_既有債務!$F$73:$F$73)*資產負債_既有債務!$C$73:$C$73))</f>
        <v>0</v>
      </c>
      <c r="I85" s="6" t="s">
        <v>1811</v>
      </c>
    </row>
    <row r="86" customFormat="false" ht="15" hidden="false" customHeight="false" outlineLevel="1" collapsed="false">
      <c r="A86" s="3" t="s">
        <v>1812</v>
      </c>
      <c r="B86" s="11" t="s">
        <v>59</v>
      </c>
      <c r="C86" s="64" t="n">
        <f aca="false">IF(輸入與假設!$C$144=1,SUMPRODUCT((1-資產負債_既有債務!$F$73:$F$73)*資產負債_既有債務!$D$69:$D$69*資產負債_既有債務!$C$69:$C$69*((資產負債_既有債務!$G$69:$G$69&gt;0)+0.5*(資產負債_既有債務!$G$69:$G$69=0))),SUMPRODUCT((1-資產負債_既有債務!$F$73:$F$73)*資產負債_既有債務!$D$69:$D$69*資產負債_既有債務!$C$69:$C$69))*輸入與假設!C$41</f>
        <v>0</v>
      </c>
      <c r="D86" s="64" t="n">
        <f aca="false">IF(輸入與假設!$C$144=1,SUMPRODUCT((1-資產負債_既有債務!$F$73:$F$73)*資產負債_既有債務!$D$69:$D$69*資產負債_既有債務!$C$69:$C$69*((資產負債_既有債務!$G$69:$G$69&gt;1)+0.5*(資產負債_既有債務!$G$69:$G$69=1))),SUMPRODUCT((1-資產負債_既有債務!$F$73:$F$73)*資產負債_既有債務!$D$69:$D$69*資產負債_既有債務!$C$69:$C$69))*輸入與假設!D$41</f>
        <v>0</v>
      </c>
      <c r="E86" s="64" t="n">
        <f aca="false">IF(輸入與假設!$C$144=1,SUMPRODUCT((1-資產負債_既有債務!$F$73:$F$73)*資產負債_既有債務!$D$69:$D$69*資產負債_既有債務!$C$69:$C$69*((資產負債_既有債務!$G$69:$G$69&gt;2)+0.5*(資產負債_既有債務!$G$69:$G$69=2))),SUMPRODUCT((1-資產負債_既有債務!$F$73:$F$73)*資產負債_既有債務!$D$69:$D$69*資產負債_既有債務!$C$69:$C$69))*輸入與假設!E$41</f>
        <v>0</v>
      </c>
      <c r="F86" s="64" t="n">
        <f aca="false">IF(輸入與假設!$C$144=1,SUMPRODUCT((1-資產負債_既有債務!$F$73:$F$73)*資產負債_既有債務!$D$69:$D$69*資產負債_既有債務!$C$69:$C$69*((資產負債_既有債務!$G$69:$G$69&gt;3)+0.5*(資產負債_既有債務!$G$69:$G$69=3))),SUMPRODUCT((1-資產負債_既有債務!$F$73:$F$73)*資產負債_既有債務!$D$69:$D$69*資產負債_既有債務!$C$69:$C$69))*輸入與假設!F$41</f>
        <v>0</v>
      </c>
      <c r="G86" s="64" t="n">
        <f aca="false">IF(輸入與假設!$C$144=1,SUMPRODUCT((1-資產負債_既有債務!$F$73:$F$73)*資產負債_既有債務!$D$69:$D$69*資產負債_既有債務!$C$69:$C$69*((資產負債_既有債務!$G$69:$G$69&gt;4)+0.5*(資產負債_既有債務!$G$69:$G$69=4))),SUMPRODUCT((1-資產負債_既有債務!$F$73:$F$73)*資產負債_既有債務!$D$69:$D$69*資產負債_既有債務!$C$69:$C$69))*輸入與假設!G$41</f>
        <v>0</v>
      </c>
      <c r="I86" s="6" t="s">
        <v>1813</v>
      </c>
    </row>
    <row r="87" customFormat="false" ht="15" hidden="false" customHeight="false" outlineLevel="1" collapsed="false">
      <c r="A87" s="4" t="s">
        <v>1814</v>
      </c>
      <c r="B87" s="11" t="s">
        <v>59</v>
      </c>
      <c r="C87" s="25" t="n">
        <f aca="false">0</f>
        <v>0</v>
      </c>
      <c r="D87" s="25" t="n">
        <f aca="false">0</f>
        <v>0</v>
      </c>
      <c r="E87" s="25" t="n">
        <f aca="false">0</f>
        <v>0</v>
      </c>
      <c r="F87" s="25" t="n">
        <f aca="false">0</f>
        <v>0</v>
      </c>
      <c r="G87" s="25" t="n">
        <f aca="false">0</f>
        <v>0</v>
      </c>
      <c r="I87" s="6" t="s">
        <v>1815</v>
      </c>
    </row>
    <row r="88" customFormat="false" ht="15" hidden="false" customHeight="false" outlineLevel="1" collapsed="false">
      <c r="A88" s="2" t="s">
        <v>1816</v>
      </c>
      <c r="B88" s="11" t="s">
        <v>59</v>
      </c>
      <c r="C88" s="38" t="n">
        <f aca="false">C82+C83+C86+C87</f>
        <v>4.47957091589961</v>
      </c>
      <c r="D88" s="38" t="n">
        <f aca="false">D82+D83+D86+D87</f>
        <v>5.65698394898732</v>
      </c>
      <c r="E88" s="38" t="n">
        <f aca="false">E82+E83+E86+E87</f>
        <v>5.28135927373237</v>
      </c>
      <c r="F88" s="38" t="n">
        <f aca="false">F82+F83+F86+F87</f>
        <v>4.97528049764106</v>
      </c>
      <c r="G88" s="38" t="n">
        <f aca="false">G82+G83+G86+G87</f>
        <v>4.56717546285265</v>
      </c>
      <c r="I88" s="6" t="s">
        <v>1817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1818</v>
      </c>
    </row>
    <row r="2" customFormat="false" ht="15" hidden="false" customHeight="false" outlineLevel="0" collapsed="false">
      <c r="A2" s="6" t="s">
        <v>1819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148</v>
      </c>
      <c r="G4" s="28" t="s">
        <v>149</v>
      </c>
      <c r="I4" s="14" t="s">
        <v>750</v>
      </c>
    </row>
    <row r="5" customFormat="false" ht="15" hidden="false" customHeight="false" outlineLevel="0" collapsed="false">
      <c r="A5" s="49" t="s">
        <v>1820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1821</v>
      </c>
      <c r="B6" s="11" t="s">
        <v>59</v>
      </c>
      <c r="C6" s="64" t="n">
        <f aca="false">輸入與假設!$C$139</f>
        <v>36.369</v>
      </c>
      <c r="D6" s="64" t="n">
        <f aca="false">各期收支!C52</f>
        <v>9.99999999999999</v>
      </c>
      <c r="E6" s="64" t="n">
        <f aca="false">各期收支!D52</f>
        <v>9.99999999999999</v>
      </c>
      <c r="F6" s="64" t="n">
        <f aca="false">各期收支!E52</f>
        <v>21.8601498643467</v>
      </c>
      <c r="G6" s="64" t="n">
        <f aca="false">各期收支!F52</f>
        <v>18.1983872325656</v>
      </c>
      <c r="I6" s="11" t="s">
        <v>1822</v>
      </c>
    </row>
    <row r="7" customFormat="false" ht="15" hidden="false" customHeight="false" outlineLevel="1" collapsed="false">
      <c r="A7" s="3" t="s">
        <v>1823</v>
      </c>
      <c r="B7" s="11" t="s">
        <v>59</v>
      </c>
      <c r="C7" s="64" t="n">
        <f aca="false">各期收支!C95-輸入與假設!$C$139</f>
        <v>-28.1144089769284</v>
      </c>
      <c r="D7" s="64" t="n">
        <f aca="false">各期收支!D95-各期收支!C95</f>
        <v>-35.3245788351158</v>
      </c>
      <c r="E7" s="64" t="n">
        <f aca="false">各期收支!E95-各期收支!D95</f>
        <v>14.1474781353205</v>
      </c>
      <c r="F7" s="64" t="n">
        <f aca="false">各期收支!F95-各期收支!E95</f>
        <v>-1.37443436080737</v>
      </c>
      <c r="G7" s="64" t="n">
        <f aca="false">各期收支!G95-各期收支!F95</f>
        <v>-5.45790914877361</v>
      </c>
      <c r="I7" s="6" t="s">
        <v>1824</v>
      </c>
    </row>
    <row r="8" customFormat="false" ht="15" hidden="false" customHeight="false" outlineLevel="1" collapsed="false">
      <c r="A8" s="3" t="s">
        <v>1825</v>
      </c>
      <c r="B8" s="11" t="s">
        <v>59</v>
      </c>
      <c r="C8" s="64" t="n">
        <f aca="false">各期收支!C78</f>
        <v>1.82478722104382</v>
      </c>
      <c r="D8" s="64" t="n">
        <f aca="false">各期收支!D78</f>
        <v>37.6119071060896</v>
      </c>
      <c r="E8" s="64" t="n">
        <f aca="false">各期收支!E78</f>
        <v>0</v>
      </c>
      <c r="F8" s="64" t="n">
        <f aca="false">各期收支!F78</f>
        <v>0</v>
      </c>
      <c r="G8" s="64" t="n">
        <f aca="false">各期收支!G78</f>
        <v>0</v>
      </c>
    </row>
    <row r="9" customFormat="false" ht="15" hidden="false" customHeight="false" outlineLevel="1" collapsed="false">
      <c r="A9" s="3" t="s">
        <v>1826</v>
      </c>
      <c r="B9" s="11" t="s">
        <v>59</v>
      </c>
      <c r="C9" s="64" t="n">
        <f aca="false">各期收支!C81</f>
        <v>0</v>
      </c>
      <c r="D9" s="64" t="n">
        <f aca="false">各期收支!D81</f>
        <v>0</v>
      </c>
      <c r="E9" s="64" t="n">
        <f aca="false">各期收支!E81</f>
        <v>0</v>
      </c>
      <c r="F9" s="64" t="n">
        <f aca="false">各期收支!F81</f>
        <v>0</v>
      </c>
      <c r="G9" s="64" t="n">
        <f aca="false">各期收支!G81</f>
        <v>0</v>
      </c>
    </row>
    <row r="10" customFormat="false" ht="15" hidden="false" customHeight="false" outlineLevel="1" collapsed="false">
      <c r="A10" s="3" t="s">
        <v>1827</v>
      </c>
      <c r="B10" s="11" t="s">
        <v>59</v>
      </c>
      <c r="C10" s="64" t="n">
        <f aca="false">各期收支!C85</f>
        <v>0</v>
      </c>
      <c r="D10" s="64" t="n">
        <f aca="false">各期收支!D85</f>
        <v>0</v>
      </c>
      <c r="E10" s="64" t="n">
        <f aca="false">各期收支!E85</f>
        <v>0</v>
      </c>
      <c r="F10" s="64" t="n">
        <f aca="false">各期收支!F85</f>
        <v>0</v>
      </c>
      <c r="G10" s="64" t="n">
        <f aca="false">各期收支!G85</f>
        <v>0</v>
      </c>
    </row>
    <row r="11" customFormat="false" ht="15" hidden="false" customHeight="false" outlineLevel="1" collapsed="false">
      <c r="A11" s="3" t="s">
        <v>1828</v>
      </c>
      <c r="B11" s="11" t="s">
        <v>59</v>
      </c>
      <c r="C11" s="64" t="n">
        <f aca="false">各期收支!C84</f>
        <v>0</v>
      </c>
      <c r="D11" s="64" t="n">
        <f aca="false">各期收支!D84</f>
        <v>0</v>
      </c>
      <c r="E11" s="64" t="n">
        <f aca="false">各期收支!E84</f>
        <v>0</v>
      </c>
      <c r="F11" s="64" t="n">
        <f aca="false">各期收支!F84</f>
        <v>0</v>
      </c>
      <c r="G11" s="64" t="n">
        <f aca="false">各期收支!G84</f>
        <v>0</v>
      </c>
    </row>
    <row r="12" customFormat="false" ht="15" hidden="false" customHeight="false" outlineLevel="1" collapsed="false">
      <c r="A12" s="3" t="s">
        <v>1829</v>
      </c>
      <c r="B12" s="11" t="s">
        <v>59</v>
      </c>
      <c r="C12" s="64" t="n">
        <f aca="false">-各期收支!C86</f>
        <v>-0.0793782441154063</v>
      </c>
      <c r="D12" s="64" t="n">
        <f aca="false">-各期收支!D86</f>
        <v>-2.28732827097374</v>
      </c>
      <c r="E12" s="64" t="n">
        <f aca="false">-各期收支!E86</f>
        <v>-2.28732827097374</v>
      </c>
      <c r="F12" s="64" t="n">
        <f aca="false">-各期收支!F86</f>
        <v>-2.28732827097374</v>
      </c>
      <c r="G12" s="64" t="n">
        <f aca="false">-各期收支!G86</f>
        <v>-2.28732827097374</v>
      </c>
    </row>
    <row r="13" customFormat="false" ht="15" hidden="false" customHeight="false" outlineLevel="1" collapsed="false">
      <c r="A13" s="2" t="s">
        <v>1830</v>
      </c>
      <c r="B13" s="11" t="s">
        <v>59</v>
      </c>
      <c r="C13" s="38" t="n">
        <f aca="false">SUM(C6:C12)</f>
        <v>10</v>
      </c>
      <c r="D13" s="38" t="n">
        <f aca="false">SUM(D6:D12)</f>
        <v>10</v>
      </c>
      <c r="E13" s="38" t="n">
        <f aca="false">SUM(E6:E12)</f>
        <v>21.8601498643467</v>
      </c>
      <c r="F13" s="38" t="n">
        <f aca="false">SUM(F6:F12)</f>
        <v>18.1983872325656</v>
      </c>
      <c r="G13" s="38" t="n">
        <f aca="false">SUM(G6:G12)</f>
        <v>10.4531498128183</v>
      </c>
      <c r="I13" s="6" t="s">
        <v>1831</v>
      </c>
    </row>
    <row r="14" customFormat="false" ht="15" hidden="false" customHeight="false" outlineLevel="1" collapsed="false">
      <c r="A14" s="3" t="s">
        <v>1832</v>
      </c>
      <c r="B14" s="11" t="s">
        <v>59</v>
      </c>
      <c r="C14" s="64" t="n">
        <f aca="false">C13-各期收支!C52</f>
        <v>0</v>
      </c>
      <c r="D14" s="64" t="n">
        <f aca="false">D13-各期收支!D52</f>
        <v>0</v>
      </c>
      <c r="E14" s="64" t="n">
        <f aca="false">E13-各期收支!E52</f>
        <v>0</v>
      </c>
      <c r="F14" s="64" t="n">
        <f aca="false">F13-各期收支!F52</f>
        <v>0</v>
      </c>
      <c r="G14" s="64" t="n">
        <f aca="false">G13-各期收支!G52</f>
        <v>0</v>
      </c>
      <c r="I14" s="6" t="s">
        <v>1833</v>
      </c>
    </row>
    <row r="15" customFormat="false" ht="15" hidden="false" customHeight="false" outlineLevel="0" collapsed="false">
      <c r="A15" s="49" t="s">
        <v>1834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1" collapsed="false">
      <c r="A16" s="3" t="s">
        <v>1835</v>
      </c>
      <c r="B16" s="11" t="s">
        <v>59</v>
      </c>
      <c r="C16" s="64" t="n">
        <f aca="false">資產負債_既有債務!$E$62+SUMPRODUCT((1-資產負債_既有債務!$F$73:$F$73)*資產負債_既有債務!$C$73:$C$73)</f>
        <v>125.904</v>
      </c>
      <c r="D16" s="64" t="n">
        <f aca="false">C18</f>
        <v>122.897</v>
      </c>
      <c r="E16" s="64" t="n">
        <f aca="false">D18</f>
        <v>112.75</v>
      </c>
      <c r="F16" s="64" t="n">
        <f aca="false">E18</f>
        <v>107.25</v>
      </c>
      <c r="G16" s="64" t="n">
        <f aca="false">F18</f>
        <v>100</v>
      </c>
      <c r="I16" s="11" t="s">
        <v>1836</v>
      </c>
    </row>
    <row r="17" customFormat="false" ht="15" hidden="false" customHeight="false" outlineLevel="1" collapsed="false">
      <c r="A17" s="3" t="s">
        <v>1837</v>
      </c>
      <c r="B17" s="11" t="s">
        <v>59</v>
      </c>
      <c r="C17" s="64" t="n">
        <f aca="false">-IF(輸入與假設!$C$144=1,輸入與假設!C$170,0)-資產負債_既有債務!C84</f>
        <v>-3.007</v>
      </c>
      <c r="D17" s="64" t="n">
        <f aca="false">-IF(輸入與假設!$C$144=1,輸入與假設!D$170,0)-資產負債_既有債務!D84</f>
        <v>-10.147</v>
      </c>
      <c r="E17" s="64" t="n">
        <f aca="false">-IF(輸入與假設!$C$144=1,輸入與假設!E$170,0)-資產負債_既有債務!E84</f>
        <v>-5.5</v>
      </c>
      <c r="F17" s="64" t="n">
        <f aca="false">-IF(輸入與假設!$C$144=1,輸入與假設!F$170,0)-資產負債_既有債務!F84</f>
        <v>-7.25</v>
      </c>
      <c r="G17" s="64" t="n">
        <f aca="false">-IF(輸入與假設!$C$144=1,輸入與假設!G$170,0)-資產負債_既有債務!G84</f>
        <v>-9.75</v>
      </c>
    </row>
    <row r="18" customFormat="false" ht="15" hidden="false" customHeight="false" outlineLevel="1" collapsed="false">
      <c r="A18" s="3" t="s">
        <v>1838</v>
      </c>
      <c r="B18" s="11" t="s">
        <v>59</v>
      </c>
      <c r="C18" s="64" t="n">
        <f aca="false">各期收支!C74-0</f>
        <v>122.897</v>
      </c>
      <c r="D18" s="64" t="n">
        <f aca="false">各期收支!D74-0</f>
        <v>112.75</v>
      </c>
      <c r="E18" s="64" t="n">
        <f aca="false">各期收支!E74-0</f>
        <v>107.25</v>
      </c>
      <c r="F18" s="64" t="n">
        <f aca="false">各期收支!F74-0</f>
        <v>100</v>
      </c>
      <c r="G18" s="64" t="n">
        <f aca="false">各期收支!G74-0</f>
        <v>90.25</v>
      </c>
      <c r="I18" s="6" t="s">
        <v>1839</v>
      </c>
    </row>
    <row r="19" customFormat="false" ht="15" hidden="false" customHeight="false" outlineLevel="1" collapsed="false">
      <c r="A19" s="3" t="s">
        <v>1840</v>
      </c>
      <c r="B19" s="11" t="s">
        <v>59</v>
      </c>
      <c r="C19" s="64" t="n">
        <f aca="false">0</f>
        <v>0</v>
      </c>
      <c r="D19" s="64" t="n">
        <f aca="false">0</f>
        <v>0</v>
      </c>
      <c r="E19" s="64" t="n">
        <f aca="false">0</f>
        <v>0</v>
      </c>
      <c r="F19" s="64" t="n">
        <f aca="false">0</f>
        <v>0</v>
      </c>
      <c r="G19" s="64" t="n">
        <f aca="false">0</f>
        <v>0</v>
      </c>
    </row>
    <row r="20" customFormat="false" ht="15" hidden="false" customHeight="false" outlineLevel="1" collapsed="false">
      <c r="A20" s="3" t="s">
        <v>1841</v>
      </c>
      <c r="B20" s="11" t="s">
        <v>59</v>
      </c>
      <c r="C20" s="64" t="n">
        <f aca="false">各期收支!C90</f>
        <v>1.82478722104382</v>
      </c>
      <c r="D20" s="64" t="n">
        <f aca="false">各期收支!D90</f>
        <v>39.4366943271334</v>
      </c>
      <c r="E20" s="64" t="n">
        <f aca="false">各期收支!E90</f>
        <v>39.4366943271334</v>
      </c>
      <c r="F20" s="64" t="n">
        <f aca="false">各期收支!F90</f>
        <v>39.4366943271334</v>
      </c>
      <c r="G20" s="64" t="n">
        <f aca="false">各期收支!G90</f>
        <v>39.4366943271334</v>
      </c>
    </row>
    <row r="21" customFormat="false" ht="15" hidden="false" customHeight="false" outlineLevel="1" collapsed="false">
      <c r="A21" s="3" t="s">
        <v>1842</v>
      </c>
      <c r="B21" s="11" t="s">
        <v>59</v>
      </c>
      <c r="C21" s="64" t="n">
        <f aca="false">各期收支!C93</f>
        <v>0</v>
      </c>
      <c r="D21" s="64" t="n">
        <f aca="false">各期收支!D93</f>
        <v>0</v>
      </c>
      <c r="E21" s="64" t="n">
        <f aca="false">各期收支!E93</f>
        <v>0</v>
      </c>
      <c r="F21" s="64" t="n">
        <f aca="false">各期收支!F93</f>
        <v>0</v>
      </c>
      <c r="G21" s="64" t="n">
        <f aca="false">各期收支!G93</f>
        <v>0</v>
      </c>
    </row>
    <row r="22" customFormat="false" ht="15" hidden="false" customHeight="false" outlineLevel="1" collapsed="false">
      <c r="A22" s="3" t="s">
        <v>1843</v>
      </c>
      <c r="B22" s="11" t="s">
        <v>59</v>
      </c>
      <c r="C22" s="64" t="n">
        <f aca="false">各期收支!C92</f>
        <v>0</v>
      </c>
      <c r="D22" s="64" t="n">
        <f aca="false">各期收支!D92</f>
        <v>0</v>
      </c>
      <c r="E22" s="64" t="n">
        <f aca="false">各期收支!E92</f>
        <v>0</v>
      </c>
      <c r="F22" s="64" t="n">
        <f aca="false">各期收支!F92</f>
        <v>0</v>
      </c>
      <c r="G22" s="64" t="n">
        <f aca="false">各期收支!G92</f>
        <v>0</v>
      </c>
    </row>
    <row r="23" customFormat="false" ht="15" hidden="false" customHeight="false" outlineLevel="1" collapsed="false">
      <c r="A23" s="2" t="s">
        <v>1844</v>
      </c>
      <c r="B23" s="11" t="s">
        <v>59</v>
      </c>
      <c r="C23" s="38" t="n">
        <f aca="false">SUM(C18:C22)</f>
        <v>124.721787221044</v>
      </c>
      <c r="D23" s="38" t="n">
        <f aca="false">SUM(D18:D22)</f>
        <v>152.186694327133</v>
      </c>
      <c r="E23" s="38" t="n">
        <f aca="false">SUM(E18:E22)</f>
        <v>146.686694327133</v>
      </c>
      <c r="F23" s="38" t="n">
        <f aca="false">SUM(F18:F22)</f>
        <v>139.436694327133</v>
      </c>
      <c r="G23" s="38" t="n">
        <f aca="false">SUM(G18:G22)</f>
        <v>129.686694327133</v>
      </c>
      <c r="I23" s="6" t="s">
        <v>1845</v>
      </c>
    </row>
    <row r="24" customFormat="false" ht="15" hidden="false" customHeight="false" outlineLevel="1" collapsed="false">
      <c r="A24" s="2" t="s">
        <v>1846</v>
      </c>
      <c r="B24" s="11" t="s">
        <v>59</v>
      </c>
      <c r="C24" s="38" t="n">
        <f aca="false">C23-C13</f>
        <v>114.721787221044</v>
      </c>
      <c r="D24" s="38" t="n">
        <f aca="false">D23-D13</f>
        <v>142.186694327133</v>
      </c>
      <c r="E24" s="38" t="n">
        <f aca="false">E23-E13</f>
        <v>124.826544462787</v>
      </c>
      <c r="F24" s="38" t="n">
        <f aca="false">F23-F13</f>
        <v>121.238307094568</v>
      </c>
      <c r="G24" s="38" t="n">
        <f aca="false">G23-G13</f>
        <v>119.233544514315</v>
      </c>
    </row>
    <row r="25" customFormat="false" ht="15" hidden="false" customHeight="false" outlineLevel="0" collapsed="false">
      <c r="A25" s="49" t="s">
        <v>1847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1" collapsed="false">
      <c r="A26" s="3" t="s">
        <v>1848</v>
      </c>
      <c r="B26" s="11" t="s">
        <v>391</v>
      </c>
      <c r="C26" s="53" t="n">
        <f aca="false">損益!C23</f>
        <v>3.08897428564288</v>
      </c>
      <c r="D26" s="53" t="n">
        <f aca="false">損益!D23</f>
        <v>3.11986402849931</v>
      </c>
      <c r="E26" s="53" t="n">
        <f aca="false">損益!E23</f>
        <v>3.15106266878431</v>
      </c>
      <c r="F26" s="53" t="n">
        <f aca="false">損益!F23</f>
        <v>3.18257329547215</v>
      </c>
      <c r="G26" s="53" t="n">
        <f aca="false">損益!G23</f>
        <v>3.21439902842687</v>
      </c>
    </row>
    <row r="27" customFormat="false" ht="15" hidden="false" customHeight="false" outlineLevel="1" collapsed="false">
      <c r="A27" s="3" t="s">
        <v>1849</v>
      </c>
      <c r="B27" s="11" t="s">
        <v>391</v>
      </c>
      <c r="C27" s="53" t="n">
        <f aca="false">各期收支!C88</f>
        <v>0</v>
      </c>
      <c r="D27" s="53" t="n">
        <f aca="false">各期收支!D88</f>
        <v>0</v>
      </c>
      <c r="E27" s="53" t="n">
        <f aca="false">各期收支!E88</f>
        <v>0</v>
      </c>
      <c r="F27" s="53" t="n">
        <f aca="false">各期收支!F88</f>
        <v>0</v>
      </c>
      <c r="G27" s="53" t="n">
        <f aca="false">各期收支!G88</f>
        <v>0</v>
      </c>
    </row>
    <row r="28" customFormat="false" ht="15" hidden="false" customHeight="false" outlineLevel="1" collapsed="false">
      <c r="A28" s="2" t="s">
        <v>1850</v>
      </c>
      <c r="B28" s="11" t="s">
        <v>391</v>
      </c>
      <c r="C28" s="54" t="n">
        <f aca="false">損益!C24</f>
        <v>3.08897428564288</v>
      </c>
      <c r="D28" s="54" t="n">
        <f aca="false">損益!D24</f>
        <v>3.11986402849931</v>
      </c>
      <c r="E28" s="54" t="n">
        <f aca="false">損益!E24</f>
        <v>3.15106266878431</v>
      </c>
      <c r="F28" s="54" t="n">
        <f aca="false">損益!F24</f>
        <v>3.18257329547215</v>
      </c>
      <c r="G28" s="54" t="n">
        <f aca="false">損益!G24</f>
        <v>3.21439902842687</v>
      </c>
      <c r="I28" s="6" t="s">
        <v>1851</v>
      </c>
    </row>
    <row r="29" customFormat="false" ht="15" hidden="false" customHeight="false" outlineLevel="0" collapsed="false">
      <c r="A29" s="49" t="s">
        <v>1852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3" t="s">
        <v>857</v>
      </c>
      <c r="B30" s="11" t="s">
        <v>59</v>
      </c>
      <c r="C30" s="64" t="n">
        <f aca="false">各期收支!C73</f>
        <v>599.26</v>
      </c>
      <c r="D30" s="64" t="n">
        <f aca="false">各期收支!D73</f>
        <v>485.55</v>
      </c>
      <c r="E30" s="64" t="n">
        <f aca="false">各期收支!E73</f>
        <v>362.71</v>
      </c>
      <c r="F30" s="64" t="n">
        <f aca="false">各期收支!F73</f>
        <v>247.34</v>
      </c>
      <c r="G30" s="64" t="n">
        <f aca="false">各期收支!G73</f>
        <v>134.46</v>
      </c>
    </row>
    <row r="31" customFormat="false" ht="15" hidden="false" customHeight="false" outlineLevel="1" collapsed="false">
      <c r="A31" s="3" t="s">
        <v>1853</v>
      </c>
      <c r="B31" s="11" t="s">
        <v>59</v>
      </c>
      <c r="C31" s="64" t="n">
        <f aca="false">各期收支!C75</f>
        <v>176.255839342117</v>
      </c>
      <c r="D31" s="64" t="n">
        <f aca="false">各期收支!D75</f>
        <v>174.816904246745</v>
      </c>
      <c r="E31" s="64" t="n">
        <f aca="false">各期收支!E75</f>
        <v>194.852110051094</v>
      </c>
      <c r="F31" s="64" t="n">
        <f aca="false">各期收支!F75</f>
        <v>230.83480585878</v>
      </c>
      <c r="G31" s="64" t="n">
        <f aca="false">各期收支!G75</f>
        <v>240.373906205793</v>
      </c>
    </row>
    <row r="32" customFormat="false" ht="15" hidden="false" customHeight="false" outlineLevel="1" collapsed="false">
      <c r="A32" s="3" t="s">
        <v>1854</v>
      </c>
      <c r="B32" s="11" t="s">
        <v>105</v>
      </c>
      <c r="C32" s="88" t="n">
        <f aca="false">C23/MAX(0.01,C30)</f>
        <v>0.208126334514307</v>
      </c>
      <c r="D32" s="88" t="n">
        <f aca="false">D23/MAX(0.01,D30)</f>
        <v>0.313431560760238</v>
      </c>
      <c r="E32" s="88" t="n">
        <f aca="false">E23/MAX(0.01,E30)</f>
        <v>0.404418665951127</v>
      </c>
      <c r="F32" s="88" t="n">
        <f aca="false">F23/MAX(0.01,F30)</f>
        <v>0.563745024367807</v>
      </c>
      <c r="G32" s="88" t="n">
        <f aca="false">G23/MAX(0.01,G30)</f>
        <v>0.964500180924687</v>
      </c>
      <c r="I32" s="6" t="s">
        <v>1855</v>
      </c>
    </row>
    <row r="33" customFormat="false" ht="15" hidden="false" customHeight="false" outlineLevel="1" collapsed="false">
      <c r="A33" s="3" t="s">
        <v>1856</v>
      </c>
      <c r="B33" s="11" t="s">
        <v>105</v>
      </c>
      <c r="C33" s="44" t="n">
        <f aca="false">C23/MAX(0.01,損益!C22/輸入與假設!C$41)</f>
        <v>2.49152595312108</v>
      </c>
      <c r="D33" s="44" t="n">
        <f aca="false">D23/MAX(0.01,損益!D22/輸入與假設!D$41)</f>
        <v>2.61756838652022</v>
      </c>
      <c r="E33" s="44" t="n">
        <f aca="false">E23/MAX(0.01,損益!E22/輸入與假設!E$41)</f>
        <v>2.11263379116337</v>
      </c>
      <c r="F33" s="44" t="n">
        <f aca="false">F23/MAX(0.01,損益!F22/輸入與假設!F$41)</f>
        <v>1.88792763882211</v>
      </c>
      <c r="G33" s="44" t="n">
        <f aca="false">G23/MAX(0.01,損益!G22/輸入與假設!G$41)</f>
        <v>1.76414961690551</v>
      </c>
      <c r="I33" s="11" t="s">
        <v>1857</v>
      </c>
    </row>
    <row r="34" customFormat="false" ht="15" hidden="false" customHeight="false" outlineLevel="1" collapsed="false">
      <c r="A34" s="3" t="s">
        <v>1858</v>
      </c>
      <c r="B34" s="11" t="s">
        <v>59</v>
      </c>
      <c r="C34" s="64" t="n">
        <f aca="false">各期收支!C59</f>
        <v>82.436654496604</v>
      </c>
      <c r="D34" s="64" t="n">
        <f aca="false">各期收支!D59</f>
        <v>143.909182631762</v>
      </c>
      <c r="E34" s="64" t="n">
        <f aca="false">各期收支!E59</f>
        <v>202.561131118165</v>
      </c>
      <c r="F34" s="64" t="n">
        <f aca="false">各期收支!F59</f>
        <v>200.509042381662</v>
      </c>
      <c r="G34" s="64" t="n">
        <f aca="false">各期收支!G59</f>
        <v>189.436733943543</v>
      </c>
      <c r="I34" s="6" t="s">
        <v>1859</v>
      </c>
    </row>
    <row r="35" customFormat="false" ht="15" hidden="false" customHeight="false" outlineLevel="1" collapsed="false">
      <c r="A35" s="4" t="s">
        <v>1860</v>
      </c>
      <c r="B35" s="11" t="s">
        <v>59</v>
      </c>
      <c r="C35" s="64" t="n">
        <f aca="false">(損益!C22+各期收支!C16)/輸入與假設!C$41</f>
        <v>57.4872208530491</v>
      </c>
      <c r="D35" s="64" t="n">
        <f aca="false">(損益!D22+各期收支!D16)/輸入與假設!D$41</f>
        <v>70.828019306335</v>
      </c>
      <c r="E35" s="64" t="n">
        <f aca="false">(損益!E22+各期收支!E16)/輸入與假設!E$41</f>
        <v>88.3140535931686</v>
      </c>
      <c r="F35" s="64" t="n">
        <f aca="false">(損益!F22+各期收支!F16)/輸入與假設!F$41</f>
        <v>95.854188497876</v>
      </c>
      <c r="G35" s="64" t="n">
        <f aca="false">(損益!G22+各期收支!G16)/輸入與假設!G$41</f>
        <v>95.5134755887414</v>
      </c>
    </row>
    <row r="36" customFormat="false" ht="15" hidden="false" customHeight="false" outlineLevel="1" collapsed="false">
      <c r="A36" s="2" t="s">
        <v>1861</v>
      </c>
      <c r="B36" s="11" t="s">
        <v>105</v>
      </c>
      <c r="C36" s="89" t="n">
        <f aca="false">(C23+C34)/MAX(0.01,C35)</f>
        <v>3.60355638424744</v>
      </c>
      <c r="D36" s="89" t="n">
        <f aca="false">(D23+D34)/MAX(0.01,D35)</f>
        <v>4.18049071340348</v>
      </c>
      <c r="E36" s="89" t="n">
        <f aca="false">(E23+E34)/MAX(0.01,E35)</f>
        <v>3.95461210572622</v>
      </c>
      <c r="F36" s="89" t="n">
        <f aca="false">(F23+F34)/MAX(0.01,F35)</f>
        <v>3.5464880777362</v>
      </c>
      <c r="G36" s="89" t="n">
        <f aca="false">(G23+G34)/MAX(0.01,G35)</f>
        <v>3.34113512573605</v>
      </c>
      <c r="I36" s="11" t="s">
        <v>1862</v>
      </c>
    </row>
    <row r="37" customFormat="false" ht="15" hidden="false" customHeight="false" outlineLevel="1" collapsed="false">
      <c r="A37" s="3" t="s">
        <v>1863</v>
      </c>
      <c r="B37" s="11" t="s">
        <v>105</v>
      </c>
      <c r="C37" s="88" t="n">
        <f aca="false">輸入與假設!$C$147-C36</f>
        <v>0.89644361575256</v>
      </c>
      <c r="D37" s="88" t="n">
        <f aca="false">輸入與假設!$C$147-D36</f>
        <v>0.319509286596523</v>
      </c>
      <c r="E37" s="88" t="n">
        <f aca="false">輸入與假設!$C$147-E36</f>
        <v>0.545387894273785</v>
      </c>
      <c r="F37" s="88" t="n">
        <f aca="false">輸入與假設!$C$147-F36</f>
        <v>0.953511922263798</v>
      </c>
      <c r="G37" s="88" t="n">
        <f aca="false">輸入與假設!$C$147-G36</f>
        <v>1.15886487426395</v>
      </c>
      <c r="I37" s="6" t="s">
        <v>1864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1865</v>
      </c>
    </row>
    <row r="2" customFormat="false" ht="15" hidden="false" customHeight="false" outlineLevel="0" collapsed="false">
      <c r="A2" s="6" t="s">
        <v>1866</v>
      </c>
    </row>
    <row r="4" customFormat="false" ht="15" hidden="false" customHeight="false" outlineLevel="0" collapsed="false">
      <c r="A4" s="2" t="s">
        <v>1867</v>
      </c>
    </row>
    <row r="5" customFormat="false" ht="17.15" hidden="false" customHeight="false" outlineLevel="0" collapsed="false">
      <c r="A5" s="14" t="s">
        <v>53</v>
      </c>
      <c r="B5" s="14" t="s">
        <v>54</v>
      </c>
      <c r="C5" s="15" t="s">
        <v>1868</v>
      </c>
      <c r="D5" s="15" t="s">
        <v>1869</v>
      </c>
      <c r="E5" s="15" t="s">
        <v>1870</v>
      </c>
      <c r="F5" s="15" t="s">
        <v>1871</v>
      </c>
      <c r="G5" s="15" t="s">
        <v>1872</v>
      </c>
      <c r="H5" s="14" t="s">
        <v>1873</v>
      </c>
    </row>
    <row r="6" customFormat="false" ht="15" hidden="false" customHeight="false" outlineLevel="0" collapsed="false">
      <c r="A6" s="3" t="s">
        <v>1874</v>
      </c>
      <c r="B6" s="11" t="s">
        <v>59</v>
      </c>
      <c r="C6" s="25" t="n">
        <v>3.219</v>
      </c>
      <c r="D6" s="25" t="n">
        <v>4.135</v>
      </c>
      <c r="E6" s="25" t="n">
        <v>4.097</v>
      </c>
      <c r="F6" s="25" t="n">
        <v>4.109</v>
      </c>
      <c r="G6" s="25" t="n">
        <v>4.089</v>
      </c>
      <c r="H6" s="25" t="n">
        <v>28.401</v>
      </c>
    </row>
    <row r="7" customFormat="false" ht="15" hidden="false" customHeight="false" outlineLevel="0" collapsed="false">
      <c r="A7" s="3" t="s">
        <v>1875</v>
      </c>
      <c r="B7" s="11" t="s">
        <v>59</v>
      </c>
      <c r="C7" s="25" t="n">
        <v>0.62</v>
      </c>
      <c r="D7" s="25" t="n">
        <v>0.852</v>
      </c>
      <c r="E7" s="25" t="n">
        <v>0.923</v>
      </c>
      <c r="F7" s="25" t="n">
        <v>0.947</v>
      </c>
      <c r="G7" s="25" t="n">
        <v>0.971</v>
      </c>
      <c r="H7" s="25" t="n">
        <v>10.882</v>
      </c>
    </row>
    <row r="8" customFormat="false" ht="15" hidden="false" customHeight="false" outlineLevel="0" collapsed="false">
      <c r="A8" s="2" t="s">
        <v>1876</v>
      </c>
      <c r="C8" s="56" t="n">
        <f aca="false">SUM(C6:C7)</f>
        <v>3.839</v>
      </c>
      <c r="D8" s="56" t="n">
        <f aca="false">SUM(D6:D7)</f>
        <v>4.987</v>
      </c>
      <c r="E8" s="56" t="n">
        <f aca="false">SUM(E6:E7)</f>
        <v>5.02</v>
      </c>
      <c r="F8" s="56" t="n">
        <f aca="false">SUM(F6:F7)</f>
        <v>5.056</v>
      </c>
      <c r="G8" s="56" t="n">
        <f aca="false">SUM(G6:G7)</f>
        <v>5.06</v>
      </c>
      <c r="H8" s="56" t="n">
        <f aca="false">SUM(H6:H7)</f>
        <v>39.283</v>
      </c>
      <c r="I8" s="6" t="s">
        <v>1877</v>
      </c>
    </row>
    <row r="10" customFormat="false" ht="15" hidden="false" customHeight="false" outlineLevel="0" collapsed="false">
      <c r="A10" s="2" t="s">
        <v>1878</v>
      </c>
    </row>
    <row r="11" customFormat="false" ht="17.15" hidden="false" customHeight="false" outlineLevel="0" collapsed="false">
      <c r="A11" s="14" t="s">
        <v>53</v>
      </c>
      <c r="B11" s="14" t="s">
        <v>54</v>
      </c>
      <c r="C11" s="15" t="s">
        <v>1868</v>
      </c>
      <c r="D11" s="15" t="s">
        <v>1869</v>
      </c>
      <c r="E11" s="15" t="s">
        <v>1870</v>
      </c>
      <c r="F11" s="15" t="s">
        <v>1871</v>
      </c>
      <c r="G11" s="15" t="s">
        <v>1872</v>
      </c>
      <c r="H11" s="14" t="s">
        <v>1873</v>
      </c>
    </row>
    <row r="12" customFormat="false" ht="15" hidden="false" customHeight="false" outlineLevel="0" collapsed="false">
      <c r="A12" s="3" t="s">
        <v>1879</v>
      </c>
      <c r="B12" s="11" t="s">
        <v>59</v>
      </c>
      <c r="C12" s="25" t="n">
        <v>3.007</v>
      </c>
      <c r="D12" s="25" t="n">
        <v>10.147</v>
      </c>
      <c r="E12" s="25" t="n">
        <v>5.5</v>
      </c>
      <c r="F12" s="25" t="n">
        <v>7.25</v>
      </c>
      <c r="G12" s="25" t="n">
        <v>9.75</v>
      </c>
      <c r="H12" s="25" t="n">
        <v>90.25</v>
      </c>
      <c r="I12" s="6" t="s">
        <v>1880</v>
      </c>
    </row>
    <row r="13" customFormat="false" ht="15" hidden="false" customHeight="false" outlineLevel="0" collapsed="false">
      <c r="A13" s="2" t="s">
        <v>1796</v>
      </c>
      <c r="C13" s="56" t="n">
        <f aca="false">SUM(C12:H12)</f>
        <v>125.904</v>
      </c>
    </row>
    <row r="15" customFormat="false" ht="15" hidden="false" customHeight="false" outlineLevel="0" collapsed="false">
      <c r="A15" s="2" t="s">
        <v>1881</v>
      </c>
    </row>
    <row r="16" customFormat="false" ht="15" hidden="false" customHeight="false" outlineLevel="0" collapsed="false">
      <c r="A16" s="14" t="s">
        <v>53</v>
      </c>
      <c r="B16" s="14" t="s">
        <v>54</v>
      </c>
      <c r="C16" s="14" t="s">
        <v>1882</v>
      </c>
      <c r="D16" s="14" t="s">
        <v>1185</v>
      </c>
      <c r="E16" s="14" t="s">
        <v>1883</v>
      </c>
      <c r="F16" s="14" t="s">
        <v>1884</v>
      </c>
    </row>
    <row r="17" customFormat="false" ht="15" hidden="false" customHeight="false" outlineLevel="0" collapsed="false">
      <c r="A17" s="3" t="s">
        <v>1885</v>
      </c>
      <c r="B17" s="11" t="s">
        <v>59</v>
      </c>
      <c r="C17" s="90" t="n">
        <v>288</v>
      </c>
      <c r="D17" s="6" t="s">
        <v>1886</v>
      </c>
      <c r="E17" s="6" t="s">
        <v>1887</v>
      </c>
      <c r="F17" s="6" t="s">
        <v>1888</v>
      </c>
    </row>
    <row r="18" customFormat="false" ht="15" hidden="false" customHeight="false" outlineLevel="0" collapsed="false">
      <c r="A18" s="3" t="s">
        <v>1889</v>
      </c>
      <c r="B18" s="11" t="s">
        <v>59</v>
      </c>
      <c r="C18" s="90" t="n">
        <v>0</v>
      </c>
      <c r="D18" s="6" t="s">
        <v>1890</v>
      </c>
      <c r="E18" s="6" t="s">
        <v>1887</v>
      </c>
      <c r="F18" s="6" t="s">
        <v>1888</v>
      </c>
    </row>
    <row r="19" customFormat="false" ht="15" hidden="false" customHeight="false" outlineLevel="0" collapsed="false">
      <c r="A19" s="3" t="s">
        <v>373</v>
      </c>
      <c r="B19" s="11" t="s">
        <v>59</v>
      </c>
      <c r="C19" s="90" t="n">
        <v>10</v>
      </c>
      <c r="D19" s="11" t="s">
        <v>1891</v>
      </c>
      <c r="E19" s="6" t="s">
        <v>1892</v>
      </c>
      <c r="F19" s="6" t="s">
        <v>1893</v>
      </c>
    </row>
    <row r="20" customFormat="false" ht="15" hidden="false" customHeight="false" outlineLevel="0" collapsed="false">
      <c r="A20" s="2" t="s">
        <v>1894</v>
      </c>
      <c r="C20" s="56" t="n">
        <f aca="false">C17+C18</f>
        <v>288</v>
      </c>
    </row>
    <row r="21" customFormat="false" ht="15" hidden="false" customHeight="false" outlineLevel="0" collapsed="false">
      <c r="A21" s="3" t="s">
        <v>1895</v>
      </c>
      <c r="C21" s="91" t="n">
        <f aca="false">SUM(各期收支!C15:G15)</f>
        <v>57.1764705882353</v>
      </c>
    </row>
    <row r="22" customFormat="false" ht="15" hidden="false" customHeight="false" outlineLevel="0" collapsed="false">
      <c r="A22" s="3" t="s">
        <v>1896</v>
      </c>
      <c r="C22" s="55" t="n">
        <f aca="false">MAX(0,輸入與假設!$C$26-C21)</f>
        <v>230.823529411765</v>
      </c>
    </row>
    <row r="23" customFormat="false" ht="15" hidden="false" customHeight="false" outlineLevel="0" collapsed="false">
      <c r="A23" s="2" t="s">
        <v>1897</v>
      </c>
      <c r="C23" s="92" t="n">
        <f aca="false">(C21+C22)/C20</f>
        <v>1</v>
      </c>
      <c r="I23" s="6" t="s">
        <v>1898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1899</v>
      </c>
    </row>
    <row r="2" customFormat="false" ht="15" hidden="false" customHeight="false" outlineLevel="0" collapsed="false">
      <c r="A2" s="6" t="s">
        <v>1900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148</v>
      </c>
      <c r="G4" s="28" t="s">
        <v>149</v>
      </c>
      <c r="I4" s="14" t="s">
        <v>750</v>
      </c>
    </row>
    <row r="5" customFormat="false" ht="15" hidden="false" customHeight="false" outlineLevel="0" collapsed="false">
      <c r="A5" s="49" t="s">
        <v>1901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1902</v>
      </c>
      <c r="B6" s="11" t="s">
        <v>59</v>
      </c>
      <c r="C6" s="42" t="n">
        <f aca="false">運營_產能與收入!C26</f>
        <v>24.172224427314</v>
      </c>
      <c r="D6" s="42" t="n">
        <f aca="false">運營_產能與收入!D26</f>
        <v>48.9185655020487</v>
      </c>
      <c r="E6" s="42" t="n">
        <f aca="false">運營_產能與收入!E26</f>
        <v>71.7869592342131</v>
      </c>
      <c r="F6" s="42" t="n">
        <f aca="false">運營_產能與收入!F26</f>
        <v>84.3647501614705</v>
      </c>
      <c r="G6" s="42" t="n">
        <f aca="false">運營_產能與收入!G26</f>
        <v>87.666883762224</v>
      </c>
      <c r="I6" s="6" t="s">
        <v>1903</v>
      </c>
    </row>
    <row r="7" customFormat="false" ht="15" hidden="false" customHeight="false" outlineLevel="1" collapsed="false">
      <c r="A7" s="3" t="s">
        <v>1904</v>
      </c>
      <c r="B7" s="11" t="s">
        <v>59</v>
      </c>
      <c r="C7" s="42" t="n">
        <f aca="false">輸入與假設!C$50</f>
        <v>0</v>
      </c>
      <c r="D7" s="42" t="n">
        <f aca="false">輸入與假設!D$50</f>
        <v>0</v>
      </c>
      <c r="E7" s="42" t="n">
        <f aca="false">輸入與假設!E$50</f>
        <v>0</v>
      </c>
      <c r="F7" s="42" t="n">
        <f aca="false">輸入與假設!F$50</f>
        <v>0</v>
      </c>
      <c r="G7" s="42" t="n">
        <f aca="false">輸入與假設!G$50</f>
        <v>0</v>
      </c>
    </row>
    <row r="8" customFormat="false" ht="15" hidden="false" customHeight="false" outlineLevel="1" collapsed="false">
      <c r="A8" s="3" t="s">
        <v>1905</v>
      </c>
      <c r="B8" s="11" t="s">
        <v>59</v>
      </c>
      <c r="C8" s="42" t="n">
        <f aca="false">輸入與假設!C$81</f>
        <v>39.5339698</v>
      </c>
      <c r="D8" s="42" t="n">
        <f aca="false">輸入與假設!D$81</f>
        <v>53.70812205094</v>
      </c>
      <c r="E8" s="42" t="n">
        <f aca="false">輸入與假設!E$81</f>
        <v>55.8538115419205</v>
      </c>
      <c r="F8" s="42" t="n">
        <f aca="false">輸入與假設!F$81</f>
        <v>57.8751227475705</v>
      </c>
      <c r="G8" s="42" t="n">
        <f aca="false">輸入與假設!G$81</f>
        <v>59.7224793768877</v>
      </c>
      <c r="I8" s="11" t="s">
        <v>1906</v>
      </c>
    </row>
    <row r="9" customFormat="false" ht="15" hidden="false" customHeight="false" outlineLevel="1" collapsed="false">
      <c r="A9" s="2" t="s">
        <v>1907</v>
      </c>
      <c r="B9" s="11" t="s">
        <v>59</v>
      </c>
      <c r="C9" s="38" t="n">
        <f aca="false">C6+C7+C8</f>
        <v>63.706194227314</v>
      </c>
      <c r="D9" s="38" t="n">
        <f aca="false">D6+D7+D8</f>
        <v>102.626687552989</v>
      </c>
      <c r="E9" s="38" t="n">
        <f aca="false">E6+E7+E8</f>
        <v>127.640770776134</v>
      </c>
      <c r="F9" s="38" t="n">
        <f aca="false">F6+F7+F8</f>
        <v>142.239872909041</v>
      </c>
      <c r="G9" s="38" t="n">
        <f aca="false">G6+G7+G8</f>
        <v>147.389363139112</v>
      </c>
    </row>
    <row r="10" customFormat="false" ht="15" hidden="false" customHeight="false" outlineLevel="1" collapsed="false">
      <c r="A10" s="4" t="s">
        <v>290</v>
      </c>
      <c r="B10" s="11" t="s">
        <v>42</v>
      </c>
      <c r="C10" s="50" t="n">
        <f aca="false">輸入與假設!C$93</f>
        <v>0.665750202421047</v>
      </c>
      <c r="D10" s="50" t="n">
        <f aca="false">輸入與假設!D$93</f>
        <v>0.592790430882978</v>
      </c>
      <c r="E10" s="50" t="n">
        <f aca="false">輸入與假設!E$93</f>
        <v>0.545040677318869</v>
      </c>
      <c r="F10" s="50" t="n">
        <f aca="false">輸入與假設!F$93</f>
        <v>0.503219298856464</v>
      </c>
      <c r="G10" s="50" t="n">
        <f aca="false">輸入與假設!G$93</f>
        <v>0.468898631320656</v>
      </c>
    </row>
    <row r="11" customFormat="false" ht="15" hidden="false" customHeight="false" outlineLevel="1" collapsed="false">
      <c r="A11" s="3" t="s">
        <v>1908</v>
      </c>
      <c r="B11" s="11" t="s">
        <v>59</v>
      </c>
      <c r="C11" s="42" t="n">
        <f aca="false">運營_產能與收入!C62</f>
        <v>0</v>
      </c>
      <c r="D11" s="42" t="n">
        <f aca="false">運營_產能與收入!D62</f>
        <v>0</v>
      </c>
      <c r="E11" s="42" t="n">
        <f aca="false">運營_產能與收入!E62</f>
        <v>0</v>
      </c>
      <c r="F11" s="42" t="n">
        <f aca="false">運營_產能與收入!F62</f>
        <v>0</v>
      </c>
      <c r="G11" s="42" t="n">
        <f aca="false">運營_產能與收入!G62</f>
        <v>0</v>
      </c>
      <c r="I11" s="6" t="s">
        <v>807</v>
      </c>
    </row>
    <row r="12" customFormat="false" ht="15" hidden="false" customHeight="false" outlineLevel="1" collapsed="false">
      <c r="A12" s="3" t="s">
        <v>1909</v>
      </c>
      <c r="B12" s="11" t="s">
        <v>59</v>
      </c>
      <c r="C12" s="64" t="n">
        <f aca="false">(C6+C7)*輸入與假設!C$93+輸入與假設!C$51+輸入與假設!C$83-C11-輸入與假設!C$136</f>
        <v>25.4584180025979</v>
      </c>
      <c r="D12" s="64" t="n">
        <f aca="false">(D6+D7)*輸入與假設!D$93+輸入與假設!D$51+輸入與假設!D$83-D11-輸入與假設!D$136</f>
        <v>31.7976350138322</v>
      </c>
      <c r="E12" s="64" t="n">
        <f aca="false">(E6+E7)*輸入與假設!E$93+輸入與假設!E$51+輸入與假設!E$83-E11-輸入與假設!E$136</f>
        <v>32.737402510007</v>
      </c>
      <c r="F12" s="64" t="n">
        <f aca="false">(F6+F7)*輸入與假設!F$93+輸入與假設!F$51+輸入與假設!F$83-F11-輸入與假設!F$136</f>
        <v>32.8970247282711</v>
      </c>
      <c r="G12" s="64" t="n">
        <f aca="false">(G6+G7)*輸入與假設!G$93+輸入與假設!G$51+輸入與假設!G$83-G11-輸入與假設!G$136</f>
        <v>31.9023419966865</v>
      </c>
      <c r="I12" s="6" t="s">
        <v>1910</v>
      </c>
    </row>
    <row r="13" customFormat="false" ht="15" hidden="false" customHeight="false" outlineLevel="1" collapsed="false">
      <c r="A13" s="3" t="s">
        <v>1911</v>
      </c>
      <c r="B13" s="11" t="s">
        <v>59</v>
      </c>
      <c r="C13" s="42" t="n">
        <f aca="false">各期收支!C21</f>
        <v>4.55894916001502</v>
      </c>
      <c r="D13" s="42" t="n">
        <f aca="false">各期收支!D21</f>
        <v>7.94431221996106</v>
      </c>
      <c r="E13" s="42" t="n">
        <f aca="false">各期收支!E21</f>
        <v>7.56868754470611</v>
      </c>
      <c r="F13" s="42" t="n">
        <f aca="false">各期收支!F21</f>
        <v>7.2626087686148</v>
      </c>
      <c r="G13" s="42" t="n">
        <f aca="false">各期收支!G21</f>
        <v>6.85450373382639</v>
      </c>
    </row>
    <row r="14" customFormat="false" ht="15" hidden="false" customHeight="false" outlineLevel="1" collapsed="false">
      <c r="A14" s="3" t="s">
        <v>1912</v>
      </c>
      <c r="B14" s="11" t="s">
        <v>59</v>
      </c>
      <c r="C14" s="42" t="n">
        <f aca="false">各期收支!C10</f>
        <v>1.43478451772558</v>
      </c>
      <c r="D14" s="42" t="n">
        <f aca="false">各期收支!D10</f>
        <v>3.22418498553591</v>
      </c>
      <c r="E14" s="42" t="n">
        <f aca="false">各期收支!E10</f>
        <v>4.04062768810348</v>
      </c>
      <c r="F14" s="42" t="n">
        <f aca="false">各期收支!F10</f>
        <v>4.40540231706161</v>
      </c>
      <c r="G14" s="42" t="n">
        <f aca="false">各期收支!G10</f>
        <v>5.00219392689896</v>
      </c>
      <c r="I14" s="6" t="s">
        <v>1913</v>
      </c>
    </row>
    <row r="15" customFormat="false" ht="15" hidden="false" customHeight="false" outlineLevel="1" collapsed="false">
      <c r="A15" s="3" t="s">
        <v>1914</v>
      </c>
      <c r="B15" s="11" t="s">
        <v>59</v>
      </c>
      <c r="C15" s="64" t="n">
        <f aca="false">C12-C13-C14</f>
        <v>19.4646843248573</v>
      </c>
      <c r="D15" s="64" t="n">
        <f aca="false">D12-D13-D14</f>
        <v>20.6291378083353</v>
      </c>
      <c r="E15" s="64" t="n">
        <f aca="false">E12-E13-E14</f>
        <v>21.1280872771974</v>
      </c>
      <c r="F15" s="64" t="n">
        <f aca="false">F12-F13-F14</f>
        <v>21.2290136425946</v>
      </c>
      <c r="G15" s="64" t="n">
        <f aca="false">G12-G13-G14</f>
        <v>20.0456443359612</v>
      </c>
    </row>
    <row r="16" customFormat="false" ht="15" hidden="false" customHeight="false" outlineLevel="1" collapsed="false">
      <c r="A16" s="4" t="s">
        <v>1915</v>
      </c>
      <c r="B16" s="11" t="s">
        <v>59</v>
      </c>
      <c r="C16" s="64" t="n">
        <f aca="false">輸入與假設!$C$193</f>
        <v>0</v>
      </c>
      <c r="D16" s="64" t="n">
        <f aca="false">C18</f>
        <v>0</v>
      </c>
      <c r="E16" s="64" t="n">
        <f aca="false">D18</f>
        <v>0</v>
      </c>
      <c r="F16" s="64" t="n">
        <f aca="false">E18</f>
        <v>0</v>
      </c>
      <c r="G16" s="64" t="n">
        <f aca="false">F18</f>
        <v>0</v>
      </c>
      <c r="I16" s="11" t="s">
        <v>1916</v>
      </c>
    </row>
    <row r="17" customFormat="false" ht="15" hidden="false" customHeight="false" outlineLevel="1" collapsed="false">
      <c r="A17" s="3" t="s">
        <v>1917</v>
      </c>
      <c r="B17" s="11" t="s">
        <v>59</v>
      </c>
      <c r="C17" s="64" t="n">
        <f aca="false">MIN(C16,MAX(0,C15)*輸入與假設!$C$194)</f>
        <v>0</v>
      </c>
      <c r="D17" s="64" t="n">
        <f aca="false">MIN(D16,MAX(0,D15)*輸入與假設!$C$194)</f>
        <v>0</v>
      </c>
      <c r="E17" s="64" t="n">
        <f aca="false">MIN(E16,MAX(0,E15)*輸入與假設!$C$194)</f>
        <v>0</v>
      </c>
      <c r="F17" s="64" t="n">
        <f aca="false">MIN(F16,MAX(0,F15)*輸入與假設!$C$194)</f>
        <v>0</v>
      </c>
      <c r="G17" s="64" t="n">
        <f aca="false">MIN(G16,MAX(0,G15)*輸入與假設!$C$194)</f>
        <v>0</v>
      </c>
      <c r="I17" s="6" t="s">
        <v>1918</v>
      </c>
    </row>
    <row r="18" customFormat="false" ht="15" hidden="false" customHeight="false" outlineLevel="1" collapsed="false">
      <c r="A18" s="4" t="s">
        <v>1919</v>
      </c>
      <c r="B18" s="11" t="s">
        <v>59</v>
      </c>
      <c r="C18" s="64" t="n">
        <f aca="false">C16-C17+MAX(0,-C15)</f>
        <v>0</v>
      </c>
      <c r="D18" s="64" t="n">
        <f aca="false">D16-D17+MAX(0,-D15)</f>
        <v>0</v>
      </c>
      <c r="E18" s="64" t="n">
        <f aca="false">E16-E17+MAX(0,-E15)</f>
        <v>0</v>
      </c>
      <c r="F18" s="64" t="n">
        <f aca="false">F16-F17+MAX(0,-F15)</f>
        <v>0</v>
      </c>
      <c r="G18" s="64" t="n">
        <f aca="false">G16-G17+MAX(0,-G15)</f>
        <v>0</v>
      </c>
    </row>
    <row r="19" customFormat="false" ht="15" hidden="false" customHeight="false" outlineLevel="1" collapsed="false">
      <c r="A19" s="3" t="s">
        <v>1920</v>
      </c>
      <c r="B19" s="11" t="s">
        <v>59</v>
      </c>
      <c r="C19" s="64" t="n">
        <f aca="false">MAX(0,C15-C17)*輸入與假設!$C$180</f>
        <v>2.93916733305345</v>
      </c>
      <c r="D19" s="64" t="n">
        <f aca="false">MAX(0,D15-D17)*輸入與假設!$C$180</f>
        <v>3.11499980905862</v>
      </c>
      <c r="E19" s="64" t="n">
        <f aca="false">MAX(0,E15-E17)*輸入與假設!$C$180</f>
        <v>3.1903411788568</v>
      </c>
      <c r="F19" s="64" t="n">
        <f aca="false">MAX(0,F15-F17)*輸入與假設!$C$180</f>
        <v>3.20558106003179</v>
      </c>
      <c r="G19" s="64" t="n">
        <f aca="false">MAX(0,G15-G17)*輸入與假設!$C$180</f>
        <v>3.02689229473013</v>
      </c>
      <c r="I19" s="6" t="s">
        <v>1921</v>
      </c>
    </row>
    <row r="20" customFormat="false" ht="15" hidden="false" customHeight="false" outlineLevel="1" collapsed="false">
      <c r="A20" s="2" t="s">
        <v>1922</v>
      </c>
      <c r="B20" s="11" t="s">
        <v>59</v>
      </c>
      <c r="C20" s="38" t="n">
        <f aca="false">C15-C19</f>
        <v>16.5255169918038</v>
      </c>
      <c r="D20" s="38" t="n">
        <f aca="false">D15-D19</f>
        <v>17.5141379992766</v>
      </c>
      <c r="E20" s="38" t="n">
        <f aca="false">E15-E19</f>
        <v>17.9377460983406</v>
      </c>
      <c r="F20" s="38" t="n">
        <f aca="false">F15-F19</f>
        <v>18.0234325825629</v>
      </c>
      <c r="G20" s="38" t="n">
        <f aca="false">G15-G19</f>
        <v>17.018752041231</v>
      </c>
    </row>
    <row r="21" customFormat="false" ht="15" hidden="false" customHeight="false" outlineLevel="1" collapsed="false">
      <c r="A21" s="4" t="s">
        <v>594</v>
      </c>
      <c r="B21" s="11" t="s">
        <v>59</v>
      </c>
      <c r="C21" s="42" t="n">
        <f aca="false">輸入與假設!C$136</f>
        <v>12.0853773163333</v>
      </c>
      <c r="D21" s="42" t="n">
        <f aca="false">輸入與假設!D$136</f>
        <v>26.3428495331444</v>
      </c>
      <c r="E21" s="42" t="n">
        <f aca="false">輸入與假設!E$136</f>
        <v>36.6956885163167</v>
      </c>
      <c r="F21" s="42" t="n">
        <f aca="false">輸入與假設!F$136</f>
        <v>40.9599872990167</v>
      </c>
      <c r="G21" s="42" t="n">
        <f aca="false">輸入與假設!G$136</f>
        <v>41.6099571214667</v>
      </c>
      <c r="I21" s="6" t="s">
        <v>1923</v>
      </c>
    </row>
    <row r="22" customFormat="false" ht="15" hidden="false" customHeight="false" outlineLevel="1" collapsed="false">
      <c r="A22" s="75" t="s">
        <v>1924</v>
      </c>
      <c r="B22" s="11" t="s">
        <v>59</v>
      </c>
      <c r="C22" s="38" t="n">
        <f aca="false">C12+C21</f>
        <v>37.5437953189312</v>
      </c>
      <c r="D22" s="38" t="n">
        <f aca="false">D12+D21</f>
        <v>58.1404845469767</v>
      </c>
      <c r="E22" s="38" t="n">
        <f aca="false">E12+E21</f>
        <v>69.4330910263236</v>
      </c>
      <c r="F22" s="38" t="n">
        <f aca="false">F12+F21</f>
        <v>73.8570120272877</v>
      </c>
      <c r="G22" s="38" t="n">
        <f aca="false">G12+G21</f>
        <v>73.5122991181532</v>
      </c>
    </row>
    <row r="23" customFormat="false" ht="15" hidden="false" customHeight="false" outlineLevel="1" collapsed="false">
      <c r="A23" s="3" t="s">
        <v>1925</v>
      </c>
      <c r="B23" s="11" t="s">
        <v>391</v>
      </c>
      <c r="C23" s="30" t="n">
        <f aca="false">評價_DCF與目標價!$C$69</f>
        <v>3.08897428564288</v>
      </c>
      <c r="D23" s="30" t="n">
        <f aca="false">C23*(1+輸入與假設!$C$210)</f>
        <v>3.11986402849931</v>
      </c>
      <c r="E23" s="30" t="n">
        <f aca="false">D23*(1+輸入與假設!$C$210)</f>
        <v>3.15106266878431</v>
      </c>
      <c r="F23" s="30" t="n">
        <f aca="false">E23*(1+輸入與假設!$C$210)</f>
        <v>3.18257329547215</v>
      </c>
      <c r="G23" s="30" t="n">
        <f aca="false">F23*(1+輸入與假設!$C$210)</f>
        <v>3.21439902842687</v>
      </c>
      <c r="I23" s="11" t="s">
        <v>1926</v>
      </c>
    </row>
    <row r="24" customFormat="false" ht="15" hidden="false" customHeight="false" outlineLevel="1" collapsed="false">
      <c r="A24" s="3" t="s">
        <v>1927</v>
      </c>
      <c r="B24" s="11" t="s">
        <v>391</v>
      </c>
      <c r="C24" s="30" t="n">
        <f aca="false">C23+各期收支!C89</f>
        <v>3.08897428564288</v>
      </c>
      <c r="D24" s="30" t="n">
        <f aca="false">D23+各期收支!D89</f>
        <v>3.11986402849931</v>
      </c>
      <c r="E24" s="30" t="n">
        <f aca="false">E23+各期收支!E89</f>
        <v>3.15106266878431</v>
      </c>
      <c r="F24" s="30" t="n">
        <f aca="false">F23+各期收支!F89</f>
        <v>3.18257329547215</v>
      </c>
      <c r="G24" s="30" t="n">
        <f aca="false">G23+各期收支!G89</f>
        <v>3.21439902842687</v>
      </c>
      <c r="I24" s="6" t="s">
        <v>1928</v>
      </c>
    </row>
    <row r="25" customFormat="false" ht="15" hidden="false" customHeight="false" outlineLevel="1" collapsed="false">
      <c r="A25" s="3" t="s">
        <v>1929</v>
      </c>
      <c r="B25" s="11" t="s">
        <v>39</v>
      </c>
      <c r="C25" s="52" t="n">
        <f aca="false">C20/C24</f>
        <v>5.3498396113597</v>
      </c>
      <c r="D25" s="52" t="n">
        <f aca="false">D20/D24</f>
        <v>5.61375041966208</v>
      </c>
      <c r="E25" s="52" t="n">
        <f aca="false">E20/E24</f>
        <v>5.69260214214052</v>
      </c>
      <c r="F25" s="52" t="n">
        <f aca="false">F20/F24</f>
        <v>5.66316339303318</v>
      </c>
      <c r="G25" s="52" t="n">
        <f aca="false">G20/G24</f>
        <v>5.29453620746022</v>
      </c>
      <c r="I25" s="11" t="s">
        <v>1930</v>
      </c>
    </row>
    <row r="27" customFormat="false" ht="15" hidden="false" customHeight="false" outlineLevel="0" collapsed="false">
      <c r="A27" s="49" t="s">
        <v>1931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1932</v>
      </c>
      <c r="B28" s="11" t="s">
        <v>59</v>
      </c>
      <c r="C28" s="42" t="n">
        <f aca="false">輸入與假設!$C$251</f>
        <v>19.345</v>
      </c>
      <c r="D28" s="42" t="n">
        <f aca="false">0</f>
        <v>0</v>
      </c>
      <c r="E28" s="42" t="n">
        <f aca="false">0</f>
        <v>0</v>
      </c>
      <c r="F28" s="42" t="n">
        <f aca="false">0</f>
        <v>0</v>
      </c>
      <c r="G28" s="42" t="n">
        <f aca="false">0</f>
        <v>0</v>
      </c>
    </row>
    <row r="29" customFormat="false" ht="15" hidden="false" customHeight="false" outlineLevel="1" collapsed="false">
      <c r="A29" s="2" t="s">
        <v>1933</v>
      </c>
      <c r="B29" s="11" t="s">
        <v>59</v>
      </c>
      <c r="C29" s="38" t="n">
        <f aca="false">C28+C9</f>
        <v>83.0511942273139</v>
      </c>
      <c r="D29" s="38" t="n">
        <f aca="false">D28+D9</f>
        <v>102.626687552989</v>
      </c>
      <c r="E29" s="38" t="n">
        <f aca="false">E28+E9</f>
        <v>127.640770776134</v>
      </c>
      <c r="F29" s="38" t="n">
        <f aca="false">F28+F9</f>
        <v>142.239872909041</v>
      </c>
      <c r="G29" s="38" t="n">
        <f aca="false">G28+G9</f>
        <v>147.389363139112</v>
      </c>
      <c r="I29" s="11" t="s">
        <v>1934</v>
      </c>
    </row>
    <row r="30" customFormat="false" ht="15" hidden="false" customHeight="false" outlineLevel="1" collapsed="false">
      <c r="A30" s="3" t="s">
        <v>1935</v>
      </c>
      <c r="B30" s="11" t="s">
        <v>42</v>
      </c>
      <c r="C30" s="65" t="n">
        <f aca="false">C29/67.357-1</f>
        <v>0.233000196376233</v>
      </c>
      <c r="D30" s="65" t="n">
        <f aca="false">D29/C29-1</f>
        <v>0.235703935479795</v>
      </c>
      <c r="E30" s="65" t="n">
        <f aca="false">E29/D29-1</f>
        <v>0.243738581255773</v>
      </c>
      <c r="F30" s="65" t="n">
        <f aca="false">F29/E29-1</f>
        <v>0.114376480525273</v>
      </c>
      <c r="G30" s="65" t="n">
        <f aca="false">G29/F29-1</f>
        <v>0.03620286017384</v>
      </c>
      <c r="I30" s="11" t="s">
        <v>1936</v>
      </c>
    </row>
    <row r="31" customFormat="false" ht="15" hidden="false" customHeight="false" outlineLevel="1" collapsed="false">
      <c r="A31" s="3" t="s">
        <v>1937</v>
      </c>
      <c r="B31" s="11" t="s">
        <v>59</v>
      </c>
      <c r="C31" s="64" t="n">
        <f aca="false">輸入與假設!$C$252+C12</f>
        <v>32.1864180025979</v>
      </c>
      <c r="D31" s="64" t="n">
        <f aca="false">D12</f>
        <v>31.7976350138322</v>
      </c>
      <c r="E31" s="64" t="n">
        <f aca="false">E12</f>
        <v>32.737402510007</v>
      </c>
      <c r="F31" s="64" t="n">
        <f aca="false">F12</f>
        <v>32.8970247282711</v>
      </c>
      <c r="G31" s="64" t="n">
        <f aca="false">G12</f>
        <v>31.9023419966865</v>
      </c>
    </row>
    <row r="32" customFormat="false" ht="15" hidden="false" customHeight="false" outlineLevel="1" collapsed="false">
      <c r="A32" s="3" t="s">
        <v>1938</v>
      </c>
      <c r="B32" s="11" t="s">
        <v>42</v>
      </c>
      <c r="C32" s="65" t="n">
        <f aca="false">C31/C29</f>
        <v>0.38754912920942</v>
      </c>
      <c r="D32" s="65" t="n">
        <f aca="false">D31/D29</f>
        <v>0.309837877183889</v>
      </c>
      <c r="E32" s="65" t="n">
        <f aca="false">E31/E29</f>
        <v>0.256480764813183</v>
      </c>
      <c r="F32" s="65" t="n">
        <f aca="false">F31/F29</f>
        <v>0.231278501980299</v>
      </c>
      <c r="G32" s="65" t="n">
        <f aca="false">G31/G29</f>
        <v>0.21644941885376</v>
      </c>
    </row>
    <row r="33" customFormat="false" ht="15" hidden="false" customHeight="false" outlineLevel="1" collapsed="false">
      <c r="A33" s="3" t="s">
        <v>1939</v>
      </c>
      <c r="B33" s="11" t="s">
        <v>59</v>
      </c>
      <c r="C33" s="64" t="n">
        <f aca="false">輸入與假設!$C$255+C21</f>
        <v>15.4433773163333</v>
      </c>
      <c r="D33" s="64" t="n">
        <f aca="false">D21</f>
        <v>26.3428495331444</v>
      </c>
      <c r="E33" s="64" t="n">
        <f aca="false">E21</f>
        <v>36.6956885163167</v>
      </c>
      <c r="F33" s="64" t="n">
        <f aca="false">F21</f>
        <v>40.9599872990167</v>
      </c>
      <c r="G33" s="64" t="n">
        <f aca="false">G21</f>
        <v>41.6099571214667</v>
      </c>
      <c r="I33" s="11" t="s">
        <v>1940</v>
      </c>
    </row>
    <row r="34" customFormat="false" ht="15" hidden="false" customHeight="false" outlineLevel="1" collapsed="false">
      <c r="A34" s="2" t="s">
        <v>1941</v>
      </c>
      <c r="B34" s="11" t="s">
        <v>59</v>
      </c>
      <c r="C34" s="38" t="n">
        <f aca="false">C31+C33</f>
        <v>47.6297953189312</v>
      </c>
      <c r="D34" s="38" t="n">
        <f aca="false">D31+D33</f>
        <v>58.1404845469767</v>
      </c>
      <c r="E34" s="38" t="n">
        <f aca="false">E31+E33</f>
        <v>69.4330910263236</v>
      </c>
      <c r="F34" s="38" t="n">
        <f aca="false">F31+F33</f>
        <v>73.8570120272877</v>
      </c>
      <c r="G34" s="38" t="n">
        <f aca="false">G31+G33</f>
        <v>73.5122991181532</v>
      </c>
    </row>
    <row r="35" customFormat="false" ht="15" hidden="false" customHeight="false" outlineLevel="1" collapsed="false">
      <c r="A35" s="3" t="s">
        <v>1942</v>
      </c>
      <c r="B35" s="11" t="s">
        <v>59</v>
      </c>
      <c r="C35" s="64" t="n">
        <f aca="false">輸入與假設!$C$249+C13</f>
        <v>5.98694916001502</v>
      </c>
      <c r="D35" s="64" t="n">
        <f aca="false">D13</f>
        <v>7.94431221996106</v>
      </c>
      <c r="E35" s="64" t="n">
        <f aca="false">E13</f>
        <v>7.56868754470611</v>
      </c>
      <c r="F35" s="64" t="n">
        <f aca="false">F13</f>
        <v>7.2626087686148</v>
      </c>
      <c r="G35" s="64" t="n">
        <f aca="false">G13</f>
        <v>6.85450373382639</v>
      </c>
      <c r="I35" s="11" t="s">
        <v>1943</v>
      </c>
    </row>
    <row r="36" customFormat="false" ht="15" hidden="false" customHeight="false" outlineLevel="1" collapsed="false">
      <c r="A36" s="2" t="s">
        <v>1944</v>
      </c>
      <c r="B36" s="11" t="s">
        <v>59</v>
      </c>
      <c r="C36" s="38" t="n">
        <f aca="false">輸入與假設!$C$253+C20</f>
        <v>21.2855169918038</v>
      </c>
      <c r="D36" s="38" t="n">
        <f aca="false">D20</f>
        <v>17.5141379992766</v>
      </c>
      <c r="E36" s="38" t="n">
        <f aca="false">E20</f>
        <v>17.9377460983406</v>
      </c>
      <c r="F36" s="38" t="n">
        <f aca="false">F20</f>
        <v>18.0234325825629</v>
      </c>
      <c r="G36" s="38" t="n">
        <f aca="false">G20</f>
        <v>17.018752041231</v>
      </c>
    </row>
    <row r="37" customFormat="false" ht="15" hidden="false" customHeight="false" outlineLevel="1" collapsed="false">
      <c r="A37" s="3" t="s">
        <v>1945</v>
      </c>
      <c r="B37" s="11" t="s">
        <v>42</v>
      </c>
      <c r="C37" s="65" t="n">
        <f aca="false">C36/C29</f>
        <v>0.256293930386415</v>
      </c>
      <c r="D37" s="65" t="n">
        <f aca="false">D36/D29</f>
        <v>0.170658708927282</v>
      </c>
      <c r="E37" s="65" t="n">
        <f aca="false">E36/E29</f>
        <v>0.140533044334253</v>
      </c>
      <c r="F37" s="65" t="n">
        <f aca="false">F36/F29</f>
        <v>0.126711534634796</v>
      </c>
      <c r="G37" s="65" t="n">
        <f aca="false">G36/G29</f>
        <v>0.115467980041192</v>
      </c>
    </row>
    <row r="38" customFormat="false" ht="15" hidden="false" customHeight="false" outlineLevel="1" collapsed="false">
      <c r="A38" s="2" t="s">
        <v>1946</v>
      </c>
      <c r="B38" s="11" t="s">
        <v>39</v>
      </c>
      <c r="C38" s="93" t="n">
        <f aca="false">輸入與假設!$C$257+C20/C24</f>
        <v>6.9098396113597</v>
      </c>
      <c r="D38" s="93" t="n">
        <f aca="false">D20/D24</f>
        <v>5.61375041966208</v>
      </c>
      <c r="E38" s="93" t="n">
        <f aca="false">E20/E24</f>
        <v>5.69260214214052</v>
      </c>
      <c r="F38" s="93" t="n">
        <f aca="false">F20/F24</f>
        <v>5.66316339303318</v>
      </c>
      <c r="G38" s="93" t="n">
        <f aca="false">G20/G24</f>
        <v>5.29453620746022</v>
      </c>
      <c r="I38" s="11" t="s">
        <v>1947</v>
      </c>
    </row>
    <row r="39" customFormat="false" ht="15" hidden="false" customHeight="false" outlineLevel="1" collapsed="false">
      <c r="A39" s="3" t="s">
        <v>1948</v>
      </c>
      <c r="B39" s="11" t="s">
        <v>39</v>
      </c>
      <c r="C39" s="52" t="n">
        <f aca="false">輸入與假設!$C$258+(C20+輸入與假設!$C$211*輸入與假設!C$41)/C24</f>
        <v>8.40437769661163</v>
      </c>
      <c r="D39" s="52" t="n">
        <f aca="false">(D20+輸入與假設!$C$211*輸入與假設!D$41)/D24</f>
        <v>7.05868518567122</v>
      </c>
      <c r="E39" s="52" t="n">
        <f aca="false">(E20+輸入與假設!$C$211*輸入與假設!E$41)/E24</f>
        <v>7.12323062333769</v>
      </c>
      <c r="F39" s="52" t="n">
        <f aca="false">(F20+輸入與假設!$C$211*輸入與假設!F$41)/F24</f>
        <v>7.07962723580266</v>
      </c>
      <c r="G39" s="52" t="n">
        <f aca="false">(G20+輸入與假設!$C$211*輸入與假設!G$41)/G24</f>
        <v>6.69697565574683</v>
      </c>
      <c r="I39" s="6" t="s">
        <v>1949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1950</v>
      </c>
    </row>
    <row r="2" customFormat="false" ht="15" hidden="false" customHeight="false" outlineLevel="0" collapsed="false">
      <c r="A2" s="6" t="s">
        <v>1951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148</v>
      </c>
      <c r="G4" s="28" t="s">
        <v>149</v>
      </c>
      <c r="I4" s="14" t="s">
        <v>750</v>
      </c>
    </row>
    <row r="5" customFormat="false" ht="15" hidden="false" customHeight="false" outlineLevel="0" collapsed="false">
      <c r="A5" s="7" t="s">
        <v>1952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1953</v>
      </c>
      <c r="B6" s="11" t="s">
        <v>59</v>
      </c>
      <c r="C6" s="64" t="n">
        <f aca="false">輸入與假設!C$135-各期收支!C8</f>
        <v>47.561595083144</v>
      </c>
      <c r="D6" s="64" t="n">
        <f aca="false">輸入與假設!D$135-各期收支!D8</f>
        <v>60.4783466940144</v>
      </c>
      <c r="E6" s="64" t="n">
        <f aca="false">輸入與假設!E$135-各期收支!E8</f>
        <v>23.6173034685432</v>
      </c>
      <c r="F6" s="64" t="n">
        <f aca="false">輸入與假設!F$135-各期收支!F8</f>
        <v>41.626546562832</v>
      </c>
      <c r="G6" s="64" t="n">
        <f aca="false">輸入與假設!G$135-各期收支!G8</f>
        <v>41.626546562832</v>
      </c>
      <c r="I6" s="11" t="s">
        <v>1954</v>
      </c>
    </row>
    <row r="7" customFormat="false" ht="15" hidden="false" customHeight="false" outlineLevel="1" collapsed="false">
      <c r="A7" s="3" t="s">
        <v>1955</v>
      </c>
      <c r="B7" s="11" t="s">
        <v>59</v>
      </c>
      <c r="C7" s="64" t="n">
        <f aca="false">67.357</f>
        <v>67.357</v>
      </c>
      <c r="D7" s="64" t="n">
        <f aca="false">19.345+損益!C9</f>
        <v>83.0511942273139</v>
      </c>
      <c r="E7" s="64" t="n">
        <f aca="false">損益!D9</f>
        <v>102.626687552989</v>
      </c>
      <c r="F7" s="64" t="n">
        <f aca="false">損益!E9</f>
        <v>127.640770776134</v>
      </c>
      <c r="G7" s="64" t="n">
        <f aca="false">損益!F9</f>
        <v>142.239872909041</v>
      </c>
      <c r="I7" s="11" t="s">
        <v>1956</v>
      </c>
    </row>
    <row r="8" customFormat="false" ht="15" hidden="false" customHeight="false" outlineLevel="1" collapsed="false">
      <c r="A8" s="3" t="s">
        <v>1957</v>
      </c>
      <c r="B8" s="11" t="s">
        <v>59</v>
      </c>
      <c r="C8" s="42" t="n">
        <f aca="false">各期收支!C11</f>
        <v>2.60846767765884</v>
      </c>
      <c r="D8" s="42" t="n">
        <f aca="false">各期收支!D11</f>
        <v>6.65459246689173</v>
      </c>
      <c r="E8" s="42" t="n">
        <f aca="false">各期收支!E11</f>
        <v>10.0145573041712</v>
      </c>
      <c r="F8" s="42" t="n">
        <f aca="false">各期收支!F11</f>
        <v>10.4089759085606</v>
      </c>
      <c r="G8" s="42" t="n">
        <f aca="false">各期收支!G11</f>
        <v>12.0000767948619</v>
      </c>
      <c r="I8" s="6" t="s">
        <v>1958</v>
      </c>
    </row>
    <row r="9" customFormat="false" ht="15" hidden="false" customHeight="false" outlineLevel="1" collapsed="false">
      <c r="A9" s="3" t="s">
        <v>1959</v>
      </c>
      <c r="B9" s="11" t="s">
        <v>59</v>
      </c>
      <c r="C9" s="64" t="n">
        <f aca="false">輸入與假設!$C$195*MAX(0,損益!C9-C7)</f>
        <v>0</v>
      </c>
      <c r="D9" s="64" t="n">
        <f aca="false">輸入與假設!$C$195*MAX(0,損益!D9-D7)</f>
        <v>0.391509866513495</v>
      </c>
      <c r="E9" s="64" t="n">
        <f aca="false">輸入與假設!$C$195*MAX(0,損益!E9-E7)</f>
        <v>0.500281664462899</v>
      </c>
      <c r="F9" s="64" t="n">
        <f aca="false">輸入與假設!$C$195*MAX(0,損益!F9-F7)</f>
        <v>0.291982042658146</v>
      </c>
      <c r="G9" s="64" t="n">
        <f aca="false">輸入與假設!$C$195*MAX(0,損益!G9-G7)</f>
        <v>0.102989804601416</v>
      </c>
      <c r="I9" s="6" t="s">
        <v>1960</v>
      </c>
    </row>
    <row r="10" customFormat="false" ht="15" hidden="false" customHeight="false" outlineLevel="1" collapsed="false">
      <c r="A10" s="3" t="s">
        <v>1961</v>
      </c>
      <c r="B10" s="11" t="s">
        <v>59</v>
      </c>
      <c r="C10" s="64" t="n">
        <f aca="false">輸入與假設!$C$193</f>
        <v>0</v>
      </c>
      <c r="D10" s="64" t="n">
        <f aca="false">C12</f>
        <v>0</v>
      </c>
      <c r="E10" s="64" t="n">
        <f aca="false">D12</f>
        <v>0</v>
      </c>
      <c r="F10" s="64" t="n">
        <f aca="false">E12</f>
        <v>0</v>
      </c>
      <c r="G10" s="64" t="n">
        <f aca="false">F12</f>
        <v>0</v>
      </c>
      <c r="I10" s="11" t="s">
        <v>1962</v>
      </c>
    </row>
    <row r="11" customFormat="false" ht="15" hidden="false" customHeight="false" outlineLevel="1" collapsed="false">
      <c r="A11" s="3" t="s">
        <v>1963</v>
      </c>
      <c r="B11" s="11" t="s">
        <v>59</v>
      </c>
      <c r="C11" s="64" t="n">
        <f aca="false">MIN(C10,MAX(0,損益!C12)*輸入與假設!$C$194)</f>
        <v>0</v>
      </c>
      <c r="D11" s="64" t="n">
        <f aca="false">MIN(D10,MAX(0,損益!D12)*輸入與假設!$C$194)</f>
        <v>0</v>
      </c>
      <c r="E11" s="64" t="n">
        <f aca="false">MIN(E10,MAX(0,損益!E12)*輸入與假設!$C$194)</f>
        <v>0</v>
      </c>
      <c r="F11" s="64" t="n">
        <f aca="false">MIN(F10,MAX(0,損益!F12)*輸入與假設!$C$194)</f>
        <v>0</v>
      </c>
      <c r="G11" s="64" t="n">
        <f aca="false">MIN(G10,MAX(0,損益!G12)*輸入與假設!$C$194)</f>
        <v>0</v>
      </c>
    </row>
    <row r="12" customFormat="false" ht="15" hidden="false" customHeight="false" outlineLevel="1" collapsed="false">
      <c r="A12" s="3" t="s">
        <v>1964</v>
      </c>
      <c r="B12" s="11" t="s">
        <v>59</v>
      </c>
      <c r="C12" s="64" t="n">
        <f aca="false">C10-C11+MAX(0,-損益!C12)</f>
        <v>0</v>
      </c>
      <c r="D12" s="64" t="n">
        <f aca="false">D10-D11+MAX(0,-損益!D12)</f>
        <v>0</v>
      </c>
      <c r="E12" s="64" t="n">
        <f aca="false">E10-E11+MAX(0,-損益!E12)</f>
        <v>0</v>
      </c>
      <c r="F12" s="64" t="n">
        <f aca="false">F10-F11+MAX(0,-損益!F12)</f>
        <v>0</v>
      </c>
      <c r="G12" s="64" t="n">
        <f aca="false">G10-G11+MAX(0,-損益!G12)</f>
        <v>0</v>
      </c>
    </row>
    <row r="13" customFormat="false" ht="15" hidden="false" customHeight="false" outlineLevel="1" collapsed="false">
      <c r="A13" s="3" t="s">
        <v>1965</v>
      </c>
      <c r="B13" s="11" t="s">
        <v>59</v>
      </c>
      <c r="C13" s="64" t="n">
        <f aca="false">MAX(0,損益!C12-C11)*輸入與假設!$C$180</f>
        <v>3.84422111839228</v>
      </c>
      <c r="D13" s="64" t="n">
        <f aca="false">MAX(0,損益!D12-D11)*輸入與假設!$C$180</f>
        <v>4.80144288708867</v>
      </c>
      <c r="E13" s="64" t="n">
        <f aca="false">MAX(0,損益!E12-E11)*輸入與假設!$C$180</f>
        <v>4.94334777901105</v>
      </c>
      <c r="F13" s="64" t="n">
        <f aca="false">MAX(0,損益!F12-F11)*輸入與假設!$C$180</f>
        <v>4.96745073396893</v>
      </c>
      <c r="G13" s="64" t="n">
        <f aca="false">MAX(0,損益!G12-G11)*輸入與假設!$C$180</f>
        <v>4.81725364149966</v>
      </c>
      <c r="I13" s="6" t="s">
        <v>1966</v>
      </c>
    </row>
    <row r="14" customFormat="false" ht="15" hidden="false" customHeight="false" outlineLevel="1" collapsed="false">
      <c r="A14" s="75" t="s">
        <v>1967</v>
      </c>
      <c r="B14" s="11" t="s">
        <v>59</v>
      </c>
      <c r="C14" s="38" t="n">
        <f aca="false">損益!C12-C13+損益!C21-C6-C9-C8</f>
        <v>-16.4704885602639</v>
      </c>
      <c r="D14" s="38" t="n">
        <f aca="false">損益!D12-D13+損益!D21-D6-D9-D8</f>
        <v>-14.1854073675316</v>
      </c>
      <c r="E14" s="38" t="n">
        <f aca="false">損益!E12-E13+損益!E21-E6-E9-E8</f>
        <v>30.3576008101353</v>
      </c>
      <c r="F14" s="38" t="n">
        <f aca="false">損益!F12-F13+損益!F21-F6-F9-F8</f>
        <v>16.562056779268</v>
      </c>
      <c r="G14" s="38" t="n">
        <f aca="false">損益!G12-G13+損益!G21-G6-G9-G8</f>
        <v>14.9654323143582</v>
      </c>
      <c r="I14" s="6" t="s">
        <v>1968</v>
      </c>
    </row>
    <row r="15" customFormat="false" ht="15" hidden="false" customHeight="false" outlineLevel="1" collapsed="false">
      <c r="A15" s="3" t="s">
        <v>1969</v>
      </c>
      <c r="B15" s="6" t="s">
        <v>190</v>
      </c>
      <c r="C15" s="94" t="n">
        <f aca="false">輸入與假設!$C$228</f>
        <v>0.75</v>
      </c>
      <c r="D15" s="94" t="n">
        <f aca="false">輸入與假設!$D$228</f>
        <v>1.75</v>
      </c>
      <c r="E15" s="94" t="n">
        <f aca="false">輸入與假設!$E$228</f>
        <v>2.75</v>
      </c>
      <c r="F15" s="94" t="n">
        <f aca="false">輸入與假設!$F$228</f>
        <v>3.75</v>
      </c>
      <c r="G15" s="94" t="n">
        <f aca="false">輸入與假設!$G$228</f>
        <v>4.75</v>
      </c>
      <c r="I15" s="6" t="s">
        <v>1970</v>
      </c>
    </row>
    <row r="16" customFormat="false" ht="15" hidden="false" customHeight="false" outlineLevel="1" collapsed="false">
      <c r="A16" s="3" t="s">
        <v>1971</v>
      </c>
      <c r="B16" s="6"/>
      <c r="C16" s="53" t="n">
        <f aca="false">1/(1+輸入與假設!$C$190)^C15</f>
        <v>0.915427734040045</v>
      </c>
      <c r="D16" s="53" t="n">
        <f aca="false">1/(1+輸入與假設!$C$190)^D15</f>
        <v>0.813684706803842</v>
      </c>
      <c r="E16" s="53" t="n">
        <f aca="false">1/(1+輸入與假設!$C$190)^E15</f>
        <v>0.723249665120472</v>
      </c>
      <c r="F16" s="53" t="n">
        <f aca="false">1/(1+輸入與假設!$C$190)^F15</f>
        <v>0.642865809966584</v>
      </c>
      <c r="G16" s="53" t="n">
        <f aca="false">1/(1+輸入與假設!$C$190)^G15</f>
        <v>0.571416026241993</v>
      </c>
    </row>
    <row r="17" customFormat="false" ht="15" hidden="false" customHeight="false" outlineLevel="1" collapsed="false">
      <c r="A17" s="4" t="s">
        <v>1972</v>
      </c>
      <c r="B17" s="11" t="s">
        <v>59</v>
      </c>
      <c r="C17" s="64" t="n">
        <f aca="false">C14*C16</f>
        <v>-15.0775420212549</v>
      </c>
      <c r="D17" s="64" t="n">
        <f aca="false">D14*D16</f>
        <v>-11.542449034743</v>
      </c>
      <c r="E17" s="64" t="n">
        <f aca="false">E14*E16</f>
        <v>21.9561246197913</v>
      </c>
      <c r="F17" s="64" t="n">
        <f aca="false">F14*F16</f>
        <v>10.6471800461167</v>
      </c>
      <c r="G17" s="64" t="n">
        <f aca="false">G14*G16</f>
        <v>8.55148786406406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1973</v>
      </c>
      <c r="C19" s="10" t="n">
        <f aca="false">SUM(C17:G17)</f>
        <v>14.5348014739741</v>
      </c>
      <c r="I19" s="6" t="s">
        <v>1974</v>
      </c>
    </row>
    <row r="20" customFormat="false" ht="15" hidden="false" customHeight="false" outlineLevel="1" collapsed="false">
      <c r="A20" s="3" t="s">
        <v>1975</v>
      </c>
      <c r="C20" s="10" t="n">
        <f aca="false">G14+輸入與假設!G128*(1-各期收支!G7)</f>
        <v>14.9654323143582</v>
      </c>
      <c r="I20" s="11" t="s">
        <v>1976</v>
      </c>
    </row>
    <row r="21" customFormat="false" ht="15" hidden="false" customHeight="false" outlineLevel="1" collapsed="false">
      <c r="A21" s="3" t="s">
        <v>1977</v>
      </c>
      <c r="C21" s="55" t="n">
        <f aca="false">IF(C30=1,0,C20*(1+輸入與假設!$C$191)/(輸入與假設!$C$190-輸入與假設!$C$191))</f>
        <v>162.188730126225</v>
      </c>
      <c r="I21" s="6" t="s">
        <v>1978</v>
      </c>
    </row>
    <row r="22" customFormat="false" ht="15" hidden="false" customHeight="false" outlineLevel="1" collapsed="false">
      <c r="A22" s="3" t="s">
        <v>1979</v>
      </c>
      <c r="C22" s="55" t="n">
        <f aca="false">C21*G16</f>
        <v>92.6772396699625</v>
      </c>
    </row>
    <row r="23" customFormat="false" ht="15" hidden="false" customHeight="false" outlineLevel="1" collapsed="false">
      <c r="A23" s="3" t="s">
        <v>1980</v>
      </c>
      <c r="C23" s="55" t="n">
        <f aca="false">C19+C22</f>
        <v>107.212041143937</v>
      </c>
    </row>
    <row r="24" customFormat="false" ht="15" hidden="false" customHeight="false" outlineLevel="1" collapsed="false">
      <c r="A24" s="3" t="s">
        <v>1981</v>
      </c>
      <c r="C24" s="10" t="n">
        <f aca="false">-評價_DCF與目標價!$C$70</f>
        <v>-88.827</v>
      </c>
      <c r="I24" s="6" t="s">
        <v>1982</v>
      </c>
    </row>
    <row r="25" customFormat="false" ht="15" hidden="false" customHeight="false" outlineLevel="1" collapsed="false">
      <c r="A25" s="3" t="s">
        <v>1983</v>
      </c>
      <c r="C25" s="55" t="n">
        <f aca="false">C23+C24</f>
        <v>18.3850411439366</v>
      </c>
    </row>
    <row r="26" customFormat="false" ht="15" hidden="false" customHeight="false" outlineLevel="1" collapsed="false">
      <c r="A26" s="75" t="s">
        <v>1984</v>
      </c>
      <c r="C26" s="95" t="n">
        <f aca="false">IF(C30=1,0,IF(輸入與假設!$C$213=2,C32,C31))</f>
        <v>5.95182719046504</v>
      </c>
      <c r="I26" s="6" t="s">
        <v>1985</v>
      </c>
    </row>
    <row r="27" customFormat="false" ht="15" hidden="false" customHeight="false" outlineLevel="1" collapsed="false">
      <c r="A27" s="3" t="s">
        <v>1986</v>
      </c>
      <c r="C27" s="29" t="n">
        <f aca="false">C22/C23</f>
        <v>0.864429393201641</v>
      </c>
      <c r="I27" s="6" t="str">
        <f aca="false">"超過 "&amp;IF(ROUND(ABS(輸入與假設!$C$237)*100,4)=INT(ROUND(ABS(輸入與假設!$C$237)*100,4)),TEXT(ROUND(ABS(輸入與假設!$C$237)*100,4),"0"),TEXT(ROUND(ABS(輸入與假設!$C$237)*100,4),"0.0"))&amp;"%"&amp;"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1987</v>
      </c>
      <c r="C28" s="55" t="n">
        <f aca="false">各期收支!C84/(1+輸入與假設!$C$190)^輸入與假設!$C$229+各期收支!D84/(1+輸入與假設!$C$190)^輸入與假設!$D$229+各期收支!E84/(1+輸入與假設!$C$190)^輸入與假設!$E$229+各期收支!F84/(1+輸入與假設!$C$190)^輸入與假設!$F$229+各期收支!G84/(1+輸入與假設!$C$190)^輸入與假設!$G$229</f>
        <v>0</v>
      </c>
      <c r="I28" s="6" t="s">
        <v>1988</v>
      </c>
    </row>
    <row r="29" customFormat="false" ht="15" hidden="false" customHeight="false" outlineLevel="1" collapsed="false">
      <c r="A29" s="3" t="s">
        <v>1989</v>
      </c>
      <c r="C29" s="96" t="n">
        <f aca="false">評價_DCF與目標價!$C$69+各期收支!G89</f>
        <v>3.08897428564288</v>
      </c>
    </row>
    <row r="30" customFormat="false" ht="15" hidden="false" customHeight="false" outlineLevel="1" collapsed="false">
      <c r="A30" s="4" t="s">
        <v>1990</v>
      </c>
      <c r="C30" s="47" t="n">
        <f aca="false">IF(OR(輸入與假設!$C$190&lt;=輸入與假設!$C$191,C20&lt;=0),1,0)</f>
        <v>0</v>
      </c>
      <c r="I30" s="11" t="s">
        <v>1991</v>
      </c>
    </row>
    <row r="31" customFormat="false" ht="15" hidden="false" customHeight="false" outlineLevel="1" collapsed="false">
      <c r="A31" s="75" t="s">
        <v>1992</v>
      </c>
      <c r="C31" s="46" t="n">
        <f aca="false">MAX(0,(C25+C28)/C29)</f>
        <v>5.95182719046504</v>
      </c>
    </row>
    <row r="32" customFormat="false" ht="15" hidden="false" customHeight="false" outlineLevel="1" collapsed="false">
      <c r="A32" s="75" t="s">
        <v>1993</v>
      </c>
      <c r="C32" s="46" t="n">
        <f aca="false">IF((C23+C28)&lt;=0,0,IF(評價_DCF與目標價!$C$70&lt;=0,(C23+C28),(C23+C28)*NORMSDIST(C33)-評價_DCF與目標價!$C$70*EXP(-輸入與假設!$C$181*輸入與假設!$C$215)*NORMSDIST(C34))/C29)</f>
        <v>18.8208914078817</v>
      </c>
      <c r="I32" s="11" t="s">
        <v>1994</v>
      </c>
    </row>
    <row r="33" customFormat="false" ht="15" hidden="false" customHeight="false" outlineLevel="1" collapsed="false">
      <c r="A33" s="3" t="s">
        <v>1995</v>
      </c>
      <c r="C33" s="96" t="n">
        <f aca="false">IF(OR((C23+C28)&lt;=0,評價_DCF與目標價!$C$70&lt;=0),0,(LN((C23+C28)/評價_DCF與目標價!$C$70)+(輸入與假設!$C$181+輸入與假設!$C$214^2/2)*輸入與假設!$C$215)/(輸入與假設!$C$214*SQRT(輸入與假設!$C$215)))</f>
        <v>0.947205174485793</v>
      </c>
    </row>
    <row r="34" customFormat="false" ht="15" hidden="false" customHeight="false" outlineLevel="1" collapsed="false">
      <c r="A34" s="3" t="s">
        <v>1996</v>
      </c>
      <c r="C34" s="96" t="n">
        <f aca="false">C33-輸入與假設!$C$214*SQRT(輸入與假設!$C$215)</f>
        <v>-0.142519561399375</v>
      </c>
    </row>
    <row r="36" customFormat="false" ht="15" hidden="false" customHeight="false" outlineLevel="0" collapsed="false">
      <c r="A36" s="49" t="s">
        <v>1997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1998</v>
      </c>
      <c r="C37" s="97" t="str">
        <f aca="false">CHOOSE(輸入與假設!$C$205,"FY28","FY29","FY30","FY31")</f>
        <v>FY29</v>
      </c>
      <c r="I37" s="6" t="s">
        <v>1999</v>
      </c>
    </row>
    <row r="38" customFormat="false" ht="15" hidden="false" customHeight="false" outlineLevel="1" collapsed="false">
      <c r="A38" s="3" t="s">
        <v>2000</v>
      </c>
      <c r="C38" s="10" t="n">
        <f aca="false">INDEX(損益!$D$22:$G$22,1,輸入與假設!$C$205)</f>
        <v>69.4330910263236</v>
      </c>
    </row>
    <row r="39" customFormat="false" ht="15" hidden="false" customHeight="false" outlineLevel="1" collapsed="false">
      <c r="A39" s="3" t="s">
        <v>2001</v>
      </c>
      <c r="C39" s="55" t="n">
        <f aca="false">C45*輸入與假設!$C$196+C44*輸入與假設!$C$204</f>
        <v>689.96117500461</v>
      </c>
      <c r="I39" s="6" t="s">
        <v>2002</v>
      </c>
    </row>
    <row r="40" customFormat="false" ht="15" hidden="false" customHeight="false" outlineLevel="1" collapsed="false">
      <c r="A40" s="3" t="s">
        <v>2003</v>
      </c>
      <c r="C40" s="10" t="n">
        <f aca="false">INDEX(各期收支!$D$94:$G$94,1,輸入與假設!$C$205)-INDEX(各期收支!$D$52:$G$52,1,輸入與假設!$C$205)+評價_DCF與目標價!$C$71</f>
        <v>124.826544462787</v>
      </c>
      <c r="I40" s="6" t="s">
        <v>2004</v>
      </c>
    </row>
    <row r="41" customFormat="false" ht="15" hidden="false" customHeight="false" outlineLevel="1" collapsed="false">
      <c r="A41" s="3" t="s">
        <v>2005</v>
      </c>
      <c r="C41" s="98" t="n">
        <f aca="false">INDEX(損益!$D$24:$G$24,1,輸入與假設!$C$205)</f>
        <v>3.15106266878431</v>
      </c>
      <c r="I41" s="6" t="s">
        <v>2006</v>
      </c>
    </row>
    <row r="42" customFormat="false" ht="15" hidden="false" customHeight="false" outlineLevel="1" collapsed="false">
      <c r="A42" s="3" t="s">
        <v>2007</v>
      </c>
      <c r="C42" s="98" t="n">
        <f aca="false">1/(1+輸入與假設!$C$190)^(輸入與假設!$C$205-輸入與假設!$C$225)</f>
        <v>0.813684706803842</v>
      </c>
      <c r="I42" s="6" t="s">
        <v>2008</v>
      </c>
    </row>
    <row r="43" customFormat="false" ht="15" hidden="false" customHeight="false" outlineLevel="1" collapsed="false">
      <c r="A43" s="4" t="s">
        <v>2009</v>
      </c>
      <c r="C43" s="46" t="n">
        <f aca="false">MAX(0,(C39-C40)/C41)*C42</f>
        <v>145.932167808814</v>
      </c>
      <c r="I43" s="6" t="s">
        <v>2010</v>
      </c>
    </row>
    <row r="44" customFormat="false" ht="15" hidden="false" customHeight="false" outlineLevel="1" collapsed="false">
      <c r="A44" s="3" t="s">
        <v>2011</v>
      </c>
      <c r="C44" s="10" t="n">
        <f aca="false">INDEX(輸入與假設!$D$83:$G$83,1,輸入與假設!$C$205)</f>
        <v>30.3062781426461</v>
      </c>
      <c r="I44" s="11" t="s">
        <v>2012</v>
      </c>
    </row>
    <row r="45" customFormat="false" ht="15" hidden="false" customHeight="false" outlineLevel="1" collapsed="false">
      <c r="A45" s="3" t="s">
        <v>2013</v>
      </c>
      <c r="C45" s="55" t="n">
        <f aca="false">C38-C44</f>
        <v>39.1268128836775</v>
      </c>
      <c r="I45" s="6" t="s">
        <v>2014</v>
      </c>
    </row>
    <row r="47" customFormat="false" ht="15" hidden="false" customHeight="false" outlineLevel="0" collapsed="false">
      <c r="A47" s="49" t="s">
        <v>2015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2016</v>
      </c>
      <c r="C48" s="12" t="n">
        <f aca="false">C26*(1+輸入與假設!$C$190)^輸入與假設!$C$221</f>
        <v>6.6960428687015</v>
      </c>
      <c r="I48" s="6" t="s">
        <v>2017</v>
      </c>
    </row>
    <row r="49" customFormat="false" ht="15" hidden="false" customHeight="false" outlineLevel="1" collapsed="false">
      <c r="A49" s="4" t="s">
        <v>2018</v>
      </c>
      <c r="C49" s="12" t="n">
        <f aca="false">C48*IF(C30=1,0,輸入與假設!$C$206)</f>
        <v>3.01321929091567</v>
      </c>
    </row>
    <row r="50" customFormat="false" ht="15" hidden="false" customHeight="false" outlineLevel="1" collapsed="false">
      <c r="A50" s="4" t="s">
        <v>2019</v>
      </c>
      <c r="C50" s="12" t="n">
        <f aca="false">C43*IF(C30=1,1,1-輸入與假設!$C$206)</f>
        <v>80.2626922948477</v>
      </c>
    </row>
    <row r="51" customFormat="false" ht="15" hidden="false" customHeight="false" outlineLevel="1" collapsed="false">
      <c r="A51" s="2" t="s">
        <v>2015</v>
      </c>
      <c r="C51" s="99" t="n">
        <f aca="false">SUM(C49:C50)</f>
        <v>83.2759115857634</v>
      </c>
      <c r="I51" s="6" t="s">
        <v>2020</v>
      </c>
    </row>
    <row r="52" customFormat="false" ht="15" hidden="false" customHeight="false" outlineLevel="1" collapsed="false">
      <c r="A52" s="3" t="s">
        <v>2021</v>
      </c>
      <c r="C52" s="12" t="n">
        <f aca="false">輸入與假設!$C$175</f>
        <v>144.77</v>
      </c>
    </row>
    <row r="53" customFormat="false" ht="15" hidden="false" customHeight="false" outlineLevel="1" collapsed="false">
      <c r="A53" s="3" t="s">
        <v>2022</v>
      </c>
      <c r="C53" s="29" t="n">
        <f aca="false">C51/C52-1</f>
        <v>-0.424770936065736</v>
      </c>
    </row>
    <row r="55" customFormat="false" ht="15" hidden="false" customHeight="false" outlineLevel="0" collapsed="false">
      <c r="A55" s="49" t="s">
        <v>2023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2024</v>
      </c>
      <c r="C56" s="100" t="n">
        <f aca="false">SUMPRODUCT(資產負債_既有債務!$D$73:$D$73*資產負債_既有債務!$G$73:$G$73)</f>
        <v>0.0312382856428839</v>
      </c>
      <c r="I56" s="6" t="s">
        <v>2025</v>
      </c>
    </row>
    <row r="57" customFormat="false" ht="15" hidden="false" customHeight="false" outlineLevel="1" collapsed="false">
      <c r="A57" s="3" t="s">
        <v>2026</v>
      </c>
      <c r="C57" s="100" t="n">
        <f aca="false">輸入與假設!$C$176+C56</f>
        <v>3.08897428564288</v>
      </c>
    </row>
    <row r="58" customFormat="false" ht="15" hidden="false" customHeight="false" outlineLevel="1" collapsed="false">
      <c r="A58" s="3" t="s">
        <v>2027</v>
      </c>
      <c r="C58" s="10" t="n">
        <f aca="false">輸入與假設!$C$177+SUMPRODUCT(資產負債_既有債務!$C$73:$C$73*(1-資產負債_既有債務!$G$73:$G$73))+輸入與假設!$C$179</f>
        <v>88.827</v>
      </c>
      <c r="I58" s="6" t="s">
        <v>2028</v>
      </c>
    </row>
    <row r="59" customFormat="false" ht="15" hidden="false" customHeight="false" outlineLevel="1" collapsed="false">
      <c r="A59" s="3" t="s">
        <v>2029</v>
      </c>
      <c r="C59" s="98" t="n">
        <f aca="false">C57+各期收支!G89</f>
        <v>3.08897428564288</v>
      </c>
    </row>
    <row r="60" customFormat="false" ht="15" hidden="false" customHeight="false" outlineLevel="1" collapsed="false">
      <c r="A60" s="3" t="s">
        <v>2030</v>
      </c>
      <c r="C60" s="98" t="n">
        <f aca="false">IF(OR((C23+C28)&lt;=0,C58&lt;=0),0,(LN((C23+C28)/C58)+(輸入與假設!$C$181+輸入與假設!$C$214^2/2)*輸入與假設!$C$215)/(輸入與假設!$C$214*SQRT(輸入與假設!$C$215)))</f>
        <v>0.947205174485793</v>
      </c>
    </row>
    <row r="61" customFormat="false" ht="15" hidden="false" customHeight="false" outlineLevel="1" collapsed="false">
      <c r="A61" s="3" t="s">
        <v>2031</v>
      </c>
      <c r="C61" s="12" t="n">
        <f aca="false">IF(C30=1,0,IF(輸入與假設!$C$213=2,IF((C23+C28)&lt;=0,0,IF(C58&lt;=0,(C23+C28),(C23+C28)*NORMSDIST(C60)-C58*EXP(-輸入與假設!$C$181*輸入與假設!$C$215)*NORMSDIST(C60-輸入與假設!$C$214*SQRT(輸入與假設!$C$215)))/C59),MAX(0,(C23-C58+C28)/C59)))</f>
        <v>5.95182719046504</v>
      </c>
      <c r="I61" s="6" t="s">
        <v>2032</v>
      </c>
    </row>
    <row r="62" customFormat="false" ht="15" hidden="false" customHeight="false" outlineLevel="1" collapsed="false">
      <c r="A62" s="3" t="s">
        <v>2033</v>
      </c>
      <c r="C62" s="10" t="n">
        <f aca="false">INDEX(各期收支!$D$94:$G$94,1,輸入與假設!$C$205)-INDEX(各期收支!$D$52:$G$52,1,輸入與假設!$C$205)+SUMPRODUCT(資產負債_既有債務!$C$73:$C$73*(資產負債_既有債務!$F$73:$F$73-資產負債_既有債務!$G$73:$G$73))+輸入與假設!$C$179</f>
        <v>124.826544462787</v>
      </c>
      <c r="I62" s="6" t="s">
        <v>2034</v>
      </c>
    </row>
    <row r="63" customFormat="false" ht="15" hidden="false" customHeight="false" outlineLevel="1" collapsed="false">
      <c r="A63" s="3" t="s">
        <v>2035</v>
      </c>
      <c r="C63" s="98" t="n">
        <f aca="false">C57*(1+輸入與假設!$C$210)^輸入與假設!$C$205+INDEX(各期收支!$D$89:$G$89,1,輸入與假設!$C$205)</f>
        <v>3.15106266878431</v>
      </c>
    </row>
    <row r="64" customFormat="false" ht="15" hidden="false" customHeight="false" outlineLevel="1" collapsed="false">
      <c r="A64" s="3" t="s">
        <v>2036</v>
      </c>
      <c r="C64" s="12" t="n">
        <f aca="false">MAX(0,(C39-C62)/C63)*C42</f>
        <v>145.932167808814</v>
      </c>
    </row>
    <row r="65" customFormat="false" ht="15" hidden="false" customHeight="false" outlineLevel="1" collapsed="false">
      <c r="A65" s="2" t="s">
        <v>2037</v>
      </c>
      <c r="C65" s="95" t="n">
        <f aca="false">C61*(1+輸入與假設!$C$190)^輸入與假設!$C$221*IF(C30=1,0,輸入與假設!$C$206)+C64*IF(C30=1,1,1-輸入與假設!$C$206)</f>
        <v>83.2759115857634</v>
      </c>
    </row>
    <row r="66" customFormat="false" ht="15" hidden="false" customHeight="false" outlineLevel="1" collapsed="false">
      <c r="A66" s="2" t="s">
        <v>2038</v>
      </c>
      <c r="C66" s="95" t="n">
        <f aca="false">MIN(輸入與假設!$C$175,C65)</f>
        <v>83.2759115857634</v>
      </c>
      <c r="I66" s="6" t="s">
        <v>2039</v>
      </c>
    </row>
    <row r="67" customFormat="false" ht="15" hidden="false" customHeight="false" outlineLevel="1" collapsed="false">
      <c r="A67" s="3" t="s">
        <v>2040</v>
      </c>
      <c r="C67" s="100" t="n">
        <f aca="false">SUMPRODUCT(資產負債_既有債務!$D$73:$D$73*資產負債_既有債務!$H$73:$H$73)</f>
        <v>0.0312382856428839</v>
      </c>
      <c r="I67" s="6" t="s">
        <v>2041</v>
      </c>
    </row>
    <row r="68" customFormat="false" ht="15" hidden="false" customHeight="false" outlineLevel="1" collapsed="false">
      <c r="A68" s="3" t="s">
        <v>2042</v>
      </c>
      <c r="C68" s="10" t="n">
        <f aca="false">SUMPRODUCT(資產負債_既有債務!$C$73:$C$73*(1-資產負債_既有債務!$H$73:$H$73))</f>
        <v>0</v>
      </c>
    </row>
    <row r="69" customFormat="false" ht="15" hidden="false" customHeight="false" outlineLevel="1" collapsed="false">
      <c r="A69" s="2" t="s">
        <v>2043</v>
      </c>
      <c r="C69" s="87" t="n">
        <f aca="false">輸入與假設!$C$176+C67</f>
        <v>3.08897428564288</v>
      </c>
      <c r="I69" s="11" t="s">
        <v>2044</v>
      </c>
    </row>
    <row r="70" customFormat="false" ht="15" hidden="false" customHeight="false" outlineLevel="1" collapsed="false">
      <c r="A70" s="2" t="s">
        <v>2045</v>
      </c>
      <c r="C70" s="56" t="n">
        <f aca="false">輸入與假設!$C$177+C68+輸入與假設!$C$179</f>
        <v>88.827</v>
      </c>
      <c r="I70" s="11" t="s">
        <v>2046</v>
      </c>
    </row>
    <row r="71" customFormat="false" ht="15" hidden="false" customHeight="false" outlineLevel="1" collapsed="false">
      <c r="A71" s="3" t="s">
        <v>2047</v>
      </c>
      <c r="C71" s="10" t="n">
        <f aca="false">SUMPRODUCT(資產負債_既有債務!$C$73:$C$73*(資產負債_既有債務!$F$73:$F$73-資產負債_既有債務!$H$73:$H$73))+輸入與假設!$C$179</f>
        <v>0</v>
      </c>
      <c r="I71" s="6" t="s">
        <v>2048</v>
      </c>
    </row>
    <row r="72" customFormat="false" ht="15" hidden="false" customHeight="false" outlineLevel="1" collapsed="false">
      <c r="A72" s="4" t="s">
        <v>2049</v>
      </c>
      <c r="C72" s="3" t="str">
        <f aca="false">IF(C30=1,"DCF 失效，已以 EV/EBITDA 100% 計。",IF(AND(輸入與假設!$C$213&lt;&gt;2,C87&lt;0),"DCF 為 $0 仍計 "&amp;TEXT(輸入與假設!$C$206,"0%")&amp;" 權重的原因：DCF 沒有失效，而是算出的股權價值為負（每股約 −$"&amp;TEXT(ABS(C87),"0.0")&amp;"），代表自由現金流折現後的企業價值不足以償還淨負債。EV/EBITDA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$"&amp;TEXT(C43,"0.0")&amp;"（"&amp;CHOOSE(D86+2,"賣出","中立","買進")&amp;"）；"&amp;TEXT(輸入與假設!$C$206,"0%")&amp;"／"&amp;TEXT(1-輸入與假設!$C$206,"0%")&amp;" 為判斷值。",""))</f>
        <v/>
      </c>
      <c r="I72" s="6" t="s">
        <v>2050</v>
      </c>
    </row>
    <row r="74" customFormat="false" ht="15" hidden="false" customHeight="false" outlineLevel="0" collapsed="false">
      <c r="A74" s="49" t="s">
        <v>2051</v>
      </c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1" collapsed="false">
      <c r="A75" s="3" t="s">
        <v>2052</v>
      </c>
      <c r="C75" s="12" t="n">
        <f aca="false">C51</f>
        <v>83.2759115857634</v>
      </c>
      <c r="I75" s="6" t="str">
        <f aca="false">"評等規則不變：空間 ≥"&amp;IF(ROUND(ABS(輸入與假設!$C$231)*100,4)=INT(ROUND(ABS(輸入與假設!$C$231)*100,4)),TEXT(ROUND(ABS(輸入與假設!$C$231)*100,4),"0"),TEXT(ROUND(ABS(輸入與假設!$C$231)*100,4),"0.0"))&amp;"%"&amp;" 且終值占比 &lt;"&amp;IF(ROUND(ABS(輸入與假設!$C$232)*100,4)=INT(ROUND(ABS(輸入與假設!$C$232)*100,4)),TEXT(ROUND(ABS(輸入與假設!$C$232)*100,4),"0"),TEXT(ROUND(ABS(輸入與假設!$C$232)*100,4),"0.0"))&amp;"%"&amp;"、股權募資 ≤"&amp;IF(輸入與假設!$C$234=INT(輸入與假設!$C$234),TEXT(輸入與假設!$C$234,"0"),TEXT(輸入與假設!$C$234,"0.0"))&amp;" 倍現市值 → 買進；空間 ≤−"&amp;IF(ROUND(ABS(輸入與假設!$C$233)*100,4)=INT(ROUND(ABS(輸入與假設!$C$233)*100,4)),TEXT(ROUND(ABS(輸入與假設!$C$233)*100,4),"0"),TEXT(ROUND(ABS(輸入與假設!$C$233)*100,4),"0.0"))&amp;"%"&amp;"，或股權募資 &gt;"&amp;IF(輸入與假設!$C$234=INT(輸入與假設!$C$234),TEXT(輸入與假設!$C$234,"0"),TEXT(輸入與假設!$C$234,"0.0"))&amp;" 倍且空間 ≤−"&amp;IF(ROUND(ABS(輸入與假設!$C$235)*100,4)=INT(ROUND(ABS(輸入與假設!$C$235)*100,4)),TEXT(ROUND(ABS(輸入與假設!$C$235)*100,4),"0"),TEXT(ROUND(ABS(輸入與假設!$C$235)*100,4),"0.0"))&amp;"%"&amp;"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6" customFormat="false" ht="15" hidden="false" customHeight="false" outlineLevel="1" collapsed="false">
      <c r="A76" s="3" t="s">
        <v>2053</v>
      </c>
      <c r="C76" s="13" t="n">
        <f aca="false">C22/MAX(ABS(C23),1)*IF(C23=0,1,SIGN(C23))</f>
        <v>0.864429393201641</v>
      </c>
    </row>
    <row r="77" customFormat="false" ht="15" hidden="false" customHeight="false" outlineLevel="1" collapsed="false">
      <c r="A77" s="3" t="s">
        <v>2054</v>
      </c>
      <c r="C77" s="16" t="n">
        <f aca="false">SUM(各期收支!C84:G84)/(輸入與假設!$C$175*輸入與假設!$C$176)</f>
        <v>0</v>
      </c>
    </row>
    <row r="78" customFormat="false" ht="15" hidden="false" customHeight="false" outlineLevel="1" collapsed="false">
      <c r="A78" s="3" t="s">
        <v>2055</v>
      </c>
      <c r="C78" s="9" t="n">
        <f aca="false">IF(AND((C51/MAX(輸入與假設!$C$175,0.01)-1)&gt;=輸入與假設!$C$231,$C$76&lt;輸入與假設!$C$232,$C$77&lt;=輸入與假設!$C$234),1,IF(OR((C51/MAX(輸入與假設!$C$175,0.01)-1)&lt;=輸入與假設!$C$233,AND($C$77&gt;輸入與假設!$C$234,(C51/MAX(輸入與假設!$C$175,0.01)-1)&lt;=輸入與假設!$C$235)),-1,0))</f>
        <v>-1</v>
      </c>
      <c r="D78" s="9" t="str">
        <f aca="false">CHOOSE(C78+2,"賣出","中立","買進")</f>
        <v>賣出</v>
      </c>
    </row>
    <row r="79" customFormat="false" ht="15" hidden="false" customHeight="false" outlineLevel="1" collapsed="false">
      <c r="A79" s="3" t="s">
        <v>2056</v>
      </c>
      <c r="C79" s="12" t="n">
        <f aca="false">輸入與假設!$C$175*(1+輸入與假設!$C$233)</f>
        <v>123.0545</v>
      </c>
    </row>
    <row r="80" customFormat="false" ht="15" hidden="false" customHeight="false" outlineLevel="1" collapsed="false">
      <c r="A80" s="3" t="s">
        <v>2057</v>
      </c>
      <c r="C80" s="12" t="n">
        <f aca="false">輸入與假設!D264</f>
        <v>76.5598209193869</v>
      </c>
      <c r="D80" s="9" t="n">
        <f aca="false">輸入與假設!E264</f>
        <v>-1</v>
      </c>
      <c r="E80" s="12" t="n">
        <f aca="false">C80-$C$79</f>
        <v>-46.4946790806131</v>
      </c>
      <c r="I80" s="6" t="s">
        <v>2058</v>
      </c>
    </row>
    <row r="81" customFormat="false" ht="15" hidden="false" customHeight="false" outlineLevel="1" collapsed="false">
      <c r="A81" s="3" t="s">
        <v>2059</v>
      </c>
      <c r="C81" s="12" t="n">
        <f aca="false">輸入與假設!D265</f>
        <v>83.2759115857634</v>
      </c>
      <c r="D81" s="9" t="n">
        <f aca="false">輸入與假設!E265</f>
        <v>-1</v>
      </c>
      <c r="E81" s="12" t="n">
        <f aca="false">C81-$C$79</f>
        <v>-39.7785884142366</v>
      </c>
    </row>
    <row r="82" customFormat="false" ht="15" hidden="false" customHeight="false" outlineLevel="1" collapsed="false">
      <c r="A82" s="3" t="s">
        <v>2060</v>
      </c>
      <c r="C82" s="12" t="n">
        <f aca="false">輸入與假設!D266</f>
        <v>90.8836658139978</v>
      </c>
      <c r="D82" s="9" t="n">
        <f aca="false">輸入與假設!E266</f>
        <v>-1</v>
      </c>
      <c r="E82" s="12" t="n">
        <f aca="false">C82-$C$79</f>
        <v>-32.1708341860022</v>
      </c>
    </row>
    <row r="83" customFormat="false" ht="15" hidden="false" customHeight="false" outlineLevel="1" collapsed="false">
      <c r="A83" s="3" t="s">
        <v>2061</v>
      </c>
      <c r="C83" s="12" t="n">
        <f aca="false">MIN(C80,C82)</f>
        <v>76.5598209193869</v>
      </c>
      <c r="D83" s="12" t="n">
        <f aca="false">MAX(C80,C82)</f>
        <v>90.8836658139978</v>
      </c>
    </row>
    <row r="84" customFormat="false" ht="15" hidden="false" customHeight="false" outlineLevel="1" collapsed="false">
      <c r="A84" s="3" t="s">
        <v>2062</v>
      </c>
      <c r="C84" s="16" t="n">
        <f aca="false">MIN(輸入與假設!$C$208,輸入與假設!$C$209)</f>
        <v>5</v>
      </c>
      <c r="D84" s="16" t="n">
        <f aca="false">MAX(輸入與假設!$C$208,輸入與假設!$C$209)</f>
        <v>6</v>
      </c>
    </row>
    <row r="85" customFormat="false" ht="15" hidden="false" customHeight="false" outlineLevel="1" collapsed="false">
      <c r="A85" s="3" t="s">
        <v>2063</v>
      </c>
      <c r="C85" s="12" t="n">
        <f aca="false">MIN(C48*IF(C30=1,0,輸入與假設!$C$206)+MAX(0,(C45*C84+C44*輸入與假設!$C$204-C40)/C41)*C42*IF(C30=1,1,1-輸入與假設!$C$206),C48*IF(C30=1,0,輸入與假設!$C$206)+MAX(0,(C45*D84+C44*輸入與假設!$C$204-C40)/C41)*C42*IF(C30=1,1,1-輸入與假設!$C$206))</f>
        <v>77.7189643147215</v>
      </c>
      <c r="D85" s="12" t="n">
        <f aca="false">MAX(C48*IF(C30=1,0,輸入與假設!$C$206)+MAX(0,(C45*C84+C44*輸入與假設!$C$204-C40)/C41)*C42*IF(C30=1,1,1-輸入與假設!$C$206),C48*IF(C30=1,0,輸入與假設!$C$206)+MAX(0,(C45*D84+C44*輸入與假設!$C$204-C40)/C41)*C42*IF(C30=1,1,1-輸入與假設!$C$206))</f>
        <v>83.2759115857634</v>
      </c>
      <c r="I85" s="6" t="s">
        <v>2064</v>
      </c>
    </row>
    <row r="86" customFormat="false" ht="15" hidden="false" customHeight="false" outlineLevel="1" collapsed="false">
      <c r="A86" s="3" t="s">
        <v>2065</v>
      </c>
      <c r="C86" s="12" t="n">
        <f aca="false">C43</f>
        <v>145.932167808814</v>
      </c>
      <c r="D86" s="9" t="n">
        <f aca="false">IF(AND((C43/MAX(輸入與假設!$C$175,0.01)-1)&gt;=輸入與假設!$C$231,$C$76&lt;輸入與假設!$C$232,$C$77&lt;=輸入與假設!$C$234),1,IF(OR((C43/MAX(輸入與假設!$C$175,0.01)-1)&lt;=輸入與假設!$C$233,AND($C$77&gt;輸入與假設!$C$234,(C43/MAX(輸入與假設!$C$175,0.01)-1)&lt;=輸入與假設!$C$235)),-1,0))</f>
        <v>0</v>
      </c>
      <c r="E86" s="12" t="str">
        <f aca="false">CHOOSE(D86+2,"賣出","中立","買進")</f>
        <v>中立</v>
      </c>
    </row>
    <row r="87" customFormat="false" ht="15" hidden="false" customHeight="false" outlineLevel="1" collapsed="false">
      <c r="A87" s="3" t="s">
        <v>2066</v>
      </c>
      <c r="C87" s="12" t="n">
        <f aca="false">(C25+C28)/C29</f>
        <v>5.95182719046504</v>
      </c>
    </row>
    <row r="88" customFormat="false" ht="15" hidden="false" customHeight="false" outlineLevel="1" collapsed="false">
      <c r="A88" s="3" t="s">
        <v>2067</v>
      </c>
      <c r="C88" s="3" t="str">
        <f aca="false">"目標價 $"&amp;TEXT(C51,"0.0")&amp;"（情境區間 $"&amp;TEXT(C83,"0.0")&amp;"–$"&amp;TEXT(D83,"0.0")&amp;"）"</f>
        <v>目標價 $83.3（情境區間 $76.6–$90.9）</v>
      </c>
    </row>
    <row r="89" customFormat="false" ht="15" hidden="false" customHeight="false" outlineLevel="1" collapsed="false">
      <c r="A89" s="3" t="s">
        <v>2068</v>
      </c>
      <c r="C89" s="3" t="str">
        <f aca="false">"方法區間（目前情境，"&amp;IF(C84=INT(C84),TEXT(C84,"0"),TEXT(C84,"0.0"))&amp;"–"&amp;IF(D84=INT(D84),TEXT(D84,"0"),TEXT(D84,"0.0"))&amp;"x）"</f>
        <v>方法區間（目前情境，5–6x）</v>
      </c>
    </row>
    <row r="90" customFormat="false" ht="15" hidden="false" customHeight="false" outlineLevel="1" collapsed="false">
      <c r="A90" s="3" t="s">
        <v>2069</v>
      </c>
      <c r="C90" s="3" t="str">
        <f aca="false">IF(ABS(輸入與假設!$C$196-D84)&lt;0.000000001,"目前點位位於方法區間上緣（"&amp;IF(D84=INT(D84),TEXT(D84,"0"),TEXT(D84,"0.0"))&amp;"x 為穩態倍數上緣）",IF(ABS(輸入與假設!$C$196-C84)&lt;0.000000001,"目前點位位於方法區間下緣（"&amp;IF(C84=INT(C84),TEXT(C84,"0"),TEXT(C84,"0.0"))&amp;"x）","目前點位"&amp;IF(AND(輸入與假設!$C$196&gt;C84,輸入與假設!$C$196&lt;D84),"位於方法區間內",IF(輸入與假設!$C$196&gt;D84,"高於方法區間上緣","低於方法區間下緣"))&amp;"（目前倍數 "&amp;IF(輸入與假設!$C$196=INT(輸入與假設!$C$196),TEXT(輸入與假設!$C$196,"0"),TEXT(輸入與假設!$C$196,"0.0"))&amp;"x）"))</f>
        <v>目前點位位於方法區間上緣（6x 為穩態倍數上緣）</v>
      </c>
    </row>
    <row r="91" customFormat="false" ht="15" hidden="false" customHeight="false" outlineLevel="1" collapsed="false">
      <c r="A91" s="2" t="s">
        <v>2070</v>
      </c>
      <c r="C91" s="3" t="str">
        <f aca="false">IF(D83&lt;輸入與假設!$C$175,"情境區間上緣 $"&amp;TEXT(D83,"0.0")&amp;" 低於現價 $"&amp;TEXT(輸入與假設!$C$175,"0.00")&amp;IF((D80&lt;&gt;-1)+(D81&lt;&gt;-1)+(D82&lt;&gt;-1)&gt;0,"，但"&amp;SUBSTITUTE(TRIM(IF(D80&lt;&gt;-1,"保守","")&amp;" "&amp;IF(D81&lt;&gt;-1,"基準","")&amp;" "&amp;IF(D82&lt;&gt;-1,"積極",""))," ","、")&amp;"情境未達賣出門檻 $"&amp;TEXT($C$79,"0.0"),"：賣出在三個擴張情境下都成立"),"情境區間上緣 $"&amp;TEXT(D83,"0.0")&amp;" 不低於現價 $"&amp;TEXT(輸入與假設!$C$175,"0.00")&amp;"：賣出並非在三個擴張情境下都成立")&amp;"。"&amp;IF(ABS(E80)&lt;輸入與假設!$C$236*輸入與假設!$C$175,"保守情境 $"&amp;TEXT(C80,"0.0")&amp;"，"&amp;IF(E80&lt;0,"距賣出門檻","高於賣出門檻")&amp;" $"&amp;TEXT($C$79,"0.0")&amp;" 僅 $"&amp;TEXT(ABS(E80),"0.0")&amp;"。","")&amp;IF(ABS(E81)&lt;輸入與假設!$C$236*輸入與假設!$C$175,"基準情境 $"&amp;TEXT(C81,"0.0")&amp;"，"&amp;IF(E81&lt;0,"距賣出門檻","高於賣出門檻")&amp;" $"&amp;TEXT($C$79,"0.0")&amp;" 僅 $"&amp;TEXT(ABS(E81),"0.0")&amp;"。","")&amp;IF(ABS(E82)&lt;輸入與假設!$C$236*輸入與假設!$C$175,"積極情境 $"&amp;TEXT(C82,"0.0")&amp;"，"&amp;IF(E82&lt;0,"距賣出門檻","高於賣出門檻")&amp;" $"&amp;TEXT($C$79,"0.0")&amp;" 僅 $"&amp;TEXT(ABS(E82),"0.0")&amp;"。","")</f>
        <v>情境區間上緣 $90.9 低於現價 $144.77：賣出在三個擴張情境下都成立。</v>
      </c>
    </row>
    <row r="93" customFormat="false" ht="15" hidden="false" customHeight="false" outlineLevel="0" collapsed="false">
      <c r="A93" s="49" t="s">
        <v>2071</v>
      </c>
      <c r="B93" s="8"/>
      <c r="C93" s="8"/>
      <c r="D93" s="8"/>
      <c r="E93" s="8"/>
      <c r="F93" s="8"/>
      <c r="G93" s="8"/>
      <c r="H93" s="8"/>
    </row>
    <row r="94" customFormat="false" ht="17.15" hidden="false" customHeight="false" outlineLevel="1" collapsed="false">
      <c r="A94" s="15" t="s">
        <v>2072</v>
      </c>
      <c r="B94" s="14" t="s">
        <v>2073</v>
      </c>
      <c r="C94" s="15" t="s">
        <v>56</v>
      </c>
      <c r="D94" s="15" t="s">
        <v>57</v>
      </c>
      <c r="E94" s="15" t="s">
        <v>148</v>
      </c>
      <c r="F94" s="15" t="s">
        <v>149</v>
      </c>
      <c r="I94" s="11" t="s">
        <v>2074</v>
      </c>
    </row>
    <row r="95" customFormat="false" ht="15" hidden="false" customHeight="false" outlineLevel="1" collapsed="false">
      <c r="A95" s="3" t="s">
        <v>2075</v>
      </c>
      <c r="B95" s="101" t="n">
        <v>3.4</v>
      </c>
      <c r="C95" s="12" t="n">
        <f aca="false">MAX(0,((INDEX(損益!$D$22:$G$22,1,1)-INDEX(輸入與假設!$D$83:$G$83,1,1))*$B95+INDEX(輸入與假設!$D$83:$G$83,1,1)*輸入與假設!$C$204-(INDEX(各期收支!$D$94:$G$94,1,1)-INDEX(各期收支!$D$52:$G$52,1,1)+評價_DCF與目標價!$C$71))/INDEX(損益!$D$24:$G$24,1,1))/(1+輸入與假設!$C$190)^(1-輸入與假設!$C$225)</f>
        <v>115.642724123797</v>
      </c>
      <c r="D95" s="12" t="n">
        <f aca="false">MAX(0,((INDEX(損益!$D$22:$G$22,1,2)-INDEX(輸入與假設!$D$83:$G$83,1,2))*$B95+INDEX(輸入與假設!$D$83:$G$83,1,2)*輸入與假設!$C$204-(INDEX(各期收支!$D$94:$G$94,1,2)-INDEX(各期收支!$D$52:$G$52,1,2)+評價_DCF與目標價!$C$71))/INDEX(損益!$D$24:$G$24,1,2))/(1+輸入與假設!$C$190)^(2-輸入與假設!$C$225)</f>
        <v>119.662962527525</v>
      </c>
      <c r="E95" s="12" t="n">
        <f aca="false">MAX(0,((INDEX(損益!$D$22:$G$22,1,3)-INDEX(輸入與假設!$D$83:$G$83,1,3))*$B95+INDEX(輸入與假設!$D$83:$G$83,1,3)*輸入與假設!$C$204-(INDEX(各期收支!$D$94:$G$94,1,3)-INDEX(各期收支!$D$52:$G$52,1,3)+評價_DCF與目標價!$C$71))/INDEX(損益!$D$24:$G$24,1,3))/(1+輸入與假設!$C$190)^(3-輸入與假設!$C$225)</f>
        <v>112.440036422543</v>
      </c>
      <c r="F95" s="12" t="n">
        <f aca="false">MAX(0,((INDEX(損益!$D$22:$G$22,1,4)-INDEX(輸入與假設!$D$83:$G$83,1,4))*$B95+INDEX(輸入與假設!$D$83:$G$83,1,4)*輸入與假設!$C$204-(INDEX(各期收支!$D$94:$G$94,1,4)-INDEX(各期收支!$D$52:$G$52,1,4)+評價_DCF與目標價!$C$71))/INDEX(損益!$D$24:$G$24,1,4))/(1+輸入與假設!$C$190)^(4-輸入與假設!$C$225)</f>
        <v>101.449635683463</v>
      </c>
    </row>
    <row r="96" customFormat="false" ht="15" hidden="false" customHeight="false" outlineLevel="1" collapsed="false">
      <c r="A96" s="3" t="s">
        <v>2076</v>
      </c>
      <c r="B96" s="101" t="n">
        <v>4.5</v>
      </c>
      <c r="C96" s="12" t="n">
        <f aca="false">MAX(0,((INDEX(損益!$D$22:$G$22,1,1)-INDEX(輸入與假設!$D$83:$G$83,1,1))*$B96+INDEX(輸入與假設!$D$83:$G$83,1,1)*輸入與假設!$C$204-(INDEX(各期收支!$D$94:$G$94,1,1)-INDEX(各期收支!$D$52:$G$52,1,1)+評價_DCF與目標價!$C$71))/INDEX(損益!$D$24:$G$24,1,1))/(1+輸入與假設!$C$190)^(1-輸入與假設!$C$225)</f>
        <v>125.002295957511</v>
      </c>
      <c r="D96" s="12" t="n">
        <f aca="false">MAX(0,((INDEX(損益!$D$22:$G$22,1,2)-INDEX(輸入與假設!$D$83:$G$83,1,2))*$B96+INDEX(輸入與假設!$D$83:$G$83,1,2)*輸入與假設!$C$204-(INDEX(各期收支!$D$94:$G$94,1,2)-INDEX(各期收支!$D$52:$G$52,1,2)+評價_DCF與目標價!$C$71))/INDEX(損益!$D$24:$G$24,1,2))/(1+輸入與假設!$C$190)^(2-輸入與假設!$C$225)</f>
        <v>130.776857069609</v>
      </c>
      <c r="E96" s="12" t="n">
        <f aca="false">MAX(0,((INDEX(損益!$D$22:$G$22,1,3)-INDEX(輸入與假設!$D$83:$G$83,1,3))*$B96+INDEX(輸入與假設!$D$83:$G$83,1,3)*輸入與假設!$C$204-(INDEX(各期收支!$D$94:$G$94,1,3)-INDEX(各期收支!$D$52:$G$52,1,3)+評價_DCF與目標價!$C$71))/INDEX(損益!$D$24:$G$24,1,3))/(1+輸入與假設!$C$190)^(3-輸入與假設!$C$225)</f>
        <v>123.052612707849</v>
      </c>
      <c r="F96" s="12" t="n">
        <f aca="false">MAX(0,((INDEX(損益!$D$22:$G$22,1,4)-INDEX(輸入與假設!$D$83:$G$83,1,4))*$B96+INDEX(輸入與假設!$D$83:$G$83,1,4)*輸入與假設!$C$204-(INDEX(各期收支!$D$94:$G$94,1,4)-INDEX(各期收支!$D$52:$G$52,1,4)+評價_DCF與目標價!$C$71))/INDEX(損益!$D$24:$G$24,1,4))/(1+輸入與假設!$C$190)^(4-輸入與假設!$C$225)</f>
        <v>110.492952800808</v>
      </c>
    </row>
    <row r="97" customFormat="false" ht="15" hidden="false" customHeight="false" outlineLevel="1" collapsed="false">
      <c r="A97" s="3" t="s">
        <v>2077</v>
      </c>
      <c r="B97" s="101" t="n">
        <v>5</v>
      </c>
      <c r="C97" s="12" t="n">
        <f aca="false">MAX(0,((INDEX(損益!$D$22:$G$22,1,1)-INDEX(輸入與假設!$D$83:$G$83,1,1))*$B97+INDEX(輸入與假設!$D$83:$G$83,1,1)*輸入與假設!$C$204-(INDEX(各期收支!$D$94:$G$94,1,1)-INDEX(各期收支!$D$52:$G$52,1,1)+評價_DCF與目標價!$C$71))/INDEX(損益!$D$24:$G$24,1,1))/(1+輸入與假設!$C$190)^(1-輸入與假設!$C$225)</f>
        <v>129.256646791018</v>
      </c>
      <c r="D97" s="12" t="n">
        <f aca="false">MAX(0,((INDEX(損益!$D$22:$G$22,1,2)-INDEX(輸入與假設!$D$83:$G$83,1,2))*$B97+INDEX(輸入與假設!$D$83:$G$83,1,2)*輸入與假設!$C$204-(INDEX(各期收支!$D$94:$G$94,1,2)-INDEX(各期收支!$D$52:$G$52,1,2)+評價_DCF與目標價!$C$71))/INDEX(損益!$D$24:$G$24,1,2))/(1+輸入與假設!$C$190)^(2-輸入與假設!$C$225)</f>
        <v>135.82862731601</v>
      </c>
      <c r="E97" s="12" t="n">
        <f aca="false">MAX(0,((INDEX(損益!$D$22:$G$22,1,3)-INDEX(輸入與假設!$D$83:$G$83,1,3))*$B97+INDEX(輸入與假設!$D$83:$G$83,1,3)*輸入與假設!$C$204-(INDEX(各期收支!$D$94:$G$94,1,3)-INDEX(各期收支!$D$52:$G$52,1,3)+評價_DCF與目標價!$C$71))/INDEX(損益!$D$24:$G$24,1,3))/(1+輸入與假設!$C$190)^(3-輸入與假設!$C$225)</f>
        <v>127.876511019351</v>
      </c>
      <c r="F97" s="12" t="n">
        <f aca="false">MAX(0,((INDEX(損益!$D$22:$G$22,1,4)-INDEX(輸入與假設!$D$83:$G$83,1,4))*$B97+INDEX(輸入與假設!$D$83:$G$83,1,4)*輸入與假設!$C$204-(INDEX(各期收支!$D$94:$G$94,1,4)-INDEX(各期收支!$D$52:$G$52,1,4)+評價_DCF與目標價!$C$71))/INDEX(損益!$D$24:$G$24,1,4))/(1+輸入與假設!$C$190)^(4-輸入與假設!$C$225)</f>
        <v>114.60355149051</v>
      </c>
    </row>
    <row r="98" customFormat="false" ht="15" hidden="false" customHeight="false" outlineLevel="1" collapsed="false">
      <c r="A98" s="3" t="s">
        <v>2078</v>
      </c>
      <c r="B98" s="101" t="n">
        <v>6</v>
      </c>
      <c r="C98" s="12" t="n">
        <f aca="false">MAX(0,((INDEX(損益!$D$22:$G$22,1,1)-INDEX(輸入與假設!$D$83:$G$83,1,1))*$B98+INDEX(輸入與假設!$D$83:$G$83,1,1)*輸入與假設!$C$204-(INDEX(各期收支!$D$94:$G$94,1,1)-INDEX(各期收支!$D$52:$G$52,1,1)+評價_DCF與目標價!$C$71))/INDEX(損益!$D$24:$G$24,1,1))/(1+輸入與假設!$C$190)^(1-輸入與假設!$C$225)</f>
        <v>137.765348458031</v>
      </c>
      <c r="D98" s="12" t="n">
        <f aca="false">MAX(0,((INDEX(損益!$D$22:$G$22,1,2)-INDEX(輸入與假設!$D$83:$G$83,1,2))*$B98+INDEX(輸入與假設!$D$83:$G$83,1,2)*輸入與假設!$C$204-(INDEX(各期收支!$D$94:$G$94,1,2)-INDEX(各期收支!$D$52:$G$52,1,2)+評價_DCF與目標價!$C$71))/INDEX(損益!$D$24:$G$24,1,2))/(1+輸入與假設!$C$190)^(2-輸入與假設!$C$225)</f>
        <v>145.932167808814</v>
      </c>
      <c r="E98" s="12" t="n">
        <f aca="false">MAX(0,((INDEX(損益!$D$22:$G$22,1,3)-INDEX(輸入與假設!$D$83:$G$83,1,3))*$B98+INDEX(輸入與假設!$D$83:$G$83,1,3)*輸入與假設!$C$204-(INDEX(各期收支!$D$94:$G$94,1,3)-INDEX(各期收支!$D$52:$G$52,1,3)+評價_DCF與目標價!$C$71))/INDEX(損益!$D$24:$G$24,1,3))/(1+輸入與假設!$C$190)^(3-輸入與假設!$C$225)</f>
        <v>137.524307642356</v>
      </c>
      <c r="F98" s="12" t="n">
        <f aca="false">MAX(0,((INDEX(損益!$D$22:$G$22,1,4)-INDEX(輸入與假設!$D$83:$G$83,1,4))*$B98+INDEX(輸入與假設!$D$83:$G$83,1,4)*輸入與假設!$C$204-(INDEX(各期收支!$D$94:$G$94,1,4)-INDEX(各期收支!$D$52:$G$52,1,4)+評價_DCF與目標價!$C$71))/INDEX(損益!$D$24:$G$24,1,4))/(1+輸入與假設!$C$190)^(4-輸入與假設!$C$225)</f>
        <v>122.824748869915</v>
      </c>
    </row>
    <row r="99" customFormat="false" ht="15" hidden="false" customHeight="false" outlineLevel="1" collapsed="false">
      <c r="A99" s="3" t="s">
        <v>2079</v>
      </c>
      <c r="B99" s="101" t="n">
        <v>7</v>
      </c>
      <c r="C99" s="12" t="n">
        <f aca="false">MAX(0,((INDEX(損益!$D$22:$G$22,1,1)-INDEX(輸入與假設!$D$83:$G$83,1,1))*$B99+INDEX(輸入與假設!$D$83:$G$83,1,1)*輸入與假設!$C$204-(INDEX(各期收支!$D$94:$G$94,1,1)-INDEX(各期收支!$D$52:$G$52,1,1)+評價_DCF與目標價!$C$71))/INDEX(損益!$D$24:$G$24,1,1))/(1+輸入與假設!$C$190)^(1-輸入與假設!$C$225)</f>
        <v>146.274050125044</v>
      </c>
      <c r="D99" s="12" t="n">
        <f aca="false">MAX(0,((INDEX(損益!$D$22:$G$22,1,2)-INDEX(輸入與假設!$D$83:$G$83,1,2))*$B99+INDEX(輸入與假設!$D$83:$G$83,1,2)*輸入與假設!$C$204-(INDEX(各期收支!$D$94:$G$94,1,2)-INDEX(各期收支!$D$52:$G$52,1,2)+評價_DCF與目標價!$C$71))/INDEX(損益!$D$24:$G$24,1,2))/(1+輸入與假設!$C$190)^(2-輸入與假設!$C$225)</f>
        <v>156.035708301618</v>
      </c>
      <c r="E99" s="12" t="n">
        <f aca="false">MAX(0,((INDEX(損益!$D$22:$G$22,1,3)-INDEX(輸入與假設!$D$83:$G$83,1,3))*$B99+INDEX(輸入與假設!$D$83:$G$83,1,3)*輸入與假設!$C$204-(INDEX(各期收支!$D$94:$G$94,1,3)-INDEX(各期收支!$D$52:$G$52,1,3)+評價_DCF與目標價!$C$71))/INDEX(損益!$D$24:$G$24,1,3))/(1+輸入與假設!$C$190)^(3-輸入與假設!$C$225)</f>
        <v>147.172104265361</v>
      </c>
      <c r="F99" s="12" t="n">
        <f aca="false">MAX(0,((INDEX(損益!$D$22:$G$22,1,4)-INDEX(輸入與假設!$D$83:$G$83,1,4))*$B99+INDEX(輸入與假設!$D$83:$G$83,1,4)*輸入與假設!$C$204-(INDEX(各期收支!$D$94:$G$94,1,4)-INDEX(各期收支!$D$52:$G$52,1,4)+評價_DCF與目標價!$C$71))/INDEX(損益!$D$24:$G$24,1,4))/(1+輸入與假設!$C$190)^(4-輸入與假設!$C$225)</f>
        <v>131.045946249319</v>
      </c>
    </row>
    <row r="100" customFormat="false" ht="15" hidden="false" customHeight="false" outlineLevel="1" collapsed="false"/>
    <row r="101" customFormat="false" ht="17.15" hidden="false" customHeight="false" outlineLevel="1" collapsed="false">
      <c r="A101" s="15" t="s">
        <v>2080</v>
      </c>
      <c r="B101" s="14" t="s">
        <v>2073</v>
      </c>
      <c r="C101" s="15" t="s">
        <v>56</v>
      </c>
      <c r="D101" s="15" t="s">
        <v>57</v>
      </c>
      <c r="E101" s="15" t="s">
        <v>148</v>
      </c>
      <c r="F101" s="15" t="s">
        <v>149</v>
      </c>
    </row>
    <row r="102" customFormat="false" ht="15" hidden="false" customHeight="false" outlineLevel="1" collapsed="false">
      <c r="A102" s="3" t="s">
        <v>2081</v>
      </c>
      <c r="B102" s="101" t="n">
        <v>3.4</v>
      </c>
      <c r="C102" s="12" t="n">
        <f aca="false">C48*IF(C30=1,0,輸入與假設!$C$206)+C95*IF(C30=1,1,1-輸入與假設!$C$206)</f>
        <v>66.6167175590041</v>
      </c>
      <c r="D102" s="12" t="n">
        <f aca="false">C48*IF(C30=1,0,輸入與假設!$C$206)+D95*IF(C30=1,1,1-輸入與假設!$C$206)</f>
        <v>68.8278486810543</v>
      </c>
      <c r="E102" s="12" t="n">
        <f aca="false">C48*IF(C30=1,0,輸入與假設!$C$206)+E95*IF(C30=1,1,1-輸入與假設!$C$206)</f>
        <v>64.8552393233143</v>
      </c>
      <c r="F102" s="12" t="n">
        <f aca="false">C48*IF(C30=1,0,輸入與假設!$C$206)+F95*IF(C30=1,1,1-輸入與假設!$C$206)</f>
        <v>58.8105189168203</v>
      </c>
    </row>
    <row r="103" customFormat="false" ht="15" hidden="false" customHeight="false" outlineLevel="1" collapsed="false">
      <c r="A103" s="3" t="s">
        <v>2082</v>
      </c>
      <c r="B103" s="101" t="n">
        <v>4.5</v>
      </c>
      <c r="C103" s="12" t="n">
        <f aca="false">C48*IF(C30=1,0,輸入與假設!$C$206)+C96*IF(C30=1,1,1-輸入與假設!$C$206)</f>
        <v>71.7644820675469</v>
      </c>
      <c r="D103" s="12" t="n">
        <f aca="false">C48*IF(C30=1,0,輸入與假設!$C$206)+D96*IF(C30=1,1,1-輸入與假設!$C$206)</f>
        <v>74.9404906792005</v>
      </c>
      <c r="E103" s="12" t="n">
        <f aca="false">C48*IF(C30=1,0,輸入與假設!$C$206)+E96*IF(C30=1,1,1-輸入與假設!$C$206)</f>
        <v>70.6921562802324</v>
      </c>
      <c r="F103" s="12" t="n">
        <f aca="false">C48*IF(C30=1,0,輸入與假設!$C$206)+F96*IF(C30=1,1,1-輸入與假設!$C$206)</f>
        <v>63.7843433313601</v>
      </c>
    </row>
    <row r="104" customFormat="false" ht="15" hidden="false" customHeight="false" outlineLevel="1" collapsed="false">
      <c r="A104" s="3" t="s">
        <v>2083</v>
      </c>
      <c r="B104" s="101" t="n">
        <v>5</v>
      </c>
      <c r="C104" s="12" t="n">
        <f aca="false">C48*IF(C30=1,0,輸入與假設!$C$206)+C97*IF(C30=1,1,1-輸入與假設!$C$206)</f>
        <v>74.1043750259755</v>
      </c>
      <c r="D104" s="12" t="n">
        <f aca="false">C48*IF(C30=1,0,輸入與假設!$C$206)+D97*IF(C30=1,1,1-輸入與假設!$C$206)</f>
        <v>77.7189643147215</v>
      </c>
      <c r="E104" s="12" t="n">
        <f aca="false">C48*IF(C30=1,0,輸入與假設!$C$206)+E97*IF(C30=1,1,1-輸入與假設!$C$206)</f>
        <v>73.3453003515588</v>
      </c>
      <c r="F104" s="12" t="n">
        <f aca="false">C48*IF(C30=1,0,輸入與假設!$C$206)+F97*IF(C30=1,1,1-輸入與假設!$C$206)</f>
        <v>66.0451726106963</v>
      </c>
    </row>
    <row r="105" customFormat="false" ht="15" hidden="false" customHeight="false" outlineLevel="1" collapsed="false">
      <c r="A105" s="3" t="s">
        <v>2084</v>
      </c>
      <c r="B105" s="101" t="n">
        <v>6</v>
      </c>
      <c r="C105" s="12" t="n">
        <f aca="false">C48*IF(C30=1,0,輸入與假設!$C$206)+C98*IF(C30=1,1,1-輸入與假設!$C$206)</f>
        <v>78.7841609428327</v>
      </c>
      <c r="D105" s="12" t="n">
        <f aca="false">C48*IF(C30=1,0,輸入與假設!$C$206)+D98*IF(C30=1,1,1-輸入與假設!$C$206)</f>
        <v>83.2759115857634</v>
      </c>
      <c r="E105" s="12" t="n">
        <f aca="false">C48*IF(C30=1,0,輸入與假設!$C$206)+E98*IF(C30=1,1,1-輸入與假設!$C$206)</f>
        <v>78.6515884942115</v>
      </c>
      <c r="F105" s="12" t="n">
        <f aca="false">C48*IF(C30=1,0,輸入與假設!$C$206)+F98*IF(C30=1,1,1-輸入與假設!$C$206)</f>
        <v>70.5668311693689</v>
      </c>
    </row>
    <row r="106" customFormat="false" ht="15" hidden="false" customHeight="false" outlineLevel="1" collapsed="false">
      <c r="A106" s="3" t="s">
        <v>2085</v>
      </c>
      <c r="B106" s="101" t="n">
        <v>7</v>
      </c>
      <c r="C106" s="12" t="n">
        <f aca="false">C48*IF(C30=1,0,輸入與假設!$C$206)+C99*IF(C30=1,1,1-輸入與假設!$C$206)</f>
        <v>83.4639468596898</v>
      </c>
      <c r="D106" s="12" t="n">
        <f aca="false">C48*IF(C30=1,0,輸入與假設!$C$206)+D99*IF(C30=1,1,1-輸入與假設!$C$206)</f>
        <v>88.8328588568054</v>
      </c>
      <c r="E106" s="12" t="n">
        <f aca="false">C48*IF(C30=1,0,輸入與假設!$C$206)+E99*IF(C30=1,1,1-輸入與假設!$C$206)</f>
        <v>83.9578766368643</v>
      </c>
      <c r="F106" s="12" t="n">
        <f aca="false">C48*IF(C30=1,0,輸入與假設!$C$206)+F99*IF(C30=1,1,1-輸入與假設!$C$206)</f>
        <v>75.0884897280414</v>
      </c>
    </row>
  </sheetData>
  <conditionalFormatting sqref="C95:F99">
    <cfRule type="cellIs" priority="2" operator="greaterThanOrEqual" aboveAverage="0" equalAverage="0" bottom="0" percent="0" rank="0" text="" dxfId="0">
      <formula>輸入與假設!$C$175</formula>
    </cfRule>
  </conditionalFormatting>
  <conditionalFormatting sqref="C102:F106">
    <cfRule type="cellIs" priority="3" operator="greaterThanOrEqual" aboveAverage="0" equalAverage="0" bottom="0" percent="0" rank="0" text="" dxfId="0">
      <formula>輸入與假設!$C$175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2086</v>
      </c>
    </row>
    <row r="2" customFormat="false" ht="15" hidden="false" customHeight="false" outlineLevel="0" collapsed="false">
      <c r="A2" s="6" t="s">
        <v>2087</v>
      </c>
    </row>
    <row r="4" customFormat="false" ht="15" hidden="false" customHeight="false" outlineLevel="0" collapsed="false">
      <c r="A4" s="49" t="s">
        <v>2088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2021</v>
      </c>
      <c r="B5" s="102" t="n">
        <f aca="false">輸入與假設!$C$175</f>
        <v>144.77</v>
      </c>
    </row>
    <row r="6" customFormat="false" ht="15" hidden="false" customHeight="false" outlineLevel="1" collapsed="false">
      <c r="A6" s="3" t="s">
        <v>2089</v>
      </c>
      <c r="B6" s="102" t="n">
        <f aca="false">評價_DCF與目標價!C26</f>
        <v>5.95182719046504</v>
      </c>
    </row>
    <row r="7" customFormat="false" ht="15" hidden="false" customHeight="false" outlineLevel="1" collapsed="false">
      <c r="A7" s="2" t="s">
        <v>2090</v>
      </c>
      <c r="B7" s="99" t="n">
        <f aca="false">B6-B5</f>
        <v>-138.818172809535</v>
      </c>
    </row>
    <row r="8" customFormat="false" ht="15" hidden="false" customHeight="false" outlineLevel="1" collapsed="false">
      <c r="A8" s="3" t="s">
        <v>2091</v>
      </c>
      <c r="B8" s="103" t="n">
        <f aca="false">輸入與假設!$C$39</f>
        <v>1</v>
      </c>
      <c r="C8" s="103" t="n">
        <f aca="false">輸入與假設!$C$107</f>
        <v>1</v>
      </c>
    </row>
    <row r="10" customFormat="false" ht="15" hidden="false" customHeight="false" outlineLevel="0" collapsed="false">
      <c r="A10" s="49" t="s">
        <v>2092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2093</v>
      </c>
    </row>
    <row r="12" customFormat="false" ht="15" hidden="false" customHeight="false" outlineLevel="1" collapsed="false">
      <c r="A12" s="6" t="s">
        <v>2094</v>
      </c>
    </row>
    <row r="13" customFormat="false" ht="15" hidden="false" customHeight="false" outlineLevel="1" collapsed="false">
      <c r="A13" s="6" t="s">
        <v>2095</v>
      </c>
    </row>
    <row r="14" customFormat="false" ht="15" hidden="false" customHeight="false" outlineLevel="1" collapsed="false">
      <c r="A14" s="6" t="s">
        <v>2096</v>
      </c>
    </row>
    <row r="16" customFormat="false" ht="15" hidden="false" customHeight="false" outlineLevel="0" collapsed="false">
      <c r="A16" s="49" t="s">
        <v>2097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2098</v>
      </c>
      <c r="B17" s="14" t="s">
        <v>2099</v>
      </c>
      <c r="C17" s="14" t="s">
        <v>2100</v>
      </c>
      <c r="D17" s="14" t="s">
        <v>2101</v>
      </c>
      <c r="G17" s="14" t="s">
        <v>2102</v>
      </c>
    </row>
    <row r="18" customFormat="false" ht="15" hidden="false" customHeight="false" outlineLevel="1" collapsed="false">
      <c r="A18" s="4" t="s">
        <v>2103</v>
      </c>
      <c r="B18" s="104" t="n">
        <v>10.7343</v>
      </c>
      <c r="C18" s="104" t="n">
        <v>20.3813</v>
      </c>
      <c r="D18" s="58" t="n">
        <v>0.8987</v>
      </c>
      <c r="G18" s="11" t="s">
        <v>2104</v>
      </c>
    </row>
    <row r="19" customFormat="false" ht="15" hidden="false" customHeight="false" outlineLevel="1" collapsed="false">
      <c r="A19" s="3" t="s">
        <v>2105</v>
      </c>
      <c r="B19" s="104" t="n">
        <v>37.5864</v>
      </c>
      <c r="C19" s="105" t="s">
        <v>2106</v>
      </c>
      <c r="D19" s="60" t="s">
        <v>2106</v>
      </c>
      <c r="G19" s="11" t="s">
        <v>2107</v>
      </c>
    </row>
    <row r="20" customFormat="false" ht="15" hidden="false" customHeight="false" outlineLevel="1" collapsed="false">
      <c r="A20" s="3" t="s">
        <v>282</v>
      </c>
      <c r="B20" s="58" t="n">
        <v>0.47</v>
      </c>
      <c r="C20" s="60" t="s">
        <v>2106</v>
      </c>
      <c r="D20" s="60" t="s">
        <v>2106</v>
      </c>
      <c r="G20" s="11" t="s">
        <v>2108</v>
      </c>
    </row>
    <row r="21" customFormat="false" ht="15" hidden="false" customHeight="false" outlineLevel="1" collapsed="false">
      <c r="A21" s="3" t="s">
        <v>2109</v>
      </c>
      <c r="B21" s="104" t="n">
        <v>10.7343</v>
      </c>
      <c r="C21" s="104" t="n">
        <v>15.3457</v>
      </c>
      <c r="D21" s="58" t="n">
        <v>0.4296</v>
      </c>
      <c r="G21" s="6" t="s">
        <v>2110</v>
      </c>
    </row>
    <row r="23" customFormat="false" ht="15" hidden="false" customHeight="false" outlineLevel="0" collapsed="false">
      <c r="A23" s="49" t="s">
        <v>2111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2112</v>
      </c>
      <c r="B24" s="106" t="n">
        <v>0.35</v>
      </c>
      <c r="C24" s="106" t="n">
        <v>0.47</v>
      </c>
      <c r="D24" s="106" t="n">
        <v>0.59</v>
      </c>
      <c r="E24" s="106" t="n">
        <v>0.7</v>
      </c>
      <c r="I24" s="6" t="s">
        <v>2113</v>
      </c>
    </row>
    <row r="25" customFormat="false" ht="15" hidden="false" customHeight="false" outlineLevel="1" collapsed="false">
      <c r="A25" s="4" t="s">
        <v>2114</v>
      </c>
      <c r="B25" s="104" t="n">
        <v>20.51</v>
      </c>
      <c r="C25" s="104" t="n">
        <v>17.58</v>
      </c>
      <c r="D25" s="104" t="n">
        <v>15.38</v>
      </c>
      <c r="E25" s="104" t="n">
        <v>13.8</v>
      </c>
    </row>
    <row r="26" customFormat="false" ht="15" hidden="false" customHeight="false" outlineLevel="1" collapsed="false">
      <c r="A26" s="4" t="s">
        <v>2115</v>
      </c>
      <c r="B26" s="104" t="n">
        <v>21.59</v>
      </c>
      <c r="C26" s="104" t="n">
        <v>18.51</v>
      </c>
      <c r="D26" s="104" t="n">
        <v>16.19</v>
      </c>
      <c r="E26" s="104" t="n">
        <v>14.52</v>
      </c>
    </row>
    <row r="27" customFormat="false" ht="15" hidden="false" customHeight="false" outlineLevel="1" collapsed="false">
      <c r="A27" s="4" t="s">
        <v>2116</v>
      </c>
      <c r="B27" s="104" t="n">
        <v>22.67</v>
      </c>
      <c r="C27" s="104" t="n">
        <v>19.43</v>
      </c>
      <c r="D27" s="104" t="n">
        <v>17</v>
      </c>
      <c r="E27" s="104" t="n">
        <v>15.25</v>
      </c>
    </row>
    <row r="28" customFormat="false" ht="15" hidden="false" customHeight="false" outlineLevel="1" collapsed="false">
      <c r="A28" s="4" t="s">
        <v>2117</v>
      </c>
      <c r="B28" s="104" t="n">
        <v>23.78</v>
      </c>
      <c r="C28" s="107" t="n">
        <v>20.38</v>
      </c>
      <c r="D28" s="104" t="n">
        <v>17.83</v>
      </c>
      <c r="E28" s="104" t="n">
        <v>16</v>
      </c>
    </row>
    <row r="29" customFormat="false" ht="15" hidden="false" customHeight="false" outlineLevel="1" collapsed="false">
      <c r="A29" s="4" t="s">
        <v>2118</v>
      </c>
      <c r="B29" s="104" t="n">
        <v>25.06</v>
      </c>
      <c r="C29" s="104" t="n">
        <v>21.47</v>
      </c>
      <c r="D29" s="104" t="n">
        <v>18.79</v>
      </c>
      <c r="E29" s="104" t="n">
        <v>16.85</v>
      </c>
    </row>
    <row r="30" customFormat="false" ht="15" hidden="false" customHeight="false" outlineLevel="1" collapsed="false">
      <c r="A30" s="6" t="s">
        <v>2119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2120</v>
      </c>
    </row>
    <row r="2" customFormat="false" ht="15" hidden="false" customHeight="false" outlineLevel="0" collapsed="false">
      <c r="A2" s="11" t="s">
        <v>2121</v>
      </c>
    </row>
    <row r="4" customFormat="false" ht="17.15" hidden="false" customHeight="false" outlineLevel="0" collapsed="false">
      <c r="A4" s="14" t="s">
        <v>2122</v>
      </c>
      <c r="B4" s="14" t="s">
        <v>2123</v>
      </c>
      <c r="C4" s="14" t="s">
        <v>2124</v>
      </c>
      <c r="D4" s="15" t="s">
        <v>2125</v>
      </c>
      <c r="E4" s="15" t="s">
        <v>2126</v>
      </c>
      <c r="F4" s="108" t="s">
        <v>2127</v>
      </c>
      <c r="G4" s="14" t="s">
        <v>2128</v>
      </c>
      <c r="H4" s="15" t="s">
        <v>2129</v>
      </c>
      <c r="I4" s="15" t="s">
        <v>2130</v>
      </c>
      <c r="J4" s="14" t="s">
        <v>2131</v>
      </c>
      <c r="K4" s="14" t="s">
        <v>619</v>
      </c>
    </row>
    <row r="5" customFormat="false" ht="15" hidden="false" customHeight="false" outlineLevel="0" collapsed="false">
      <c r="A5" s="4" t="s">
        <v>2132</v>
      </c>
      <c r="B5" s="25" t="n">
        <v>49.11</v>
      </c>
      <c r="C5" s="25" t="n">
        <v>46.03</v>
      </c>
      <c r="D5" s="57" t="n">
        <f aca="false">B5+C5</f>
        <v>95.14</v>
      </c>
      <c r="E5" s="25" t="n">
        <v>7.59</v>
      </c>
      <c r="F5" s="109" t="n">
        <f aca="false">D5/E5</f>
        <v>12.5349143610013</v>
      </c>
      <c r="G5" s="110" t="n">
        <f aca="false">(D5+16.54)/E5</f>
        <v>14.7140974967062</v>
      </c>
      <c r="H5" s="25" t="n">
        <f aca="false">-0.231+3.991</f>
        <v>3.76</v>
      </c>
      <c r="I5" s="110" t="n">
        <f aca="false">IF(H5&gt;0,D5/H5,"n/m")</f>
        <v>25.3031914893617</v>
      </c>
      <c r="J5" s="11" t="s">
        <v>2133</v>
      </c>
      <c r="K5" s="6" t="s">
        <v>2134</v>
      </c>
    </row>
    <row r="6" customFormat="false" ht="15" hidden="false" customHeight="false" outlineLevel="0" collapsed="false">
      <c r="A6" s="4" t="s">
        <v>2135</v>
      </c>
      <c r="B6" s="25" t="n">
        <v>68.49</v>
      </c>
      <c r="C6" s="25" t="n">
        <v>2.15</v>
      </c>
      <c r="D6" s="57" t="n">
        <f aca="false">B6+C6</f>
        <v>70.64</v>
      </c>
      <c r="E6" s="25" t="n">
        <v>1.36</v>
      </c>
      <c r="F6" s="109" t="n">
        <f aca="false">D6/E6</f>
        <v>51.9411764705882</v>
      </c>
      <c r="G6" s="110" t="n">
        <f aca="false">(D6+1.6253)/E6</f>
        <v>53.13625</v>
      </c>
      <c r="H6" s="25" t="n">
        <f aca="false">-0.612+0.418</f>
        <v>-0.194</v>
      </c>
      <c r="I6" s="110" t="str">
        <f aca="false">IF(H6&gt;0,D6/H6,"n/m")</f>
        <v>n/m</v>
      </c>
      <c r="J6" s="6" t="s">
        <v>2136</v>
      </c>
      <c r="K6" s="6" t="s">
        <v>2137</v>
      </c>
    </row>
    <row r="7" customFormat="false" ht="15" hidden="false" customHeight="false" outlineLevel="0" collapsed="false">
      <c r="A7" s="4" t="s">
        <v>2138</v>
      </c>
      <c r="B7" s="25" t="n">
        <v>18.61</v>
      </c>
      <c r="C7" s="25" t="n">
        <v>1.7</v>
      </c>
      <c r="D7" s="57" t="n">
        <f aca="false">B7+C7</f>
        <v>20.31</v>
      </c>
      <c r="E7" s="25" t="n">
        <v>0.707</v>
      </c>
      <c r="F7" s="109" t="n">
        <f aca="false">D7/E7</f>
        <v>28.7270155586987</v>
      </c>
      <c r="G7" s="110" t="n">
        <f aca="false">(D7+0.003)/E7</f>
        <v>28.7312588401697</v>
      </c>
      <c r="H7" s="25" t="n">
        <f aca="false">-1.047+0.418</f>
        <v>-0.629</v>
      </c>
      <c r="I7" s="110" t="str">
        <f aca="false">IF(H7&gt;0,D7/H7,"n/m")</f>
        <v>n/m</v>
      </c>
      <c r="J7" s="11" t="s">
        <v>2139</v>
      </c>
      <c r="K7" s="6" t="s">
        <v>2140</v>
      </c>
    </row>
    <row r="8" customFormat="false" ht="15" hidden="false" customHeight="false" outlineLevel="0" collapsed="false">
      <c r="A8" s="4" t="s">
        <v>2141</v>
      </c>
      <c r="B8" s="25" t="n">
        <v>8.22</v>
      </c>
      <c r="C8" s="25" t="n">
        <v>3.37</v>
      </c>
      <c r="D8" s="57" t="n">
        <f aca="false">B8+C8</f>
        <v>11.59</v>
      </c>
      <c r="E8" s="25" t="n">
        <v>0.6113</v>
      </c>
      <c r="F8" s="109" t="n">
        <f aca="false">D8/E8</f>
        <v>18.9595943072141</v>
      </c>
      <c r="G8" s="110" t="n">
        <f aca="false">(D8+0.066)/E8</f>
        <v>19.0675609357108</v>
      </c>
      <c r="H8" s="25" t="n">
        <f aca="false">-0.236+0.067</f>
        <v>-0.169</v>
      </c>
      <c r="I8" s="110" t="str">
        <f aca="false">IF(H8&gt;0,D8/H8,"n/m")</f>
        <v>n/m</v>
      </c>
      <c r="J8" s="11" t="s">
        <v>2142</v>
      </c>
      <c r="K8" s="6" t="s">
        <v>2143</v>
      </c>
    </row>
    <row r="9" customFormat="false" ht="15" hidden="false" customHeight="false" outlineLevel="0" collapsed="false">
      <c r="A9" s="4" t="s">
        <v>2144</v>
      </c>
      <c r="B9" s="25" t="n">
        <v>5.9</v>
      </c>
      <c r="C9" s="25" t="n">
        <v>2.53</v>
      </c>
      <c r="D9" s="57" t="n">
        <f aca="false">B9+C9</f>
        <v>8.43</v>
      </c>
      <c r="E9" s="25" t="n">
        <v>0.4403</v>
      </c>
      <c r="F9" s="109" t="n">
        <f aca="false">D9/E9</f>
        <v>19.1460367930956</v>
      </c>
      <c r="G9" s="110" t="n">
        <f aca="false">(D9+0.109)/E9</f>
        <v>19.3935952759482</v>
      </c>
      <c r="H9" s="25" t="n">
        <f aca="false">-0.561+0.063</f>
        <v>-0.498</v>
      </c>
      <c r="I9" s="110" t="str">
        <f aca="false">IF(H9&gt;0,D9/H9,"n/m")</f>
        <v>n/m</v>
      </c>
      <c r="J9" s="11" t="s">
        <v>2145</v>
      </c>
      <c r="K9" s="6" t="s">
        <v>2146</v>
      </c>
    </row>
    <row r="10" customFormat="false" ht="15" hidden="false" customHeight="false" outlineLevel="0" collapsed="false">
      <c r="A10" s="2" t="s">
        <v>2147</v>
      </c>
      <c r="F10" s="92" t="n">
        <f aca="false">MEDIAN(F5:F9)</f>
        <v>19.1460367930956</v>
      </c>
      <c r="G10" s="111" t="n">
        <f aca="false">MEDIAN(G5:G9)</f>
        <v>19.3935952759482</v>
      </c>
    </row>
    <row r="11" customFormat="false" ht="15" hidden="false" customHeight="false" outlineLevel="0" collapsed="false">
      <c r="A11" s="75" t="s">
        <v>2148</v>
      </c>
      <c r="B11" s="90" t="n">
        <v>437.75</v>
      </c>
      <c r="C11" s="91" t="n">
        <f aca="false">輸入與假設!$C$177+SUMPRODUCT(資產負債_既有債務!$C$73:$C$73*(1-資產負債_既有債務!$H$69:$H$69))+輸入與假設!$C$179</f>
        <v>88.827</v>
      </c>
      <c r="D11" s="55" t="n">
        <f aca="false">B11+C11</f>
        <v>526.577</v>
      </c>
      <c r="E11" s="90" t="n">
        <v>71.777</v>
      </c>
      <c r="F11" s="92" t="n">
        <f aca="false">D11/E11</f>
        <v>7.33629156972289</v>
      </c>
      <c r="G11" s="111" t="n">
        <f aca="false">(D11+34.621)/E11</f>
        <v>7.81863270964236</v>
      </c>
      <c r="H11" s="90" t="n">
        <f aca="false">23.056+10.881</f>
        <v>33.937</v>
      </c>
      <c r="I11" s="111" t="n">
        <f aca="false">IF(H11&gt;0,D11/H11,"n/m")</f>
        <v>15.5163096325544</v>
      </c>
      <c r="J11" s="11" t="s">
        <v>2149</v>
      </c>
      <c r="K11" s="11" t="s">
        <v>2150</v>
      </c>
    </row>
    <row r="12" customFormat="false" ht="15" hidden="false" customHeight="false" outlineLevel="0" collapsed="false">
      <c r="A12" s="4" t="s">
        <v>2151</v>
      </c>
      <c r="B12" s="55" t="n">
        <f aca="false">輸入與假設!$C$175*評價_DCF與目標價!$C$69</f>
        <v>447.19080733252</v>
      </c>
      <c r="C12" s="55" t="n">
        <f aca="false">評價_DCF與目標價!$C$70</f>
        <v>88.827</v>
      </c>
      <c r="D12" s="55" t="n">
        <f aca="false">B12+C12</f>
        <v>536.01780733252</v>
      </c>
      <c r="E12" s="91" t="n">
        <f aca="false">損益!D9</f>
        <v>102.626687552989</v>
      </c>
      <c r="F12" s="111" t="n">
        <f aca="false">D12/E12</f>
        <v>5.22298653608752</v>
      </c>
      <c r="G12" s="111" t="n">
        <f aca="false">(D12+34.621)/E12</f>
        <v>5.56033543456117</v>
      </c>
      <c r="H12" s="91" t="n">
        <f aca="false">損益!D22</f>
        <v>58.1404845469767</v>
      </c>
      <c r="I12" s="111" t="n">
        <f aca="false">D12/H12</f>
        <v>9.21935569524581</v>
      </c>
      <c r="K12" s="6" t="s">
        <v>2152</v>
      </c>
    </row>
    <row r="14" customFormat="false" ht="15" hidden="false" customHeight="false" outlineLevel="0" collapsed="false">
      <c r="A14" s="6" t="s">
        <v>2153</v>
      </c>
    </row>
    <row r="15" customFormat="false" ht="15" hidden="false" customHeight="false" outlineLevel="0" collapsed="false">
      <c r="A15" s="11" t="s">
        <v>2154</v>
      </c>
    </row>
    <row r="16" customFormat="false" ht="15" hidden="false" customHeight="false" outlineLevel="0" collapsed="false">
      <c r="A16" s="6" t="s">
        <v>2155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2156</v>
      </c>
    </row>
    <row r="3" customFormat="false" ht="15" hidden="false" customHeight="false" outlineLevel="0" collapsed="false">
      <c r="A3" s="14" t="s">
        <v>2157</v>
      </c>
      <c r="B3" s="14" t="s">
        <v>2158</v>
      </c>
      <c r="C3" s="14" t="s">
        <v>2159</v>
      </c>
      <c r="D3" s="14" t="s">
        <v>2160</v>
      </c>
      <c r="E3" s="14" t="s">
        <v>724</v>
      </c>
    </row>
    <row r="4" customFormat="false" ht="15" hidden="false" customHeight="false" outlineLevel="0" collapsed="false">
      <c r="A4" s="4" t="s">
        <v>199</v>
      </c>
      <c r="B4" s="13" t="n">
        <f aca="false">SUM(輸入與假設!C42:G42)</f>
        <v>0.7975</v>
      </c>
      <c r="C4" s="112" t="n">
        <f aca="false">輸入與假設!$C$34</f>
        <v>0.7975</v>
      </c>
      <c r="D4" s="2" t="str">
        <f aca="false">IF(ABS(B4-C4)&lt;0.0001,"通過","不一致")</f>
        <v>通過</v>
      </c>
      <c r="E4" s="6" t="s">
        <v>2161</v>
      </c>
    </row>
    <row r="5" customFormat="false" ht="15" hidden="false" customHeight="false" outlineLevel="0" collapsed="false">
      <c r="A5" s="3" t="s">
        <v>2162</v>
      </c>
      <c r="B5" s="10" t="n">
        <f aca="false">各期收支!C108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2163</v>
      </c>
    </row>
    <row r="6" customFormat="false" ht="15" hidden="false" customHeight="false" outlineLevel="0" collapsed="false">
      <c r="A6" s="4" t="s">
        <v>2164</v>
      </c>
      <c r="B6" s="9" t="n">
        <f aca="false">運營_產能與收入!G9-運營_產能與收入!G10</f>
        <v>575</v>
      </c>
      <c r="C6" s="11" t="s">
        <v>2165</v>
      </c>
      <c r="D6" s="2" t="str">
        <f aca="false">IF(B6&gt;=0,"通過","不一致")</f>
        <v>通過</v>
      </c>
      <c r="E6" s="6" t="s">
        <v>2166</v>
      </c>
    </row>
    <row r="7" customFormat="false" ht="15" hidden="false" customHeight="false" outlineLevel="0" collapsed="false">
      <c r="A7" s="4" t="s">
        <v>2167</v>
      </c>
      <c r="B7" s="10" t="n">
        <f aca="false">各期收支!C112</f>
        <v>91.328055592</v>
      </c>
      <c r="C7" s="11" t="s">
        <v>2168</v>
      </c>
      <c r="D7" s="2" t="str">
        <f aca="false">IF(AND(B7&gt;=90,B7&lt;=95),"通過","觀察")</f>
        <v>通過</v>
      </c>
      <c r="E7" s="11" t="s">
        <v>2169</v>
      </c>
    </row>
    <row r="8" customFormat="false" ht="15" hidden="false" customHeight="false" outlineLevel="0" collapsed="false">
      <c r="A8" s="4" t="s">
        <v>2170</v>
      </c>
      <c r="B8" s="10" t="n">
        <f aca="false">各期收支!C111</f>
        <v>83.0511942273139</v>
      </c>
      <c r="C8" s="11" t="s">
        <v>2171</v>
      </c>
      <c r="D8" s="2" t="str">
        <f aca="false">IF(B8&gt;=90,"通過","觀察")</f>
        <v>觀察</v>
      </c>
      <c r="E8" s="11" t="s">
        <v>2172</v>
      </c>
    </row>
    <row r="9" customFormat="false" ht="15" hidden="false" customHeight="false" outlineLevel="0" collapsed="false">
      <c r="A9" s="4" t="s">
        <v>2173</v>
      </c>
      <c r="B9" s="47" t="n">
        <f aca="false">SUM(各期收支!C6:G6)/((運營_產能與收入!G9-輸入與假設!$C$36)/1000)/1000*1000</f>
        <v>54.3014789989223</v>
      </c>
      <c r="C9" s="11" t="s">
        <v>2174</v>
      </c>
      <c r="D9" s="2" t="str">
        <f aca="false">IF(AND(B9&gt;=28,B9&lt;=51),"通過","觀察")</f>
        <v>觀察</v>
      </c>
      <c r="E9" s="11" t="s">
        <v>2175</v>
      </c>
    </row>
    <row r="10" customFormat="false" ht="15" hidden="false" customHeight="false" outlineLevel="0" collapsed="false">
      <c r="A10" s="3" t="s">
        <v>2176</v>
      </c>
      <c r="B10" s="16" t="n">
        <f aca="false">資產負債_租賃承諾!C23</f>
        <v>1</v>
      </c>
      <c r="C10" s="11" t="s">
        <v>2177</v>
      </c>
      <c r="D10" s="2" t="str">
        <f aca="false">IF(B10&gt;=0.8,"通過","不一致")</f>
        <v>通過</v>
      </c>
      <c r="E10" s="6" t="s">
        <v>2178</v>
      </c>
    </row>
    <row r="11" customFormat="false" ht="15" hidden="false" customHeight="false" outlineLevel="0" collapsed="false">
      <c r="A11" s="4" t="s">
        <v>2179</v>
      </c>
      <c r="B11" s="10" t="n">
        <f aca="false">各期收支!C113</f>
        <v>5.98694916001502</v>
      </c>
      <c r="C11" s="11" t="s">
        <v>2180</v>
      </c>
      <c r="D11" s="2" t="str">
        <f aca="false">IF(B11&gt;=1.4,"通過","觀察")</f>
        <v>通過</v>
      </c>
      <c r="E11" s="6" t="str">
        <f aca="false">"1Q 實際 1.428＋2Q–4Q 模型 "&amp;TEXT(各期收支!C17,"0.0")&amp;"；公司未提供季度利息指引（不適用）"</f>
        <v>1Q 實際 1.428＋2Q–4Q 模型 4.5；公司未提供季度利息指引（不適用）</v>
      </c>
    </row>
    <row r="12" customFormat="false" ht="15" hidden="false" customHeight="false" outlineLevel="0" collapsed="false">
      <c r="A12" s="4" t="s">
        <v>2181</v>
      </c>
      <c r="B12" s="29" t="n">
        <f aca="false">SUM(運營_產能與收入!E24:G24)/SUM(運營_產能與收入!E26:G26)</f>
        <v>0</v>
      </c>
      <c r="C12" s="11" t="s">
        <v>2182</v>
      </c>
      <c r="D12" s="2" t="str">
        <f aca="false">IF(B12&lt;0.5,"通過","觀察")</f>
        <v>通過</v>
      </c>
      <c r="E12" s="11" t="s">
        <v>2183</v>
      </c>
    </row>
    <row r="13" customFormat="false" ht="15" hidden="false" customHeight="false" outlineLevel="0" collapsed="false">
      <c r="A13" s="3" t="s">
        <v>2184</v>
      </c>
      <c r="B13" s="55" t="n">
        <f aca="false">損益!D6-運營_產能與收入!D26</f>
        <v>0</v>
      </c>
      <c r="C13" s="6" t="n">
        <f aca="false">0</f>
        <v>0</v>
      </c>
      <c r="D13" s="2" t="str">
        <f aca="false">IF(ABS(B13)&lt;0.001,"通過","不一致")</f>
        <v>通過</v>
      </c>
      <c r="E13" s="11" t="s">
        <v>2185</v>
      </c>
    </row>
    <row r="14" customFormat="false" ht="15" hidden="false" customHeight="false" outlineLevel="0" collapsed="false">
      <c r="A14" s="3" t="s">
        <v>1986</v>
      </c>
      <c r="B14" s="13" t="n">
        <f aca="false">評價_DCF與目標價!C27</f>
        <v>0.864429393201641</v>
      </c>
      <c r="C14" s="6" t="str">
        <f aca="false">"&lt;"&amp;IF(ROUND(ABS(輸入與假設!$C$237)*100,4)=INT(ROUND(ABS(輸入與假設!$C$237)*100,4)),TEXT(ROUND(ABS(輸入與假設!$C$237)*100,4),"0"),TEXT(ROUND(ABS(輸入與假設!$C$237)*100,4),"0.0"))&amp;"%"</f>
        <v>&lt;85%</v>
      </c>
      <c r="D14" s="2" t="str">
        <f aca="false">IF(B14&lt;輸入與假設!$C$237,"通過","觀察")</f>
        <v>觀察</v>
      </c>
      <c r="E14" s="6" t="s">
        <v>2186</v>
      </c>
    </row>
    <row r="15" customFormat="false" ht="15" hidden="false" customHeight="false" outlineLevel="0" collapsed="false">
      <c r="A15" s="4" t="s">
        <v>2187</v>
      </c>
      <c r="B15" s="113" t="n">
        <f aca="false">(損益!D22+損益!D11-輸入與假設!D83-輸入與假設!D51)/(損益!D6+損益!D7)-輸入與假設!D93</f>
        <v>0</v>
      </c>
      <c r="C15" s="6" t="n">
        <f aca="false">0</f>
        <v>0</v>
      </c>
      <c r="D15" s="2" t="str">
        <f aca="false">IF(ABS(B15)&lt;0.0001,"通過","不一致")</f>
        <v>通過</v>
      </c>
      <c r="E15" s="6" t="s">
        <v>2188</v>
      </c>
    </row>
    <row r="16" customFormat="false" ht="15" hidden="false" customHeight="false" outlineLevel="0" collapsed="false">
      <c r="A16" s="3" t="s">
        <v>2189</v>
      </c>
      <c r="B16" s="55" t="n">
        <f aca="false">(運營_產能與收入!D40+運營_產能與收入!D41+輸入與假設!D94+輸入與假設!D51+輸入與假設!D83-運營_產能與收入!D62-各期收支!D16)+(運營_產能與收入!D35+運營_產能與收入!D24*輸入與假設!D48*(1-輸入與假設!D49))*運營_產能與收入!D39-損益!D22</f>
        <v>0</v>
      </c>
      <c r="C16" s="6" t="n">
        <f aca="false">0</f>
        <v>0</v>
      </c>
      <c r="D16" s="2" t="str">
        <f aca="false">IF(ABS(B16)&lt;0.001,"通過","不一致")</f>
        <v>通過</v>
      </c>
      <c r="E16" s="6" t="s">
        <v>2190</v>
      </c>
    </row>
    <row r="17" customFormat="false" ht="15" hidden="false" customHeight="false" outlineLevel="0" collapsed="false">
      <c r="A17" s="4" t="s">
        <v>2191</v>
      </c>
      <c r="B17" s="47" t="n">
        <f aca="false">評價_DCF與目標價!C30</f>
        <v>0</v>
      </c>
      <c r="C17" s="11" t="s">
        <v>2192</v>
      </c>
      <c r="D17" s="2" t="str">
        <f aca="false">IF(B17=0,"通過","觀察")</f>
        <v>通過</v>
      </c>
      <c r="E17" s="6" t="s">
        <v>2193</v>
      </c>
    </row>
    <row r="18" customFormat="false" ht="15" hidden="false" customHeight="false" outlineLevel="0" collapsed="false">
      <c r="A18" s="3" t="s">
        <v>2194</v>
      </c>
      <c r="B18" s="55" t="n">
        <f aca="false">MIN(各期收支!C52:G52)</f>
        <v>9.99999999999999</v>
      </c>
      <c r="C18" s="11" t="s">
        <v>2195</v>
      </c>
      <c r="D18" s="2" t="str">
        <f aca="false">IF(B18&gt;=9.999,"通過","不一致")</f>
        <v>通過</v>
      </c>
      <c r="E18" s="6" t="s">
        <v>2196</v>
      </c>
    </row>
    <row r="19" customFormat="false" ht="15" hidden="false" customHeight="false" outlineLevel="0" collapsed="false">
      <c r="A19" s="3" t="s">
        <v>2197</v>
      </c>
      <c r="B19" s="111" t="n">
        <f aca="false">SUM(各期收支!C84:G84)/(輸入與假設!$C$175*輸入與假設!$C$176)</f>
        <v>0</v>
      </c>
      <c r="C19" s="6" t="str">
        <f aca="false">"≤"&amp;IF(輸入與假設!$C$234=INT(輸入與假設!$C$234),TEXT(輸入與假設!$C$234,"0"),TEXT(輸入與假設!$C$234,"0.0"))&amp;"x"</f>
        <v>≤1.5x</v>
      </c>
      <c r="D19" s="2" t="str">
        <f aca="false">IF(B19&lt;=輸入與假設!$C$234,"通過","觀察")</f>
        <v>通過</v>
      </c>
      <c r="E19" s="6" t="str">
        <f aca="false">"超過 "&amp;IF(輸入與假設!$C$234=INT(輸入與假設!$C$234),TEXT(輸入與假設!$C$234,"0"),TEXT(輸入與假設!$C$234,"0.0"))&amp;"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2198</v>
      </c>
      <c r="B20" s="55" t="n">
        <f aca="false">資產負債_既有債務!E62+SUMPRODUCT(資產負債_既有債務!$C$73:$C$73*(1-資產負債_既有債務!$H$69:$H$69))</f>
        <v>125.904</v>
      </c>
      <c r="C20" s="11" t="s">
        <v>2199</v>
      </c>
      <c r="D20" s="2" t="str">
        <f aca="false">IF(ABS(B20-125.904)&lt;0.01,"通過","不一致")</f>
        <v>通過</v>
      </c>
      <c r="E20" s="6" t="s">
        <v>2200</v>
      </c>
    </row>
    <row r="21" customFormat="false" ht="15" hidden="false" customHeight="false" outlineLevel="0" collapsed="false">
      <c r="A21" s="4" t="s">
        <v>2201</v>
      </c>
      <c r="B21" s="55" t="n">
        <f aca="false">輸入與假設!C127</f>
        <v>91.328055592</v>
      </c>
      <c r="C21" s="11" t="s">
        <v>2168</v>
      </c>
      <c r="D21" s="2" t="str">
        <f aca="false">IF(AND(B21&gt;=90,B21&lt;=95),"通過","觀察")</f>
        <v>通過</v>
      </c>
      <c r="E21" s="6" t="s">
        <v>2202</v>
      </c>
    </row>
    <row r="22" customFormat="false" ht="15" hidden="false" customHeight="false" outlineLevel="0" collapsed="false">
      <c r="A22" s="4" t="s">
        <v>2203</v>
      </c>
      <c r="B22" s="55" t="n">
        <f aca="false">SUM(輸入與假設!C120:G120)</f>
        <v>0</v>
      </c>
      <c r="C22" s="6" t="n">
        <f aca="false">0</f>
        <v>0</v>
      </c>
      <c r="D22" s="2" t="str">
        <f aca="false">IF(ABS(B22-0)&lt;0.01,"通過","不一致")</f>
        <v>通過</v>
      </c>
      <c r="E22" s="6" t="s">
        <v>337</v>
      </c>
    </row>
    <row r="23" customFormat="false" ht="15" hidden="false" customHeight="false" outlineLevel="0" collapsed="false">
      <c r="A23" s="3" t="s">
        <v>2204</v>
      </c>
      <c r="B23" s="55" t="n">
        <f aca="false">運營_站點!G26</f>
        <v>2.50639968906223</v>
      </c>
      <c r="C23" s="6" t="s">
        <v>2205</v>
      </c>
      <c r="D23" s="2" t="str">
        <f aca="false">IF(B23&gt;=運營_站點!$H$10*運營_站點!$C$27*0.8,"通過","觀察")</f>
        <v>通過</v>
      </c>
      <c r="E23" s="6" t="s">
        <v>2206</v>
      </c>
    </row>
    <row r="24" customFormat="false" ht="15" hidden="false" customHeight="false" outlineLevel="0" collapsed="false">
      <c r="A24" s="3" t="s">
        <v>2207</v>
      </c>
      <c r="B24" s="55" t="n">
        <f aca="false">運營_站點!$C$30</f>
        <v>-81.1384705882353</v>
      </c>
      <c r="C24" s="11" t="s">
        <v>2208</v>
      </c>
      <c r="D24" s="2" t="str">
        <f aca="false">IF(B24&lt;10,"通過","觀察")</f>
        <v>通過</v>
      </c>
      <c r="E24" s="6" t="s">
        <v>2209</v>
      </c>
    </row>
    <row r="25" customFormat="false" ht="15" hidden="false" customHeight="false" outlineLevel="0" collapsed="false">
      <c r="A25" s="3" t="s">
        <v>2210</v>
      </c>
      <c r="B25" s="10" t="n">
        <f aca="false">664*0.5-SUM(運營_產能與收入!C29:G29)</f>
        <v>166.031063296057</v>
      </c>
      <c r="C25" s="6" t="s">
        <v>2211</v>
      </c>
      <c r="D25" s="2" t="str">
        <f aca="false">"對照"</f>
        <v>對照</v>
      </c>
      <c r="E25" s="11" t="s">
        <v>2212</v>
      </c>
    </row>
    <row r="26" customFormat="false" ht="15" hidden="false" customHeight="false" outlineLevel="0" collapsed="false">
      <c r="A26" s="3" t="s">
        <v>2213</v>
      </c>
      <c r="B26" s="10" t="n">
        <f aca="false">輸入與假設!$C$84</f>
        <v>0</v>
      </c>
      <c r="C26" s="6" t="n">
        <f aca="false">0</f>
        <v>0</v>
      </c>
      <c r="D26" s="2" t="str">
        <f aca="false">IF(ABS(B26)&lt;0.000001,"通過","不一致")</f>
        <v>通過</v>
      </c>
      <c r="E26" s="6" t="s">
        <v>2214</v>
      </c>
    </row>
    <row r="27" customFormat="false" ht="15" hidden="false" customHeight="false" outlineLevel="0" collapsed="false">
      <c r="A27" s="3" t="s">
        <v>2215</v>
      </c>
      <c r="B27" s="10" t="n">
        <f aca="false">SUM(運營_產能與收入!C27:G27)</f>
        <v>0</v>
      </c>
      <c r="C27" s="6" t="n">
        <f aca="false">0</f>
        <v>0</v>
      </c>
      <c r="D27" s="2" t="str">
        <f aca="false">IF(ABS(B27)&lt;0.000001,"通過","不一致")</f>
        <v>通過</v>
      </c>
      <c r="E27" s="11" t="s">
        <v>2216</v>
      </c>
    </row>
    <row r="28" customFormat="false" ht="15" hidden="false" customHeight="false" outlineLevel="0" collapsed="false">
      <c r="A28" s="4" t="s">
        <v>2217</v>
      </c>
      <c r="B28" s="100" t="n">
        <f aca="false">每MW收入_錨定!C159</f>
        <v>0</v>
      </c>
      <c r="C28" s="6" t="n">
        <f aca="false">0</f>
        <v>0</v>
      </c>
      <c r="D28" s="2" t="str">
        <f aca="false">IF(ABS(B28)&lt;0.000001,"通過","不一致")</f>
        <v>通過</v>
      </c>
      <c r="E28" s="11" t="s">
        <v>2218</v>
      </c>
    </row>
    <row r="29" customFormat="false" ht="15" hidden="false" customHeight="false" outlineLevel="0" collapsed="false">
      <c r="A29" s="3" t="s">
        <v>2219</v>
      </c>
      <c r="B29" s="13" t="n">
        <f aca="false">每MW收入_錨定!C127</f>
        <v>0.377672397628241</v>
      </c>
      <c r="C29" s="11" t="s">
        <v>2220</v>
      </c>
      <c r="D29" s="2" t="str">
        <f aca="false">IF(B29&lt;=0.5,"通過","警示")</f>
        <v>通過</v>
      </c>
      <c r="E29" s="6" t="s">
        <v>2221</v>
      </c>
    </row>
    <row r="31" customFormat="false" ht="15" hidden="false" customHeight="false" outlineLevel="0" collapsed="false">
      <c r="A31" s="2" t="s">
        <v>2222</v>
      </c>
    </row>
    <row r="32" customFormat="false" ht="15" hidden="false" customHeight="false" outlineLevel="0" collapsed="false">
      <c r="A32" s="3" t="s">
        <v>2223</v>
      </c>
      <c r="B32" s="10" t="n">
        <f aca="false">SUM(運營_產能與收入!C18:G18)</f>
        <v>529.54</v>
      </c>
    </row>
    <row r="33" customFormat="false" ht="15" hidden="false" customHeight="false" outlineLevel="0" collapsed="false">
      <c r="A33" s="3" t="s">
        <v>2224</v>
      </c>
      <c r="B33" s="10" t="n">
        <f aca="false">SUM(運營_產能與收入!C20:G20)</f>
        <v>212.63061691273</v>
      </c>
    </row>
    <row r="34" customFormat="false" ht="15" hidden="false" customHeight="false" outlineLevel="0" collapsed="false">
      <c r="A34" s="3" t="s">
        <v>2225</v>
      </c>
      <c r="B34" s="10" t="n">
        <f aca="false">SUM(運營_產能與收入!C24:G24)</f>
        <v>0</v>
      </c>
    </row>
    <row r="35" customFormat="false" ht="15" hidden="false" customHeight="false" outlineLevel="0" collapsed="false">
      <c r="A35" s="3" t="s">
        <v>2226</v>
      </c>
      <c r="B35" s="10" t="n">
        <f aca="false">SUM(輸入與假設!C135:G135)</f>
        <v>283.8974086808</v>
      </c>
    </row>
    <row r="36" customFormat="false" ht="15" hidden="false" customHeight="false" outlineLevel="0" collapsed="false">
      <c r="A36" s="3" t="s">
        <v>2227</v>
      </c>
      <c r="B36" s="10" t="n">
        <f aca="false">SUM(各期收支!C16:G16)</f>
        <v>81.1384705882353</v>
      </c>
    </row>
    <row r="37" customFormat="false" ht="15" hidden="false" customHeight="false" outlineLevel="0" collapsed="false">
      <c r="A37" s="3" t="s">
        <v>2228</v>
      </c>
      <c r="B37" s="10" t="n">
        <f aca="false">SUM(各期收支!C21:G21)</f>
        <v>34.1890614271234</v>
      </c>
    </row>
    <row r="38" customFormat="false" ht="15" hidden="false" customHeight="false" outlineLevel="0" collapsed="false">
      <c r="A38" s="3" t="s">
        <v>2229</v>
      </c>
      <c r="B38" s="10" t="n">
        <f aca="false">SUM(輸入與假設!C170:G170)*輸入與假設!$C$144+SUM(資產負債_既有債務!C84:G84)</f>
        <v>35.654</v>
      </c>
    </row>
    <row r="39" customFormat="false" ht="15" hidden="false" customHeight="false" outlineLevel="0" collapsed="false">
      <c r="A39" s="3" t="s">
        <v>2230</v>
      </c>
      <c r="B39" s="10" t="n">
        <f aca="false">SUM(各期收支!C50:G50)-(輸入與假設!$C$241-輸入與假設!$C$242-輸入與假設!$C$244-輸入與假設!$C$259)</f>
        <v>-29.6985445143151</v>
      </c>
    </row>
    <row r="40" customFormat="false" ht="15" hidden="false" customHeight="false" outlineLevel="0" collapsed="false">
      <c r="A40" s="4" t="s">
        <v>2231</v>
      </c>
      <c r="B40" s="10" t="n">
        <f aca="false">SUM(各期收支!C50:G50)</f>
        <v>-36.6595445143151</v>
      </c>
    </row>
    <row r="41" customFormat="false" ht="15" hidden="false" customHeight="false" outlineLevel="0" collapsed="false">
      <c r="A41" s="3" t="s">
        <v>1830</v>
      </c>
      <c r="B41" s="10" t="n">
        <f aca="false">各期收支!G52</f>
        <v>10.4531498128183</v>
      </c>
    </row>
    <row r="42" customFormat="false" ht="15" hidden="false" customHeight="false" outlineLevel="0" collapsed="false">
      <c r="A42" s="4" t="s">
        <v>2232</v>
      </c>
      <c r="B42" s="12" t="n">
        <f aca="false">評價_DCF與目標價!C26</f>
        <v>5.95182719046504</v>
      </c>
    </row>
    <row r="43" customFormat="false" ht="15" hidden="false" customHeight="false" outlineLevel="0" collapsed="false">
      <c r="A43" s="3" t="s">
        <v>2015</v>
      </c>
      <c r="B43" s="12" t="n">
        <f aca="false">評價_DCF與目標價!C51</f>
        <v>83.2759115857634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2233</v>
      </c>
    </row>
    <row r="2" customFormat="false" ht="15" hidden="false" customHeight="false" outlineLevel="0" collapsed="false">
      <c r="A2" s="11" t="s">
        <v>2234</v>
      </c>
    </row>
    <row r="4" customFormat="false" ht="15" hidden="false" customHeight="false" outlineLevel="0" collapsed="false">
      <c r="A4" s="14" t="s">
        <v>2235</v>
      </c>
      <c r="B4" s="14" t="s">
        <v>2236</v>
      </c>
      <c r="C4" s="14" t="s">
        <v>2237</v>
      </c>
      <c r="D4" s="14" t="s">
        <v>2238</v>
      </c>
      <c r="E4" s="14" t="s">
        <v>2239</v>
      </c>
    </row>
    <row r="5" customFormat="false" ht="86.55" hidden="false" customHeight="false" outlineLevel="0" collapsed="false">
      <c r="A5" s="114" t="s">
        <v>2240</v>
      </c>
      <c r="B5" s="114" t="s">
        <v>2241</v>
      </c>
      <c r="C5" s="115" t="s">
        <v>2242</v>
      </c>
      <c r="D5" s="116" t="s">
        <v>2243</v>
      </c>
      <c r="E5" s="117" t="s">
        <v>2244</v>
      </c>
    </row>
    <row r="6" customFormat="false" ht="72.35" hidden="false" customHeight="false" outlineLevel="0" collapsed="false">
      <c r="A6" s="114" t="s">
        <v>2245</v>
      </c>
      <c r="B6" s="114" t="s">
        <v>2246</v>
      </c>
      <c r="C6" s="115" t="s">
        <v>2247</v>
      </c>
      <c r="D6" s="116" t="s">
        <v>2248</v>
      </c>
      <c r="E6" s="117" t="s">
        <v>2249</v>
      </c>
    </row>
    <row r="7" customFormat="false" ht="44" hidden="false" customHeight="false" outlineLevel="0" collapsed="false">
      <c r="A7" s="114" t="s">
        <v>2250</v>
      </c>
      <c r="B7" s="114" t="s">
        <v>2246</v>
      </c>
      <c r="C7" s="115" t="s">
        <v>2251</v>
      </c>
      <c r="D7" s="116" t="s">
        <v>2252</v>
      </c>
      <c r="E7" s="115" t="s">
        <v>2253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2254</v>
      </c>
    </row>
    <row r="3" customFormat="false" ht="15" hidden="false" customHeight="false" outlineLevel="0" collapsed="false">
      <c r="A3" s="14" t="s">
        <v>2255</v>
      </c>
      <c r="B3" s="14" t="s">
        <v>2256</v>
      </c>
    </row>
    <row r="4" customFormat="false" ht="45.75" hidden="false" customHeight="true" outlineLevel="0" collapsed="false">
      <c r="A4" s="75" t="s">
        <v>626</v>
      </c>
      <c r="B4" s="117" t="s">
        <v>2257</v>
      </c>
    </row>
    <row r="5" customFormat="false" ht="45.75" hidden="false" customHeight="true" outlineLevel="0" collapsed="false">
      <c r="A5" s="75" t="s">
        <v>626</v>
      </c>
      <c r="B5" s="115" t="s">
        <v>2258</v>
      </c>
    </row>
    <row r="6" customFormat="false" ht="45.75" hidden="false" customHeight="true" outlineLevel="0" collapsed="false">
      <c r="A6" s="75" t="s">
        <v>626</v>
      </c>
      <c r="B6" s="115" t="s">
        <v>2259</v>
      </c>
    </row>
    <row r="7" customFormat="false" ht="45.75" hidden="false" customHeight="true" outlineLevel="0" collapsed="false">
      <c r="A7" s="75" t="s">
        <v>626</v>
      </c>
      <c r="B7" s="117" t="s">
        <v>2260</v>
      </c>
    </row>
    <row r="8" customFormat="false" ht="45.75" hidden="false" customHeight="true" outlineLevel="0" collapsed="false">
      <c r="A8" s="75" t="s">
        <v>621</v>
      </c>
      <c r="B8" s="117" t="s">
        <v>2261</v>
      </c>
    </row>
    <row r="9" customFormat="false" ht="45.75" hidden="false" customHeight="true" outlineLevel="0" collapsed="false">
      <c r="A9" s="75" t="s">
        <v>626</v>
      </c>
      <c r="B9" s="115" t="s">
        <v>2262</v>
      </c>
    </row>
    <row r="10" customFormat="false" ht="45.75" hidden="false" customHeight="true" outlineLevel="0" collapsed="false">
      <c r="A10" s="75" t="s">
        <v>626</v>
      </c>
      <c r="B10" s="115" t="s">
        <v>2263</v>
      </c>
    </row>
    <row r="11" customFormat="false" ht="45.75" hidden="false" customHeight="true" outlineLevel="0" collapsed="false">
      <c r="A11" s="75" t="s">
        <v>2264</v>
      </c>
      <c r="B11" s="115" t="s">
        <v>2265</v>
      </c>
    </row>
    <row r="12" customFormat="false" ht="45.75" hidden="false" customHeight="true" outlineLevel="0" collapsed="false">
      <c r="A12" s="75" t="s">
        <v>2266</v>
      </c>
      <c r="B12" s="117" t="s">
        <v>2267</v>
      </c>
    </row>
    <row r="13" customFormat="false" ht="45.75" hidden="false" customHeight="true" outlineLevel="0" collapsed="false">
      <c r="A13" s="75" t="s">
        <v>621</v>
      </c>
      <c r="B13" s="115" t="s">
        <v>2268</v>
      </c>
    </row>
    <row r="14" customFormat="false" ht="45.75" hidden="false" customHeight="true" outlineLevel="0" collapsed="false">
      <c r="A14" s="75" t="s">
        <v>626</v>
      </c>
      <c r="B14" s="115" t="s">
        <v>2269</v>
      </c>
    </row>
    <row r="15" customFormat="false" ht="45.75" hidden="false" customHeight="true" outlineLevel="0" collapsed="false">
      <c r="A15" s="2" t="s">
        <v>2270</v>
      </c>
      <c r="B15" s="115" t="s">
        <v>2271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2272</v>
      </c>
    </row>
    <row r="2" customFormat="false" ht="15" hidden="false" customHeight="false" outlineLevel="0" collapsed="false">
      <c r="A2" s="6" t="s">
        <v>2273</v>
      </c>
    </row>
    <row r="3" customFormat="false" ht="15" hidden="false" customHeight="false" outlineLevel="0" collapsed="false">
      <c r="A3" s="6" t="s">
        <v>2274</v>
      </c>
    </row>
    <row r="4" customFormat="false" ht="17.15" hidden="false" customHeight="false" outlineLevel="0" collapsed="false">
      <c r="A4" s="14" t="s">
        <v>2275</v>
      </c>
      <c r="B4" s="14" t="s">
        <v>2276</v>
      </c>
      <c r="C4" s="14" t="s">
        <v>2277</v>
      </c>
      <c r="D4" s="14" t="s">
        <v>54</v>
      </c>
      <c r="E4" s="14" t="s">
        <v>1256</v>
      </c>
      <c r="F4" s="14" t="s">
        <v>2278</v>
      </c>
      <c r="G4" s="14" t="s">
        <v>1238</v>
      </c>
      <c r="H4" s="14" t="s">
        <v>2279</v>
      </c>
      <c r="I4" s="15" t="s">
        <v>2280</v>
      </c>
      <c r="J4" s="14" t="s">
        <v>2281</v>
      </c>
    </row>
    <row r="5" customFormat="false" ht="15" hidden="false" customHeight="false" outlineLevel="0" collapsed="false">
      <c r="A5" s="4" t="s">
        <v>2282</v>
      </c>
      <c r="B5" s="4" t="s">
        <v>2283</v>
      </c>
      <c r="C5" s="3" t="s">
        <v>2284</v>
      </c>
      <c r="D5" s="6" t="s">
        <v>2285</v>
      </c>
      <c r="E5" s="4" t="s">
        <v>2286</v>
      </c>
      <c r="F5" s="21" t="n">
        <v>22439</v>
      </c>
      <c r="G5" s="21" t="n">
        <v>22439</v>
      </c>
      <c r="H5" s="21" t="n">
        <v>22439</v>
      </c>
      <c r="I5" s="11" t="s">
        <v>2287</v>
      </c>
      <c r="J5" s="11" t="s">
        <v>2288</v>
      </c>
    </row>
    <row r="6" customFormat="false" ht="15" hidden="false" customHeight="false" outlineLevel="0" collapsed="false">
      <c r="A6" s="4" t="s">
        <v>2289</v>
      </c>
      <c r="B6" s="4" t="s">
        <v>2283</v>
      </c>
      <c r="C6" s="3" t="s">
        <v>2284</v>
      </c>
      <c r="D6" s="6" t="s">
        <v>2285</v>
      </c>
      <c r="E6" s="4" t="s">
        <v>2290</v>
      </c>
      <c r="F6" s="21" t="n">
        <v>6969</v>
      </c>
      <c r="G6" s="21" t="n">
        <v>6969</v>
      </c>
      <c r="H6" s="21" t="n">
        <v>6969</v>
      </c>
      <c r="I6" s="11" t="s">
        <v>2291</v>
      </c>
      <c r="J6" s="11" t="s">
        <v>2288</v>
      </c>
    </row>
    <row r="7" customFormat="false" ht="15" hidden="false" customHeight="false" outlineLevel="0" collapsed="false">
      <c r="A7" s="4" t="s">
        <v>2292</v>
      </c>
      <c r="B7" s="4" t="s">
        <v>2283</v>
      </c>
      <c r="C7" s="3" t="s">
        <v>2284</v>
      </c>
      <c r="D7" s="6" t="s">
        <v>2285</v>
      </c>
      <c r="E7" s="4" t="s">
        <v>2293</v>
      </c>
      <c r="F7" s="21" t="n">
        <v>6764</v>
      </c>
      <c r="G7" s="21" t="n">
        <v>6764</v>
      </c>
      <c r="H7" s="21" t="n">
        <v>6764</v>
      </c>
      <c r="I7" s="11" t="s">
        <v>2294</v>
      </c>
      <c r="J7" s="11" t="s">
        <v>2288</v>
      </c>
    </row>
    <row r="8" customFormat="false" ht="15" hidden="false" customHeight="false" outlineLevel="0" collapsed="false">
      <c r="A8" s="4" t="s">
        <v>2295</v>
      </c>
      <c r="B8" s="4" t="s">
        <v>2283</v>
      </c>
      <c r="C8" s="3" t="s">
        <v>2284</v>
      </c>
      <c r="D8" s="6" t="s">
        <v>2285</v>
      </c>
      <c r="E8" s="4" t="s">
        <v>2296</v>
      </c>
      <c r="F8" s="21" t="n">
        <v>4052</v>
      </c>
      <c r="G8" s="21" t="n">
        <v>4052</v>
      </c>
      <c r="H8" s="21" t="n">
        <v>4052</v>
      </c>
      <c r="I8" s="11" t="s">
        <v>2297</v>
      </c>
      <c r="J8" s="11" t="s">
        <v>2288</v>
      </c>
    </row>
    <row r="9" customFormat="false" ht="15" hidden="false" customHeight="false" outlineLevel="0" collapsed="false">
      <c r="A9" s="4" t="s">
        <v>2298</v>
      </c>
      <c r="B9" s="4" t="s">
        <v>2283</v>
      </c>
      <c r="C9" s="3" t="s">
        <v>2284</v>
      </c>
      <c r="D9" s="6" t="s">
        <v>2285</v>
      </c>
      <c r="E9" s="4" t="s">
        <v>2299</v>
      </c>
      <c r="F9" s="21" t="n">
        <v>2705</v>
      </c>
      <c r="G9" s="21" t="n">
        <v>2705</v>
      </c>
      <c r="H9" s="21" t="n">
        <v>2705</v>
      </c>
      <c r="I9" s="11" t="s">
        <v>2300</v>
      </c>
      <c r="J9" s="11" t="s">
        <v>2288</v>
      </c>
    </row>
    <row r="10" customFormat="false" ht="15" hidden="false" customHeight="false" outlineLevel="0" collapsed="false">
      <c r="A10" s="4" t="s">
        <v>2301</v>
      </c>
      <c r="B10" s="4" t="s">
        <v>2302</v>
      </c>
      <c r="C10" s="3" t="s">
        <v>2303</v>
      </c>
      <c r="D10" s="6" t="s">
        <v>2304</v>
      </c>
      <c r="E10" s="4" t="s">
        <v>2286</v>
      </c>
      <c r="F10" s="21" t="n">
        <v>718048</v>
      </c>
      <c r="G10" s="21" t="n">
        <v>718048</v>
      </c>
      <c r="H10" s="21" t="n">
        <v>718048</v>
      </c>
      <c r="I10" s="11" t="s">
        <v>2305</v>
      </c>
      <c r="J10" s="11" t="s">
        <v>2288</v>
      </c>
    </row>
    <row r="11" customFormat="false" ht="15" hidden="false" customHeight="false" outlineLevel="0" collapsed="false">
      <c r="A11" s="4" t="s">
        <v>2306</v>
      </c>
      <c r="B11" s="4" t="s">
        <v>2302</v>
      </c>
      <c r="C11" s="3" t="s">
        <v>2303</v>
      </c>
      <c r="D11" s="6" t="s">
        <v>2304</v>
      </c>
      <c r="E11" s="4" t="s">
        <v>2290</v>
      </c>
      <c r="F11" s="21" t="n">
        <v>501768</v>
      </c>
      <c r="G11" s="21" t="n">
        <v>501768</v>
      </c>
      <c r="H11" s="21" t="n">
        <v>501768</v>
      </c>
      <c r="I11" s="11" t="s">
        <v>2307</v>
      </c>
      <c r="J11" s="11" t="s">
        <v>2288</v>
      </c>
    </row>
    <row r="12" customFormat="false" ht="15" hidden="false" customHeight="false" outlineLevel="0" collapsed="false">
      <c r="A12" s="4" t="s">
        <v>2308</v>
      </c>
      <c r="B12" s="4" t="s">
        <v>2302</v>
      </c>
      <c r="C12" s="3" t="s">
        <v>2303</v>
      </c>
      <c r="D12" s="6" t="s">
        <v>2304</v>
      </c>
      <c r="E12" s="4" t="s">
        <v>2293</v>
      </c>
      <c r="F12" s="21" t="n">
        <v>487008</v>
      </c>
      <c r="G12" s="21" t="n">
        <v>487008</v>
      </c>
      <c r="H12" s="21" t="n">
        <v>487008</v>
      </c>
      <c r="I12" s="11" t="s">
        <v>2309</v>
      </c>
      <c r="J12" s="11" t="s">
        <v>2288</v>
      </c>
    </row>
    <row r="13" customFormat="false" ht="15" hidden="false" customHeight="false" outlineLevel="0" collapsed="false">
      <c r="A13" s="4" t="s">
        <v>2310</v>
      </c>
      <c r="B13" s="4" t="s">
        <v>2302</v>
      </c>
      <c r="C13" s="3" t="s">
        <v>2303</v>
      </c>
      <c r="D13" s="6" t="s">
        <v>2304</v>
      </c>
      <c r="E13" s="4" t="s">
        <v>2296</v>
      </c>
      <c r="F13" s="21" t="n">
        <v>291744</v>
      </c>
      <c r="G13" s="21" t="n">
        <v>291744</v>
      </c>
      <c r="H13" s="21" t="n">
        <v>291744</v>
      </c>
      <c r="I13" s="11" t="s">
        <v>2311</v>
      </c>
      <c r="J13" s="11" t="s">
        <v>2288</v>
      </c>
    </row>
    <row r="14" customFormat="false" ht="15" hidden="false" customHeight="false" outlineLevel="0" collapsed="false">
      <c r="A14" s="4" t="s">
        <v>2312</v>
      </c>
      <c r="B14" s="4" t="s">
        <v>2302</v>
      </c>
      <c r="C14" s="3" t="s">
        <v>2303</v>
      </c>
      <c r="D14" s="6" t="s">
        <v>2304</v>
      </c>
      <c r="E14" s="4" t="s">
        <v>2299</v>
      </c>
      <c r="F14" s="21" t="n">
        <v>194760</v>
      </c>
      <c r="G14" s="21" t="n">
        <v>194760</v>
      </c>
      <c r="H14" s="21" t="n">
        <v>194760</v>
      </c>
      <c r="I14" s="11" t="s">
        <v>2313</v>
      </c>
      <c r="J14" s="11" t="s">
        <v>2288</v>
      </c>
    </row>
    <row r="15" customFormat="false" ht="15" hidden="false" customHeight="false" outlineLevel="0" collapsed="false">
      <c r="A15" s="4" t="s">
        <v>2314</v>
      </c>
      <c r="B15" s="4" t="s">
        <v>2315</v>
      </c>
      <c r="C15" s="3" t="s">
        <v>2316</v>
      </c>
      <c r="D15" s="11" t="s">
        <v>2317</v>
      </c>
      <c r="E15" s="4" t="s">
        <v>2286</v>
      </c>
      <c r="F15" s="118" t="n">
        <v>1.1</v>
      </c>
      <c r="G15" s="118" t="n">
        <v>1.2</v>
      </c>
      <c r="H15" s="118" t="n">
        <v>1.3</v>
      </c>
      <c r="I15" s="11" t="s">
        <v>2318</v>
      </c>
      <c r="J15" s="11" t="s">
        <v>2288</v>
      </c>
    </row>
    <row r="16" customFormat="false" ht="15" hidden="false" customHeight="false" outlineLevel="0" collapsed="false">
      <c r="A16" s="4" t="s">
        <v>2319</v>
      </c>
      <c r="B16" s="4" t="s">
        <v>2315</v>
      </c>
      <c r="C16" s="3" t="s">
        <v>2316</v>
      </c>
      <c r="D16" s="11" t="s">
        <v>2317</v>
      </c>
      <c r="E16" s="4" t="s">
        <v>2290</v>
      </c>
      <c r="F16" s="118" t="n">
        <v>1.1</v>
      </c>
      <c r="G16" s="118" t="n">
        <v>1.2</v>
      </c>
      <c r="H16" s="118" t="n">
        <v>1.3</v>
      </c>
      <c r="I16" s="11" t="s">
        <v>2320</v>
      </c>
      <c r="J16" s="11" t="s">
        <v>2288</v>
      </c>
    </row>
    <row r="17" customFormat="false" ht="15" hidden="false" customHeight="false" outlineLevel="0" collapsed="false">
      <c r="A17" s="4" t="s">
        <v>2321</v>
      </c>
      <c r="B17" s="4" t="s">
        <v>2315</v>
      </c>
      <c r="C17" s="3" t="s">
        <v>2316</v>
      </c>
      <c r="D17" s="11" t="s">
        <v>2317</v>
      </c>
      <c r="E17" s="4" t="s">
        <v>2293</v>
      </c>
      <c r="F17" s="118" t="n">
        <v>1.1</v>
      </c>
      <c r="G17" s="118" t="n">
        <v>1.2</v>
      </c>
      <c r="H17" s="118" t="n">
        <v>1.3</v>
      </c>
      <c r="I17" s="11" t="s">
        <v>2322</v>
      </c>
      <c r="J17" s="11" t="s">
        <v>2288</v>
      </c>
    </row>
    <row r="18" customFormat="false" ht="15" hidden="false" customHeight="false" outlineLevel="0" collapsed="false">
      <c r="A18" s="4" t="s">
        <v>2323</v>
      </c>
      <c r="B18" s="4" t="s">
        <v>2315</v>
      </c>
      <c r="C18" s="3" t="s">
        <v>2316</v>
      </c>
      <c r="D18" s="11" t="s">
        <v>2317</v>
      </c>
      <c r="E18" s="4" t="s">
        <v>2296</v>
      </c>
      <c r="F18" s="118" t="n">
        <v>1.1</v>
      </c>
      <c r="G18" s="118" t="n">
        <v>1.2</v>
      </c>
      <c r="H18" s="118" t="n">
        <v>1.3</v>
      </c>
      <c r="I18" s="11" t="s">
        <v>2324</v>
      </c>
      <c r="J18" s="11" t="s">
        <v>2288</v>
      </c>
    </row>
    <row r="19" customFormat="false" ht="15" hidden="false" customHeight="false" outlineLevel="0" collapsed="false">
      <c r="A19" s="4" t="s">
        <v>2325</v>
      </c>
      <c r="B19" s="4" t="s">
        <v>2315</v>
      </c>
      <c r="C19" s="3" t="s">
        <v>2316</v>
      </c>
      <c r="D19" s="11" t="s">
        <v>2317</v>
      </c>
      <c r="E19" s="4" t="s">
        <v>2299</v>
      </c>
      <c r="F19" s="118" t="n">
        <v>1.1</v>
      </c>
      <c r="G19" s="118" t="n">
        <v>1.2</v>
      </c>
      <c r="H19" s="118" t="n">
        <v>1.3</v>
      </c>
      <c r="I19" s="11" t="s">
        <v>2326</v>
      </c>
      <c r="J19" s="11" t="s">
        <v>2288</v>
      </c>
    </row>
    <row r="20" customFormat="false" ht="15" hidden="false" customHeight="false" outlineLevel="0" collapsed="false">
      <c r="A20" s="4" t="s">
        <v>2327</v>
      </c>
      <c r="B20" s="4" t="s">
        <v>2328</v>
      </c>
      <c r="C20" s="3" t="s">
        <v>2329</v>
      </c>
      <c r="D20" s="11" t="s">
        <v>2330</v>
      </c>
      <c r="E20" s="4" t="s">
        <v>2286</v>
      </c>
      <c r="F20" s="118" t="n">
        <v>21.4202694</v>
      </c>
      <c r="G20" s="118" t="n">
        <v>27.510214</v>
      </c>
      <c r="H20" s="118" t="n">
        <v>34.1207434</v>
      </c>
      <c r="I20" s="11" t="s">
        <v>2331</v>
      </c>
      <c r="J20" s="11" t="s">
        <v>2288</v>
      </c>
    </row>
    <row r="21" customFormat="false" ht="15" hidden="false" customHeight="false" outlineLevel="0" collapsed="false">
      <c r="A21" s="4" t="s">
        <v>2332</v>
      </c>
      <c r="B21" s="4" t="s">
        <v>2328</v>
      </c>
      <c r="C21" s="3" t="s">
        <v>2329</v>
      </c>
      <c r="D21" s="11" t="s">
        <v>2330</v>
      </c>
      <c r="E21" s="4" t="s">
        <v>2290</v>
      </c>
      <c r="F21" s="118" t="n">
        <v>20.6393904</v>
      </c>
      <c r="G21" s="118" t="n">
        <v>24.015174</v>
      </c>
      <c r="H21" s="118" t="n">
        <v>27.6502044</v>
      </c>
      <c r="I21" s="11" t="s">
        <v>2333</v>
      </c>
      <c r="J21" s="11" t="s">
        <v>2288</v>
      </c>
    </row>
    <row r="22" customFormat="false" ht="15" hidden="false" customHeight="false" outlineLevel="0" collapsed="false">
      <c r="A22" s="4" t="s">
        <v>2334</v>
      </c>
      <c r="B22" s="4" t="s">
        <v>2328</v>
      </c>
      <c r="C22" s="3" t="s">
        <v>2329</v>
      </c>
      <c r="D22" s="11" t="s">
        <v>2330</v>
      </c>
      <c r="E22" s="4" t="s">
        <v>2293</v>
      </c>
      <c r="F22" s="118" t="n">
        <v>28.5549024</v>
      </c>
      <c r="G22" s="118" t="n">
        <v>32.237224</v>
      </c>
      <c r="H22" s="118" t="n">
        <v>39.2826064</v>
      </c>
      <c r="I22" s="11" t="s">
        <v>2335</v>
      </c>
      <c r="J22" s="11" t="s">
        <v>2288</v>
      </c>
    </row>
    <row r="23" customFormat="false" ht="15" hidden="false" customHeight="false" outlineLevel="0" collapsed="false">
      <c r="A23" s="4" t="s">
        <v>2336</v>
      </c>
      <c r="B23" s="4" t="s">
        <v>2328</v>
      </c>
      <c r="C23" s="3" t="s">
        <v>2329</v>
      </c>
      <c r="D23" s="11" t="s">
        <v>2330</v>
      </c>
      <c r="E23" s="4" t="s">
        <v>2296</v>
      </c>
      <c r="F23" s="118" t="n">
        <v>33.2734032</v>
      </c>
      <c r="G23" s="118" t="n">
        <v>37.586352</v>
      </c>
      <c r="H23" s="118" t="n">
        <v>42.6375752</v>
      </c>
      <c r="I23" s="11" t="s">
        <v>2337</v>
      </c>
      <c r="J23" s="11" t="s">
        <v>2288</v>
      </c>
    </row>
    <row r="24" customFormat="false" ht="15" hidden="false" customHeight="false" outlineLevel="0" collapsed="false">
      <c r="A24" s="4" t="s">
        <v>2338</v>
      </c>
      <c r="B24" s="4" t="s">
        <v>2328</v>
      </c>
      <c r="C24" s="3" t="s">
        <v>2329</v>
      </c>
      <c r="D24" s="11" t="s">
        <v>2330</v>
      </c>
      <c r="E24" s="4" t="s">
        <v>2299</v>
      </c>
      <c r="F24" s="118" t="n">
        <v>35.845578</v>
      </c>
      <c r="G24" s="118" t="n">
        <v>50.08578</v>
      </c>
      <c r="H24" s="118" t="n">
        <v>65.481558</v>
      </c>
      <c r="I24" s="11" t="s">
        <v>2339</v>
      </c>
      <c r="J24" s="11" t="s">
        <v>2288</v>
      </c>
    </row>
    <row r="25" customFormat="false" ht="15" hidden="false" customHeight="false" outlineLevel="0" collapsed="false">
      <c r="A25" s="4" t="s">
        <v>2340</v>
      </c>
      <c r="B25" s="4" t="s">
        <v>2341</v>
      </c>
      <c r="C25" s="3" t="s">
        <v>2342</v>
      </c>
      <c r="D25" s="11" t="s">
        <v>2330</v>
      </c>
      <c r="E25" s="4" t="s">
        <v>2286</v>
      </c>
      <c r="F25" s="118" t="n">
        <v>10.212</v>
      </c>
      <c r="G25" s="118" t="n">
        <v>12.67</v>
      </c>
      <c r="H25" s="118" t="n">
        <v>16.186</v>
      </c>
      <c r="I25" s="11" t="s">
        <v>2343</v>
      </c>
      <c r="J25" s="11" t="s">
        <v>2288</v>
      </c>
    </row>
    <row r="26" customFormat="false" ht="15" hidden="false" customHeight="false" outlineLevel="0" collapsed="false">
      <c r="A26" s="4" t="s">
        <v>2344</v>
      </c>
      <c r="B26" s="4" t="s">
        <v>2341</v>
      </c>
      <c r="C26" s="3" t="s">
        <v>2342</v>
      </c>
      <c r="D26" s="11" t="s">
        <v>2330</v>
      </c>
      <c r="E26" s="4" t="s">
        <v>2290</v>
      </c>
      <c r="F26" s="118" t="n">
        <v>10.212</v>
      </c>
      <c r="G26" s="118" t="n">
        <v>12.67</v>
      </c>
      <c r="H26" s="118" t="n">
        <v>16.186</v>
      </c>
      <c r="I26" s="11" t="s">
        <v>2345</v>
      </c>
      <c r="J26" s="11" t="s">
        <v>2288</v>
      </c>
    </row>
    <row r="27" customFormat="false" ht="15" hidden="false" customHeight="false" outlineLevel="0" collapsed="false">
      <c r="A27" s="4" t="s">
        <v>2346</v>
      </c>
      <c r="B27" s="4" t="s">
        <v>2341</v>
      </c>
      <c r="C27" s="3" t="s">
        <v>2342</v>
      </c>
      <c r="D27" s="11" t="s">
        <v>2330</v>
      </c>
      <c r="E27" s="4" t="s">
        <v>2293</v>
      </c>
      <c r="F27" s="118" t="n">
        <v>10.212</v>
      </c>
      <c r="G27" s="118" t="n">
        <v>12.67</v>
      </c>
      <c r="H27" s="118" t="n">
        <v>16.186</v>
      </c>
      <c r="I27" s="11" t="s">
        <v>2347</v>
      </c>
      <c r="J27" s="11" t="s">
        <v>2288</v>
      </c>
    </row>
    <row r="28" customFormat="false" ht="15" hidden="false" customHeight="false" outlineLevel="0" collapsed="false">
      <c r="A28" s="4" t="s">
        <v>2348</v>
      </c>
      <c r="B28" s="4" t="s">
        <v>2341</v>
      </c>
      <c r="C28" s="3" t="s">
        <v>2342</v>
      </c>
      <c r="D28" s="11" t="s">
        <v>2330</v>
      </c>
      <c r="E28" s="4" t="s">
        <v>2296</v>
      </c>
      <c r="F28" s="118" t="n">
        <v>10.212</v>
      </c>
      <c r="G28" s="118" t="n">
        <v>12.67</v>
      </c>
      <c r="H28" s="118" t="n">
        <v>16.186</v>
      </c>
      <c r="I28" s="11" t="s">
        <v>2349</v>
      </c>
      <c r="J28" s="11" t="s">
        <v>2288</v>
      </c>
    </row>
    <row r="29" customFormat="false" ht="15" hidden="false" customHeight="false" outlineLevel="0" collapsed="false">
      <c r="A29" s="4" t="s">
        <v>2350</v>
      </c>
      <c r="B29" s="4" t="s">
        <v>2341</v>
      </c>
      <c r="C29" s="3" t="s">
        <v>2342</v>
      </c>
      <c r="D29" s="11" t="s">
        <v>2330</v>
      </c>
      <c r="E29" s="4" t="s">
        <v>2299</v>
      </c>
      <c r="F29" s="118" t="n">
        <v>10.212</v>
      </c>
      <c r="G29" s="118" t="n">
        <v>12.67</v>
      </c>
      <c r="H29" s="118" t="n">
        <v>16.186</v>
      </c>
      <c r="I29" s="11" t="s">
        <v>2351</v>
      </c>
      <c r="J29" s="11" t="s">
        <v>2288</v>
      </c>
    </row>
    <row r="30" customFormat="false" ht="15" hidden="false" customHeight="false" outlineLevel="0" collapsed="false">
      <c r="A30" s="4" t="s">
        <v>2352</v>
      </c>
      <c r="B30" s="4" t="s">
        <v>2353</v>
      </c>
      <c r="C30" s="3" t="s">
        <v>2354</v>
      </c>
      <c r="D30" s="11" t="s">
        <v>2330</v>
      </c>
      <c r="E30" s="4" t="s">
        <v>2286</v>
      </c>
      <c r="F30" s="118" t="n">
        <v>31.6322694</v>
      </c>
      <c r="G30" s="118" t="n">
        <v>40.180214</v>
      </c>
      <c r="H30" s="118" t="n">
        <v>50.3067434</v>
      </c>
      <c r="I30" s="11" t="s">
        <v>2355</v>
      </c>
      <c r="J30" s="11" t="s">
        <v>2288</v>
      </c>
    </row>
    <row r="31" customFormat="false" ht="15" hidden="false" customHeight="false" outlineLevel="0" collapsed="false">
      <c r="A31" s="4" t="s">
        <v>2356</v>
      </c>
      <c r="B31" s="4" t="s">
        <v>2353</v>
      </c>
      <c r="C31" s="3" t="s">
        <v>2354</v>
      </c>
      <c r="D31" s="11" t="s">
        <v>2330</v>
      </c>
      <c r="E31" s="4" t="s">
        <v>2290</v>
      </c>
      <c r="F31" s="118" t="n">
        <v>30.8513904</v>
      </c>
      <c r="G31" s="118" t="n">
        <v>36.685174</v>
      </c>
      <c r="H31" s="118" t="n">
        <v>43.8362044</v>
      </c>
      <c r="I31" s="11" t="s">
        <v>2357</v>
      </c>
      <c r="J31" s="11" t="s">
        <v>2288</v>
      </c>
    </row>
    <row r="32" customFormat="false" ht="15" hidden="false" customHeight="false" outlineLevel="0" collapsed="false">
      <c r="A32" s="4" t="s">
        <v>2358</v>
      </c>
      <c r="B32" s="4" t="s">
        <v>2353</v>
      </c>
      <c r="C32" s="3" t="s">
        <v>2354</v>
      </c>
      <c r="D32" s="11" t="s">
        <v>2330</v>
      </c>
      <c r="E32" s="4" t="s">
        <v>2293</v>
      </c>
      <c r="F32" s="118" t="n">
        <v>38.7669024</v>
      </c>
      <c r="G32" s="118" t="n">
        <v>44.907224</v>
      </c>
      <c r="H32" s="118" t="n">
        <v>55.4686064</v>
      </c>
      <c r="I32" s="11" t="s">
        <v>2359</v>
      </c>
      <c r="J32" s="11" t="s">
        <v>2288</v>
      </c>
    </row>
    <row r="33" customFormat="false" ht="15" hidden="false" customHeight="false" outlineLevel="0" collapsed="false">
      <c r="A33" s="4" t="s">
        <v>2360</v>
      </c>
      <c r="B33" s="4" t="s">
        <v>2353</v>
      </c>
      <c r="C33" s="3" t="s">
        <v>2354</v>
      </c>
      <c r="D33" s="11" t="s">
        <v>2330</v>
      </c>
      <c r="E33" s="4" t="s">
        <v>2296</v>
      </c>
      <c r="F33" s="118" t="n">
        <v>43.4854032</v>
      </c>
      <c r="G33" s="118" t="n">
        <v>50.256352</v>
      </c>
      <c r="H33" s="118" t="n">
        <v>58.8235752</v>
      </c>
      <c r="I33" s="11" t="s">
        <v>2361</v>
      </c>
      <c r="J33" s="11" t="s">
        <v>2288</v>
      </c>
    </row>
    <row r="34" customFormat="false" ht="15" hidden="false" customHeight="false" outlineLevel="0" collapsed="false">
      <c r="A34" s="4" t="s">
        <v>2362</v>
      </c>
      <c r="B34" s="4" t="s">
        <v>2353</v>
      </c>
      <c r="C34" s="3" t="s">
        <v>2354</v>
      </c>
      <c r="D34" s="11" t="s">
        <v>2330</v>
      </c>
      <c r="E34" s="4" t="s">
        <v>2299</v>
      </c>
      <c r="F34" s="118" t="n">
        <v>46.057578</v>
      </c>
      <c r="G34" s="118" t="n">
        <v>62.75578</v>
      </c>
      <c r="H34" s="118" t="n">
        <v>81.667558</v>
      </c>
      <c r="I34" s="11" t="s">
        <v>2363</v>
      </c>
      <c r="J34" s="11" t="s">
        <v>2288</v>
      </c>
    </row>
    <row r="35" customFormat="false" ht="15" hidden="false" customHeight="false" outlineLevel="0" collapsed="false">
      <c r="A35" s="4" t="s">
        <v>2364</v>
      </c>
      <c r="B35" s="4" t="s">
        <v>2365</v>
      </c>
      <c r="C35" s="3" t="s">
        <v>2366</v>
      </c>
      <c r="D35" s="11" t="s">
        <v>2367</v>
      </c>
      <c r="E35" s="4" t="s">
        <v>2286</v>
      </c>
      <c r="F35" s="118" t="n">
        <v>5.19000377241587</v>
      </c>
      <c r="G35" s="118" t="n">
        <v>7.10411981353067</v>
      </c>
      <c r="H35" s="118" t="n">
        <v>12.2070705365445</v>
      </c>
      <c r="I35" s="11" t="s">
        <v>2368</v>
      </c>
      <c r="J35" s="11" t="s">
        <v>2288</v>
      </c>
    </row>
    <row r="36" customFormat="false" ht="15" hidden="false" customHeight="false" outlineLevel="0" collapsed="false">
      <c r="A36" s="4" t="s">
        <v>2369</v>
      </c>
      <c r="B36" s="4" t="s">
        <v>2365</v>
      </c>
      <c r="C36" s="3" t="s">
        <v>2366</v>
      </c>
      <c r="D36" s="11" t="s">
        <v>2367</v>
      </c>
      <c r="E36" s="4" t="s">
        <v>2290</v>
      </c>
      <c r="F36" s="118" t="n">
        <v>5.04951503784896</v>
      </c>
      <c r="G36" s="118" t="n">
        <v>6.44917840537967</v>
      </c>
      <c r="H36" s="118" t="n">
        <v>10.4195985807088</v>
      </c>
      <c r="I36" s="11" t="s">
        <v>2370</v>
      </c>
      <c r="J36" s="11" t="s">
        <v>2288</v>
      </c>
    </row>
    <row r="37" customFormat="false" ht="15" hidden="false" customHeight="false" outlineLevel="0" collapsed="false">
      <c r="A37" s="4" t="s">
        <v>2371</v>
      </c>
      <c r="B37" s="4" t="s">
        <v>2365</v>
      </c>
      <c r="C37" s="3" t="s">
        <v>2366</v>
      </c>
      <c r="D37" s="11" t="s">
        <v>2367</v>
      </c>
      <c r="E37" s="4" t="s">
        <v>2293</v>
      </c>
      <c r="F37" s="118" t="n">
        <v>6.47360284700915</v>
      </c>
      <c r="G37" s="118" t="n">
        <v>7.98992214647791</v>
      </c>
      <c r="H37" s="118" t="n">
        <v>13.6330236684808</v>
      </c>
      <c r="I37" s="11" t="s">
        <v>2372</v>
      </c>
      <c r="J37" s="11" t="s">
        <v>2288</v>
      </c>
    </row>
    <row r="38" customFormat="false" ht="15" hidden="false" customHeight="false" outlineLevel="0" collapsed="false">
      <c r="A38" s="4" t="s">
        <v>2373</v>
      </c>
      <c r="B38" s="4" t="s">
        <v>2365</v>
      </c>
      <c r="C38" s="3" t="s">
        <v>2366</v>
      </c>
      <c r="D38" s="11" t="s">
        <v>2367</v>
      </c>
      <c r="E38" s="4" t="s">
        <v>2296</v>
      </c>
      <c r="F38" s="118" t="n">
        <v>7.32251312176997</v>
      </c>
      <c r="G38" s="118" t="n">
        <v>8.9923042149807</v>
      </c>
      <c r="H38" s="118" t="n">
        <v>14.5598263108425</v>
      </c>
      <c r="I38" s="11" t="s">
        <v>2374</v>
      </c>
      <c r="J38" s="11" t="s">
        <v>2288</v>
      </c>
    </row>
    <row r="39" customFormat="false" ht="15" hidden="false" customHeight="false" outlineLevel="0" collapsed="false">
      <c r="A39" s="4" t="s">
        <v>2375</v>
      </c>
      <c r="B39" s="4" t="s">
        <v>2365</v>
      </c>
      <c r="C39" s="3" t="s">
        <v>2366</v>
      </c>
      <c r="D39" s="11" t="s">
        <v>2367</v>
      </c>
      <c r="E39" s="4" t="s">
        <v>2299</v>
      </c>
      <c r="F39" s="118" t="n">
        <v>7.78527570436843</v>
      </c>
      <c r="G39" s="118" t="n">
        <v>11.3345929943372</v>
      </c>
      <c r="H39" s="118" t="n">
        <v>20.8704255692031</v>
      </c>
      <c r="I39" s="11" t="s">
        <v>2376</v>
      </c>
      <c r="J39" s="11" t="s">
        <v>2288</v>
      </c>
    </row>
    <row r="40" customFormat="false" ht="15" hidden="false" customHeight="false" outlineLevel="0" collapsed="false">
      <c r="A40" s="4" t="s">
        <v>2377</v>
      </c>
      <c r="B40" s="4" t="s">
        <v>1257</v>
      </c>
      <c r="C40" s="3" t="s">
        <v>2378</v>
      </c>
      <c r="D40" s="11" t="s">
        <v>2367</v>
      </c>
      <c r="E40" s="4" t="s">
        <v>2286</v>
      </c>
      <c r="F40" s="118" t="n">
        <v>6.79107465326444</v>
      </c>
      <c r="G40" s="118" t="n">
        <v>9.70308728611469</v>
      </c>
      <c r="H40" s="118" t="n">
        <v>16.6637697337026</v>
      </c>
      <c r="I40" s="11" t="s">
        <v>2379</v>
      </c>
      <c r="J40" s="11" t="s">
        <v>2288</v>
      </c>
    </row>
    <row r="41" customFormat="false" ht="15" hidden="false" customHeight="false" outlineLevel="0" collapsed="false">
      <c r="A41" s="4" t="s">
        <v>2380</v>
      </c>
      <c r="B41" s="4" t="s">
        <v>1257</v>
      </c>
      <c r="C41" s="3" t="s">
        <v>2378</v>
      </c>
      <c r="D41" s="11" t="s">
        <v>2367</v>
      </c>
      <c r="E41" s="4" t="s">
        <v>2290</v>
      </c>
      <c r="F41" s="118" t="n">
        <v>6.6118162762144</v>
      </c>
      <c r="G41" s="118" t="n">
        <v>8.82816556596761</v>
      </c>
      <c r="H41" s="118" t="n">
        <v>14.3185748619737</v>
      </c>
      <c r="I41" s="11" t="s">
        <v>2381</v>
      </c>
      <c r="J41" s="11" t="s">
        <v>2288</v>
      </c>
    </row>
    <row r="42" customFormat="false" ht="15" hidden="false" customHeight="false" outlineLevel="0" collapsed="false">
      <c r="A42" s="4" t="s">
        <v>2382</v>
      </c>
      <c r="B42" s="4" t="s">
        <v>1257</v>
      </c>
      <c r="C42" s="3" t="s">
        <v>2378</v>
      </c>
      <c r="D42" s="11" t="s">
        <v>2367</v>
      </c>
      <c r="E42" s="4" t="s">
        <v>2293</v>
      </c>
      <c r="F42" s="118" t="n">
        <v>8.42889912085495</v>
      </c>
      <c r="G42" s="118" t="n">
        <v>10.8864110021101</v>
      </c>
      <c r="H42" s="118" t="n">
        <v>18.5346455040469</v>
      </c>
      <c r="I42" s="11" t="s">
        <v>2383</v>
      </c>
      <c r="J42" s="11" t="s">
        <v>2288</v>
      </c>
    </row>
    <row r="43" customFormat="false" ht="15" hidden="false" customHeight="false" outlineLevel="0" collapsed="false">
      <c r="A43" s="4" t="s">
        <v>2384</v>
      </c>
      <c r="B43" s="4" t="s">
        <v>1257</v>
      </c>
      <c r="C43" s="3" t="s">
        <v>2378</v>
      </c>
      <c r="D43" s="11" t="s">
        <v>2367</v>
      </c>
      <c r="E43" s="4" t="s">
        <v>2296</v>
      </c>
      <c r="F43" s="118" t="n">
        <v>9.51207691858967</v>
      </c>
      <c r="G43" s="118" t="n">
        <v>12.2254710045841</v>
      </c>
      <c r="H43" s="118" t="n">
        <v>19.7506269894487</v>
      </c>
      <c r="I43" s="11" t="s">
        <v>2385</v>
      </c>
      <c r="J43" s="11" t="s">
        <v>2288</v>
      </c>
    </row>
    <row r="44" customFormat="false" ht="15" hidden="false" customHeight="false" outlineLevel="0" collapsed="false">
      <c r="A44" s="4" t="s">
        <v>2386</v>
      </c>
      <c r="B44" s="4" t="s">
        <v>1257</v>
      </c>
      <c r="C44" s="3" t="s">
        <v>2378</v>
      </c>
      <c r="D44" s="11" t="s">
        <v>2367</v>
      </c>
      <c r="E44" s="4" t="s">
        <v>2299</v>
      </c>
      <c r="F44" s="118" t="n">
        <v>10.1025446864987</v>
      </c>
      <c r="G44" s="118" t="n">
        <v>15.3544827030524</v>
      </c>
      <c r="H44" s="118" t="n">
        <v>28.0302450108258</v>
      </c>
      <c r="I44" s="11" t="s">
        <v>2387</v>
      </c>
      <c r="J44" s="11" t="s">
        <v>2288</v>
      </c>
    </row>
    <row r="45" customFormat="false" ht="15" hidden="false" customHeight="false" outlineLevel="0" collapsed="false">
      <c r="A45" s="4" t="s">
        <v>2388</v>
      </c>
      <c r="B45" s="4" t="s">
        <v>2389</v>
      </c>
      <c r="C45" s="3" t="s">
        <v>2390</v>
      </c>
      <c r="D45" s="11" t="s">
        <v>2391</v>
      </c>
      <c r="E45" s="4" t="s">
        <v>2286</v>
      </c>
      <c r="F45" s="118" t="n">
        <v>1.07964486018265</v>
      </c>
      <c r="G45" s="118" t="n">
        <v>1.54259654785589</v>
      </c>
      <c r="H45" s="118" t="n">
        <v>2.64920565047995</v>
      </c>
      <c r="I45" s="11" t="s">
        <v>2392</v>
      </c>
      <c r="J45" s="11" t="s">
        <v>2288</v>
      </c>
    </row>
    <row r="46" customFormat="false" ht="15" hidden="false" customHeight="false" outlineLevel="0" collapsed="false">
      <c r="A46" s="4" t="s">
        <v>2393</v>
      </c>
      <c r="B46" s="4" t="s">
        <v>2389</v>
      </c>
      <c r="C46" s="3" t="s">
        <v>2390</v>
      </c>
      <c r="D46" s="11" t="s">
        <v>2391</v>
      </c>
      <c r="E46" s="4" t="s">
        <v>2290</v>
      </c>
      <c r="F46" s="118" t="n">
        <v>1.50422814430785</v>
      </c>
      <c r="G46" s="118" t="n">
        <v>2.00846099652078</v>
      </c>
      <c r="H46" s="118" t="n">
        <v>3.25756227849869</v>
      </c>
      <c r="I46" s="11" t="s">
        <v>2394</v>
      </c>
      <c r="J46" s="11" t="s">
        <v>2288</v>
      </c>
    </row>
    <row r="47" customFormat="false" ht="15" hidden="false" customHeight="false" outlineLevel="0" collapsed="false">
      <c r="A47" s="4" t="s">
        <v>2395</v>
      </c>
      <c r="B47" s="4" t="s">
        <v>2389</v>
      </c>
      <c r="C47" s="3" t="s">
        <v>2390</v>
      </c>
      <c r="D47" s="11" t="s">
        <v>2391</v>
      </c>
      <c r="E47" s="4" t="s">
        <v>2293</v>
      </c>
      <c r="F47" s="118" t="n">
        <v>1.97574392204647</v>
      </c>
      <c r="G47" s="118" t="n">
        <v>2.55178761329595</v>
      </c>
      <c r="H47" s="118" t="n">
        <v>4.34454282544458</v>
      </c>
      <c r="I47" s="11" t="s">
        <v>2396</v>
      </c>
      <c r="J47" s="11" t="s">
        <v>2288</v>
      </c>
    </row>
    <row r="48" customFormat="false" ht="15" hidden="false" customHeight="false" outlineLevel="0" collapsed="false">
      <c r="A48" s="4" t="s">
        <v>2397</v>
      </c>
      <c r="B48" s="4" t="s">
        <v>2389</v>
      </c>
      <c r="C48" s="3" t="s">
        <v>2390</v>
      </c>
      <c r="D48" s="11" t="s">
        <v>2391</v>
      </c>
      <c r="E48" s="4" t="s">
        <v>2296</v>
      </c>
      <c r="F48" s="118" t="n">
        <v>3.72193954123947</v>
      </c>
      <c r="G48" s="118" t="n">
        <v>4.78365180724219</v>
      </c>
      <c r="H48" s="118" t="n">
        <v>7.72813762813851</v>
      </c>
      <c r="I48" s="11" t="s">
        <v>2398</v>
      </c>
      <c r="J48" s="11" t="s">
        <v>2288</v>
      </c>
    </row>
    <row r="49" customFormat="false" ht="15" hidden="false" customHeight="false" outlineLevel="0" collapsed="false">
      <c r="A49" s="4" t="s">
        <v>2399</v>
      </c>
      <c r="B49" s="4" t="s">
        <v>2389</v>
      </c>
      <c r="C49" s="3" t="s">
        <v>2390</v>
      </c>
      <c r="D49" s="11" t="s">
        <v>2391</v>
      </c>
      <c r="E49" s="4" t="s">
        <v>2299</v>
      </c>
      <c r="F49" s="118" t="n">
        <v>5.92143420546319</v>
      </c>
      <c r="G49" s="118" t="n">
        <v>8.99976806898525</v>
      </c>
      <c r="H49" s="118" t="n">
        <v>16.4294498807254</v>
      </c>
      <c r="I49" s="11" t="s">
        <v>2400</v>
      </c>
      <c r="J49" s="11" t="s">
        <v>2288</v>
      </c>
    </row>
    <row r="50" customFormat="false" ht="15" hidden="false" customHeight="false" outlineLevel="0" collapsed="false">
      <c r="A50" s="4" t="s">
        <v>2401</v>
      </c>
      <c r="B50" s="4" t="s">
        <v>2402</v>
      </c>
      <c r="C50" s="3" t="s">
        <v>2403</v>
      </c>
      <c r="D50" s="11" t="s">
        <v>2367</v>
      </c>
      <c r="E50" s="4" t="s">
        <v>2286</v>
      </c>
      <c r="F50" s="118" t="n">
        <v>0.404712</v>
      </c>
      <c r="G50" s="118" t="n">
        <v>0.672768</v>
      </c>
      <c r="H50" s="118" t="n">
        <v>1.02492</v>
      </c>
      <c r="I50" s="11" t="s">
        <v>2404</v>
      </c>
      <c r="J50" s="11" t="s">
        <v>2288</v>
      </c>
    </row>
    <row r="51" customFormat="false" ht="15" hidden="false" customHeight="false" outlineLevel="0" collapsed="false">
      <c r="A51" s="4" t="s">
        <v>2405</v>
      </c>
      <c r="B51" s="4" t="s">
        <v>2402</v>
      </c>
      <c r="C51" s="3" t="s">
        <v>2403</v>
      </c>
      <c r="D51" s="11" t="s">
        <v>2367</v>
      </c>
      <c r="E51" s="4" t="s">
        <v>2290</v>
      </c>
      <c r="F51" s="118" t="n">
        <v>0.404712</v>
      </c>
      <c r="G51" s="118" t="n">
        <v>0.672768</v>
      </c>
      <c r="H51" s="118" t="n">
        <v>1.02492</v>
      </c>
      <c r="I51" s="11" t="s">
        <v>2406</v>
      </c>
      <c r="J51" s="11" t="s">
        <v>2288</v>
      </c>
    </row>
    <row r="52" customFormat="false" ht="15" hidden="false" customHeight="false" outlineLevel="0" collapsed="false">
      <c r="A52" s="4" t="s">
        <v>2407</v>
      </c>
      <c r="B52" s="4" t="s">
        <v>2402</v>
      </c>
      <c r="C52" s="3" t="s">
        <v>2403</v>
      </c>
      <c r="D52" s="11" t="s">
        <v>2367</v>
      </c>
      <c r="E52" s="4" t="s">
        <v>2293</v>
      </c>
      <c r="F52" s="118" t="n">
        <v>0.404712</v>
      </c>
      <c r="G52" s="118" t="n">
        <v>0.672768</v>
      </c>
      <c r="H52" s="118" t="n">
        <v>1.02492</v>
      </c>
      <c r="I52" s="11" t="s">
        <v>2408</v>
      </c>
      <c r="J52" s="11" t="s">
        <v>2288</v>
      </c>
    </row>
    <row r="53" customFormat="false" ht="15" hidden="false" customHeight="false" outlineLevel="0" collapsed="false">
      <c r="A53" s="4" t="s">
        <v>2409</v>
      </c>
      <c r="B53" s="4" t="s">
        <v>2402</v>
      </c>
      <c r="C53" s="3" t="s">
        <v>2403</v>
      </c>
      <c r="D53" s="11" t="s">
        <v>2367</v>
      </c>
      <c r="E53" s="4" t="s">
        <v>2296</v>
      </c>
      <c r="F53" s="118" t="n">
        <v>0.404712</v>
      </c>
      <c r="G53" s="118" t="n">
        <v>0.672768</v>
      </c>
      <c r="H53" s="118" t="n">
        <v>1.02492</v>
      </c>
      <c r="I53" s="11" t="s">
        <v>2410</v>
      </c>
      <c r="J53" s="11" t="s">
        <v>2288</v>
      </c>
    </row>
    <row r="54" customFormat="false" ht="15" hidden="false" customHeight="false" outlineLevel="0" collapsed="false">
      <c r="A54" s="4" t="s">
        <v>2411</v>
      </c>
      <c r="B54" s="4" t="s">
        <v>2402</v>
      </c>
      <c r="C54" s="3" t="s">
        <v>2403</v>
      </c>
      <c r="D54" s="11" t="s">
        <v>2367</v>
      </c>
      <c r="E54" s="4" t="s">
        <v>2299</v>
      </c>
      <c r="F54" s="118" t="n">
        <v>0.404712</v>
      </c>
      <c r="G54" s="118" t="n">
        <v>0.672768</v>
      </c>
      <c r="H54" s="118" t="n">
        <v>1.02492</v>
      </c>
      <c r="I54" s="11" t="s">
        <v>2412</v>
      </c>
      <c r="J54" s="11" t="s">
        <v>2288</v>
      </c>
    </row>
    <row r="55" customFormat="false" ht="15" hidden="false" customHeight="false" outlineLevel="0" collapsed="false">
      <c r="A55" s="4" t="s">
        <v>2413</v>
      </c>
      <c r="B55" s="4" t="s">
        <v>2414</v>
      </c>
      <c r="C55" s="3" t="s">
        <v>2415</v>
      </c>
      <c r="D55" s="11" t="s">
        <v>42</v>
      </c>
      <c r="E55" s="4" t="s">
        <v>1191</v>
      </c>
      <c r="F55" s="79"/>
      <c r="G55" s="24" t="n">
        <v>0.6</v>
      </c>
      <c r="H55" s="79"/>
      <c r="I55" s="11" t="s">
        <v>2416</v>
      </c>
      <c r="J55" s="11" t="s">
        <v>2288</v>
      </c>
    </row>
    <row r="56" customFormat="false" ht="15" hidden="false" customHeight="false" outlineLevel="0" collapsed="false">
      <c r="A56" s="4" t="s">
        <v>2417</v>
      </c>
      <c r="B56" s="4" t="s">
        <v>2418</v>
      </c>
      <c r="C56" s="3" t="s">
        <v>2419</v>
      </c>
      <c r="D56" s="11" t="s">
        <v>2420</v>
      </c>
      <c r="E56" s="4" t="s">
        <v>1191</v>
      </c>
      <c r="F56" s="118" t="n">
        <v>10.212</v>
      </c>
      <c r="G56" s="118" t="n">
        <v>12.67</v>
      </c>
      <c r="H56" s="118" t="n">
        <v>16.186</v>
      </c>
      <c r="I56" s="11" t="s">
        <v>2421</v>
      </c>
      <c r="J56" s="11" t="s">
        <v>2288</v>
      </c>
    </row>
    <row r="57" customFormat="false" ht="15" hidden="false" customHeight="false" outlineLevel="0" collapsed="false">
      <c r="A57" s="4" t="s">
        <v>2422</v>
      </c>
      <c r="B57" s="4" t="s">
        <v>2423</v>
      </c>
      <c r="C57" s="3" t="s">
        <v>2424</v>
      </c>
      <c r="D57" s="11" t="s">
        <v>2391</v>
      </c>
      <c r="E57" s="4" t="s">
        <v>1191</v>
      </c>
      <c r="F57" s="118" t="n">
        <v>1.50422814430785</v>
      </c>
      <c r="G57" s="118" t="n">
        <v>2.00846099652078</v>
      </c>
      <c r="H57" s="118" t="n">
        <v>3.25756227849869</v>
      </c>
      <c r="I57" s="11" t="s">
        <v>2425</v>
      </c>
      <c r="J57" s="11" t="s">
        <v>2288</v>
      </c>
    </row>
    <row r="58" customFormat="false" ht="15" hidden="false" customHeight="false" outlineLevel="0" collapsed="false">
      <c r="A58" s="4" t="s">
        <v>2426</v>
      </c>
      <c r="B58" s="4" t="s">
        <v>2427</v>
      </c>
      <c r="C58" s="3" t="s">
        <v>2428</v>
      </c>
      <c r="D58" s="11" t="s">
        <v>2391</v>
      </c>
      <c r="E58" s="4" t="s">
        <v>1191</v>
      </c>
      <c r="F58" s="118" t="n">
        <v>1.97574392204647</v>
      </c>
      <c r="G58" s="118" t="n">
        <v>2.55178761329595</v>
      </c>
      <c r="H58" s="118" t="n">
        <v>4.34454282544458</v>
      </c>
      <c r="I58" s="11" t="s">
        <v>2429</v>
      </c>
      <c r="J58" s="11" t="s">
        <v>2288</v>
      </c>
    </row>
    <row r="59" customFormat="false" ht="15" hidden="false" customHeight="false" outlineLevel="0" collapsed="false">
      <c r="A59" s="4" t="s">
        <v>2430</v>
      </c>
      <c r="B59" s="4" t="s">
        <v>2431</v>
      </c>
      <c r="C59" s="4" t="s">
        <v>2432</v>
      </c>
      <c r="D59" s="11" t="s">
        <v>2433</v>
      </c>
      <c r="E59" s="4" t="s">
        <v>1191</v>
      </c>
      <c r="F59" s="118" t="n">
        <v>43.9752259847248</v>
      </c>
      <c r="G59" s="118" t="n">
        <v>65.9628389770872</v>
      </c>
      <c r="H59" s="118" t="n">
        <v>87.9504519694495</v>
      </c>
      <c r="I59" s="11" t="s">
        <v>2434</v>
      </c>
      <c r="J59" s="11" t="s">
        <v>2288</v>
      </c>
    </row>
    <row r="60" customFormat="false" ht="15" hidden="false" customHeight="false" outlineLevel="0" collapsed="false">
      <c r="A60" s="4" t="s">
        <v>2435</v>
      </c>
      <c r="B60" s="4" t="s">
        <v>2436</v>
      </c>
      <c r="C60" s="4" t="s">
        <v>2437</v>
      </c>
      <c r="D60" s="6" t="s">
        <v>190</v>
      </c>
      <c r="E60" s="4" t="s">
        <v>2286</v>
      </c>
      <c r="F60" s="118" t="n">
        <v>6</v>
      </c>
      <c r="G60" s="118" t="n">
        <v>6</v>
      </c>
      <c r="H60" s="118" t="n">
        <v>4</v>
      </c>
      <c r="I60" s="11" t="s">
        <v>2438</v>
      </c>
      <c r="J60" s="11" t="s">
        <v>2288</v>
      </c>
    </row>
    <row r="61" customFormat="false" ht="15" hidden="false" customHeight="false" outlineLevel="0" collapsed="false">
      <c r="A61" s="4" t="s">
        <v>2439</v>
      </c>
      <c r="B61" s="4" t="s">
        <v>2436</v>
      </c>
      <c r="C61" s="4" t="s">
        <v>2437</v>
      </c>
      <c r="D61" s="6" t="s">
        <v>190</v>
      </c>
      <c r="E61" s="4" t="s">
        <v>2290</v>
      </c>
      <c r="F61" s="118" t="n">
        <v>6</v>
      </c>
      <c r="G61" s="118" t="n">
        <v>6</v>
      </c>
      <c r="H61" s="118" t="n">
        <v>4</v>
      </c>
      <c r="I61" s="11" t="s">
        <v>2440</v>
      </c>
      <c r="J61" s="11" t="s">
        <v>2288</v>
      </c>
    </row>
    <row r="62" customFormat="false" ht="15" hidden="false" customHeight="false" outlineLevel="0" collapsed="false">
      <c r="A62" s="4" t="s">
        <v>2441</v>
      </c>
      <c r="B62" s="4" t="s">
        <v>2436</v>
      </c>
      <c r="C62" s="4" t="s">
        <v>2437</v>
      </c>
      <c r="D62" s="6" t="s">
        <v>190</v>
      </c>
      <c r="E62" s="4" t="s">
        <v>2293</v>
      </c>
      <c r="F62" s="118" t="n">
        <v>6</v>
      </c>
      <c r="G62" s="118" t="n">
        <v>6</v>
      </c>
      <c r="H62" s="118" t="n">
        <v>4</v>
      </c>
      <c r="I62" s="11" t="s">
        <v>2442</v>
      </c>
      <c r="J62" s="11" t="s">
        <v>2288</v>
      </c>
    </row>
    <row r="63" customFormat="false" ht="15" hidden="false" customHeight="false" outlineLevel="0" collapsed="false">
      <c r="A63" s="4" t="s">
        <v>2443</v>
      </c>
      <c r="B63" s="4" t="s">
        <v>2436</v>
      </c>
      <c r="C63" s="4" t="s">
        <v>2437</v>
      </c>
      <c r="D63" s="6" t="s">
        <v>190</v>
      </c>
      <c r="E63" s="4" t="s">
        <v>2296</v>
      </c>
      <c r="F63" s="118" t="n">
        <v>6</v>
      </c>
      <c r="G63" s="118" t="n">
        <v>6</v>
      </c>
      <c r="H63" s="118" t="n">
        <v>4</v>
      </c>
      <c r="I63" s="11" t="s">
        <v>2444</v>
      </c>
      <c r="J63" s="11" t="s">
        <v>2288</v>
      </c>
    </row>
    <row r="64" customFormat="false" ht="15" hidden="false" customHeight="false" outlineLevel="0" collapsed="false">
      <c r="A64" s="4" t="s">
        <v>2445</v>
      </c>
      <c r="B64" s="4" t="s">
        <v>2436</v>
      </c>
      <c r="C64" s="4" t="s">
        <v>2437</v>
      </c>
      <c r="D64" s="6" t="s">
        <v>190</v>
      </c>
      <c r="E64" s="4" t="s">
        <v>2299</v>
      </c>
      <c r="F64" s="118" t="n">
        <v>6</v>
      </c>
      <c r="G64" s="118" t="n">
        <v>6</v>
      </c>
      <c r="H64" s="118" t="n">
        <v>4</v>
      </c>
      <c r="I64" s="11" t="s">
        <v>2446</v>
      </c>
      <c r="J64" s="11" t="s">
        <v>2288</v>
      </c>
    </row>
    <row r="65" customFormat="false" ht="15" hidden="false" customHeight="false" outlineLevel="0" collapsed="false">
      <c r="A65" s="4" t="s">
        <v>2447</v>
      </c>
      <c r="B65" s="4" t="s">
        <v>2448</v>
      </c>
      <c r="C65" s="3" t="s">
        <v>2449</v>
      </c>
      <c r="D65" s="11" t="s">
        <v>2367</v>
      </c>
      <c r="E65" s="4" t="s">
        <v>2286</v>
      </c>
      <c r="F65" s="118" t="n">
        <v>3.5700449</v>
      </c>
      <c r="G65" s="118" t="n">
        <v>4.58503566666667</v>
      </c>
      <c r="H65" s="118" t="n">
        <v>8.53018585</v>
      </c>
      <c r="I65" s="11" t="s">
        <v>2450</v>
      </c>
      <c r="J65" s="11" t="s">
        <v>2288</v>
      </c>
    </row>
    <row r="66" customFormat="false" ht="15" hidden="false" customHeight="false" outlineLevel="0" collapsed="false">
      <c r="A66" s="4" t="s">
        <v>2451</v>
      </c>
      <c r="B66" s="4" t="s">
        <v>2448</v>
      </c>
      <c r="C66" s="3" t="s">
        <v>2449</v>
      </c>
      <c r="D66" s="11" t="s">
        <v>2367</v>
      </c>
      <c r="E66" s="4" t="s">
        <v>2290</v>
      </c>
      <c r="F66" s="118" t="n">
        <v>3.4398984</v>
      </c>
      <c r="G66" s="118" t="n">
        <v>4.002529</v>
      </c>
      <c r="H66" s="118" t="n">
        <v>6.9125511</v>
      </c>
      <c r="I66" s="11" t="s">
        <v>2452</v>
      </c>
      <c r="J66" s="11" t="s">
        <v>2288</v>
      </c>
    </row>
    <row r="67" customFormat="false" ht="15" hidden="false" customHeight="false" outlineLevel="0" collapsed="false">
      <c r="A67" s="4" t="s">
        <v>2453</v>
      </c>
      <c r="B67" s="4" t="s">
        <v>2448</v>
      </c>
      <c r="C67" s="3" t="s">
        <v>2449</v>
      </c>
      <c r="D67" s="11" t="s">
        <v>2367</v>
      </c>
      <c r="E67" s="4" t="s">
        <v>2293</v>
      </c>
      <c r="F67" s="118" t="n">
        <v>4.7591504</v>
      </c>
      <c r="G67" s="118" t="n">
        <v>5.37287066666667</v>
      </c>
      <c r="H67" s="118" t="n">
        <v>9.8206516</v>
      </c>
      <c r="I67" s="11" t="s">
        <v>2454</v>
      </c>
      <c r="J67" s="11" t="s">
        <v>2288</v>
      </c>
    </row>
    <row r="68" customFormat="false" ht="15" hidden="false" customHeight="false" outlineLevel="0" collapsed="false">
      <c r="A68" s="4" t="s">
        <v>2455</v>
      </c>
      <c r="B68" s="4" t="s">
        <v>2448</v>
      </c>
      <c r="C68" s="3" t="s">
        <v>2449</v>
      </c>
      <c r="D68" s="11" t="s">
        <v>2367</v>
      </c>
      <c r="E68" s="4" t="s">
        <v>2296</v>
      </c>
      <c r="F68" s="118" t="n">
        <v>5.5455672</v>
      </c>
      <c r="G68" s="118" t="n">
        <v>6.264392</v>
      </c>
      <c r="H68" s="118" t="n">
        <v>10.6593938</v>
      </c>
      <c r="I68" s="11" t="s">
        <v>2456</v>
      </c>
      <c r="J68" s="11" t="s">
        <v>2288</v>
      </c>
    </row>
    <row r="69" customFormat="false" ht="15" hidden="false" customHeight="false" outlineLevel="0" collapsed="false">
      <c r="A69" s="4" t="s">
        <v>2457</v>
      </c>
      <c r="B69" s="4" t="s">
        <v>2448</v>
      </c>
      <c r="C69" s="3" t="s">
        <v>2449</v>
      </c>
      <c r="D69" s="11" t="s">
        <v>2367</v>
      </c>
      <c r="E69" s="4" t="s">
        <v>2299</v>
      </c>
      <c r="F69" s="118" t="n">
        <v>5.974263</v>
      </c>
      <c r="G69" s="118" t="n">
        <v>8.34763</v>
      </c>
      <c r="H69" s="118" t="n">
        <v>16.3703895</v>
      </c>
      <c r="I69" s="11" t="s">
        <v>2458</v>
      </c>
      <c r="J69" s="11" t="s">
        <v>2288</v>
      </c>
    </row>
    <row r="70" customFormat="false" ht="15" hidden="false" customHeight="false" outlineLevel="0" collapsed="false">
      <c r="A70" s="4" t="s">
        <v>2459</v>
      </c>
      <c r="B70" s="4" t="s">
        <v>2460</v>
      </c>
      <c r="C70" s="3" t="s">
        <v>2461</v>
      </c>
      <c r="D70" s="11" t="s">
        <v>2367</v>
      </c>
      <c r="E70" s="4" t="s">
        <v>2286</v>
      </c>
      <c r="F70" s="118" t="n">
        <v>0.507733333333333</v>
      </c>
      <c r="G70" s="118" t="n">
        <v>0.634416666666667</v>
      </c>
      <c r="H70" s="118" t="n">
        <v>0.812233333333334</v>
      </c>
      <c r="I70" s="11" t="s">
        <v>2462</v>
      </c>
      <c r="J70" s="11" t="s">
        <v>2288</v>
      </c>
    </row>
    <row r="71" customFormat="false" ht="15" hidden="false" customHeight="false" outlineLevel="0" collapsed="false">
      <c r="A71" s="4" t="s">
        <v>2463</v>
      </c>
      <c r="B71" s="4" t="s">
        <v>2460</v>
      </c>
      <c r="C71" s="3" t="s">
        <v>2461</v>
      </c>
      <c r="D71" s="11" t="s">
        <v>2367</v>
      </c>
      <c r="E71" s="4" t="s">
        <v>2290</v>
      </c>
      <c r="F71" s="118" t="n">
        <v>0.507733333333333</v>
      </c>
      <c r="G71" s="118" t="n">
        <v>0.634416666666667</v>
      </c>
      <c r="H71" s="118" t="n">
        <v>0.812233333333334</v>
      </c>
      <c r="I71" s="11" t="s">
        <v>2464</v>
      </c>
      <c r="J71" s="11" t="s">
        <v>2288</v>
      </c>
    </row>
    <row r="72" customFormat="false" ht="15" hidden="false" customHeight="false" outlineLevel="0" collapsed="false">
      <c r="A72" s="4" t="s">
        <v>2465</v>
      </c>
      <c r="B72" s="4" t="s">
        <v>2460</v>
      </c>
      <c r="C72" s="3" t="s">
        <v>2461</v>
      </c>
      <c r="D72" s="11" t="s">
        <v>2367</v>
      </c>
      <c r="E72" s="4" t="s">
        <v>2293</v>
      </c>
      <c r="F72" s="118" t="n">
        <v>0.507733333333333</v>
      </c>
      <c r="G72" s="118" t="n">
        <v>0.634416666666667</v>
      </c>
      <c r="H72" s="118" t="n">
        <v>0.812233333333334</v>
      </c>
      <c r="I72" s="11" t="s">
        <v>2466</v>
      </c>
      <c r="J72" s="11" t="s">
        <v>2288</v>
      </c>
    </row>
    <row r="73" customFormat="false" ht="15" hidden="false" customHeight="false" outlineLevel="0" collapsed="false">
      <c r="A73" s="4" t="s">
        <v>2467</v>
      </c>
      <c r="B73" s="4" t="s">
        <v>2460</v>
      </c>
      <c r="C73" s="3" t="s">
        <v>2461</v>
      </c>
      <c r="D73" s="11" t="s">
        <v>2367</v>
      </c>
      <c r="E73" s="4" t="s">
        <v>2296</v>
      </c>
      <c r="F73" s="118" t="n">
        <v>0.507733333333333</v>
      </c>
      <c r="G73" s="118" t="n">
        <v>0.634416666666667</v>
      </c>
      <c r="H73" s="118" t="n">
        <v>0.812233333333334</v>
      </c>
      <c r="I73" s="11" t="s">
        <v>2468</v>
      </c>
      <c r="J73" s="11" t="s">
        <v>2288</v>
      </c>
    </row>
    <row r="74" customFormat="false" ht="15" hidden="false" customHeight="false" outlineLevel="0" collapsed="false">
      <c r="A74" s="4" t="s">
        <v>2469</v>
      </c>
      <c r="B74" s="4" t="s">
        <v>2460</v>
      </c>
      <c r="C74" s="3" t="s">
        <v>2461</v>
      </c>
      <c r="D74" s="11" t="s">
        <v>2367</v>
      </c>
      <c r="E74" s="4" t="s">
        <v>2299</v>
      </c>
      <c r="F74" s="118" t="n">
        <v>0.507733333333333</v>
      </c>
      <c r="G74" s="118" t="n">
        <v>0.634416666666667</v>
      </c>
      <c r="H74" s="118" t="n">
        <v>0.812233333333334</v>
      </c>
      <c r="I74" s="11" t="s">
        <v>2470</v>
      </c>
      <c r="J74" s="11" t="s">
        <v>2288</v>
      </c>
    </row>
    <row r="75" customFormat="false" ht="15" hidden="false" customHeight="false" outlineLevel="0" collapsed="false">
      <c r="A75" s="4" t="s">
        <v>2471</v>
      </c>
      <c r="B75" s="4" t="s">
        <v>2472</v>
      </c>
      <c r="C75" s="3" t="s">
        <v>2473</v>
      </c>
      <c r="D75" s="11" t="s">
        <v>42</v>
      </c>
      <c r="E75" s="4" t="s">
        <v>2286</v>
      </c>
      <c r="F75" s="24" t="n">
        <v>0.7</v>
      </c>
      <c r="G75" s="24" t="n">
        <v>0.8</v>
      </c>
      <c r="H75" s="24" t="n">
        <v>0.9</v>
      </c>
      <c r="I75" s="11" t="s">
        <v>2474</v>
      </c>
      <c r="J75" s="11" t="s">
        <v>2288</v>
      </c>
    </row>
    <row r="76" customFormat="false" ht="15" hidden="false" customHeight="false" outlineLevel="0" collapsed="false">
      <c r="A76" s="4" t="s">
        <v>2475</v>
      </c>
      <c r="B76" s="4" t="s">
        <v>2472</v>
      </c>
      <c r="C76" s="3" t="s">
        <v>2473</v>
      </c>
      <c r="D76" s="11" t="s">
        <v>42</v>
      </c>
      <c r="E76" s="4" t="s">
        <v>2290</v>
      </c>
      <c r="F76" s="24" t="n">
        <v>0.7</v>
      </c>
      <c r="G76" s="24" t="n">
        <v>0.8</v>
      </c>
      <c r="H76" s="24" t="n">
        <v>0.9</v>
      </c>
      <c r="I76" s="11" t="s">
        <v>2476</v>
      </c>
      <c r="J76" s="11" t="s">
        <v>2288</v>
      </c>
    </row>
    <row r="77" customFormat="false" ht="15" hidden="false" customHeight="false" outlineLevel="0" collapsed="false">
      <c r="A77" s="4" t="s">
        <v>2477</v>
      </c>
      <c r="B77" s="4" t="s">
        <v>2472</v>
      </c>
      <c r="C77" s="3" t="s">
        <v>2473</v>
      </c>
      <c r="D77" s="11" t="s">
        <v>42</v>
      </c>
      <c r="E77" s="4" t="s">
        <v>2293</v>
      </c>
      <c r="F77" s="24" t="n">
        <v>0.7</v>
      </c>
      <c r="G77" s="24" t="n">
        <v>0.8</v>
      </c>
      <c r="H77" s="24" t="n">
        <v>0.9</v>
      </c>
      <c r="I77" s="11" t="s">
        <v>2478</v>
      </c>
      <c r="J77" s="11" t="s">
        <v>2288</v>
      </c>
    </row>
    <row r="78" customFormat="false" ht="15" hidden="false" customHeight="false" outlineLevel="0" collapsed="false">
      <c r="A78" s="4" t="s">
        <v>2479</v>
      </c>
      <c r="B78" s="4" t="s">
        <v>2472</v>
      </c>
      <c r="C78" s="3" t="s">
        <v>2473</v>
      </c>
      <c r="D78" s="11" t="s">
        <v>42</v>
      </c>
      <c r="E78" s="4" t="s">
        <v>2296</v>
      </c>
      <c r="F78" s="24" t="n">
        <v>0.7</v>
      </c>
      <c r="G78" s="24" t="n">
        <v>0.8</v>
      </c>
      <c r="H78" s="24" t="n">
        <v>0.9</v>
      </c>
      <c r="I78" s="11" t="s">
        <v>2480</v>
      </c>
      <c r="J78" s="11" t="s">
        <v>2288</v>
      </c>
    </row>
    <row r="79" customFormat="false" ht="15" hidden="false" customHeight="false" outlineLevel="0" collapsed="false">
      <c r="A79" s="4" t="s">
        <v>2481</v>
      </c>
      <c r="B79" s="4" t="s">
        <v>2472</v>
      </c>
      <c r="C79" s="3" t="s">
        <v>2473</v>
      </c>
      <c r="D79" s="11" t="s">
        <v>42</v>
      </c>
      <c r="E79" s="4" t="s">
        <v>2299</v>
      </c>
      <c r="F79" s="24" t="n">
        <v>0.7</v>
      </c>
      <c r="G79" s="24" t="n">
        <v>0.8</v>
      </c>
      <c r="H79" s="24" t="n">
        <v>0.9</v>
      </c>
      <c r="I79" s="11" t="s">
        <v>2482</v>
      </c>
      <c r="J79" s="11" t="s">
        <v>2288</v>
      </c>
    </row>
    <row r="80" customFormat="false" ht="15" hidden="false" customHeight="false" outlineLevel="0" collapsed="false">
      <c r="A80" s="4" t="s">
        <v>2483</v>
      </c>
      <c r="B80" s="4" t="s">
        <v>2484</v>
      </c>
      <c r="C80" s="3" t="s">
        <v>297</v>
      </c>
      <c r="D80" s="11" t="s">
        <v>2485</v>
      </c>
      <c r="E80" s="4" t="s">
        <v>2286</v>
      </c>
      <c r="F80" s="118" t="n">
        <v>0.06</v>
      </c>
      <c r="G80" s="118" t="n">
        <v>0.08</v>
      </c>
      <c r="H80" s="118" t="n">
        <v>0.1</v>
      </c>
      <c r="I80" s="11" t="s">
        <v>2486</v>
      </c>
      <c r="J80" s="11" t="s">
        <v>2288</v>
      </c>
    </row>
    <row r="81" customFormat="false" ht="15" hidden="false" customHeight="false" outlineLevel="0" collapsed="false">
      <c r="A81" s="4" t="s">
        <v>2487</v>
      </c>
      <c r="B81" s="4" t="s">
        <v>2484</v>
      </c>
      <c r="C81" s="3" t="s">
        <v>297</v>
      </c>
      <c r="D81" s="11" t="s">
        <v>2485</v>
      </c>
      <c r="E81" s="4" t="s">
        <v>2290</v>
      </c>
      <c r="F81" s="118" t="n">
        <v>0.06</v>
      </c>
      <c r="G81" s="118" t="n">
        <v>0.08</v>
      </c>
      <c r="H81" s="118" t="n">
        <v>0.1</v>
      </c>
      <c r="I81" s="11" t="s">
        <v>2488</v>
      </c>
      <c r="J81" s="11" t="s">
        <v>2288</v>
      </c>
    </row>
    <row r="82" customFormat="false" ht="15" hidden="false" customHeight="false" outlineLevel="0" collapsed="false">
      <c r="A82" s="4" t="s">
        <v>2489</v>
      </c>
      <c r="B82" s="4" t="s">
        <v>2484</v>
      </c>
      <c r="C82" s="3" t="s">
        <v>297</v>
      </c>
      <c r="D82" s="11" t="s">
        <v>2485</v>
      </c>
      <c r="E82" s="4" t="s">
        <v>2293</v>
      </c>
      <c r="F82" s="118" t="n">
        <v>0.06</v>
      </c>
      <c r="G82" s="118" t="n">
        <v>0.08</v>
      </c>
      <c r="H82" s="118" t="n">
        <v>0.1</v>
      </c>
      <c r="I82" s="11" t="s">
        <v>2490</v>
      </c>
      <c r="J82" s="11" t="s">
        <v>2288</v>
      </c>
    </row>
    <row r="83" customFormat="false" ht="15" hidden="false" customHeight="false" outlineLevel="0" collapsed="false">
      <c r="A83" s="4" t="s">
        <v>2491</v>
      </c>
      <c r="B83" s="4" t="s">
        <v>2484</v>
      </c>
      <c r="C83" s="3" t="s">
        <v>297</v>
      </c>
      <c r="D83" s="11" t="s">
        <v>2485</v>
      </c>
      <c r="E83" s="4" t="s">
        <v>2296</v>
      </c>
      <c r="F83" s="118" t="n">
        <v>0.06</v>
      </c>
      <c r="G83" s="118" t="n">
        <v>0.08</v>
      </c>
      <c r="H83" s="118" t="n">
        <v>0.1</v>
      </c>
      <c r="I83" s="11" t="s">
        <v>2492</v>
      </c>
      <c r="J83" s="11" t="s">
        <v>2288</v>
      </c>
    </row>
    <row r="84" customFormat="false" ht="15" hidden="false" customHeight="false" outlineLevel="0" collapsed="false">
      <c r="A84" s="4" t="s">
        <v>2493</v>
      </c>
      <c r="B84" s="4" t="s">
        <v>2484</v>
      </c>
      <c r="C84" s="3" t="s">
        <v>297</v>
      </c>
      <c r="D84" s="11" t="s">
        <v>2485</v>
      </c>
      <c r="E84" s="4" t="s">
        <v>2299</v>
      </c>
      <c r="F84" s="118" t="n">
        <v>0.06</v>
      </c>
      <c r="G84" s="118" t="n">
        <v>0.08</v>
      </c>
      <c r="H84" s="118" t="n">
        <v>0.1</v>
      </c>
      <c r="I84" s="11" t="s">
        <v>2494</v>
      </c>
      <c r="J84" s="11" t="s">
        <v>2288</v>
      </c>
    </row>
    <row r="85" customFormat="false" ht="15" hidden="false" customHeight="false" outlineLevel="0" collapsed="false">
      <c r="A85" s="4" t="s">
        <v>2495</v>
      </c>
      <c r="B85" s="4" t="s">
        <v>2496</v>
      </c>
      <c r="C85" s="3" t="s">
        <v>2497</v>
      </c>
      <c r="D85" s="11" t="s">
        <v>2367</v>
      </c>
      <c r="E85" s="4" t="s">
        <v>2286</v>
      </c>
      <c r="F85" s="118" t="n">
        <v>0.219436730882534</v>
      </c>
      <c r="G85" s="118" t="n">
        <v>0.43259841019734</v>
      </c>
      <c r="H85" s="118" t="n">
        <v>0.6226274060112</v>
      </c>
      <c r="I85" s="11" t="s">
        <v>2498</v>
      </c>
      <c r="J85" s="11" t="s">
        <v>2288</v>
      </c>
    </row>
    <row r="86" customFormat="false" ht="15" hidden="false" customHeight="false" outlineLevel="0" collapsed="false">
      <c r="A86" s="4" t="s">
        <v>2499</v>
      </c>
      <c r="B86" s="4" t="s">
        <v>2496</v>
      </c>
      <c r="C86" s="3" t="s">
        <v>2497</v>
      </c>
      <c r="D86" s="11" t="s">
        <v>2367</v>
      </c>
      <c r="E86" s="4" t="s">
        <v>2290</v>
      </c>
      <c r="F86" s="118" t="n">
        <v>0.211437133315623</v>
      </c>
      <c r="G86" s="118" t="n">
        <v>0.377638868712999</v>
      </c>
      <c r="H86" s="118" t="n">
        <v>0.504554512175472</v>
      </c>
      <c r="I86" s="11" t="s">
        <v>2500</v>
      </c>
      <c r="J86" s="11" t="s">
        <v>2288</v>
      </c>
    </row>
    <row r="87" customFormat="false" ht="15" hidden="false" customHeight="false" outlineLevel="0" collapsed="false">
      <c r="A87" s="4" t="s">
        <v>2501</v>
      </c>
      <c r="B87" s="4" t="s">
        <v>2496</v>
      </c>
      <c r="C87" s="3" t="s">
        <v>2497</v>
      </c>
      <c r="D87" s="11" t="s">
        <v>2367</v>
      </c>
      <c r="E87" s="4" t="s">
        <v>2293</v>
      </c>
      <c r="F87" s="118" t="n">
        <v>0.292526406475813</v>
      </c>
      <c r="G87" s="118" t="n">
        <v>0.506930693144573</v>
      </c>
      <c r="H87" s="118" t="n">
        <v>0.716819883947515</v>
      </c>
      <c r="I87" s="11" t="s">
        <v>2502</v>
      </c>
      <c r="J87" s="11" t="s">
        <v>2288</v>
      </c>
    </row>
    <row r="88" customFormat="false" ht="15" hidden="false" customHeight="false" outlineLevel="0" collapsed="false">
      <c r="A88" s="4" t="s">
        <v>2503</v>
      </c>
      <c r="B88" s="4" t="s">
        <v>2496</v>
      </c>
      <c r="C88" s="3" t="s">
        <v>2497</v>
      </c>
      <c r="D88" s="11" t="s">
        <v>2367</v>
      </c>
      <c r="E88" s="4" t="s">
        <v>2296</v>
      </c>
      <c r="F88" s="118" t="n">
        <v>0.340864378836638</v>
      </c>
      <c r="G88" s="118" t="n">
        <v>0.591045788314028</v>
      </c>
      <c r="H88" s="118" t="n">
        <v>0.778040575909124</v>
      </c>
      <c r="I88" s="11" t="s">
        <v>2504</v>
      </c>
      <c r="J88" s="11" t="s">
        <v>2288</v>
      </c>
    </row>
    <row r="89" customFormat="false" ht="15" hidden="false" customHeight="false" outlineLevel="0" collapsed="false">
      <c r="A89" s="4" t="s">
        <v>2505</v>
      </c>
      <c r="B89" s="4" t="s">
        <v>2496</v>
      </c>
      <c r="C89" s="3" t="s">
        <v>2497</v>
      </c>
      <c r="D89" s="11" t="s">
        <v>2367</v>
      </c>
      <c r="E89" s="4" t="s">
        <v>2299</v>
      </c>
      <c r="F89" s="118" t="n">
        <v>0.367214637035091</v>
      </c>
      <c r="G89" s="118" t="n">
        <v>0.787599427670528</v>
      </c>
      <c r="H89" s="118" t="n">
        <v>1.19489227186978</v>
      </c>
      <c r="I89" s="11" t="s">
        <v>2506</v>
      </c>
      <c r="J89" s="11" t="s">
        <v>2288</v>
      </c>
    </row>
    <row r="90" customFormat="false" ht="15" hidden="false" customHeight="false" outlineLevel="0" collapsed="false">
      <c r="A90" s="4" t="s">
        <v>2507</v>
      </c>
      <c r="B90" s="4" t="s">
        <v>2508</v>
      </c>
      <c r="C90" s="3" t="s">
        <v>2509</v>
      </c>
      <c r="D90" s="11" t="s">
        <v>2367</v>
      </c>
      <c r="E90" s="4" t="s">
        <v>2286</v>
      </c>
      <c r="F90" s="118" t="n">
        <v>0.15318</v>
      </c>
      <c r="G90" s="118" t="n">
        <v>0.2534</v>
      </c>
      <c r="H90" s="118" t="n">
        <v>0.40465</v>
      </c>
      <c r="I90" s="11" t="s">
        <v>2510</v>
      </c>
      <c r="J90" s="11" t="s">
        <v>2288</v>
      </c>
    </row>
    <row r="91" customFormat="false" ht="15" hidden="false" customHeight="false" outlineLevel="0" collapsed="false">
      <c r="A91" s="4" t="s">
        <v>2511</v>
      </c>
      <c r="B91" s="4" t="s">
        <v>2508</v>
      </c>
      <c r="C91" s="3" t="s">
        <v>2509</v>
      </c>
      <c r="D91" s="11" t="s">
        <v>2367</v>
      </c>
      <c r="E91" s="4" t="s">
        <v>2290</v>
      </c>
      <c r="F91" s="118" t="n">
        <v>0.15318</v>
      </c>
      <c r="G91" s="118" t="n">
        <v>0.2534</v>
      </c>
      <c r="H91" s="118" t="n">
        <v>0.40465</v>
      </c>
      <c r="I91" s="11" t="s">
        <v>2512</v>
      </c>
      <c r="J91" s="11" t="s">
        <v>2288</v>
      </c>
    </row>
    <row r="92" customFormat="false" ht="15" hidden="false" customHeight="false" outlineLevel="0" collapsed="false">
      <c r="A92" s="4" t="s">
        <v>2513</v>
      </c>
      <c r="B92" s="4" t="s">
        <v>2508</v>
      </c>
      <c r="C92" s="3" t="s">
        <v>2509</v>
      </c>
      <c r="D92" s="11" t="s">
        <v>2367</v>
      </c>
      <c r="E92" s="4" t="s">
        <v>2293</v>
      </c>
      <c r="F92" s="118" t="n">
        <v>0.15318</v>
      </c>
      <c r="G92" s="118" t="n">
        <v>0.2534</v>
      </c>
      <c r="H92" s="118" t="n">
        <v>0.40465</v>
      </c>
      <c r="I92" s="11" t="s">
        <v>2514</v>
      </c>
      <c r="J92" s="11" t="s">
        <v>2288</v>
      </c>
    </row>
    <row r="93" customFormat="false" ht="15" hidden="false" customHeight="false" outlineLevel="0" collapsed="false">
      <c r="A93" s="4" t="s">
        <v>2515</v>
      </c>
      <c r="B93" s="4" t="s">
        <v>2508</v>
      </c>
      <c r="C93" s="3" t="s">
        <v>2509</v>
      </c>
      <c r="D93" s="11" t="s">
        <v>2367</v>
      </c>
      <c r="E93" s="4" t="s">
        <v>2296</v>
      </c>
      <c r="F93" s="118" t="n">
        <v>0.15318</v>
      </c>
      <c r="G93" s="118" t="n">
        <v>0.2534</v>
      </c>
      <c r="H93" s="118" t="n">
        <v>0.40465</v>
      </c>
      <c r="I93" s="11" t="s">
        <v>2516</v>
      </c>
      <c r="J93" s="11" t="s">
        <v>2288</v>
      </c>
    </row>
    <row r="94" customFormat="false" ht="15" hidden="false" customHeight="false" outlineLevel="0" collapsed="false">
      <c r="A94" s="4" t="s">
        <v>2517</v>
      </c>
      <c r="B94" s="4" t="s">
        <v>2508</v>
      </c>
      <c r="C94" s="3" t="s">
        <v>2509</v>
      </c>
      <c r="D94" s="11" t="s">
        <v>2367</v>
      </c>
      <c r="E94" s="4" t="s">
        <v>2299</v>
      </c>
      <c r="F94" s="118" t="n">
        <v>0.15318</v>
      </c>
      <c r="G94" s="118" t="n">
        <v>0.2534</v>
      </c>
      <c r="H94" s="118" t="n">
        <v>0.40465</v>
      </c>
      <c r="I94" s="11" t="s">
        <v>2518</v>
      </c>
      <c r="J94" s="11" t="s">
        <v>2288</v>
      </c>
    </row>
    <row r="95" customFormat="false" ht="15" hidden="false" customHeight="false" outlineLevel="0" collapsed="false">
      <c r="A95" s="4" t="s">
        <v>2519</v>
      </c>
      <c r="B95" s="4" t="s">
        <v>2520</v>
      </c>
      <c r="C95" s="3" t="s">
        <v>2521</v>
      </c>
      <c r="D95" s="11" t="s">
        <v>2367</v>
      </c>
      <c r="E95" s="4" t="s">
        <v>2286</v>
      </c>
      <c r="F95" s="118" t="n">
        <v>0.24</v>
      </c>
      <c r="G95" s="118" t="n">
        <v>0.325</v>
      </c>
      <c r="H95" s="118" t="n">
        <v>0.41</v>
      </c>
      <c r="I95" s="11" t="s">
        <v>2522</v>
      </c>
      <c r="J95" s="11" t="s">
        <v>2288</v>
      </c>
    </row>
    <row r="96" customFormat="false" ht="15" hidden="false" customHeight="false" outlineLevel="0" collapsed="false">
      <c r="A96" s="4" t="s">
        <v>2523</v>
      </c>
      <c r="B96" s="4" t="s">
        <v>2520</v>
      </c>
      <c r="C96" s="3" t="s">
        <v>2521</v>
      </c>
      <c r="D96" s="11" t="s">
        <v>2367</v>
      </c>
      <c r="E96" s="4" t="s">
        <v>2290</v>
      </c>
      <c r="F96" s="118" t="n">
        <v>0.24</v>
      </c>
      <c r="G96" s="118" t="n">
        <v>0.325</v>
      </c>
      <c r="H96" s="118" t="n">
        <v>0.41</v>
      </c>
      <c r="I96" s="11" t="s">
        <v>2524</v>
      </c>
      <c r="J96" s="11" t="s">
        <v>2288</v>
      </c>
    </row>
    <row r="97" customFormat="false" ht="15" hidden="false" customHeight="false" outlineLevel="0" collapsed="false">
      <c r="A97" s="4" t="s">
        <v>2525</v>
      </c>
      <c r="B97" s="4" t="s">
        <v>2520</v>
      </c>
      <c r="C97" s="3" t="s">
        <v>2521</v>
      </c>
      <c r="D97" s="11" t="s">
        <v>2367</v>
      </c>
      <c r="E97" s="4" t="s">
        <v>2293</v>
      </c>
      <c r="F97" s="118" t="n">
        <v>0.24</v>
      </c>
      <c r="G97" s="118" t="n">
        <v>0.325</v>
      </c>
      <c r="H97" s="118" t="n">
        <v>0.41</v>
      </c>
      <c r="I97" s="11" t="s">
        <v>2526</v>
      </c>
      <c r="J97" s="11" t="s">
        <v>2288</v>
      </c>
    </row>
    <row r="98" customFormat="false" ht="15" hidden="false" customHeight="false" outlineLevel="0" collapsed="false">
      <c r="A98" s="4" t="s">
        <v>2527</v>
      </c>
      <c r="B98" s="4" t="s">
        <v>2520</v>
      </c>
      <c r="C98" s="3" t="s">
        <v>2521</v>
      </c>
      <c r="D98" s="11" t="s">
        <v>2367</v>
      </c>
      <c r="E98" s="4" t="s">
        <v>2296</v>
      </c>
      <c r="F98" s="118" t="n">
        <v>0.24</v>
      </c>
      <c r="G98" s="118" t="n">
        <v>0.325</v>
      </c>
      <c r="H98" s="118" t="n">
        <v>0.41</v>
      </c>
      <c r="I98" s="11" t="s">
        <v>2528</v>
      </c>
      <c r="J98" s="11" t="s">
        <v>2288</v>
      </c>
    </row>
    <row r="99" customFormat="false" ht="15" hidden="false" customHeight="false" outlineLevel="0" collapsed="false">
      <c r="A99" s="4" t="s">
        <v>2529</v>
      </c>
      <c r="B99" s="4" t="s">
        <v>2520</v>
      </c>
      <c r="C99" s="3" t="s">
        <v>2521</v>
      </c>
      <c r="D99" s="11" t="s">
        <v>2367</v>
      </c>
      <c r="E99" s="4" t="s">
        <v>2299</v>
      </c>
      <c r="F99" s="118" t="n">
        <v>0.24</v>
      </c>
      <c r="G99" s="118" t="n">
        <v>0.325</v>
      </c>
      <c r="H99" s="118" t="n">
        <v>0.41</v>
      </c>
      <c r="I99" s="11" t="s">
        <v>2530</v>
      </c>
      <c r="J99" s="11" t="s">
        <v>2288</v>
      </c>
    </row>
    <row r="100" customFormat="false" ht="15" hidden="false" customHeight="false" outlineLevel="0" collapsed="false">
      <c r="A100" s="4" t="s">
        <v>2531</v>
      </c>
      <c r="B100" s="4" t="s">
        <v>2532</v>
      </c>
      <c r="C100" s="3" t="s">
        <v>2533</v>
      </c>
      <c r="D100" s="11" t="s">
        <v>2367</v>
      </c>
      <c r="E100" s="4" t="s">
        <v>2286</v>
      </c>
      <c r="F100" s="118" t="n">
        <v>0.0948968082</v>
      </c>
      <c r="G100" s="118" t="n">
        <v>0.20090107</v>
      </c>
      <c r="H100" s="118" t="n">
        <v>0.4024539472</v>
      </c>
      <c r="I100" s="11" t="s">
        <v>2534</v>
      </c>
      <c r="J100" s="11" t="s">
        <v>2288</v>
      </c>
    </row>
    <row r="101" customFormat="false" ht="15" hidden="false" customHeight="false" outlineLevel="0" collapsed="false">
      <c r="A101" s="4" t="s">
        <v>2535</v>
      </c>
      <c r="B101" s="4" t="s">
        <v>2532</v>
      </c>
      <c r="C101" s="3" t="s">
        <v>2533</v>
      </c>
      <c r="D101" s="11" t="s">
        <v>2367</v>
      </c>
      <c r="E101" s="4" t="s">
        <v>2290</v>
      </c>
      <c r="F101" s="118" t="n">
        <v>0.0925541712</v>
      </c>
      <c r="G101" s="118" t="n">
        <v>0.18342587</v>
      </c>
      <c r="H101" s="118" t="n">
        <v>0.3506896352</v>
      </c>
      <c r="I101" s="11" t="s">
        <v>2536</v>
      </c>
      <c r="J101" s="11" t="s">
        <v>2288</v>
      </c>
    </row>
    <row r="102" customFormat="false" ht="15" hidden="false" customHeight="false" outlineLevel="0" collapsed="false">
      <c r="A102" s="4" t="s">
        <v>2537</v>
      </c>
      <c r="B102" s="4" t="s">
        <v>2532</v>
      </c>
      <c r="C102" s="3" t="s">
        <v>2533</v>
      </c>
      <c r="D102" s="11" t="s">
        <v>2367</v>
      </c>
      <c r="E102" s="4" t="s">
        <v>2293</v>
      </c>
      <c r="F102" s="118" t="n">
        <v>0.1163007072</v>
      </c>
      <c r="G102" s="118" t="n">
        <v>0.22453612</v>
      </c>
      <c r="H102" s="118" t="n">
        <v>0.4437488512</v>
      </c>
      <c r="I102" s="11" t="s">
        <v>2538</v>
      </c>
      <c r="J102" s="11" t="s">
        <v>2288</v>
      </c>
    </row>
    <row r="103" customFormat="false" ht="15" hidden="false" customHeight="false" outlineLevel="0" collapsed="false">
      <c r="A103" s="4" t="s">
        <v>2539</v>
      </c>
      <c r="B103" s="4" t="s">
        <v>2532</v>
      </c>
      <c r="C103" s="3" t="s">
        <v>2533</v>
      </c>
      <c r="D103" s="11" t="s">
        <v>2367</v>
      </c>
      <c r="E103" s="4" t="s">
        <v>2296</v>
      </c>
      <c r="F103" s="118" t="n">
        <v>0.1304562096</v>
      </c>
      <c r="G103" s="118" t="n">
        <v>0.25128176</v>
      </c>
      <c r="H103" s="118" t="n">
        <v>0.4705886016</v>
      </c>
      <c r="I103" s="11" t="s">
        <v>2540</v>
      </c>
      <c r="J103" s="11" t="s">
        <v>2288</v>
      </c>
    </row>
    <row r="104" customFormat="false" ht="15" hidden="false" customHeight="false" outlineLevel="0" collapsed="false">
      <c r="A104" s="4" t="s">
        <v>2541</v>
      </c>
      <c r="B104" s="4" t="s">
        <v>2532</v>
      </c>
      <c r="C104" s="3" t="s">
        <v>2533</v>
      </c>
      <c r="D104" s="11" t="s">
        <v>2367</v>
      </c>
      <c r="E104" s="4" t="s">
        <v>2299</v>
      </c>
      <c r="F104" s="118" t="n">
        <v>0.138172734</v>
      </c>
      <c r="G104" s="118" t="n">
        <v>0.3137789</v>
      </c>
      <c r="H104" s="118" t="n">
        <v>0.653340464</v>
      </c>
      <c r="I104" s="11" t="s">
        <v>2542</v>
      </c>
      <c r="J104" s="11" t="s">
        <v>2288</v>
      </c>
    </row>
    <row r="105" customFormat="false" ht="15" hidden="false" customHeight="false" outlineLevel="0" collapsed="false">
      <c r="A105" s="4" t="s">
        <v>2543</v>
      </c>
      <c r="B105" s="4" t="s">
        <v>2544</v>
      </c>
      <c r="C105" s="3" t="s">
        <v>2545</v>
      </c>
      <c r="D105" s="11" t="s">
        <v>2367</v>
      </c>
      <c r="E105" s="4" t="s">
        <v>2286</v>
      </c>
      <c r="F105" s="118" t="n">
        <v>1.11222553908253</v>
      </c>
      <c r="G105" s="118" t="n">
        <v>1.88466748019734</v>
      </c>
      <c r="H105" s="118" t="n">
        <v>2.8646513532112</v>
      </c>
      <c r="I105" s="11" t="s">
        <v>2546</v>
      </c>
      <c r="J105" s="11" t="s">
        <v>2288</v>
      </c>
    </row>
    <row r="106" customFormat="false" ht="15" hidden="false" customHeight="false" outlineLevel="0" collapsed="false">
      <c r="A106" s="4" t="s">
        <v>2547</v>
      </c>
      <c r="B106" s="4" t="s">
        <v>2544</v>
      </c>
      <c r="C106" s="3" t="s">
        <v>2545</v>
      </c>
      <c r="D106" s="11" t="s">
        <v>2367</v>
      </c>
      <c r="E106" s="4" t="s">
        <v>2290</v>
      </c>
      <c r="F106" s="118" t="n">
        <v>1.10188330451562</v>
      </c>
      <c r="G106" s="118" t="n">
        <v>1.812232738713</v>
      </c>
      <c r="H106" s="118" t="n">
        <v>2.69481414737547</v>
      </c>
      <c r="I106" s="11" t="s">
        <v>2548</v>
      </c>
      <c r="J106" s="11" t="s">
        <v>2288</v>
      </c>
    </row>
    <row r="107" customFormat="false" ht="15" hidden="false" customHeight="false" outlineLevel="0" collapsed="false">
      <c r="A107" s="4" t="s">
        <v>2549</v>
      </c>
      <c r="B107" s="4" t="s">
        <v>2544</v>
      </c>
      <c r="C107" s="3" t="s">
        <v>2545</v>
      </c>
      <c r="D107" s="11" t="s">
        <v>2367</v>
      </c>
      <c r="E107" s="4" t="s">
        <v>2293</v>
      </c>
      <c r="F107" s="118" t="n">
        <v>1.20671911367581</v>
      </c>
      <c r="G107" s="118" t="n">
        <v>1.98263481314457</v>
      </c>
      <c r="H107" s="118" t="n">
        <v>3.00013873514752</v>
      </c>
      <c r="I107" s="11" t="s">
        <v>2550</v>
      </c>
      <c r="J107" s="11" t="s">
        <v>2288</v>
      </c>
    </row>
    <row r="108" customFormat="false" ht="15" hidden="false" customHeight="false" outlineLevel="0" collapsed="false">
      <c r="A108" s="4" t="s">
        <v>2551</v>
      </c>
      <c r="B108" s="4" t="s">
        <v>2544</v>
      </c>
      <c r="C108" s="3" t="s">
        <v>2545</v>
      </c>
      <c r="D108" s="11" t="s">
        <v>2367</v>
      </c>
      <c r="E108" s="4" t="s">
        <v>2296</v>
      </c>
      <c r="F108" s="118" t="n">
        <v>1.26921258843664</v>
      </c>
      <c r="G108" s="118" t="n">
        <v>2.09349554831403</v>
      </c>
      <c r="H108" s="118" t="n">
        <v>3.08819917750912</v>
      </c>
      <c r="I108" s="11" t="s">
        <v>2552</v>
      </c>
      <c r="J108" s="11" t="s">
        <v>2288</v>
      </c>
    </row>
    <row r="109" customFormat="false" ht="15" hidden="false" customHeight="false" outlineLevel="0" collapsed="false">
      <c r="A109" s="4" t="s">
        <v>2553</v>
      </c>
      <c r="B109" s="4" t="s">
        <v>2544</v>
      </c>
      <c r="C109" s="3" t="s">
        <v>2545</v>
      </c>
      <c r="D109" s="11" t="s">
        <v>2367</v>
      </c>
      <c r="E109" s="4" t="s">
        <v>2299</v>
      </c>
      <c r="F109" s="118" t="n">
        <v>1.30327937103509</v>
      </c>
      <c r="G109" s="118" t="n">
        <v>2.35254632767053</v>
      </c>
      <c r="H109" s="118" t="n">
        <v>3.68780273586978</v>
      </c>
      <c r="I109" s="11" t="s">
        <v>2554</v>
      </c>
      <c r="J109" s="11" t="s">
        <v>2288</v>
      </c>
    </row>
    <row r="110" customFormat="false" ht="15" hidden="false" customHeight="false" outlineLevel="0" collapsed="false">
      <c r="A110" s="4" t="s">
        <v>2555</v>
      </c>
      <c r="B110" s="4" t="s">
        <v>1258</v>
      </c>
      <c r="C110" s="3" t="s">
        <v>2556</v>
      </c>
      <c r="D110" s="11" t="s">
        <v>2367</v>
      </c>
      <c r="E110" s="4" t="s">
        <v>2286</v>
      </c>
      <c r="F110" s="118" t="n">
        <v>6.68304023377571</v>
      </c>
      <c r="G110" s="118" t="n">
        <v>6.68304023377571</v>
      </c>
      <c r="H110" s="118" t="n">
        <v>6.68304023377571</v>
      </c>
      <c r="I110" s="11" t="s">
        <v>2557</v>
      </c>
      <c r="J110" s="11" t="s">
        <v>2288</v>
      </c>
    </row>
    <row r="111" customFormat="false" ht="15" hidden="false" customHeight="false" outlineLevel="0" collapsed="false">
      <c r="A111" s="4" t="s">
        <v>2558</v>
      </c>
      <c r="B111" s="4" t="s">
        <v>1258</v>
      </c>
      <c r="C111" s="3" t="s">
        <v>2556</v>
      </c>
      <c r="D111" s="11" t="s">
        <v>2367</v>
      </c>
      <c r="E111" s="4" t="s">
        <v>2290</v>
      </c>
      <c r="F111" s="118" t="n">
        <v>32.8855044002063</v>
      </c>
      <c r="G111" s="118" t="n">
        <v>32.8855044002063</v>
      </c>
      <c r="H111" s="118" t="n">
        <v>32.8855044002063</v>
      </c>
      <c r="I111" s="11" t="s">
        <v>2559</v>
      </c>
      <c r="J111" s="11" t="s">
        <v>2288</v>
      </c>
    </row>
    <row r="112" customFormat="false" ht="15" hidden="false" customHeight="false" outlineLevel="0" collapsed="false">
      <c r="A112" s="4" t="s">
        <v>2560</v>
      </c>
      <c r="B112" s="4" t="s">
        <v>1258</v>
      </c>
      <c r="C112" s="3" t="s">
        <v>2556</v>
      </c>
      <c r="D112" s="11" t="s">
        <v>2367</v>
      </c>
      <c r="E112" s="4" t="s">
        <v>2293</v>
      </c>
      <c r="F112" s="118" t="n">
        <v>40.1114652107936</v>
      </c>
      <c r="G112" s="118" t="n">
        <v>40.1114652107936</v>
      </c>
      <c r="H112" s="118" t="n">
        <v>40.1114652107936</v>
      </c>
      <c r="I112" s="11" t="s">
        <v>2561</v>
      </c>
      <c r="J112" s="11" t="s">
        <v>2288</v>
      </c>
    </row>
    <row r="113" customFormat="false" ht="15" hidden="false" customHeight="false" outlineLevel="0" collapsed="false">
      <c r="A113" s="4" t="s">
        <v>2562</v>
      </c>
      <c r="B113" s="4" t="s">
        <v>1258</v>
      </c>
      <c r="C113" s="3" t="s">
        <v>2556</v>
      </c>
      <c r="D113" s="11" t="s">
        <v>2367</v>
      </c>
      <c r="E113" s="4" t="s">
        <v>2296</v>
      </c>
      <c r="F113" s="118" t="n">
        <v>65.9628389770872</v>
      </c>
      <c r="G113" s="118" t="n">
        <v>65.9628389770872</v>
      </c>
      <c r="H113" s="118" t="n">
        <v>65.9628389770872</v>
      </c>
      <c r="I113" s="11" t="s">
        <v>2563</v>
      </c>
      <c r="J113" s="11" t="s">
        <v>2288</v>
      </c>
    </row>
    <row r="114" customFormat="false" ht="15" hidden="false" customHeight="false" outlineLevel="0" collapsed="false">
      <c r="A114" s="4" t="s">
        <v>2564</v>
      </c>
      <c r="B114" s="4" t="s">
        <v>1258</v>
      </c>
      <c r="C114" s="3" t="s">
        <v>2556</v>
      </c>
      <c r="D114" s="11" t="s">
        <v>2367</v>
      </c>
      <c r="E114" s="4" t="s">
        <v>2299</v>
      </c>
      <c r="F114" s="118" t="n">
        <v>91.6051270761894</v>
      </c>
      <c r="G114" s="118" t="n">
        <v>91.6051270761894</v>
      </c>
      <c r="H114" s="118" t="n">
        <v>91.6051270761894</v>
      </c>
      <c r="I114" s="11" t="s">
        <v>2565</v>
      </c>
      <c r="J114" s="11" t="s">
        <v>2288</v>
      </c>
    </row>
    <row r="115" customFormat="false" ht="15" hidden="false" customHeight="false" outlineLevel="0" collapsed="false">
      <c r="A115" s="4" t="s">
        <v>2566</v>
      </c>
      <c r="B115" s="4" t="s">
        <v>2567</v>
      </c>
      <c r="C115" s="3" t="s">
        <v>2568</v>
      </c>
      <c r="D115" s="11" t="s">
        <v>2367</v>
      </c>
      <c r="E115" s="4" t="s">
        <v>2286</v>
      </c>
      <c r="F115" s="118" t="n">
        <v>11.1384003896262</v>
      </c>
      <c r="G115" s="118" t="n">
        <v>11.1384003896262</v>
      </c>
      <c r="H115" s="118" t="n">
        <v>11.1384003896262</v>
      </c>
      <c r="I115" s="11" t="s">
        <v>2569</v>
      </c>
      <c r="J115" s="11" t="s">
        <v>2288</v>
      </c>
    </row>
    <row r="116" customFormat="false" ht="15" hidden="false" customHeight="false" outlineLevel="0" collapsed="false">
      <c r="A116" s="4" t="s">
        <v>2570</v>
      </c>
      <c r="B116" s="4" t="s">
        <v>2567</v>
      </c>
      <c r="C116" s="3" t="s">
        <v>2568</v>
      </c>
      <c r="D116" s="11" t="s">
        <v>2367</v>
      </c>
      <c r="E116" s="4" t="s">
        <v>2290</v>
      </c>
      <c r="F116" s="118" t="n">
        <v>54.8091740003439</v>
      </c>
      <c r="G116" s="118" t="n">
        <v>54.8091740003439</v>
      </c>
      <c r="H116" s="118" t="n">
        <v>54.8091740003439</v>
      </c>
      <c r="I116" s="11" t="s">
        <v>2571</v>
      </c>
      <c r="J116" s="11" t="s">
        <v>2288</v>
      </c>
    </row>
    <row r="117" customFormat="false" ht="15" hidden="false" customHeight="false" outlineLevel="0" collapsed="false">
      <c r="A117" s="4" t="s">
        <v>2572</v>
      </c>
      <c r="B117" s="4" t="s">
        <v>2567</v>
      </c>
      <c r="C117" s="3" t="s">
        <v>2568</v>
      </c>
      <c r="D117" s="11" t="s">
        <v>2367</v>
      </c>
      <c r="E117" s="4" t="s">
        <v>2293</v>
      </c>
      <c r="F117" s="118" t="n">
        <v>66.8524420179894</v>
      </c>
      <c r="G117" s="118" t="n">
        <v>66.8524420179894</v>
      </c>
      <c r="H117" s="118" t="n">
        <v>66.8524420179894</v>
      </c>
      <c r="I117" s="11" t="s">
        <v>2573</v>
      </c>
      <c r="J117" s="11" t="s">
        <v>2288</v>
      </c>
    </row>
    <row r="118" customFormat="false" ht="15" hidden="false" customHeight="false" outlineLevel="0" collapsed="false">
      <c r="A118" s="4" t="s">
        <v>2574</v>
      </c>
      <c r="B118" s="4" t="s">
        <v>2567</v>
      </c>
      <c r="C118" s="3" t="s">
        <v>2568</v>
      </c>
      <c r="D118" s="11" t="s">
        <v>2367</v>
      </c>
      <c r="E118" s="4" t="s">
        <v>2296</v>
      </c>
      <c r="F118" s="118" t="n">
        <v>109.938064961812</v>
      </c>
      <c r="G118" s="118" t="n">
        <v>109.938064961812</v>
      </c>
      <c r="H118" s="118" t="n">
        <v>109.938064961812</v>
      </c>
      <c r="I118" s="11" t="s">
        <v>2575</v>
      </c>
      <c r="J118" s="11" t="s">
        <v>2288</v>
      </c>
    </row>
    <row r="119" customFormat="false" ht="15" hidden="false" customHeight="false" outlineLevel="0" collapsed="false">
      <c r="A119" s="4" t="s">
        <v>2576</v>
      </c>
      <c r="B119" s="4" t="s">
        <v>2567</v>
      </c>
      <c r="C119" s="3" t="s">
        <v>2568</v>
      </c>
      <c r="D119" s="11" t="s">
        <v>2367</v>
      </c>
      <c r="E119" s="4" t="s">
        <v>2299</v>
      </c>
      <c r="F119" s="118" t="n">
        <v>152.675211793649</v>
      </c>
      <c r="G119" s="118" t="n">
        <v>152.675211793649</v>
      </c>
      <c r="H119" s="118" t="n">
        <v>152.675211793649</v>
      </c>
      <c r="I119" s="11" t="s">
        <v>2577</v>
      </c>
      <c r="J119" s="11" t="s">
        <v>2288</v>
      </c>
    </row>
    <row r="120" customFormat="false" ht="15" hidden="false" customHeight="false" outlineLevel="0" collapsed="false">
      <c r="A120" s="4" t="s">
        <v>2578</v>
      </c>
      <c r="B120" s="4" t="s">
        <v>2579</v>
      </c>
      <c r="C120" s="3" t="s">
        <v>2580</v>
      </c>
      <c r="D120" s="11" t="s">
        <v>2367</v>
      </c>
      <c r="E120" s="4" t="s">
        <v>2286</v>
      </c>
      <c r="F120" s="118" t="n">
        <v>6.68304023377571</v>
      </c>
      <c r="G120" s="118" t="n">
        <v>6.68304023377571</v>
      </c>
      <c r="H120" s="118" t="n">
        <v>6.68304023377571</v>
      </c>
      <c r="I120" s="11" t="s">
        <v>2581</v>
      </c>
      <c r="J120" s="11" t="s">
        <v>2288</v>
      </c>
    </row>
    <row r="121" customFormat="false" ht="15" hidden="false" customHeight="false" outlineLevel="0" collapsed="false">
      <c r="A121" s="4" t="s">
        <v>2582</v>
      </c>
      <c r="B121" s="4" t="s">
        <v>2579</v>
      </c>
      <c r="C121" s="3" t="s">
        <v>2580</v>
      </c>
      <c r="D121" s="11" t="s">
        <v>2367</v>
      </c>
      <c r="E121" s="4" t="s">
        <v>2290</v>
      </c>
      <c r="F121" s="118" t="n">
        <v>32.8855044002063</v>
      </c>
      <c r="G121" s="118" t="n">
        <v>32.8855044002063</v>
      </c>
      <c r="H121" s="118" t="n">
        <v>32.8855044002063</v>
      </c>
      <c r="I121" s="11" t="s">
        <v>2583</v>
      </c>
      <c r="J121" s="11" t="s">
        <v>2288</v>
      </c>
    </row>
    <row r="122" customFormat="false" ht="15" hidden="false" customHeight="false" outlineLevel="0" collapsed="false">
      <c r="A122" s="4" t="s">
        <v>2584</v>
      </c>
      <c r="B122" s="4" t="s">
        <v>2579</v>
      </c>
      <c r="C122" s="3" t="s">
        <v>2580</v>
      </c>
      <c r="D122" s="11" t="s">
        <v>2367</v>
      </c>
      <c r="E122" s="4" t="s">
        <v>2293</v>
      </c>
      <c r="F122" s="118" t="n">
        <v>40.1114652107936</v>
      </c>
      <c r="G122" s="118" t="n">
        <v>40.1114652107936</v>
      </c>
      <c r="H122" s="118" t="n">
        <v>40.1114652107936</v>
      </c>
      <c r="I122" s="11" t="s">
        <v>2585</v>
      </c>
      <c r="J122" s="11" t="s">
        <v>2288</v>
      </c>
    </row>
    <row r="123" customFormat="false" ht="15" hidden="false" customHeight="false" outlineLevel="0" collapsed="false">
      <c r="A123" s="4" t="s">
        <v>2586</v>
      </c>
      <c r="B123" s="4" t="s">
        <v>2579</v>
      </c>
      <c r="C123" s="3" t="s">
        <v>2580</v>
      </c>
      <c r="D123" s="11" t="s">
        <v>2367</v>
      </c>
      <c r="E123" s="4" t="s">
        <v>2296</v>
      </c>
      <c r="F123" s="118" t="n">
        <v>65.9628389770872</v>
      </c>
      <c r="G123" s="118" t="n">
        <v>65.9628389770872</v>
      </c>
      <c r="H123" s="118" t="n">
        <v>65.9628389770872</v>
      </c>
      <c r="I123" s="11" t="s">
        <v>2587</v>
      </c>
      <c r="J123" s="11" t="s">
        <v>2288</v>
      </c>
    </row>
    <row r="124" customFormat="false" ht="15" hidden="false" customHeight="false" outlineLevel="0" collapsed="false">
      <c r="A124" s="4" t="s">
        <v>2588</v>
      </c>
      <c r="B124" s="4" t="s">
        <v>2579</v>
      </c>
      <c r="C124" s="3" t="s">
        <v>2580</v>
      </c>
      <c r="D124" s="11" t="s">
        <v>2367</v>
      </c>
      <c r="E124" s="4" t="s">
        <v>2299</v>
      </c>
      <c r="F124" s="118" t="n">
        <v>91.6051270761894</v>
      </c>
      <c r="G124" s="118" t="n">
        <v>91.6051270761894</v>
      </c>
      <c r="H124" s="118" t="n">
        <v>91.6051270761894</v>
      </c>
      <c r="I124" s="11" t="s">
        <v>2589</v>
      </c>
      <c r="J124" s="11" t="s">
        <v>2288</v>
      </c>
    </row>
    <row r="125" customFormat="false" ht="15" hidden="false" customHeight="false" outlineLevel="0" collapsed="false">
      <c r="A125" s="4" t="s">
        <v>2590</v>
      </c>
      <c r="B125" s="4" t="s">
        <v>2591</v>
      </c>
      <c r="C125" s="3" t="s">
        <v>2592</v>
      </c>
      <c r="D125" s="11" t="s">
        <v>2367</v>
      </c>
      <c r="E125" s="4" t="s">
        <v>2286</v>
      </c>
      <c r="F125" s="118" t="n">
        <v>5.01848956376868</v>
      </c>
      <c r="G125" s="118" t="n">
        <v>5.01848956376868</v>
      </c>
      <c r="H125" s="118" t="n">
        <v>5.01848956376868</v>
      </c>
      <c r="I125" s="11" t="s">
        <v>2593</v>
      </c>
      <c r="J125" s="11" t="s">
        <v>2288</v>
      </c>
    </row>
    <row r="126" customFormat="false" ht="15" hidden="false" customHeight="false" outlineLevel="0" collapsed="false">
      <c r="A126" s="4" t="s">
        <v>2594</v>
      </c>
      <c r="B126" s="4" t="s">
        <v>2591</v>
      </c>
      <c r="C126" s="3" t="s">
        <v>2592</v>
      </c>
      <c r="D126" s="11" t="s">
        <v>2367</v>
      </c>
      <c r="E126" s="4" t="s">
        <v>2290</v>
      </c>
      <c r="F126" s="118" t="n">
        <v>26.277375674595</v>
      </c>
      <c r="G126" s="118" t="n">
        <v>26.277375674595</v>
      </c>
      <c r="H126" s="118" t="n">
        <v>26.277375674595</v>
      </c>
      <c r="I126" s="11" t="s">
        <v>2595</v>
      </c>
      <c r="J126" s="11" t="s">
        <v>2288</v>
      </c>
    </row>
    <row r="127" customFormat="false" ht="15" hidden="false" customHeight="false" outlineLevel="0" collapsed="false">
      <c r="A127" s="4" t="s">
        <v>2596</v>
      </c>
      <c r="B127" s="4" t="s">
        <v>2591</v>
      </c>
      <c r="C127" s="3" t="s">
        <v>2592</v>
      </c>
      <c r="D127" s="11" t="s">
        <v>2367</v>
      </c>
      <c r="E127" s="4" t="s">
        <v>2293</v>
      </c>
      <c r="F127" s="118" t="n">
        <v>31.7743161074204</v>
      </c>
      <c r="G127" s="118" t="n">
        <v>31.7743161074204</v>
      </c>
      <c r="H127" s="118" t="n">
        <v>31.7743161074204</v>
      </c>
      <c r="I127" s="11" t="s">
        <v>2597</v>
      </c>
      <c r="J127" s="11" t="s">
        <v>2288</v>
      </c>
    </row>
    <row r="128" customFormat="false" ht="15" hidden="false" customHeight="false" outlineLevel="0" collapsed="false">
      <c r="A128" s="4" t="s">
        <v>2598</v>
      </c>
      <c r="B128" s="4" t="s">
        <v>2591</v>
      </c>
      <c r="C128" s="3" t="s">
        <v>2592</v>
      </c>
      <c r="D128" s="11" t="s">
        <v>2367</v>
      </c>
      <c r="E128" s="4" t="s">
        <v>2296</v>
      </c>
      <c r="F128" s="118" t="n">
        <v>53.1540686485926</v>
      </c>
      <c r="G128" s="118" t="n">
        <v>53.1540686485926</v>
      </c>
      <c r="H128" s="118" t="n">
        <v>53.1540686485926</v>
      </c>
      <c r="I128" s="11" t="s">
        <v>2599</v>
      </c>
      <c r="J128" s="11" t="s">
        <v>2288</v>
      </c>
    </row>
    <row r="129" customFormat="false" ht="15" hidden="false" customHeight="false" outlineLevel="0" collapsed="false">
      <c r="A129" s="4" t="s">
        <v>2600</v>
      </c>
      <c r="B129" s="4" t="s">
        <v>2591</v>
      </c>
      <c r="C129" s="3" t="s">
        <v>2592</v>
      </c>
      <c r="D129" s="11" t="s">
        <v>2367</v>
      </c>
      <c r="E129" s="4" t="s">
        <v>2299</v>
      </c>
      <c r="F129" s="118" t="n">
        <v>74.0683951910804</v>
      </c>
      <c r="G129" s="118" t="n">
        <v>74.0683951910804</v>
      </c>
      <c r="H129" s="118" t="n">
        <v>74.0683951910804</v>
      </c>
      <c r="I129" s="11" t="s">
        <v>2601</v>
      </c>
      <c r="J129" s="11" t="s">
        <v>2288</v>
      </c>
    </row>
    <row r="130" customFormat="false" ht="15" hidden="false" customHeight="false" outlineLevel="0" collapsed="false">
      <c r="A130" s="4" t="s">
        <v>2602</v>
      </c>
      <c r="B130" s="4" t="s">
        <v>2603</v>
      </c>
      <c r="C130" s="3" t="s">
        <v>2604</v>
      </c>
      <c r="D130" s="11" t="s">
        <v>2367</v>
      </c>
      <c r="E130" s="4" t="s">
        <v>2286</v>
      </c>
      <c r="F130" s="118" t="n">
        <v>5.01848956376868</v>
      </c>
      <c r="G130" s="118" t="n">
        <v>5.01848956376868</v>
      </c>
      <c r="H130" s="118" t="n">
        <v>5.01848956376868</v>
      </c>
      <c r="I130" s="11" t="s">
        <v>2605</v>
      </c>
      <c r="J130" s="11" t="s">
        <v>2288</v>
      </c>
    </row>
    <row r="131" customFormat="false" ht="15" hidden="false" customHeight="false" outlineLevel="0" collapsed="false">
      <c r="A131" s="4" t="s">
        <v>2606</v>
      </c>
      <c r="B131" s="4" t="s">
        <v>2603</v>
      </c>
      <c r="C131" s="3" t="s">
        <v>2604</v>
      </c>
      <c r="D131" s="11" t="s">
        <v>2367</v>
      </c>
      <c r="E131" s="4" t="s">
        <v>2290</v>
      </c>
      <c r="F131" s="118" t="n">
        <v>26.277375674595</v>
      </c>
      <c r="G131" s="118" t="n">
        <v>26.277375674595</v>
      </c>
      <c r="H131" s="118" t="n">
        <v>26.277375674595</v>
      </c>
      <c r="I131" s="11" t="s">
        <v>2607</v>
      </c>
      <c r="J131" s="11" t="s">
        <v>2288</v>
      </c>
    </row>
    <row r="132" customFormat="false" ht="15" hidden="false" customHeight="false" outlineLevel="0" collapsed="false">
      <c r="A132" s="4" t="s">
        <v>2608</v>
      </c>
      <c r="B132" s="4" t="s">
        <v>2603</v>
      </c>
      <c r="C132" s="3" t="s">
        <v>2604</v>
      </c>
      <c r="D132" s="11" t="s">
        <v>2367</v>
      </c>
      <c r="E132" s="4" t="s">
        <v>2293</v>
      </c>
      <c r="F132" s="118" t="n">
        <v>31.7743161074204</v>
      </c>
      <c r="G132" s="118" t="n">
        <v>31.7743161074204</v>
      </c>
      <c r="H132" s="118" t="n">
        <v>31.7743161074204</v>
      </c>
      <c r="I132" s="11" t="s">
        <v>2609</v>
      </c>
      <c r="J132" s="11" t="s">
        <v>2288</v>
      </c>
    </row>
    <row r="133" customFormat="false" ht="15" hidden="false" customHeight="false" outlineLevel="0" collapsed="false">
      <c r="A133" s="4" t="s">
        <v>2610</v>
      </c>
      <c r="B133" s="4" t="s">
        <v>2603</v>
      </c>
      <c r="C133" s="3" t="s">
        <v>2604</v>
      </c>
      <c r="D133" s="11" t="s">
        <v>2367</v>
      </c>
      <c r="E133" s="4" t="s">
        <v>2296</v>
      </c>
      <c r="F133" s="118" t="n">
        <v>53.1540686485926</v>
      </c>
      <c r="G133" s="118" t="n">
        <v>53.1540686485926</v>
      </c>
      <c r="H133" s="118" t="n">
        <v>53.1540686485926</v>
      </c>
      <c r="I133" s="11" t="s">
        <v>2611</v>
      </c>
      <c r="J133" s="11" t="s">
        <v>2288</v>
      </c>
    </row>
    <row r="134" customFormat="false" ht="15" hidden="false" customHeight="false" outlineLevel="0" collapsed="false">
      <c r="A134" s="4" t="s">
        <v>2612</v>
      </c>
      <c r="B134" s="4" t="s">
        <v>2603</v>
      </c>
      <c r="C134" s="3" t="s">
        <v>2604</v>
      </c>
      <c r="D134" s="11" t="s">
        <v>2367</v>
      </c>
      <c r="E134" s="4" t="s">
        <v>2299</v>
      </c>
      <c r="F134" s="118" t="n">
        <v>74.0683951910804</v>
      </c>
      <c r="G134" s="118" t="n">
        <v>74.0683951910804</v>
      </c>
      <c r="H134" s="118" t="n">
        <v>74.0683951910804</v>
      </c>
      <c r="I134" s="11" t="s">
        <v>2613</v>
      </c>
      <c r="J134" s="11" t="s">
        <v>2288</v>
      </c>
    </row>
    <row r="135" customFormat="false" ht="15" hidden="false" customHeight="false" outlineLevel="0" collapsed="false">
      <c r="A135" s="4" t="s">
        <v>2614</v>
      </c>
      <c r="B135" s="4" t="s">
        <v>2615</v>
      </c>
      <c r="C135" s="3" t="s">
        <v>2616</v>
      </c>
      <c r="D135" s="11" t="s">
        <v>2617</v>
      </c>
      <c r="E135" s="4" t="s">
        <v>1191</v>
      </c>
      <c r="F135" s="118" t="n">
        <v>6.79107465326444</v>
      </c>
      <c r="G135" s="118" t="n">
        <v>9.70308728611469</v>
      </c>
      <c r="H135" s="118" t="n">
        <v>16.6637697337026</v>
      </c>
      <c r="I135" s="11" t="s">
        <v>2618</v>
      </c>
      <c r="J135" s="11" t="s">
        <v>2288</v>
      </c>
    </row>
    <row r="136" customFormat="false" ht="15" hidden="false" customHeight="false" outlineLevel="0" collapsed="false">
      <c r="A136" s="4" t="s">
        <v>2619</v>
      </c>
      <c r="B136" s="4" t="s">
        <v>2620</v>
      </c>
      <c r="C136" s="3" t="s">
        <v>2621</v>
      </c>
      <c r="D136" s="11" t="s">
        <v>2617</v>
      </c>
      <c r="E136" s="4" t="s">
        <v>1191</v>
      </c>
      <c r="F136" s="118" t="n">
        <v>6.6118162762144</v>
      </c>
      <c r="G136" s="118" t="n">
        <v>8.82816556596761</v>
      </c>
      <c r="H136" s="118" t="n">
        <v>14.3185748619737</v>
      </c>
      <c r="I136" s="11" t="s">
        <v>2622</v>
      </c>
      <c r="J136" s="11" t="s">
        <v>2288</v>
      </c>
    </row>
    <row r="137" customFormat="false" ht="15" hidden="false" customHeight="false" outlineLevel="0" collapsed="false">
      <c r="A137" s="4" t="s">
        <v>2623</v>
      </c>
      <c r="B137" s="4" t="s">
        <v>2624</v>
      </c>
      <c r="C137" s="3" t="s">
        <v>2625</v>
      </c>
      <c r="D137" s="11" t="s">
        <v>2617</v>
      </c>
      <c r="E137" s="4" t="s">
        <v>1191</v>
      </c>
      <c r="F137" s="118" t="n">
        <v>8.42889912085495</v>
      </c>
      <c r="G137" s="118" t="n">
        <v>10.8864110021101</v>
      </c>
      <c r="H137" s="118" t="n">
        <v>18.5346455040469</v>
      </c>
      <c r="I137" s="11" t="s">
        <v>2626</v>
      </c>
      <c r="J137" s="11" t="s">
        <v>2288</v>
      </c>
    </row>
    <row r="138" customFormat="false" ht="15" hidden="false" customHeight="false" outlineLevel="0" collapsed="false">
      <c r="A138" s="4" t="s">
        <v>2627</v>
      </c>
      <c r="B138" s="4" t="s">
        <v>2628</v>
      </c>
      <c r="C138" s="3" t="s">
        <v>2629</v>
      </c>
      <c r="D138" s="11" t="s">
        <v>2617</v>
      </c>
      <c r="E138" s="4" t="s">
        <v>1191</v>
      </c>
      <c r="F138" s="118" t="n">
        <v>9.51207691858967</v>
      </c>
      <c r="G138" s="118" t="n">
        <v>12.2254710045841</v>
      </c>
      <c r="H138" s="118" t="n">
        <v>19.7506269894487</v>
      </c>
      <c r="I138" s="11" t="s">
        <v>2630</v>
      </c>
      <c r="J138" s="11" t="s">
        <v>2288</v>
      </c>
    </row>
    <row r="139" customFormat="false" ht="15" hidden="false" customHeight="false" outlineLevel="0" collapsed="false">
      <c r="A139" s="4" t="s">
        <v>2631</v>
      </c>
      <c r="B139" s="4" t="s">
        <v>2632</v>
      </c>
      <c r="C139" s="3" t="s">
        <v>2633</v>
      </c>
      <c r="D139" s="11" t="s">
        <v>105</v>
      </c>
      <c r="E139" s="4" t="s">
        <v>1191</v>
      </c>
      <c r="F139" s="118" t="n">
        <v>0.823341041860226</v>
      </c>
      <c r="G139" s="118" t="n">
        <v>1.50227667238619</v>
      </c>
      <c r="H139" s="118" t="n">
        <v>2.07173470422836</v>
      </c>
      <c r="I139" s="11" t="s">
        <v>2634</v>
      </c>
      <c r="J139" s="11" t="s">
        <v>2288</v>
      </c>
    </row>
    <row r="140" customFormat="false" ht="15" hidden="false" customHeight="false" outlineLevel="0" collapsed="false">
      <c r="A140" s="4" t="s">
        <v>2635</v>
      </c>
      <c r="B140" s="4" t="s">
        <v>2636</v>
      </c>
      <c r="C140" s="3" t="s">
        <v>2633</v>
      </c>
      <c r="D140" s="11" t="s">
        <v>105</v>
      </c>
      <c r="E140" s="4" t="s">
        <v>1191</v>
      </c>
      <c r="F140" s="118" t="n">
        <v>0.823341041860226</v>
      </c>
      <c r="G140" s="118" t="n">
        <v>0.823341041860226</v>
      </c>
      <c r="H140" s="118" t="n">
        <v>2.07173470422836</v>
      </c>
      <c r="I140" s="11" t="s">
        <v>2637</v>
      </c>
      <c r="J140" s="11" t="s">
        <v>2288</v>
      </c>
    </row>
    <row r="141" customFormat="false" ht="15" hidden="false" customHeight="false" outlineLevel="0" collapsed="false">
      <c r="A141" s="4" t="s">
        <v>2638</v>
      </c>
      <c r="B141" s="4" t="s">
        <v>2639</v>
      </c>
      <c r="C141" s="3" t="s">
        <v>2633</v>
      </c>
      <c r="D141" s="11" t="s">
        <v>105</v>
      </c>
      <c r="E141" s="4" t="s">
        <v>1191</v>
      </c>
      <c r="F141" s="118" t="n">
        <v>0.823341041860226</v>
      </c>
      <c r="G141" s="118" t="n">
        <v>2.07173470422836</v>
      </c>
      <c r="H141" s="118" t="n">
        <v>2.07173470422836</v>
      </c>
      <c r="I141" s="11" t="s">
        <v>2640</v>
      </c>
      <c r="J141" s="11" t="s">
        <v>2288</v>
      </c>
    </row>
    <row r="142" customFormat="false" ht="15" hidden="false" customHeight="false" outlineLevel="0" collapsed="false">
      <c r="A142" s="4" t="s">
        <v>2641</v>
      </c>
      <c r="B142" s="4" t="s">
        <v>2642</v>
      </c>
      <c r="C142" s="4" t="s">
        <v>2643</v>
      </c>
      <c r="D142" s="11" t="s">
        <v>2433</v>
      </c>
      <c r="E142" s="4" t="s">
        <v>1191</v>
      </c>
      <c r="F142" s="118" t="n">
        <v>35.6983032045316</v>
      </c>
      <c r="G142" s="118" t="n">
        <v>48.7876810461932</v>
      </c>
      <c r="H142" s="118" t="n">
        <v>77.3463236098185</v>
      </c>
      <c r="I142" s="11" t="s">
        <v>2644</v>
      </c>
      <c r="J142" s="11" t="s">
        <v>2288</v>
      </c>
    </row>
    <row r="143" customFormat="false" ht="15" hidden="false" customHeight="false" outlineLevel="0" collapsed="false">
      <c r="A143" s="4" t="s">
        <v>2645</v>
      </c>
      <c r="B143" s="4" t="s">
        <v>2646</v>
      </c>
      <c r="C143" s="4" t="s">
        <v>2643</v>
      </c>
      <c r="D143" s="11" t="s">
        <v>2433</v>
      </c>
      <c r="E143" s="4" t="s">
        <v>1191</v>
      </c>
      <c r="F143" s="118" t="n">
        <v>35.6983032045316</v>
      </c>
      <c r="G143" s="118" t="n">
        <v>35.6983032045316</v>
      </c>
      <c r="H143" s="118" t="n">
        <v>77.3463236098185</v>
      </c>
      <c r="I143" s="11" t="s">
        <v>2647</v>
      </c>
      <c r="J143" s="11" t="s">
        <v>2288</v>
      </c>
    </row>
    <row r="144" customFormat="false" ht="15" hidden="false" customHeight="false" outlineLevel="0" collapsed="false">
      <c r="A144" s="4" t="s">
        <v>2648</v>
      </c>
      <c r="B144" s="4" t="s">
        <v>2649</v>
      </c>
      <c r="C144" s="4" t="s">
        <v>2643</v>
      </c>
      <c r="D144" s="11" t="s">
        <v>2433</v>
      </c>
      <c r="E144" s="4" t="s">
        <v>1191</v>
      </c>
      <c r="F144" s="118" t="n">
        <v>35.6983032045316</v>
      </c>
      <c r="G144" s="118" t="n">
        <v>77.3463236098185</v>
      </c>
      <c r="H144" s="118" t="n">
        <v>77.3463236098185</v>
      </c>
      <c r="I144" s="11" t="s">
        <v>2650</v>
      </c>
      <c r="J144" s="11" t="s">
        <v>2288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2026-10-22T00:37:17Z</dcterms:created>
  <dc:creator>openpyxl</dc:creator>
  <dc:description/>
  <dc:language>en-US</dc:language>
  <cp:lastModifiedBy/>
  <dcterms:modified xsi:type="dcterms:W3CDTF">2026-10-22T00:37:17Z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