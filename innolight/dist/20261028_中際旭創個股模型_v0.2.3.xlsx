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aiu" vbProcedure="false">Q!$B$16</definedName>
    <definedName function="false" hidden="false" name="a25_eps" vbProcedure="false">Q!$B$13</definedName>
    <definedName function="false" hidden="false" name="a25_gm_in" vbProcedure="false">In!$E$58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ni_in" vbProcedure="false">In!$E$59</definedName>
    <definedName function="false" hidden="false" name="a25_opx" vbProcedure="false">Q!$B$8</definedName>
    <definedName function="false" hidden="false" name="a25_oth" vbProcedure="false">Q!$B$14</definedName>
    <definedName function="false" hidden="false" name="a25_rev" vbProcedure="false">Q!$B$4</definedName>
    <definedName function="false" hidden="false" name="a25_rev_in" vbProcedure="false">In!$E$57</definedName>
    <definedName function="false" hidden="false" name="a25_sh" vbProcedure="false">Q!$B$12</definedName>
    <definedName function="false" hidden="false" name="a25_sh_in" vbProcedure="false">In!$E$60</definedName>
    <definedName function="false" hidden="false" name="a26_ai" vbProcedure="false">Q!$G$15</definedName>
    <definedName function="false" hidden="false" name="a26_aiu" vbProcedure="false">Q!$G$16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px" vbProcedure="false">Q!$G$8</definedName>
    <definedName function="false" hidden="false" name="a26_oth" vbProcedure="false">Q!$G$14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ttr" vbProcedure="false">In!$E$53</definedName>
    <definedName function="false" hidden="false" name="attr_hi" vbProcedure="false">In!$F$53</definedName>
    <definedName function="false" hidden="false" name="attr_lo" vbProcedure="false">In!$D$53</definedName>
    <definedName function="false" hidden="false" name="cons_eps26" vbProcedure="false">In!$E$69</definedName>
    <definedName function="false" hidden="false" name="cons_eps27" vbProcedure="false">In!$E$72</definedName>
    <definedName function="false" hidden="false" name="cons_eps28" vbProcedure="false">In!$E$75</definedName>
    <definedName function="false" hidden="false" name="cons_feps" vbProcedure="false">In!$E$100</definedName>
    <definedName function="false" hidden="false" name="cons_ni26" vbProcedure="false">In!$E$68</definedName>
    <definedName function="false" hidden="false" name="cons_ni27" vbProcedure="false">In!$E$71</definedName>
    <definedName function="false" hidden="false" name="cons_ni28" vbProcedure="false">In!$E$74</definedName>
    <definedName function="false" hidden="false" name="cons_rev26" vbProcedure="false">In!$E$67</definedName>
    <definedName function="false" hidden="false" name="cons_rev27" vbProcedure="false">In!$E$70</definedName>
    <definedName function="false" hidden="false" name="cons_rev28" vbProcedure="false">In!$E$73</definedName>
    <definedName function="false" hidden="false" name="cons_tp" vbProcedure="false">In!$E$99</definedName>
    <definedName function="false" hidden="false" name="CPHI_27" vbProcedure="false">In!$F$30</definedName>
    <definedName function="false" hidden="false" name="CPHI_28" vbProcedure="false">In!$F$31</definedName>
    <definedName function="false" hidden="false" name="CPHI_29" vbProcedure="false">In!$F$32</definedName>
    <definedName function="false" hidden="false" name="CPLO_27" vbProcedure="false">In!$D$30</definedName>
    <definedName function="false" hidden="false" name="CPLO_28" vbProcedure="false">In!$D$31</definedName>
    <definedName function="false" hidden="false" name="CPLO_29" vbProcedure="false">In!$D$32</definedName>
    <definedName function="false" hidden="false" name="cpo_27" vbProcedure="false">In!$E$30</definedName>
    <definedName function="false" hidden="false" name="cpo_27_hi" vbProcedure="false">In!$F$30</definedName>
    <definedName function="false" hidden="false" name="cpo_27_lo" vbProcedure="false">In!$D$30</definedName>
    <definedName function="false" hidden="false" name="cpo_28" vbProcedure="false">In!$E$31</definedName>
    <definedName function="false" hidden="false" name="cpo_28_hi" vbProcedure="false">In!$F$31</definedName>
    <definedName function="false" hidden="false" name="cpo_28_lo" vbProcedure="false">In!$D$31</definedName>
    <definedName function="false" hidden="false" name="cpo_29" vbProcedure="false">In!$E$32</definedName>
    <definedName function="false" hidden="false" name="cpo_29_hi" vbProcedure="false">In!$F$32</definedName>
    <definedName function="false" hidden="false" name="cpo_29_lo" vbProcedure="false">In!$D$32</definedName>
    <definedName function="false" hidden="false" name="fade_gA" vbProcedure="false">In!$E$93</definedName>
    <definedName function="false" hidden="false" name="fade_gB" vbProcedure="false">In!$E$94</definedName>
    <definedName function="false" hidden="false" name="fade_gC" vbProcedure="false">In!$E$95</definedName>
    <definedName function="false" hidden="false" name="fade_mA" vbProcedure="false">In!$E$96</definedName>
    <definedName function="false" hidden="false" name="fade_mB" vbProcedure="false">In!$E$97</definedName>
    <definedName function="false" hidden="false" name="fade_mC" vbProcedure="false">In!$E$98</definedName>
    <definedName function="false" hidden="false" name="fcf_capex" vbProcedure="false">In!$E$102</definedName>
    <definedName function="false" hidden="false" name="fcf_da" vbProcedure="false">In!$E$101</definedName>
    <definedName function="false" hidden="false" name="fx" vbProcedure="false">In!$E$36</definedName>
    <definedName function="false" hidden="false" name="fx_hi" vbProcedure="false">In!$F$36</definedName>
    <definedName function="false" hidden="false" name="fx_lo" vbProcedure="false">In!$D$36</definedName>
    <definedName function="false" hidden="false" name="GMHI_27" vbProcedure="false">In!$F$42</definedName>
    <definedName function="false" hidden="false" name="GMHI_28" vbProcedure="false">In!$F$43</definedName>
    <definedName function="false" hidden="false" name="GMHI_29" vbProcedure="false">In!$F$44</definedName>
    <definedName function="false" hidden="false" name="GMLO_27" vbProcedure="false">In!$D$42</definedName>
    <definedName function="false" hidden="false" name="GMLO_28" vbProcedure="false">In!$D$43</definedName>
    <definedName function="false" hidden="false" name="GMLO_29" vbProcedure="false">In!$D$44</definedName>
    <definedName function="false" hidden="false" name="gm_27" vbProcedure="false">In!$E$42</definedName>
    <definedName function="false" hidden="false" name="gm_27_hi" vbProcedure="false">In!$F$42</definedName>
    <definedName function="false" hidden="false" name="gm_27_lo" vbProcedure="false">In!$D$42</definedName>
    <definedName function="false" hidden="false" name="gm_28" vbProcedure="false">In!$E$43</definedName>
    <definedName function="false" hidden="false" name="gm_28_hi" vbProcedure="false">In!$F$43</definedName>
    <definedName function="false" hidden="false" name="gm_28_lo" vbProcedure="false">In!$D$43</definedName>
    <definedName function="false" hidden="false" name="gm_29" vbProcedure="false">In!$E$44</definedName>
    <definedName function="false" hidden="false" name="gm_29_hi" vbProcedure="false">In!$F$44</definedName>
    <definedName function="false" hidden="false" name="gm_29_lo" vbProcedure="false">In!$D$44</definedName>
    <definedName function="false" hidden="false" name="gm_h2" vbProcedure="false">In!$E$41</definedName>
    <definedName function="false" hidden="false" name="gm_h2_hi" vbProcedure="false">In!$F$41</definedName>
    <definedName function="false" hidden="false" name="gm_h2_lo" vbProcedure="false">In!$D$41</definedName>
    <definedName function="false" hidden="false" name="gs_ni27" vbProcedure="false">In!$E$76</definedName>
    <definedName function="false" hidden="false" name="g_oth" vbProcedure="false">In!$E$39</definedName>
    <definedName function="false" hidden="false" name="g_oth_hi" vbProcedure="false">In!$F$39</definedName>
    <definedName function="false" hidden="false" name="g_oth_lo" vbProcedure="false">In!$D$39</definedName>
    <definedName function="false" hidden="false" name="h1_eps" vbProcedure="false">In!$E$49</definedName>
    <definedName function="false" hidden="false" name="h1_gm" vbProcedure="false">In!$E$47</definedName>
    <definedName function="false" hidden="false" name="h1_ni" vbProcedure="false">In!$E$48</definedName>
    <definedName function="false" hidden="false" name="h1_rev" vbProcedure="false">In!$E$46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dc26" vbProcedure="false">In!$E$77</definedName>
    <definedName function="false" hidden="false" name="mcpB_26" vbProcedure="false">In!$E$113</definedName>
    <definedName function="false" hidden="false" name="mcpB_27" vbProcedure="false">In!$E$114</definedName>
    <definedName function="false" hidden="false" name="mcpB_28" vbProcedure="false">In!$E$115</definedName>
    <definedName function="false" hidden="false" name="mcpB_29" vbProcedure="false">In!$E$116</definedName>
    <definedName function="false" hidden="false" name="mcpC_26" vbProcedure="false">In!$E$117</definedName>
    <definedName function="false" hidden="false" name="mcpC_27" vbProcedure="false">In!$E$118</definedName>
    <definedName function="false" hidden="false" name="mcpC_28" vbProcedure="false">In!$E$119</definedName>
    <definedName function="false" hidden="false" name="mcpC_29" vbProcedure="false">In!$E$120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In!$E$65</definedName>
    <definedName function="false" hidden="false" name="mf_hi" vbProcedure="false">In!$F$65</definedName>
    <definedName function="false" hidden="false" name="mf_lo" vbProcedure="false">In!$D$65</definedName>
    <definedName function="false" hidden="false" name="mplB_26" vbProcedure="false">In!$E$105</definedName>
    <definedName function="false" hidden="false" name="mplB_27" vbProcedure="false">In!$E$106</definedName>
    <definedName function="false" hidden="false" name="mplB_28" vbProcedure="false">In!$E$107</definedName>
    <definedName function="false" hidden="false" name="mplB_29" vbProcedure="false">In!$E$108</definedName>
    <definedName function="false" hidden="false" name="mplC_26" vbProcedure="false">In!$E$109</definedName>
    <definedName function="false" hidden="false" name="mplC_27" vbProcedure="false">In!$E$110</definedName>
    <definedName function="false" hidden="false" name="mplC_28" vbProcedure="false">In!$E$111</definedName>
    <definedName function="false" hidden="false" name="mplC_29" vbProcedure="false">In!$E$112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opx_adj" vbProcedure="false">In!$E$63</definedName>
    <definedName function="false" hidden="false" name="opx_adj_hi" vbProcedure="false">In!$F$63</definedName>
    <definedName function="false" hidden="false" name="opx_adj_lo" vbProcedure="false">In!$D$63</definedName>
    <definedName function="false" hidden="false" name="oth_s" vbProcedure="false">In!$E$38</definedName>
    <definedName function="false" hidden="false" name="oth_s_hi" vbProcedure="false">In!$F$38</definedName>
    <definedName function="false" hidden="false" name="oth_s_lo" vbProcedure="false">In!$D$38</definedName>
    <definedName function="false" hidden="false" name="pe_fair_andy" vbProcedure="false">In!$E$80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In!$E$62</definedName>
    <definedName function="false" hidden="false" name="phi_hi" vbProcedure="false">In!$F$62</definedName>
    <definedName function="false" hidden="false" name="phi_lo" vbProcedure="false">In!$D$62</definedName>
    <definedName function="false" hidden="false" name="px" vbProcedure="false">In!$E$82</definedName>
    <definedName function="false" hidden="false" name="PXLO_27" vbProcedure="false">In!$D$33</definedName>
    <definedName function="false" hidden="false" name="PXLO_28" vbProcedure="false">In!$D$34</definedName>
    <definedName function="false" hidden="false" name="PXLO_29" vbProcedure="false">In!$D$35</definedName>
    <definedName function="false" hidden="false" name="pxr_27" vbProcedure="false">In!$E$33</definedName>
    <definedName function="false" hidden="false" name="pxr_27_hi" vbProcedure="false">In!$F$33</definedName>
    <definedName function="false" hidden="false" name="pxr_27_lo" vbProcedure="false">In!$D$33</definedName>
    <definedName function="false" hidden="false" name="pxr_28" vbProcedure="false">In!$E$34</definedName>
    <definedName function="false" hidden="false" name="pxr_28_hi" vbProcedure="false">In!$F$34</definedName>
    <definedName function="false" hidden="false" name="pxr_28_lo" vbProcedure="false">In!$D$34</definedName>
    <definedName function="false" hidden="false" name="pxr_29" vbProcedure="false">In!$E$35</definedName>
    <definedName function="false" hidden="false" name="pxr_29_hi" vbProcedure="false">In!$F$35</definedName>
    <definedName function="false" hidden="false" name="pxr_29_lo" vbProcedure="false">In!$D$35</definedName>
    <definedName function="false" hidden="false" name="px_hi" vbProcedure="false">In!$E$83</definedName>
    <definedName function="false" hidden="false" name="q1_rev" vbProcedure="false">In!$E$50</definedName>
    <definedName function="false" hidden="false" name="q_g" vbProcedure="false">In!$E$51</definedName>
    <definedName function="false" hidden="false" name="q_g_hi" vbProcedure="false">In!$F$51</definedName>
    <definedName function="false" hidden="false" name="q_g_lo" vbProcedure="false">In!$D$51</definedName>
    <definedName function="false" hidden="false" name="q_sh_h1" vbProcedure="false">In!$E$55</definedName>
    <definedName function="false" hidden="false" name="rel_27" vbProcedure="false">In!$E$24</definedName>
    <definedName function="false" hidden="false" name="rel_27_hi" vbProcedure="false">In!$F$24</definedName>
    <definedName function="false" hidden="false" name="rel_27_lo" vbProcedure="false">In!$D$24</definedName>
    <definedName function="false" hidden="false" name="rel_28" vbProcedure="false">In!$E$25</definedName>
    <definedName function="false" hidden="false" name="rel_28_hi" vbProcedure="false">In!$F$25</definedName>
    <definedName function="false" hidden="false" name="rel_28_lo" vbProcedure="false">In!$D$25</definedName>
    <definedName function="false" hidden="false" name="rel_29" vbProcedure="false">In!$E$26</definedName>
    <definedName function="false" hidden="false" name="rel_29_hi" vbProcedure="false">In!$F$26</definedName>
    <definedName function="false" hidden="false" name="rel_29_lo" vbProcedure="false">In!$D$26</definedName>
    <definedName function="false" hidden="false" name="RHI_27" vbProcedure="false">In!$F$24</definedName>
    <definedName function="false" hidden="false" name="RHI_28" vbProcedure="false">In!$F$25</definedName>
    <definedName function="false" hidden="false" name="RHI_29" vbProcedure="false">In!$F$26</definedName>
    <definedName function="false" hidden="false" name="RLO_27" vbProcedure="false">In!$D$24</definedName>
    <definedName function="false" hidden="false" name="RLO_28" vbProcedure="false">In!$D$25</definedName>
    <definedName function="false" hidden="false" name="RLO_29" vbProcedure="false">In!$D$26</definedName>
    <definedName function="false" hidden="false" name="rm_factor" vbProcedure="false">Val!$B$158</definedName>
    <definedName function="false" hidden="false" name="sh16" vbProcedure="false">In!$E$79</definedName>
    <definedName function="false" hidden="false" name="sh16_hi" vbProcedure="false">In!$F$79</definedName>
    <definedName function="false" hidden="false" name="sh16_lo" vbProcedure="false">In!$D$79</definedName>
    <definedName function="false" hidden="false" name="sh800" vbProcedure="false">In!$E$78</definedName>
    <definedName function="false" hidden="false" name="sh800_hi" vbProcedure="false">In!$F$78</definedName>
    <definedName function="false" hidden="false" name="sh800_lo" vbProcedure="false">In!$D$78</definedName>
    <definedName function="false" hidden="false" name="sh_g" vbProcedure="false">In!$E$64</definedName>
    <definedName function="false" hidden="false" name="sh_g_hi" vbProcedure="false">In!$F$64</definedName>
    <definedName function="false" hidden="false" name="sh_g_lo" vbProcedure="false">In!$D$64</definedName>
    <definedName function="false" hidden="false" name="sh_post" vbProcedure="false">In!$E$54</definedName>
    <definedName function="false" hidden="false" name="tp_comp_adj" vbProcedure="false">Val!$B$159</definedName>
    <definedName function="false" hidden="false" name="tp_g" vbProcedure="false">In!$E$90</definedName>
    <definedName function="false" hidden="false" name="tp_r" vbProcedure="false">In!$E$89</definedName>
    <definedName function="false" hidden="false" name="tp_roe" vbProcedure="false">In!$E$91</definedName>
    <definedName function="false" hidden="false" name="tp_wA" vbProcedure="false">In!$E$85</definedName>
    <definedName function="false" hidden="false" name="tp_wB" vbProcedure="false">In!$E$86</definedName>
    <definedName function="false" hidden="false" name="tp_wC" vbProcedure="false">In!$E$87</definedName>
    <definedName function="false" hidden="false" name="tp_w_dcf" vbProcedure="false">In!$E$92</definedName>
    <definedName function="false" hidden="false" name="tx" vbProcedure="false">In!$E$52</definedName>
    <definedName function="false" hidden="false" name="tx_hi" vbProcedure="false">In!$F$52</definedName>
    <definedName function="false" hidden="false" name="tx_lo" vbProcedure="false">In!$D$52</definedName>
    <definedName function="false" hidden="false" name="um28_A" vbProcedure="false">In!$E$17</definedName>
    <definedName function="false" hidden="false" name="um28_B" vbProcedure="false">In!$E$19</definedName>
    <definedName function="false" hidden="false" name="um28_C" vbProcedure="false">In!$E$21</definedName>
    <definedName function="false" hidden="false" name="um29_A" vbProcedure="false">In!$E$18</definedName>
    <definedName function="false" hidden="false" name="um29_B" vbProcedure="false">In!$E$20</definedName>
    <definedName function="false" hidden="false" name="um29_C" vbProcedure="false">In!$E$22</definedName>
    <definedName function="false" hidden="false" name="us_27" vbProcedure="false">In!$E$27</definedName>
    <definedName function="false" hidden="false" name="us_28" vbProcedure="false">In!$E$28</definedName>
    <definedName function="false" hidden="false" name="us_29" vbProcedure="false">In!$E$29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<sst xmlns="http://schemas.openxmlformats.org/spreadsheetml/2006/main" count="2325" uniqueCount="851">
  <si>
    <r>
      <rPr>
        <b val="true"/>
        <sz val="11"/>
        <rFont val="Noto Sans CJK SC"/>
        <family val="2"/>
      </rPr>
      <t xml:space="preserve">中際旭創（</t>
    </r>
    <r>
      <rPr>
        <b val="true"/>
        <sz val="11"/>
        <rFont val="Cambria"/>
        <family val="0"/>
        <charset val="1"/>
      </rPr>
      <t xml:space="preserve">300308.SZ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3308.HK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</si>
  <si>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初版、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加規則值情境加權）。中際旭創在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</si>
  <si>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模型命題：中際旭創的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份額；其他營收（國內、電信）另依成長率推。股價自高點腰斬、只約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年就是獲利高點。</t>
    </r>
  </si>
  <si>
    <r>
      <rPr>
        <sz val="11"/>
        <rFont val="Noto Sans CJK SC"/>
        <family val="2"/>
      </rPr>
      <t xml:space="preserve">核心問題：市場隱含的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遠低於模型——要成立，份額（新易盛、美國限制）、單價（每 </t>
    </r>
    <r>
      <rPr>
        <sz val="11"/>
        <rFont val="Cambria"/>
        <family val="0"/>
        <charset val="1"/>
      </rPr>
      <t xml:space="preserve">Gb </t>
    </r>
    <r>
      <rPr>
        <sz val="11"/>
        <rFont val="Noto Sans CJK SC"/>
        <family val="2"/>
      </rPr>
      <t xml:space="preserve">降價）、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替代三條路徑各要不利到什麼程度？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</si>
  <si>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為收斂法。口徑：中國會計準則；淨利＝歸母淨利；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 </t>
    </r>
    <r>
      <rPr>
        <sz val="11"/>
        <rFont val="Noto Sans CJK SC"/>
        <family val="2"/>
      </rPr>
      <t xml:space="preserve">股發行後股數。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</si>
  <si>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</si>
  <si>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假設校準）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）；乘匯率換成人民幣。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</si>
  <si>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8%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）。營業費用、減值與其他：彈性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、歸母比例 </t>
    </r>
    <r>
      <rPr>
        <sz val="11"/>
        <rFont val="Cambria"/>
        <family val="0"/>
        <charset val="1"/>
      </rPr>
      <t xml:space="preserve">0.932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</si>
  <si>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41.78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46.59%</t>
    </r>
    <r>
      <rPr>
        <sz val="11"/>
        <rFont val="Noto Sans CJK SC"/>
        <family val="2"/>
      </rPr>
      <t xml:space="preserve">、歸母淨利 </t>
    </r>
    <r>
      <rPr>
        <sz val="11"/>
        <rFont val="Cambria"/>
        <family val="0"/>
        <charset val="1"/>
      </rPr>
      <t xml:space="preserve">13.65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）。公司不給指引；不用共識（只在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</si>
  <si>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）。另列：現價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2018–2025</t>
    </r>
    <r>
      <rPr>
        <sz val="11"/>
        <rFont val="Noto Sans CJK SC"/>
        <family val="2"/>
      </rPr>
      <t xml:space="preserve">，一個資料商來源）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</si>
  <si>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未使用。公司原文經財經媒體轉載；客戶名稱與 </t>
    </r>
    <r>
      <rPr>
        <sz val="11"/>
        <rFont val="Cambria"/>
        <family val="0"/>
        <charset val="1"/>
      </rPr>
      <t xml:space="preserve">800G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份額只有次級來源。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</si>
  <si>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 </t>
    </r>
    <r>
      <rPr>
        <sz val="11"/>
        <rFont val="Cambria"/>
        <family val="0"/>
        <charset val="1"/>
      </rPr>
      <t xml:space="preserve">10-31 </t>
    </r>
    <r>
      <rPr>
        <sz val="11"/>
        <rFont val="Noto Sans CJK SC"/>
        <family val="2"/>
      </rPr>
      <t xml:space="preserve">前公布；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年可插拔光模組 </t>
    </r>
    <r>
      <rPr>
        <sz val="11"/>
        <rFont val="Cambria"/>
        <family val="0"/>
        <charset val="1"/>
      </rPr>
      <t xml:space="preserve">+84%</t>
    </r>
    <r>
      <rPr>
        <sz val="11"/>
        <rFont val="Noto Sans CJK SC"/>
        <family val="2"/>
      </rPr>
      <t xml:space="preserve">，未設雷射、</t>
    </r>
    <r>
      <rPr>
        <sz val="11"/>
        <rFont val="Cambria"/>
        <family val="0"/>
        <charset val="1"/>
      </rPr>
      <t xml:space="preserve">DSP </t>
    </r>
    <r>
      <rPr>
        <sz val="11"/>
        <rFont val="Noto Sans CJK SC"/>
        <family val="2"/>
      </rPr>
      <t xml:space="preserve">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只有一個來源、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年，含高成長期溢價；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毛利率以光模組代用（占營收 </t>
    </r>
    <r>
      <rPr>
        <sz val="11"/>
        <rFont val="Cambria"/>
        <family val="0"/>
        <charset val="1"/>
      </rPr>
      <t xml:space="preserve">99%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</si>
  <si>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</si>
  <si>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）。各情境隱含價＝第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節規則值；其餘儲存格不變。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</si>
  <si>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頁加重點觀察三點；數值不變，既有儲存格位置不變）。另在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資本支出；不含營運資金變動）」三情境列（</t>
    </r>
    <r>
      <rPr>
        <sz val="11"/>
        <color theme="1"/>
        <rFont val="Calibri"/>
        <family val="2"/>
        <charset val="1"/>
      </rPr>
      <t xml:space="preserve">FY2025A–FY2032</t>
    </r>
    <r>
      <rPr>
        <sz val="11"/>
        <color theme="1"/>
        <rFont val="Noto Sans CJK SC"/>
        <family val="2"/>
      </rPr>
      <t xml:space="preserve">；歸母淨利口徑；算力收支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年報比率 </t>
    </r>
    <r>
      <rPr>
        <sz val="11"/>
        <color theme="1"/>
        <rFont val="Calibri"/>
        <family val="2"/>
        <charset val="1"/>
      </rPr>
      <t xml:space="preserve">2.14%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7.22%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</si>
  <si>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：最敏感的是美國限制與份額：美國限制案例（份額相對值 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−38.2%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21.2%</t>
    </r>
    <r>
      <rPr>
        <sz val="11"/>
        <color theme="1"/>
        <rFont val="Noto Sans CJK SC"/>
        <family val="2"/>
      </rPr>
      <t xml:space="preserve">、降價快於模型 −</t>
    </r>
    <r>
      <rPr>
        <sz val="11"/>
        <color theme="1"/>
        <rFont val="Calibri"/>
        <family val="2"/>
        <charset val="1"/>
      </rPr>
      <t xml:space="preserve">19.0%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×0.8 −18.6%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29.54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48.26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38.8%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504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1,017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</si>
  <si>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錨點的 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）為假設。網通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快對中際旭創是減分，情境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49.78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48.26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3.1%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29.17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29.54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−4.1%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</si>
  <si>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列起追加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年報產品別：光通信收發模組（約 </t>
    </r>
    <r>
      <rPr>
        <sz val="11"/>
        <color theme="1"/>
        <rFont val="Calibri"/>
        <family val="2"/>
        <charset val="1"/>
      </rPr>
      <t xml:space="preserve">97.95%</t>
    </r>
    <r>
      <rPr>
        <sz val="11"/>
        <color theme="1"/>
        <rFont val="Noto Sans CJK SC"/>
        <family val="2"/>
      </rPr>
      <t xml:space="preserve">）、其他（差額）與核對列「分部合計 − 合併營收」；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營收屬光通信收發模組，推估年仍以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／其他拆分。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</si>
  <si>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快對中際旭創是減分（可插拔市場較小、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份額只部分抵銷），所以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降幅最大；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</si>
  <si>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</si>
  <si>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）；市場：十億美元（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</si>
  <si>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未使用。公司原文＝深交所定期報告與公告（經財經媒體轉載）；公司不給營收指引；客戶名稱、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份額只有次級來源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</si>
  <si>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</si>
  <si>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</si>
  <si>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</si>
  <si>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</si>
  <si>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</si>
  <si>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</si>
  <si>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</si>
  <si>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</si>
  <si>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</si>
  <si>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</si>
  <si>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</si>
  <si>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</si>
  <si>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</si>
  <si>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</si>
  <si>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</si>
  <si>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</si>
  <si>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</si>
  <si>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</si>
  <si>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</si>
  <si>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</si>
  <si>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</si>
  <si>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</si>
  <si>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</si>
  <si>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</si>
  <si>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</si>
  <si>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</si>
  <si>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</si>
  <si>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</si>
  <si>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</si>
  <si>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</si>
  <si>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</si>
  <si>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</si>
  <si>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</si>
  <si>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</si>
  <si>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</si>
  <si>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</si>
  <si>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</si>
  <si>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</si>
  <si>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</si>
  <si>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</si>
  <si>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</si>
  <si>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</si>
  <si>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</si>
  <si>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</si>
  <si>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</si>
  <si>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</si>
  <si>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</si>
  <si>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</si>
  <si>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</si>
  <si>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</si>
  <si>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</si>
  <si>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</si>
  <si>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</si>
  <si>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</si>
  <si>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</si>
  <si>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</si>
  <si>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</si>
  <si>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</si>
  <si>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</si>
  <si>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</si>
  <si>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</si>
  <si>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</si>
  <si>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</si>
  <si>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</si>
  <si>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中際旭創份額與單價（本專案為權威：網通內容與廠商份額，規則第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</si>
  <si>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rel_27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</si>
  <si>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</si>
  <si>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排名：中際旭創第一（</t>
    </r>
    <r>
      <rPr>
        <sz val="11"/>
        <color theme="1"/>
        <rFont val="Calibri"/>
        <family val="2"/>
        <charset val="1"/>
      </rPr>
      <t xml:space="preserve">US$5.3B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+61%</t>
    </r>
    <r>
      <rPr>
        <sz val="11"/>
        <color theme="1"/>
        <rFont val="Noto Sans CJK SC"/>
        <family val="2"/>
      </rPr>
      <t xml:space="preserve">）、新易盛第二（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，首次超過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</si>
  <si>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50–70%</t>
    </r>
    <r>
      <rPr>
        <sz val="11"/>
        <color theme="1"/>
        <rFont val="Noto Sans CJK SC"/>
        <family val="2"/>
      </rPr>
      <t xml:space="preserve">（次級來源）</t>
    </r>
  </si>
  <si>
    <t xml:space="preserve">rel_28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</si>
  <si>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</si>
  <si>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</si>
  <si>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FCC 26-50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）光模組目前只列為揭露元件；</t>
    </r>
    <r>
      <rPr>
        <sz val="11"/>
        <color theme="1"/>
        <rFont val="Calibri"/>
        <family val="2"/>
        <charset val="1"/>
      </rPr>
      <t xml:space="preserve">1260H </t>
    </r>
    <r>
      <rPr>
        <sz val="11"/>
        <color theme="1"/>
        <rFont val="Noto Sans CJK SC"/>
        <family val="2"/>
      </rPr>
      <t xml:space="preserve">清單（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）（鉅亨轉引花旗）</t>
    </r>
  </si>
  <si>
    <t xml:space="preserve">rel_29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</si>
  <si>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</si>
  <si>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—</t>
  </si>
  <si>
    <t xml:space="preserve">us_27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</si>
  <si>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</si>
  <si>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https://hao.cnyes.com/post/262773</t>
    </r>
    <r>
      <rPr>
        <sz val="11"/>
        <color theme="1"/>
        <rFont val="Noto Sans CJK SC"/>
        <family val="2"/>
      </rPr>
      <t xml:space="preserve">：花旗認為短期嚴格執行機率低；中國廠供美國大型雲端高速光模組約 </t>
    </r>
    <r>
      <rPr>
        <sz val="11"/>
        <color theme="1"/>
        <rFont val="Calibri"/>
        <family val="2"/>
        <charset val="1"/>
      </rPr>
      <t xml:space="preserve">60–70%</t>
    </r>
  </si>
  <si>
    <r>
      <rPr>
        <sz val="11"/>
        <color theme="1"/>
        <rFont val="Noto Sans CJK SC"/>
        <family val="2"/>
      </rPr>
      <t xml:space="preserve">泰國產能不必然豁免（美國價值含量門檻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</si>
  <si>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t xml:space="preserve">us_28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</si>
  <si>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</si>
  <si>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us_29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</si>
  <si>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</si>
  <si>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cpo_27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</si>
  <si>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</si>
  <si>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</si>
  <si>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公告：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XPO </t>
    </r>
    <r>
      <rPr>
        <sz val="11"/>
        <color theme="1"/>
        <rFont val="Noto Sans CJK SC"/>
        <family val="2"/>
      </rPr>
      <t xml:space="preserve">與部分重點客戶聯合研發並送樣（中華網轉載）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</si>
  <si>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光引擎與外部雷射多由雷射廠供應（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、天孚等；網通比對 </t>
    </r>
    <r>
      <rPr>
        <sz val="11"/>
        <color theme="1"/>
        <rFont val="Calibri"/>
        <family val="2"/>
        <charset val="1"/>
      </rPr>
      <t xml:space="preserve">N4b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</si>
  <si>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</si>
  <si>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</si>
  <si>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</si>
  <si>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</si>
  <si>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</si>
  <si>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</si>
  <si>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</si>
  <si>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：價格體系健康、競爭有序（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</si>
  <si>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</si>
  <si>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2028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</si>
  <si>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</si>
  <si>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2029</t>
    </r>
  </si>
  <si>
    <t xml:space="preserve">fx</t>
  </si>
  <si>
    <r>
      <rPr>
        <sz val="11"/>
        <color theme="1"/>
        <rFont val="Noto Sans CJK SC"/>
        <family val="2"/>
      </rPr>
      <t xml:space="preserve">人民幣兌美元（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）</t>
    </r>
  </si>
  <si>
    <t xml:space="preserve">RMB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</si>
  <si>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</si>
  <si>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：人民幣兌美元每變動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，稅前利潤約變動 </t>
    </r>
    <r>
      <rPr>
        <sz val="11"/>
        <color theme="1"/>
        <rFont val="Calibri"/>
        <family val="2"/>
        <charset val="1"/>
      </rPr>
      <t xml:space="preserve">6.45 </t>
    </r>
    <r>
      <rPr>
        <sz val="11"/>
        <color theme="1"/>
        <rFont val="Noto Sans CJK SC"/>
        <family val="2"/>
      </rPr>
      <t xml:space="preserve">億元（公司）</t>
    </r>
  </si>
  <si>
    <r>
      <rPr>
        <sz val="11"/>
        <color theme="1"/>
        <rFont val="Calibri"/>
        <family val="2"/>
        <charset val="1"/>
      </rPr>
      <t xml:space="preserve">Siliconomics SIF_fx_rmb</t>
    </r>
    <r>
      <rPr>
        <sz val="11"/>
        <color theme="1"/>
        <rFont val="Noto Sans CJK SC"/>
        <family val="2"/>
      </rPr>
      <t xml:space="preserve">（中國經濟網 </t>
    </r>
    <r>
      <rPr>
        <sz val="11"/>
        <color theme="1"/>
        <rFont val="Calibri"/>
        <family val="2"/>
        <charset val="1"/>
      </rPr>
      <t xml:space="preserve">2026-10-16 </t>
    </r>
    <r>
      <rPr>
        <sz val="11"/>
        <color theme="1"/>
        <rFont val="Noto Sans CJK SC"/>
        <family val="2"/>
      </rPr>
      <t xml:space="preserve">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）；海外營收占 </t>
    </r>
    <r>
      <rPr>
        <sz val="11"/>
        <color theme="1"/>
        <rFont val="Calibri"/>
        <family val="2"/>
        <charset val="1"/>
      </rPr>
      <t xml:space="preserve">90.6%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，公司）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</si>
  <si>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其他營收（國內、電信、</t>
    </r>
    <r>
      <rPr>
        <b val="true"/>
        <sz val="11"/>
        <rFont val="Cambria"/>
        <family val="0"/>
        <charset val="1"/>
      </rPr>
      <t xml:space="preserve">100G </t>
    </r>
    <r>
      <rPr>
        <b val="true"/>
        <sz val="11"/>
        <rFont val="Noto Sans CJK SC"/>
        <family val="2"/>
      </rPr>
      <t xml:space="preserve">以下、元件；網通模型未涵蓋）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</si>
  <si>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</si>
  <si>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</si>
  <si>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：國內營收 </t>
    </r>
    <r>
      <rPr>
        <sz val="11"/>
        <color theme="1"/>
        <rFont val="Calibri"/>
        <family val="2"/>
        <charset val="1"/>
      </rPr>
      <t xml:space="preserve">36.03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9.4%</t>
    </r>
    <r>
      <rPr>
        <sz val="11"/>
        <color theme="1"/>
        <rFont val="Noto Sans CJK SC"/>
        <family val="2"/>
      </rPr>
      <t xml:space="preserve">），含國內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800G</t>
    </r>
  </si>
  <si>
    <r>
      <rPr>
        <sz val="11"/>
        <color theme="1"/>
        <rFont val="Noto Sans CJK SC"/>
        <family val="2"/>
      </rPr>
      <t xml:space="preserve">光模組以外產品占 </t>
    </r>
    <r>
      <rPr>
        <sz val="11"/>
        <color theme="1"/>
        <rFont val="Calibri"/>
        <family val="2"/>
        <charset val="1"/>
      </rPr>
      <t xml:space="preserve">1.0%</t>
    </r>
    <r>
      <rPr>
        <sz val="11"/>
        <color theme="1"/>
        <rFont val="Noto Sans CJK SC"/>
        <family val="2"/>
      </rPr>
      <t xml:space="preserve">（搜狐轉載公司資料）</t>
    </r>
  </si>
  <si>
    <t xml:space="preserve">g_oth</t>
  </si>
  <si>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</si>
  <si>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國內營收 </t>
    </r>
    <r>
      <rPr>
        <sz val="11"/>
        <color theme="1"/>
        <rFont val="Calibri"/>
        <family val="2"/>
        <charset val="1"/>
      </rPr>
      <t xml:space="preserve">FY2025 +14.5%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</si>
  <si>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</si>
  <si>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</si>
  <si>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</si>
  <si>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46.59%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+6.63pt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</si>
  <si>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46%</t>
    </r>
    <r>
      <rPr>
        <sz val="11"/>
        <color theme="1"/>
        <rFont val="Noto Sans CJK SC"/>
        <family val="2"/>
      </rPr>
      <t xml:space="preserve">（歷史新高）→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（推導）</t>
    </r>
  </si>
  <si>
    <t xml:space="preserve">gm_27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</si>
  <si>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</si>
  <si>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、矽光占比上升（上推）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降價（下壓）</t>
    </r>
  </si>
  <si>
    <r>
      <rPr>
        <sz val="11"/>
        <color theme="1"/>
        <rFont val="Calibri"/>
        <family val="2"/>
        <charset val="1"/>
      </rPr>
      <t xml:space="preserve">https://pdf.dfcfw.com/pdf/H3_AP202610121830372080_1.pdf</t>
    </r>
    <r>
      <rPr>
        <sz val="11"/>
        <color theme="1"/>
        <rFont val="Noto Sans CJK SC"/>
        <family val="2"/>
      </rPr>
      <t xml:space="preserve">：光學元件與雷射約占成本 </t>
    </r>
    <r>
      <rPr>
        <sz val="11"/>
        <color theme="1"/>
        <rFont val="Calibri"/>
        <family val="2"/>
        <charset val="1"/>
      </rPr>
      <t xml:space="preserve">25–35%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等電子 </t>
    </r>
    <r>
      <rPr>
        <sz val="11"/>
        <color theme="1"/>
        <rFont val="Calibri"/>
        <family val="2"/>
        <charset val="1"/>
      </rPr>
      <t xml:space="preserve">20–28%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Singularity Research</t>
    </r>
    <r>
      <rPr>
        <sz val="11"/>
        <color theme="1"/>
        <rFont val="Noto Sans CJK SC"/>
        <family val="2"/>
      </rPr>
      <t xml:space="preserve">，次級來源）</t>
    </r>
  </si>
  <si>
    <t xml:space="preserve">gm_28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</si>
  <si>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</si>
  <si>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光模組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42.61%</t>
    </r>
    <r>
      <rPr>
        <sz val="11"/>
        <color theme="1"/>
        <rFont val="Noto Sans CJK SC"/>
        <family val="2"/>
      </rPr>
      <t xml:space="preserve">（公司）</t>
    </r>
  </si>
  <si>
    <t xml:space="preserve">gm_29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</si>
  <si>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</si>
  <si>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假設）</t>
    </r>
  </si>
  <si>
    <t xml:space="preserve">h1_rev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</si>
  <si>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</t>
    </r>
  </si>
  <si>
    <t xml:space="preserve">RMB B</t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</si>
  <si>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417.78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+182.49%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</si>
  <si>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：同值；光模組 </t>
    </r>
    <r>
      <rPr>
        <sz val="11"/>
        <color theme="1"/>
        <rFont val="Calibri"/>
        <family val="2"/>
        <charset val="1"/>
      </rPr>
      <t xml:space="preserve">413.55 </t>
    </r>
    <r>
      <rPr>
        <sz val="11"/>
        <color theme="1"/>
        <rFont val="Noto Sans CJK SC"/>
        <family val="2"/>
      </rPr>
      <t xml:space="preserve">億元</t>
    </r>
  </si>
  <si>
    <t xml:space="preserve">h1_gm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</si>
  <si>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毛利率（光模組，占營收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</si>
  <si>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報告（同花順轉載，網址見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46.59%</t>
    </r>
  </si>
  <si>
    <t xml:space="preserve">全公司毛利率未揭露：未找到（以光模組代用）</t>
  </si>
  <si>
    <t xml:space="preserve">h1_ni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</si>
  <si>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</si>
  <si>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136.51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+241.70%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</si>
  <si>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：同值</t>
    </r>
  </si>
  <si>
    <t xml:space="preserve">h1_eps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</si>
  <si>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</si>
  <si>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12.31 </t>
    </r>
    <r>
      <rPr>
        <sz val="11"/>
        <color theme="1"/>
        <rFont val="Noto Sans CJK SC"/>
        <family val="2"/>
      </rPr>
      <t xml:space="preserve">元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</si>
  <si>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</si>
  <si>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</si>
  <si>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</si>
  <si>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Hello China Tech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Rmb 19.5bn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+192%</t>
    </r>
    <r>
      <rPr>
        <sz val="11"/>
        <color theme="1"/>
        <rFont val="Noto Sans CJK SC"/>
        <family val="2"/>
      </rPr>
      <t xml:space="preserve">）</t>
    </r>
  </si>
  <si>
    <t xml:space="preserve">一季報原文：未找到</t>
  </si>
  <si>
    <t xml:space="preserve">q_g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</si>
  <si>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</si>
  <si>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2Q26 ÷ 1Q26 − 1 ≈ +14%</t>
    </r>
    <r>
      <rPr>
        <sz val="11"/>
        <color theme="1"/>
        <rFont val="Noto Sans CJK SC"/>
        <family val="2"/>
      </rPr>
      <t xml:space="preserve">（推導）；公司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：訂單覆蓋到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、部分客戶給出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指示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</si>
  <si>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101.5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2H26 ≈ 59.7</t>
    </r>
    <r>
      <rPr>
        <sz val="11"/>
        <color theme="1"/>
        <rFont val="Noto Sans CJK SC"/>
        <family val="2"/>
      </rPr>
      <t xml:space="preserve">（季增約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，推導）</t>
    </r>
  </si>
  <si>
    <t xml:space="preserve">tx</t>
  </si>
  <si>
    <t xml:space="preserve">有效稅率</t>
  </si>
  <si>
    <r>
      <rPr>
        <sz val="11"/>
        <color theme="1"/>
        <rFont val="Noto Sans CJK SC"/>
        <family val="2"/>
      </rPr>
      <t xml:space="preserve">高新技術企業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；海外子公司（泰國等）不同：未找到</t>
    </r>
  </si>
  <si>
    <t xml:space="preserve">attr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</si>
  <si>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淨利（含少數股權）</t>
    </r>
  </si>
  <si>
    <r>
      <rPr>
        <sz val="11"/>
        <color theme="1"/>
        <rFont val="Noto Sans CJK SC"/>
        <family val="2"/>
      </rPr>
      <t xml:space="preserve">東方財富轉載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）：歸母 </t>
    </r>
    <r>
      <rPr>
        <sz val="11"/>
        <color theme="1"/>
        <rFont val="Calibri"/>
        <family val="2"/>
        <charset val="1"/>
      </rPr>
      <t xml:space="preserve">107.97 ÷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115.8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</si>
  <si>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少數股權：未找到</t>
    </r>
  </si>
  <si>
    <t xml:space="preserve">sh_post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</si>
  <si>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股發行後總股數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</si>
  <si>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</si>
  <si>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https://www.sohu.com/a/1091020082_122014422</t>
    </r>
    <r>
      <rPr>
        <sz val="11"/>
        <color theme="1"/>
        <rFont val="Noto Sans CJK SC"/>
        <family val="2"/>
      </rPr>
      <t xml:space="preserve">：總市值 </t>
    </r>
    <r>
      <rPr>
        <sz val="11"/>
        <color theme="1"/>
        <rFont val="Calibri"/>
        <family val="2"/>
        <charset val="1"/>
      </rPr>
      <t xml:space="preserve">7,224.47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613.33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盤中）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</si>
  <si>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發行，每股 </t>
    </r>
    <r>
      <rPr>
        <sz val="11"/>
        <color theme="1"/>
        <rFont val="Calibri"/>
        <family val="2"/>
        <charset val="1"/>
      </rPr>
      <t xml:space="preserve">HK$980</t>
    </r>
  </si>
  <si>
    <t xml:space="preserve">q_sh_h1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</si>
  <si>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</si>
  <si>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</si>
  <si>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</si>
  <si>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</si>
  <si>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</si>
  <si>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382.4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+60.25%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</si>
  <si>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：同值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</si>
  <si>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</si>
  <si>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毛利率（光模組代用）</t>
    </r>
  </si>
  <si>
    <r>
      <rPr>
        <sz val="11"/>
        <color theme="1"/>
        <rFont val="Noto Sans CJK SC"/>
        <family val="2"/>
      </rPr>
      <t xml:space="preserve">東方財富轉載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）：光模組 </t>
    </r>
    <r>
      <rPr>
        <sz val="11"/>
        <color theme="1"/>
        <rFont val="Calibri"/>
        <family val="2"/>
        <charset val="1"/>
      </rPr>
      <t xml:space="preserve">42.61%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+7.96pt</t>
    </r>
    <r>
      <rPr>
        <sz val="11"/>
        <color theme="1"/>
        <rFont val="Noto Sans CJK SC"/>
        <family val="2"/>
      </rPr>
      <t xml:space="preserve">）</t>
    </r>
  </si>
  <si>
    <t xml:space="preserve">全公司毛利率：未找到</t>
  </si>
  <si>
    <t xml:space="preserve">a25_ni_in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</si>
  <si>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</si>
  <si>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107.97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+108.78%</t>
    </r>
    <r>
      <rPr>
        <sz val="11"/>
        <color theme="1"/>
        <rFont val="Noto Sans CJK SC"/>
        <family val="2"/>
      </rPr>
      <t xml:space="preserve">）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</si>
  <si>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</si>
  <si>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股數（近似）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</si>
  <si>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：未找到；以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加權股數近似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</si>
  <si>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</si>
  <si>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</si>
  <si>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營業費用（含減值與其他）成長對營收成長的彈性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</si>
  <si>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</si>
  <si>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銷售＋管理＋研發＋財務費用 </t>
    </r>
    <r>
      <rPr>
        <sz val="11"/>
        <color theme="1"/>
        <rFont val="Calibri"/>
        <family val="2"/>
        <charset val="1"/>
      </rPr>
      <t xml:space="preserve">27.86 </t>
    </r>
    <r>
      <rPr>
        <sz val="11"/>
        <color theme="1"/>
        <rFont val="Noto Sans CJK SC"/>
        <family val="2"/>
      </rPr>
      <t xml:space="preserve">億元、銷售費用率 </t>
    </r>
    <r>
      <rPr>
        <sz val="11"/>
        <color theme="1"/>
        <rFont val="Calibri"/>
        <family val="2"/>
        <charset val="1"/>
      </rPr>
      <t xml:space="preserve">0.59%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</si>
  <si>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</si>
  <si>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</si>
  <si>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</si>
  <si>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</si>
  <si>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</si>
  <si>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</si>
  <si>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</si>
  <si>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股發行後無已知增發；有回購（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806.93–944.68 </t>
    </r>
    <r>
      <rPr>
        <sz val="11"/>
        <color theme="1"/>
        <rFont val="Noto Sans CJK SC"/>
        <family val="2"/>
      </rPr>
      <t xml:space="preserve">元成交）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</si>
  <si>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</si>
  <si>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</si>
  <si>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</si>
  <si>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</si>
  <si>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</si>
  <si>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</si>
  <si>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</si>
  <si>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https://basic.10jqka.com.cn/300308/worth.html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</si>
  <si>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區間見同頁</t>
  </si>
  <si>
    <t xml:space="preserve">cons_ni26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</si>
  <si>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</si>
  <si>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https://basic.10jqka.com.cn/300308/worth.html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</si>
  <si>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</si>
  <si>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</si>
  <si>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</si>
  <si>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</si>
  <si>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</si>
  <si>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</si>
  <si>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</si>
  <si>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</si>
  <si>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</si>
  <si>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</si>
  <si>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</si>
  <si>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</si>
  <si>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</si>
  <si>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</si>
  <si>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t xml:space="preserve">gs_ni27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</si>
  <si>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歸母淨利（單一券商）</t>
    </r>
  </si>
  <si>
    <r>
      <rPr>
        <sz val="11"/>
        <color theme="1"/>
        <rFont val="Calibri"/>
        <family val="2"/>
        <charset val="1"/>
      </rPr>
      <t xml:space="preserve">https://www.21jingji.com/article/20261023/c6f736ac52a4cda8658a9afc828059c5.html</t>
    </r>
    <r>
      <rPr>
        <sz val="11"/>
        <color theme="1"/>
        <rFont val="Noto Sans CJK SC"/>
        <family val="2"/>
      </rPr>
      <t xml:space="preserve">：高盛（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869 </t>
    </r>
    <r>
      <rPr>
        <sz val="11"/>
        <color theme="1"/>
        <rFont val="Noto Sans CJK SC"/>
        <family val="2"/>
      </rPr>
      <t xml:space="preserve">億元，目標價 </t>
    </r>
    <r>
      <rPr>
        <sz val="11"/>
        <color theme="1"/>
        <rFont val="Calibri"/>
        <family val="2"/>
        <charset val="1"/>
      </rPr>
      <t xml:space="preserve">2,645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</si>
  <si>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股聯席保薦人之一（利害關係）</t>
    </r>
  </si>
  <si>
    <t xml:space="preserve">lc_dc26</t>
  </si>
  <si>
    <r>
      <rPr>
        <sz val="11"/>
        <color theme="1"/>
        <rFont val="Calibri"/>
        <family val="2"/>
        <charset val="1"/>
      </rPr>
      <t xml:space="preserve">LightCounting 2026 </t>
    </r>
    <r>
      <rPr>
        <sz val="11"/>
        <color theme="1"/>
        <rFont val="Noto Sans CJK SC"/>
        <family val="2"/>
      </rPr>
      <t xml:space="preserve">全球數通光模組市場</t>
    </r>
  </si>
  <si>
    <r>
      <rPr>
        <sz val="11"/>
        <color theme="1"/>
        <rFont val="Calibri"/>
        <family val="2"/>
        <charset val="1"/>
      </rPr>
      <t xml:space="preserve">https://pdf.dfcfw.com/pdf/H3_AP202610121830372080_1.pdf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228 </t>
    </r>
    <r>
      <rPr>
        <sz val="11"/>
        <color theme="1"/>
        <rFont val="Noto Sans CJK SC"/>
        <family val="2"/>
      </rPr>
      <t xml:space="preserve">億美元（引 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</si>
  <si>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可插拔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光學較高（見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節）</t>
    </r>
  </si>
  <si>
    <t xml:space="preserve">sh800</t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</si>
  <si>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份額（次級來源，中點）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</si>
  <si>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35–40%</t>
    </r>
  </si>
  <si>
    <r>
      <rPr>
        <sz val="11"/>
        <color theme="1"/>
        <rFont val="Calibri"/>
        <family val="2"/>
        <charset val="1"/>
      </rPr>
      <t xml:space="preserve">Photon Cap</t>
    </r>
    <r>
      <rPr>
        <sz val="11"/>
        <color theme="1"/>
        <rFont val="Noto Sans CJK SC"/>
        <family val="2"/>
      </rPr>
      <t xml:space="preserve">：中際旭創＋新易盛約占 </t>
    </r>
    <r>
      <rPr>
        <sz val="11"/>
        <color theme="1"/>
        <rFont val="Calibri"/>
        <family val="2"/>
        <charset val="1"/>
      </rPr>
      <t xml:space="preserve">NVIDIA 800G 60%</t>
    </r>
  </si>
  <si>
    <t xml:space="preserve">sh16</t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</si>
  <si>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份額（次級來源，中點）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</si>
  <si>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50–70%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</si>
  <si>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全球份額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以上（未經證實的公開資訊）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</si>
  <si>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</si>
  <si>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</si>
  <si>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中際旭創</t>
    </r>
    <r>
      <rPr>
        <sz val="11"/>
        <color theme="1"/>
        <rFont val="Calibri"/>
        <family val="2"/>
        <charset val="1"/>
      </rPr>
      <t xml:space="preserve">_20261024 Q8b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</si>
  <si>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</si>
  <si>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</si>
  <si>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</si>
  <si>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</si>
  <si>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https://www.etnet.com.hk/www/sc/ashares/quote.php?code=300308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612.63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+3.82%</t>
    </r>
    <r>
      <rPr>
        <sz val="11"/>
        <color theme="1"/>
        <rFont val="Noto Sans CJK SC"/>
        <family val="2"/>
      </rPr>
      <t xml:space="preserve">；前收 </t>
    </r>
    <r>
      <rPr>
        <sz val="11"/>
        <color theme="1"/>
        <rFont val="Calibri"/>
        <family val="2"/>
        <charset val="1"/>
      </rPr>
      <t xml:space="preserve">590.11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</si>
  <si>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https://www.21jingji.com/article/20261023/c6f736ac52a4cda8658a9afc828059c5.html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590.11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</si>
  <si>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</si>
  <si>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</si>
  <si>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https://www.google.com/finance/quote/300308:SHE?hl=zh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337.00–1,416.88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</si>
  <si>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</si>
  <si>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</si>
  <si>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</si>
  <si>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</si>
  <si>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</si>
  <si>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</si>
  <si>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</si>
  <si>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</si>
  <si>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</si>
  <si>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</si>
  <si>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</si>
  <si>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</si>
  <si>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</si>
  <si>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</si>
  <si>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</si>
  <si>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</si>
  <si>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</si>
  <si>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</si>
  <si>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</si>
  <si>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16.45%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30.64%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44.61%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歸母口徑）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</si>
  <si>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64.62%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</si>
  <si>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</si>
  <si>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</si>
  <si>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</si>
  <si>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</si>
  <si>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</si>
  <si>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</si>
  <si>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</si>
  <si>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</si>
  <si>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</si>
  <si>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</si>
  <si>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</si>
  <si>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</si>
  <si>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</si>
  <si>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</si>
  <si>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</si>
  <si>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</si>
  <si>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</si>
  <si>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</si>
  <si>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</si>
  <si>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</si>
  <si>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</si>
  <si>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</si>
  <si>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</si>
  <si>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彙整）預測頁：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1,321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430–1,800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</si>
  <si>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同站統計頁 </t>
    </r>
    <r>
      <rPr>
        <sz val="11"/>
        <color theme="1"/>
        <rFont val="Calibri"/>
        <family val="2"/>
        <charset val="1"/>
      </rPr>
      <t xml:space="preserve">1,392.11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位）；兩頁家數不同，取預測頁；多數目標價訂於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</si>
  <si>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</si>
  <si>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</si>
  <si>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頁同花順共識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同期間）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</si>
  <si>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</si>
  <si>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t xml:space="preserve">fcf_da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</si>
  <si>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</si>
  <si>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819.47 </t>
    </r>
    <r>
      <rPr>
        <sz val="11"/>
        <color theme="1"/>
        <rFont val="Noto Sans CJK SC"/>
        <family val="2"/>
      </rPr>
      <t xml:space="preserve">百萬元（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轉載現金流量表）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38,240 </t>
    </r>
    <r>
      <rPr>
        <sz val="11"/>
        <color theme="1"/>
        <rFont val="Noto Sans CJK SC"/>
        <family val="2"/>
      </rPr>
      <t xml:space="preserve">百萬元（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</si>
  <si>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起沿用最近一個完整年度（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）年報比率（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）；只用於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頁自由現金流列，不進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</t>
    </r>
  </si>
  <si>
    <t xml:space="preserve">fcf_capex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</si>
  <si>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</si>
  <si>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年報：購建固定資產、無形資產和其他長期資產支付的現金 </t>
    </r>
    <r>
      <rPr>
        <sz val="11"/>
        <color theme="1"/>
        <rFont val="Calibri"/>
        <family val="2"/>
        <charset val="1"/>
      </rPr>
      <t xml:space="preserve">2,759.99 </t>
    </r>
    <r>
      <rPr>
        <sz val="11"/>
        <color theme="1"/>
        <rFont val="Noto Sans CJK SC"/>
        <family val="2"/>
      </rPr>
      <t xml:space="preserve">百萬元（中財網；</t>
    </r>
    <r>
      <rPr>
        <sz val="11"/>
        <color theme="1"/>
        <rFont val="Calibri"/>
        <family val="2"/>
        <charset val="1"/>
      </rPr>
      <t xml:space="preserve">stockanalysis 2,760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38,240 </t>
    </r>
    <r>
      <rPr>
        <sz val="11"/>
        <color theme="1"/>
        <rFont val="Noto Sans CJK SC"/>
        <family val="2"/>
      </rPr>
      <t xml:space="preserve">百萬元（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</si>
  <si>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</si>
  <si>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</si>
  <si>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</si>
  <si>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</si>
  <si>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</si>
  <si>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</si>
  <si>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</si>
  <si>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</si>
  <si>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</si>
  <si>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</si>
  <si>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</si>
  <si>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</si>
  <si>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</si>
  <si>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</si>
  <si>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</si>
  <si>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</si>
  <si>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</si>
  <si>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</si>
  <si>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</si>
  <si>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</si>
  <si>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</si>
  <si>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</si>
  <si>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</si>
  <si>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</si>
  <si>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</si>
  <si>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</si>
  <si>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</si>
  <si>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</si>
  <si>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</si>
  <si>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</si>
  <si>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</si>
  <si>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</si>
  <si>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</si>
  <si>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</si>
  <si>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</si>
  <si>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</si>
  <si>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</si>
  <si>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</si>
  <si>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</si>
  <si>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為人民幣；股數為十億股）。藍字＝輸入；黑字＝公式。口徑：歸母淨利；毛利率以光模組（占營收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）代用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</si>
  <si>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營收依季增假設；毛利率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；營業費用率同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）。營業費用、減值與其他為殘差：毛利 − 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［（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歸母比例］。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</si>
  <si>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</si>
  <si>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</si>
  <si>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</si>
  <si>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</si>
  <si>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</si>
  <si>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</si>
  <si>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</si>
  <si>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</si>
  <si>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</si>
  <si>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1H26 − 1Q26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</si>
  <si>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t xml:space="preserve">毛利</t>
  </si>
  <si>
    <t xml:space="preserve">毛利率</t>
  </si>
  <si>
    <r>
      <rPr>
        <sz val="11"/>
        <color theme="1"/>
        <rFont val="Noto Sans CJK SC"/>
        <family val="2"/>
      </rPr>
      <t xml:space="preserve">稅後歸母係數 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</si>
  <si>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</si>
  <si>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營業費用、減值與其他（淨）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</si>
  <si>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</si>
  <si>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殘差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，與公司四項費用合計 </t>
    </r>
    <r>
      <rPr>
        <sz val="11"/>
        <color theme="1"/>
        <rFont val="Calibri"/>
        <family val="2"/>
        <charset val="1"/>
      </rPr>
      <t xml:space="preserve">27.86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7.3%</t>
    </r>
    <r>
      <rPr>
        <sz val="11"/>
        <color theme="1"/>
        <rFont val="Noto Sans CJK SC"/>
        <family val="2"/>
      </rPr>
      <t xml:space="preserve">）相近</t>
    </r>
  </si>
  <si>
    <t xml:space="preserve">營業費用率</t>
  </si>
  <si>
    <t xml:space="preserve">歸母淨利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</si>
  <si>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</si>
  <si>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</si>
  <si>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t xml:space="preserve">股數（十億股）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</si>
  <si>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× ½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 </t>
    </r>
    <r>
      <rPr>
        <sz val="11"/>
        <color theme="1"/>
        <rFont val="Calibri"/>
        <family val="2"/>
        <charset val="1"/>
      </rPr>
      <t xml:space="preserve">× ½</t>
    </r>
    <r>
      <rPr>
        <sz val="11"/>
        <color theme="1"/>
        <rFont val="Noto Sans CJK SC"/>
        <family val="2"/>
      </rPr>
      <t xml:space="preserve">（近似）</t>
    </r>
  </si>
  <si>
    <t xml:space="preserve">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</si>
  <si>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12.31</t>
    </r>
  </si>
  <si>
    <r>
      <rPr>
        <sz val="11"/>
        <color theme="1"/>
        <rFont val="Noto Sans CJK SC"/>
        <family val="2"/>
      </rPr>
      <t xml:space="preserve">其他營收（國內、電信等；＝營收 </t>
    </r>
    <r>
      <rPr>
        <sz val="11"/>
        <color theme="1"/>
        <rFont val="Calibri"/>
        <family val="2"/>
        <charset val="1"/>
      </rPr>
      <t xml:space="preserve">× oth_s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</si>
  <si>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</si>
  <si>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fx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</si>
  <si>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</si>
  <si>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</si>
  <si>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</si>
  <si>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</si>
  <si>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</si>
  <si>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</si>
  <si>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1H26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12.31</t>
    </r>
  </si>
  <si>
    <r>
      <rPr>
        <b val="true"/>
        <sz val="11"/>
        <rFont val="Noto Sans CJK SC"/>
        <family val="2"/>
      </rPr>
      <t xml:space="preserve">官方報告產品別（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年報；分部原則第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條）</t>
    </r>
  </si>
  <si>
    <r>
      <rPr>
        <sz val="11"/>
        <color theme="1"/>
        <rFont val="Noto Sans CJK SC"/>
        <family val="2"/>
      </rPr>
      <t xml:space="preserve">光通信收發模組營收（含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與國內、電信）</t>
    </r>
  </si>
  <si>
    <r>
      <rPr>
        <sz val="11"/>
        <color theme="1"/>
        <rFont val="Noto Sans CJK SC"/>
        <family val="2"/>
      </rPr>
      <t xml:space="preserve">華爾街見聞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年報產品構成）：光通信收發模組 </t>
    </r>
    <r>
      <rPr>
        <sz val="11"/>
        <color theme="1"/>
        <rFont val="Calibri"/>
        <family val="2"/>
        <charset val="1"/>
      </rPr>
      <t xml:space="preserve">374.57 </t>
    </r>
    <r>
      <rPr>
        <sz val="11"/>
        <color theme="1"/>
        <rFont val="Noto Sans CJK SC"/>
        <family val="2"/>
      </rPr>
      <t xml:space="preserve">億元、占 </t>
    </r>
    <r>
      <rPr>
        <sz val="11"/>
        <color theme="1"/>
        <rFont val="Calibri"/>
        <family val="2"/>
        <charset val="1"/>
      </rPr>
      <t xml:space="preserve">97.95%</t>
    </r>
  </si>
  <si>
    <t xml:space="preserve">其他產品營收（差額）</t>
  </si>
  <si>
    <t xml:space="preserve">合併營收 − 光通信收發模組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</si>
  <si>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</si>
  <si>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營收屬光通信收發模組，推估年以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／其他拆分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</si>
  <si>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中際旭創在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</si>
  <si>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</si>
  <si>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</si>
  <si>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</si>
  <si>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</si>
  <si>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</si>
  <si>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</si>
  <si>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</si>
  <si>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÷</t>
    </r>
    <r>
      <rPr>
        <sz val="11"/>
        <color theme="1"/>
        <rFont val="Noto Sans CJK SC"/>
        <family val="2"/>
      </rPr>
      <t xml:space="preserve">（可插拔＋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</si>
  <si>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滲透率</t>
    </r>
  </si>
  <si>
    <t xml:space="preserve">中際旭創可插拔有效份額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</si>
  <si>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</si>
  <si>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；美元）</t>
    </r>
  </si>
  <si>
    <r>
      <rPr>
        <sz val="11"/>
        <color theme="1"/>
        <rFont val="Noto Sans CJK SC"/>
        <family val="2"/>
      </rPr>
      <t xml:space="preserve">其他廠商（新易盛、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</si>
  <si>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</si>
  <si>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</si>
  <si>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有效份額落在次級來源 </t>
    </r>
    <r>
      <rPr>
        <b val="true"/>
        <sz val="11"/>
        <rFont val="Cambria"/>
        <family val="0"/>
        <charset val="1"/>
      </rPr>
      <t xml:space="preserve">800G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35–40%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1.6T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50–70% </t>
    </r>
    <r>
      <rPr>
        <b val="true"/>
        <sz val="11"/>
        <rFont val="Noto Sans CJK SC"/>
        <family val="2"/>
      </rPr>
      <t xml:space="preserve">之間；份額相對值與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</si>
  <si>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中際旭創損益（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起三情境讀不同的網通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</si>
  <si>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</si>
  <si>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</si>
  <si>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</si>
  <si>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</si>
  <si>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</si>
  <si>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</si>
  <si>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</si>
  <si>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</si>
  <si>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</si>
  <si>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</si>
  <si>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</si>
  <si>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</si>
  <si>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t xml:space="preserve">  其他營收</t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</si>
  <si>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</si>
  <si>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</si>
  <si>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</si>
  <si>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</si>
  <si>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營收、歸母淨利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</si>
  <si>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</si>
  <si>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</si>
  <si>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：稅前利益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 − 歸母淨利錨點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</si>
  <si>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</si>
  <si>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</si>
  <si>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</si>
  <si>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</si>
  <si>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人民幣兌美元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</si>
  <si>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校準用基準匯率；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</si>
  <si>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</si>
  <si>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</si>
  <si>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</si>
  <si>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可插拔有效份額</t>
  </si>
  <si>
    <t xml:space="preserve">單價係數（相對網通模型）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</si>
  <si>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</si>
  <si>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</si>
  <si>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</si>
  <si>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其他營收與合計</t>
    </r>
  </si>
  <si>
    <t xml:space="preserve">其他營收（國內、電信等）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</si>
  <si>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</si>
  <si>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</si>
  <si>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</si>
  <si>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與矽光上推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降價下壓）</t>
    </r>
  </si>
  <si>
    <t xml:space="preserve">營業費用、減值與其他（基準路徑）</t>
  </si>
  <si>
    <t xml:space="preserve">營業費用、減值與其他</t>
  </si>
  <si>
    <t xml:space="preserve">稅前利益（＝毛利 − 營業費用等）</t>
  </si>
  <si>
    <t xml:space="preserve">稅前利益率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</si>
  <si>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</si>
  <si>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</si>
  <si>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</si>
  <si>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</si>
  <si>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請求）：歸母淨利＋折舊 − 資本支出；折舊、資本支出＝各年營收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fcf_da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fcf_capex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年報比率）；不含營運資金變動、不進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</t>
    </r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</si>
  <si>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</si>
  <si>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</si>
  <si>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</si>
  <si>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</si>
  <si>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</si>
  <si>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為實績營收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年報比率；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</si>
  <si>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</si>
  <si>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</si>
  <si>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節）；結論另列「現價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規則值（參考）。十年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年併購旭創完成前為中際裝備，不可比）</t>
    </r>
  </si>
  <si>
    <r>
      <rPr>
        <sz val="11"/>
        <color theme="1"/>
        <rFont val="Noto Sans CJK SC"/>
        <family val="2"/>
      </rPr>
      <t xml:space="preserve">循環位置：中際旭創不是設備股，不套設備市場見頂年；以本模型營收最高的會計年度為見頂年（比照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</si>
  <si>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</si>
  <si>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</si>
  <si>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</si>
  <si>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</si>
  <si>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</si>
  <si>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</si>
  <si>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</si>
  <si>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</si>
  <si>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</si>
  <si>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</si>
  <si>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</si>
  <si>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</si>
  <si>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</si>
  <si>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</si>
  <si>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</si>
  <si>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</si>
  <si>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</si>
  <si>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</si>
  <si>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</si>
  <si>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</si>
  <si>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</si>
  <si>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</si>
  <si>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</si>
  <si>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</si>
  <si>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</si>
  <si>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</si>
  <si>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</si>
  <si>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新易盛（</t>
    </r>
    <r>
      <rPr>
        <sz val="11"/>
        <color theme="1"/>
        <rFont val="Calibri"/>
        <family val="2"/>
        <charset val="1"/>
      </rPr>
      <t xml:space="preserve">Eoptolink</t>
    </r>
    <r>
      <rPr>
        <sz val="11"/>
        <color theme="1"/>
        <rFont val="Noto Sans CJK SC"/>
        <family val="2"/>
      </rPr>
      <t xml:space="preserve">）</t>
    </r>
  </si>
  <si>
    <t xml:space="preserve">300502.SZ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</si>
  <si>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</si>
  <si>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共識；價格日期如左）</t>
    </r>
  </si>
  <si>
    <r>
      <rPr>
        <sz val="11"/>
        <color theme="1"/>
        <rFont val="Noto Sans CJK SC"/>
        <family val="2"/>
      </rPr>
      <t xml:space="preserve">天孚通信（</t>
    </r>
    <r>
      <rPr>
        <sz val="11"/>
        <color theme="1"/>
        <rFont val="Calibri"/>
        <family val="2"/>
        <charset val="1"/>
      </rPr>
      <t xml:space="preserve">TFC</t>
    </r>
    <r>
      <rPr>
        <sz val="11"/>
        <color theme="1"/>
        <rFont val="Noto Sans CJK SC"/>
        <family val="2"/>
      </rPr>
      <t xml:space="preserve">）</t>
    </r>
  </si>
  <si>
    <t xml:space="preserve">300394.SZ</t>
  </si>
  <si>
    <t xml:space="preserve">2026-09-30</t>
  </si>
  <si>
    <t xml:space="preserve">同上（頁面價格日期較舊）</t>
  </si>
  <si>
    <r>
      <rPr>
        <sz val="11"/>
        <color theme="1"/>
        <rFont val="Noto Sans CJK SC"/>
        <family val="2"/>
      </rPr>
      <t xml:space="preserve">光迅科技（</t>
    </r>
    <r>
      <rPr>
        <sz val="11"/>
        <color theme="1"/>
        <rFont val="Calibri"/>
        <family val="2"/>
        <charset val="1"/>
      </rPr>
      <t xml:space="preserve">Accelink</t>
    </r>
    <r>
      <rPr>
        <sz val="11"/>
        <color theme="1"/>
        <rFont val="Noto Sans CJK SC"/>
        <family val="2"/>
      </rPr>
      <t xml:space="preserve">）</t>
    </r>
  </si>
  <si>
    <t xml:space="preserve">002281.SZ</t>
  </si>
  <si>
    <t xml:space="preserve">2026-08-18</t>
  </si>
  <si>
    <r>
      <rPr>
        <sz val="11"/>
        <color theme="1"/>
        <rFont val="Noto Sans CJK SC"/>
        <family val="2"/>
      </rPr>
      <t xml:space="preserve">華工科技（</t>
    </r>
    <r>
      <rPr>
        <sz val="11"/>
        <color theme="1"/>
        <rFont val="Calibri"/>
        <family val="2"/>
        <charset val="1"/>
      </rPr>
      <t xml:space="preserve">HGTECH</t>
    </r>
    <r>
      <rPr>
        <sz val="11"/>
        <color theme="1"/>
        <rFont val="Noto Sans CJK SC"/>
        <family val="2"/>
      </rPr>
      <t xml:space="preserve">）</t>
    </r>
  </si>
  <si>
    <t xml:space="preserve">000988.SZ</t>
  </si>
  <si>
    <t xml:space="preserve">2026-08-07</t>
  </si>
  <si>
    <r>
      <rPr>
        <sz val="11"/>
        <color theme="1"/>
        <rFont val="Noto Sans CJK SC"/>
        <family val="2"/>
      </rPr>
      <t xml:space="preserve">劍橋科技（</t>
    </r>
    <r>
      <rPr>
        <sz val="11"/>
        <color theme="1"/>
        <rFont val="Calibri"/>
        <family val="2"/>
        <charset val="1"/>
      </rPr>
      <t xml:space="preserve">CIG</t>
    </r>
    <r>
      <rPr>
        <sz val="11"/>
        <color theme="1"/>
        <rFont val="Noto Sans CJK SC"/>
        <family val="2"/>
      </rPr>
      <t xml:space="preserve">）</t>
    </r>
  </si>
  <si>
    <t xml:space="preserve">603083.SS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</si>
  <si>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</si>
  <si>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股光通訊同業（中際旭創是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股公司，同業只用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</si>
  <si>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</si>
  <si>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</si>
  <si>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</si>
  <si>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</si>
  <si>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</si>
  <si>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</si>
  <si>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</si>
  <si>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</si>
  <si>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</si>
  <si>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</si>
  <si>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1,321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擷取）；多數訂於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</si>
  <si>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</si>
  <si>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</si>
  <si>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</si>
  <si>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</si>
  <si>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共識，與本模型同期間加權）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</si>
  <si>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</si>
  <si>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</si>
  <si>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</si>
  <si>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</si>
  <si>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</si>
  <si>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</si>
  <si>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股光通訊同業（新易盛、天孚通信、光迅科技、華工科技、劍橋科技）前瞻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中位數；同業規模較小、部分價格日期為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月，而新易盛只有約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倍，中位數偏高估。情境對應：顆數情境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替代快），顆數差異從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</si>
  <si>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</si>
  <si>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</si>
  <si>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</si>
  <si>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</si>
  <si>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</si>
  <si>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</si>
  <si>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</si>
  <si>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</si>
  <si>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</si>
  <si>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</si>
  <si>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</si>
  <si>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</si>
  <si>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</si>
  <si>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</si>
  <si>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</si>
  <si>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</si>
  <si>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；推導）</t>
    </r>
  </si>
  <si>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歸母淨利＝</t>
    </r>
    <r>
      <rPr>
        <sz val="11"/>
        <color theme="1"/>
        <rFont val="Calibri"/>
        <family val="2"/>
        <charset val="1"/>
      </rPr>
      <t xml:space="preserve">1H26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241.7%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</si>
  <si>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</si>
  <si>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</si>
  <si>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</si>
  <si>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</si>
  <si>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</si>
  <si>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</si>
  <si>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</si>
  <si>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</si>
  <si>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</si>
  <si>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</si>
  <si>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</si>
  <si>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</si>
  <si>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</si>
  <si>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</si>
  <si>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</si>
  <si>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</si>
  <si>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</si>
  <si>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</si>
  <si>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</si>
  <si>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</si>
  <si>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分位（見頂倍數）、第五列＝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。若市場對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用見頂倍數，現價隱含的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遠低於模型——要成立，需要份額、單價或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替代其中至少一項大幅不利（見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</si>
  <si>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30x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</si>
  <si>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30x</t>
  </si>
  <si>
    <t xml:space="preserve">FY2028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</si>
  <si>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</si>
  <si>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依循環位置取分位。只有一個來源、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年（第二來源：未找到）。歷史倍數為落後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，且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年為高成長期（</t>
    </r>
    <r>
      <rPr>
        <sz val="11"/>
        <color theme="1"/>
        <rFont val="Calibri"/>
        <family val="2"/>
        <charset val="1"/>
      </rPr>
      <t xml:space="preserve">98x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65x</t>
    </r>
    <r>
      <rPr>
        <sz val="11"/>
        <color theme="1"/>
        <rFont val="Noto Sans CJK SC"/>
        <family val="2"/>
      </rPr>
      <t xml:space="preserve">），規則值可能高估成長放緩後的倍數；前瞻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（抓取單已含 </t>
    </r>
    <r>
      <rPr>
        <sz val="11"/>
        <color theme="1"/>
        <rFont val="Calibri"/>
        <family val="2"/>
        <charset val="1"/>
      </rPr>
      <t xml:space="preserve">300308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</si>
  <si>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</si>
  <si>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</si>
  <si>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</si>
  <si>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</si>
  <si>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</si>
  <si>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2018–2025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為併購前的中際裝備，不用）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</si>
  <si>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</si>
  <si>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</si>
  <si>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</si>
  <si>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</si>
  <si>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</si>
  <si>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</si>
  <si>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</si>
  <si>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</si>
  <si>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</si>
  <si>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</si>
  <si>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</si>
  <si>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</si>
  <si>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</si>
  <si>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</si>
  <si>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</si>
  <si>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</si>
  <si>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</si>
  <si>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</si>
  <si>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</si>
  <si>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</si>
  <si>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</si>
  <si>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</si>
  <si>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</si>
  <si>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</si>
  <si>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</si>
  <si>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</si>
  <si>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</si>
  <si>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</si>
  <si>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</si>
  <si>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</si>
  <si>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</si>
  <si>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</si>
  <si>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</si>
  <si>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</si>
  <si>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</si>
  <si>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</si>
  <si>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</si>
  <si>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</si>
  <si>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</si>
  <si>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</si>
  <si>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</si>
  <si>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</si>
  <si>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</si>
  <si>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依循環位置取分位（以本模型營收最高年判定：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分位）；倍數只有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一個來源、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）。十年倍數多為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前、公司規模較小時期的高倍數（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98x</t>
    </r>
    <r>
      <rPr>
        <sz val="11"/>
        <color theme="1"/>
        <rFont val="Noto Sans CJK SC"/>
        <family val="2"/>
      </rPr>
      <t xml:space="preserve">），偏誤方向為高估；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隱含價相近、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另差在倍數；隱含價約為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</si>
  <si>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</si>
  <si>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</si>
  <si>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</si>
  <si>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</si>
  <si>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</si>
  <si>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</si>
  <si>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</si>
  <si>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</si>
  <si>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</si>
  <si>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</si>
  <si>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</si>
  <si>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</si>
  <si>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</si>
  <si>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</si>
  <si>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</si>
  <si>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</si>
  <si>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</si>
  <si>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中際旭創</t>
  </si>
  <si>
    <t xml:space="preserve">300308.SZ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</si>
  <si>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</si>
  <si>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300308 CH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</si>
  <si>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</si>
  <si>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300502 CH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</si>
  <si>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300394 CH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</si>
  <si>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002281 CH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</si>
  <si>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000988 CH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</si>
  <si>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603083 CH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</si>
  <si>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</si>
  <si>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</si>
  <si>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</si>
  <si>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</si>
  <si>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</si>
  <si>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</si>
  <si>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</si>
  <si>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</si>
  <si>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</si>
  <si>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</si>
  <si>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</si>
  <si>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</si>
  <si>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</si>
  <si>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</si>
  <si>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共識、券商、研調份額。只作事後對照，不為對上數字而調參數。共識區間很寬（</t>
    </r>
    <r>
      <rPr>
        <sz val="11"/>
        <color theme="1"/>
        <rFont val="Calibri"/>
        <family val="2"/>
        <charset val="1"/>
      </rPr>
      <t xml:space="preserve">FY2027 EPS 35.4–75.7</t>
    </r>
    <r>
      <rPr>
        <sz val="11"/>
        <color theme="1"/>
        <rFont val="Noto Sans CJK SC"/>
        <family val="2"/>
      </rPr>
      <t xml:space="preserve">），差距需併看區間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</si>
  <si>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</si>
  <si>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</si>
  <si>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</si>
  <si>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</si>
  <si>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</si>
  <si>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</si>
  <si>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</si>
  <si>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</si>
  <si>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</si>
  <si>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</si>
  <si>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</si>
  <si>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季增假設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</si>
  <si>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</si>
  <si>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</si>
  <si>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</si>
  <si>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113.4–266.4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</si>
  <si>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</si>
  <si>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39.4–89.2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</si>
  <si>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</si>
  <si>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經濟網轉引高盛（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</si>
  <si>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高盛為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股聯席保薦人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</si>
  <si>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</si>
  <si>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35.37–75.71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</si>
  <si>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</si>
  <si>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同花順</t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</si>
  <si>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</si>
  <si>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55.57–116.11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</si>
  <si>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</si>
  <si>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vs 800G </t>
    </r>
    <r>
      <rPr>
        <sz val="11"/>
        <color theme="1"/>
        <rFont val="Noto Sans CJK SC"/>
        <family val="2"/>
      </rPr>
      <t xml:space="preserve">份額（次級來源中點）</t>
    </r>
  </si>
  <si>
    <t xml:space="preserve">Hello China Tech</t>
  </si>
  <si>
    <r>
      <rPr>
        <sz val="11"/>
        <color theme="1"/>
        <rFont val="Noto Sans CJK SC"/>
        <family val="2"/>
      </rPr>
      <t xml:space="preserve">有效份額含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（份額較高）與國內以外的全部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</si>
  <si>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vs 1.6T </t>
    </r>
    <r>
      <rPr>
        <sz val="11"/>
        <color theme="1"/>
        <rFont val="Noto Sans CJK SC"/>
        <family val="2"/>
      </rPr>
      <t xml:space="preserve">份額（次級來源中點）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</si>
  <si>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vs LightCounting 2026 </t>
    </r>
    <r>
      <rPr>
        <sz val="11"/>
        <color theme="1"/>
        <rFont val="Noto Sans CJK SC"/>
        <family val="2"/>
      </rPr>
      <t xml:space="preserve">數通光模組市場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</si>
  <si>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（愛建證券轉引）</t>
    </r>
  </si>
  <si>
    <r>
      <rPr>
        <sz val="11"/>
        <color theme="1"/>
        <rFont val="Noto Sans CJK SC"/>
        <family val="2"/>
      </rPr>
      <t xml:space="preserve">比值＝隱含份額；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預測可能偏保守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</si>
  <si>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</si>
  <si>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</si>
  <si>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資本支出分到的光模組營收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</si>
  <si>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可插拔有效份額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</si>
  <si>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</si>
  <si>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股數以淨利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推導，恆等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</si>
  <si>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</si>
  <si>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</si>
  <si>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</si>
  <si>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</si>
  <si>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</si>
  <si>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</si>
  <si>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</si>
  <si>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</si>
  <si>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</si>
  <si>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</si>
  <si>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</si>
  <si>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</si>
  <si>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</si>
  <si>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</si>
  <si>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</si>
  <si>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</si>
  <si>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</si>
  <si>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</si>
  <si>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</si>
  <si>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</si>
  <si>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2029 0.60</t>
    </r>
    <r>
      <rPr>
        <sz val="11"/>
        <color theme="1"/>
        <rFont val="Noto Sans CJK SC"/>
        <family val="2"/>
      </rPr>
      <t xml:space="preserve">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</si>
  <si>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</si>
  <si>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</si>
  <si>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美國限制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</si>
  <si>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Covered List </t>
    </r>
    <r>
      <rPr>
        <sz val="11"/>
        <color theme="1"/>
        <rFont val="Noto Sans CJK SC"/>
        <family val="2"/>
      </rPr>
      <t xml:space="preserve">擴及光模組）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</si>
  <si>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</si>
  <si>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2029 0.72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</si>
  <si>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</si>
  <si>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2029 36%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</si>
  <si>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</si>
  <si>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2029 47%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</si>
  <si>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</si>
  <si>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中際旭創不參與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</si>
  <si>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</si>
  <si>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</si>
  <si>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</si>
  <si>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</si>
  <si>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</si>
  <si>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</si>
  <si>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人民幣升值（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</si>
  <si>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6.9</t>
    </r>
  </si>
  <si>
    <r>
      <rPr>
        <sz val="11"/>
        <color theme="1"/>
        <rFont val="Noto Sans CJK SC"/>
        <family val="2"/>
      </rPr>
      <t xml:space="preserve">人民幣貶值（</t>
    </r>
    <r>
      <rPr>
        <sz val="11"/>
        <color theme="1"/>
        <rFont val="Calibri"/>
        <family val="2"/>
        <charset val="1"/>
      </rPr>
      <t xml:space="preserve">7.3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</si>
  <si>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</si>
  <si>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</si>
  <si>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</si>
  <si>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</si>
  <si>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</si>
  <si>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</si>
  <si>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</si>
  <si>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起。「美國限制」「份額流失」「降價」「毛利率」四案例對應市場隱含衰退的三條路徑（份額、單價、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替代）；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份額案例顯示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金額在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年前仍小。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</si>
  <si>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</si>
  <si>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</si>
  <si>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</si>
  <si>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</si>
  <si>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</si>
  <si>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</si>
  <si>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</si>
  <si>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</si>
  <si>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</si>
  <si>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</si>
  <si>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</si>
  <si>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</si>
  <si>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</si>
  <si>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</si>
  <si>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</si>
  <si>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</si>
  <si>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</si>
  <si>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</si>
  <si>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</si>
  <si>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案例區塊：美國限制（情境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</si>
  <si>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</si>
  <si>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</si>
  <si>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</si>
  <si>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</si>
  <si>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</si>
  <si>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</si>
  <si>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</si>
  <si>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案例區塊：人民幣升值（</t>
    </r>
    <r>
      <rPr>
        <b val="true"/>
        <sz val="11"/>
        <rFont val="Cambria"/>
        <family val="0"/>
        <charset val="1"/>
      </rPr>
      <t xml:space="preserve">6.9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</si>
  <si>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案例區塊：人民幣貶值（</t>
    </r>
    <r>
      <rPr>
        <b val="true"/>
        <sz val="11"/>
        <rFont val="Cambria"/>
        <family val="0"/>
        <charset val="1"/>
      </rPr>
      <t xml:space="preserve">7.3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</si>
  <si>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</si>
  <si>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來源（公司原文＝深交所定期報告與公告，經財經媒體轉載；原文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待人工複核）</t>
    </r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</si>
  <si>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實績（新浪財經）</t>
    </r>
  </si>
  <si>
    <t xml:space="preserve">https://finance.sina.com.cn/stock/hkstock/ggscyd/2026-08-21/doc-iniparan1339641.shtml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</si>
  <si>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46.59%</t>
    </r>
    <r>
      <rPr>
        <sz val="11"/>
        <color theme="1"/>
        <rFont val="Noto Sans CJK SC"/>
        <family val="2"/>
      </rPr>
      <t xml:space="preserve">、海外營收（同花順）</t>
    </r>
  </si>
  <si>
    <t xml:space="preserve">https://news.10jqka.com.cn/field/20260822/679192522.shtml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</si>
  <si>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42.61%</t>
    </r>
    <r>
      <rPr>
        <sz val="11"/>
        <color theme="1"/>
        <rFont val="Noto Sans CJK SC"/>
        <family val="2"/>
      </rPr>
      <t xml:space="preserve">、研發與財務費用、匯率敏感度（東方財富）</t>
    </r>
  </si>
  <si>
    <t xml:space="preserve">https://finance.eastmoney.com/a/202603313690297170.html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</si>
  <si>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實績、客戶集中度（前五大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、最大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股發行（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氪／鳳凰週刊）</t>
    </r>
  </si>
  <si>
    <t xml:space="preserve">https://eu.36kr.com/en/p/3917474184195719</t>
  </si>
  <si>
    <r>
      <rPr>
        <sz val="11"/>
        <color theme="1"/>
        <rFont val="Noto Sans CJK SC"/>
        <family val="2"/>
      </rPr>
      <t xml:space="preserve">二手：客戶名稱、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營收與毛利率、</t>
    </r>
    <r>
      <rPr>
        <sz val="11"/>
        <color theme="1"/>
        <rFont val="Calibri"/>
        <family val="2"/>
        <charset val="1"/>
      </rPr>
      <t xml:space="preserve">1260H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Hello China Tech</t>
    </r>
    <r>
      <rPr>
        <sz val="11"/>
        <color theme="1"/>
        <rFont val="Noto Sans CJK SC"/>
        <family val="2"/>
      </rPr>
      <t xml:space="preserve">；付費牆，只讀到預覽）</t>
    </r>
  </si>
  <si>
    <t xml:space="preserve">https://hellochinatech.com/p/zhongji-innolight-optical-transceiver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</si>
  <si>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經營公告（訂單到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XPO </t>
    </r>
    <r>
      <rPr>
        <sz val="11"/>
        <color theme="1"/>
        <rFont val="Noto Sans CJK SC"/>
        <family val="2"/>
      </rPr>
      <t xml:space="preserve">送樣）</t>
    </r>
  </si>
  <si>
    <t xml:space="preserve">https://news.china.com/socialgd/10000169/20261023/49813907.html</t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</si>
  <si>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</si>
  <si>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https://basic.10jqka.com.cn/300308/worth.html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</si>
  <si>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</si>
  <si>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</si>
  <si>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券商：愛建證券 </t>
    </r>
    <r>
      <rPr>
        <sz val="11"/>
        <color theme="1"/>
        <rFont val="Calibri"/>
        <family val="2"/>
        <charset val="1"/>
      </rPr>
      <t xml:space="preserve">10-12 </t>
    </r>
    <r>
      <rPr>
        <sz val="11"/>
        <color theme="1"/>
        <rFont val="Noto Sans CJK SC"/>
        <family val="2"/>
      </rPr>
      <t xml:space="preserve">通信行業報告（成本結構、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市場規模）</t>
    </r>
  </si>
  <si>
    <t xml:space="preserve">https://pdf.dfcfw.com/pdf/H3_AP202610121830372080_1.pdf</t>
  </si>
  <si>
    <r>
      <rPr>
        <sz val="11"/>
        <color theme="1"/>
        <rFont val="Noto Sans CJK SC"/>
        <family val="2"/>
      </rPr>
      <t xml:space="preserve">券商：花旗對 </t>
    </r>
    <r>
      <rPr>
        <sz val="11"/>
        <color theme="1"/>
        <rFont val="Calibri"/>
        <family val="2"/>
        <charset val="1"/>
      </rPr>
      <t xml:space="preserve">FCC 26-50 </t>
    </r>
    <r>
      <rPr>
        <sz val="11"/>
        <color theme="1"/>
        <rFont val="Noto Sans CJK SC"/>
        <family val="2"/>
      </rPr>
      <t xml:space="preserve">的解讀（鉅亨）</t>
    </r>
  </si>
  <si>
    <t xml:space="preserve">https://hao.cnyes.com/post/262773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</si>
  <si>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etnet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經濟網（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收盤、高盛預測）、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</si>
  <si>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t xml:space="preserve">https://www.etnet.com.hk/www/sc/ashares/quote.php?code=300308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</si>
  <si>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</si>
  <si>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https://companiesmarketcap.com/zhongji-innolight/pe-ratio/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</si>
  <si>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</si>
  <si>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季報；全公司毛利率；客戶名稱原始出處；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份額第一手來源；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少數股權；前瞻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</si>
  <si>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</si>
  <si>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</si>
  <si>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</si>
  <si>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年報現金流量表（資料商轉載）：折舊與攤銷 </t>
    </r>
    <r>
      <rPr>
        <sz val="11"/>
        <color theme="1"/>
        <rFont val="Calibri"/>
        <family val="2"/>
        <charset val="1"/>
      </rPr>
      <t xml:space="preserve">819.47</t>
    </r>
    <r>
      <rPr>
        <sz val="11"/>
        <color theme="1"/>
        <rFont val="Noto Sans CJK SC"/>
        <family val="2"/>
      </rPr>
      <t xml:space="preserve">、購建長期資產現金 </t>
    </r>
    <r>
      <rPr>
        <sz val="11"/>
        <color theme="1"/>
        <rFont val="Calibri"/>
        <family val="2"/>
        <charset val="1"/>
      </rPr>
      <t xml:space="preserve">2,759.99</t>
    </r>
    <r>
      <rPr>
        <sz val="11"/>
        <color theme="1"/>
        <rFont val="Noto Sans CJK SC"/>
        <family val="2"/>
      </rPr>
      <t xml:space="preserve">（百萬元）；營收 </t>
    </r>
    <r>
      <rPr>
        <sz val="11"/>
        <color theme="1"/>
        <rFont val="Calibri"/>
        <family val="2"/>
        <charset val="1"/>
      </rPr>
      <t xml:space="preserve">382.4 </t>
    </r>
    <r>
      <rPr>
        <sz val="11"/>
        <color theme="1"/>
        <rFont val="Noto Sans CJK SC"/>
        <family val="2"/>
      </rPr>
      <t xml:space="preserve">億元——自由現金流比率錨點</t>
    </r>
  </si>
  <si>
    <r>
      <rPr>
        <sz val="11"/>
        <color theme="1"/>
        <rFont val="Calibri"/>
        <family val="2"/>
        <charset val="1"/>
      </rPr>
      <t xml:space="preserve">https://quote.cfi.cn/xjll/14097/300308.html</t>
    </r>
    <r>
      <rPr>
        <sz val="11"/>
        <color theme="1"/>
        <rFont val="Noto Sans CJK SC"/>
        <family val="2"/>
      </rPr>
      <t xml:space="preserve">（現金流量表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年報：購建固定資產、無形資產和其他長期資產支付的現金 </t>
    </r>
    <r>
      <rPr>
        <sz val="11"/>
        <color theme="1"/>
        <rFont val="Calibri"/>
        <family val="2"/>
        <charset val="1"/>
      </rPr>
      <t xml:space="preserve">275,999.47 </t>
    </r>
    <r>
      <rPr>
        <sz val="11"/>
        <color theme="1"/>
        <rFont val="Noto Sans CJK SC"/>
        <family val="2"/>
      </rPr>
      <t xml:space="preserve">萬元）；</t>
    </r>
    <r>
      <rPr>
        <sz val="11"/>
        <color theme="1"/>
        <rFont val="Calibri"/>
        <family val="2"/>
        <charset val="1"/>
      </rPr>
      <t xml:space="preserve">https://stockanalysis.com/quote/she/300308/financials/cash-flow-statement/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819.47 </t>
    </r>
    <r>
      <rPr>
        <sz val="11"/>
        <color theme="1"/>
        <rFont val="Noto Sans CJK SC"/>
        <family val="2"/>
      </rPr>
      <t xml:space="preserve">百萬元、資本支出 </t>
    </r>
    <r>
      <rPr>
        <sz val="11"/>
        <color theme="1"/>
        <rFont val="Calibri"/>
        <family val="2"/>
        <charset val="1"/>
      </rPr>
      <t xml:space="preserve">2,760 </t>
    </r>
    <r>
      <rPr>
        <sz val="11"/>
        <color theme="1"/>
        <rFont val="Noto Sans CJK SC"/>
        <family val="2"/>
      </rPr>
      <t xml:space="preserve">百萬元）；</t>
    </r>
    <r>
      <rPr>
        <sz val="11"/>
        <color theme="1"/>
        <rFont val="Calibri"/>
        <family val="2"/>
        <charset val="1"/>
      </rPr>
      <t xml:space="preserve">https://stock.10jqka.com.cn/20260331/c675646713.shtml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382.4 </t>
    </r>
    <r>
      <rPr>
        <sz val="11"/>
        <color theme="1"/>
        <rFont val="Noto Sans CJK SC"/>
        <family val="2"/>
      </rPr>
      <t xml:space="preserve">億元）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</si>
  <si>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自由現金流：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）；不含營運資金變動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</si>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</sst>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"/>
    <numFmt numFmtId="166" formatCode="0.0%"/>
    <numFmt numFmtId="167" formatCode="0.00%"/>
    <numFmt numFmtId="168" formatCode="#,##0.000"/>
    <numFmt numFmtId="169" formatCode="0.000"/>
    <numFmt numFmtId="170" formatCode="#,##0.0"/>
    <numFmt numFmtId="171" formatCode="#,##0.00"/>
    <numFmt numFmtId="172" formatCode="0.0000"/>
    <numFmt numFmtId="173" formatCode="0.0"/>
    <numFmt numFmtId="174" formatCode="@"/>
    <numFmt numFmtId="175" formatCode="0%"/>
    <numFmt numFmtId="176" formatCode="#,##0"/>
    <numFmt numFmtId="17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"投資建議："&amp;Val!B50&amp;"（依上檔空間固定規則）"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0" t="str">
        <f aca="false">"重點觀察 1：目標價 ¥"&amp;TEXT(Val!$B$39,"#,##0.00")&amp;"（DCF "&amp;TEXT(Val!$B$24,"#,##0.00")&amp;"、Comparable（相對倍數調整後）"&amp;TEXT(tp_comp_adj,"#,##0.00")&amp;"；DCF 權重 "&amp;TEXT(tp_w_dcf,"0%")&amp;"），比現價 "&amp;TEXT(px,"#,##0.00")&amp;"（2026-10-23）"&amp;IF(Val!$B$42&gt;=0,"高 "&amp;TEXT(Val!$B$42,"0.0%"),"低 "&amp;TEXT(-Val!$B$42,"0.0%"))&amp;"，級距 "&amp;Val!$B$49&amp;"、投資建議 "&amp;Val!$B$50&amp;"。相對倍數調整係數 "&amp;TEXT(rm_factor,"0.00")&amp;"（本公司 10 年前瞻倍數中位數 ÷ 同業的中位數，夾在 0.5–2.0；Val 第 0.5 節），調整前加權上檔空間 "&amp;TEXT((tp_w_dcf*Val!$B$24+(1-tp_w_dcf)*Val!$B$35)/px-1,"+0.0%;−0.0%")&amp;"；Comparable 單獨（市場主流同業法、未調整）為 "&amp;TEXT(Val!$B$43,"+0.0%;−0.0%")&amp;"。"&amp;"以下為 2026-10-29 相對倍數調整前撰寫的說明，其中數字為調整前：主因是倍數不是 EPS：本模型 12 個月後前瞻 EPS 41.34 比共識前瞻 EPS 75.09 低 44.9%，但 A 股光通訊同業（新易盛、天孚、光迅、華工、劍橋）前瞻 P/E 中位數 45.1 倍，現價只隱含 12.1 倍（共識未來 12 月 EPS）、共識目標價 1,321 隱含 17.6 倍；Comparabl"&amp;"e 未扣同業規模較小、部分價格日期較舊的溢價，也未計美國限制風險。DCF 單獨也有 +34.3%（ROE 30.6% 高於折現率 10%）。"</f>
        <v>重點觀察 1：目標價 ¥1,224.97（DCF 819.56、Comparable（相對倍數調整後）1,630.37；DCF 權重 50%），比現價 612.63（2026-10-23）高 100.0%，級距 大於 50%、投資建議 強力買進。相對倍數調整係數 0.88（本公司 10 年前瞻倍數中位數 ÷ 同業的中位數，夾在 0.5–2.0；Val 第 0.5 節），調整前加權上檔空間 +118.8%；Comparable 單獨（市場主流同業法、未調整）為 +203.8%。以下為 2026-10-29 相對倍數調整前撰寫的說明，其中數字為調整前：主因是倍數不是 EPS：本模型 12 個月後前瞻 EPS 41.34 比共識前瞻 EPS 75.09 低 44.9%，但 A 股光通訊同業（新易盛、天孚、光迅、華工、劍橋）前瞻 P/E 中位數 45.1 倍，現價只隱含 12.1 倍（共識未來 12 月 EPS）、共識目標價 1,321 隱含 17.6 倍；Comparable 未扣同業規模較小、部分價格日期較舊的溢價，也未計美國限制風險。DCF 單獨也有 +34.3%（ROE 30.6% 高於折現率 10%）。</v>
      </c>
    </row>
    <row r="21" customFormat="false" ht="17.15" hidden="false" customHeight="false" outlineLevel="0" collapsed="false">
      <c r="A21" s="4" t="s">
        <v>15</v>
      </c>
    </row>
    <row r="22" customFormat="false" ht="17.15" hidden="false" customHeight="false" outlineLevel="0" collapsed="false">
      <c r="A22" s="4" t="s">
        <v>16</v>
      </c>
    </row>
    <row r="23" customFormat="false" ht="17.15" hidden="false" customHeight="false" outlineLevel="0" collapsed="false">
      <c r="A23" s="0" t="s">
        <v>17</v>
      </c>
    </row>
    <row r="24" customFormat="false" ht="17.15" hidden="false" customHeight="false" outlineLevel="0" collapsed="false">
      <c r="A24" s="0" t="s">
        <v>18</v>
      </c>
    </row>
    <row r="26" customFormat="false" ht="17.15" hidden="false" customHeight="false" outlineLevel="0" collapsed="false">
      <c r="A26" s="0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4" t="s">
        <v>21</v>
      </c>
    </row>
    <row r="3" customFormat="false" ht="17.15" hidden="false" customHeight="false" outlineLevel="0" collapsed="false">
      <c r="A3" s="5" t="s">
        <v>22</v>
      </c>
      <c r="B3" s="5" t="s">
        <v>23</v>
      </c>
      <c r="C3" s="5" t="s">
        <v>24</v>
      </c>
      <c r="D3" s="5" t="s">
        <v>25</v>
      </c>
      <c r="E3" s="5" t="s">
        <v>26</v>
      </c>
      <c r="F3" s="5" t="s">
        <v>27</v>
      </c>
      <c r="G3" s="5" t="s">
        <v>28</v>
      </c>
      <c r="H3" s="5" t="s">
        <v>29</v>
      </c>
      <c r="I3" s="5" t="s">
        <v>30</v>
      </c>
    </row>
    <row r="4" customFormat="false" ht="17.15" hidden="false" customHeight="false" outlineLevel="0" collapsed="false">
      <c r="A4" s="6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0" t="s">
        <v>34</v>
      </c>
      <c r="E5" s="7" t="n">
        <v>29.753262</v>
      </c>
      <c r="G5" s="8" t="s">
        <v>35</v>
      </c>
      <c r="H5" s="8" t="s">
        <v>36</v>
      </c>
      <c r="I5" s="4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0" t="s">
        <v>34</v>
      </c>
      <c r="E6" s="7" t="n">
        <v>53.560715</v>
      </c>
      <c r="G6" s="8" t="s">
        <v>35</v>
      </c>
      <c r="H6" s="8" t="s">
        <v>36</v>
      </c>
      <c r="I6" s="4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0" t="s">
        <v>34</v>
      </c>
      <c r="E7" s="7" t="n">
        <v>57.9915</v>
      </c>
      <c r="G7" s="8" t="s">
        <v>35</v>
      </c>
      <c r="H7" s="8" t="s">
        <v>36</v>
      </c>
      <c r="I7" s="4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34</v>
      </c>
      <c r="E8" s="7" t="n">
        <v>72.9348</v>
      </c>
      <c r="G8" s="8" t="s">
        <v>35</v>
      </c>
      <c r="H8" s="8" t="s">
        <v>36</v>
      </c>
      <c r="I8" s="4" t="s">
        <v>40</v>
      </c>
    </row>
    <row r="9" customFormat="false" ht="17.15" hidden="false" customHeight="false" outlineLevel="0" collapsed="false">
      <c r="A9" s="0" t="s">
        <v>45</v>
      </c>
      <c r="B9" s="0" t="s">
        <v>46</v>
      </c>
      <c r="C9" s="0" t="s">
        <v>34</v>
      </c>
      <c r="E9" s="7" t="n">
        <v>0.300538</v>
      </c>
      <c r="G9" s="8" t="s">
        <v>35</v>
      </c>
      <c r="H9" s="8" t="s">
        <v>47</v>
      </c>
      <c r="I9" s="4" t="s">
        <v>48</v>
      </c>
    </row>
    <row r="10" customFormat="false" ht="17.15" hidden="false" customHeight="false" outlineLevel="0" collapsed="false">
      <c r="A10" s="0" t="s">
        <v>49</v>
      </c>
      <c r="B10" s="0" t="s">
        <v>50</v>
      </c>
      <c r="C10" s="0" t="s">
        <v>34</v>
      </c>
      <c r="E10" s="7" t="n">
        <v>2.818985</v>
      </c>
      <c r="G10" s="8" t="s">
        <v>35</v>
      </c>
      <c r="H10" s="8" t="s">
        <v>47</v>
      </c>
      <c r="I10" s="4" t="s">
        <v>40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34</v>
      </c>
      <c r="E11" s="7" t="n">
        <v>6.4435</v>
      </c>
      <c r="G11" s="8" t="s">
        <v>35</v>
      </c>
      <c r="H11" s="8" t="s">
        <v>47</v>
      </c>
      <c r="I11" s="4" t="s">
        <v>40</v>
      </c>
    </row>
    <row r="12" customFormat="false" ht="17.15" hidden="false" customHeight="false" outlineLevel="0" collapsed="false">
      <c r="A12" s="0" t="s">
        <v>53</v>
      </c>
      <c r="B12" s="0" t="s">
        <v>54</v>
      </c>
      <c r="C12" s="0" t="s">
        <v>34</v>
      </c>
      <c r="E12" s="7" t="n">
        <v>11.74736</v>
      </c>
      <c r="G12" s="8" t="s">
        <v>35</v>
      </c>
      <c r="H12" s="8" t="s">
        <v>47</v>
      </c>
      <c r="I12" s="4" t="s">
        <v>40</v>
      </c>
    </row>
    <row r="13" customFormat="false" ht="17.15" hidden="false" customHeight="false" outlineLevel="0" collapsed="false">
      <c r="A13" s="0" t="s">
        <v>55</v>
      </c>
      <c r="B13" s="0" t="s">
        <v>56</v>
      </c>
      <c r="C13" s="0" t="s">
        <v>34</v>
      </c>
      <c r="E13" s="7" t="n">
        <v>781.872916666666</v>
      </c>
      <c r="G13" s="8" t="s">
        <v>35</v>
      </c>
      <c r="H13" s="8" t="s">
        <v>57</v>
      </c>
      <c r="I13" s="8" t="s">
        <v>58</v>
      </c>
    </row>
    <row r="14" customFormat="false" ht="17.15" hidden="false" customHeight="false" outlineLevel="0" collapsed="false">
      <c r="A14" s="0" t="s">
        <v>59</v>
      </c>
      <c r="B14" s="0" t="s">
        <v>60</v>
      </c>
      <c r="C14" s="0" t="s">
        <v>34</v>
      </c>
      <c r="E14" s="7" t="n">
        <v>1565.35</v>
      </c>
      <c r="G14" s="8" t="s">
        <v>35</v>
      </c>
      <c r="H14" s="8" t="s">
        <v>57</v>
      </c>
      <c r="I14" s="4" t="s">
        <v>40</v>
      </c>
    </row>
    <row r="15" customFormat="false" ht="17.15" hidden="false" customHeight="false" outlineLevel="0" collapsed="false">
      <c r="A15" s="0" t="s">
        <v>61</v>
      </c>
      <c r="B15" s="0" t="s">
        <v>62</v>
      </c>
      <c r="C15" s="0" t="s">
        <v>34</v>
      </c>
      <c r="E15" s="7" t="n">
        <v>1984.26388888889</v>
      </c>
      <c r="G15" s="8" t="s">
        <v>35</v>
      </c>
      <c r="H15" s="8" t="s">
        <v>57</v>
      </c>
      <c r="I15" s="4" t="s">
        <v>40</v>
      </c>
    </row>
    <row r="16" customFormat="false" ht="17.15" hidden="false" customHeight="false" outlineLevel="0" collapsed="false">
      <c r="A16" s="0" t="s">
        <v>63</v>
      </c>
      <c r="B16" s="0" t="s">
        <v>64</v>
      </c>
      <c r="C16" s="0" t="s">
        <v>34</v>
      </c>
      <c r="E16" s="7" t="n">
        <v>2260.39027777778</v>
      </c>
      <c r="G16" s="8" t="s">
        <v>35</v>
      </c>
      <c r="H16" s="8" t="s">
        <v>57</v>
      </c>
      <c r="I16" s="4" t="s">
        <v>40</v>
      </c>
    </row>
    <row r="17" customFormat="false" ht="17.15" hidden="false" customHeight="false" outlineLevel="0" collapsed="false">
      <c r="A17" s="0" t="s">
        <v>65</v>
      </c>
      <c r="B17" s="4" t="s">
        <v>66</v>
      </c>
      <c r="C17" s="0" t="s">
        <v>67</v>
      </c>
      <c r="E17" s="7" t="n">
        <v>1</v>
      </c>
      <c r="G17" s="8" t="s">
        <v>68</v>
      </c>
      <c r="H17" s="8" t="s">
        <v>69</v>
      </c>
      <c r="I17" s="8" t="s">
        <v>70</v>
      </c>
    </row>
    <row r="18" customFormat="false" ht="17.15" hidden="false" customHeight="false" outlineLevel="0" collapsed="false">
      <c r="A18" s="0" t="s">
        <v>71</v>
      </c>
      <c r="B18" s="4" t="s">
        <v>72</v>
      </c>
      <c r="C18" s="0" t="s">
        <v>67</v>
      </c>
      <c r="E18" s="7" t="n">
        <v>1</v>
      </c>
      <c r="G18" s="8" t="s">
        <v>68</v>
      </c>
      <c r="H18" s="8" t="s">
        <v>73</v>
      </c>
      <c r="I18" s="4" t="s">
        <v>40</v>
      </c>
    </row>
    <row r="19" customFormat="false" ht="17.15" hidden="false" customHeight="false" outlineLevel="0" collapsed="false">
      <c r="A19" s="0" t="s">
        <v>74</v>
      </c>
      <c r="B19" s="4" t="s">
        <v>75</v>
      </c>
      <c r="C19" s="0" t="s">
        <v>67</v>
      </c>
      <c r="E19" s="7" t="n">
        <v>0.8</v>
      </c>
      <c r="G19" s="8" t="s">
        <v>68</v>
      </c>
      <c r="H19" s="8" t="s">
        <v>76</v>
      </c>
      <c r="I19" s="8" t="s">
        <v>70</v>
      </c>
    </row>
    <row r="20" customFormat="false" ht="17.15" hidden="false" customHeight="false" outlineLevel="0" collapsed="false">
      <c r="A20" s="0" t="s">
        <v>77</v>
      </c>
      <c r="B20" s="4" t="s">
        <v>78</v>
      </c>
      <c r="C20" s="0" t="s">
        <v>67</v>
      </c>
      <c r="E20" s="7" t="n">
        <v>0.85</v>
      </c>
      <c r="G20" s="8" t="s">
        <v>68</v>
      </c>
      <c r="H20" s="8" t="s">
        <v>79</v>
      </c>
      <c r="I20" s="4" t="s">
        <v>40</v>
      </c>
    </row>
    <row r="21" customFormat="false" ht="17.15" hidden="false" customHeight="false" outlineLevel="0" collapsed="false">
      <c r="A21" s="0" t="s">
        <v>80</v>
      </c>
      <c r="B21" s="4" t="s">
        <v>81</v>
      </c>
      <c r="C21" s="0" t="s">
        <v>67</v>
      </c>
      <c r="E21" s="7" t="n">
        <v>0.6</v>
      </c>
      <c r="G21" s="8" t="s">
        <v>68</v>
      </c>
      <c r="H21" s="8" t="s">
        <v>82</v>
      </c>
      <c r="I21" s="8" t="s">
        <v>70</v>
      </c>
    </row>
    <row r="22" customFormat="false" ht="17.15" hidden="false" customHeight="false" outlineLevel="0" collapsed="false">
      <c r="A22" s="0" t="s">
        <v>83</v>
      </c>
      <c r="B22" s="4" t="s">
        <v>84</v>
      </c>
      <c r="C22" s="0" t="s">
        <v>67</v>
      </c>
      <c r="E22" s="7" t="n">
        <v>0.6</v>
      </c>
      <c r="G22" s="8" t="s">
        <v>68</v>
      </c>
      <c r="H22" s="8" t="s">
        <v>85</v>
      </c>
      <c r="I22" s="4" t="s">
        <v>40</v>
      </c>
    </row>
    <row r="23" customFormat="false" ht="17.15" hidden="false" customHeight="false" outlineLevel="0" collapsed="false">
      <c r="A23" s="6" t="s">
        <v>86</v>
      </c>
    </row>
    <row r="24" customFormat="false" ht="17.15" hidden="false" customHeight="false" outlineLevel="0" collapsed="false">
      <c r="A24" s="0" t="s">
        <v>87</v>
      </c>
      <c r="B24" s="4" t="s">
        <v>88</v>
      </c>
      <c r="C24" s="0" t="s">
        <v>67</v>
      </c>
      <c r="D24" s="7" t="n">
        <v>0.85</v>
      </c>
      <c r="E24" s="7" t="n">
        <v>0.95</v>
      </c>
      <c r="F24" s="7" t="n">
        <v>1.05</v>
      </c>
      <c r="G24" s="8" t="s">
        <v>68</v>
      </c>
      <c r="H24" s="8" t="s">
        <v>89</v>
      </c>
      <c r="I24" s="8" t="s">
        <v>90</v>
      </c>
    </row>
    <row r="25" customFormat="false" ht="17.15" hidden="false" customHeight="false" outlineLevel="0" collapsed="false">
      <c r="A25" s="0" t="s">
        <v>91</v>
      </c>
      <c r="B25" s="4" t="s">
        <v>92</v>
      </c>
      <c r="C25" s="0" t="s">
        <v>67</v>
      </c>
      <c r="D25" s="7" t="n">
        <v>0.7</v>
      </c>
      <c r="E25" s="7" t="n">
        <v>0.9</v>
      </c>
      <c r="F25" s="7" t="n">
        <v>1.05</v>
      </c>
      <c r="G25" s="8" t="s">
        <v>68</v>
      </c>
      <c r="H25" s="4" t="s">
        <v>93</v>
      </c>
      <c r="I25" s="4" t="s">
        <v>94</v>
      </c>
    </row>
    <row r="26" customFormat="false" ht="17.15" hidden="false" customHeight="false" outlineLevel="0" collapsed="false">
      <c r="A26" s="0" t="s">
        <v>95</v>
      </c>
      <c r="B26" s="4" t="s">
        <v>96</v>
      </c>
      <c r="C26" s="0" t="s">
        <v>67</v>
      </c>
      <c r="D26" s="7" t="n">
        <v>0.6</v>
      </c>
      <c r="E26" s="7" t="n">
        <v>0.85</v>
      </c>
      <c r="F26" s="7" t="n">
        <v>1.05</v>
      </c>
      <c r="G26" s="8" t="s">
        <v>68</v>
      </c>
      <c r="H26" s="4" t="s">
        <v>40</v>
      </c>
      <c r="I26" s="8" t="s">
        <v>97</v>
      </c>
    </row>
    <row r="27" customFormat="false" ht="17.15" hidden="false" customHeight="false" outlineLevel="0" collapsed="false">
      <c r="A27" s="0" t="s">
        <v>98</v>
      </c>
      <c r="B27" s="4" t="s">
        <v>99</v>
      </c>
      <c r="C27" s="0" t="s">
        <v>67</v>
      </c>
      <c r="E27" s="7" t="n">
        <v>0.9</v>
      </c>
      <c r="G27" s="8" t="s">
        <v>68</v>
      </c>
      <c r="H27" s="8" t="s">
        <v>100</v>
      </c>
      <c r="I27" s="4" t="s">
        <v>101</v>
      </c>
    </row>
    <row r="28" customFormat="false" ht="17.15" hidden="false" customHeight="false" outlineLevel="0" collapsed="false">
      <c r="A28" s="0" t="s">
        <v>102</v>
      </c>
      <c r="B28" s="4" t="s">
        <v>103</v>
      </c>
      <c r="C28" s="0" t="s">
        <v>67</v>
      </c>
      <c r="E28" s="7" t="n">
        <v>0.55</v>
      </c>
      <c r="G28" s="8" t="s">
        <v>68</v>
      </c>
      <c r="H28" s="4" t="s">
        <v>40</v>
      </c>
      <c r="I28" s="8" t="s">
        <v>97</v>
      </c>
    </row>
    <row r="29" customFormat="false" ht="17.15" hidden="false" customHeight="false" outlineLevel="0" collapsed="false">
      <c r="A29" s="0" t="s">
        <v>104</v>
      </c>
      <c r="B29" s="4" t="s">
        <v>105</v>
      </c>
      <c r="C29" s="0" t="s">
        <v>67</v>
      </c>
      <c r="E29" s="7" t="n">
        <v>0.5</v>
      </c>
      <c r="G29" s="8" t="s">
        <v>68</v>
      </c>
      <c r="H29" s="4" t="s">
        <v>40</v>
      </c>
      <c r="I29" s="8" t="s">
        <v>97</v>
      </c>
    </row>
    <row r="30" customFormat="false" ht="17.15" hidden="false" customHeight="false" outlineLevel="0" collapsed="false">
      <c r="A30" s="0" t="s">
        <v>106</v>
      </c>
      <c r="B30" s="4" t="s">
        <v>107</v>
      </c>
      <c r="C30" s="0" t="s">
        <v>108</v>
      </c>
      <c r="D30" s="7" t="n">
        <v>0</v>
      </c>
      <c r="E30" s="7" t="n">
        <v>0.1</v>
      </c>
      <c r="F30" s="7" t="n">
        <v>0.3</v>
      </c>
      <c r="G30" s="8" t="s">
        <v>68</v>
      </c>
      <c r="H30" s="4" t="s">
        <v>109</v>
      </c>
      <c r="I30" s="8" t="s">
        <v>110</v>
      </c>
    </row>
    <row r="31" customFormat="false" ht="17.15" hidden="false" customHeight="false" outlineLevel="0" collapsed="false">
      <c r="A31" s="0" t="s">
        <v>111</v>
      </c>
      <c r="B31" s="4" t="s">
        <v>112</v>
      </c>
      <c r="C31" s="0" t="s">
        <v>108</v>
      </c>
      <c r="D31" s="7" t="n">
        <v>0</v>
      </c>
      <c r="E31" s="7" t="n">
        <v>0.15</v>
      </c>
      <c r="F31" s="7" t="n">
        <v>0.35</v>
      </c>
      <c r="G31" s="8" t="s">
        <v>68</v>
      </c>
      <c r="H31" s="4" t="s">
        <v>40</v>
      </c>
      <c r="I31" s="8" t="s">
        <v>97</v>
      </c>
    </row>
    <row r="32" customFormat="false" ht="17.15" hidden="false" customHeight="false" outlineLevel="0" collapsed="false">
      <c r="A32" s="0" t="s">
        <v>113</v>
      </c>
      <c r="B32" s="4" t="s">
        <v>114</v>
      </c>
      <c r="C32" s="0" t="s">
        <v>108</v>
      </c>
      <c r="D32" s="7" t="n">
        <v>0</v>
      </c>
      <c r="E32" s="7" t="n">
        <v>0.2</v>
      </c>
      <c r="F32" s="7" t="n">
        <v>0.4</v>
      </c>
      <c r="G32" s="8" t="s">
        <v>68</v>
      </c>
      <c r="H32" s="4" t="s">
        <v>40</v>
      </c>
      <c r="I32" s="8" t="s">
        <v>97</v>
      </c>
    </row>
    <row r="33" customFormat="false" ht="17.15" hidden="false" customHeight="false" outlineLevel="0" collapsed="false">
      <c r="A33" s="0" t="s">
        <v>115</v>
      </c>
      <c r="B33" s="4" t="s">
        <v>116</v>
      </c>
      <c r="C33" s="0" t="s">
        <v>67</v>
      </c>
      <c r="D33" s="7" t="n">
        <v>0.9</v>
      </c>
      <c r="E33" s="7" t="n">
        <v>1</v>
      </c>
      <c r="F33" s="7" t="n">
        <v>1.05</v>
      </c>
      <c r="G33" s="8" t="s">
        <v>68</v>
      </c>
      <c r="H33" s="4" t="s">
        <v>117</v>
      </c>
      <c r="I33" s="4" t="s">
        <v>118</v>
      </c>
    </row>
    <row r="34" customFormat="false" ht="17.15" hidden="false" customHeight="false" outlineLevel="0" collapsed="false">
      <c r="A34" s="0" t="s">
        <v>119</v>
      </c>
      <c r="B34" s="4" t="s">
        <v>120</v>
      </c>
      <c r="C34" s="0" t="s">
        <v>67</v>
      </c>
      <c r="D34" s="7" t="n">
        <v>0.8</v>
      </c>
      <c r="E34" s="7" t="n">
        <v>1</v>
      </c>
      <c r="F34" s="7" t="n">
        <v>1.05</v>
      </c>
      <c r="G34" s="8" t="s">
        <v>68</v>
      </c>
      <c r="H34" s="4" t="s">
        <v>40</v>
      </c>
      <c r="I34" s="8" t="s">
        <v>97</v>
      </c>
    </row>
    <row r="35" customFormat="false" ht="17.15" hidden="false" customHeight="false" outlineLevel="0" collapsed="false">
      <c r="A35" s="0" t="s">
        <v>121</v>
      </c>
      <c r="B35" s="4" t="s">
        <v>122</v>
      </c>
      <c r="C35" s="0" t="s">
        <v>67</v>
      </c>
      <c r="D35" s="7" t="n">
        <v>0.72</v>
      </c>
      <c r="E35" s="7" t="n">
        <v>1</v>
      </c>
      <c r="F35" s="7" t="n">
        <v>1.05</v>
      </c>
      <c r="G35" s="8" t="s">
        <v>68</v>
      </c>
      <c r="H35" s="4" t="s">
        <v>40</v>
      </c>
      <c r="I35" s="8" t="s">
        <v>97</v>
      </c>
    </row>
    <row r="36" customFormat="false" ht="17.15" hidden="false" customHeight="false" outlineLevel="0" collapsed="false">
      <c r="A36" s="0" t="s">
        <v>123</v>
      </c>
      <c r="B36" s="4" t="s">
        <v>124</v>
      </c>
      <c r="C36" s="0" t="s">
        <v>125</v>
      </c>
      <c r="D36" s="7" t="n">
        <v>6.5</v>
      </c>
      <c r="E36" s="7" t="n">
        <v>6.72</v>
      </c>
      <c r="F36" s="7" t="n">
        <v>7</v>
      </c>
      <c r="G36" s="8" t="s">
        <v>126</v>
      </c>
      <c r="H36" s="8" t="s">
        <v>127</v>
      </c>
      <c r="I36" s="8" t="s">
        <v>128</v>
      </c>
    </row>
    <row r="37" customFormat="false" ht="17.15" hidden="false" customHeight="false" outlineLevel="0" collapsed="false">
      <c r="A37" s="6" t="s">
        <v>129</v>
      </c>
    </row>
    <row r="38" customFormat="false" ht="17.15" hidden="false" customHeight="false" outlineLevel="0" collapsed="false">
      <c r="A38" s="0" t="s">
        <v>130</v>
      </c>
      <c r="B38" s="4" t="s">
        <v>131</v>
      </c>
      <c r="C38" s="0" t="s">
        <v>108</v>
      </c>
      <c r="D38" s="7" t="n">
        <v>0.05</v>
      </c>
      <c r="E38" s="7" t="n">
        <v>0.08</v>
      </c>
      <c r="F38" s="7" t="n">
        <v>0.12</v>
      </c>
      <c r="G38" s="8" t="s">
        <v>68</v>
      </c>
      <c r="H38" s="8" t="s">
        <v>132</v>
      </c>
      <c r="I38" s="4" t="s">
        <v>133</v>
      </c>
    </row>
    <row r="39" customFormat="false" ht="17.15" hidden="false" customHeight="false" outlineLevel="0" collapsed="false">
      <c r="A39" s="0" t="s">
        <v>134</v>
      </c>
      <c r="B39" s="4" t="s">
        <v>135</v>
      </c>
      <c r="C39" s="0" t="s">
        <v>108</v>
      </c>
      <c r="D39" s="7" t="n">
        <v>0</v>
      </c>
      <c r="E39" s="7" t="n">
        <v>0.1</v>
      </c>
      <c r="F39" s="7" t="n">
        <v>0.2</v>
      </c>
      <c r="G39" s="8" t="s">
        <v>68</v>
      </c>
      <c r="H39" s="4" t="s">
        <v>136</v>
      </c>
      <c r="I39" s="8" t="s">
        <v>97</v>
      </c>
    </row>
    <row r="40" customFormat="false" ht="17.15" hidden="false" customHeight="false" outlineLevel="0" collapsed="false">
      <c r="A40" s="6" t="s">
        <v>137</v>
      </c>
    </row>
    <row r="41" customFormat="false" ht="17.15" hidden="false" customHeight="false" outlineLevel="0" collapsed="false">
      <c r="A41" s="0" t="s">
        <v>138</v>
      </c>
      <c r="B41" s="0" t="s">
        <v>139</v>
      </c>
      <c r="C41" s="0" t="s">
        <v>108</v>
      </c>
      <c r="D41" s="7" t="n">
        <v>0.45</v>
      </c>
      <c r="E41" s="7" t="n">
        <v>0.47</v>
      </c>
      <c r="F41" s="7" t="n">
        <v>0.49</v>
      </c>
      <c r="G41" s="8" t="s">
        <v>68</v>
      </c>
      <c r="H41" s="8" t="s">
        <v>140</v>
      </c>
      <c r="I41" s="8" t="s">
        <v>141</v>
      </c>
    </row>
    <row r="42" customFormat="false" ht="17.15" hidden="false" customHeight="false" outlineLevel="0" collapsed="false">
      <c r="A42" s="0" t="s">
        <v>142</v>
      </c>
      <c r="B42" s="4" t="s">
        <v>143</v>
      </c>
      <c r="C42" s="0" t="s">
        <v>108</v>
      </c>
      <c r="D42" s="7" t="n">
        <v>0.43</v>
      </c>
      <c r="E42" s="7" t="n">
        <v>0.47</v>
      </c>
      <c r="F42" s="7" t="n">
        <v>0.49</v>
      </c>
      <c r="G42" s="8" t="s">
        <v>68</v>
      </c>
      <c r="H42" s="8" t="s">
        <v>144</v>
      </c>
      <c r="I42" s="8" t="s">
        <v>145</v>
      </c>
    </row>
    <row r="43" customFormat="false" ht="17.15" hidden="false" customHeight="false" outlineLevel="0" collapsed="false">
      <c r="A43" s="0" t="s">
        <v>146</v>
      </c>
      <c r="B43" s="4" t="s">
        <v>147</v>
      </c>
      <c r="C43" s="0" t="s">
        <v>108</v>
      </c>
      <c r="D43" s="7" t="n">
        <v>0.4</v>
      </c>
      <c r="E43" s="7" t="n">
        <v>0.46</v>
      </c>
      <c r="F43" s="7" t="n">
        <v>0.48</v>
      </c>
      <c r="G43" s="8" t="s">
        <v>68</v>
      </c>
      <c r="H43" s="4" t="s">
        <v>148</v>
      </c>
      <c r="I43" s="8" t="s">
        <v>97</v>
      </c>
    </row>
    <row r="44" customFormat="false" ht="17.15" hidden="false" customHeight="false" outlineLevel="0" collapsed="false">
      <c r="A44" s="0" t="s">
        <v>149</v>
      </c>
      <c r="B44" s="4" t="s">
        <v>150</v>
      </c>
      <c r="C44" s="0" t="s">
        <v>108</v>
      </c>
      <c r="D44" s="7" t="n">
        <v>0.36</v>
      </c>
      <c r="E44" s="7" t="n">
        <v>0.45</v>
      </c>
      <c r="F44" s="7" t="n">
        <v>0.47</v>
      </c>
      <c r="G44" s="8" t="s">
        <v>68</v>
      </c>
      <c r="H44" s="4" t="s">
        <v>40</v>
      </c>
      <c r="I44" s="8" t="s">
        <v>97</v>
      </c>
    </row>
    <row r="45" customFormat="false" ht="17.15" hidden="false" customHeight="false" outlineLevel="0" collapsed="false">
      <c r="A45" s="6" t="s">
        <v>151</v>
      </c>
    </row>
    <row r="46" customFormat="false" ht="17.15" hidden="false" customHeight="false" outlineLevel="0" collapsed="false">
      <c r="A46" s="0" t="s">
        <v>152</v>
      </c>
      <c r="B46" s="0" t="s">
        <v>153</v>
      </c>
      <c r="C46" s="0" t="s">
        <v>154</v>
      </c>
      <c r="E46" s="7" t="n">
        <v>41.778</v>
      </c>
      <c r="G46" s="8" t="s">
        <v>126</v>
      </c>
      <c r="H46" s="8" t="s">
        <v>155</v>
      </c>
      <c r="I46" s="8" t="s">
        <v>156</v>
      </c>
    </row>
    <row r="47" customFormat="false" ht="17.15" hidden="false" customHeight="false" outlineLevel="0" collapsed="false">
      <c r="A47" s="0" t="s">
        <v>157</v>
      </c>
      <c r="B47" s="0" t="s">
        <v>158</v>
      </c>
      <c r="C47" s="0" t="s">
        <v>108</v>
      </c>
      <c r="E47" s="7" t="n">
        <v>0.4659</v>
      </c>
      <c r="G47" s="8" t="s">
        <v>126</v>
      </c>
      <c r="H47" s="4" t="s">
        <v>159</v>
      </c>
      <c r="I47" s="4" t="s">
        <v>160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154</v>
      </c>
      <c r="E48" s="7" t="n">
        <v>13.651</v>
      </c>
      <c r="G48" s="8" t="s">
        <v>126</v>
      </c>
      <c r="H48" s="8" t="s">
        <v>163</v>
      </c>
      <c r="I48" s="8" t="s">
        <v>164</v>
      </c>
    </row>
    <row r="49" customFormat="false" ht="17.15" hidden="false" customHeight="false" outlineLevel="0" collapsed="false">
      <c r="A49" s="0" t="s">
        <v>165</v>
      </c>
      <c r="B49" s="0" t="s">
        <v>166</v>
      </c>
      <c r="C49" s="0" t="s">
        <v>125</v>
      </c>
      <c r="E49" s="7" t="n">
        <v>12.31</v>
      </c>
      <c r="G49" s="8" t="s">
        <v>126</v>
      </c>
      <c r="H49" s="8" t="s">
        <v>167</v>
      </c>
      <c r="I49" s="8" t="s">
        <v>97</v>
      </c>
    </row>
    <row r="50" customFormat="false" ht="17.15" hidden="false" customHeight="false" outlineLevel="0" collapsed="false">
      <c r="A50" s="0" t="s">
        <v>168</v>
      </c>
      <c r="B50" s="0" t="s">
        <v>169</v>
      </c>
      <c r="C50" s="0" t="s">
        <v>154</v>
      </c>
      <c r="E50" s="7" t="n">
        <v>19.5</v>
      </c>
      <c r="G50" s="8" t="s">
        <v>170</v>
      </c>
      <c r="H50" s="8" t="s">
        <v>171</v>
      </c>
      <c r="I50" s="4" t="s">
        <v>172</v>
      </c>
    </row>
    <row r="51" customFormat="false" ht="17.15" hidden="false" customHeight="false" outlineLevel="0" collapsed="false">
      <c r="A51" s="0" t="s">
        <v>173</v>
      </c>
      <c r="B51" s="0" t="s">
        <v>174</v>
      </c>
      <c r="C51" s="0" t="s">
        <v>108</v>
      </c>
      <c r="D51" s="7" t="n">
        <v>0.05</v>
      </c>
      <c r="E51" s="7" t="n">
        <v>0.15</v>
      </c>
      <c r="F51" s="7" t="n">
        <v>0.25</v>
      </c>
      <c r="G51" s="8" t="s">
        <v>68</v>
      </c>
      <c r="H51" s="8" t="s">
        <v>175</v>
      </c>
      <c r="I51" s="4" t="s">
        <v>176</v>
      </c>
    </row>
    <row r="52" customFormat="false" ht="17.15" hidden="false" customHeight="false" outlineLevel="0" collapsed="false">
      <c r="A52" s="0" t="s">
        <v>177</v>
      </c>
      <c r="B52" s="4" t="s">
        <v>178</v>
      </c>
      <c r="C52" s="0" t="s">
        <v>108</v>
      </c>
      <c r="D52" s="7" t="n">
        <v>0.12</v>
      </c>
      <c r="E52" s="7" t="n">
        <v>0.15</v>
      </c>
      <c r="F52" s="7" t="n">
        <v>0.18</v>
      </c>
      <c r="G52" s="8" t="s">
        <v>68</v>
      </c>
      <c r="H52" s="4" t="s">
        <v>179</v>
      </c>
      <c r="I52" s="8" t="s">
        <v>97</v>
      </c>
    </row>
    <row r="53" customFormat="false" ht="17.15" hidden="false" customHeight="false" outlineLevel="0" collapsed="false">
      <c r="A53" s="0" t="s">
        <v>180</v>
      </c>
      <c r="B53" s="4" t="s">
        <v>181</v>
      </c>
      <c r="C53" s="0" t="s">
        <v>67</v>
      </c>
      <c r="D53" s="7" t="n">
        <v>0.9</v>
      </c>
      <c r="E53" s="7" t="n">
        <v>0.932</v>
      </c>
      <c r="F53" s="7" t="n">
        <v>0.97</v>
      </c>
      <c r="G53" s="8" t="s">
        <v>35</v>
      </c>
      <c r="H53" s="4" t="s">
        <v>182</v>
      </c>
      <c r="I53" s="8" t="s">
        <v>183</v>
      </c>
    </row>
    <row r="54" customFormat="false" ht="17.15" hidden="false" customHeight="false" outlineLevel="0" collapsed="false">
      <c r="A54" s="0" t="s">
        <v>184</v>
      </c>
      <c r="B54" s="0" t="s">
        <v>185</v>
      </c>
      <c r="C54" s="4" t="s">
        <v>186</v>
      </c>
      <c r="E54" s="0" t="n">
        <f aca="false">722.447/613.33</f>
        <v>1.1779091190713</v>
      </c>
      <c r="G54" s="0" t="s">
        <v>35</v>
      </c>
      <c r="H54" s="0" t="s">
        <v>187</v>
      </c>
      <c r="I54" s="0" t="s">
        <v>188</v>
      </c>
    </row>
    <row r="55" customFormat="false" ht="17.15" hidden="false" customHeight="false" outlineLevel="0" collapsed="false">
      <c r="A55" s="0" t="s">
        <v>189</v>
      </c>
      <c r="B55" s="0" t="s">
        <v>190</v>
      </c>
      <c r="C55" s="4" t="s">
        <v>186</v>
      </c>
      <c r="E55" s="0" t="n">
        <f aca="false">h1_ni/h1_eps</f>
        <v>1.1089358245329</v>
      </c>
      <c r="G55" s="0" t="s">
        <v>35</v>
      </c>
      <c r="H55" s="4" t="s">
        <v>191</v>
      </c>
      <c r="I55" s="0" t="s">
        <v>97</v>
      </c>
    </row>
    <row r="56" customFormat="false" ht="17.15" hidden="false" customHeight="false" outlineLevel="0" collapsed="false">
      <c r="A56" s="6" t="s">
        <v>192</v>
      </c>
    </row>
    <row r="57" customFormat="false" ht="17.15" hidden="false" customHeight="false" outlineLevel="0" collapsed="false">
      <c r="A57" s="0" t="s">
        <v>193</v>
      </c>
      <c r="B57" s="0" t="s">
        <v>194</v>
      </c>
      <c r="C57" s="0" t="s">
        <v>154</v>
      </c>
      <c r="E57" s="7" t="n">
        <v>38.24</v>
      </c>
      <c r="G57" s="8" t="s">
        <v>126</v>
      </c>
      <c r="H57" s="8" t="s">
        <v>195</v>
      </c>
      <c r="I57" s="8" t="s">
        <v>196</v>
      </c>
    </row>
    <row r="58" customFormat="false" ht="17.15" hidden="false" customHeight="false" outlineLevel="0" collapsed="false">
      <c r="A58" s="0" t="s">
        <v>197</v>
      </c>
      <c r="B58" s="0" t="s">
        <v>198</v>
      </c>
      <c r="C58" s="0" t="s">
        <v>108</v>
      </c>
      <c r="E58" s="7" t="n">
        <v>0.4261</v>
      </c>
      <c r="G58" s="8" t="s">
        <v>126</v>
      </c>
      <c r="H58" s="4" t="s">
        <v>199</v>
      </c>
      <c r="I58" s="4" t="s">
        <v>200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0" t="s">
        <v>154</v>
      </c>
      <c r="E59" s="7" t="n">
        <v>10.797</v>
      </c>
      <c r="G59" s="8" t="s">
        <v>126</v>
      </c>
      <c r="H59" s="8" t="s">
        <v>203</v>
      </c>
      <c r="I59" s="8" t="s">
        <v>196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4" t="s">
        <v>186</v>
      </c>
      <c r="E60" s="0" t="n">
        <f aca="false">q_sh_h1</f>
        <v>1.1089358245329</v>
      </c>
      <c r="G60" s="0" t="s">
        <v>35</v>
      </c>
      <c r="H60" s="0" t="s">
        <v>206</v>
      </c>
      <c r="I60" s="0" t="s">
        <v>97</v>
      </c>
    </row>
    <row r="61" customFormat="false" ht="17.15" hidden="false" customHeight="false" outlineLevel="0" collapsed="false">
      <c r="A61" s="6" t="s">
        <v>207</v>
      </c>
    </row>
    <row r="62" customFormat="false" ht="17.15" hidden="false" customHeight="false" outlineLevel="0" collapsed="false">
      <c r="A62" s="0" t="s">
        <v>208</v>
      </c>
      <c r="B62" s="4" t="s">
        <v>209</v>
      </c>
      <c r="C62" s="0" t="s">
        <v>67</v>
      </c>
      <c r="D62" s="7" t="n">
        <v>0.4</v>
      </c>
      <c r="E62" s="9" t="n">
        <f aca="false">Q!B26</f>
        <v>0.61472057482159</v>
      </c>
      <c r="F62" s="7" t="n">
        <v>0.8</v>
      </c>
      <c r="G62" s="8" t="s">
        <v>35</v>
      </c>
      <c r="H62" s="8" t="s">
        <v>210</v>
      </c>
      <c r="I62" s="8" t="s">
        <v>211</v>
      </c>
    </row>
    <row r="63" customFormat="false" ht="17.15" hidden="false" customHeight="false" outlineLevel="0" collapsed="false">
      <c r="A63" s="0" t="s">
        <v>212</v>
      </c>
      <c r="B63" s="4" t="s">
        <v>213</v>
      </c>
      <c r="C63" s="0" t="s">
        <v>214</v>
      </c>
      <c r="D63" s="7" t="n">
        <v>-0.01</v>
      </c>
      <c r="E63" s="7" t="n">
        <v>0</v>
      </c>
      <c r="F63" s="7" t="n">
        <v>0.02</v>
      </c>
      <c r="G63" s="8" t="s">
        <v>68</v>
      </c>
      <c r="H63" s="4" t="s">
        <v>215</v>
      </c>
      <c r="I63" s="8" t="s">
        <v>216</v>
      </c>
    </row>
    <row r="64" customFormat="false" ht="17.15" hidden="false" customHeight="false" outlineLevel="0" collapsed="false">
      <c r="A64" s="0" t="s">
        <v>217</v>
      </c>
      <c r="B64" s="4" t="s">
        <v>218</v>
      </c>
      <c r="C64" s="0" t="s">
        <v>108</v>
      </c>
      <c r="D64" s="7" t="n">
        <v>-0.01</v>
      </c>
      <c r="E64" s="7" t="n">
        <v>0</v>
      </c>
      <c r="F64" s="7" t="n">
        <v>0.01</v>
      </c>
      <c r="G64" s="8" t="s">
        <v>68</v>
      </c>
      <c r="H64" s="8" t="s">
        <v>219</v>
      </c>
      <c r="I64" s="8" t="s">
        <v>97</v>
      </c>
    </row>
    <row r="65" customFormat="false" ht="17.15" hidden="false" customHeight="false" outlineLevel="0" collapsed="false">
      <c r="A65" s="0" t="s">
        <v>220</v>
      </c>
      <c r="B65" s="0" t="s">
        <v>221</v>
      </c>
      <c r="C65" s="0" t="s">
        <v>67</v>
      </c>
      <c r="D65" s="7" t="n">
        <v>0.8</v>
      </c>
      <c r="E65" s="7" t="n">
        <v>1</v>
      </c>
      <c r="F65" s="7" t="n">
        <v>1.2</v>
      </c>
      <c r="G65" s="8" t="s">
        <v>68</v>
      </c>
      <c r="H65" s="4" t="s">
        <v>222</v>
      </c>
      <c r="I65" s="8" t="s">
        <v>223</v>
      </c>
    </row>
    <row r="66" customFormat="false" ht="17.15" hidden="false" customHeight="false" outlineLevel="0" collapsed="false">
      <c r="A66" s="6" t="s">
        <v>224</v>
      </c>
    </row>
    <row r="67" customFormat="false" ht="17.15" hidden="false" customHeight="false" outlineLevel="0" collapsed="false">
      <c r="A67" s="0" t="s">
        <v>225</v>
      </c>
      <c r="B67" s="4" t="s">
        <v>226</v>
      </c>
      <c r="C67" s="0" t="s">
        <v>154</v>
      </c>
      <c r="E67" s="7" t="n">
        <v>101.466</v>
      </c>
      <c r="G67" s="8" t="s">
        <v>170</v>
      </c>
      <c r="H67" s="8" t="s">
        <v>227</v>
      </c>
      <c r="I67" s="4" t="s">
        <v>228</v>
      </c>
    </row>
    <row r="68" customFormat="false" ht="17.15" hidden="false" customHeight="false" outlineLevel="0" collapsed="false">
      <c r="A68" s="0" t="s">
        <v>229</v>
      </c>
      <c r="B68" s="4" t="s">
        <v>230</v>
      </c>
      <c r="C68" s="0" t="s">
        <v>154</v>
      </c>
      <c r="E68" s="7" t="n">
        <v>33.645</v>
      </c>
      <c r="G68" s="8" t="s">
        <v>170</v>
      </c>
      <c r="H68" s="8" t="s">
        <v>231</v>
      </c>
      <c r="I68" s="8" t="s">
        <v>97</v>
      </c>
    </row>
    <row r="69" customFormat="false" ht="17.15" hidden="false" customHeight="false" outlineLevel="0" collapsed="false">
      <c r="A69" s="0" t="s">
        <v>232</v>
      </c>
      <c r="B69" s="4" t="s">
        <v>233</v>
      </c>
      <c r="C69" s="0" t="s">
        <v>125</v>
      </c>
      <c r="E69" s="7" t="n">
        <v>29.28</v>
      </c>
      <c r="G69" s="8" t="s">
        <v>170</v>
      </c>
      <c r="H69" s="8" t="s">
        <v>231</v>
      </c>
      <c r="I69" s="8" t="s">
        <v>97</v>
      </c>
    </row>
    <row r="70" customFormat="false" ht="17.15" hidden="false" customHeight="false" outlineLevel="0" collapsed="false">
      <c r="A70" s="0" t="s">
        <v>234</v>
      </c>
      <c r="B70" s="4" t="s">
        <v>235</v>
      </c>
      <c r="C70" s="0" t="s">
        <v>154</v>
      </c>
      <c r="E70" s="7" t="n">
        <v>186.36</v>
      </c>
      <c r="G70" s="8" t="s">
        <v>170</v>
      </c>
      <c r="H70" s="8" t="s">
        <v>227</v>
      </c>
      <c r="I70" s="4" t="s">
        <v>228</v>
      </c>
    </row>
    <row r="71" customFormat="false" ht="17.15" hidden="false" customHeight="false" outlineLevel="0" collapsed="false">
      <c r="A71" s="0" t="s">
        <v>236</v>
      </c>
      <c r="B71" s="4" t="s">
        <v>237</v>
      </c>
      <c r="C71" s="0" t="s">
        <v>154</v>
      </c>
      <c r="E71" s="7" t="n">
        <v>62.985</v>
      </c>
      <c r="G71" s="8" t="s">
        <v>170</v>
      </c>
      <c r="H71" s="8" t="s">
        <v>231</v>
      </c>
      <c r="I71" s="8" t="s">
        <v>97</v>
      </c>
    </row>
    <row r="72" customFormat="false" ht="17.15" hidden="false" customHeight="false" outlineLevel="0" collapsed="false">
      <c r="A72" s="0" t="s">
        <v>238</v>
      </c>
      <c r="B72" s="4" t="s">
        <v>239</v>
      </c>
      <c r="C72" s="0" t="s">
        <v>125</v>
      </c>
      <c r="E72" s="7" t="n">
        <v>54.74</v>
      </c>
      <c r="G72" s="8" t="s">
        <v>170</v>
      </c>
      <c r="H72" s="8" t="s">
        <v>231</v>
      </c>
      <c r="I72" s="8" t="s">
        <v>97</v>
      </c>
    </row>
    <row r="73" customFormat="false" ht="17.15" hidden="false" customHeight="false" outlineLevel="0" collapsed="false">
      <c r="A73" s="0" t="s">
        <v>240</v>
      </c>
      <c r="B73" s="4" t="s">
        <v>241</v>
      </c>
      <c r="C73" s="0" t="s">
        <v>154</v>
      </c>
      <c r="E73" s="7" t="n">
        <v>273.291</v>
      </c>
      <c r="G73" s="8" t="s">
        <v>170</v>
      </c>
      <c r="H73" s="8" t="s">
        <v>227</v>
      </c>
      <c r="I73" s="4" t="s">
        <v>228</v>
      </c>
    </row>
    <row r="74" customFormat="false" ht="17.15" hidden="false" customHeight="false" outlineLevel="0" collapsed="false">
      <c r="A74" s="0" t="s">
        <v>242</v>
      </c>
      <c r="B74" s="4" t="s">
        <v>243</v>
      </c>
      <c r="C74" s="0" t="s">
        <v>154</v>
      </c>
      <c r="E74" s="7" t="n">
        <v>91.017</v>
      </c>
      <c r="G74" s="8" t="s">
        <v>170</v>
      </c>
      <c r="H74" s="8" t="s">
        <v>231</v>
      </c>
      <c r="I74" s="8" t="s">
        <v>97</v>
      </c>
    </row>
    <row r="75" customFormat="false" ht="17.15" hidden="false" customHeight="false" outlineLevel="0" collapsed="false">
      <c r="A75" s="0" t="s">
        <v>244</v>
      </c>
      <c r="B75" s="4" t="s">
        <v>245</v>
      </c>
      <c r="C75" s="0" t="s">
        <v>125</v>
      </c>
      <c r="E75" s="7" t="n">
        <v>79.16</v>
      </c>
      <c r="G75" s="8" t="s">
        <v>170</v>
      </c>
      <c r="H75" s="8" t="s">
        <v>231</v>
      </c>
      <c r="I75" s="8" t="s">
        <v>97</v>
      </c>
    </row>
    <row r="76" customFormat="false" ht="17.15" hidden="false" customHeight="false" outlineLevel="0" collapsed="false">
      <c r="A76" s="0" t="s">
        <v>246</v>
      </c>
      <c r="B76" s="4" t="s">
        <v>247</v>
      </c>
      <c r="C76" s="0" t="s">
        <v>154</v>
      </c>
      <c r="E76" s="7" t="n">
        <v>86.9</v>
      </c>
      <c r="G76" s="8" t="s">
        <v>170</v>
      </c>
      <c r="H76" s="8" t="s">
        <v>248</v>
      </c>
      <c r="I76" s="8" t="s">
        <v>249</v>
      </c>
    </row>
    <row r="77" customFormat="false" ht="17.15" hidden="false" customHeight="false" outlineLevel="0" collapsed="false">
      <c r="A77" s="0" t="s">
        <v>250</v>
      </c>
      <c r="B77" s="0" t="s">
        <v>251</v>
      </c>
      <c r="C77" s="0" t="s">
        <v>34</v>
      </c>
      <c r="E77" s="7" t="n">
        <v>22.8</v>
      </c>
      <c r="G77" s="8" t="s">
        <v>170</v>
      </c>
      <c r="H77" s="8" t="s">
        <v>252</v>
      </c>
      <c r="I77" s="4" t="s">
        <v>253</v>
      </c>
    </row>
    <row r="78" customFormat="false" ht="17.15" hidden="false" customHeight="false" outlineLevel="0" collapsed="false">
      <c r="A78" s="0" t="s">
        <v>254</v>
      </c>
      <c r="B78" s="0" t="s">
        <v>255</v>
      </c>
      <c r="C78" s="0" t="s">
        <v>108</v>
      </c>
      <c r="D78" s="7" t="n">
        <v>0.35</v>
      </c>
      <c r="E78" s="7" t="n">
        <v>0.375</v>
      </c>
      <c r="F78" s="7" t="n">
        <v>0.4</v>
      </c>
      <c r="G78" s="8" t="s">
        <v>170</v>
      </c>
      <c r="H78" s="8" t="s">
        <v>256</v>
      </c>
      <c r="I78" s="8" t="s">
        <v>257</v>
      </c>
    </row>
    <row r="79" customFormat="false" ht="17.15" hidden="false" customHeight="false" outlineLevel="0" collapsed="false">
      <c r="A79" s="0" t="s">
        <v>258</v>
      </c>
      <c r="B79" s="0" t="s">
        <v>259</v>
      </c>
      <c r="C79" s="0" t="s">
        <v>108</v>
      </c>
      <c r="D79" s="7" t="n">
        <v>0.5</v>
      </c>
      <c r="E79" s="7" t="n">
        <v>0.6</v>
      </c>
      <c r="F79" s="7" t="n">
        <v>0.7</v>
      </c>
      <c r="G79" s="8" t="s">
        <v>170</v>
      </c>
      <c r="H79" s="8" t="s">
        <v>260</v>
      </c>
      <c r="I79" s="8" t="s">
        <v>261</v>
      </c>
    </row>
    <row r="80" customFormat="false" ht="17.15" hidden="false" customHeight="false" outlineLevel="0" collapsed="false">
      <c r="A80" s="0" t="s">
        <v>262</v>
      </c>
      <c r="B80" s="0" t="s">
        <v>263</v>
      </c>
      <c r="C80" s="0" t="s">
        <v>67</v>
      </c>
      <c r="E80" s="7" t="n">
        <v>30</v>
      </c>
      <c r="G80" s="8" t="s">
        <v>68</v>
      </c>
      <c r="H80" s="4" t="s">
        <v>264</v>
      </c>
      <c r="I80" s="4" t="s">
        <v>265</v>
      </c>
    </row>
    <row r="81" customFormat="false" ht="17.15" hidden="false" customHeight="false" outlineLevel="0" collapsed="false">
      <c r="A81" s="6" t="s">
        <v>266</v>
      </c>
    </row>
    <row r="82" customFormat="false" ht="17.15" hidden="false" customHeight="false" outlineLevel="0" collapsed="false">
      <c r="A82" s="0" t="s">
        <v>267</v>
      </c>
      <c r="B82" s="4" t="s">
        <v>268</v>
      </c>
      <c r="C82" s="0" t="s">
        <v>125</v>
      </c>
      <c r="E82" s="7" t="n">
        <v>612.63</v>
      </c>
      <c r="G82" s="8" t="s">
        <v>170</v>
      </c>
      <c r="H82" s="8" t="s">
        <v>269</v>
      </c>
      <c r="I82" s="8" t="s">
        <v>270</v>
      </c>
    </row>
    <row r="83" customFormat="false" ht="17.15" hidden="false" customHeight="false" outlineLevel="0" collapsed="false">
      <c r="A83" s="0" t="s">
        <v>271</v>
      </c>
      <c r="B83" s="0" t="s">
        <v>272</v>
      </c>
      <c r="C83" s="0" t="s">
        <v>125</v>
      </c>
      <c r="E83" s="7" t="n">
        <v>1416.88</v>
      </c>
      <c r="G83" s="8" t="s">
        <v>170</v>
      </c>
      <c r="H83" s="8" t="s">
        <v>273</v>
      </c>
      <c r="I83" s="8" t="s">
        <v>97</v>
      </c>
    </row>
    <row r="84" customFormat="false" ht="17.15" hidden="false" customHeight="false" outlineLevel="0" collapsed="false">
      <c r="A84" s="6" t="s">
        <v>274</v>
      </c>
    </row>
    <row r="85" customFormat="false" ht="17.15" hidden="false" customHeight="false" outlineLevel="0" collapsed="false">
      <c r="A85" s="10" t="s">
        <v>275</v>
      </c>
      <c r="B85" s="11" t="s">
        <v>276</v>
      </c>
      <c r="C85" s="10" t="s">
        <v>108</v>
      </c>
      <c r="D85" s="10"/>
      <c r="E85" s="12" t="n">
        <v>0.3</v>
      </c>
      <c r="F85" s="10"/>
      <c r="G85" s="10" t="s">
        <v>68</v>
      </c>
      <c r="H85" s="10" t="s">
        <v>277</v>
      </c>
      <c r="I85" s="11" t="s">
        <v>278</v>
      </c>
    </row>
    <row r="86" customFormat="false" ht="17.15" hidden="false" customHeight="false" outlineLevel="0" collapsed="false">
      <c r="A86" s="10" t="s">
        <v>279</v>
      </c>
      <c r="B86" s="11" t="s">
        <v>280</v>
      </c>
      <c r="C86" s="10" t="s">
        <v>108</v>
      </c>
      <c r="D86" s="10"/>
      <c r="E86" s="12" t="n">
        <v>0.5</v>
      </c>
      <c r="F86" s="10"/>
      <c r="G86" s="10" t="s">
        <v>68</v>
      </c>
      <c r="H86" s="10" t="s">
        <v>277</v>
      </c>
      <c r="I86" s="11" t="s">
        <v>278</v>
      </c>
    </row>
    <row r="87" customFormat="false" ht="17.15" hidden="false" customHeight="false" outlineLevel="0" collapsed="false">
      <c r="A87" s="10" t="s">
        <v>281</v>
      </c>
      <c r="B87" s="11" t="s">
        <v>282</v>
      </c>
      <c r="C87" s="10" t="s">
        <v>108</v>
      </c>
      <c r="D87" s="10"/>
      <c r="E87" s="12" t="n">
        <v>0.2</v>
      </c>
      <c r="F87" s="10"/>
      <c r="G87" s="10" t="s">
        <v>68</v>
      </c>
      <c r="H87" s="10" t="s">
        <v>277</v>
      </c>
      <c r="I87" s="11" t="s">
        <v>278</v>
      </c>
    </row>
    <row r="88" customFormat="false" ht="17.15" hidden="false" customHeight="false" outlineLevel="0" collapsed="false">
      <c r="A88" s="6" t="s">
        <v>283</v>
      </c>
    </row>
    <row r="89" customFormat="false" ht="17.15" hidden="false" customHeight="false" outlineLevel="0" collapsed="false">
      <c r="A89" s="10" t="s">
        <v>284</v>
      </c>
      <c r="B89" s="11" t="s">
        <v>285</v>
      </c>
      <c r="C89" s="10" t="s">
        <v>108</v>
      </c>
      <c r="D89" s="10"/>
      <c r="E89" s="12" t="n">
        <v>0.1</v>
      </c>
      <c r="F89" s="10"/>
      <c r="G89" s="10" t="s">
        <v>68</v>
      </c>
      <c r="H89" s="10" t="s">
        <v>286</v>
      </c>
      <c r="I89" s="10" t="s">
        <v>287</v>
      </c>
    </row>
    <row r="90" customFormat="false" ht="17.15" hidden="false" customHeight="false" outlineLevel="0" collapsed="false">
      <c r="A90" s="10" t="s">
        <v>288</v>
      </c>
      <c r="B90" s="11" t="s">
        <v>289</v>
      </c>
      <c r="C90" s="10" t="s">
        <v>108</v>
      </c>
      <c r="D90" s="10"/>
      <c r="E90" s="12" t="n">
        <v>0.04</v>
      </c>
      <c r="F90" s="10"/>
      <c r="G90" s="10" t="s">
        <v>68</v>
      </c>
      <c r="H90" s="10" t="s">
        <v>290</v>
      </c>
      <c r="I90" s="10" t="s">
        <v>97</v>
      </c>
    </row>
    <row r="91" customFormat="false" ht="17.15" hidden="false" customHeight="false" outlineLevel="0" collapsed="false">
      <c r="A91" s="10" t="s">
        <v>291</v>
      </c>
      <c r="B91" s="10" t="s">
        <v>292</v>
      </c>
      <c r="C91" s="10" t="s">
        <v>108</v>
      </c>
      <c r="D91" s="10"/>
      <c r="E91" s="10" t="n">
        <f aca="false">AVERAGE(0.1645,0.3064,0.4461)</f>
        <v>0.305666666666667</v>
      </c>
      <c r="F91" s="10"/>
      <c r="G91" s="10" t="s">
        <v>35</v>
      </c>
      <c r="H91" s="10" t="s">
        <v>293</v>
      </c>
      <c r="I91" s="11" t="s">
        <v>294</v>
      </c>
    </row>
    <row r="92" customFormat="false" ht="17.15" hidden="false" customHeight="false" outlineLevel="0" collapsed="false">
      <c r="A92" s="10" t="s">
        <v>295</v>
      </c>
      <c r="B92" s="11" t="s">
        <v>296</v>
      </c>
      <c r="C92" s="10" t="s">
        <v>108</v>
      </c>
      <c r="D92" s="10"/>
      <c r="E92" s="12" t="n">
        <v>0.5</v>
      </c>
      <c r="F92" s="10"/>
      <c r="G92" s="10" t="s">
        <v>68</v>
      </c>
      <c r="H92" s="10" t="s">
        <v>297</v>
      </c>
      <c r="I92" s="10" t="s">
        <v>97</v>
      </c>
    </row>
    <row r="93" customFormat="false" ht="17.15" hidden="false" customHeight="false" outlineLevel="0" collapsed="false">
      <c r="A93" s="10" t="s">
        <v>298</v>
      </c>
      <c r="B93" s="11" t="s">
        <v>299</v>
      </c>
      <c r="C93" s="10" t="s">
        <v>108</v>
      </c>
      <c r="D93" s="10"/>
      <c r="E93" s="10" t="n">
        <f aca="false">tp_g+0.02</f>
        <v>0.06</v>
      </c>
      <c r="F93" s="10"/>
      <c r="G93" s="10" t="s">
        <v>68</v>
      </c>
      <c r="H93" s="11" t="s">
        <v>300</v>
      </c>
      <c r="I93" s="10" t="s">
        <v>301</v>
      </c>
    </row>
    <row r="94" customFormat="false" ht="17.15" hidden="false" customHeight="false" outlineLevel="0" collapsed="false">
      <c r="A94" s="10" t="s">
        <v>302</v>
      </c>
      <c r="B94" s="11" t="s">
        <v>303</v>
      </c>
      <c r="C94" s="10" t="s">
        <v>108</v>
      </c>
      <c r="D94" s="10"/>
      <c r="E94" s="10" t="n">
        <f aca="false">tp_g</f>
        <v>0.04</v>
      </c>
      <c r="F94" s="10"/>
      <c r="G94" s="10" t="s">
        <v>68</v>
      </c>
      <c r="H94" s="11" t="s">
        <v>40</v>
      </c>
      <c r="I94" s="10" t="s">
        <v>97</v>
      </c>
    </row>
    <row r="95" customFormat="false" ht="17.15" hidden="false" customHeight="false" outlineLevel="0" collapsed="false">
      <c r="A95" s="10" t="s">
        <v>304</v>
      </c>
      <c r="B95" s="11" t="s">
        <v>305</v>
      </c>
      <c r="C95" s="10" t="s">
        <v>108</v>
      </c>
      <c r="D95" s="10"/>
      <c r="E95" s="10" t="n">
        <f aca="false">tp_g-0.02</f>
        <v>0.02</v>
      </c>
      <c r="F95" s="10"/>
      <c r="G95" s="10" t="s">
        <v>68</v>
      </c>
      <c r="H95" s="11" t="s">
        <v>40</v>
      </c>
      <c r="I95" s="10" t="s">
        <v>97</v>
      </c>
    </row>
    <row r="96" customFormat="false" ht="17.15" hidden="false" customHeight="false" outlineLevel="0" collapsed="false">
      <c r="A96" s="10" t="s">
        <v>306</v>
      </c>
      <c r="B96" s="11" t="s">
        <v>307</v>
      </c>
      <c r="C96" s="10" t="s">
        <v>108</v>
      </c>
      <c r="D96" s="10"/>
      <c r="E96" s="13" t="n">
        <f aca="false">PL!$G$86</f>
        <v>0.324030887921725</v>
      </c>
      <c r="F96" s="10"/>
      <c r="G96" s="10" t="s">
        <v>35</v>
      </c>
      <c r="H96" s="10" t="s">
        <v>308</v>
      </c>
      <c r="I96" s="10" t="s">
        <v>97</v>
      </c>
    </row>
    <row r="97" customFormat="false" ht="17.15" hidden="false" customHeight="false" outlineLevel="0" collapsed="false">
      <c r="A97" s="10" t="s">
        <v>309</v>
      </c>
      <c r="B97" s="11" t="s">
        <v>310</v>
      </c>
      <c r="C97" s="10" t="s">
        <v>108</v>
      </c>
      <c r="D97" s="10"/>
      <c r="E97" s="10" t="n">
        <f aca="false">(PL!$G$118+PL!$G$118*0.8)/2</f>
        <v>0.287371228346119</v>
      </c>
      <c r="F97" s="10"/>
      <c r="G97" s="10" t="s">
        <v>68</v>
      </c>
      <c r="H97" s="11" t="s">
        <v>311</v>
      </c>
      <c r="I97" s="10" t="s">
        <v>312</v>
      </c>
    </row>
    <row r="98" customFormat="false" ht="17.15" hidden="false" customHeight="false" outlineLevel="0" collapsed="false">
      <c r="A98" s="10" t="s">
        <v>313</v>
      </c>
      <c r="B98" s="11" t="s">
        <v>314</v>
      </c>
      <c r="C98" s="10" t="s">
        <v>108</v>
      </c>
      <c r="D98" s="10"/>
      <c r="E98" s="10" t="n">
        <f aca="false">PL!$G$150*0.8</f>
        <v>0.245843811624504</v>
      </c>
      <c r="F98" s="10"/>
      <c r="G98" s="10" t="s">
        <v>68</v>
      </c>
      <c r="H98" s="11" t="s">
        <v>315</v>
      </c>
      <c r="I98" s="10" t="s">
        <v>312</v>
      </c>
    </row>
    <row r="99" customFormat="false" ht="17.15" hidden="false" customHeight="false" outlineLevel="0" collapsed="false">
      <c r="A99" s="10" t="s">
        <v>316</v>
      </c>
      <c r="B99" s="11" t="s">
        <v>317</v>
      </c>
      <c r="C99" s="10" t="s">
        <v>125</v>
      </c>
      <c r="D99" s="10"/>
      <c r="E99" s="12" t="n">
        <v>1321</v>
      </c>
      <c r="F99" s="10"/>
      <c r="G99" s="10" t="s">
        <v>170</v>
      </c>
      <c r="H99" s="10" t="s">
        <v>318</v>
      </c>
      <c r="I99" s="11" t="s">
        <v>319</v>
      </c>
    </row>
    <row r="100" customFormat="false" ht="17.15" hidden="false" customHeight="false" outlineLevel="0" collapsed="false">
      <c r="A100" s="10" t="s">
        <v>320</v>
      </c>
      <c r="B100" s="11" t="s">
        <v>321</v>
      </c>
      <c r="C100" s="10" t="s">
        <v>125</v>
      </c>
      <c r="D100" s="10"/>
      <c r="E100" s="10" t="n">
        <f aca="false">2/12*cons_eps27+10/12*cons_eps28</f>
        <v>75.09</v>
      </c>
      <c r="F100" s="10"/>
      <c r="G100" s="10" t="s">
        <v>35</v>
      </c>
      <c r="H100" s="10" t="s">
        <v>322</v>
      </c>
      <c r="I100" s="11" t="s">
        <v>323</v>
      </c>
    </row>
    <row r="101" customFormat="false" ht="17.15" hidden="false" customHeight="false" outlineLevel="0" collapsed="false">
      <c r="A101" s="0" t="s">
        <v>324</v>
      </c>
      <c r="B101" s="4" t="s">
        <v>325</v>
      </c>
      <c r="C101" s="0" t="s">
        <v>108</v>
      </c>
      <c r="E101" s="14" t="n">
        <f aca="false">819.47/38240</f>
        <v>0.0214296548117155</v>
      </c>
      <c r="G101" s="8" t="s">
        <v>68</v>
      </c>
      <c r="H101" s="8" t="s">
        <v>326</v>
      </c>
      <c r="I101" s="8" t="s">
        <v>327</v>
      </c>
    </row>
    <row r="102" customFormat="false" ht="17.15" hidden="false" customHeight="false" outlineLevel="0" collapsed="false">
      <c r="A102" s="0" t="s">
        <v>328</v>
      </c>
      <c r="B102" s="4" t="s">
        <v>329</v>
      </c>
      <c r="C102" s="0" t="s">
        <v>108</v>
      </c>
      <c r="E102" s="14" t="n">
        <f aca="false">2759.99/38240</f>
        <v>0.0721754707112971</v>
      </c>
      <c r="G102" s="8" t="s">
        <v>68</v>
      </c>
      <c r="H102" s="8" t="s">
        <v>330</v>
      </c>
      <c r="I102" s="8" t="s">
        <v>327</v>
      </c>
    </row>
    <row r="104" customFormat="false" ht="17.15" hidden="false" customHeight="false" outlineLevel="0" collapsed="false">
      <c r="A104" s="1" t="s">
        <v>331</v>
      </c>
    </row>
    <row r="105" customFormat="false" ht="17.15" hidden="false" customHeight="false" outlineLevel="0" collapsed="false">
      <c r="A105" s="0" t="s">
        <v>332</v>
      </c>
      <c r="B105" s="4" t="s">
        <v>333</v>
      </c>
      <c r="C105" s="0" t="s">
        <v>34</v>
      </c>
      <c r="E105" s="7" t="n">
        <v>29.753262</v>
      </c>
      <c r="G105" s="8" t="s">
        <v>35</v>
      </c>
      <c r="H105" s="8" t="s">
        <v>334</v>
      </c>
      <c r="I105" s="4" t="s">
        <v>335</v>
      </c>
    </row>
    <row r="106" customFormat="false" ht="17.15" hidden="false" customHeight="false" outlineLevel="0" collapsed="false">
      <c r="A106" s="0" t="s">
        <v>336</v>
      </c>
      <c r="B106" s="4" t="s">
        <v>337</v>
      </c>
      <c r="C106" s="0" t="s">
        <v>34</v>
      </c>
      <c r="E106" s="7" t="n">
        <v>54.688309</v>
      </c>
      <c r="G106" s="8" t="s">
        <v>35</v>
      </c>
      <c r="H106" s="8" t="s">
        <v>334</v>
      </c>
      <c r="I106" s="4" t="s">
        <v>40</v>
      </c>
    </row>
    <row r="107" customFormat="false" ht="17.15" hidden="false" customHeight="false" outlineLevel="0" collapsed="false">
      <c r="A107" s="0" t="s">
        <v>338</v>
      </c>
      <c r="B107" s="4" t="s">
        <v>339</v>
      </c>
      <c r="C107" s="0" t="s">
        <v>34</v>
      </c>
      <c r="E107" s="7" t="n">
        <v>61.21325</v>
      </c>
      <c r="G107" s="8" t="s">
        <v>35</v>
      </c>
      <c r="H107" s="8" t="s">
        <v>334</v>
      </c>
      <c r="I107" s="4" t="s">
        <v>40</v>
      </c>
    </row>
    <row r="108" customFormat="false" ht="17.15" hidden="false" customHeight="false" outlineLevel="0" collapsed="false">
      <c r="A108" s="0" t="s">
        <v>340</v>
      </c>
      <c r="B108" s="4" t="s">
        <v>341</v>
      </c>
      <c r="C108" s="0" t="s">
        <v>34</v>
      </c>
      <c r="E108" s="7" t="n">
        <v>78.80848</v>
      </c>
      <c r="G108" s="8" t="s">
        <v>35</v>
      </c>
      <c r="H108" s="8" t="s">
        <v>334</v>
      </c>
      <c r="I108" s="4" t="s">
        <v>40</v>
      </c>
    </row>
    <row r="109" customFormat="false" ht="17.15" hidden="false" customHeight="false" outlineLevel="0" collapsed="false">
      <c r="A109" s="0" t="s">
        <v>342</v>
      </c>
      <c r="B109" s="4" t="s">
        <v>343</v>
      </c>
      <c r="C109" s="0" t="s">
        <v>34</v>
      </c>
      <c r="E109" s="7" t="n">
        <v>29.753262</v>
      </c>
      <c r="G109" s="8" t="s">
        <v>35</v>
      </c>
      <c r="H109" s="8" t="s">
        <v>344</v>
      </c>
      <c r="I109" s="4" t="s">
        <v>345</v>
      </c>
    </row>
    <row r="110" customFormat="false" ht="17.15" hidden="false" customHeight="false" outlineLevel="0" collapsed="false">
      <c r="A110" s="0" t="s">
        <v>346</v>
      </c>
      <c r="B110" s="4" t="s">
        <v>347</v>
      </c>
      <c r="C110" s="0" t="s">
        <v>34</v>
      </c>
      <c r="E110" s="7" t="n">
        <v>55.252106</v>
      </c>
      <c r="G110" s="8" t="s">
        <v>35</v>
      </c>
      <c r="H110" s="8" t="s">
        <v>344</v>
      </c>
      <c r="I110" s="4" t="s">
        <v>40</v>
      </c>
    </row>
    <row r="111" customFormat="false" ht="17.15" hidden="false" customHeight="false" outlineLevel="0" collapsed="false">
      <c r="A111" s="0" t="s">
        <v>348</v>
      </c>
      <c r="B111" s="4" t="s">
        <v>349</v>
      </c>
      <c r="C111" s="0" t="s">
        <v>34</v>
      </c>
      <c r="E111" s="7" t="n">
        <v>62.50195</v>
      </c>
      <c r="G111" s="8" t="s">
        <v>35</v>
      </c>
      <c r="H111" s="8" t="s">
        <v>344</v>
      </c>
      <c r="I111" s="4" t="s">
        <v>40</v>
      </c>
    </row>
    <row r="112" customFormat="false" ht="17.15" hidden="false" customHeight="false" outlineLevel="0" collapsed="false">
      <c r="A112" s="0" t="s">
        <v>350</v>
      </c>
      <c r="B112" s="4" t="s">
        <v>351</v>
      </c>
      <c r="C112" s="0" t="s">
        <v>34</v>
      </c>
      <c r="E112" s="7" t="n">
        <v>81.01111</v>
      </c>
      <c r="G112" s="8" t="s">
        <v>35</v>
      </c>
      <c r="H112" s="8" t="s">
        <v>344</v>
      </c>
      <c r="I112" s="4" t="s">
        <v>40</v>
      </c>
    </row>
    <row r="113" customFormat="false" ht="17.15" hidden="false" customHeight="false" outlineLevel="0" collapsed="false">
      <c r="A113" s="0" t="s">
        <v>352</v>
      </c>
      <c r="B113" s="4" t="s">
        <v>353</v>
      </c>
      <c r="C113" s="0" t="s">
        <v>34</v>
      </c>
      <c r="E113" s="7" t="n">
        <v>0.300538</v>
      </c>
      <c r="G113" s="8" t="s">
        <v>35</v>
      </c>
      <c r="H113" s="8" t="s">
        <v>354</v>
      </c>
      <c r="I113" s="4" t="s">
        <v>335</v>
      </c>
    </row>
    <row r="114" customFormat="false" ht="17.15" hidden="false" customHeight="false" outlineLevel="0" collapsed="false">
      <c r="A114" s="0" t="s">
        <v>355</v>
      </c>
      <c r="B114" s="4" t="s">
        <v>356</v>
      </c>
      <c r="C114" s="0" t="s">
        <v>34</v>
      </c>
      <c r="E114" s="7" t="n">
        <v>1.691391</v>
      </c>
      <c r="G114" s="8" t="s">
        <v>35</v>
      </c>
      <c r="H114" s="8" t="s">
        <v>354</v>
      </c>
      <c r="I114" s="4" t="s">
        <v>40</v>
      </c>
    </row>
    <row r="115" customFormat="false" ht="17.15" hidden="false" customHeight="false" outlineLevel="0" collapsed="false">
      <c r="A115" s="0" t="s">
        <v>357</v>
      </c>
      <c r="B115" s="4" t="s">
        <v>358</v>
      </c>
      <c r="C115" s="0" t="s">
        <v>34</v>
      </c>
      <c r="E115" s="7" t="n">
        <v>3.22175</v>
      </c>
      <c r="G115" s="8" t="s">
        <v>35</v>
      </c>
      <c r="H115" s="8" t="s">
        <v>354</v>
      </c>
      <c r="I115" s="4" t="s">
        <v>40</v>
      </c>
    </row>
    <row r="116" customFormat="false" ht="17.15" hidden="false" customHeight="false" outlineLevel="0" collapsed="false">
      <c r="A116" s="0" t="s">
        <v>359</v>
      </c>
      <c r="B116" s="4" t="s">
        <v>360</v>
      </c>
      <c r="C116" s="0" t="s">
        <v>34</v>
      </c>
      <c r="E116" s="7" t="n">
        <v>5.87368</v>
      </c>
      <c r="G116" s="8" t="s">
        <v>35</v>
      </c>
      <c r="H116" s="8" t="s">
        <v>354</v>
      </c>
      <c r="I116" s="4" t="s">
        <v>40</v>
      </c>
    </row>
    <row r="117" customFormat="false" ht="17.15" hidden="false" customHeight="false" outlineLevel="0" collapsed="false">
      <c r="A117" s="0" t="s">
        <v>361</v>
      </c>
      <c r="B117" s="4" t="s">
        <v>362</v>
      </c>
      <c r="C117" s="0" t="s">
        <v>34</v>
      </c>
      <c r="E117" s="7" t="n">
        <v>0.300538</v>
      </c>
      <c r="G117" s="8" t="s">
        <v>35</v>
      </c>
      <c r="H117" s="8" t="s">
        <v>363</v>
      </c>
      <c r="I117" s="4" t="s">
        <v>345</v>
      </c>
    </row>
    <row r="118" customFormat="false" ht="17.15" hidden="false" customHeight="false" outlineLevel="0" collapsed="false">
      <c r="A118" s="0" t="s">
        <v>364</v>
      </c>
      <c r="B118" s="4" t="s">
        <v>365</v>
      </c>
      <c r="C118" s="0" t="s">
        <v>34</v>
      </c>
      <c r="E118" s="7" t="n">
        <v>1.127594</v>
      </c>
      <c r="G118" s="8" t="s">
        <v>35</v>
      </c>
      <c r="H118" s="8" t="s">
        <v>363</v>
      </c>
      <c r="I118" s="4" t="s">
        <v>40</v>
      </c>
    </row>
    <row r="119" customFormat="false" ht="17.15" hidden="false" customHeight="false" outlineLevel="0" collapsed="false">
      <c r="A119" s="0" t="s">
        <v>366</v>
      </c>
      <c r="B119" s="4" t="s">
        <v>367</v>
      </c>
      <c r="C119" s="0" t="s">
        <v>34</v>
      </c>
      <c r="E119" s="7" t="n">
        <v>1.93305</v>
      </c>
      <c r="G119" s="8" t="s">
        <v>35</v>
      </c>
      <c r="H119" s="8" t="s">
        <v>363</v>
      </c>
      <c r="I119" s="4" t="s">
        <v>40</v>
      </c>
    </row>
    <row r="120" customFormat="false" ht="17.15" hidden="false" customHeight="false" outlineLevel="0" collapsed="false">
      <c r="A120" s="0" t="s">
        <v>368</v>
      </c>
      <c r="B120" s="4" t="s">
        <v>369</v>
      </c>
      <c r="C120" s="0" t="s">
        <v>34</v>
      </c>
      <c r="E120" s="7" t="n">
        <v>3.67105</v>
      </c>
      <c r="G120" s="8" t="s">
        <v>35</v>
      </c>
      <c r="H120" s="8" t="s">
        <v>363</v>
      </c>
      <c r="I120" s="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370</v>
      </c>
    </row>
    <row r="2" customFormat="false" ht="17.15" hidden="false" customHeight="false" outlineLevel="0" collapsed="false">
      <c r="A2" s="0" t="s">
        <v>371</v>
      </c>
    </row>
    <row r="3" customFormat="false" ht="17.15" hidden="false" customHeight="false" outlineLevel="0" collapsed="false">
      <c r="A3" s="5" t="s">
        <v>23</v>
      </c>
      <c r="B3" s="15" t="s">
        <v>372</v>
      </c>
      <c r="C3" s="15" t="s">
        <v>373</v>
      </c>
      <c r="D3" s="15" t="s">
        <v>374</v>
      </c>
      <c r="E3" s="15" t="s">
        <v>375</v>
      </c>
      <c r="F3" s="15" t="s">
        <v>376</v>
      </c>
      <c r="G3" s="15" t="s">
        <v>377</v>
      </c>
      <c r="H3" s="5" t="s">
        <v>28</v>
      </c>
      <c r="I3" s="5" t="s">
        <v>378</v>
      </c>
    </row>
    <row r="4" customFormat="false" ht="17.15" hidden="false" customHeight="false" outlineLevel="0" collapsed="false">
      <c r="A4" s="4" t="s">
        <v>379</v>
      </c>
      <c r="B4" s="16" t="n">
        <f aca="false">a25_rev_in</f>
        <v>38.24</v>
      </c>
      <c r="C4" s="16" t="n">
        <f aca="false">h1_rev</f>
        <v>41.778</v>
      </c>
      <c r="D4" s="16" t="n">
        <f aca="false">(h1_rev-q1_rev)*(1+q_g)</f>
        <v>25.6197</v>
      </c>
      <c r="E4" s="16" t="n">
        <f aca="false">D4*(1+q_g)</f>
        <v>29.462655</v>
      </c>
      <c r="F4" s="16" t="n">
        <f aca="false">D4+E4</f>
        <v>55.082355</v>
      </c>
      <c r="G4" s="16" t="n">
        <f aca="false">C4+F4</f>
        <v>96.860355</v>
      </c>
      <c r="H4" s="8" t="s">
        <v>380</v>
      </c>
      <c r="I4" s="8" t="s">
        <v>381</v>
      </c>
    </row>
    <row r="5" customFormat="false" ht="15" hidden="false" customHeight="false" outlineLevel="0" collapsed="false">
      <c r="A5" s="4" t="s">
        <v>382</v>
      </c>
      <c r="B5" s="16" t="n">
        <f aca="false">B4*a25_gm_in</f>
        <v>16.294064</v>
      </c>
      <c r="C5" s="16" t="n">
        <f aca="false">C4*h1_gm</f>
        <v>19.4643702</v>
      </c>
      <c r="D5" s="16" t="n">
        <f aca="false">D4*gm_h2</f>
        <v>12.041259</v>
      </c>
      <c r="E5" s="16" t="n">
        <f aca="false">E4*gm_h2</f>
        <v>13.84744785</v>
      </c>
      <c r="F5" s="16" t="n">
        <f aca="false">D5+E5</f>
        <v>25.88870685</v>
      </c>
      <c r="G5" s="16" t="n">
        <f aca="false">C5+F5</f>
        <v>45.35307705</v>
      </c>
      <c r="H5" s="8" t="s">
        <v>35</v>
      </c>
    </row>
    <row r="6" customFormat="false" ht="15" hidden="false" customHeight="false" outlineLevel="0" collapsed="false">
      <c r="A6" s="4" t="s">
        <v>383</v>
      </c>
      <c r="B6" s="17" t="n">
        <f aca="false">B5/B4</f>
        <v>0.4261</v>
      </c>
      <c r="C6" s="17" t="n">
        <f aca="false">C5/C4</f>
        <v>0.4659</v>
      </c>
      <c r="D6" s="17" t="n">
        <f aca="false">D5/D4</f>
        <v>0.47</v>
      </c>
      <c r="E6" s="17" t="n">
        <f aca="false">E5/E4</f>
        <v>0.47</v>
      </c>
      <c r="F6" s="17" t="n">
        <f aca="false">F5/F4</f>
        <v>0.47</v>
      </c>
      <c r="G6" s="17" t="n">
        <f aca="false">G5/G4</f>
        <v>0.468231579886322</v>
      </c>
      <c r="H6" s="8" t="s">
        <v>35</v>
      </c>
    </row>
    <row r="7" customFormat="false" ht="17.15" hidden="false" customHeight="false" outlineLevel="0" collapsed="false">
      <c r="A7" s="4" t="s">
        <v>384</v>
      </c>
      <c r="B7" s="18" t="n">
        <f aca="false">(1-tx)*attr</f>
        <v>0.7922</v>
      </c>
      <c r="C7" s="18" t="n">
        <f aca="false">(1-tx)*attr</f>
        <v>0.7922</v>
      </c>
      <c r="D7" s="18" t="n">
        <f aca="false">(1-tx)*attr</f>
        <v>0.7922</v>
      </c>
      <c r="E7" s="18" t="n">
        <f aca="false">(1-tx)*attr</f>
        <v>0.7922</v>
      </c>
      <c r="H7" s="8" t="s">
        <v>385</v>
      </c>
    </row>
    <row r="8" customFormat="false" ht="17.15" hidden="false" customHeight="false" outlineLevel="0" collapsed="false">
      <c r="A8" s="4" t="s">
        <v>386</v>
      </c>
      <c r="B8" s="16" t="n">
        <f aca="false">B5-B10/B7</f>
        <v>2.6649299429437</v>
      </c>
      <c r="C8" s="16" t="n">
        <f aca="false">C5-C10/C7</f>
        <v>2.23261054334764</v>
      </c>
      <c r="D8" s="16" t="n">
        <f aca="false">D4*C9</f>
        <v>1.36911322555899</v>
      </c>
      <c r="E8" s="16" t="n">
        <f aca="false">E4*C9</f>
        <v>1.57448020939284</v>
      </c>
      <c r="F8" s="16" t="n">
        <f aca="false">D8+E8</f>
        <v>2.94359343495183</v>
      </c>
      <c r="G8" s="16" t="n">
        <f aca="false">C8+F8</f>
        <v>5.17620397829946</v>
      </c>
      <c r="H8" s="8" t="s">
        <v>387</v>
      </c>
      <c r="I8" s="8" t="s">
        <v>388</v>
      </c>
    </row>
    <row r="9" customFormat="false" ht="15" hidden="false" customHeight="false" outlineLevel="0" collapsed="false">
      <c r="A9" s="4" t="s">
        <v>389</v>
      </c>
      <c r="B9" s="17" t="n">
        <f aca="false">B8/B4</f>
        <v>0.0696895905581511</v>
      </c>
      <c r="C9" s="17" t="n">
        <f aca="false">C8/C4</f>
        <v>0.0534398617298012</v>
      </c>
      <c r="D9" s="17" t="n">
        <f aca="false">D8/D4</f>
        <v>0.0534398617298012</v>
      </c>
      <c r="E9" s="17" t="n">
        <f aca="false">E8/E4</f>
        <v>0.0534398617298012</v>
      </c>
      <c r="F9" s="17" t="n">
        <f aca="false">F8/F4</f>
        <v>0.0534398617298012</v>
      </c>
      <c r="G9" s="17" t="n">
        <f aca="false">G8/G4</f>
        <v>0.0534398617298012</v>
      </c>
      <c r="H9" s="8" t="s">
        <v>35</v>
      </c>
    </row>
    <row r="10" customFormat="false" ht="17.15" hidden="false" customHeight="false" outlineLevel="0" collapsed="false">
      <c r="A10" s="4" t="s">
        <v>390</v>
      </c>
      <c r="B10" s="16" t="n">
        <f aca="false">a25_ni_in</f>
        <v>10.797</v>
      </c>
      <c r="C10" s="16" t="n">
        <f aca="false">h1_ni</f>
        <v>13.651</v>
      </c>
      <c r="D10" s="16" t="n">
        <f aca="false">(D5-D8)*D7</f>
        <v>8.45447388251217</v>
      </c>
      <c r="E10" s="16" t="n">
        <f aca="false">(E5-E8)*E7</f>
        <v>9.72264496488899</v>
      </c>
      <c r="F10" s="16" t="n">
        <f aca="false">D10+E10</f>
        <v>18.1771188474012</v>
      </c>
      <c r="G10" s="16" t="n">
        <f aca="false">C10+F10</f>
        <v>31.8281188474012</v>
      </c>
      <c r="H10" s="8" t="s">
        <v>391</v>
      </c>
    </row>
    <row r="11" customFormat="false" ht="15" hidden="false" customHeight="false" outlineLevel="0" collapsed="false">
      <c r="A11" s="4" t="s">
        <v>392</v>
      </c>
      <c r="B11" s="17" t="n">
        <f aca="false">B10/B4</f>
        <v>0.282348326359833</v>
      </c>
      <c r="C11" s="17" t="n">
        <f aca="false">C10/C4</f>
        <v>0.326750921537651</v>
      </c>
      <c r="D11" s="17" t="n">
        <f aca="false">D10/D4</f>
        <v>0.329998941537651</v>
      </c>
      <c r="E11" s="17" t="n">
        <f aca="false">E10/E4</f>
        <v>0.329998941537651</v>
      </c>
      <c r="F11" s="17" t="n">
        <f aca="false">F10/F4</f>
        <v>0.329998941537651</v>
      </c>
      <c r="G11" s="17" t="n">
        <f aca="false">G10/G4</f>
        <v>0.328597999123596</v>
      </c>
      <c r="H11" s="8" t="s">
        <v>35</v>
      </c>
    </row>
    <row r="12" customFormat="false" ht="17.15" hidden="false" customHeight="false" outlineLevel="0" collapsed="false">
      <c r="A12" s="4" t="s">
        <v>393</v>
      </c>
      <c r="B12" s="16" t="n">
        <f aca="false">a25_sh_in</f>
        <v>1.1089358245329</v>
      </c>
      <c r="C12" s="16" t="n">
        <f aca="false">q_sh_h1</f>
        <v>1.1089358245329</v>
      </c>
      <c r="D12" s="16" t="n">
        <f aca="false">sh_post</f>
        <v>1.1779091190713</v>
      </c>
      <c r="E12" s="16" t="n">
        <f aca="false">sh_post</f>
        <v>1.1779091190713</v>
      </c>
      <c r="G12" s="16" t="n">
        <f aca="false">(C12*2+D12+E12)/4</f>
        <v>1.1434224718021</v>
      </c>
      <c r="H12" s="8" t="s">
        <v>35</v>
      </c>
      <c r="I12" s="8" t="s">
        <v>394</v>
      </c>
    </row>
    <row r="13" customFormat="false" ht="17.15" hidden="false" customHeight="false" outlineLevel="0" collapsed="false">
      <c r="A13" s="0" t="s">
        <v>395</v>
      </c>
      <c r="B13" s="9" t="n">
        <f aca="false">B10/B12</f>
        <v>9.73636143872244</v>
      </c>
      <c r="C13" s="9" t="n">
        <f aca="false">C10/C12</f>
        <v>12.31</v>
      </c>
      <c r="D13" s="9" t="n">
        <f aca="false">D10/D12</f>
        <v>7.17752647095384</v>
      </c>
      <c r="E13" s="9" t="n">
        <f aca="false">E10/E12</f>
        <v>8.25415544159691</v>
      </c>
      <c r="G13" s="9" t="n">
        <f aca="false">G10/G12</f>
        <v>27.8358346388262</v>
      </c>
      <c r="H13" s="8" t="s">
        <v>35</v>
      </c>
      <c r="I13" s="8" t="s">
        <v>396</v>
      </c>
    </row>
    <row r="14" customFormat="false" ht="17.15" hidden="false" customHeight="false" outlineLevel="0" collapsed="false">
      <c r="A14" s="4" t="s">
        <v>397</v>
      </c>
      <c r="B14" s="16" t="n">
        <f aca="false">B4*oth_s</f>
        <v>3.0592</v>
      </c>
      <c r="G14" s="16" t="n">
        <f aca="false">G4*oth_s</f>
        <v>7.7488284</v>
      </c>
      <c r="H14" s="8" t="s">
        <v>68</v>
      </c>
    </row>
    <row r="15" customFormat="false" ht="17.15" hidden="false" customHeight="false" outlineLevel="0" collapsed="false">
      <c r="A15" s="0" t="s">
        <v>398</v>
      </c>
      <c r="B15" s="16" t="n">
        <f aca="false">B4-B14</f>
        <v>35.1808</v>
      </c>
      <c r="G15" s="16" t="n">
        <f aca="false">G4-G14</f>
        <v>89.1115266</v>
      </c>
      <c r="H15" s="8" t="s">
        <v>35</v>
      </c>
    </row>
    <row r="16" customFormat="false" ht="17.15" hidden="false" customHeight="false" outlineLevel="0" collapsed="false">
      <c r="A16" s="0" t="s">
        <v>399</v>
      </c>
      <c r="B16" s="16" t="n">
        <f aca="false">B15/fx</f>
        <v>5.2352380952381</v>
      </c>
      <c r="G16" s="16" t="n">
        <f aca="false">G15/fx</f>
        <v>13.2606438392857</v>
      </c>
      <c r="H16" s="8" t="s">
        <v>35</v>
      </c>
    </row>
    <row r="21" customFormat="false" ht="17.15" hidden="false" customHeight="false" outlineLevel="0" collapsed="false">
      <c r="A21" s="6" t="s">
        <v>400</v>
      </c>
    </row>
    <row r="22" customFormat="false" ht="17.15" hidden="false" customHeight="false" outlineLevel="0" collapsed="false">
      <c r="A22" s="0" t="s">
        <v>401</v>
      </c>
      <c r="B22" s="17" t="n">
        <f aca="false">G4/cons_rev26-1</f>
        <v>-0.0453910176807995</v>
      </c>
    </row>
    <row r="23" customFormat="false" ht="17.15" hidden="false" customHeight="false" outlineLevel="0" collapsed="false">
      <c r="A23" s="0" t="s">
        <v>402</v>
      </c>
      <c r="B23" s="17" t="n">
        <f aca="false">G10/cons_ni26-1</f>
        <v>-0.0540015203625752</v>
      </c>
    </row>
    <row r="24" customFormat="false" ht="17.15" hidden="false" customHeight="false" outlineLevel="0" collapsed="false">
      <c r="A24" s="0" t="s">
        <v>403</v>
      </c>
      <c r="B24" s="17" t="n">
        <f aca="false">G4/B4-1</f>
        <v>1.53295907426778</v>
      </c>
    </row>
    <row r="25" customFormat="false" ht="17.15" hidden="false" customHeight="false" outlineLevel="0" collapsed="false">
      <c r="A25" s="0" t="s">
        <v>404</v>
      </c>
      <c r="B25" s="17" t="n">
        <f aca="false">G8/B8-1</f>
        <v>0.942341483311863</v>
      </c>
    </row>
    <row r="26" customFormat="false" ht="17.15" hidden="false" customHeight="false" outlineLevel="0" collapsed="false">
      <c r="A26" s="4" t="s">
        <v>405</v>
      </c>
      <c r="B26" s="9" t="n">
        <f aca="false">B25/B24</f>
        <v>0.61472057482159</v>
      </c>
    </row>
    <row r="27" customFormat="false" ht="17.15" hidden="false" customHeight="false" outlineLevel="0" collapsed="false">
      <c r="A27" s="0" t="s">
        <v>406</v>
      </c>
      <c r="B27" s="17" t="n">
        <f aca="false">C13/h1_eps-1</f>
        <v>0</v>
      </c>
    </row>
    <row r="30" customFormat="false" ht="17.15" hidden="false" customHeight="false" outlineLevel="0" collapsed="false">
      <c r="A30" s="1" t="s">
        <v>407</v>
      </c>
    </row>
    <row r="31" customFormat="false" ht="17.15" hidden="false" customHeight="false" outlineLevel="0" collapsed="false">
      <c r="A31" s="4" t="s">
        <v>408</v>
      </c>
      <c r="B31" s="19" t="n">
        <v>37.457</v>
      </c>
      <c r="H31" s="8" t="s">
        <v>126</v>
      </c>
      <c r="I31" s="4" t="s">
        <v>409</v>
      </c>
    </row>
    <row r="32" customFormat="false" ht="15" hidden="false" customHeight="false" outlineLevel="0" collapsed="false">
      <c r="A32" s="4" t="s">
        <v>410</v>
      </c>
      <c r="B32" s="16" t="n">
        <f aca="false">B4-B31</f>
        <v>0.783000000000001</v>
      </c>
      <c r="H32" s="8" t="s">
        <v>35</v>
      </c>
      <c r="I32" s="4" t="s">
        <v>411</v>
      </c>
    </row>
    <row r="33" customFormat="false" ht="17.15" hidden="false" customHeight="false" outlineLevel="0" collapsed="false">
      <c r="A33" s="4" t="s">
        <v>412</v>
      </c>
      <c r="B33" s="16" t="n">
        <f aca="false">ROUND(B31+B32-B4,6)</f>
        <v>0</v>
      </c>
      <c r="H33" s="8" t="s">
        <v>35</v>
      </c>
      <c r="I33" s="4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414</v>
      </c>
    </row>
    <row r="3" customFormat="false" ht="15" hidden="false" customHeight="false" outlineLevel="0" collapsed="false">
      <c r="A3" s="5" t="s">
        <v>23</v>
      </c>
      <c r="B3" s="5" t="s">
        <v>24</v>
      </c>
      <c r="C3" s="15" t="s">
        <v>415</v>
      </c>
      <c r="D3" s="15" t="s">
        <v>416</v>
      </c>
      <c r="E3" s="15" t="s">
        <v>417</v>
      </c>
      <c r="F3" s="15" t="s">
        <v>418</v>
      </c>
      <c r="G3" s="5" t="s">
        <v>378</v>
      </c>
    </row>
    <row r="4" customFormat="false" ht="17.15" hidden="false" customHeight="false" outlineLevel="0" collapsed="false">
      <c r="A4" s="0" t="s">
        <v>419</v>
      </c>
      <c r="B4" s="0" t="s">
        <v>34</v>
      </c>
      <c r="C4" s="20" t="n">
        <f aca="false">PL!D63</f>
        <v>29.753262</v>
      </c>
      <c r="D4" s="20" t="n">
        <f aca="false">PL!E63</f>
        <v>53.560715</v>
      </c>
      <c r="E4" s="20" t="n">
        <f aca="false">PL!F63</f>
        <v>57.9915</v>
      </c>
      <c r="F4" s="20" t="n">
        <f aca="false">PL!G63</f>
        <v>72.9348</v>
      </c>
      <c r="G4" s="8" t="s">
        <v>420</v>
      </c>
    </row>
    <row r="5" customFormat="false" ht="17.15" hidden="false" customHeight="false" outlineLevel="0" collapsed="false">
      <c r="A5" s="0" t="s">
        <v>421</v>
      </c>
      <c r="B5" s="0" t="s">
        <v>34</v>
      </c>
      <c r="C5" s="20" t="n">
        <f aca="false">PL!D64</f>
        <v>0.300538</v>
      </c>
      <c r="D5" s="20" t="n">
        <f aca="false">PL!E64</f>
        <v>2.818985</v>
      </c>
      <c r="E5" s="20" t="n">
        <f aca="false">PL!F64</f>
        <v>6.4435</v>
      </c>
      <c r="F5" s="20" t="n">
        <f aca="false">PL!G64</f>
        <v>11.74736</v>
      </c>
      <c r="G5" s="4" t="s">
        <v>40</v>
      </c>
    </row>
    <row r="6" customFormat="false" ht="17.15" hidden="false" customHeight="false" outlineLevel="0" collapsed="false">
      <c r="A6" s="0" t="s">
        <v>422</v>
      </c>
      <c r="B6" s="0" t="s">
        <v>108</v>
      </c>
      <c r="C6" s="17" t="n">
        <f aca="false">PL!D64/(PL!D63+PL!D64)</f>
        <v>0.01</v>
      </c>
      <c r="D6" s="17" t="n">
        <f aca="false">PL!E64/(PL!E63+PL!E64)</f>
        <v>0.05</v>
      </c>
      <c r="E6" s="17" t="n">
        <f aca="false">PL!F64/(PL!F63+PL!F64)</f>
        <v>0.1</v>
      </c>
      <c r="F6" s="17" t="n">
        <f aca="false">PL!G64/(PL!G63+PL!G64)</f>
        <v>0.138722961247092</v>
      </c>
      <c r="G6" s="4" t="s">
        <v>423</v>
      </c>
    </row>
    <row r="7" customFormat="false" ht="17.15" hidden="false" customHeight="false" outlineLevel="0" collapsed="false">
      <c r="A7" s="4" t="s">
        <v>424</v>
      </c>
      <c r="B7" s="0" t="s">
        <v>108</v>
      </c>
      <c r="C7" s="17" t="n">
        <f aca="false">PL!D68</f>
        <v>0.445687059095763</v>
      </c>
      <c r="D7" s="17" t="n">
        <f aca="false">PL!E68</f>
        <v>0.423402706140975</v>
      </c>
      <c r="E7" s="17" t="n">
        <f aca="false">PL!F68</f>
        <v>0.401118353186187</v>
      </c>
      <c r="F7" s="17" t="n">
        <f aca="false">PL!G68</f>
        <v>0.378834000231398</v>
      </c>
      <c r="G7" s="8" t="s">
        <v>425</v>
      </c>
    </row>
    <row r="8" customFormat="false" ht="17.15" hidden="false" customHeight="false" outlineLevel="0" collapsed="false">
      <c r="A8" s="4" t="s">
        <v>426</v>
      </c>
      <c r="B8" s="0" t="s">
        <v>34</v>
      </c>
      <c r="C8" s="21" t="n">
        <f aca="false">PL!D71</f>
        <v>13.2606438392857</v>
      </c>
      <c r="D8" s="21" t="n">
        <f aca="false">PL!E71</f>
        <v>22.9596501738455</v>
      </c>
      <c r="E8" s="21" t="n">
        <f aca="false">PL!F71</f>
        <v>24.2279799787967</v>
      </c>
      <c r="F8" s="21" t="n">
        <f aca="false">PL!G71</f>
        <v>29.979654040077</v>
      </c>
    </row>
    <row r="9" customFormat="false" ht="17.15" hidden="false" customHeight="false" outlineLevel="0" collapsed="false">
      <c r="A9" s="4" t="s">
        <v>427</v>
      </c>
      <c r="B9" s="0" t="s">
        <v>34</v>
      </c>
      <c r="C9" s="20" t="n">
        <f aca="false">PL!D63+PL!D64-PL!D71</f>
        <v>16.7931561607143</v>
      </c>
      <c r="D9" s="20" t="n">
        <f aca="false">PL!E63+PL!E64-PL!E71</f>
        <v>33.4200498261545</v>
      </c>
      <c r="E9" s="20" t="n">
        <f aca="false">PL!F63+PL!F64-PL!F71</f>
        <v>40.2070200212033</v>
      </c>
      <c r="F9" s="20" t="n">
        <f aca="false">PL!G63+PL!G64-PL!G71</f>
        <v>54.702505959923</v>
      </c>
    </row>
    <row r="10" customFormat="false" ht="17.15" hidden="false" customHeight="false" outlineLevel="0" collapsed="false">
      <c r="A10" s="4" t="s">
        <v>428</v>
      </c>
      <c r="B10" s="0" t="s">
        <v>108</v>
      </c>
      <c r="C10" s="14" t="n">
        <f aca="false">PL!D71/itc_26</f>
        <v>0.0169601012602143</v>
      </c>
      <c r="D10" s="14" t="n">
        <f aca="false">PL!E71/itc_27</f>
        <v>0.0146674227321976</v>
      </c>
      <c r="E10" s="14" t="n">
        <f aca="false">PL!F71/itc_28</f>
        <v>0.0122100594152139</v>
      </c>
      <c r="F10" s="14" t="n">
        <f aca="false">PL!G71/itc_29</f>
        <v>0.0132630432606313</v>
      </c>
      <c r="G10" s="8" t="s">
        <v>429</v>
      </c>
    </row>
    <row r="12" customFormat="false" ht="17.15" hidden="false" customHeight="false" outlineLevel="0" collapsed="false">
      <c r="A12" s="1" t="s">
        <v>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431</v>
      </c>
    </row>
    <row r="2" customFormat="false" ht="17.15" hidden="false" customHeight="false" outlineLevel="0" collapsed="false">
      <c r="A2" s="4" t="s">
        <v>432</v>
      </c>
    </row>
    <row r="3" customFormat="false" ht="17.15" hidden="false" customHeight="false" outlineLevel="0" collapsed="false">
      <c r="A3" s="5" t="s">
        <v>433</v>
      </c>
      <c r="B3" s="5" t="s">
        <v>24</v>
      </c>
      <c r="C3" s="15" t="s">
        <v>372</v>
      </c>
      <c r="D3" s="15" t="s">
        <v>434</v>
      </c>
      <c r="E3" s="15" t="s">
        <v>435</v>
      </c>
      <c r="F3" s="15" t="s">
        <v>436</v>
      </c>
      <c r="G3" s="15" t="s">
        <v>437</v>
      </c>
      <c r="H3" s="15" t="s">
        <v>438</v>
      </c>
      <c r="I3" s="15" t="s">
        <v>439</v>
      </c>
      <c r="J3" s="15" t="s">
        <v>440</v>
      </c>
      <c r="K3" s="5" t="s">
        <v>378</v>
      </c>
    </row>
    <row r="4" customFormat="false" ht="17.15" hidden="false" customHeight="false" outlineLevel="0" collapsed="false">
      <c r="A4" s="1" t="s">
        <v>441</v>
      </c>
    </row>
    <row r="5" customFormat="false" ht="15" hidden="false" customHeight="false" outlineLevel="0" collapsed="false">
      <c r="A5" s="4" t="s">
        <v>379</v>
      </c>
      <c r="B5" s="0" t="s">
        <v>154</v>
      </c>
      <c r="C5" s="20" t="n">
        <f aca="false">C75</f>
        <v>38.24</v>
      </c>
      <c r="D5" s="20" t="n">
        <f aca="false">D75</f>
        <v>96.860355</v>
      </c>
      <c r="E5" s="20" t="n">
        <f aca="false">E75</f>
        <v>162.812560408242</v>
      </c>
      <c r="F5" s="20" t="n">
        <f aca="false">F75</f>
        <v>172.188107821514</v>
      </c>
      <c r="G5" s="20" t="n">
        <f aca="false">G75</f>
        <v>211.776965749717</v>
      </c>
      <c r="H5" s="22" t="n">
        <f aca="false">H75</f>
        <v>248.473160315933</v>
      </c>
      <c r="I5" s="22" t="n">
        <f aca="false">I75</f>
        <v>277.454765821747</v>
      </c>
      <c r="J5" s="22" t="n">
        <f aca="false">J75</f>
        <v>294.102051771052</v>
      </c>
    </row>
    <row r="6" customFormat="false" ht="15" hidden="false" customHeight="false" outlineLevel="0" collapsed="false">
      <c r="A6" s="4" t="s">
        <v>442</v>
      </c>
      <c r="B6" s="0" t="s">
        <v>108</v>
      </c>
      <c r="D6" s="17" t="n">
        <f aca="false">D76</f>
        <v>1.53295907426778</v>
      </c>
      <c r="E6" s="17" t="n">
        <f aca="false">E76</f>
        <v>0.680899893545112</v>
      </c>
      <c r="F6" s="17" t="n">
        <f aca="false">F76</f>
        <v>0.0575849147618819</v>
      </c>
      <c r="G6" s="17" t="n">
        <f aca="false">G76</f>
        <v>0.229916330628595</v>
      </c>
      <c r="H6" s="23" t="n">
        <f aca="false">H76</f>
        <v>0.173277553752396</v>
      </c>
      <c r="I6" s="23" t="n">
        <f aca="false">I76</f>
        <v>0.116638776876198</v>
      </c>
      <c r="J6" s="23" t="n">
        <f aca="false">J76</f>
        <v>0.06</v>
      </c>
    </row>
    <row r="7" customFormat="false" ht="17.15" hidden="false" customHeight="false" outlineLevel="0" collapsed="false">
      <c r="A7" s="0" t="s">
        <v>443</v>
      </c>
      <c r="B7" s="0" t="s">
        <v>154</v>
      </c>
      <c r="C7" s="20" t="n">
        <f aca="false">C72</f>
        <v>35.1808</v>
      </c>
      <c r="D7" s="20" t="n">
        <f aca="false">D72</f>
        <v>89.1115266</v>
      </c>
      <c r="E7" s="20" t="n">
        <f aca="false">E72</f>
        <v>154.288849168242</v>
      </c>
      <c r="F7" s="20" t="n">
        <f aca="false">F72</f>
        <v>162.812025457514</v>
      </c>
      <c r="G7" s="20" t="n">
        <f aca="false">G72</f>
        <v>201.463275149317</v>
      </c>
    </row>
    <row r="8" customFormat="false" ht="15" hidden="false" customHeight="false" outlineLevel="0" collapsed="false">
      <c r="A8" s="4" t="s">
        <v>444</v>
      </c>
      <c r="B8" s="0" t="s">
        <v>154</v>
      </c>
      <c r="C8" s="20" t="n">
        <f aca="false">C74</f>
        <v>3.0592</v>
      </c>
      <c r="D8" s="20" t="n">
        <f aca="false">D74</f>
        <v>7.7488284</v>
      </c>
      <c r="E8" s="20" t="n">
        <f aca="false">E74</f>
        <v>8.52371124</v>
      </c>
      <c r="F8" s="20" t="n">
        <f aca="false">F74</f>
        <v>9.376082364</v>
      </c>
      <c r="G8" s="20" t="n">
        <f aca="false">G74</f>
        <v>10.3136906004</v>
      </c>
    </row>
    <row r="9" customFormat="false" ht="17.15" hidden="false" customHeight="false" outlineLevel="0" collapsed="false">
      <c r="A9" s="0" t="s">
        <v>445</v>
      </c>
      <c r="B9" s="0" t="s">
        <v>108</v>
      </c>
      <c r="C9" s="17" t="n">
        <f aca="false">C77</f>
        <v>0.92</v>
      </c>
      <c r="D9" s="17" t="n">
        <f aca="false">D77</f>
        <v>0.92</v>
      </c>
      <c r="E9" s="17" t="n">
        <f aca="false">E77</f>
        <v>0.947647090503169</v>
      </c>
      <c r="F9" s="17" t="n">
        <f aca="false">F77</f>
        <v>0.945547445275843</v>
      </c>
      <c r="G9" s="17" t="n">
        <f aca="false">G77</f>
        <v>0.951299280524262</v>
      </c>
    </row>
    <row r="10" customFormat="false" ht="15" hidden="false" customHeight="false" outlineLevel="0" collapsed="false">
      <c r="A10" s="4" t="s">
        <v>383</v>
      </c>
      <c r="B10" s="0" t="s">
        <v>108</v>
      </c>
      <c r="C10" s="17" t="n">
        <f aca="false">C79</f>
        <v>0.4261</v>
      </c>
      <c r="D10" s="17" t="n">
        <f aca="false">D79</f>
        <v>0.468231579886322</v>
      </c>
      <c r="E10" s="17" t="n">
        <f aca="false">E79</f>
        <v>0.47</v>
      </c>
      <c r="F10" s="17" t="n">
        <f aca="false">F79</f>
        <v>0.46</v>
      </c>
      <c r="G10" s="17" t="n">
        <f aca="false">G79</f>
        <v>0.45</v>
      </c>
    </row>
    <row r="11" customFormat="false" ht="15" hidden="false" customHeight="false" outlineLevel="0" collapsed="false">
      <c r="A11" s="4" t="s">
        <v>392</v>
      </c>
      <c r="B11" s="0" t="s">
        <v>108</v>
      </c>
      <c r="C11" s="17" t="n">
        <f aca="false">C86</f>
        <v>0.282348326359833</v>
      </c>
      <c r="D11" s="17" t="n">
        <f aca="false">D86</f>
        <v>0.328597999123596</v>
      </c>
      <c r="E11" s="17" t="n">
        <f aca="false">E86</f>
        <v>0.336606140695242</v>
      </c>
      <c r="F11" s="17" t="n">
        <f aca="false">F86</f>
        <v>0.329433648731331</v>
      </c>
      <c r="G11" s="17" t="n">
        <f aca="false">G86</f>
        <v>0.324030887921725</v>
      </c>
      <c r="H11" s="23" t="n">
        <f aca="false">H86</f>
        <v>0.324030887921725</v>
      </c>
      <c r="I11" s="23" t="n">
        <f aca="false">I86</f>
        <v>0.324030887921725</v>
      </c>
      <c r="J11" s="23" t="n">
        <f aca="false">J86</f>
        <v>0.324030887921725</v>
      </c>
    </row>
    <row r="12" customFormat="false" ht="15" hidden="false" customHeight="false" outlineLevel="0" collapsed="false">
      <c r="A12" s="4" t="s">
        <v>390</v>
      </c>
      <c r="B12" s="0" t="s">
        <v>154</v>
      </c>
      <c r="C12" s="20" t="n">
        <f aca="false">C85</f>
        <v>10.797</v>
      </c>
      <c r="D12" s="20" t="n">
        <f aca="false">D85</f>
        <v>31.8281188474012</v>
      </c>
      <c r="E12" s="20" t="n">
        <f aca="false">E85</f>
        <v>54.8037076157292</v>
      </c>
      <c r="F12" s="20" t="n">
        <f aca="false">F85</f>
        <v>56.7245566277853</v>
      </c>
      <c r="G12" s="20" t="n">
        <f aca="false">G85</f>
        <v>68.6222782532497</v>
      </c>
      <c r="H12" s="22" t="n">
        <f aca="false">H85</f>
        <v>80.512978761889</v>
      </c>
      <c r="I12" s="22" t="n">
        <f aca="false">I85</f>
        <v>89.9039141273351</v>
      </c>
      <c r="J12" s="22" t="n">
        <f aca="false">J85</f>
        <v>95.2981489749752</v>
      </c>
    </row>
    <row r="13" customFormat="false" ht="15" hidden="false" customHeight="false" outlineLevel="0" collapsed="false">
      <c r="A13" s="0" t="s">
        <v>395</v>
      </c>
      <c r="B13" s="0" t="s">
        <v>125</v>
      </c>
      <c r="C13" s="9" t="n">
        <f aca="false">C88</f>
        <v>9.73636143872244</v>
      </c>
      <c r="D13" s="9" t="n">
        <f aca="false">D88</f>
        <v>27.8358346388262</v>
      </c>
      <c r="E13" s="9" t="n">
        <f aca="false">E88</f>
        <v>46.5262614308803</v>
      </c>
      <c r="F13" s="9" t="n">
        <f aca="false">F88</f>
        <v>48.1569891168757</v>
      </c>
      <c r="G13" s="9" t="n">
        <f aca="false">G88</f>
        <v>58.2577018398106</v>
      </c>
      <c r="H13" s="24" t="n">
        <f aca="false">H88</f>
        <v>68.3524539018494</v>
      </c>
      <c r="I13" s="24" t="n">
        <f aca="false">I88</f>
        <v>76.3250005214479</v>
      </c>
      <c r="J13" s="24" t="n">
        <f aca="false">J88</f>
        <v>80.9045005527347</v>
      </c>
    </row>
    <row r="14" customFormat="false" ht="17.15" hidden="false" customHeight="false" outlineLevel="0" collapsed="false">
      <c r="A14" s="0" t="s">
        <v>446</v>
      </c>
      <c r="B14" s="0" t="s">
        <v>108</v>
      </c>
      <c r="D14" s="17" t="n">
        <f aca="false">D89</f>
        <v>1.85895658393704</v>
      </c>
      <c r="E14" s="17" t="n">
        <f aca="false">E89</f>
        <v>0.671451998280813</v>
      </c>
      <c r="F14" s="17" t="n">
        <f aca="false">F89</f>
        <v>0.0350496179113389</v>
      </c>
      <c r="G14" s="17" t="n">
        <f aca="false">G89</f>
        <v>0.209745519978848</v>
      </c>
      <c r="H14" s="23" t="n">
        <f aca="false">H89</f>
        <v>0.173277553752396</v>
      </c>
      <c r="I14" s="23" t="n">
        <f aca="false">I89</f>
        <v>0.116638776876198</v>
      </c>
      <c r="J14" s="23" t="n">
        <f aca="false">J89</f>
        <v>0.0600000000000001</v>
      </c>
    </row>
    <row r="16" customFormat="false" ht="17.15" hidden="false" customHeight="false" outlineLevel="0" collapsed="false">
      <c r="A16" s="1" t="s">
        <v>447</v>
      </c>
    </row>
    <row r="17" customFormat="false" ht="15" hidden="false" customHeight="false" outlineLevel="0" collapsed="false">
      <c r="A17" s="4" t="s">
        <v>379</v>
      </c>
      <c r="B17" s="0" t="s">
        <v>154</v>
      </c>
      <c r="C17" s="20" t="n">
        <f aca="false">C107</f>
        <v>38.24</v>
      </c>
      <c r="D17" s="20" t="n">
        <f aca="false">D107</f>
        <v>96.860355</v>
      </c>
      <c r="E17" s="20" t="n">
        <f aca="false">E107</f>
        <v>165.263122319152</v>
      </c>
      <c r="F17" s="20" t="n">
        <f aca="false">F107</f>
        <v>143.975104750345</v>
      </c>
      <c r="G17" s="20" t="n">
        <f aca="false">G107</f>
        <v>187.557437477337</v>
      </c>
      <c r="H17" s="22" t="n">
        <f aca="false">H107</f>
        <v>227.908222171769</v>
      </c>
      <c r="I17" s="22" t="n">
        <f aca="false">I107</f>
        <v>256.982278191232</v>
      </c>
      <c r="J17" s="22" t="n">
        <f aca="false">J107</f>
        <v>267.261569318882</v>
      </c>
    </row>
    <row r="18" customFormat="false" ht="15" hidden="false" customHeight="false" outlineLevel="0" collapsed="false">
      <c r="A18" s="4" t="s">
        <v>442</v>
      </c>
      <c r="B18" s="0" t="s">
        <v>108</v>
      </c>
      <c r="D18" s="17" t="n">
        <f aca="false">D108</f>
        <v>1.53295907426778</v>
      </c>
      <c r="E18" s="17" t="n">
        <f aca="false">E108</f>
        <v>0.706199841195627</v>
      </c>
      <c r="F18" s="17" t="n">
        <f aca="false">F108</f>
        <v>-0.128812872890638</v>
      </c>
      <c r="G18" s="17" t="n">
        <f aca="false">G108</f>
        <v>0.30270742155433</v>
      </c>
      <c r="H18" s="23" t="n">
        <f aca="false">H108</f>
        <v>0.21513828103622</v>
      </c>
      <c r="I18" s="23" t="n">
        <f aca="false">I108</f>
        <v>0.12756914051811</v>
      </c>
      <c r="J18" s="23" t="n">
        <f aca="false">J108</f>
        <v>0.04</v>
      </c>
    </row>
    <row r="19" customFormat="false" ht="17.15" hidden="false" customHeight="false" outlineLevel="0" collapsed="false">
      <c r="A19" s="0" t="s">
        <v>443</v>
      </c>
      <c r="B19" s="0" t="s">
        <v>154</v>
      </c>
      <c r="C19" s="20" t="n">
        <f aca="false">C104</f>
        <v>35.1808</v>
      </c>
      <c r="D19" s="20" t="n">
        <f aca="false">D104</f>
        <v>89.1115266</v>
      </c>
      <c r="E19" s="20" t="n">
        <f aca="false">E104</f>
        <v>156.739411079152</v>
      </c>
      <c r="F19" s="20" t="n">
        <f aca="false">F104</f>
        <v>134.599022386345</v>
      </c>
      <c r="G19" s="20" t="n">
        <f aca="false">G104</f>
        <v>177.243746876937</v>
      </c>
    </row>
    <row r="20" customFormat="false" ht="15" hidden="false" customHeight="false" outlineLevel="0" collapsed="false">
      <c r="A20" s="4" t="s">
        <v>444</v>
      </c>
      <c r="B20" s="0" t="s">
        <v>154</v>
      </c>
      <c r="C20" s="20" t="n">
        <f aca="false">C106</f>
        <v>3.0592</v>
      </c>
      <c r="D20" s="20" t="n">
        <f aca="false">D106</f>
        <v>7.7488284</v>
      </c>
      <c r="E20" s="20" t="n">
        <f aca="false">E106</f>
        <v>8.52371124</v>
      </c>
      <c r="F20" s="20" t="n">
        <f aca="false">F106</f>
        <v>9.376082364</v>
      </c>
      <c r="G20" s="20" t="n">
        <f aca="false">G106</f>
        <v>10.3136906004</v>
      </c>
    </row>
    <row r="21" customFormat="false" ht="17.15" hidden="false" customHeight="false" outlineLevel="0" collapsed="false">
      <c r="A21" s="0" t="s">
        <v>445</v>
      </c>
      <c r="B21" s="0" t="s">
        <v>108</v>
      </c>
      <c r="C21" s="17" t="n">
        <f aca="false">C109</f>
        <v>0.92</v>
      </c>
      <c r="D21" s="17" t="n">
        <f aca="false">D109</f>
        <v>0.92</v>
      </c>
      <c r="E21" s="17" t="n">
        <f aca="false">E109</f>
        <v>0.948423392222136</v>
      </c>
      <c r="F21" s="17" t="n">
        <f aca="false">F109</f>
        <v>0.93487705822296</v>
      </c>
      <c r="G21" s="17" t="n">
        <f aca="false">G109</f>
        <v>0.945010495242844</v>
      </c>
    </row>
    <row r="22" customFormat="false" ht="15" hidden="false" customHeight="false" outlineLevel="0" collapsed="false">
      <c r="A22" s="4" t="s">
        <v>383</v>
      </c>
      <c r="B22" s="0" t="s">
        <v>108</v>
      </c>
      <c r="C22" s="17" t="n">
        <f aca="false">C111</f>
        <v>0.4261</v>
      </c>
      <c r="D22" s="17" t="n">
        <f aca="false">D111</f>
        <v>0.468231579886322</v>
      </c>
      <c r="E22" s="17" t="n">
        <f aca="false">E111</f>
        <v>0.47</v>
      </c>
      <c r="F22" s="17" t="n">
        <f aca="false">F111</f>
        <v>0.46</v>
      </c>
      <c r="G22" s="17" t="n">
        <f aca="false">G111</f>
        <v>0.45</v>
      </c>
    </row>
    <row r="23" customFormat="false" ht="15" hidden="false" customHeight="false" outlineLevel="0" collapsed="false">
      <c r="A23" s="4" t="s">
        <v>392</v>
      </c>
      <c r="B23" s="0" t="s">
        <v>108</v>
      </c>
      <c r="C23" s="17" t="n">
        <f aca="false">C118</f>
        <v>0.282348326359833</v>
      </c>
      <c r="D23" s="17" t="n">
        <f aca="false">D118</f>
        <v>0.328597999123596</v>
      </c>
      <c r="E23" s="17" t="n">
        <f aca="false">E118</f>
        <v>0.336750028456941</v>
      </c>
      <c r="F23" s="17" t="n">
        <f aca="false">F118</f>
        <v>0.323566617376949</v>
      </c>
      <c r="G23" s="17" t="n">
        <f aca="false">G118</f>
        <v>0.319301364829021</v>
      </c>
      <c r="H23" s="23" t="n">
        <f aca="false">H118</f>
        <v>0.308657986001387</v>
      </c>
      <c r="I23" s="23" t="n">
        <f aca="false">I118</f>
        <v>0.298014607173753</v>
      </c>
      <c r="J23" s="23" t="n">
        <f aca="false">J118</f>
        <v>0.287371228346119</v>
      </c>
    </row>
    <row r="24" customFormat="false" ht="15" hidden="false" customHeight="false" outlineLevel="0" collapsed="false">
      <c r="A24" s="4" t="s">
        <v>390</v>
      </c>
      <c r="B24" s="0" t="s">
        <v>154</v>
      </c>
      <c r="C24" s="20" t="n">
        <f aca="false">C117</f>
        <v>10.797</v>
      </c>
      <c r="D24" s="20" t="n">
        <f aca="false">D117</f>
        <v>31.8281188474012</v>
      </c>
      <c r="E24" s="20" t="n">
        <f aca="false">E117</f>
        <v>55.6523611438575</v>
      </c>
      <c r="F24" s="20" t="n">
        <f aca="false">F117</f>
        <v>46.5855376305611</v>
      </c>
      <c r="G24" s="20" t="n">
        <f aca="false">G117</f>
        <v>59.8873457703475</v>
      </c>
      <c r="H24" s="22" t="n">
        <f aca="false">H117</f>
        <v>70.345692848695</v>
      </c>
      <c r="I24" s="22" t="n">
        <f aca="false">I117</f>
        <v>76.5844726857763</v>
      </c>
      <c r="J24" s="22" t="n">
        <f aca="false">J117</f>
        <v>76.8032854648785</v>
      </c>
    </row>
    <row r="25" customFormat="false" ht="15" hidden="false" customHeight="false" outlineLevel="0" collapsed="false">
      <c r="A25" s="0" t="s">
        <v>395</v>
      </c>
      <c r="B25" s="0" t="s">
        <v>125</v>
      </c>
      <c r="C25" s="9" t="n">
        <f aca="false">C120</f>
        <v>9.73636143872244</v>
      </c>
      <c r="D25" s="9" t="n">
        <f aca="false">D120</f>
        <v>27.8358346388262</v>
      </c>
      <c r="E25" s="9" t="n">
        <f aca="false">E120</f>
        <v>47.246735968676</v>
      </c>
      <c r="F25" s="9" t="n">
        <f aca="false">F120</f>
        <v>39.5493479728645</v>
      </c>
      <c r="G25" s="9" t="n">
        <f aca="false">G120</f>
        <v>50.8420766939681</v>
      </c>
      <c r="H25" s="24" t="n">
        <f aca="false">H120</f>
        <v>59.7208152222794</v>
      </c>
      <c r="I25" s="24" t="n">
        <f aca="false">I120</f>
        <v>65.0173017984256</v>
      </c>
      <c r="J25" s="24" t="n">
        <f aca="false">J120</f>
        <v>65.2030655178496</v>
      </c>
    </row>
    <row r="26" customFormat="false" ht="17.15" hidden="false" customHeight="false" outlineLevel="0" collapsed="false">
      <c r="A26" s="0" t="s">
        <v>446</v>
      </c>
      <c r="B26" s="0" t="s">
        <v>108</v>
      </c>
      <c r="D26" s="17" t="n">
        <f aca="false">D121</f>
        <v>1.85895658393704</v>
      </c>
      <c r="E26" s="17" t="n">
        <f aca="false">E121</f>
        <v>0.697334984982809</v>
      </c>
      <c r="F26" s="17" t="n">
        <f aca="false">F121</f>
        <v>-0.162918936895764</v>
      </c>
      <c r="G26" s="17" t="n">
        <f aca="false">G121</f>
        <v>0.285535142800629</v>
      </c>
      <c r="H26" s="23" t="n">
        <f aca="false">H121</f>
        <v>0.174633671668346</v>
      </c>
      <c r="I26" s="23" t="n">
        <f aca="false">I121</f>
        <v>0.0886874460174856</v>
      </c>
      <c r="J26" s="23" t="n">
        <f aca="false">J121</f>
        <v>0.00285714285714267</v>
      </c>
    </row>
    <row r="28" customFormat="false" ht="17.15" hidden="false" customHeight="false" outlineLevel="0" collapsed="false">
      <c r="A28" s="1" t="s">
        <v>448</v>
      </c>
    </row>
    <row r="29" customFormat="false" ht="15" hidden="false" customHeight="false" outlineLevel="0" collapsed="false">
      <c r="A29" s="4" t="s">
        <v>379</v>
      </c>
      <c r="B29" s="0" t="s">
        <v>154</v>
      </c>
      <c r="C29" s="20" t="n">
        <f aca="false">C139</f>
        <v>38.24</v>
      </c>
      <c r="D29" s="20" t="n">
        <f aca="false">D139</f>
        <v>96.860355</v>
      </c>
      <c r="E29" s="20" t="n">
        <f aca="false">E139</f>
        <v>166.488403274607</v>
      </c>
      <c r="F29" s="20" t="n">
        <f aca="false">F139</f>
        <v>111.630169759859</v>
      </c>
      <c r="G29" s="20" t="n">
        <f aca="false">G139</f>
        <v>137.015149190007</v>
      </c>
      <c r="H29" s="22" t="n">
        <f aca="false">H139</f>
        <v>158.70030829025</v>
      </c>
      <c r="I29" s="22" t="n">
        <f aca="false">I139</f>
        <v>172.845927901603</v>
      </c>
      <c r="J29" s="22" t="n">
        <f aca="false">J139</f>
        <v>176.302846459635</v>
      </c>
    </row>
    <row r="30" customFormat="false" ht="15" hidden="false" customHeight="false" outlineLevel="0" collapsed="false">
      <c r="A30" s="4" t="s">
        <v>442</v>
      </c>
      <c r="B30" s="0" t="s">
        <v>108</v>
      </c>
      <c r="D30" s="17" t="n">
        <f aca="false">D140</f>
        <v>1.53295907426778</v>
      </c>
      <c r="E30" s="17" t="n">
        <f aca="false">E140</f>
        <v>0.718849815020885</v>
      </c>
      <c r="F30" s="17" t="n">
        <f aca="false">F140</f>
        <v>-0.329501829771678</v>
      </c>
      <c r="G30" s="17" t="n">
        <f aca="false">G140</f>
        <v>0.227402497772389</v>
      </c>
      <c r="H30" s="23" t="n">
        <f aca="false">H140</f>
        <v>0.158268331848259</v>
      </c>
      <c r="I30" s="23" t="n">
        <f aca="false">I140</f>
        <v>0.0891341659241297</v>
      </c>
      <c r="J30" s="23" t="n">
        <f aca="false">J140</f>
        <v>0.02</v>
      </c>
    </row>
    <row r="31" customFormat="false" ht="17.15" hidden="false" customHeight="false" outlineLevel="0" collapsed="false">
      <c r="A31" s="0" t="s">
        <v>443</v>
      </c>
      <c r="B31" s="0" t="s">
        <v>154</v>
      </c>
      <c r="C31" s="20" t="n">
        <f aca="false">C136</f>
        <v>35.1808</v>
      </c>
      <c r="D31" s="20" t="n">
        <f aca="false">D136</f>
        <v>89.1115266</v>
      </c>
      <c r="E31" s="20" t="n">
        <f aca="false">E136</f>
        <v>157.964692034607</v>
      </c>
      <c r="F31" s="20" t="n">
        <f aca="false">F136</f>
        <v>102.254087395859</v>
      </c>
      <c r="G31" s="20" t="n">
        <f aca="false">G136</f>
        <v>126.701458589607</v>
      </c>
    </row>
    <row r="32" customFormat="false" ht="15" hidden="false" customHeight="false" outlineLevel="0" collapsed="false">
      <c r="A32" s="4" t="s">
        <v>444</v>
      </c>
      <c r="B32" s="0" t="s">
        <v>154</v>
      </c>
      <c r="C32" s="20" t="n">
        <f aca="false">C138</f>
        <v>3.0592</v>
      </c>
      <c r="D32" s="20" t="n">
        <f aca="false">D138</f>
        <v>7.7488284</v>
      </c>
      <c r="E32" s="20" t="n">
        <f aca="false">E138</f>
        <v>8.52371124</v>
      </c>
      <c r="F32" s="20" t="n">
        <f aca="false">F138</f>
        <v>9.376082364</v>
      </c>
      <c r="G32" s="20" t="n">
        <f aca="false">G138</f>
        <v>10.3136906004</v>
      </c>
    </row>
    <row r="33" customFormat="false" ht="17.15" hidden="false" customHeight="false" outlineLevel="0" collapsed="false">
      <c r="A33" s="0" t="s">
        <v>445</v>
      </c>
      <c r="B33" s="0" t="s">
        <v>108</v>
      </c>
      <c r="C33" s="17" t="n">
        <f aca="false">C141</f>
        <v>0.92</v>
      </c>
      <c r="D33" s="17" t="n">
        <f aca="false">D141</f>
        <v>0.92</v>
      </c>
      <c r="E33" s="17" t="n">
        <f aca="false">E141</f>
        <v>0.948802973226063</v>
      </c>
      <c r="F33" s="17" t="n">
        <f aca="false">F141</f>
        <v>0.916007631412099</v>
      </c>
      <c r="G33" s="17" t="n">
        <f aca="false">G141</f>
        <v>0.924725910518862</v>
      </c>
    </row>
    <row r="34" customFormat="false" ht="15" hidden="false" customHeight="false" outlineLevel="0" collapsed="false">
      <c r="A34" s="4" t="s">
        <v>383</v>
      </c>
      <c r="B34" s="0" t="s">
        <v>108</v>
      </c>
      <c r="C34" s="17" t="n">
        <f aca="false">C143</f>
        <v>0.4261</v>
      </c>
      <c r="D34" s="17" t="n">
        <f aca="false">D143</f>
        <v>0.468231579886322</v>
      </c>
      <c r="E34" s="17" t="n">
        <f aca="false">E143</f>
        <v>0.47</v>
      </c>
      <c r="F34" s="17" t="n">
        <f aca="false">F143</f>
        <v>0.46</v>
      </c>
      <c r="G34" s="17" t="n">
        <f aca="false">G143</f>
        <v>0.45</v>
      </c>
    </row>
    <row r="35" customFormat="false" ht="15" hidden="false" customHeight="false" outlineLevel="0" collapsed="false">
      <c r="A35" s="4" t="s">
        <v>392</v>
      </c>
      <c r="B35" s="0" t="s">
        <v>108</v>
      </c>
      <c r="C35" s="17" t="n">
        <f aca="false">C150</f>
        <v>0.282348326359833</v>
      </c>
      <c r="D35" s="17" t="n">
        <f aca="false">D150</f>
        <v>0.328597999123596</v>
      </c>
      <c r="E35" s="17" t="n">
        <f aca="false">E150</f>
        <v>0.336820383912435</v>
      </c>
      <c r="F35" s="17" t="n">
        <f aca="false">F150</f>
        <v>0.311445985080867</v>
      </c>
      <c r="G35" s="17" t="n">
        <f aca="false">G150</f>
        <v>0.30730476453063</v>
      </c>
      <c r="H35" s="23" t="n">
        <f aca="false">H150</f>
        <v>0.286817780228588</v>
      </c>
      <c r="I35" s="23" t="n">
        <f aca="false">I150</f>
        <v>0.266330795926546</v>
      </c>
      <c r="J35" s="23" t="n">
        <f aca="false">J150</f>
        <v>0.245843811624504</v>
      </c>
    </row>
    <row r="36" customFormat="false" ht="15" hidden="false" customHeight="false" outlineLevel="0" collapsed="false">
      <c r="A36" s="4" t="s">
        <v>390</v>
      </c>
      <c r="B36" s="0" t="s">
        <v>154</v>
      </c>
      <c r="C36" s="20" t="n">
        <f aca="false">C149</f>
        <v>10.797</v>
      </c>
      <c r="D36" s="20" t="n">
        <f aca="false">D149</f>
        <v>31.8281188474012</v>
      </c>
      <c r="E36" s="20" t="n">
        <f aca="false">E149</f>
        <v>56.0766879079216</v>
      </c>
      <c r="F36" s="20" t="n">
        <f aca="false">F149</f>
        <v>34.7667681856037</v>
      </c>
      <c r="G36" s="20" t="n">
        <f aca="false">G149</f>
        <v>42.1054081589643</v>
      </c>
      <c r="H36" s="22" t="n">
        <f aca="false">H149</f>
        <v>45.518070145402</v>
      </c>
      <c r="I36" s="22" t="n">
        <f aca="false">I149</f>
        <v>46.0341935506965</v>
      </c>
      <c r="J36" s="22" t="n">
        <f aca="false">J149</f>
        <v>43.3429637738865</v>
      </c>
    </row>
    <row r="37" customFormat="false" ht="15" hidden="false" customHeight="false" outlineLevel="0" collapsed="false">
      <c r="A37" s="0" t="s">
        <v>395</v>
      </c>
      <c r="B37" s="0" t="s">
        <v>125</v>
      </c>
      <c r="C37" s="9" t="n">
        <f aca="false">C152</f>
        <v>9.73636143872244</v>
      </c>
      <c r="D37" s="9" t="n">
        <f aca="false">D152</f>
        <v>27.8358346388262</v>
      </c>
      <c r="E37" s="9" t="n">
        <f aca="false">E152</f>
        <v>47.6069732375739</v>
      </c>
      <c r="F37" s="9" t="n">
        <f aca="false">F152</f>
        <v>29.5156626455316</v>
      </c>
      <c r="G37" s="9" t="n">
        <f aca="false">G152</f>
        <v>35.7458886065518</v>
      </c>
      <c r="H37" s="24" t="n">
        <f aca="false">H152</f>
        <v>38.6431087156282</v>
      </c>
      <c r="I37" s="24" t="n">
        <f aca="false">I152</f>
        <v>39.0812778383033</v>
      </c>
      <c r="J37" s="24" t="n">
        <f aca="false">J152</f>
        <v>36.7965262108332</v>
      </c>
    </row>
    <row r="38" customFormat="false" ht="17.15" hidden="false" customHeight="false" outlineLevel="0" collapsed="false">
      <c r="A38" s="0" t="s">
        <v>446</v>
      </c>
      <c r="B38" s="0" t="s">
        <v>108</v>
      </c>
      <c r="D38" s="17" t="n">
        <f aca="false">D153</f>
        <v>1.85895658393704</v>
      </c>
      <c r="E38" s="17" t="n">
        <f aca="false">E153</f>
        <v>0.710276478333808</v>
      </c>
      <c r="F38" s="17" t="n">
        <f aca="false">F153</f>
        <v>-0.380013879516367</v>
      </c>
      <c r="G38" s="17" t="n">
        <f aca="false">G153</f>
        <v>0.211082029085445</v>
      </c>
      <c r="H38" s="23" t="n">
        <f aca="false">H153</f>
        <v>0.0810504430583752</v>
      </c>
      <c r="I38" s="23" t="n">
        <f aca="false">I153</f>
        <v>0.0113388683581208</v>
      </c>
      <c r="J38" s="23" t="n">
        <f aca="false">J153</f>
        <v>-0.0584615384615385</v>
      </c>
    </row>
    <row r="40" customFormat="false" ht="17.15" hidden="false" customHeight="false" outlineLevel="0" collapsed="false">
      <c r="A40" s="1" t="s">
        <v>449</v>
      </c>
    </row>
    <row r="41" customFormat="false" ht="17.15" hidden="false" customHeight="false" outlineLevel="0" collapsed="false">
      <c r="A41" s="4" t="s">
        <v>450</v>
      </c>
      <c r="D41" s="25" t="n">
        <f aca="false">D75-a26_rev</f>
        <v>0</v>
      </c>
    </row>
    <row r="42" customFormat="false" ht="17.15" hidden="false" customHeight="false" outlineLevel="0" collapsed="false">
      <c r="A42" s="4" t="s">
        <v>451</v>
      </c>
      <c r="D42" s="25" t="n">
        <f aca="false">D72-a26_ai</f>
        <v>0</v>
      </c>
    </row>
    <row r="43" customFormat="false" ht="17.15" hidden="false" customHeight="false" outlineLevel="0" collapsed="false">
      <c r="A43" s="4" t="s">
        <v>452</v>
      </c>
      <c r="D43" s="25" t="n">
        <f aca="false">D83*(1-tx)*attr-a26_ni</f>
        <v>0</v>
      </c>
    </row>
    <row r="60" customFormat="false" ht="17.15" hidden="false" customHeight="false" outlineLevel="0" collapsed="false">
      <c r="A60" s="1" t="s">
        <v>453</v>
      </c>
    </row>
    <row r="61" customFormat="false" ht="17.15" hidden="false" customHeight="false" outlineLevel="0" collapsed="false">
      <c r="A61" s="5" t="s">
        <v>23</v>
      </c>
      <c r="B61" s="5" t="s">
        <v>24</v>
      </c>
      <c r="C61" s="15" t="s">
        <v>372</v>
      </c>
      <c r="D61" s="15" t="s">
        <v>434</v>
      </c>
      <c r="E61" s="15" t="s">
        <v>435</v>
      </c>
      <c r="F61" s="15" t="s">
        <v>436</v>
      </c>
      <c r="G61" s="15" t="s">
        <v>437</v>
      </c>
      <c r="H61" s="15" t="s">
        <v>438</v>
      </c>
      <c r="I61" s="15" t="s">
        <v>439</v>
      </c>
      <c r="J61" s="15" t="s">
        <v>440</v>
      </c>
      <c r="K61" s="5" t="s">
        <v>378</v>
      </c>
    </row>
    <row r="62" customFormat="false" ht="17.15" hidden="false" customHeight="false" outlineLevel="0" collapsed="false">
      <c r="A62" s="6" t="s">
        <v>454</v>
      </c>
    </row>
    <row r="63" customFormat="false" ht="17.15" hidden="false" customHeight="false" outlineLevel="0" collapsed="false">
      <c r="A63" s="0" t="s">
        <v>455</v>
      </c>
      <c r="B63" s="0" t="s">
        <v>34</v>
      </c>
      <c r="D63" s="21" t="n">
        <f aca="false">mpl_26*1</f>
        <v>29.753262</v>
      </c>
      <c r="E63" s="21" t="n">
        <f aca="false">mpl_27*1*1</f>
        <v>53.560715</v>
      </c>
      <c r="F63" s="21" t="n">
        <f aca="false">mpl_28*um28_A*1</f>
        <v>57.9915</v>
      </c>
      <c r="G63" s="21" t="n">
        <f aca="false">mpl_29*um29_A*1</f>
        <v>72.9348</v>
      </c>
      <c r="H63" s="2"/>
    </row>
    <row r="64" customFormat="false" ht="17.15" hidden="false" customHeight="false" outlineLevel="0" collapsed="false">
      <c r="A64" s="0" t="s">
        <v>456</v>
      </c>
      <c r="B64" s="0" t="s">
        <v>34</v>
      </c>
      <c r="D64" s="21" t="n">
        <f aca="false">mcp_26*1</f>
        <v>0.300538</v>
      </c>
      <c r="E64" s="21" t="n">
        <f aca="false">mcp_27*1</f>
        <v>2.818985</v>
      </c>
      <c r="F64" s="21" t="n">
        <f aca="false">mcp_28*um28_A</f>
        <v>6.4435</v>
      </c>
      <c r="G64" s="21" t="n">
        <f aca="false">mcp_29*um29_A</f>
        <v>11.74736</v>
      </c>
      <c r="H64" s="2"/>
    </row>
    <row r="65" customFormat="false" ht="17.15" hidden="false" customHeight="false" outlineLevel="0" collapsed="false">
      <c r="A65" s="4" t="s">
        <v>457</v>
      </c>
      <c r="B65" s="0" t="s">
        <v>125</v>
      </c>
      <c r="D65" s="9" t="n">
        <f aca="false">fx</f>
        <v>6.72</v>
      </c>
      <c r="E65" s="9" t="n">
        <f aca="false">fx</f>
        <v>6.72</v>
      </c>
      <c r="F65" s="9" t="n">
        <f aca="false">fx</f>
        <v>6.72</v>
      </c>
      <c r="G65" s="9" t="n">
        <f aca="false">fx</f>
        <v>6.72</v>
      </c>
      <c r="H65" s="2"/>
      <c r="K65" s="8" t="s">
        <v>458</v>
      </c>
    </row>
    <row r="66" customFormat="false" ht="17.15" hidden="false" customHeight="false" outlineLevel="0" collapsed="false">
      <c r="A66" s="4" t="s">
        <v>459</v>
      </c>
      <c r="B66" s="0" t="s">
        <v>108</v>
      </c>
      <c r="D66" s="17" t="n">
        <f aca="false">a26_aiu/D63</f>
        <v>0.445687059095763</v>
      </c>
      <c r="H66" s="2"/>
      <c r="K66" s="8" t="s">
        <v>460</v>
      </c>
    </row>
    <row r="67" customFormat="false" ht="17.15" hidden="false" customHeight="false" outlineLevel="0" collapsed="false">
      <c r="A67" s="4" t="s">
        <v>461</v>
      </c>
      <c r="B67" s="0" t="s">
        <v>67</v>
      </c>
      <c r="D67" s="9" t="n">
        <f aca="false">1</f>
        <v>1</v>
      </c>
      <c r="E67" s="9" t="n">
        <f aca="false">rel_27</f>
        <v>0.95</v>
      </c>
      <c r="F67" s="9" t="n">
        <f aca="false">rel_28</f>
        <v>0.9</v>
      </c>
      <c r="G67" s="9" t="n">
        <f aca="false">rel_29</f>
        <v>0.85</v>
      </c>
      <c r="H67" s="2"/>
    </row>
    <row r="68" customFormat="false" ht="15" hidden="false" customHeight="false" outlineLevel="0" collapsed="false">
      <c r="A68" s="4" t="s">
        <v>462</v>
      </c>
      <c r="B68" s="0" t="s">
        <v>108</v>
      </c>
      <c r="D68" s="17" t="n">
        <f aca="false">$D$66*D67</f>
        <v>0.445687059095763</v>
      </c>
      <c r="E68" s="17" t="n">
        <f aca="false">$D$66*E67</f>
        <v>0.423402706140975</v>
      </c>
      <c r="F68" s="17" t="n">
        <f aca="false">$D$66*F67</f>
        <v>0.401118353186187</v>
      </c>
      <c r="G68" s="17" t="n">
        <f aca="false">$D$66*G67</f>
        <v>0.378834000231398</v>
      </c>
      <c r="H68" s="2"/>
    </row>
    <row r="69" customFormat="false" ht="15" hidden="false" customHeight="false" outlineLevel="0" collapsed="false">
      <c r="A69" s="4" t="s">
        <v>463</v>
      </c>
      <c r="B69" s="0" t="s">
        <v>67</v>
      </c>
      <c r="D69" s="9" t="n">
        <f aca="false">1</f>
        <v>1</v>
      </c>
      <c r="E69" s="9" t="n">
        <f aca="false">pxr_27</f>
        <v>1</v>
      </c>
      <c r="F69" s="9" t="n">
        <f aca="false">pxr_28</f>
        <v>1</v>
      </c>
      <c r="G69" s="9" t="n">
        <f aca="false">pxr_29</f>
        <v>1</v>
      </c>
      <c r="H69" s="2"/>
    </row>
    <row r="70" customFormat="false" ht="17.15" hidden="false" customHeight="false" outlineLevel="0" collapsed="false">
      <c r="A70" s="4" t="s">
        <v>464</v>
      </c>
      <c r="B70" s="0" t="s">
        <v>108</v>
      </c>
      <c r="D70" s="17" t="n">
        <f aca="false">0</f>
        <v>0</v>
      </c>
      <c r="E70" s="17" t="n">
        <f aca="false">cpo_27</f>
        <v>0.1</v>
      </c>
      <c r="F70" s="17" t="n">
        <f aca="false">cpo_28</f>
        <v>0.15</v>
      </c>
      <c r="G70" s="17" t="n">
        <f aca="false">cpo_29</f>
        <v>0.2</v>
      </c>
      <c r="H70" s="2"/>
    </row>
    <row r="71" customFormat="false" ht="17.15" hidden="false" customHeight="false" outlineLevel="0" collapsed="false">
      <c r="A71" s="0" t="s">
        <v>465</v>
      </c>
      <c r="B71" s="0" t="s">
        <v>34</v>
      </c>
      <c r="D71" s="21" t="n">
        <f aca="false">a26_aiu</f>
        <v>13.2606438392857</v>
      </c>
      <c r="E71" s="21" t="n">
        <f aca="false">E63*E68*E69+E64*E70</f>
        <v>22.9596501738455</v>
      </c>
      <c r="F71" s="21" t="n">
        <f aca="false">F63*F68*F69+F64*F70</f>
        <v>24.2279799787967</v>
      </c>
      <c r="G71" s="21" t="n">
        <f aca="false">G63*G68*G69+G64*G70</f>
        <v>29.979654040077</v>
      </c>
      <c r="H71" s="2"/>
    </row>
    <row r="72" customFormat="false" ht="17.15" hidden="false" customHeight="false" outlineLevel="0" collapsed="false">
      <c r="A72" s="0" t="s">
        <v>466</v>
      </c>
      <c r="B72" s="0" t="s">
        <v>154</v>
      </c>
      <c r="C72" s="21" t="n">
        <f aca="false">a25_ai</f>
        <v>35.1808</v>
      </c>
      <c r="D72" s="21" t="n">
        <f aca="false">D71*D65</f>
        <v>89.1115266</v>
      </c>
      <c r="E72" s="21" t="n">
        <f aca="false">E71*E65</f>
        <v>154.288849168242</v>
      </c>
      <c r="F72" s="21" t="n">
        <f aca="false">F71*F65</f>
        <v>162.812025457514</v>
      </c>
      <c r="G72" s="21" t="n">
        <f aca="false">G71*G65</f>
        <v>201.463275149317</v>
      </c>
      <c r="H72" s="2"/>
    </row>
    <row r="73" customFormat="false" ht="17.15" hidden="false" customHeight="false" outlineLevel="0" collapsed="false">
      <c r="A73" s="6" t="s">
        <v>467</v>
      </c>
    </row>
    <row r="74" customFormat="false" ht="15" hidden="false" customHeight="false" outlineLevel="0" collapsed="false">
      <c r="A74" s="4" t="s">
        <v>468</v>
      </c>
      <c r="B74" s="0" t="s">
        <v>154</v>
      </c>
      <c r="C74" s="21" t="n">
        <f aca="false">a25_oth</f>
        <v>3.0592</v>
      </c>
      <c r="D74" s="21" t="n">
        <f aca="false">a26_oth</f>
        <v>7.7488284</v>
      </c>
      <c r="E74" s="21" t="n">
        <f aca="false">D74*(1+g_oth)</f>
        <v>8.52371124</v>
      </c>
      <c r="F74" s="21" t="n">
        <f aca="false">E74*(1+g_oth)</f>
        <v>9.376082364</v>
      </c>
      <c r="G74" s="21" t="n">
        <f aca="false">F74*(1+g_oth)</f>
        <v>10.3136906004</v>
      </c>
      <c r="H74" s="2"/>
    </row>
    <row r="75" customFormat="false" ht="15" hidden="false" customHeight="false" outlineLevel="0" collapsed="false">
      <c r="A75" s="4" t="s">
        <v>379</v>
      </c>
      <c r="B75" s="0" t="s">
        <v>154</v>
      </c>
      <c r="C75" s="21" t="n">
        <f aca="false">a25_rev</f>
        <v>38.24</v>
      </c>
      <c r="D75" s="21" t="n">
        <f aca="false">D72+D74</f>
        <v>96.860355</v>
      </c>
      <c r="E75" s="21" t="n">
        <f aca="false">E72+E74</f>
        <v>162.812560408242</v>
      </c>
      <c r="F75" s="21" t="n">
        <f aca="false">F72+F74</f>
        <v>172.188107821514</v>
      </c>
      <c r="G75" s="21" t="n">
        <f aca="false">G72+G74</f>
        <v>211.776965749717</v>
      </c>
      <c r="H75" s="26" t="n">
        <f aca="false">G75*(1+H76)</f>
        <v>248.473160315933</v>
      </c>
      <c r="I75" s="27" t="n">
        <f aca="false">H75*(1+I76)</f>
        <v>277.454765821747</v>
      </c>
      <c r="J75" s="27" t="n">
        <f aca="false">I75*(1+J76)</f>
        <v>294.102051771052</v>
      </c>
    </row>
    <row r="76" customFormat="false" ht="15" hidden="false" customHeight="false" outlineLevel="0" collapsed="false">
      <c r="A76" s="4" t="s">
        <v>469</v>
      </c>
      <c r="B76" s="0" t="s">
        <v>108</v>
      </c>
      <c r="D76" s="17" t="n">
        <f aca="false">D75/C75-1</f>
        <v>1.53295907426778</v>
      </c>
      <c r="E76" s="17" t="n">
        <f aca="false">E75/D75-1</f>
        <v>0.680899893545112</v>
      </c>
      <c r="F76" s="17" t="n">
        <f aca="false">F75/E75-1</f>
        <v>0.0575849147618819</v>
      </c>
      <c r="G76" s="17" t="n">
        <f aca="false">G75/F75-1</f>
        <v>0.229916330628595</v>
      </c>
      <c r="H76" s="28" t="n">
        <f aca="false">$G76+(fade_gA-$G76)*1/3</f>
        <v>0.173277553752396</v>
      </c>
      <c r="I76" s="23" t="n">
        <f aca="false">$G76+(fade_gA-$G76)*2/3</f>
        <v>0.116638776876198</v>
      </c>
      <c r="J76" s="23" t="n">
        <f aca="false">$G76+(fade_gA-$G76)*3/3</f>
        <v>0.06</v>
      </c>
    </row>
    <row r="77" customFormat="false" ht="17.15" hidden="false" customHeight="false" outlineLevel="0" collapsed="false">
      <c r="A77" s="0" t="s">
        <v>470</v>
      </c>
      <c r="B77" s="0" t="s">
        <v>108</v>
      </c>
      <c r="C77" s="17" t="n">
        <f aca="false">C72/C75</f>
        <v>0.92</v>
      </c>
      <c r="D77" s="17" t="n">
        <f aca="false">D72/D75</f>
        <v>0.92</v>
      </c>
      <c r="E77" s="17" t="n">
        <f aca="false">E72/E75</f>
        <v>0.947647090503169</v>
      </c>
      <c r="F77" s="17" t="n">
        <f aca="false">F72/F75</f>
        <v>0.945547445275843</v>
      </c>
      <c r="G77" s="17" t="n">
        <f aca="false">G72/G75</f>
        <v>0.951299280524262</v>
      </c>
      <c r="H77" s="2"/>
    </row>
    <row r="78" customFormat="false" ht="17.15" hidden="false" customHeight="false" outlineLevel="0" collapsed="false">
      <c r="A78" s="6" t="s">
        <v>471</v>
      </c>
    </row>
    <row r="79" customFormat="false" ht="17.15" hidden="false" customHeight="false" outlineLevel="0" collapsed="false">
      <c r="A79" s="4" t="s">
        <v>383</v>
      </c>
      <c r="B79" s="0" t="s">
        <v>108</v>
      </c>
      <c r="C79" s="17" t="n">
        <f aca="false">a25_gp/a25_rev</f>
        <v>0.4261</v>
      </c>
      <c r="D79" s="17" t="n">
        <f aca="false">a26_gp/a26_rev</f>
        <v>0.468231579886322</v>
      </c>
      <c r="E79" s="17" t="n">
        <f aca="false">gm_27</f>
        <v>0.47</v>
      </c>
      <c r="F79" s="17" t="n">
        <f aca="false">gm_28</f>
        <v>0.46</v>
      </c>
      <c r="G79" s="17" t="n">
        <f aca="false">gm_29</f>
        <v>0.45</v>
      </c>
      <c r="H79" s="2"/>
      <c r="K79" s="8" t="s">
        <v>472</v>
      </c>
    </row>
    <row r="80" customFormat="false" ht="15" hidden="false" customHeight="false" outlineLevel="0" collapsed="false">
      <c r="A80" s="4" t="s">
        <v>382</v>
      </c>
      <c r="B80" s="0" t="s">
        <v>154</v>
      </c>
      <c r="C80" s="21" t="n">
        <f aca="false">C75*C79</f>
        <v>16.294064</v>
      </c>
      <c r="D80" s="21" t="n">
        <f aca="false">D75*D79</f>
        <v>45.35307705</v>
      </c>
      <c r="E80" s="21" t="n">
        <f aca="false">E75*E79</f>
        <v>76.5219033918736</v>
      </c>
      <c r="F80" s="21" t="n">
        <f aca="false">F75*F79</f>
        <v>79.2065295978965</v>
      </c>
      <c r="G80" s="21" t="n">
        <f aca="false">G75*G79</f>
        <v>95.2996345873728</v>
      </c>
      <c r="H80" s="2"/>
    </row>
    <row r="81" customFormat="false" ht="15" hidden="false" customHeight="false" outlineLevel="0" collapsed="false">
      <c r="A81" s="4" t="s">
        <v>473</v>
      </c>
      <c r="B81" s="0" t="s">
        <v>154</v>
      </c>
      <c r="C81" s="21" t="n">
        <f aca="false">a25_opx</f>
        <v>2.6649299429437</v>
      </c>
      <c r="D81" s="21" t="n">
        <f aca="false">a26_opx</f>
        <v>5.17620397829946</v>
      </c>
      <c r="E81" s="21" t="n">
        <f aca="false">D81*(1+MAX(0,phi*E76))</f>
        <v>7.34277234450021</v>
      </c>
      <c r="F81" s="21" t="n">
        <f aca="false">E81*(1+MAX(0,phi*F76))</f>
        <v>7.6026964398742</v>
      </c>
      <c r="G81" s="21" t="n">
        <f aca="false">F81*(1+MAX(0,phi*G76))</f>
        <v>8.6772182111425</v>
      </c>
      <c r="H81" s="2"/>
    </row>
    <row r="82" customFormat="false" ht="15" hidden="false" customHeight="false" outlineLevel="0" collapsed="false">
      <c r="A82" s="4" t="s">
        <v>474</v>
      </c>
      <c r="B82" s="0" t="s">
        <v>154</v>
      </c>
      <c r="C82" s="21" t="n">
        <f aca="false">C81</f>
        <v>2.6649299429437</v>
      </c>
      <c r="D82" s="21" t="n">
        <f aca="false">D81</f>
        <v>5.17620397829946</v>
      </c>
      <c r="E82" s="21" t="n">
        <f aca="false">E81+0*E75</f>
        <v>7.34277234450021</v>
      </c>
      <c r="F82" s="21" t="n">
        <f aca="false">F81+0*F75</f>
        <v>7.6026964398742</v>
      </c>
      <c r="G82" s="21" t="n">
        <f aca="false">G81+0*G75</f>
        <v>8.6772182111425</v>
      </c>
      <c r="H82" s="2"/>
    </row>
    <row r="83" customFormat="false" ht="15" hidden="false" customHeight="false" outlineLevel="0" collapsed="false">
      <c r="A83" s="4" t="s">
        <v>475</v>
      </c>
      <c r="B83" s="0" t="s">
        <v>154</v>
      </c>
      <c r="C83" s="21" t="n">
        <f aca="false">C80-C82</f>
        <v>13.6291340570563</v>
      </c>
      <c r="D83" s="21" t="n">
        <f aca="false">D80-D82</f>
        <v>40.1768730717005</v>
      </c>
      <c r="E83" s="21" t="n">
        <f aca="false">E80-E82</f>
        <v>69.1791310473734</v>
      </c>
      <c r="F83" s="21" t="n">
        <f aca="false">F80-F82</f>
        <v>71.6038331580223</v>
      </c>
      <c r="G83" s="21" t="n">
        <f aca="false">G80-G82</f>
        <v>86.6224163762303</v>
      </c>
      <c r="H83" s="2"/>
    </row>
    <row r="84" customFormat="false" ht="15" hidden="false" customHeight="false" outlineLevel="0" collapsed="false">
      <c r="A84" s="4" t="s">
        <v>476</v>
      </c>
      <c r="B84" s="0" t="s">
        <v>108</v>
      </c>
      <c r="C84" s="17" t="n">
        <f aca="false">C83/C75</f>
        <v>0.356410409441849</v>
      </c>
      <c r="D84" s="17" t="n">
        <f aca="false">D83/D75</f>
        <v>0.414791718156521</v>
      </c>
      <c r="E84" s="17" t="n">
        <f aca="false">E83/E75</f>
        <v>0.424900455308309</v>
      </c>
      <c r="F84" s="17" t="n">
        <f aca="false">F83/F75</f>
        <v>0.415846564922155</v>
      </c>
      <c r="G84" s="17" t="n">
        <f aca="false">G83/G75</f>
        <v>0.409026619441713</v>
      </c>
      <c r="H84" s="2"/>
    </row>
    <row r="85" customFormat="false" ht="15" hidden="false" customHeight="false" outlineLevel="0" collapsed="false">
      <c r="A85" s="4" t="s">
        <v>390</v>
      </c>
      <c r="B85" s="0" t="s">
        <v>154</v>
      </c>
      <c r="C85" s="21" t="n">
        <f aca="false">a25_ni</f>
        <v>10.797</v>
      </c>
      <c r="D85" s="21" t="n">
        <f aca="false">a26_ni</f>
        <v>31.8281188474012</v>
      </c>
      <c r="E85" s="21" t="n">
        <f aca="false">E83*(1-tx)*attr</f>
        <v>54.8037076157292</v>
      </c>
      <c r="F85" s="21" t="n">
        <f aca="false">F83*(1-tx)*attr</f>
        <v>56.7245566277853</v>
      </c>
      <c r="G85" s="21" t="n">
        <f aca="false">G83*(1-tx)*attr</f>
        <v>68.6222782532497</v>
      </c>
      <c r="H85" s="26" t="n">
        <f aca="false">H75*H86</f>
        <v>80.512978761889</v>
      </c>
      <c r="I85" s="27" t="n">
        <f aca="false">I75*I86</f>
        <v>89.9039141273351</v>
      </c>
      <c r="J85" s="27" t="n">
        <f aca="false">J75*J86</f>
        <v>95.2981489749752</v>
      </c>
    </row>
    <row r="86" customFormat="false" ht="15" hidden="false" customHeight="false" outlineLevel="0" collapsed="false">
      <c r="A86" s="4" t="s">
        <v>392</v>
      </c>
      <c r="B86" s="0" t="s">
        <v>108</v>
      </c>
      <c r="C86" s="17" t="n">
        <f aca="false">C85/C75</f>
        <v>0.282348326359833</v>
      </c>
      <c r="D86" s="17" t="n">
        <f aca="false">D85/D75</f>
        <v>0.328597999123596</v>
      </c>
      <c r="E86" s="17" t="n">
        <f aca="false">E85/E75</f>
        <v>0.336606140695242</v>
      </c>
      <c r="F86" s="17" t="n">
        <f aca="false">F85/F75</f>
        <v>0.329433648731331</v>
      </c>
      <c r="G86" s="17" t="n">
        <f aca="false">G85/G75</f>
        <v>0.324030887921725</v>
      </c>
      <c r="H86" s="28" t="n">
        <f aca="false">$G86+(fade_mA-$G86)*1/3</f>
        <v>0.324030887921725</v>
      </c>
      <c r="I86" s="23" t="n">
        <f aca="false">$G86+(fade_mA-$G86)*2/3</f>
        <v>0.324030887921725</v>
      </c>
      <c r="J86" s="23" t="n">
        <f aca="false">$G86+(fade_mA-$G86)*3/3</f>
        <v>0.324030887921725</v>
      </c>
    </row>
    <row r="87" customFormat="false" ht="15" hidden="false" customHeight="false" outlineLevel="0" collapsed="false">
      <c r="A87" s="4" t="s">
        <v>477</v>
      </c>
      <c r="B87" s="4" t="s">
        <v>186</v>
      </c>
      <c r="C87" s="18" t="n">
        <f aca="false">a25_sh</f>
        <v>1.1089358245329</v>
      </c>
      <c r="D87" s="18" t="n">
        <f aca="false">a26_sh</f>
        <v>1.1434224718021</v>
      </c>
      <c r="E87" s="18" t="n">
        <f aca="false">sh_post*(1+sh_g)</f>
        <v>1.1779091190713</v>
      </c>
      <c r="F87" s="18" t="n">
        <f aca="false">E87*(1+sh_g)</f>
        <v>1.1779091190713</v>
      </c>
      <c r="G87" s="18" t="n">
        <f aca="false">F87*(1+sh_g)</f>
        <v>1.1779091190713</v>
      </c>
      <c r="H87" s="29" t="n">
        <f aca="false">G87*(1+sh_g)</f>
        <v>1.1779091190713</v>
      </c>
      <c r="I87" s="30" t="n">
        <f aca="false">H87*(1+sh_g)</f>
        <v>1.1779091190713</v>
      </c>
      <c r="J87" s="30" t="n">
        <f aca="false">I87*(1+sh_g)</f>
        <v>1.1779091190713</v>
      </c>
    </row>
    <row r="88" customFormat="false" ht="15" hidden="false" customHeight="false" outlineLevel="0" collapsed="false">
      <c r="A88" s="0" t="s">
        <v>395</v>
      </c>
      <c r="B88" s="0" t="s">
        <v>125</v>
      </c>
      <c r="C88" s="21" t="n">
        <f aca="false">C85/C87</f>
        <v>9.73636143872244</v>
      </c>
      <c r="D88" s="21" t="n">
        <f aca="false">D85/D87</f>
        <v>27.8358346388262</v>
      </c>
      <c r="E88" s="21" t="n">
        <f aca="false">E85/E87</f>
        <v>46.5262614308803</v>
      </c>
      <c r="F88" s="21" t="n">
        <f aca="false">F85/F87</f>
        <v>48.1569891168757</v>
      </c>
      <c r="G88" s="21" t="n">
        <f aca="false">G85/G87</f>
        <v>58.2577018398106</v>
      </c>
      <c r="H88" s="26" t="n">
        <f aca="false">H85/H87</f>
        <v>68.3524539018494</v>
      </c>
      <c r="I88" s="27" t="n">
        <f aca="false">I85/I87</f>
        <v>76.3250005214479</v>
      </c>
      <c r="J88" s="27" t="n">
        <f aca="false">J85/J87</f>
        <v>80.9045005527347</v>
      </c>
    </row>
    <row r="89" customFormat="false" ht="17.15" hidden="false" customHeight="false" outlineLevel="0" collapsed="false">
      <c r="A89" s="0" t="s">
        <v>478</v>
      </c>
      <c r="B89" s="0" t="s">
        <v>108</v>
      </c>
      <c r="D89" s="17" t="n">
        <f aca="false">D88/C88-1</f>
        <v>1.85895658393704</v>
      </c>
      <c r="E89" s="17" t="n">
        <f aca="false">E88/D88-1</f>
        <v>0.671451998280813</v>
      </c>
      <c r="F89" s="17" t="n">
        <f aca="false">F88/E88-1</f>
        <v>0.0350496179113389</v>
      </c>
      <c r="G89" s="17" t="n">
        <f aca="false">G88/F88-1</f>
        <v>0.209745519978848</v>
      </c>
      <c r="H89" s="28" t="n">
        <f aca="false">H88/G88-1</f>
        <v>0.173277553752396</v>
      </c>
      <c r="I89" s="23" t="n">
        <f aca="false">I88/H88-1</f>
        <v>0.116638776876198</v>
      </c>
      <c r="J89" s="23" t="n">
        <f aca="false">J88/I88-1</f>
        <v>0.0600000000000001</v>
      </c>
    </row>
    <row r="92" customFormat="false" ht="17.15" hidden="false" customHeight="false" outlineLevel="0" collapsed="false">
      <c r="A92" s="1" t="s">
        <v>479</v>
      </c>
    </row>
    <row r="93" customFormat="false" ht="17.15" hidden="false" customHeight="false" outlineLevel="0" collapsed="false">
      <c r="A93" s="5" t="s">
        <v>23</v>
      </c>
      <c r="B93" s="5" t="s">
        <v>24</v>
      </c>
      <c r="C93" s="15" t="s">
        <v>372</v>
      </c>
      <c r="D93" s="15" t="s">
        <v>434</v>
      </c>
      <c r="E93" s="15" t="s">
        <v>435</v>
      </c>
      <c r="F93" s="15" t="s">
        <v>436</v>
      </c>
      <c r="G93" s="15" t="s">
        <v>437</v>
      </c>
      <c r="H93" s="15" t="s">
        <v>438</v>
      </c>
      <c r="I93" s="15" t="s">
        <v>439</v>
      </c>
      <c r="J93" s="15" t="s">
        <v>440</v>
      </c>
      <c r="K93" s="5" t="s">
        <v>378</v>
      </c>
    </row>
    <row r="94" customFormat="false" ht="17.15" hidden="false" customHeight="false" outlineLevel="0" collapsed="false">
      <c r="A94" s="6" t="s">
        <v>454</v>
      </c>
    </row>
    <row r="95" customFormat="false" ht="17.15" hidden="false" customHeight="false" outlineLevel="0" collapsed="false">
      <c r="A95" s="0" t="s">
        <v>455</v>
      </c>
      <c r="B95" s="0" t="s">
        <v>34</v>
      </c>
      <c r="D95" s="21" t="n">
        <f aca="false">mplB_26*1</f>
        <v>29.753262</v>
      </c>
      <c r="E95" s="21" t="n">
        <f aca="false">mplB_27*1*1</f>
        <v>54.688309</v>
      </c>
      <c r="F95" s="21" t="n">
        <f aca="false">mplB_28*um28_B*1</f>
        <v>48.9706</v>
      </c>
      <c r="G95" s="21" t="n">
        <f aca="false">mplB_29*um29_B*1</f>
        <v>66.987208</v>
      </c>
      <c r="H95" s="2"/>
    </row>
    <row r="96" customFormat="false" ht="17.15" hidden="false" customHeight="false" outlineLevel="0" collapsed="false">
      <c r="A96" s="0" t="s">
        <v>456</v>
      </c>
      <c r="B96" s="0" t="s">
        <v>34</v>
      </c>
      <c r="D96" s="21" t="n">
        <f aca="false">mcpB_26*1</f>
        <v>0.300538</v>
      </c>
      <c r="E96" s="21" t="n">
        <f aca="false">mcpB_27*1</f>
        <v>1.691391</v>
      </c>
      <c r="F96" s="21" t="n">
        <f aca="false">mcpB_28*um28_B</f>
        <v>2.5774</v>
      </c>
      <c r="G96" s="21" t="n">
        <f aca="false">mcpB_29*um29_B</f>
        <v>4.992628</v>
      </c>
      <c r="H96" s="2"/>
    </row>
    <row r="97" customFormat="false" ht="17.15" hidden="false" customHeight="false" outlineLevel="0" collapsed="false">
      <c r="A97" s="4" t="s">
        <v>457</v>
      </c>
      <c r="B97" s="0" t="s">
        <v>125</v>
      </c>
      <c r="D97" s="9" t="n">
        <f aca="false">fx</f>
        <v>6.72</v>
      </c>
      <c r="E97" s="9" t="n">
        <f aca="false">fx</f>
        <v>6.72</v>
      </c>
      <c r="F97" s="9" t="n">
        <f aca="false">fx</f>
        <v>6.72</v>
      </c>
      <c r="G97" s="9" t="n">
        <f aca="false">fx</f>
        <v>6.72</v>
      </c>
      <c r="H97" s="2"/>
      <c r="K97" s="8" t="s">
        <v>458</v>
      </c>
    </row>
    <row r="98" customFormat="false" ht="17.15" hidden="false" customHeight="false" outlineLevel="0" collapsed="false">
      <c r="A98" s="4" t="s">
        <v>459</v>
      </c>
      <c r="B98" s="0" t="s">
        <v>108</v>
      </c>
      <c r="D98" s="17" t="n">
        <f aca="false">a26_aiu/D95</f>
        <v>0.445687059095763</v>
      </c>
      <c r="H98" s="2"/>
      <c r="K98" s="8" t="s">
        <v>460</v>
      </c>
    </row>
    <row r="99" customFormat="false" ht="17.15" hidden="false" customHeight="false" outlineLevel="0" collapsed="false">
      <c r="A99" s="4" t="s">
        <v>461</v>
      </c>
      <c r="B99" s="0" t="s">
        <v>67</v>
      </c>
      <c r="D99" s="9" t="n">
        <f aca="false">1</f>
        <v>1</v>
      </c>
      <c r="E99" s="9" t="n">
        <f aca="false">rel_27</f>
        <v>0.95</v>
      </c>
      <c r="F99" s="9" t="n">
        <f aca="false">rel_28</f>
        <v>0.9</v>
      </c>
      <c r="G99" s="9" t="n">
        <f aca="false">rel_29</f>
        <v>0.85</v>
      </c>
      <c r="H99" s="2"/>
    </row>
    <row r="100" customFormat="false" ht="15" hidden="false" customHeight="false" outlineLevel="0" collapsed="false">
      <c r="A100" s="4" t="s">
        <v>462</v>
      </c>
      <c r="B100" s="0" t="s">
        <v>108</v>
      </c>
      <c r="D100" s="17" t="n">
        <f aca="false">$D$98*D99</f>
        <v>0.445687059095763</v>
      </c>
      <c r="E100" s="17" t="n">
        <f aca="false">$D$98*E99</f>
        <v>0.423402706140975</v>
      </c>
      <c r="F100" s="17" t="n">
        <f aca="false">$D$98*F99</f>
        <v>0.401118353186187</v>
      </c>
      <c r="G100" s="17" t="n">
        <f aca="false">$D$98*G99</f>
        <v>0.378834000231398</v>
      </c>
      <c r="H100" s="2"/>
    </row>
    <row r="101" customFormat="false" ht="15" hidden="false" customHeight="false" outlineLevel="0" collapsed="false">
      <c r="A101" s="4" t="s">
        <v>463</v>
      </c>
      <c r="B101" s="0" t="s">
        <v>67</v>
      </c>
      <c r="D101" s="9" t="n">
        <f aca="false">1</f>
        <v>1</v>
      </c>
      <c r="E101" s="9" t="n">
        <f aca="false">pxr_27</f>
        <v>1</v>
      </c>
      <c r="F101" s="9" t="n">
        <f aca="false">pxr_28</f>
        <v>1</v>
      </c>
      <c r="G101" s="9" t="n">
        <f aca="false">pxr_29</f>
        <v>1</v>
      </c>
      <c r="H101" s="2"/>
    </row>
    <row r="102" customFormat="false" ht="17.15" hidden="false" customHeight="false" outlineLevel="0" collapsed="false">
      <c r="A102" s="4" t="s">
        <v>464</v>
      </c>
      <c r="B102" s="0" t="s">
        <v>108</v>
      </c>
      <c r="D102" s="17" t="n">
        <f aca="false">0</f>
        <v>0</v>
      </c>
      <c r="E102" s="17" t="n">
        <f aca="false">cpo_27</f>
        <v>0.1</v>
      </c>
      <c r="F102" s="17" t="n">
        <f aca="false">cpo_28</f>
        <v>0.15</v>
      </c>
      <c r="G102" s="17" t="n">
        <f aca="false">cpo_29</f>
        <v>0.2</v>
      </c>
      <c r="H102" s="2"/>
    </row>
    <row r="103" customFormat="false" ht="17.15" hidden="false" customHeight="false" outlineLevel="0" collapsed="false">
      <c r="A103" s="0" t="s">
        <v>465</v>
      </c>
      <c r="B103" s="0" t="s">
        <v>34</v>
      </c>
      <c r="D103" s="21" t="n">
        <f aca="false">a26_aiu</f>
        <v>13.2606438392857</v>
      </c>
      <c r="E103" s="21" t="n">
        <f aca="false">E95*E100*E101+E96*E102</f>
        <v>23.3243171248738</v>
      </c>
      <c r="F103" s="21" t="n">
        <f aca="false">F95*F100*F101+F96*F102</f>
        <v>20.0296164265395</v>
      </c>
      <c r="G103" s="21" t="n">
        <f aca="false">G95*G100*G101+G96*G102</f>
        <v>26.3755575709727</v>
      </c>
      <c r="H103" s="2"/>
    </row>
    <row r="104" customFormat="false" ht="17.15" hidden="false" customHeight="false" outlineLevel="0" collapsed="false">
      <c r="A104" s="0" t="s">
        <v>466</v>
      </c>
      <c r="B104" s="0" t="s">
        <v>154</v>
      </c>
      <c r="C104" s="21" t="n">
        <f aca="false">a25_ai</f>
        <v>35.1808</v>
      </c>
      <c r="D104" s="21" t="n">
        <f aca="false">D103*D97</f>
        <v>89.1115266</v>
      </c>
      <c r="E104" s="21" t="n">
        <f aca="false">E103*E97</f>
        <v>156.739411079152</v>
      </c>
      <c r="F104" s="21" t="n">
        <f aca="false">F103*F97</f>
        <v>134.599022386345</v>
      </c>
      <c r="G104" s="21" t="n">
        <f aca="false">G103*G97</f>
        <v>177.243746876937</v>
      </c>
      <c r="H104" s="2"/>
    </row>
    <row r="105" customFormat="false" ht="17.15" hidden="false" customHeight="false" outlineLevel="0" collapsed="false">
      <c r="A105" s="6" t="s">
        <v>467</v>
      </c>
    </row>
    <row r="106" customFormat="false" ht="15" hidden="false" customHeight="false" outlineLevel="0" collapsed="false">
      <c r="A106" s="4" t="s">
        <v>468</v>
      </c>
      <c r="B106" s="0" t="s">
        <v>154</v>
      </c>
      <c r="C106" s="21" t="n">
        <f aca="false">a25_oth</f>
        <v>3.0592</v>
      </c>
      <c r="D106" s="21" t="n">
        <f aca="false">a26_oth</f>
        <v>7.7488284</v>
      </c>
      <c r="E106" s="21" t="n">
        <f aca="false">D106*(1+g_oth)</f>
        <v>8.52371124</v>
      </c>
      <c r="F106" s="21" t="n">
        <f aca="false">E106*(1+g_oth)</f>
        <v>9.376082364</v>
      </c>
      <c r="G106" s="21" t="n">
        <f aca="false">F106*(1+g_oth)</f>
        <v>10.3136906004</v>
      </c>
      <c r="H106" s="2"/>
    </row>
    <row r="107" customFormat="false" ht="15" hidden="false" customHeight="false" outlineLevel="0" collapsed="false">
      <c r="A107" s="4" t="s">
        <v>379</v>
      </c>
      <c r="B107" s="0" t="s">
        <v>154</v>
      </c>
      <c r="C107" s="21" t="n">
        <f aca="false">a25_rev</f>
        <v>38.24</v>
      </c>
      <c r="D107" s="21" t="n">
        <f aca="false">D104+D106</f>
        <v>96.860355</v>
      </c>
      <c r="E107" s="21" t="n">
        <f aca="false">E104+E106</f>
        <v>165.263122319152</v>
      </c>
      <c r="F107" s="21" t="n">
        <f aca="false">F104+F106</f>
        <v>143.975104750345</v>
      </c>
      <c r="G107" s="21" t="n">
        <f aca="false">G104+G106</f>
        <v>187.557437477337</v>
      </c>
      <c r="H107" s="26" t="n">
        <f aca="false">G107*(1+H108)</f>
        <v>227.908222171769</v>
      </c>
      <c r="I107" s="27" t="n">
        <f aca="false">H107*(1+I108)</f>
        <v>256.982278191232</v>
      </c>
      <c r="J107" s="27" t="n">
        <f aca="false">I107*(1+J108)</f>
        <v>267.261569318882</v>
      </c>
    </row>
    <row r="108" customFormat="false" ht="15" hidden="false" customHeight="false" outlineLevel="0" collapsed="false">
      <c r="A108" s="4" t="s">
        <v>469</v>
      </c>
      <c r="B108" s="0" t="s">
        <v>108</v>
      </c>
      <c r="D108" s="17" t="n">
        <f aca="false">D107/C107-1</f>
        <v>1.53295907426778</v>
      </c>
      <c r="E108" s="17" t="n">
        <f aca="false">E107/D107-1</f>
        <v>0.706199841195627</v>
      </c>
      <c r="F108" s="17" t="n">
        <f aca="false">F107/E107-1</f>
        <v>-0.128812872890638</v>
      </c>
      <c r="G108" s="17" t="n">
        <f aca="false">G107/F107-1</f>
        <v>0.30270742155433</v>
      </c>
      <c r="H108" s="28" t="n">
        <f aca="false">$G108+(fade_gB-$G108)*1/3</f>
        <v>0.21513828103622</v>
      </c>
      <c r="I108" s="23" t="n">
        <f aca="false">$G108+(fade_gB-$G108)*2/3</f>
        <v>0.12756914051811</v>
      </c>
      <c r="J108" s="23" t="n">
        <f aca="false">$G108+(fade_gB-$G108)*3/3</f>
        <v>0.04</v>
      </c>
    </row>
    <row r="109" customFormat="false" ht="17.15" hidden="false" customHeight="false" outlineLevel="0" collapsed="false">
      <c r="A109" s="0" t="s">
        <v>470</v>
      </c>
      <c r="B109" s="0" t="s">
        <v>108</v>
      </c>
      <c r="C109" s="17" t="n">
        <f aca="false">C104/C107</f>
        <v>0.92</v>
      </c>
      <c r="D109" s="17" t="n">
        <f aca="false">D104/D107</f>
        <v>0.92</v>
      </c>
      <c r="E109" s="17" t="n">
        <f aca="false">E104/E107</f>
        <v>0.948423392222136</v>
      </c>
      <c r="F109" s="17" t="n">
        <f aca="false">F104/F107</f>
        <v>0.93487705822296</v>
      </c>
      <c r="G109" s="17" t="n">
        <f aca="false">G104/G107</f>
        <v>0.945010495242844</v>
      </c>
      <c r="H109" s="2"/>
    </row>
    <row r="110" customFormat="false" ht="17.15" hidden="false" customHeight="false" outlineLevel="0" collapsed="false">
      <c r="A110" s="6" t="s">
        <v>471</v>
      </c>
    </row>
    <row r="111" customFormat="false" ht="17.15" hidden="false" customHeight="false" outlineLevel="0" collapsed="false">
      <c r="A111" s="4" t="s">
        <v>383</v>
      </c>
      <c r="B111" s="0" t="s">
        <v>108</v>
      </c>
      <c r="C111" s="17" t="n">
        <f aca="false">a25_gp/a25_rev</f>
        <v>0.4261</v>
      </c>
      <c r="D111" s="17" t="n">
        <f aca="false">a26_gp/a26_rev</f>
        <v>0.468231579886322</v>
      </c>
      <c r="E111" s="17" t="n">
        <f aca="false">gm_27</f>
        <v>0.47</v>
      </c>
      <c r="F111" s="17" t="n">
        <f aca="false">gm_28</f>
        <v>0.46</v>
      </c>
      <c r="G111" s="17" t="n">
        <f aca="false">gm_29</f>
        <v>0.45</v>
      </c>
      <c r="H111" s="2"/>
      <c r="K111" s="8" t="s">
        <v>472</v>
      </c>
    </row>
    <row r="112" customFormat="false" ht="15" hidden="false" customHeight="false" outlineLevel="0" collapsed="false">
      <c r="A112" s="4" t="s">
        <v>382</v>
      </c>
      <c r="B112" s="0" t="s">
        <v>154</v>
      </c>
      <c r="C112" s="21" t="n">
        <f aca="false">C107*C111</f>
        <v>16.294064</v>
      </c>
      <c r="D112" s="21" t="n">
        <f aca="false">D107*D111</f>
        <v>45.35307705</v>
      </c>
      <c r="E112" s="21" t="n">
        <f aca="false">E107*E111</f>
        <v>77.6736674900015</v>
      </c>
      <c r="F112" s="21" t="n">
        <f aca="false">F107*F111</f>
        <v>66.2285481851588</v>
      </c>
      <c r="G112" s="21" t="n">
        <f aca="false">G107*G111</f>
        <v>84.4008468648015</v>
      </c>
      <c r="H112" s="2"/>
    </row>
    <row r="113" customFormat="false" ht="15" hidden="false" customHeight="false" outlineLevel="0" collapsed="false">
      <c r="A113" s="4" t="s">
        <v>473</v>
      </c>
      <c r="B113" s="0" t="s">
        <v>154</v>
      </c>
      <c r="C113" s="21" t="n">
        <f aca="false">a25_opx</f>
        <v>2.6649299429437</v>
      </c>
      <c r="D113" s="21" t="n">
        <f aca="false">a26_opx</f>
        <v>5.17620397829946</v>
      </c>
      <c r="E113" s="21" t="n">
        <f aca="false">D113*(1+MAX(0,phi*E108))</f>
        <v>7.42327473077722</v>
      </c>
      <c r="F113" s="21" t="n">
        <f aca="false">E113*(1+MAX(0,phi*F108))</f>
        <v>7.42327473077722</v>
      </c>
      <c r="G113" s="21" t="n">
        <f aca="false">F113*(1+MAX(0,phi*G108))</f>
        <v>8.80460125719304</v>
      </c>
      <c r="H113" s="2"/>
    </row>
    <row r="114" customFormat="false" ht="15" hidden="false" customHeight="false" outlineLevel="0" collapsed="false">
      <c r="A114" s="4" t="s">
        <v>474</v>
      </c>
      <c r="B114" s="0" t="s">
        <v>154</v>
      </c>
      <c r="C114" s="21" t="n">
        <f aca="false">C113</f>
        <v>2.6649299429437</v>
      </c>
      <c r="D114" s="21" t="n">
        <f aca="false">D113</f>
        <v>5.17620397829946</v>
      </c>
      <c r="E114" s="21" t="n">
        <f aca="false">E113+0*E107</f>
        <v>7.42327473077722</v>
      </c>
      <c r="F114" s="21" t="n">
        <f aca="false">F113+0*F107</f>
        <v>7.42327473077722</v>
      </c>
      <c r="G114" s="21" t="n">
        <f aca="false">G113+0*G107</f>
        <v>8.80460125719304</v>
      </c>
      <c r="H114" s="2"/>
    </row>
    <row r="115" customFormat="false" ht="15" hidden="false" customHeight="false" outlineLevel="0" collapsed="false">
      <c r="A115" s="4" t="s">
        <v>475</v>
      </c>
      <c r="B115" s="0" t="s">
        <v>154</v>
      </c>
      <c r="C115" s="21" t="n">
        <f aca="false">C112-C114</f>
        <v>13.6291340570563</v>
      </c>
      <c r="D115" s="21" t="n">
        <f aca="false">D112-D114</f>
        <v>40.1768730717005</v>
      </c>
      <c r="E115" s="21" t="n">
        <f aca="false">E112-E114</f>
        <v>70.2503927592243</v>
      </c>
      <c r="F115" s="21" t="n">
        <f aca="false">F112-F114</f>
        <v>58.8052734543816</v>
      </c>
      <c r="G115" s="21" t="n">
        <f aca="false">G112-G114</f>
        <v>75.5962456076085</v>
      </c>
      <c r="H115" s="2"/>
    </row>
    <row r="116" customFormat="false" ht="15" hidden="false" customHeight="false" outlineLevel="0" collapsed="false">
      <c r="A116" s="4" t="s">
        <v>476</v>
      </c>
      <c r="B116" s="0" t="s">
        <v>108</v>
      </c>
      <c r="C116" s="17" t="n">
        <f aca="false">C115/C107</f>
        <v>0.356410409441849</v>
      </c>
      <c r="D116" s="17" t="n">
        <f aca="false">D115/D107</f>
        <v>0.414791718156521</v>
      </c>
      <c r="E116" s="17" t="n">
        <f aca="false">E115/E107</f>
        <v>0.425082085908788</v>
      </c>
      <c r="F116" s="17" t="n">
        <f aca="false">F115/F107</f>
        <v>0.408440567251892</v>
      </c>
      <c r="G116" s="17" t="n">
        <f aca="false">G115/G107</f>
        <v>0.403056506979325</v>
      </c>
      <c r="H116" s="2"/>
    </row>
    <row r="117" customFormat="false" ht="15" hidden="false" customHeight="false" outlineLevel="0" collapsed="false">
      <c r="A117" s="4" t="s">
        <v>390</v>
      </c>
      <c r="B117" s="0" t="s">
        <v>154</v>
      </c>
      <c r="C117" s="21" t="n">
        <f aca="false">a25_ni</f>
        <v>10.797</v>
      </c>
      <c r="D117" s="21" t="n">
        <f aca="false">a26_ni</f>
        <v>31.8281188474012</v>
      </c>
      <c r="E117" s="21" t="n">
        <f aca="false">E115*(1-tx)*attr</f>
        <v>55.6523611438575</v>
      </c>
      <c r="F117" s="21" t="n">
        <f aca="false">F115*(1-tx)*attr</f>
        <v>46.5855376305611</v>
      </c>
      <c r="G117" s="21" t="n">
        <f aca="false">G115*(1-tx)*attr</f>
        <v>59.8873457703475</v>
      </c>
      <c r="H117" s="26" t="n">
        <f aca="false">H107*H118</f>
        <v>70.345692848695</v>
      </c>
      <c r="I117" s="27" t="n">
        <f aca="false">I107*I118</f>
        <v>76.5844726857763</v>
      </c>
      <c r="J117" s="27" t="n">
        <f aca="false">J107*J118</f>
        <v>76.8032854648785</v>
      </c>
    </row>
    <row r="118" customFormat="false" ht="15" hidden="false" customHeight="false" outlineLevel="0" collapsed="false">
      <c r="A118" s="4" t="s">
        <v>392</v>
      </c>
      <c r="B118" s="0" t="s">
        <v>108</v>
      </c>
      <c r="C118" s="17" t="n">
        <f aca="false">C117/C107</f>
        <v>0.282348326359833</v>
      </c>
      <c r="D118" s="17" t="n">
        <f aca="false">D117/D107</f>
        <v>0.328597999123596</v>
      </c>
      <c r="E118" s="17" t="n">
        <f aca="false">E117/E107</f>
        <v>0.336750028456941</v>
      </c>
      <c r="F118" s="17" t="n">
        <f aca="false">F117/F107</f>
        <v>0.323566617376949</v>
      </c>
      <c r="G118" s="17" t="n">
        <f aca="false">G117/G107</f>
        <v>0.319301364829021</v>
      </c>
      <c r="H118" s="28" t="n">
        <f aca="false">$G118+(fade_mB-$G118)*1/3</f>
        <v>0.308657986001387</v>
      </c>
      <c r="I118" s="23" t="n">
        <f aca="false">$G118+(fade_mB-$G118)*2/3</f>
        <v>0.298014607173753</v>
      </c>
      <c r="J118" s="23" t="n">
        <f aca="false">$G118+(fade_mB-$G118)*3/3</f>
        <v>0.287371228346119</v>
      </c>
    </row>
    <row r="119" customFormat="false" ht="15" hidden="false" customHeight="false" outlineLevel="0" collapsed="false">
      <c r="A119" s="4" t="s">
        <v>477</v>
      </c>
      <c r="B119" s="4" t="s">
        <v>186</v>
      </c>
      <c r="C119" s="18" t="n">
        <f aca="false">a25_sh</f>
        <v>1.1089358245329</v>
      </c>
      <c r="D119" s="18" t="n">
        <f aca="false">a26_sh</f>
        <v>1.1434224718021</v>
      </c>
      <c r="E119" s="18" t="n">
        <f aca="false">sh_post*(1+sh_g)</f>
        <v>1.1779091190713</v>
      </c>
      <c r="F119" s="18" t="n">
        <f aca="false">E119*(1+sh_g)</f>
        <v>1.1779091190713</v>
      </c>
      <c r="G119" s="18" t="n">
        <f aca="false">F119*(1+sh_g)</f>
        <v>1.1779091190713</v>
      </c>
      <c r="H119" s="29" t="n">
        <f aca="false">G119*(1+sh_g)</f>
        <v>1.1779091190713</v>
      </c>
      <c r="I119" s="30" t="n">
        <f aca="false">H119*(1+sh_g)</f>
        <v>1.1779091190713</v>
      </c>
      <c r="J119" s="30" t="n">
        <f aca="false">I119*(1+sh_g)</f>
        <v>1.1779091190713</v>
      </c>
    </row>
    <row r="120" customFormat="false" ht="15" hidden="false" customHeight="false" outlineLevel="0" collapsed="false">
      <c r="A120" s="0" t="s">
        <v>395</v>
      </c>
      <c r="B120" s="0" t="s">
        <v>125</v>
      </c>
      <c r="C120" s="21" t="n">
        <f aca="false">C117/C119</f>
        <v>9.73636143872244</v>
      </c>
      <c r="D120" s="21" t="n">
        <f aca="false">D117/D119</f>
        <v>27.8358346388262</v>
      </c>
      <c r="E120" s="21" t="n">
        <f aca="false">E117/E119</f>
        <v>47.246735968676</v>
      </c>
      <c r="F120" s="21" t="n">
        <f aca="false">F117/F119</f>
        <v>39.5493479728645</v>
      </c>
      <c r="G120" s="21" t="n">
        <f aca="false">G117/G119</f>
        <v>50.8420766939681</v>
      </c>
      <c r="H120" s="26" t="n">
        <f aca="false">H117/H119</f>
        <v>59.7208152222794</v>
      </c>
      <c r="I120" s="27" t="n">
        <f aca="false">I117/I119</f>
        <v>65.0173017984256</v>
      </c>
      <c r="J120" s="27" t="n">
        <f aca="false">J117/J119</f>
        <v>65.2030655178496</v>
      </c>
    </row>
    <row r="121" customFormat="false" ht="17.15" hidden="false" customHeight="false" outlineLevel="0" collapsed="false">
      <c r="A121" s="0" t="s">
        <v>478</v>
      </c>
      <c r="B121" s="0" t="s">
        <v>108</v>
      </c>
      <c r="D121" s="17" t="n">
        <f aca="false">D120/C120-1</f>
        <v>1.85895658393704</v>
      </c>
      <c r="E121" s="17" t="n">
        <f aca="false">E120/D120-1</f>
        <v>0.697334984982809</v>
      </c>
      <c r="F121" s="17" t="n">
        <f aca="false">F120/E120-1</f>
        <v>-0.162918936895764</v>
      </c>
      <c r="G121" s="17" t="n">
        <f aca="false">G120/F120-1</f>
        <v>0.285535142800629</v>
      </c>
      <c r="H121" s="28" t="n">
        <f aca="false">H120/G120-1</f>
        <v>0.174633671668346</v>
      </c>
      <c r="I121" s="23" t="n">
        <f aca="false">I120/H120-1</f>
        <v>0.0886874460174856</v>
      </c>
      <c r="J121" s="23" t="n">
        <f aca="false">J120/I120-1</f>
        <v>0.00285714285714267</v>
      </c>
    </row>
    <row r="124" customFormat="false" ht="17.15" hidden="false" customHeight="false" outlineLevel="0" collapsed="false">
      <c r="A124" s="1" t="s">
        <v>480</v>
      </c>
    </row>
    <row r="125" customFormat="false" ht="17.15" hidden="false" customHeight="false" outlineLevel="0" collapsed="false">
      <c r="A125" s="5" t="s">
        <v>23</v>
      </c>
      <c r="B125" s="5" t="s">
        <v>24</v>
      </c>
      <c r="C125" s="15" t="s">
        <v>372</v>
      </c>
      <c r="D125" s="15" t="s">
        <v>434</v>
      </c>
      <c r="E125" s="15" t="s">
        <v>435</v>
      </c>
      <c r="F125" s="15" t="s">
        <v>436</v>
      </c>
      <c r="G125" s="15" t="s">
        <v>437</v>
      </c>
      <c r="H125" s="15" t="s">
        <v>438</v>
      </c>
      <c r="I125" s="15" t="s">
        <v>439</v>
      </c>
      <c r="J125" s="15" t="s">
        <v>440</v>
      </c>
      <c r="K125" s="5" t="s">
        <v>378</v>
      </c>
    </row>
    <row r="126" customFormat="false" ht="17.15" hidden="false" customHeight="false" outlineLevel="0" collapsed="false">
      <c r="A126" s="6" t="s">
        <v>454</v>
      </c>
    </row>
    <row r="127" customFormat="false" ht="17.15" hidden="false" customHeight="false" outlineLevel="0" collapsed="false">
      <c r="A127" s="0" t="s">
        <v>455</v>
      </c>
      <c r="B127" s="0" t="s">
        <v>34</v>
      </c>
      <c r="D127" s="21" t="n">
        <f aca="false">mplC_26*1</f>
        <v>29.753262</v>
      </c>
      <c r="E127" s="21" t="n">
        <f aca="false">mplC_27*1*1</f>
        <v>55.252106</v>
      </c>
      <c r="F127" s="21" t="n">
        <f aca="false">mplC_28*um28_C*1</f>
        <v>37.50117</v>
      </c>
      <c r="G127" s="21" t="n">
        <f aca="false">mplC_29*um29_C*1</f>
        <v>48.606666</v>
      </c>
      <c r="H127" s="2"/>
    </row>
    <row r="128" customFormat="false" ht="17.15" hidden="false" customHeight="false" outlineLevel="0" collapsed="false">
      <c r="A128" s="0" t="s">
        <v>456</v>
      </c>
      <c r="B128" s="0" t="s">
        <v>34</v>
      </c>
      <c r="D128" s="21" t="n">
        <f aca="false">mcpC_26*1</f>
        <v>0.300538</v>
      </c>
      <c r="E128" s="21" t="n">
        <f aca="false">mcpC_27*1</f>
        <v>1.127594</v>
      </c>
      <c r="F128" s="21" t="n">
        <f aca="false">mcpC_28*um28_C</f>
        <v>1.15983</v>
      </c>
      <c r="G128" s="21" t="n">
        <f aca="false">mcpC_29*um29_C</f>
        <v>2.20263</v>
      </c>
      <c r="H128" s="2"/>
    </row>
    <row r="129" customFormat="false" ht="17.15" hidden="false" customHeight="false" outlineLevel="0" collapsed="false">
      <c r="A129" s="4" t="s">
        <v>457</v>
      </c>
      <c r="B129" s="0" t="s">
        <v>125</v>
      </c>
      <c r="D129" s="9" t="n">
        <f aca="false">fx</f>
        <v>6.72</v>
      </c>
      <c r="E129" s="9" t="n">
        <f aca="false">fx</f>
        <v>6.72</v>
      </c>
      <c r="F129" s="9" t="n">
        <f aca="false">fx</f>
        <v>6.72</v>
      </c>
      <c r="G129" s="9" t="n">
        <f aca="false">fx</f>
        <v>6.72</v>
      </c>
      <c r="H129" s="2"/>
      <c r="K129" s="8" t="s">
        <v>458</v>
      </c>
    </row>
    <row r="130" customFormat="false" ht="17.15" hidden="false" customHeight="false" outlineLevel="0" collapsed="false">
      <c r="A130" s="4" t="s">
        <v>459</v>
      </c>
      <c r="B130" s="0" t="s">
        <v>108</v>
      </c>
      <c r="D130" s="17" t="n">
        <f aca="false">a26_aiu/D127</f>
        <v>0.445687059095763</v>
      </c>
      <c r="H130" s="2"/>
      <c r="K130" s="8" t="s">
        <v>460</v>
      </c>
    </row>
    <row r="131" customFormat="false" ht="17.15" hidden="false" customHeight="false" outlineLevel="0" collapsed="false">
      <c r="A131" s="4" t="s">
        <v>461</v>
      </c>
      <c r="B131" s="0" t="s">
        <v>67</v>
      </c>
      <c r="D131" s="9" t="n">
        <f aca="false">1</f>
        <v>1</v>
      </c>
      <c r="E131" s="9" t="n">
        <f aca="false">rel_27</f>
        <v>0.95</v>
      </c>
      <c r="F131" s="9" t="n">
        <f aca="false">rel_28</f>
        <v>0.9</v>
      </c>
      <c r="G131" s="9" t="n">
        <f aca="false">rel_29</f>
        <v>0.85</v>
      </c>
      <c r="H131" s="2"/>
    </row>
    <row r="132" customFormat="false" ht="15" hidden="false" customHeight="false" outlineLevel="0" collapsed="false">
      <c r="A132" s="4" t="s">
        <v>462</v>
      </c>
      <c r="B132" s="0" t="s">
        <v>108</v>
      </c>
      <c r="D132" s="17" t="n">
        <f aca="false">$D$130*D131</f>
        <v>0.445687059095763</v>
      </c>
      <c r="E132" s="17" t="n">
        <f aca="false">$D$130*E131</f>
        <v>0.423402706140975</v>
      </c>
      <c r="F132" s="17" t="n">
        <f aca="false">$D$130*F131</f>
        <v>0.401118353186187</v>
      </c>
      <c r="G132" s="17" t="n">
        <f aca="false">$D$130*G131</f>
        <v>0.378834000231398</v>
      </c>
      <c r="H132" s="2"/>
    </row>
    <row r="133" customFormat="false" ht="15" hidden="false" customHeight="false" outlineLevel="0" collapsed="false">
      <c r="A133" s="4" t="s">
        <v>463</v>
      </c>
      <c r="B133" s="0" t="s">
        <v>67</v>
      </c>
      <c r="D133" s="9" t="n">
        <f aca="false">1</f>
        <v>1</v>
      </c>
      <c r="E133" s="9" t="n">
        <f aca="false">pxr_27</f>
        <v>1</v>
      </c>
      <c r="F133" s="9" t="n">
        <f aca="false">pxr_28</f>
        <v>1</v>
      </c>
      <c r="G133" s="9" t="n">
        <f aca="false">pxr_29</f>
        <v>1</v>
      </c>
      <c r="H133" s="2"/>
    </row>
    <row r="134" customFormat="false" ht="17.15" hidden="false" customHeight="false" outlineLevel="0" collapsed="false">
      <c r="A134" s="4" t="s">
        <v>464</v>
      </c>
      <c r="B134" s="0" t="s">
        <v>108</v>
      </c>
      <c r="D134" s="17" t="n">
        <f aca="false">0</f>
        <v>0</v>
      </c>
      <c r="E134" s="17" t="n">
        <f aca="false">cpo_27</f>
        <v>0.1</v>
      </c>
      <c r="F134" s="17" t="n">
        <f aca="false">cpo_28</f>
        <v>0.15</v>
      </c>
      <c r="G134" s="17" t="n">
        <f aca="false">cpo_29</f>
        <v>0.2</v>
      </c>
      <c r="H134" s="2"/>
    </row>
    <row r="135" customFormat="false" ht="17.15" hidden="false" customHeight="false" outlineLevel="0" collapsed="false">
      <c r="A135" s="0" t="s">
        <v>465</v>
      </c>
      <c r="B135" s="0" t="s">
        <v>34</v>
      </c>
      <c r="D135" s="21" t="n">
        <f aca="false">a26_aiu</f>
        <v>13.2606438392857</v>
      </c>
      <c r="E135" s="21" t="n">
        <f aca="false">E127*E132*E133+E128*E134</f>
        <v>23.506650600388</v>
      </c>
      <c r="F135" s="21" t="n">
        <f aca="false">F127*F132*F133+F128*F134</f>
        <v>15.2163820529552</v>
      </c>
      <c r="G135" s="21" t="n">
        <f aca="false">G127*G132*G133+G128*G134</f>
        <v>18.8543837186915</v>
      </c>
      <c r="H135" s="2"/>
    </row>
    <row r="136" customFormat="false" ht="17.15" hidden="false" customHeight="false" outlineLevel="0" collapsed="false">
      <c r="A136" s="0" t="s">
        <v>466</v>
      </c>
      <c r="B136" s="0" t="s">
        <v>154</v>
      </c>
      <c r="C136" s="21" t="n">
        <f aca="false">a25_ai</f>
        <v>35.1808</v>
      </c>
      <c r="D136" s="21" t="n">
        <f aca="false">D135*D129</f>
        <v>89.1115266</v>
      </c>
      <c r="E136" s="21" t="n">
        <f aca="false">E135*E129</f>
        <v>157.964692034607</v>
      </c>
      <c r="F136" s="21" t="n">
        <f aca="false">F135*F129</f>
        <v>102.254087395859</v>
      </c>
      <c r="G136" s="21" t="n">
        <f aca="false">G135*G129</f>
        <v>126.701458589607</v>
      </c>
      <c r="H136" s="2"/>
    </row>
    <row r="137" customFormat="false" ht="17.15" hidden="false" customHeight="false" outlineLevel="0" collapsed="false">
      <c r="A137" s="6" t="s">
        <v>467</v>
      </c>
    </row>
    <row r="138" customFormat="false" ht="15" hidden="false" customHeight="false" outlineLevel="0" collapsed="false">
      <c r="A138" s="4" t="s">
        <v>468</v>
      </c>
      <c r="B138" s="0" t="s">
        <v>154</v>
      </c>
      <c r="C138" s="21" t="n">
        <f aca="false">a25_oth</f>
        <v>3.0592</v>
      </c>
      <c r="D138" s="21" t="n">
        <f aca="false">a26_oth</f>
        <v>7.7488284</v>
      </c>
      <c r="E138" s="21" t="n">
        <f aca="false">D138*(1+g_oth)</f>
        <v>8.52371124</v>
      </c>
      <c r="F138" s="21" t="n">
        <f aca="false">E138*(1+g_oth)</f>
        <v>9.376082364</v>
      </c>
      <c r="G138" s="21" t="n">
        <f aca="false">F138*(1+g_oth)</f>
        <v>10.3136906004</v>
      </c>
      <c r="H138" s="2"/>
    </row>
    <row r="139" customFormat="false" ht="15" hidden="false" customHeight="false" outlineLevel="0" collapsed="false">
      <c r="A139" s="4" t="s">
        <v>379</v>
      </c>
      <c r="B139" s="0" t="s">
        <v>154</v>
      </c>
      <c r="C139" s="21" t="n">
        <f aca="false">a25_rev</f>
        <v>38.24</v>
      </c>
      <c r="D139" s="21" t="n">
        <f aca="false">D136+D138</f>
        <v>96.860355</v>
      </c>
      <c r="E139" s="21" t="n">
        <f aca="false">E136+E138</f>
        <v>166.488403274607</v>
      </c>
      <c r="F139" s="21" t="n">
        <f aca="false">F136+F138</f>
        <v>111.630169759859</v>
      </c>
      <c r="G139" s="21" t="n">
        <f aca="false">G136+G138</f>
        <v>137.015149190007</v>
      </c>
      <c r="H139" s="26" t="n">
        <f aca="false">G139*(1+H140)</f>
        <v>158.70030829025</v>
      </c>
      <c r="I139" s="27" t="n">
        <f aca="false">H139*(1+I140)</f>
        <v>172.845927901603</v>
      </c>
      <c r="J139" s="27" t="n">
        <f aca="false">I139*(1+J140)</f>
        <v>176.302846459635</v>
      </c>
    </row>
    <row r="140" customFormat="false" ht="15" hidden="false" customHeight="false" outlineLevel="0" collapsed="false">
      <c r="A140" s="4" t="s">
        <v>469</v>
      </c>
      <c r="B140" s="0" t="s">
        <v>108</v>
      </c>
      <c r="D140" s="17" t="n">
        <f aca="false">D139/C139-1</f>
        <v>1.53295907426778</v>
      </c>
      <c r="E140" s="17" t="n">
        <f aca="false">E139/D139-1</f>
        <v>0.718849815020885</v>
      </c>
      <c r="F140" s="17" t="n">
        <f aca="false">F139/E139-1</f>
        <v>-0.329501829771678</v>
      </c>
      <c r="G140" s="17" t="n">
        <f aca="false">G139/F139-1</f>
        <v>0.227402497772389</v>
      </c>
      <c r="H140" s="28" t="n">
        <f aca="false">$G140+(fade_gC-$G140)*1/3</f>
        <v>0.158268331848259</v>
      </c>
      <c r="I140" s="23" t="n">
        <f aca="false">$G140+(fade_gC-$G140)*2/3</f>
        <v>0.0891341659241297</v>
      </c>
      <c r="J140" s="23" t="n">
        <f aca="false">$G140+(fade_gC-$G140)*3/3</f>
        <v>0.02</v>
      </c>
    </row>
    <row r="141" customFormat="false" ht="17.15" hidden="false" customHeight="false" outlineLevel="0" collapsed="false">
      <c r="A141" s="0" t="s">
        <v>470</v>
      </c>
      <c r="B141" s="0" t="s">
        <v>108</v>
      </c>
      <c r="C141" s="17" t="n">
        <f aca="false">C136/C139</f>
        <v>0.92</v>
      </c>
      <c r="D141" s="17" t="n">
        <f aca="false">D136/D139</f>
        <v>0.92</v>
      </c>
      <c r="E141" s="17" t="n">
        <f aca="false">E136/E139</f>
        <v>0.948802973226063</v>
      </c>
      <c r="F141" s="17" t="n">
        <f aca="false">F136/F139</f>
        <v>0.916007631412099</v>
      </c>
      <c r="G141" s="17" t="n">
        <f aca="false">G136/G139</f>
        <v>0.924725910518862</v>
      </c>
      <c r="H141" s="2"/>
    </row>
    <row r="142" customFormat="false" ht="17.15" hidden="false" customHeight="false" outlineLevel="0" collapsed="false">
      <c r="A142" s="6" t="s">
        <v>471</v>
      </c>
    </row>
    <row r="143" customFormat="false" ht="17.15" hidden="false" customHeight="false" outlineLevel="0" collapsed="false">
      <c r="A143" s="4" t="s">
        <v>383</v>
      </c>
      <c r="B143" s="0" t="s">
        <v>108</v>
      </c>
      <c r="C143" s="17" t="n">
        <f aca="false">a25_gp/a25_rev</f>
        <v>0.4261</v>
      </c>
      <c r="D143" s="17" t="n">
        <f aca="false">a26_gp/a26_rev</f>
        <v>0.468231579886322</v>
      </c>
      <c r="E143" s="17" t="n">
        <f aca="false">gm_27</f>
        <v>0.47</v>
      </c>
      <c r="F143" s="17" t="n">
        <f aca="false">gm_28</f>
        <v>0.46</v>
      </c>
      <c r="G143" s="17" t="n">
        <f aca="false">gm_29</f>
        <v>0.45</v>
      </c>
      <c r="H143" s="2"/>
      <c r="K143" s="8" t="s">
        <v>472</v>
      </c>
    </row>
    <row r="144" customFormat="false" ht="15" hidden="false" customHeight="false" outlineLevel="0" collapsed="false">
      <c r="A144" s="4" t="s">
        <v>382</v>
      </c>
      <c r="B144" s="0" t="s">
        <v>154</v>
      </c>
      <c r="C144" s="21" t="n">
        <f aca="false">C139*C143</f>
        <v>16.294064</v>
      </c>
      <c r="D144" s="21" t="n">
        <f aca="false">D139*D143</f>
        <v>45.35307705</v>
      </c>
      <c r="E144" s="21" t="n">
        <f aca="false">E139*E143</f>
        <v>78.2495495390654</v>
      </c>
      <c r="F144" s="21" t="n">
        <f aca="false">F139*F143</f>
        <v>51.3498780895352</v>
      </c>
      <c r="G144" s="21" t="n">
        <f aca="false">G139*G143</f>
        <v>61.6568171355031</v>
      </c>
      <c r="H144" s="2"/>
    </row>
    <row r="145" customFormat="false" ht="15" hidden="false" customHeight="false" outlineLevel="0" collapsed="false">
      <c r="A145" s="4" t="s">
        <v>473</v>
      </c>
      <c r="B145" s="0" t="s">
        <v>154</v>
      </c>
      <c r="C145" s="21" t="n">
        <f aca="false">a25_opx</f>
        <v>2.6649299429437</v>
      </c>
      <c r="D145" s="21" t="n">
        <f aca="false">a26_opx</f>
        <v>5.17620397829946</v>
      </c>
      <c r="E145" s="21" t="n">
        <f aca="false">D145*(1+MAX(0,phi*E140))</f>
        <v>7.46352592391572</v>
      </c>
      <c r="F145" s="21" t="n">
        <f aca="false">E145*(1+MAX(0,phi*F140))</f>
        <v>7.46352592391572</v>
      </c>
      <c r="G145" s="21" t="n">
        <f aca="false">F145*(1+MAX(0,phi*G140))</f>
        <v>8.50684470560629</v>
      </c>
      <c r="H145" s="2"/>
    </row>
    <row r="146" customFormat="false" ht="15" hidden="false" customHeight="false" outlineLevel="0" collapsed="false">
      <c r="A146" s="4" t="s">
        <v>474</v>
      </c>
      <c r="B146" s="0" t="s">
        <v>154</v>
      </c>
      <c r="C146" s="21" t="n">
        <f aca="false">C145</f>
        <v>2.6649299429437</v>
      </c>
      <c r="D146" s="21" t="n">
        <f aca="false">D145</f>
        <v>5.17620397829946</v>
      </c>
      <c r="E146" s="21" t="n">
        <f aca="false">E145+0*E139</f>
        <v>7.46352592391572</v>
      </c>
      <c r="F146" s="21" t="n">
        <f aca="false">F145+0*F139</f>
        <v>7.46352592391572</v>
      </c>
      <c r="G146" s="21" t="n">
        <f aca="false">G145+0*G139</f>
        <v>8.50684470560629</v>
      </c>
      <c r="H146" s="2"/>
    </row>
    <row r="147" customFormat="false" ht="15" hidden="false" customHeight="false" outlineLevel="0" collapsed="false">
      <c r="A147" s="4" t="s">
        <v>475</v>
      </c>
      <c r="B147" s="0" t="s">
        <v>154</v>
      </c>
      <c r="C147" s="21" t="n">
        <f aca="false">C144-C146</f>
        <v>13.6291340570563</v>
      </c>
      <c r="D147" s="21" t="n">
        <f aca="false">D144-D146</f>
        <v>40.1768730717005</v>
      </c>
      <c r="E147" s="21" t="n">
        <f aca="false">E144-E146</f>
        <v>70.7860236151497</v>
      </c>
      <c r="F147" s="21" t="n">
        <f aca="false">F144-F146</f>
        <v>43.8863521656195</v>
      </c>
      <c r="G147" s="21" t="n">
        <f aca="false">G144-G146</f>
        <v>53.1499724298968</v>
      </c>
      <c r="H147" s="2"/>
    </row>
    <row r="148" customFormat="false" ht="15" hidden="false" customHeight="false" outlineLevel="0" collapsed="false">
      <c r="A148" s="4" t="s">
        <v>476</v>
      </c>
      <c r="B148" s="0" t="s">
        <v>108</v>
      </c>
      <c r="C148" s="17" t="n">
        <f aca="false">C147/C139</f>
        <v>0.356410409441849</v>
      </c>
      <c r="D148" s="17" t="n">
        <f aca="false">D147/D139</f>
        <v>0.414791718156521</v>
      </c>
      <c r="E148" s="17" t="n">
        <f aca="false">E147/E139</f>
        <v>0.42517089612779</v>
      </c>
      <c r="F148" s="17" t="n">
        <f aca="false">F147/F139</f>
        <v>0.393140602222756</v>
      </c>
      <c r="G148" s="17" t="n">
        <f aca="false">G147/G139</f>
        <v>0.387913108470879</v>
      </c>
      <c r="H148" s="2"/>
    </row>
    <row r="149" customFormat="false" ht="15" hidden="false" customHeight="false" outlineLevel="0" collapsed="false">
      <c r="A149" s="4" t="s">
        <v>390</v>
      </c>
      <c r="B149" s="0" t="s">
        <v>154</v>
      </c>
      <c r="C149" s="21" t="n">
        <f aca="false">a25_ni</f>
        <v>10.797</v>
      </c>
      <c r="D149" s="21" t="n">
        <f aca="false">a26_ni</f>
        <v>31.8281188474012</v>
      </c>
      <c r="E149" s="21" t="n">
        <f aca="false">E147*(1-tx)*attr</f>
        <v>56.0766879079216</v>
      </c>
      <c r="F149" s="21" t="n">
        <f aca="false">F147*(1-tx)*attr</f>
        <v>34.7667681856037</v>
      </c>
      <c r="G149" s="21" t="n">
        <f aca="false">G147*(1-tx)*attr</f>
        <v>42.1054081589643</v>
      </c>
      <c r="H149" s="26" t="n">
        <f aca="false">H139*H150</f>
        <v>45.518070145402</v>
      </c>
      <c r="I149" s="27" t="n">
        <f aca="false">I139*I150</f>
        <v>46.0341935506965</v>
      </c>
      <c r="J149" s="27" t="n">
        <f aca="false">J139*J150</f>
        <v>43.3429637738865</v>
      </c>
    </row>
    <row r="150" customFormat="false" ht="15" hidden="false" customHeight="false" outlineLevel="0" collapsed="false">
      <c r="A150" s="4" t="s">
        <v>392</v>
      </c>
      <c r="B150" s="0" t="s">
        <v>108</v>
      </c>
      <c r="C150" s="17" t="n">
        <f aca="false">C149/C139</f>
        <v>0.282348326359833</v>
      </c>
      <c r="D150" s="17" t="n">
        <f aca="false">D149/D139</f>
        <v>0.328597999123596</v>
      </c>
      <c r="E150" s="17" t="n">
        <f aca="false">E149/E139</f>
        <v>0.336820383912435</v>
      </c>
      <c r="F150" s="17" t="n">
        <f aca="false">F149/F139</f>
        <v>0.311445985080867</v>
      </c>
      <c r="G150" s="17" t="n">
        <f aca="false">G149/G139</f>
        <v>0.30730476453063</v>
      </c>
      <c r="H150" s="28" t="n">
        <f aca="false">$G150+(fade_mC-$G150)*1/3</f>
        <v>0.286817780228588</v>
      </c>
      <c r="I150" s="23" t="n">
        <f aca="false">$G150+(fade_mC-$G150)*2/3</f>
        <v>0.266330795926546</v>
      </c>
      <c r="J150" s="23" t="n">
        <f aca="false">$G150+(fade_mC-$G150)*3/3</f>
        <v>0.245843811624504</v>
      </c>
    </row>
    <row r="151" customFormat="false" ht="15" hidden="false" customHeight="false" outlineLevel="0" collapsed="false">
      <c r="A151" s="4" t="s">
        <v>477</v>
      </c>
      <c r="B151" s="4" t="s">
        <v>186</v>
      </c>
      <c r="C151" s="18" t="n">
        <f aca="false">a25_sh</f>
        <v>1.1089358245329</v>
      </c>
      <c r="D151" s="18" t="n">
        <f aca="false">a26_sh</f>
        <v>1.1434224718021</v>
      </c>
      <c r="E151" s="18" t="n">
        <f aca="false">sh_post*(1+sh_g)</f>
        <v>1.1779091190713</v>
      </c>
      <c r="F151" s="18" t="n">
        <f aca="false">E151*(1+sh_g)</f>
        <v>1.1779091190713</v>
      </c>
      <c r="G151" s="18" t="n">
        <f aca="false">F151*(1+sh_g)</f>
        <v>1.1779091190713</v>
      </c>
      <c r="H151" s="29" t="n">
        <f aca="false">G151*(1+sh_g)</f>
        <v>1.1779091190713</v>
      </c>
      <c r="I151" s="30" t="n">
        <f aca="false">H151*(1+sh_g)</f>
        <v>1.1779091190713</v>
      </c>
      <c r="J151" s="30" t="n">
        <f aca="false">I151*(1+sh_g)</f>
        <v>1.1779091190713</v>
      </c>
    </row>
    <row r="152" customFormat="false" ht="15" hidden="false" customHeight="false" outlineLevel="0" collapsed="false">
      <c r="A152" s="0" t="s">
        <v>395</v>
      </c>
      <c r="B152" s="0" t="s">
        <v>125</v>
      </c>
      <c r="C152" s="21" t="n">
        <f aca="false">C149/C151</f>
        <v>9.73636143872244</v>
      </c>
      <c r="D152" s="21" t="n">
        <f aca="false">D149/D151</f>
        <v>27.8358346388262</v>
      </c>
      <c r="E152" s="21" t="n">
        <f aca="false">E149/E151</f>
        <v>47.6069732375739</v>
      </c>
      <c r="F152" s="21" t="n">
        <f aca="false">F149/F151</f>
        <v>29.5156626455316</v>
      </c>
      <c r="G152" s="21" t="n">
        <f aca="false">G149/G151</f>
        <v>35.7458886065518</v>
      </c>
      <c r="H152" s="26" t="n">
        <f aca="false">H149/H151</f>
        <v>38.6431087156282</v>
      </c>
      <c r="I152" s="27" t="n">
        <f aca="false">I149/I151</f>
        <v>39.0812778383033</v>
      </c>
      <c r="J152" s="27" t="n">
        <f aca="false">J149/J151</f>
        <v>36.7965262108332</v>
      </c>
    </row>
    <row r="153" customFormat="false" ht="17.15" hidden="false" customHeight="false" outlineLevel="0" collapsed="false">
      <c r="A153" s="0" t="s">
        <v>478</v>
      </c>
      <c r="B153" s="0" t="s">
        <v>108</v>
      </c>
      <c r="D153" s="17" t="n">
        <f aca="false">D152/C152-1</f>
        <v>1.85895658393704</v>
      </c>
      <c r="E153" s="17" t="n">
        <f aca="false">E152/D152-1</f>
        <v>0.710276478333808</v>
      </c>
      <c r="F153" s="17" t="n">
        <f aca="false">F152/E152-1</f>
        <v>-0.380013879516367</v>
      </c>
      <c r="G153" s="17" t="n">
        <f aca="false">G152/F152-1</f>
        <v>0.211082029085445</v>
      </c>
      <c r="H153" s="28" t="n">
        <f aca="false">H152/G152-1</f>
        <v>0.0810504430583752</v>
      </c>
      <c r="I153" s="23" t="n">
        <f aca="false">I152/H152-1</f>
        <v>0.0113388683581208</v>
      </c>
      <c r="J153" s="23" t="n">
        <f aca="false">J152/I152-1</f>
        <v>-0.0584615384615385</v>
      </c>
    </row>
    <row r="155" customFormat="false" ht="17.15" hidden="false" customHeight="false" outlineLevel="0" collapsed="false">
      <c r="A155" s="1" t="s">
        <v>481</v>
      </c>
    </row>
    <row r="156" customFormat="false" ht="15" hidden="false" customHeight="false" outlineLevel="0" collapsed="false">
      <c r="A156" s="5" t="s">
        <v>23</v>
      </c>
      <c r="B156" s="5" t="s">
        <v>24</v>
      </c>
      <c r="C156" s="15" t="s">
        <v>372</v>
      </c>
      <c r="D156" s="15" t="s">
        <v>482</v>
      </c>
      <c r="E156" s="15" t="s">
        <v>435</v>
      </c>
      <c r="F156" s="15" t="s">
        <v>436</v>
      </c>
      <c r="G156" s="15" t="s">
        <v>437</v>
      </c>
      <c r="H156" s="15" t="s">
        <v>483</v>
      </c>
      <c r="I156" s="15" t="s">
        <v>484</v>
      </c>
      <c r="J156" s="15" t="s">
        <v>485</v>
      </c>
      <c r="K156" s="5" t="s">
        <v>378</v>
      </c>
    </row>
    <row r="157" customFormat="false" ht="17.15" hidden="false" customHeight="false" outlineLevel="0" collapsed="false">
      <c r="A157" s="4" t="s">
        <v>486</v>
      </c>
      <c r="B157" s="0" t="s">
        <v>154</v>
      </c>
      <c r="C157" s="21" t="n">
        <f aca="false">C12+C5*(fcf_da-fcf_capex)</f>
        <v>8.85648</v>
      </c>
      <c r="D157" s="21" t="n">
        <f aca="false">D12+D5*(fcf_da-fcf_capex)</f>
        <v>26.912861104603</v>
      </c>
      <c r="E157" s="21" t="n">
        <f aca="false">E12+E5*(fcf_da-fcf_capex)</f>
        <v>46.5416513991131</v>
      </c>
      <c r="F157" s="21" t="n">
        <f aca="false">F12+F5*(fcf_da-fcf_capex)</f>
        <v>47.9867306081774</v>
      </c>
      <c r="G157" s="21" t="n">
        <f aca="false">G12+G5*(fcf_da-fcf_capex)</f>
        <v>57.8754833375425</v>
      </c>
      <c r="H157" s="21" t="n">
        <f aca="false">H12+H5*(fcf_da-fcf_capex)</f>
        <v>67.9040055125094</v>
      </c>
      <c r="I157" s="21" t="n">
        <f aca="false">I12+I5*(fcf_da-fcf_capex)</f>
        <v>75.8242456604832</v>
      </c>
      <c r="J157" s="21" t="n">
        <f aca="false">J12+J5*(fcf_da-fcf_capex)</f>
        <v>80.3737004001122</v>
      </c>
      <c r="K157" s="8" t="s">
        <v>487</v>
      </c>
    </row>
    <row r="158" customFormat="false" ht="17.15" hidden="false" customHeight="false" outlineLevel="0" collapsed="false">
      <c r="A158" s="4" t="s">
        <v>488</v>
      </c>
      <c r="B158" s="0" t="s">
        <v>154</v>
      </c>
      <c r="C158" s="21" t="n">
        <f aca="false">C24+C17*(fcf_da-fcf_capex)</f>
        <v>8.85648</v>
      </c>
      <c r="D158" s="21" t="n">
        <f aca="false">D24+D17*(fcf_da-fcf_capex)</f>
        <v>26.912861104603</v>
      </c>
      <c r="E158" s="21" t="n">
        <f aca="false">E24+E17*(fcf_da-fcf_capex)</f>
        <v>47.2659491636597</v>
      </c>
      <c r="F158" s="21" t="n">
        <f aca="false">F24+F17*(fcf_da-fcf_capex)</f>
        <v>39.2794034707771</v>
      </c>
      <c r="G158" s="21" t="n">
        <f aca="false">G24+G17*(fcf_da-fcf_capex)</f>
        <v>50.3695905775252</v>
      </c>
      <c r="H158" s="21" t="n">
        <f aca="false">H24+H17*(fcf_da-fcf_capex)</f>
        <v>58.7803041643655</v>
      </c>
      <c r="I158" s="21" t="n">
        <f aca="false">I24+I17*(fcf_da-fcf_capex)</f>
        <v>63.5436973072289</v>
      </c>
      <c r="J158" s="21" t="n">
        <f aca="false">J24+J17*(fcf_da-fcf_capex)</f>
        <v>63.2408790711892</v>
      </c>
    </row>
    <row r="159" customFormat="false" ht="17.15" hidden="false" customHeight="false" outlineLevel="0" collapsed="false">
      <c r="A159" s="4" t="s">
        <v>489</v>
      </c>
      <c r="B159" s="0" t="s">
        <v>154</v>
      </c>
      <c r="C159" s="21" t="n">
        <f aca="false">C36+C29*(fcf_da-fcf_capex)</f>
        <v>8.85648</v>
      </c>
      <c r="D159" s="21" t="n">
        <f aca="false">D36+D29*(fcf_da-fcf_capex)</f>
        <v>26.912861104603</v>
      </c>
      <c r="E159" s="21" t="n">
        <f aca="false">E36+E29*(fcf_da-fcf_capex)</f>
        <v>47.6280980459331</v>
      </c>
      <c r="F159" s="21" t="n">
        <f aca="false">F36+F29*(fcf_da-fcf_capex)</f>
        <v>29.1020041421309</v>
      </c>
      <c r="G159" s="21" t="n">
        <f aca="false">G36+G29*(fcf_da-fcf_capex)</f>
        <v>35.1524626227145</v>
      </c>
      <c r="H159" s="21" t="n">
        <f aca="false">H36+H29*(fcf_da-fcf_capex)</f>
        <v>37.4646935176982</v>
      </c>
      <c r="I159" s="21" t="n">
        <f aca="false">I36+I29*(fcf_da-fcf_capex)</f>
        <v>37.2629859144094</v>
      </c>
      <c r="J159" s="21" t="n">
        <f aca="false">J36+J29*(fcf_da-fcf_capex)</f>
        <v>34.3963319848737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490</v>
      </c>
    </row>
    <row r="2" customFormat="false" ht="17.15" hidden="false" customHeight="false" outlineLevel="0" collapsed="false">
      <c r="A2" s="4" t="s">
        <v>491</v>
      </c>
    </row>
    <row r="4" customFormat="false" ht="17.15" hidden="false" customHeight="false" outlineLevel="0" collapsed="false">
      <c r="A4" s="6" t="s">
        <v>492</v>
      </c>
    </row>
    <row r="5" customFormat="false" ht="17.15" hidden="false" customHeight="false" outlineLevel="0" collapsed="false">
      <c r="A5" s="6" t="s">
        <v>493</v>
      </c>
    </row>
    <row r="6" customFormat="false" ht="17.15" hidden="false" customHeight="false" outlineLevel="0" collapsed="false">
      <c r="A6" s="5" t="s">
        <v>23</v>
      </c>
      <c r="B6" s="15" t="s">
        <v>494</v>
      </c>
      <c r="C6" s="15" t="s">
        <v>495</v>
      </c>
      <c r="D6" s="15" t="s">
        <v>496</v>
      </c>
      <c r="E6" s="5" t="s">
        <v>378</v>
      </c>
    </row>
    <row r="7" customFormat="false" ht="17.15" hidden="false" customHeight="false" outlineLevel="0" collapsed="false">
      <c r="A7" s="4" t="s">
        <v>497</v>
      </c>
      <c r="E7" s="0" t="s">
        <v>498</v>
      </c>
    </row>
    <row r="8" customFormat="false" ht="15" hidden="false" customHeight="false" outlineLevel="0" collapsed="false">
      <c r="A8" s="0" t="s">
        <v>499</v>
      </c>
      <c r="B8" s="9" t="n">
        <f aca="false">PL!E13</f>
        <v>46.5262614308803</v>
      </c>
      <c r="C8" s="9" t="n">
        <f aca="false">PL!E25</f>
        <v>47.246735968676</v>
      </c>
      <c r="D8" s="9" t="n">
        <f aca="false">PL!E37</f>
        <v>47.6069732375739</v>
      </c>
    </row>
    <row r="9" customFormat="false" ht="15" hidden="false" customHeight="false" outlineLevel="0" collapsed="false">
      <c r="A9" s="0" t="s">
        <v>500</v>
      </c>
      <c r="B9" s="9" t="n">
        <f aca="false">PL!F13</f>
        <v>48.1569891168757</v>
      </c>
      <c r="C9" s="9" t="n">
        <f aca="false">PL!F25</f>
        <v>39.5493479728645</v>
      </c>
      <c r="D9" s="9" t="n">
        <f aca="false">PL!F37</f>
        <v>29.5156626455316</v>
      </c>
    </row>
    <row r="10" customFormat="false" ht="15" hidden="false" customHeight="false" outlineLevel="0" collapsed="false">
      <c r="A10" s="0" t="s">
        <v>501</v>
      </c>
      <c r="B10" s="9" t="n">
        <f aca="false">PL!G13</f>
        <v>58.2577018398106</v>
      </c>
      <c r="C10" s="9" t="n">
        <f aca="false">PL!G25</f>
        <v>50.8420766939681</v>
      </c>
      <c r="D10" s="9" t="n">
        <f aca="false">PL!G37</f>
        <v>35.7458886065518</v>
      </c>
    </row>
    <row r="11" customFormat="false" ht="15" hidden="false" customHeight="false" outlineLevel="0" collapsed="false">
      <c r="A11" s="0" t="s">
        <v>502</v>
      </c>
      <c r="B11" s="9" t="n">
        <f aca="false">PL!H13</f>
        <v>68.3524539018494</v>
      </c>
      <c r="C11" s="9" t="n">
        <f aca="false">PL!H25</f>
        <v>59.7208152222794</v>
      </c>
      <c r="D11" s="9" t="n">
        <f aca="false">PL!H37</f>
        <v>38.6431087156282</v>
      </c>
    </row>
    <row r="12" customFormat="false" ht="15" hidden="false" customHeight="false" outlineLevel="0" collapsed="false">
      <c r="A12" s="0" t="s">
        <v>503</v>
      </c>
      <c r="B12" s="9" t="n">
        <f aca="false">PL!I13</f>
        <v>76.3250005214479</v>
      </c>
      <c r="C12" s="9" t="n">
        <f aca="false">PL!I25</f>
        <v>65.0173017984256</v>
      </c>
      <c r="D12" s="9" t="n">
        <f aca="false">PL!I37</f>
        <v>39.0812778383033</v>
      </c>
    </row>
    <row r="13" customFormat="false" ht="15" hidden="false" customHeight="false" outlineLevel="0" collapsed="false">
      <c r="A13" s="0" t="s">
        <v>504</v>
      </c>
      <c r="B13" s="9" t="n">
        <f aca="false">PL!J13</f>
        <v>80.9045005527347</v>
      </c>
      <c r="C13" s="9" t="n">
        <f aca="false">PL!J25</f>
        <v>65.2030655178496</v>
      </c>
      <c r="D13" s="9" t="n">
        <f aca="false">PL!J37</f>
        <v>36.7965262108332</v>
      </c>
    </row>
    <row r="14" customFormat="false" ht="17.15" hidden="false" customHeight="false" outlineLevel="0" collapsed="false">
      <c r="A14" s="4" t="s">
        <v>505</v>
      </c>
    </row>
    <row r="15" customFormat="false" ht="17.15" hidden="false" customHeight="false" outlineLevel="0" collapsed="false">
      <c r="A15" s="4" t="s">
        <v>506</v>
      </c>
      <c r="B15" s="17" t="n">
        <f aca="false">IF(tp_roe&lt;=tp_g,0.8,MIN(tp_g/tp_roe,0.8))</f>
        <v>0.130861504907306</v>
      </c>
      <c r="E15" s="8" t="s">
        <v>507</v>
      </c>
    </row>
    <row r="16" customFormat="false" ht="15" hidden="false" customHeight="false" outlineLevel="0" collapsed="false">
      <c r="A16" s="0" t="s">
        <v>499</v>
      </c>
      <c r="B16" s="9" t="n">
        <f aca="false">B8*(1-$B$15)</f>
        <v>40.4377648423246</v>
      </c>
      <c r="C16" s="9" t="n">
        <f aca="false">C8*(1-$B$15)</f>
        <v>41.0639569978569</v>
      </c>
      <c r="D16" s="9" t="n">
        <f aca="false">D8*(1-$B$15)</f>
        <v>41.3770530756231</v>
      </c>
    </row>
    <row r="17" customFormat="false" ht="15" hidden="false" customHeight="false" outlineLevel="0" collapsed="false">
      <c r="A17" s="0" t="s">
        <v>500</v>
      </c>
      <c r="B17" s="9" t="n">
        <f aca="false">B9*(1-$B$15)</f>
        <v>41.8550930492366</v>
      </c>
      <c r="C17" s="9" t="n">
        <f aca="false">C9*(1-$B$15)</f>
        <v>34.3738607790327</v>
      </c>
      <c r="D17" s="9" t="n">
        <f aca="false">D9*(1-$B$15)</f>
        <v>25.6531986134009</v>
      </c>
    </row>
    <row r="18" customFormat="false" ht="15" hidden="false" customHeight="false" outlineLevel="0" collapsed="false">
      <c r="A18" s="0" t="s">
        <v>501</v>
      </c>
      <c r="B18" s="9" t="n">
        <f aca="false">B10*(1-$B$15)</f>
        <v>50.6340113046118</v>
      </c>
      <c r="C18" s="9" t="n">
        <f aca="false">C10*(1-$B$15)</f>
        <v>44.1888060251828</v>
      </c>
      <c r="D18" s="9" t="n">
        <f aca="false">D10*(1-$B$15)</f>
        <v>31.0681278292495</v>
      </c>
    </row>
    <row r="19" customFormat="false" ht="15" hidden="false" customHeight="false" outlineLevel="0" collapsed="false">
      <c r="A19" s="0" t="s">
        <v>502</v>
      </c>
      <c r="B19" s="9" t="n">
        <f aca="false">B11*(1-$B$15)</f>
        <v>59.4077489201461</v>
      </c>
      <c r="C19" s="9" t="n">
        <f aca="false">C11*(1-$B$15)</f>
        <v>51.9056594680008</v>
      </c>
      <c r="D19" s="9" t="n">
        <f aca="false">D11*(1-$B$15)</f>
        <v>33.5862133548044</v>
      </c>
    </row>
    <row r="20" customFormat="false" ht="15" hidden="false" customHeight="false" outlineLevel="0" collapsed="false">
      <c r="A20" s="0" t="s">
        <v>503</v>
      </c>
      <c r="B20" s="9" t="n">
        <f aca="false">B12*(1-$B$15)</f>
        <v>66.3369960911602</v>
      </c>
      <c r="C20" s="9" t="n">
        <f aca="false">C12*(1-$B$15)</f>
        <v>56.5090398400711</v>
      </c>
      <c r="D20" s="9" t="n">
        <f aca="false">D12*(1-$B$15)</f>
        <v>33.9670430066823</v>
      </c>
    </row>
    <row r="21" customFormat="false" ht="15" hidden="false" customHeight="false" outlineLevel="0" collapsed="false">
      <c r="A21" s="0" t="s">
        <v>504</v>
      </c>
      <c r="B21" s="9" t="n">
        <f aca="false">B13*(1-$B$15)</f>
        <v>70.3172158566298</v>
      </c>
      <c r="C21" s="9" t="n">
        <f aca="false">C13*(1-$B$15)</f>
        <v>56.6704942396141</v>
      </c>
      <c r="D21" s="9" t="n">
        <f aca="false">D13*(1-$B$15)</f>
        <v>31.9812774155224</v>
      </c>
    </row>
    <row r="22" customFormat="false" ht="17.15" hidden="false" customHeight="false" outlineLevel="0" collapsed="false">
      <c r="A22" s="0" t="s">
        <v>508</v>
      </c>
      <c r="B22" s="21" t="n">
        <f aca="false">SUMPRODUCT(B16:B21,1/(1+tp_r)^{1;2;3;4;5;6})+B21*(1+tp_g)/(tp_r-tp_g)/(1+tp_r)^6</f>
        <v>918.85199815374</v>
      </c>
      <c r="C22" s="21" t="n">
        <f aca="false">SUMPRODUCT(C16:C21,1/(1+tp_r)^{1;2;3;4;5;6})+C21*(1+tp_g)/(tp_r-tp_g)/(1+tp_r)^6</f>
        <v>755.943959372931</v>
      </c>
      <c r="D22" s="21" t="n">
        <f aca="false">SUMPRODUCT(D16:D21,1/(1+tp_r)^{1;2;3;4;5;6})+D21*(1+tp_g)/(tp_r-tp_g)/(1+tp_r)^6</f>
        <v>457.15341934637</v>
      </c>
      <c r="E22" s="8" t="s">
        <v>509</v>
      </c>
    </row>
    <row r="23" customFormat="false" ht="17.15" hidden="false" customHeight="false" outlineLevel="0" collapsed="false">
      <c r="A23" s="0" t="s">
        <v>510</v>
      </c>
      <c r="B23" s="21" t="n">
        <f aca="false">B22*(1+tp_r)</f>
        <v>1010.73719796911</v>
      </c>
      <c r="C23" s="21" t="n">
        <f aca="false">C22*(1+tp_r)</f>
        <v>831.538355310224</v>
      </c>
      <c r="D23" s="21" t="n">
        <f aca="false">D22*(1+tp_r)</f>
        <v>502.868761281007</v>
      </c>
    </row>
    <row r="24" customFormat="false" ht="17.15" hidden="false" customHeight="false" outlineLevel="0" collapsed="false">
      <c r="A24" s="0" t="s">
        <v>511</v>
      </c>
      <c r="B24" s="31" t="n">
        <f aca="false">tp_wA*B23+tp_wB*C23+tp_wC*D23</f>
        <v>819.564089302048</v>
      </c>
      <c r="E24" s="8" t="s">
        <v>512</v>
      </c>
    </row>
    <row r="26" customFormat="false" ht="17.15" hidden="false" customHeight="false" outlineLevel="0" collapsed="false">
      <c r="A26" s="6" t="s">
        <v>513</v>
      </c>
    </row>
    <row r="27" customFormat="false" ht="17.15" hidden="false" customHeight="false" outlineLevel="0" collapsed="false">
      <c r="A27" s="5" t="s">
        <v>514</v>
      </c>
      <c r="B27" s="5" t="s">
        <v>515</v>
      </c>
      <c r="C27" s="5" t="s">
        <v>516</v>
      </c>
      <c r="D27" s="5" t="s">
        <v>517</v>
      </c>
      <c r="E27" s="5" t="s">
        <v>518</v>
      </c>
      <c r="F27" s="5" t="s">
        <v>28</v>
      </c>
    </row>
    <row r="28" customFormat="false" ht="17.15" hidden="false" customHeight="false" outlineLevel="0" collapsed="false">
      <c r="A28" s="4" t="s">
        <v>519</v>
      </c>
      <c r="B28" s="0" t="s">
        <v>520</v>
      </c>
      <c r="C28" s="32" t="n">
        <v>12.52</v>
      </c>
      <c r="D28" s="8" t="s">
        <v>521</v>
      </c>
      <c r="E28" s="8" t="s">
        <v>522</v>
      </c>
      <c r="F28" s="8" t="s">
        <v>170</v>
      </c>
    </row>
    <row r="29" customFormat="false" ht="17.15" hidden="false" customHeight="false" outlineLevel="0" collapsed="false">
      <c r="A29" s="4" t="s">
        <v>523</v>
      </c>
      <c r="B29" s="0" t="s">
        <v>524</v>
      </c>
      <c r="C29" s="32" t="n">
        <v>46.53</v>
      </c>
      <c r="D29" s="8" t="s">
        <v>525</v>
      </c>
      <c r="E29" s="4" t="s">
        <v>526</v>
      </c>
      <c r="F29" s="8" t="s">
        <v>170</v>
      </c>
    </row>
    <row r="30" customFormat="false" ht="17.15" hidden="false" customHeight="false" outlineLevel="0" collapsed="false">
      <c r="A30" s="4" t="s">
        <v>527</v>
      </c>
      <c r="B30" s="0" t="s">
        <v>528</v>
      </c>
      <c r="C30" s="32" t="n">
        <v>77.09</v>
      </c>
      <c r="D30" s="8" t="s">
        <v>529</v>
      </c>
      <c r="E30" s="4" t="s">
        <v>526</v>
      </c>
      <c r="F30" s="8" t="s">
        <v>170</v>
      </c>
    </row>
    <row r="31" customFormat="false" ht="17.15" hidden="false" customHeight="false" outlineLevel="0" collapsed="false">
      <c r="A31" s="4" t="s">
        <v>530</v>
      </c>
      <c r="B31" s="0" t="s">
        <v>531</v>
      </c>
      <c r="C31" s="32" t="n">
        <v>45.08</v>
      </c>
      <c r="D31" s="8" t="s">
        <v>532</v>
      </c>
      <c r="E31" s="4" t="s">
        <v>526</v>
      </c>
      <c r="F31" s="8" t="s">
        <v>170</v>
      </c>
    </row>
    <row r="32" customFormat="false" ht="17.15" hidden="false" customHeight="false" outlineLevel="0" collapsed="false">
      <c r="A32" s="4" t="s">
        <v>533</v>
      </c>
      <c r="B32" s="0" t="s">
        <v>534</v>
      </c>
      <c r="C32" s="32" t="n">
        <v>31.74</v>
      </c>
      <c r="D32" s="8" t="s">
        <v>521</v>
      </c>
      <c r="E32" s="4" t="s">
        <v>40</v>
      </c>
      <c r="F32" s="8" t="s">
        <v>170</v>
      </c>
    </row>
    <row r="33" customFormat="false" ht="17.15" hidden="false" customHeight="false" outlineLevel="0" collapsed="false">
      <c r="A33" s="4" t="s">
        <v>535</v>
      </c>
      <c r="B33" s="33" t="n">
        <f aca="false">MEDIAN(C28:C32)</f>
        <v>45.08</v>
      </c>
      <c r="E33" s="8" t="s">
        <v>536</v>
      </c>
    </row>
    <row r="34" customFormat="false" ht="17.15" hidden="false" customHeight="false" outlineLevel="0" collapsed="false">
      <c r="A34" s="0" t="s">
        <v>537</v>
      </c>
      <c r="B34" s="9" t="n">
        <f aca="false">tp_wA*(2/12*B8+10/12*B9)+tp_wB*(2/12*C8+10/12*C9)+tp_wC*(2/12*D8+10/12*D9)</f>
        <v>41.2878595523539</v>
      </c>
      <c r="E34" s="4" t="s">
        <v>538</v>
      </c>
    </row>
    <row r="35" customFormat="false" ht="17.15" hidden="false" customHeight="false" outlineLevel="0" collapsed="false">
      <c r="A35" s="0" t="s">
        <v>539</v>
      </c>
      <c r="B35" s="31" t="n">
        <f aca="false">B33*B34</f>
        <v>1861.25670862011</v>
      </c>
      <c r="E35" s="4" t="s">
        <v>540</v>
      </c>
    </row>
    <row r="37" customFormat="false" ht="17.15" hidden="false" customHeight="false" outlineLevel="0" collapsed="false">
      <c r="A37" s="6" t="s">
        <v>541</v>
      </c>
    </row>
    <row r="38" customFormat="false" ht="15" hidden="false" customHeight="false" outlineLevel="0" collapsed="false">
      <c r="A38" s="5" t="s">
        <v>23</v>
      </c>
      <c r="B38" s="5" t="s">
        <v>542</v>
      </c>
      <c r="C38" s="5"/>
      <c r="D38" s="5"/>
      <c r="E38" s="5" t="s">
        <v>378</v>
      </c>
    </row>
    <row r="39" customFormat="false" ht="17.15" hidden="false" customHeight="false" outlineLevel="0" collapsed="false">
      <c r="A39" s="4" t="s">
        <v>543</v>
      </c>
      <c r="B39" s="31" t="n">
        <f aca="false">tp_w_dcf*B24+(1-tp_w_dcf)*tp_comp_adj</f>
        <v>1224.96669455556</v>
      </c>
      <c r="E39" s="8" t="s">
        <v>544</v>
      </c>
    </row>
    <row r="40" customFormat="false" ht="17.15" hidden="false" customHeight="false" outlineLevel="0" collapsed="false">
      <c r="A40" s="0" t="s">
        <v>545</v>
      </c>
      <c r="B40" s="21" t="n">
        <f aca="false">B35</f>
        <v>1861.25670862011</v>
      </c>
    </row>
    <row r="41" customFormat="false" ht="17.15" hidden="false" customHeight="false" outlineLevel="0" collapsed="false">
      <c r="A41" s="4" t="s">
        <v>546</v>
      </c>
      <c r="B41" s="21" t="n">
        <f aca="false">cons_tp</f>
        <v>1321</v>
      </c>
      <c r="E41" s="8" t="s">
        <v>547</v>
      </c>
    </row>
    <row r="42" customFormat="false" ht="17.15" hidden="false" customHeight="false" outlineLevel="0" collapsed="false">
      <c r="A42" s="4" t="s">
        <v>548</v>
      </c>
      <c r="B42" s="17" t="n">
        <f aca="false">B39/px-1</f>
        <v>0.999521235583564</v>
      </c>
      <c r="E42" s="4" t="s">
        <v>549</v>
      </c>
    </row>
    <row r="43" customFormat="false" ht="17.15" hidden="false" customHeight="false" outlineLevel="0" collapsed="false">
      <c r="A43" s="4" t="s">
        <v>550</v>
      </c>
      <c r="B43" s="17" t="n">
        <f aca="false">B40/px-1</f>
        <v>2.03814163299237</v>
      </c>
    </row>
    <row r="44" customFormat="false" ht="17.15" hidden="false" customHeight="false" outlineLevel="0" collapsed="false">
      <c r="A44" s="4" t="s">
        <v>551</v>
      </c>
      <c r="B44" s="17" t="n">
        <f aca="false">B34/cons_feps-1</f>
        <v>-0.450155019944681</v>
      </c>
      <c r="E44" s="4" t="s">
        <v>552</v>
      </c>
    </row>
    <row r="45" customFormat="false" ht="17.15" hidden="false" customHeight="false" outlineLevel="0" collapsed="false">
      <c r="A45" s="4" t="s">
        <v>553</v>
      </c>
      <c r="B45" s="17" t="n">
        <f aca="false">(cons_tp/cons_feps)/B33-1</f>
        <v>-0.60975548655426</v>
      </c>
      <c r="E45" s="0" t="str">
        <f aca="false">"共識目標價隱含 "&amp;TEXT(cons_tp/cons_feps,"0.0")&amp;"x，同業中位數 "&amp;TEXT(B33,"0.0")&amp;"x"</f>
        <v>共識目標價隱含 17.6x，同業中位數 45.1x</v>
      </c>
    </row>
    <row r="46" customFormat="false" ht="17.15" hidden="false" customHeight="false" outlineLevel="0" collapsed="false">
      <c r="A46" s="4" t="s">
        <v>554</v>
      </c>
      <c r="B46" s="34" t="str">
        <f aca="false">TEXT(D23,"#,##0.00")&amp;"～"&amp;TEXT(B23,"#,##0.00")</f>
        <v>502.87～1,010.74</v>
      </c>
      <c r="E46" s="8" t="s">
        <v>555</v>
      </c>
    </row>
    <row r="47" customFormat="false" ht="17.15" hidden="false" customHeight="false" outlineLevel="0" collapsed="false">
      <c r="A47" s="4" t="s">
        <v>556</v>
      </c>
      <c r="B47" s="35" t="n">
        <f aca="false">IF(px/B9&gt;MAX($B$102:$B$111),1,IF(px/B9&lt;MIN($B$102:$B$111),0,PERCENTRANK($B$102:$B$111,px/B9)))</f>
        <v>0</v>
      </c>
      <c r="C47" s="35" t="n">
        <f aca="false">IF(px/C9&gt;MAX($B$102:$B$111),1,IF(px/C9&lt;MIN($B$102:$B$111),0,PERCENTRANK($B$102:$B$111,px/C9)))</f>
        <v>0</v>
      </c>
      <c r="D47" s="35" t="n">
        <f aca="false">IF(px/D9&gt;MAX($B$102:$B$111),1,IF(px/D9&lt;MIN($B$102:$B$111),0,PERCENTRANK($B$102:$B$111,px/D9)))</f>
        <v>0</v>
      </c>
      <c r="E47" s="4" t="s">
        <v>557</v>
      </c>
    </row>
    <row r="48" customFormat="false" ht="17.15" hidden="false" customHeight="false" outlineLevel="0" collapsed="false">
      <c r="A48" s="4" t="s">
        <v>558</v>
      </c>
      <c r="B48" s="0" t="s">
        <v>559</v>
      </c>
    </row>
    <row r="49" customFormat="false" ht="17.15" hidden="false" customHeight="false" outlineLevel="0" collapsed="false">
      <c r="A49" s="4" t="s">
        <v>560</v>
      </c>
      <c r="B49" s="34" t="str">
        <f aca="false">IF(B42&gt;0.5,"大於 50%",IF(B42&gt;0.25,"25%–50%",IF(B42&gt;=0,"0%–25%",IF(B42&gt;=-0.25,"0%～−25%",IF(B42&gt;=-0.5,"−25%～−50%","小於 −50%")))))</f>
        <v>大於 50%</v>
      </c>
      <c r="E49" s="4" t="s">
        <v>561</v>
      </c>
    </row>
    <row r="50" customFormat="false" ht="17.15" hidden="false" customHeight="false" outlineLevel="0" collapsed="false">
      <c r="A50" s="4" t="s">
        <v>562</v>
      </c>
      <c r="B50" s="34" t="str">
        <f aca="false">IF(B42&gt;0.5,"強力買進",IF(B42&gt;0.25,"買進",IF(B42&gt;=-0.25,"中立",IF(B42&gt;=-0.5,"放空","強力放空"))))</f>
        <v>強力買進</v>
      </c>
      <c r="E50" s="4" t="s">
        <v>563</v>
      </c>
    </row>
    <row r="51" customFormat="false" ht="17.15" hidden="false" customHeight="false" outlineLevel="0" collapsed="false">
      <c r="A51" s="6" t="s">
        <v>564</v>
      </c>
    </row>
    <row r="52" customFormat="false" ht="15" hidden="false" customHeight="false" outlineLevel="0" collapsed="false">
      <c r="A52" s="5" t="s">
        <v>23</v>
      </c>
      <c r="B52" s="15" t="s">
        <v>565</v>
      </c>
      <c r="C52" s="15" t="s">
        <v>566</v>
      </c>
      <c r="D52" s="15" t="s">
        <v>567</v>
      </c>
      <c r="E52" s="5" t="s">
        <v>378</v>
      </c>
    </row>
    <row r="53" customFormat="false" ht="17.15" hidden="false" customHeight="false" outlineLevel="0" collapsed="false">
      <c r="A53" s="4" t="s">
        <v>568</v>
      </c>
      <c r="B53" s="9" t="n">
        <f aca="false">px</f>
        <v>612.63</v>
      </c>
    </row>
    <row r="54" customFormat="false" ht="17.15" hidden="false" customHeight="false" outlineLevel="0" collapsed="false">
      <c r="A54" s="4" t="s">
        <v>569</v>
      </c>
      <c r="B54" s="33" t="n">
        <f aca="false">px/PL!D13</f>
        <v>22.0086808227222</v>
      </c>
      <c r="C54" s="33" t="n">
        <f aca="false">px/PL!D25</f>
        <v>22.0086808227222</v>
      </c>
      <c r="D54" s="33" t="n">
        <f aca="false">px/PL!D37</f>
        <v>22.0086808227222</v>
      </c>
    </row>
    <row r="55" customFormat="false" ht="17.15" hidden="false" customHeight="false" outlineLevel="0" collapsed="false">
      <c r="A55" s="4" t="s">
        <v>570</v>
      </c>
      <c r="B55" s="33" t="n">
        <f aca="false">px/PL!E13</f>
        <v>13.1674022618414</v>
      </c>
      <c r="C55" s="33" t="n">
        <f aca="false">px/PL!E25</f>
        <v>12.9666100194978</v>
      </c>
      <c r="D55" s="33" t="n">
        <f aca="false">px/PL!E37</f>
        <v>12.8684929609531</v>
      </c>
      <c r="E55" s="8" t="s">
        <v>571</v>
      </c>
    </row>
    <row r="56" customFormat="false" ht="17.15" hidden="false" customHeight="false" outlineLevel="0" collapsed="false">
      <c r="A56" s="4" t="s">
        <v>572</v>
      </c>
      <c r="B56" s="33" t="n">
        <f aca="false">px/PL!F13</f>
        <v>12.7215179195104</v>
      </c>
      <c r="C56" s="33" t="n">
        <f aca="false">px/PL!F25</f>
        <v>15.4902680170691</v>
      </c>
      <c r="D56" s="33" t="n">
        <f aca="false">px/PL!F37</f>
        <v>20.7560984605828</v>
      </c>
    </row>
    <row r="57" customFormat="false" ht="17.15" hidden="false" customHeight="false" outlineLevel="0" collapsed="false">
      <c r="A57" s="4" t="s">
        <v>573</v>
      </c>
      <c r="B57" s="33" t="n">
        <f aca="false">px/PL!G13</f>
        <v>10.5158628070247</v>
      </c>
      <c r="C57" s="33" t="n">
        <f aca="false">px/PL!G25</f>
        <v>12.0496651560396</v>
      </c>
      <c r="D57" s="33" t="n">
        <f aca="false">px/PL!G37</f>
        <v>17.1384744898386</v>
      </c>
    </row>
    <row r="58" customFormat="false" ht="17.15" hidden="false" customHeight="false" outlineLevel="0" collapsed="false">
      <c r="A58" s="4" t="s">
        <v>574</v>
      </c>
      <c r="B58" s="33" t="n">
        <f aca="false">px/(cons_eps26*2/12+cons_eps27*10/12)</f>
        <v>12.1320879265958</v>
      </c>
    </row>
    <row r="59" customFormat="false" ht="17.15" hidden="false" customHeight="false" outlineLevel="0" collapsed="false">
      <c r="A59" s="4" t="s">
        <v>575</v>
      </c>
      <c r="B59" s="35" t="n">
        <f aca="false">px/px_hi-1</f>
        <v>-0.567620405397775</v>
      </c>
    </row>
    <row r="60" customFormat="false" ht="17.15" hidden="false" customHeight="false" outlineLevel="0" collapsed="false">
      <c r="A60" s="4" t="s">
        <v>576</v>
      </c>
      <c r="B60" s="33" t="n">
        <f aca="false">px/((a25_ni-h1_ni/3.417+h1_ni)/sh_post)</f>
        <v>35.2820291047311</v>
      </c>
      <c r="E60" s="8" t="s">
        <v>577</v>
      </c>
    </row>
    <row r="62" customFormat="false" ht="17.15" hidden="false" customHeight="false" outlineLevel="0" collapsed="false">
      <c r="A62" s="6" t="s">
        <v>578</v>
      </c>
    </row>
    <row r="63" customFormat="false" ht="17.15" hidden="false" customHeight="false" outlineLevel="0" collapsed="false">
      <c r="A63" s="5" t="s">
        <v>579</v>
      </c>
      <c r="B63" s="5" t="s">
        <v>580</v>
      </c>
      <c r="C63" s="15" t="s">
        <v>581</v>
      </c>
      <c r="D63" s="5" t="s">
        <v>582</v>
      </c>
      <c r="E63" s="5" t="s">
        <v>583</v>
      </c>
      <c r="F63" s="5" t="s">
        <v>378</v>
      </c>
    </row>
    <row r="64" customFormat="false" ht="17.15" hidden="false" customHeight="false" outlineLevel="0" collapsed="false">
      <c r="A64" s="0" t="s">
        <v>565</v>
      </c>
      <c r="B64" s="0" t="n">
        <f aca="false">INDEX({2026,2027,2028,2029},MATCH(MAX(PL!D75:G75),PL!D75:G75,0))</f>
        <v>2029</v>
      </c>
      <c r="C64" s="0" t="str">
        <f aca="false">IF(B64=2029,"中段",IF(2027&lt;B64,"中段",IF(2027=B64,"見頂","谷底")))</f>
        <v>中段</v>
      </c>
      <c r="D64" s="33" t="n">
        <f aca="false">IF(C64="見頂",pe_peak,IF(C64="谷底",pe_trough,pe_mid))</f>
        <v>52.75</v>
      </c>
      <c r="E64" s="0" t="str">
        <f aca="false">IF(B64=2029,"是：營收到觀測期末仍在增加","否")</f>
        <v>是：營收到觀測期末仍在增加</v>
      </c>
      <c r="F64" s="8" t="s">
        <v>584</v>
      </c>
    </row>
    <row r="65" customFormat="false" ht="15" hidden="false" customHeight="false" outlineLevel="0" collapsed="false">
      <c r="A65" s="0" t="s">
        <v>566</v>
      </c>
      <c r="B65" s="0" t="n">
        <f aca="false">INDEX({2026,2027,2028,2029},MATCH(MAX(PL!D107:G107),PL!D107:G107,0))</f>
        <v>2029</v>
      </c>
      <c r="C65" s="0" t="str">
        <f aca="false">IF(B65=2029,"中段",IF(2027&lt;B65,"中段",IF(2027=B65,"見頂","谷底")))</f>
        <v>中段</v>
      </c>
      <c r="D65" s="33" t="n">
        <f aca="false">IF(C65="見頂",pe_peak,IF(C65="谷底",pe_trough,pe_mid))</f>
        <v>52.75</v>
      </c>
      <c r="E65" s="0" t="str">
        <f aca="false">IF(B65=2029,"是：營收到觀測期末仍在增加","否")</f>
        <v>是：營收到觀測期末仍在增加</v>
      </c>
      <c r="F65" s="4" t="s">
        <v>40</v>
      </c>
    </row>
    <row r="66" customFormat="false" ht="15" hidden="false" customHeight="false" outlineLevel="0" collapsed="false">
      <c r="A66" s="0" t="s">
        <v>567</v>
      </c>
      <c r="B66" s="0" t="n">
        <f aca="false">INDEX({2026,2027,2028,2029},MATCH(MAX(PL!D139:G139),PL!D139:G139,0))</f>
        <v>2027</v>
      </c>
      <c r="C66" s="0" t="str">
        <f aca="false">IF(B66=2029,"中段",IF(2027&lt;B66,"中段",IF(2027=B66,"見頂","谷底")))</f>
        <v>見頂</v>
      </c>
      <c r="D66" s="33" t="n">
        <f aca="false">IF(C66="見頂",pe_peak,IF(C66="谷底",pe_trough,pe_mid))</f>
        <v>28.68</v>
      </c>
      <c r="E66" s="0" t="str">
        <f aca="false">IF(B66=2029,"是：營收到觀測期末仍在增加","否")</f>
        <v>否</v>
      </c>
      <c r="F66" s="4" t="s">
        <v>40</v>
      </c>
    </row>
    <row r="68" customFormat="false" ht="17.15" hidden="false" customHeight="false" outlineLevel="0" collapsed="false">
      <c r="A68" s="6" t="s">
        <v>585</v>
      </c>
    </row>
    <row r="69" customFormat="false" ht="17.15" hidden="false" customHeight="false" outlineLevel="0" collapsed="false">
      <c r="A69" s="5" t="s">
        <v>579</v>
      </c>
      <c r="B69" s="15" t="s">
        <v>586</v>
      </c>
      <c r="C69" s="5" t="s">
        <v>587</v>
      </c>
      <c r="D69" s="5" t="s">
        <v>588</v>
      </c>
      <c r="E69" s="5" t="s">
        <v>589</v>
      </c>
      <c r="F69" s="5" t="s">
        <v>590</v>
      </c>
    </row>
    <row r="70" customFormat="false" ht="15" hidden="false" customHeight="false" outlineLevel="0" collapsed="false">
      <c r="A70" s="10" t="s">
        <v>565</v>
      </c>
      <c r="B70" s="36" t="n">
        <f aca="false">PL!E13</f>
        <v>46.5262614308803</v>
      </c>
      <c r="C70" s="37" t="n">
        <f aca="false">D64</f>
        <v>52.75</v>
      </c>
      <c r="D70" s="38" t="n">
        <f aca="false">B70*C70</f>
        <v>2454.26029047894</v>
      </c>
      <c r="E70" s="39" t="n">
        <f aca="false">D70/px-1</f>
        <v>3.00610530088134</v>
      </c>
      <c r="F70" s="37" t="n">
        <f aca="false">px/B70</f>
        <v>13.1674022618414</v>
      </c>
    </row>
    <row r="71" customFormat="false" ht="15" hidden="false" customHeight="false" outlineLevel="0" collapsed="false">
      <c r="A71" s="10" t="s">
        <v>566</v>
      </c>
      <c r="B71" s="36" t="n">
        <f aca="false">PL!E25</f>
        <v>47.246735968676</v>
      </c>
      <c r="C71" s="37" t="n">
        <f aca="false">D65</f>
        <v>52.75</v>
      </c>
      <c r="D71" s="38" t="n">
        <f aca="false">B71*C71</f>
        <v>2492.26532234766</v>
      </c>
      <c r="E71" s="39" t="n">
        <f aca="false">D71/px-1</f>
        <v>3.06814116570795</v>
      </c>
      <c r="F71" s="37" t="n">
        <f aca="false">px/B71</f>
        <v>12.9666100194978</v>
      </c>
    </row>
    <row r="72" customFormat="false" ht="15" hidden="false" customHeight="false" outlineLevel="0" collapsed="false">
      <c r="A72" s="10" t="s">
        <v>567</v>
      </c>
      <c r="B72" s="36" t="n">
        <f aca="false">PL!E37</f>
        <v>47.6069732375739</v>
      </c>
      <c r="C72" s="37" t="n">
        <f aca="false">D66</f>
        <v>28.68</v>
      </c>
      <c r="D72" s="38" t="n">
        <f aca="false">B72*C72</f>
        <v>1365.36799245362</v>
      </c>
      <c r="E72" s="39" t="n">
        <f aca="false">D72/px-1</f>
        <v>1.22869920254251</v>
      </c>
      <c r="F72" s="37" t="n">
        <f aca="false">px/B72</f>
        <v>12.8684929609531</v>
      </c>
    </row>
    <row r="73" customFormat="false" ht="17.15" hidden="false" customHeight="false" outlineLevel="0" collapsed="false">
      <c r="A73" s="6" t="s">
        <v>591</v>
      </c>
    </row>
    <row r="74" customFormat="false" ht="17.15" hidden="false" customHeight="false" outlineLevel="0" collapsed="false">
      <c r="A74" s="5" t="s">
        <v>592</v>
      </c>
      <c r="B74" s="5" t="s">
        <v>593</v>
      </c>
      <c r="C74" s="5" t="s">
        <v>594</v>
      </c>
      <c r="D74" s="5" t="s">
        <v>595</v>
      </c>
      <c r="E74" s="5" t="s">
        <v>596</v>
      </c>
      <c r="F74" s="5" t="s">
        <v>597</v>
      </c>
    </row>
    <row r="75" customFormat="false" ht="15" hidden="false" customHeight="false" outlineLevel="0" collapsed="false">
      <c r="A75" s="32" t="n">
        <v>10</v>
      </c>
      <c r="B75" s="9" t="n">
        <f aca="false">px/A75</f>
        <v>61.263</v>
      </c>
      <c r="C75" s="9" t="n">
        <f aca="false">PL!F13</f>
        <v>48.1569891168757</v>
      </c>
      <c r="D75" s="35" t="n">
        <f aca="false">B75/C75-1</f>
        <v>0.272151791951036</v>
      </c>
      <c r="E75" s="9" t="n">
        <f aca="false">PL!F37</f>
        <v>29.5156626455316</v>
      </c>
      <c r="F75" s="35" t="n">
        <f aca="false">B75/E75-1</f>
        <v>1.07560984605828</v>
      </c>
    </row>
    <row r="76" customFormat="false" ht="15" hidden="false" customHeight="false" outlineLevel="0" collapsed="false">
      <c r="A76" s="32" t="n">
        <v>15</v>
      </c>
      <c r="B76" s="9" t="n">
        <f aca="false">px/A76</f>
        <v>40.842</v>
      </c>
      <c r="C76" s="9" t="n">
        <f aca="false">PL!F13</f>
        <v>48.1569891168757</v>
      </c>
      <c r="D76" s="35" t="n">
        <f aca="false">B76/C76-1</f>
        <v>-0.151898805365976</v>
      </c>
      <c r="E76" s="9" t="n">
        <f aca="false">PL!F37</f>
        <v>29.5156626455316</v>
      </c>
      <c r="F76" s="35" t="n">
        <f aca="false">B76/E76-1</f>
        <v>0.383739897372189</v>
      </c>
    </row>
    <row r="77" customFormat="false" ht="15" hidden="false" customHeight="false" outlineLevel="0" collapsed="false">
      <c r="A77" s="32" t="n">
        <v>20</v>
      </c>
      <c r="B77" s="9" t="n">
        <f aca="false">px/A77</f>
        <v>30.6315</v>
      </c>
      <c r="C77" s="9" t="n">
        <f aca="false">PL!F13</f>
        <v>48.1569891168757</v>
      </c>
      <c r="D77" s="35" t="n">
        <f aca="false">B77/C77-1</f>
        <v>-0.363924104024482</v>
      </c>
      <c r="E77" s="9" t="n">
        <f aca="false">PL!F37</f>
        <v>29.5156626455316</v>
      </c>
      <c r="F77" s="35" t="n">
        <f aca="false">B77/E77-1</f>
        <v>0.0378049230291417</v>
      </c>
    </row>
    <row r="78" customFormat="false" ht="15" hidden="false" customHeight="false" outlineLevel="0" collapsed="false">
      <c r="A78" s="33" t="n">
        <f aca="false">pe_peak</f>
        <v>28.68</v>
      </c>
      <c r="B78" s="9" t="n">
        <f aca="false">px/A78</f>
        <v>21.3608786610879</v>
      </c>
      <c r="C78" s="9" t="n">
        <f aca="false">PL!F13</f>
        <v>48.1569891168757</v>
      </c>
      <c r="D78" s="35" t="n">
        <f aca="false">B78/C78-1</f>
        <v>-0.556432429584716</v>
      </c>
      <c r="E78" s="9" t="n">
        <f aca="false">PL!F37</f>
        <v>29.5156626455316</v>
      </c>
      <c r="F78" s="35" t="n">
        <f aca="false">B78/E78-1</f>
        <v>-0.276286664554295</v>
      </c>
    </row>
    <row r="79" customFormat="false" ht="15" hidden="false" customHeight="false" outlineLevel="0" collapsed="false">
      <c r="A79" s="33" t="n">
        <f aca="false">pe_fair_andy</f>
        <v>30</v>
      </c>
      <c r="B79" s="9" t="n">
        <f aca="false">px/A79</f>
        <v>20.421</v>
      </c>
      <c r="C79" s="9" t="n">
        <f aca="false">PL!F13</f>
        <v>48.1569891168757</v>
      </c>
      <c r="D79" s="35" t="n">
        <f aca="false">B79/C79-1</f>
        <v>-0.575949402682988</v>
      </c>
      <c r="E79" s="9" t="n">
        <f aca="false">PL!F37</f>
        <v>29.5156626455316</v>
      </c>
      <c r="F79" s="35" t="n">
        <f aca="false">B79/E79-1</f>
        <v>-0.308130051313906</v>
      </c>
    </row>
    <row r="80" customFormat="false" ht="17.15" hidden="false" customHeight="false" outlineLevel="0" collapsed="false">
      <c r="A80" s="4" t="s">
        <v>598</v>
      </c>
    </row>
    <row r="82" customFormat="false" ht="17.15" hidden="false" customHeight="false" outlineLevel="0" collapsed="false">
      <c r="A82" s="6" t="s">
        <v>599</v>
      </c>
    </row>
    <row r="83" customFormat="false" ht="15" hidden="false" customHeight="false" outlineLevel="0" collapsed="false">
      <c r="A83" s="5" t="s">
        <v>579</v>
      </c>
      <c r="B83" s="15" t="s">
        <v>586</v>
      </c>
      <c r="C83" s="15" t="s">
        <v>600</v>
      </c>
      <c r="D83" s="5" t="s">
        <v>589</v>
      </c>
      <c r="E83" s="15" t="s">
        <v>601</v>
      </c>
      <c r="F83" s="15" t="s">
        <v>600</v>
      </c>
      <c r="G83" s="5" t="s">
        <v>589</v>
      </c>
    </row>
    <row r="84" customFormat="false" ht="15" hidden="false" customHeight="false" outlineLevel="0" collapsed="false">
      <c r="A84" s="0" t="s">
        <v>565</v>
      </c>
      <c r="B84" s="9" t="n">
        <f aca="false">PL!E13</f>
        <v>46.5262614308803</v>
      </c>
      <c r="C84" s="40" t="n">
        <f aca="false">B84*pe_fair_andy</f>
        <v>1395.78784292641</v>
      </c>
      <c r="D84" s="35" t="n">
        <f aca="false">C84/px-1</f>
        <v>1.27835372561972</v>
      </c>
      <c r="E84" s="9" t="n">
        <f aca="false">PL!F13</f>
        <v>48.1569891168757</v>
      </c>
      <c r="F84" s="40" t="n">
        <f aca="false">E84*pe_fair_andy</f>
        <v>1444.70967350627</v>
      </c>
      <c r="G84" s="35" t="n">
        <f aca="false">F84/px-1</f>
        <v>1.35820915316957</v>
      </c>
    </row>
    <row r="85" customFormat="false" ht="15" hidden="false" customHeight="false" outlineLevel="0" collapsed="false">
      <c r="A85" s="0" t="s">
        <v>566</v>
      </c>
      <c r="B85" s="9" t="n">
        <f aca="false">PL!E25</f>
        <v>47.246735968676</v>
      </c>
      <c r="C85" s="40" t="n">
        <f aca="false">B85*pe_fair_andy</f>
        <v>1417.40207906028</v>
      </c>
      <c r="D85" s="35" t="n">
        <f aca="false">C85/px-1</f>
        <v>1.31363478618462</v>
      </c>
      <c r="E85" s="9" t="n">
        <f aca="false">PL!F25</f>
        <v>39.5493479728645</v>
      </c>
      <c r="F85" s="40" t="n">
        <f aca="false">E85*pe_fair_andy</f>
        <v>1186.48043918594</v>
      </c>
      <c r="G85" s="35" t="n">
        <f aca="false">F85/px-1</f>
        <v>0.936699866454361</v>
      </c>
    </row>
    <row r="86" customFormat="false" ht="15" hidden="false" customHeight="false" outlineLevel="0" collapsed="false">
      <c r="A86" s="0" t="s">
        <v>567</v>
      </c>
      <c r="B86" s="9" t="n">
        <f aca="false">PL!E37</f>
        <v>47.6069732375739</v>
      </c>
      <c r="C86" s="40" t="n">
        <f aca="false">B86*pe_fair_andy</f>
        <v>1428.20919712722</v>
      </c>
      <c r="D86" s="35" t="n">
        <f aca="false">C86/px-1</f>
        <v>1.33127531646706</v>
      </c>
      <c r="E86" s="9" t="n">
        <f aca="false">PL!F37</f>
        <v>29.5156626455316</v>
      </c>
      <c r="F86" s="40" t="n">
        <f aca="false">E86*pe_fair_andy</f>
        <v>885.469879365947</v>
      </c>
      <c r="G86" s="35" t="n">
        <f aca="false">F86/px-1</f>
        <v>0.445358339235668</v>
      </c>
    </row>
    <row r="97" customFormat="false" ht="17.15" hidden="false" customHeight="false" outlineLevel="0" collapsed="false">
      <c r="A97" s="6" t="s">
        <v>602</v>
      </c>
    </row>
    <row r="98" customFormat="false" ht="17.15" hidden="false" customHeight="false" outlineLevel="0" collapsed="false">
      <c r="A98" s="4" t="s">
        <v>603</v>
      </c>
    </row>
    <row r="100" customFormat="false" ht="17.15" hidden="false" customHeight="false" outlineLevel="0" collapsed="false">
      <c r="A100" s="6" t="s">
        <v>604</v>
      </c>
    </row>
    <row r="101" customFormat="false" ht="17.15" hidden="false" customHeight="false" outlineLevel="0" collapsed="false">
      <c r="A101" s="5" t="s">
        <v>605</v>
      </c>
      <c r="B101" s="15" t="s">
        <v>606</v>
      </c>
      <c r="C101" s="5" t="s">
        <v>607</v>
      </c>
    </row>
    <row r="102" customFormat="false" ht="17.15" hidden="false" customHeight="false" outlineLevel="0" collapsed="false">
      <c r="A102" s="0" t="s">
        <v>608</v>
      </c>
      <c r="C102" s="0" t="s">
        <v>609</v>
      </c>
    </row>
    <row r="103" customFormat="false" ht="15" hidden="false" customHeight="false" outlineLevel="0" collapsed="false">
      <c r="A103" s="0" t="s">
        <v>610</v>
      </c>
    </row>
    <row r="104" customFormat="false" ht="15" hidden="false" customHeight="false" outlineLevel="0" collapsed="false">
      <c r="A104" s="0" t="s">
        <v>611</v>
      </c>
      <c r="B104" s="41" t="n">
        <v>29</v>
      </c>
    </row>
    <row r="105" customFormat="false" ht="15" hidden="false" customHeight="false" outlineLevel="0" collapsed="false">
      <c r="A105" s="0" t="s">
        <v>612</v>
      </c>
      <c r="B105" s="41" t="n">
        <v>98.4</v>
      </c>
    </row>
    <row r="106" customFormat="false" ht="15" hidden="false" customHeight="false" outlineLevel="0" collapsed="false">
      <c r="A106" s="0" t="s">
        <v>613</v>
      </c>
      <c r="B106" s="41" t="n">
        <v>56.4</v>
      </c>
    </row>
    <row r="107" customFormat="false" ht="15" hidden="false" customHeight="false" outlineLevel="0" collapsed="false">
      <c r="A107" s="0" t="s">
        <v>614</v>
      </c>
      <c r="B107" s="41" t="n">
        <v>49.5</v>
      </c>
    </row>
    <row r="108" customFormat="false" ht="15" hidden="false" customHeight="false" outlineLevel="0" collapsed="false">
      <c r="A108" s="0" t="s">
        <v>615</v>
      </c>
      <c r="B108" s="41" t="n">
        <v>24.4</v>
      </c>
    </row>
    <row r="109" customFormat="false" ht="15" hidden="false" customHeight="false" outlineLevel="0" collapsed="false">
      <c r="A109" s="0" t="s">
        <v>616</v>
      </c>
      <c r="B109" s="41" t="n">
        <v>56</v>
      </c>
    </row>
    <row r="110" customFormat="false" ht="15" hidden="false" customHeight="false" outlineLevel="0" collapsed="false">
      <c r="A110" s="0" t="s">
        <v>617</v>
      </c>
      <c r="B110" s="41" t="n">
        <v>27.7</v>
      </c>
    </row>
    <row r="111" customFormat="false" ht="15" hidden="false" customHeight="false" outlineLevel="0" collapsed="false">
      <c r="A111" s="0" t="s">
        <v>618</v>
      </c>
      <c r="B111" s="41" t="n">
        <v>64.5</v>
      </c>
    </row>
    <row r="112" customFormat="false" ht="17.15" hidden="false" customHeight="false" outlineLevel="0" collapsed="false">
      <c r="A112" s="0" t="s">
        <v>619</v>
      </c>
      <c r="B112" s="9" t="n">
        <f aca="false">PERCENTILE(B102:B111,0.25)</f>
        <v>28.675</v>
      </c>
    </row>
    <row r="113" customFormat="false" ht="15" hidden="false" customHeight="false" outlineLevel="0" collapsed="false">
      <c r="A113" s="4" t="s">
        <v>620</v>
      </c>
      <c r="B113" s="9" t="n">
        <f aca="false">MEDIAN(B102:B111)</f>
        <v>52.75</v>
      </c>
    </row>
    <row r="114" customFormat="false" ht="17.15" hidden="false" customHeight="false" outlineLevel="0" collapsed="false">
      <c r="A114" s="0" t="s">
        <v>621</v>
      </c>
      <c r="B114" s="9" t="n">
        <f aca="false">PERCENTILE(B102:B111,0.75)</f>
        <v>58.425</v>
      </c>
    </row>
    <row r="115" customFormat="false" ht="15" hidden="false" customHeight="false" outlineLevel="0" collapsed="false">
      <c r="A115" s="4" t="s">
        <v>622</v>
      </c>
      <c r="B115" s="9" t="n">
        <f aca="false">MIN(B102:B111)</f>
        <v>24.4</v>
      </c>
    </row>
    <row r="116" customFormat="false" ht="15" hidden="false" customHeight="false" outlineLevel="0" collapsed="false">
      <c r="A116" s="4" t="s">
        <v>623</v>
      </c>
      <c r="B116" s="9" t="n">
        <f aca="false">MAX(B102:B111)</f>
        <v>98.4</v>
      </c>
    </row>
    <row r="117" customFormat="false" ht="17.15" hidden="false" customHeight="false" outlineLevel="0" collapsed="false">
      <c r="A117" s="1" t="s">
        <v>624</v>
      </c>
      <c r="B117" s="9" t="n">
        <f aca="false">ROUND(AVERAGE(B112),2)</f>
        <v>28.68</v>
      </c>
    </row>
    <row r="118" customFormat="false" ht="17.15" hidden="false" customHeight="false" outlineLevel="0" collapsed="false">
      <c r="A118" s="1" t="s">
        <v>625</v>
      </c>
      <c r="B118" s="9" t="n">
        <f aca="false">ROUND(AVERAGE(B113),2)</f>
        <v>52.75</v>
      </c>
    </row>
    <row r="119" customFormat="false" ht="17.15" hidden="false" customHeight="false" outlineLevel="0" collapsed="false">
      <c r="A119" s="1" t="s">
        <v>626</v>
      </c>
      <c r="B119" s="9" t="n">
        <f aca="false">ROUND(AVERAGE(B114),2)</f>
        <v>58.43</v>
      </c>
    </row>
    <row r="120" customFormat="false" ht="17.15" hidden="false" customHeight="false" outlineLevel="0" collapsed="false">
      <c r="A120" s="1" t="s">
        <v>627</v>
      </c>
      <c r="B120" s="9" t="n">
        <f aca="false">ROUND(MIN(B115),2)</f>
        <v>24.4</v>
      </c>
    </row>
    <row r="121" customFormat="false" ht="17.15" hidden="false" customHeight="false" outlineLevel="0" collapsed="false">
      <c r="A121" s="1" t="s">
        <v>628</v>
      </c>
      <c r="B121" s="9" t="n">
        <f aca="false">ROUND(MAX(B116),2)</f>
        <v>98.4</v>
      </c>
    </row>
    <row r="123" customFormat="false" ht="17.15" hidden="false" customHeight="false" outlineLevel="0" collapsed="false">
      <c r="A123" s="6" t="s">
        <v>629</v>
      </c>
    </row>
    <row r="124" customFormat="false" ht="17.15" hidden="false" customHeight="false" outlineLevel="0" collapsed="false">
      <c r="A124" s="5" t="s">
        <v>630</v>
      </c>
      <c r="B124" s="5" t="s">
        <v>631</v>
      </c>
      <c r="C124" s="5" t="s">
        <v>632</v>
      </c>
      <c r="D124" s="5" t="s">
        <v>26</v>
      </c>
      <c r="E124" s="5" t="s">
        <v>633</v>
      </c>
      <c r="F124" s="5" t="s">
        <v>588</v>
      </c>
      <c r="G124" s="5" t="s">
        <v>634</v>
      </c>
      <c r="H124" s="5" t="s">
        <v>635</v>
      </c>
    </row>
    <row r="125" customFormat="false" ht="17.15" hidden="false" customHeight="false" outlineLevel="0" collapsed="false">
      <c r="A125" s="4" t="s">
        <v>636</v>
      </c>
      <c r="B125" s="0" t="s">
        <v>637</v>
      </c>
      <c r="C125" s="9" t="n">
        <f aca="false">B117</f>
        <v>28.68</v>
      </c>
      <c r="D125" s="8" t="s">
        <v>638</v>
      </c>
      <c r="E125" s="21" t="n">
        <f aca="false">B70</f>
        <v>46.5262614308803</v>
      </c>
      <c r="F125" s="20" t="n">
        <f aca="false">C125*E125</f>
        <v>1334.37317783765</v>
      </c>
      <c r="G125" s="17" t="n">
        <f aca="false">F125/px-1</f>
        <v>1.17810616169245</v>
      </c>
      <c r="H125" s="9" t="n">
        <f aca="false">px/E125</f>
        <v>13.1674022618414</v>
      </c>
    </row>
    <row r="126" customFormat="false" ht="17.15" hidden="false" customHeight="false" outlineLevel="0" collapsed="false">
      <c r="A126" s="4" t="s">
        <v>639</v>
      </c>
      <c r="B126" s="4" t="s">
        <v>640</v>
      </c>
      <c r="C126" s="9" t="n">
        <f aca="false">B118</f>
        <v>52.75</v>
      </c>
      <c r="D126" s="8" t="s">
        <v>638</v>
      </c>
      <c r="E126" s="21" t="n">
        <f aca="false">B70</f>
        <v>46.5262614308803</v>
      </c>
      <c r="F126" s="20" t="n">
        <f aca="false">C126*E126</f>
        <v>2454.26029047894</v>
      </c>
      <c r="G126" s="17" t="n">
        <f aca="false">F126/px-1</f>
        <v>3.00610530088134</v>
      </c>
      <c r="H126" s="9" t="n">
        <f aca="false">px/E126</f>
        <v>13.1674022618414</v>
      </c>
    </row>
    <row r="127" customFormat="false" ht="17.15" hidden="false" customHeight="false" outlineLevel="0" collapsed="false">
      <c r="A127" s="4" t="s">
        <v>641</v>
      </c>
      <c r="B127" s="0" t="s">
        <v>642</v>
      </c>
      <c r="C127" s="9" t="n">
        <f aca="false">B119</f>
        <v>58.43</v>
      </c>
      <c r="D127" s="8" t="s">
        <v>638</v>
      </c>
      <c r="E127" s="21" t="n">
        <f aca="false">B70</f>
        <v>46.5262614308803</v>
      </c>
      <c r="F127" s="20" t="n">
        <f aca="false">C127*E127</f>
        <v>2718.52945540634</v>
      </c>
      <c r="G127" s="17" t="n">
        <f aca="false">F127/px-1</f>
        <v>3.43747360626534</v>
      </c>
      <c r="H127" s="9" t="n">
        <f aca="false">px/E127</f>
        <v>13.1674022618414</v>
      </c>
    </row>
    <row r="131" customFormat="false" ht="15" hidden="false" customHeight="false" outlineLevel="0" collapsed="false">
      <c r="A131" s="1" t="s">
        <v>643</v>
      </c>
    </row>
    <row r="132" customFormat="false" ht="15" hidden="false" customHeight="false" outlineLevel="0" collapsed="false">
      <c r="A132" s="5" t="s">
        <v>23</v>
      </c>
      <c r="B132" s="5" t="s">
        <v>542</v>
      </c>
      <c r="C132" s="5"/>
      <c r="D132" s="5"/>
      <c r="E132" s="5" t="s">
        <v>378</v>
      </c>
    </row>
    <row r="133" customFormat="false" ht="17.15" hidden="false" customHeight="false" outlineLevel="0" collapsed="false">
      <c r="A133" s="4" t="s">
        <v>644</v>
      </c>
      <c r="B133" s="40" t="n">
        <f aca="false">tp_wA*B135+tp_wB*B136+tp_wC*B137</f>
        <v>2255.48434680824</v>
      </c>
      <c r="E133" s="4" t="s">
        <v>645</v>
      </c>
    </row>
    <row r="134" customFormat="false" ht="17.15" hidden="false" customHeight="false" outlineLevel="0" collapsed="false">
      <c r="A134" s="4" t="s">
        <v>646</v>
      </c>
      <c r="B134" s="17" t="n">
        <f aca="false">B133/px-1</f>
        <v>2.68164201362688</v>
      </c>
      <c r="E134" s="4" t="s">
        <v>647</v>
      </c>
    </row>
    <row r="135" customFormat="false" ht="17.15" hidden="false" customHeight="false" outlineLevel="0" collapsed="false">
      <c r="A135" s="4" t="s">
        <v>648</v>
      </c>
      <c r="B135" s="40" t="n">
        <f aca="false">D70</f>
        <v>2454.26029047894</v>
      </c>
      <c r="E135" s="0" t="str">
        <f aca="false">"第 3 節規則值：FY2027 EPS × "&amp;TEXT(C70,"0.0")&amp;"x（"&amp;C64&amp;"）"</f>
        <v>第 3 節規則值：FY2027 EPS × 52.8x（中段）</v>
      </c>
    </row>
    <row r="136" customFormat="false" ht="17.15" hidden="false" customHeight="false" outlineLevel="0" collapsed="false">
      <c r="A136" s="4" t="s">
        <v>649</v>
      </c>
      <c r="B136" s="40" t="n">
        <f aca="false">D71</f>
        <v>2492.26532234766</v>
      </c>
      <c r="E136" s="0" t="str">
        <f aca="false">"第 3 節規則值：FY2027 EPS × "&amp;TEXT(C71,"0.0")&amp;"x（"&amp;C65&amp;"）"</f>
        <v>第 3 節規則值：FY2027 EPS × 52.8x（中段）</v>
      </c>
    </row>
    <row r="137" customFormat="false" ht="17.15" hidden="false" customHeight="false" outlineLevel="0" collapsed="false">
      <c r="A137" s="4" t="s">
        <v>650</v>
      </c>
      <c r="B137" s="40" t="n">
        <f aca="false">D72</f>
        <v>1365.36799245362</v>
      </c>
      <c r="E137" s="0" t="str">
        <f aca="false">"第 3 節規則值：FY2027 EPS × "&amp;TEXT(C72,"0.0")&amp;"x（"&amp;C66&amp;"）"</f>
        <v>第 3 節規則值：FY2027 EPS × 28.7x（見頂）</v>
      </c>
    </row>
    <row r="138" customFormat="false" ht="17.15" hidden="false" customHeight="false" outlineLevel="0" collapsed="false">
      <c r="A138" s="4" t="s">
        <v>651</v>
      </c>
      <c r="B138" s="35" t="n">
        <f aca="false">tp_wA</f>
        <v>0.3</v>
      </c>
      <c r="C138" s="35" t="n">
        <f aca="false">tp_wB</f>
        <v>0.5</v>
      </c>
      <c r="D138" s="35" t="n">
        <f aca="false">tp_wC</f>
        <v>0.2</v>
      </c>
      <c r="E138" s="0" t="str">
        <f aca="false">"合計 "&amp;TEXT(B138+C138+D138,"0%")&amp;"；In 頁 tp_wA／tp_wB／tp_wC（Assumed，Andy 可改）"</f>
        <v>合計 100%；In 頁 tp_wA／tp_wB／tp_wC（Assumed，Andy 可改）</v>
      </c>
    </row>
    <row r="139" customFormat="false" ht="17.15" hidden="false" customHeight="false" outlineLevel="0" collapsed="false">
      <c r="A139" s="4" t="s">
        <v>652</v>
      </c>
      <c r="B139" s="0" t="s">
        <v>653</v>
      </c>
    </row>
    <row r="142" customFormat="false" ht="17.15" hidden="false" customHeight="false" outlineLevel="0" collapsed="false">
      <c r="A142" s="6" t="s">
        <v>654</v>
      </c>
    </row>
    <row r="143" customFormat="false" ht="17.15" hidden="false" customHeight="false" outlineLevel="0" collapsed="false">
      <c r="A143" s="4" t="s">
        <v>655</v>
      </c>
    </row>
    <row r="144" customFormat="false" ht="17.15" hidden="false" customHeight="false" outlineLevel="0" collapsed="false">
      <c r="A144" s="5" t="s">
        <v>656</v>
      </c>
      <c r="B144" s="5" t="s">
        <v>515</v>
      </c>
      <c r="C144" s="5" t="s">
        <v>657</v>
      </c>
      <c r="D144" s="15" t="s">
        <v>658</v>
      </c>
      <c r="E144" s="15" t="s">
        <v>659</v>
      </c>
      <c r="F144" s="15" t="s">
        <v>660</v>
      </c>
      <c r="G144" s="15" t="s">
        <v>661</v>
      </c>
      <c r="H144" s="15" t="s">
        <v>662</v>
      </c>
      <c r="I144" s="15" t="s">
        <v>663</v>
      </c>
      <c r="J144" s="15" t="s">
        <v>664</v>
      </c>
      <c r="K144" s="15" t="s">
        <v>665</v>
      </c>
      <c r="L144" s="15" t="s">
        <v>666</v>
      </c>
      <c r="M144" s="15" t="s">
        <v>667</v>
      </c>
      <c r="N144" s="5" t="s">
        <v>668</v>
      </c>
      <c r="O144" s="15" t="s">
        <v>669</v>
      </c>
      <c r="P144" s="5" t="s">
        <v>670</v>
      </c>
      <c r="Q144" s="5" t="s">
        <v>518</v>
      </c>
    </row>
    <row r="145" customFormat="false" ht="17.15" hidden="false" customHeight="false" outlineLevel="0" collapsed="false">
      <c r="A145" s="4" t="s">
        <v>671</v>
      </c>
      <c r="B145" s="0" t="s">
        <v>672</v>
      </c>
      <c r="C145" s="4" t="s">
        <v>673</v>
      </c>
      <c r="D145" s="41" t="n">
        <v>46.1005</v>
      </c>
      <c r="E145" s="41" t="n">
        <v>34.3515</v>
      </c>
      <c r="F145" s="41" t="n">
        <v>24.074</v>
      </c>
      <c r="G145" s="41" t="n">
        <v>39.352</v>
      </c>
      <c r="H145" s="41" t="n">
        <v>24.0975</v>
      </c>
      <c r="I145" s="41" t="n">
        <v>19.714</v>
      </c>
      <c r="J145" s="41" t="n">
        <v>32.9825</v>
      </c>
      <c r="K145" s="41" t="n">
        <v>22.522</v>
      </c>
      <c r="L145" s="41" t="n">
        <v>15.7285</v>
      </c>
      <c r="M145" s="41" t="n">
        <v>27.0335</v>
      </c>
      <c r="N145" s="8" t="n">
        <f aca="false">COUNT(D145:M145)</f>
        <v>10</v>
      </c>
      <c r="O145" s="9" t="n">
        <f aca="false">IF(N145&gt;0,MEDIAN(D145:M145),"")</f>
        <v>25.5655</v>
      </c>
      <c r="P145" s="9" t="n">
        <f aca="false">IF(N145&gt;=7,O145,"")</f>
        <v>25.5655</v>
      </c>
      <c r="Q145" s="8" t="s">
        <v>674</v>
      </c>
    </row>
    <row r="146" customFormat="false" ht="17.15" hidden="false" customHeight="false" outlineLevel="0" collapsed="false">
      <c r="A146" s="4" t="s">
        <v>519</v>
      </c>
      <c r="B146" s="0" t="s">
        <v>520</v>
      </c>
      <c r="C146" s="4" t="s">
        <v>675</v>
      </c>
      <c r="E146" s="41" t="n">
        <v>26.946</v>
      </c>
      <c r="F146" s="41" t="n">
        <v>35.234</v>
      </c>
      <c r="G146" s="41" t="n">
        <v>42.149</v>
      </c>
      <c r="H146" s="41" t="n">
        <v>22.452</v>
      </c>
      <c r="I146" s="41" t="n">
        <v>14.702</v>
      </c>
      <c r="J146" s="41" t="n">
        <v>24.601</v>
      </c>
      <c r="K146" s="41" t="n">
        <v>32.1055</v>
      </c>
      <c r="L146" s="41" t="n">
        <v>20.597</v>
      </c>
      <c r="M146" s="41" t="n">
        <v>23.004</v>
      </c>
      <c r="N146" s="8" t="n">
        <f aca="false">COUNT(D146:M146)</f>
        <v>9</v>
      </c>
      <c r="O146" s="9" t="n">
        <f aca="false">IF(N146&gt;0,MEDIAN(D146:M146),"")</f>
        <v>24.601</v>
      </c>
      <c r="P146" s="9" t="n">
        <f aca="false">IF(N146&gt;=7,O146,"")</f>
        <v>24.601</v>
      </c>
      <c r="Q146" s="8" t="s">
        <v>676</v>
      </c>
    </row>
    <row r="147" customFormat="false" ht="17.15" hidden="false" customHeight="false" outlineLevel="0" collapsed="false">
      <c r="A147" s="4" t="s">
        <v>523</v>
      </c>
      <c r="B147" s="0" t="s">
        <v>524</v>
      </c>
      <c r="C147" s="4" t="s">
        <v>675</v>
      </c>
      <c r="D147" s="41" t="n">
        <v>23.082</v>
      </c>
      <c r="E147" s="41" t="n">
        <v>24.47</v>
      </c>
      <c r="F147" s="41" t="n">
        <v>31.628</v>
      </c>
      <c r="G147" s="41" t="n">
        <v>36.2825</v>
      </c>
      <c r="H147" s="41" t="n">
        <v>24.1435</v>
      </c>
      <c r="I147" s="41" t="n">
        <v>23.0925</v>
      </c>
      <c r="J147" s="41" t="n">
        <v>40.117</v>
      </c>
      <c r="K147" s="41" t="n">
        <v>30.956</v>
      </c>
      <c r="L147" s="41" t="n">
        <v>24.42</v>
      </c>
      <c r="M147" s="41" t="n">
        <v>54.792</v>
      </c>
      <c r="N147" s="8" t="n">
        <f aca="false">COUNT(D147:M147)</f>
        <v>10</v>
      </c>
      <c r="O147" s="9" t="n">
        <f aca="false">IF(N147&gt;0,MEDIAN(D147:M147),"")</f>
        <v>27.713</v>
      </c>
      <c r="P147" s="9" t="n">
        <f aca="false">IF(N147&gt;=7,O147,"")</f>
        <v>27.713</v>
      </c>
      <c r="Q147" s="8" t="s">
        <v>677</v>
      </c>
    </row>
    <row r="148" customFormat="false" ht="17.15" hidden="false" customHeight="false" outlineLevel="0" collapsed="false">
      <c r="A148" s="4" t="s">
        <v>527</v>
      </c>
      <c r="B148" s="0" t="s">
        <v>528</v>
      </c>
      <c r="C148" s="4" t="s">
        <v>675</v>
      </c>
      <c r="D148" s="41" t="n">
        <v>33.7905</v>
      </c>
      <c r="E148" s="41" t="n">
        <v>33.793</v>
      </c>
      <c r="F148" s="41" t="n">
        <v>36.255</v>
      </c>
      <c r="G148" s="41" t="n">
        <v>39.1355</v>
      </c>
      <c r="H148" s="41" t="n">
        <v>26.386</v>
      </c>
      <c r="I148" s="41" t="n">
        <v>18.262</v>
      </c>
      <c r="J148" s="41" t="n">
        <v>25.7495</v>
      </c>
      <c r="K148" s="41" t="n">
        <v>30.802</v>
      </c>
      <c r="L148" s="41" t="n">
        <v>35.001</v>
      </c>
      <c r="M148" s="41" t="n">
        <v>45.0685</v>
      </c>
      <c r="N148" s="8" t="n">
        <f aca="false">COUNT(D148:M148)</f>
        <v>10</v>
      </c>
      <c r="O148" s="9" t="n">
        <f aca="false">IF(N148&gt;0,MEDIAN(D148:M148),"")</f>
        <v>33.79175</v>
      </c>
      <c r="P148" s="9" t="n">
        <f aca="false">IF(N148&gt;=7,O148,"")</f>
        <v>33.79175</v>
      </c>
      <c r="Q148" s="8" t="s">
        <v>678</v>
      </c>
    </row>
    <row r="149" customFormat="false" ht="17.15" hidden="false" customHeight="false" outlineLevel="0" collapsed="false">
      <c r="A149" s="4" t="s">
        <v>530</v>
      </c>
      <c r="B149" s="0" t="s">
        <v>531</v>
      </c>
      <c r="C149" s="4" t="s">
        <v>675</v>
      </c>
      <c r="D149" s="41" t="n">
        <v>43.818</v>
      </c>
      <c r="E149" s="41" t="n">
        <v>34.352</v>
      </c>
      <c r="F149" s="41" t="n">
        <v>35.312</v>
      </c>
      <c r="G149" s="41" t="n">
        <v>31.92</v>
      </c>
      <c r="H149" s="41" t="n">
        <v>29.1815</v>
      </c>
      <c r="I149" s="41" t="n">
        <v>18.645</v>
      </c>
      <c r="J149" s="41" t="n">
        <v>21.8975</v>
      </c>
      <c r="K149" s="41" t="n">
        <v>20.955</v>
      </c>
      <c r="L149" s="41" t="n">
        <v>24.4875</v>
      </c>
      <c r="M149" s="41" t="n">
        <v>38.209</v>
      </c>
      <c r="N149" s="8" t="n">
        <f aca="false">COUNT(D149:M149)</f>
        <v>10</v>
      </c>
      <c r="O149" s="9" t="n">
        <f aca="false">IF(N149&gt;0,MEDIAN(D149:M149),"")</f>
        <v>30.55075</v>
      </c>
      <c r="P149" s="9" t="n">
        <f aca="false">IF(N149&gt;=7,O149,"")</f>
        <v>30.55075</v>
      </c>
      <c r="Q149" s="8" t="s">
        <v>679</v>
      </c>
    </row>
    <row r="150" customFormat="false" ht="17.15" hidden="false" customHeight="false" outlineLevel="0" collapsed="false">
      <c r="A150" s="4" t="s">
        <v>533</v>
      </c>
      <c r="B150" s="0" t="s">
        <v>534</v>
      </c>
      <c r="C150" s="4" t="s">
        <v>675</v>
      </c>
      <c r="F150" s="41" t="n">
        <v>22.46</v>
      </c>
      <c r="G150" s="41" t="n">
        <v>16.245</v>
      </c>
      <c r="H150" s="41" t="n">
        <v>29.186</v>
      </c>
      <c r="I150" s="41" t="n">
        <v>29.186</v>
      </c>
      <c r="J150" s="41" t="n">
        <v>29.186</v>
      </c>
      <c r="K150" s="41" t="n">
        <v>29.186</v>
      </c>
      <c r="L150" s="41" t="n">
        <v>29.186</v>
      </c>
      <c r="M150" s="41" t="n">
        <v>23.474</v>
      </c>
      <c r="N150" s="8" t="n">
        <f aca="false">COUNT(D150:M150)</f>
        <v>8</v>
      </c>
      <c r="O150" s="9" t="n">
        <f aca="false">IF(N150&gt;0,MEDIAN(D150:M150),"")</f>
        <v>29.186</v>
      </c>
      <c r="P150" s="9" t="n">
        <f aca="false">IF(N150&gt;=7,O150,"")</f>
        <v>29.186</v>
      </c>
      <c r="Q150" s="8" t="s">
        <v>680</v>
      </c>
    </row>
    <row r="152" customFormat="false" ht="17.15" hidden="false" customHeight="false" outlineLevel="0" collapsed="false">
      <c r="A152" s="4" t="s">
        <v>681</v>
      </c>
      <c r="B152" s="9" t="n">
        <f aca="false">P145</f>
        <v>25.5655</v>
      </c>
      <c r="E152" s="4" t="s">
        <v>682</v>
      </c>
    </row>
    <row r="153" customFormat="false" ht="15" hidden="false" customHeight="false" outlineLevel="0" collapsed="false">
      <c r="A153" s="4" t="s">
        <v>683</v>
      </c>
      <c r="B153" s="42" t="n">
        <f aca="false">COUNT(P146:P150)</f>
        <v>5</v>
      </c>
    </row>
    <row r="154" customFormat="false" ht="17.15" hidden="false" customHeight="false" outlineLevel="0" collapsed="false">
      <c r="A154" s="4" t="s">
        <v>684</v>
      </c>
      <c r="B154" s="9" t="n">
        <f aca="false">IF(B153&gt;0,MEDIAN(P146:P150),"")</f>
        <v>29.186</v>
      </c>
    </row>
    <row r="155" customFormat="false" ht="17.15" hidden="false" customHeight="false" outlineLevel="0" collapsed="false">
      <c r="A155" s="4" t="s">
        <v>685</v>
      </c>
      <c r="B155" s="9" t="n">
        <f aca="false">IF(AND(ISNUMBER(B152),B153&gt;=2),B152/B154,"")</f>
        <v>0.875950798327966</v>
      </c>
      <c r="E155" s="4" t="s">
        <v>686</v>
      </c>
    </row>
    <row r="156" customFormat="false" ht="17.15" hidden="false" customHeight="false" outlineLevel="0" collapsed="false">
      <c r="A156" s="4" t="s">
        <v>687</v>
      </c>
      <c r="B156" s="41" t="n">
        <v>0.5</v>
      </c>
      <c r="E156" s="8" t="s">
        <v>688</v>
      </c>
    </row>
    <row r="157" customFormat="false" ht="17.15" hidden="false" customHeight="false" outlineLevel="0" collapsed="false">
      <c r="A157" s="4" t="s">
        <v>689</v>
      </c>
      <c r="B157" s="41" t="n">
        <v>2</v>
      </c>
      <c r="E157" s="8" t="s">
        <v>690</v>
      </c>
    </row>
    <row r="158" customFormat="false" ht="17.15" hidden="false" customHeight="false" outlineLevel="0" collapsed="false">
      <c r="A158" s="1" t="s">
        <v>691</v>
      </c>
      <c r="B158" s="36" t="n">
        <f aca="false">IF(ISNUMBER(B155),MIN(MAX(B155,B156),B157),1)</f>
        <v>0.875950798327966</v>
      </c>
      <c r="E158" s="4" t="s">
        <v>692</v>
      </c>
    </row>
    <row r="159" customFormat="false" ht="17.15" hidden="false" customHeight="false" outlineLevel="0" collapsed="false">
      <c r="A159" s="6" t="s">
        <v>693</v>
      </c>
      <c r="B159" s="31" t="n">
        <f aca="false">Val!$B$35*B158</f>
        <v>1630.36929980907</v>
      </c>
      <c r="E159" s="4" t="s">
        <v>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695</v>
      </c>
    </row>
    <row r="3" customFormat="false" ht="17.15" hidden="false" customHeight="false" outlineLevel="0" collapsed="false">
      <c r="A3" s="5" t="s">
        <v>23</v>
      </c>
      <c r="B3" s="5" t="s">
        <v>696</v>
      </c>
      <c r="C3" s="5" t="s">
        <v>697</v>
      </c>
      <c r="D3" s="5" t="s">
        <v>698</v>
      </c>
      <c r="E3" s="5" t="s">
        <v>699</v>
      </c>
      <c r="F3" s="5" t="s">
        <v>700</v>
      </c>
      <c r="G3" s="5" t="s">
        <v>701</v>
      </c>
      <c r="H3" s="5" t="s">
        <v>702</v>
      </c>
      <c r="I3" s="5" t="s">
        <v>703</v>
      </c>
      <c r="J3" s="5" t="s">
        <v>378</v>
      </c>
    </row>
    <row r="4" customFormat="false" ht="17.15" hidden="false" customHeight="false" outlineLevel="0" collapsed="false">
      <c r="A4" s="6" t="s">
        <v>704</v>
      </c>
    </row>
    <row r="5" customFormat="false" ht="17.15" hidden="false" customHeight="false" outlineLevel="0" collapsed="false">
      <c r="A5" s="0" t="s">
        <v>705</v>
      </c>
      <c r="B5" s="21" t="n">
        <f aca="false">cons_rev26</f>
        <v>101.466</v>
      </c>
      <c r="C5" s="21" t="n">
        <f aca="false">PL!D75</f>
        <v>96.860355</v>
      </c>
      <c r="D5" s="17" t="n">
        <f aca="false">C5/B5-1</f>
        <v>-0.0453910176807995</v>
      </c>
      <c r="E5" s="21" t="n">
        <f aca="false">PL!D107</f>
        <v>96.860355</v>
      </c>
      <c r="F5" s="17" t="n">
        <f aca="false">E5/B5-1</f>
        <v>-0.0453910176807995</v>
      </c>
      <c r="G5" s="21" t="n">
        <f aca="false">PL!D139</f>
        <v>96.860355</v>
      </c>
      <c r="H5" s="17" t="n">
        <f aca="false">G5/B5-1</f>
        <v>-0.0453910176807995</v>
      </c>
      <c r="I5" s="4" t="s">
        <v>706</v>
      </c>
      <c r="J5" s="4" t="s">
        <v>707</v>
      </c>
    </row>
    <row r="6" customFormat="false" ht="17.15" hidden="false" customHeight="false" outlineLevel="0" collapsed="false">
      <c r="A6" s="0" t="s">
        <v>708</v>
      </c>
      <c r="B6" s="21" t="n">
        <f aca="false">cons_ni26</f>
        <v>33.645</v>
      </c>
      <c r="C6" s="21" t="n">
        <f aca="false">PL!D85</f>
        <v>31.8281188474012</v>
      </c>
      <c r="D6" s="17" t="n">
        <f aca="false">C6/B6-1</f>
        <v>-0.0540015203625752</v>
      </c>
      <c r="E6" s="21" t="n">
        <f aca="false">PL!D117</f>
        <v>31.8281188474012</v>
      </c>
      <c r="F6" s="17" t="n">
        <f aca="false">E6/B6-1</f>
        <v>-0.0540015203625752</v>
      </c>
      <c r="G6" s="21" t="n">
        <f aca="false">PL!D149</f>
        <v>31.8281188474012</v>
      </c>
      <c r="H6" s="17" t="n">
        <f aca="false">G6/B6-1</f>
        <v>-0.0540015203625752</v>
      </c>
      <c r="I6" s="4" t="s">
        <v>709</v>
      </c>
    </row>
    <row r="7" customFormat="false" ht="17.15" hidden="false" customHeight="false" outlineLevel="0" collapsed="false">
      <c r="A7" s="0" t="s">
        <v>710</v>
      </c>
      <c r="B7" s="21" t="n">
        <f aca="false">cons_rev27</f>
        <v>186.36</v>
      </c>
      <c r="C7" s="21" t="n">
        <f aca="false">PL!E75</f>
        <v>162.812560408242</v>
      </c>
      <c r="D7" s="17" t="n">
        <f aca="false">C7/B7-1</f>
        <v>-0.126354580337831</v>
      </c>
      <c r="E7" s="21" t="n">
        <f aca="false">PL!E107</f>
        <v>165.263122319152</v>
      </c>
      <c r="F7" s="17" t="n">
        <f aca="false">E7/B7-1</f>
        <v>-0.113204967164885</v>
      </c>
      <c r="G7" s="21" t="n">
        <f aca="false">PL!E139</f>
        <v>166.488403274607</v>
      </c>
      <c r="H7" s="17" t="n">
        <f aca="false">G7/B7-1</f>
        <v>-0.106630160578411</v>
      </c>
      <c r="I7" s="4" t="s">
        <v>711</v>
      </c>
    </row>
    <row r="8" customFormat="false" ht="17.15" hidden="false" customHeight="false" outlineLevel="0" collapsed="false">
      <c r="A8" s="0" t="s">
        <v>712</v>
      </c>
      <c r="B8" s="21" t="n">
        <f aca="false">cons_ni27</f>
        <v>62.985</v>
      </c>
      <c r="C8" s="21" t="n">
        <f aca="false">PL!E85</f>
        <v>54.8037076157292</v>
      </c>
      <c r="D8" s="17" t="n">
        <f aca="false">C8/B8-1</f>
        <v>-0.129892710713198</v>
      </c>
      <c r="E8" s="21" t="n">
        <f aca="false">PL!E117</f>
        <v>55.6523611438575</v>
      </c>
      <c r="F8" s="17" t="n">
        <f aca="false">E8/B8-1</f>
        <v>-0.116418811719339</v>
      </c>
      <c r="G8" s="21" t="n">
        <f aca="false">PL!E149</f>
        <v>56.0766879079216</v>
      </c>
      <c r="H8" s="17" t="n">
        <f aca="false">G8/B8-1</f>
        <v>-0.109681862222409</v>
      </c>
      <c r="I8" s="4" t="s">
        <v>713</v>
      </c>
    </row>
    <row r="9" customFormat="false" ht="17.15" hidden="false" customHeight="false" outlineLevel="0" collapsed="false">
      <c r="A9" s="0" t="s">
        <v>714</v>
      </c>
      <c r="B9" s="21" t="n">
        <f aca="false">gs_ni27</f>
        <v>86.9</v>
      </c>
      <c r="C9" s="21" t="n">
        <f aca="false">PL!E85</f>
        <v>54.8037076157292</v>
      </c>
      <c r="D9" s="17" t="n">
        <f aca="false">C9/B9-1</f>
        <v>-0.369347438253979</v>
      </c>
      <c r="E9" s="21" t="n">
        <f aca="false">PL!E117</f>
        <v>55.6523611438575</v>
      </c>
      <c r="F9" s="17" t="n">
        <f aca="false">E9/B9-1</f>
        <v>-0.359581574869304</v>
      </c>
      <c r="G9" s="21" t="n">
        <f aca="false">PL!E149</f>
        <v>56.0766879079216</v>
      </c>
      <c r="H9" s="17" t="n">
        <f aca="false">G9/B9-1</f>
        <v>-0.354698643176967</v>
      </c>
      <c r="I9" s="8" t="s">
        <v>715</v>
      </c>
      <c r="J9" s="4" t="s">
        <v>716</v>
      </c>
    </row>
    <row r="10" customFormat="false" ht="17.15" hidden="false" customHeight="false" outlineLevel="0" collapsed="false">
      <c r="A10" s="0" t="s">
        <v>717</v>
      </c>
      <c r="B10" s="21" t="n">
        <f aca="false">cons_eps27</f>
        <v>54.74</v>
      </c>
      <c r="C10" s="21" t="n">
        <f aca="false">PL!E88</f>
        <v>46.5262614308803</v>
      </c>
      <c r="D10" s="17" t="n">
        <f aca="false">C10/B10-1</f>
        <v>-0.150050028664956</v>
      </c>
      <c r="E10" s="21" t="n">
        <f aca="false">PL!E120</f>
        <v>47.246735968676</v>
      </c>
      <c r="F10" s="17" t="n">
        <f aca="false">E10/B10-1</f>
        <v>-0.136888272402703</v>
      </c>
      <c r="G10" s="21" t="n">
        <f aca="false">PL!E152</f>
        <v>47.6069732375739</v>
      </c>
      <c r="H10" s="17" t="n">
        <f aca="false">G10/B10-1</f>
        <v>-0.130307394271577</v>
      </c>
      <c r="I10" s="4" t="s">
        <v>718</v>
      </c>
    </row>
    <row r="11" customFormat="false" ht="17.15" hidden="false" customHeight="false" outlineLevel="0" collapsed="false">
      <c r="A11" s="0" t="s">
        <v>719</v>
      </c>
      <c r="B11" s="21" t="n">
        <f aca="false">cons_rev28</f>
        <v>273.291</v>
      </c>
      <c r="C11" s="21" t="n">
        <f aca="false">PL!F75</f>
        <v>172.188107821514</v>
      </c>
      <c r="D11" s="17" t="n">
        <f aca="false">C11/B11-1</f>
        <v>-0.369945926424529</v>
      </c>
      <c r="E11" s="21" t="n">
        <f aca="false">PL!F107</f>
        <v>143.975104750345</v>
      </c>
      <c r="F11" s="17" t="n">
        <f aca="false">E11/B11-1</f>
        <v>-0.473180219069251</v>
      </c>
      <c r="G11" s="21" t="n">
        <f aca="false">PL!F139</f>
        <v>111.630169759859</v>
      </c>
      <c r="H11" s="17" t="n">
        <f aca="false">G11/B11-1</f>
        <v>-0.591533677435923</v>
      </c>
      <c r="I11" s="4" t="s">
        <v>720</v>
      </c>
    </row>
    <row r="12" customFormat="false" ht="17.15" hidden="false" customHeight="false" outlineLevel="0" collapsed="false">
      <c r="A12" s="0" t="s">
        <v>721</v>
      </c>
      <c r="B12" s="21" t="n">
        <f aca="false">cons_eps28</f>
        <v>79.16</v>
      </c>
      <c r="C12" s="21" t="n">
        <f aca="false">PL!F88</f>
        <v>48.1569891168757</v>
      </c>
      <c r="D12" s="17" t="n">
        <f aca="false">C12/B12-1</f>
        <v>-0.391649960625622</v>
      </c>
      <c r="E12" s="21" t="n">
        <f aca="false">PL!F120</f>
        <v>39.5493479728645</v>
      </c>
      <c r="F12" s="17" t="n">
        <f aca="false">E12/B12-1</f>
        <v>-0.500387216108331</v>
      </c>
      <c r="G12" s="21" t="n">
        <f aca="false">PL!F152</f>
        <v>29.5156626455316</v>
      </c>
      <c r="H12" s="17" t="n">
        <f aca="false">G12/B12-1</f>
        <v>-0.627139178303037</v>
      </c>
      <c r="I12" s="4" t="s">
        <v>722</v>
      </c>
    </row>
    <row r="13" customFormat="false" ht="17.15" hidden="false" customHeight="false" outlineLevel="0" collapsed="false">
      <c r="A13" s="6" t="s">
        <v>723</v>
      </c>
    </row>
    <row r="14" customFormat="false" ht="17.15" hidden="false" customHeight="false" outlineLevel="0" collapsed="false">
      <c r="A14" s="0" t="s">
        <v>724</v>
      </c>
      <c r="B14" s="17" t="n">
        <f aca="false">sh800</f>
        <v>0.375</v>
      </c>
      <c r="C14" s="17" t="n">
        <f aca="false">PL!D66</f>
        <v>0.445687059095763</v>
      </c>
      <c r="D14" s="17" t="n">
        <f aca="false">C14-B14</f>
        <v>0.0706870590957628</v>
      </c>
      <c r="E14" s="17" t="n">
        <f aca="false">PL!D98</f>
        <v>0.445687059095763</v>
      </c>
      <c r="F14" s="17" t="n">
        <f aca="false">E14-B14</f>
        <v>0.0706870590957628</v>
      </c>
      <c r="G14" s="17" t="n">
        <f aca="false">PL!D130</f>
        <v>0.445687059095763</v>
      </c>
      <c r="H14" s="17" t="n">
        <f aca="false">G14-B14</f>
        <v>0.0706870590957628</v>
      </c>
      <c r="I14" s="8" t="s">
        <v>725</v>
      </c>
      <c r="J14" s="4" t="s">
        <v>726</v>
      </c>
    </row>
    <row r="15" customFormat="false" ht="17.15" hidden="false" customHeight="false" outlineLevel="0" collapsed="false">
      <c r="A15" s="0" t="s">
        <v>727</v>
      </c>
      <c r="B15" s="17" t="n">
        <f aca="false">sh16</f>
        <v>0.6</v>
      </c>
      <c r="C15" s="17" t="n">
        <f aca="false">PL!D66</f>
        <v>0.445687059095763</v>
      </c>
      <c r="D15" s="17" t="n">
        <f aca="false">C15-B15</f>
        <v>-0.154312940904237</v>
      </c>
      <c r="E15" s="17" t="n">
        <f aca="false">PL!D98</f>
        <v>0.445687059095763</v>
      </c>
      <c r="F15" s="17" t="n">
        <f aca="false">E15-B15</f>
        <v>-0.154312940904237</v>
      </c>
      <c r="G15" s="17" t="n">
        <f aca="false">PL!D130</f>
        <v>0.445687059095763</v>
      </c>
      <c r="H15" s="17" t="n">
        <f aca="false">G15-B15</f>
        <v>-0.154312940904237</v>
      </c>
      <c r="I15" s="8" t="s">
        <v>725</v>
      </c>
    </row>
    <row r="16" customFormat="false" ht="17.15" hidden="false" customHeight="false" outlineLevel="0" collapsed="false">
      <c r="A16" s="0" t="s">
        <v>728</v>
      </c>
      <c r="B16" s="20" t="n">
        <f aca="false">lc_dc26</f>
        <v>22.8</v>
      </c>
      <c r="C16" s="20" t="n">
        <f aca="false">PL!D71</f>
        <v>13.2606438392857</v>
      </c>
      <c r="D16" s="17" t="n">
        <f aca="false">C16/B16-1</f>
        <v>-0.418392814066416</v>
      </c>
      <c r="E16" s="20" t="n">
        <f aca="false">PL!D103</f>
        <v>13.2606438392857</v>
      </c>
      <c r="F16" s="17" t="n">
        <f aca="false">E16/B16-1</f>
        <v>-0.418392814066416</v>
      </c>
      <c r="G16" s="20" t="n">
        <f aca="false">PL!D135</f>
        <v>13.2606438392857</v>
      </c>
      <c r="H16" s="17" t="n">
        <f aca="false">G16/B16-1</f>
        <v>-0.418392814066416</v>
      </c>
      <c r="I16" s="8" t="s">
        <v>729</v>
      </c>
      <c r="J16" s="4" t="s">
        <v>730</v>
      </c>
    </row>
    <row r="17" customFormat="false" ht="17.15" hidden="false" customHeight="false" outlineLevel="0" collapsed="false">
      <c r="A17" s="0" t="s">
        <v>731</v>
      </c>
      <c r="C17" s="14" t="n">
        <f aca="false">PL!E71/itc_27</f>
        <v>0.0146674227321976</v>
      </c>
      <c r="E17" s="14" t="n">
        <f aca="false">PL!E103/itc_27</f>
        <v>0.0149003846583025</v>
      </c>
      <c r="G17" s="14" t="n">
        <f aca="false">PL!E135/itc_27</f>
        <v>0.015016865621355</v>
      </c>
      <c r="I17" s="8" t="s">
        <v>732</v>
      </c>
      <c r="J17" s="4" t="s">
        <v>733</v>
      </c>
    </row>
    <row r="18" customFormat="false" ht="17.15" hidden="false" customHeight="false" outlineLevel="0" collapsed="false">
      <c r="A18" s="0" t="s">
        <v>734</v>
      </c>
      <c r="C18" s="17" t="n">
        <f aca="false">PL!F68</f>
        <v>0.401118353186187</v>
      </c>
      <c r="E18" s="17" t="n">
        <f aca="false">PL!F100</f>
        <v>0.401118353186187</v>
      </c>
      <c r="G18" s="17" t="n">
        <f aca="false">PL!F132</f>
        <v>0.401118353186187</v>
      </c>
      <c r="I18" s="8" t="s">
        <v>97</v>
      </c>
    </row>
    <row r="19" customFormat="false" ht="17.15" hidden="false" customHeight="false" outlineLevel="0" collapsed="false">
      <c r="A19" s="6" t="s">
        <v>735</v>
      </c>
    </row>
    <row r="20" customFormat="false" ht="17.15" hidden="false" customHeight="false" outlineLevel="0" collapsed="false">
      <c r="A20" s="0" t="s">
        <v>406</v>
      </c>
      <c r="B20" s="9" t="n">
        <f aca="false">h1_eps</f>
        <v>12.31</v>
      </c>
      <c r="C20" s="9" t="n">
        <f aca="false">Q!C13</f>
        <v>12.31</v>
      </c>
      <c r="D20" s="17" t="n">
        <f aca="false">C20/B20-1</f>
        <v>0</v>
      </c>
      <c r="E20" s="9" t="n">
        <f aca="false">Q!C13</f>
        <v>12.31</v>
      </c>
      <c r="F20" s="17" t="n">
        <f aca="false">E20/B20-1</f>
        <v>0</v>
      </c>
      <c r="G20" s="9" t="n">
        <f aca="false">Q!C13</f>
        <v>12.31</v>
      </c>
      <c r="H20" s="17" t="n">
        <f aca="false">G20/B20-1</f>
        <v>0</v>
      </c>
      <c r="I20" s="4" t="s">
        <v>656</v>
      </c>
      <c r="J20" s="4" t="s">
        <v>736</v>
      </c>
    </row>
    <row r="21" customFormat="false" ht="17.15" hidden="false" customHeight="false" outlineLevel="0" collapsed="false">
      <c r="A21" s="0" t="s">
        <v>737</v>
      </c>
      <c r="C21" s="17" t="n">
        <f aca="false">Q!G9</f>
        <v>0.0534398617298012</v>
      </c>
      <c r="E21" s="17" t="n">
        <f aca="false">Q!G9</f>
        <v>0.0534398617298012</v>
      </c>
      <c r="G21" s="17" t="n">
        <f aca="false">Q!G9</f>
        <v>0.0534398617298012</v>
      </c>
      <c r="I21" s="8" t="s">
        <v>738</v>
      </c>
    </row>
    <row r="22" customFormat="false" ht="17.15" hidden="false" customHeight="false" outlineLevel="0" collapsed="false">
      <c r="A22" s="6" t="s">
        <v>739</v>
      </c>
    </row>
    <row r="23" customFormat="false" ht="17.15" hidden="false" customHeight="false" outlineLevel="0" collapsed="false">
      <c r="A23" s="0" t="s">
        <v>740</v>
      </c>
      <c r="J23" s="4" t="s">
        <v>741</v>
      </c>
    </row>
    <row r="24" customFormat="false" ht="17.15" hidden="false" customHeight="false" outlineLevel="0" collapsed="false">
      <c r="A24" s="0" t="s">
        <v>742</v>
      </c>
      <c r="J24" s="4" t="s">
        <v>741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743</v>
      </c>
    </row>
    <row r="3" customFormat="false" ht="17.15" hidden="false" customHeight="false" outlineLevel="0" collapsed="false">
      <c r="A3" s="5" t="s">
        <v>744</v>
      </c>
      <c r="B3" s="5" t="s">
        <v>745</v>
      </c>
      <c r="C3" s="15" t="s">
        <v>746</v>
      </c>
      <c r="D3" s="15" t="s">
        <v>747</v>
      </c>
      <c r="E3" s="15" t="s">
        <v>748</v>
      </c>
      <c r="F3" s="15" t="s">
        <v>586</v>
      </c>
      <c r="G3" s="15" t="s">
        <v>749</v>
      </c>
      <c r="H3" s="15" t="s">
        <v>750</v>
      </c>
      <c r="I3" s="15" t="s">
        <v>751</v>
      </c>
      <c r="J3" s="15" t="s">
        <v>752</v>
      </c>
      <c r="K3" s="15" t="s">
        <v>601</v>
      </c>
      <c r="L3" s="15" t="s">
        <v>753</v>
      </c>
    </row>
    <row r="4" customFormat="false" ht="17.15" hidden="false" customHeight="false" outlineLevel="0" collapsed="false">
      <c r="A4" s="4" t="s">
        <v>754</v>
      </c>
      <c r="B4" s="0" t="s">
        <v>755</v>
      </c>
      <c r="C4" s="20" t="n">
        <f aca="false">PL!E75</f>
        <v>162.812560408242</v>
      </c>
      <c r="D4" s="20" t="n">
        <f aca="false">PL!E72</f>
        <v>154.288849168242</v>
      </c>
      <c r="E4" s="17" t="n">
        <f aca="false">PL!E79</f>
        <v>0.47</v>
      </c>
      <c r="F4" s="9" t="n">
        <f aca="false">PL!E88</f>
        <v>46.5262614308803</v>
      </c>
      <c r="G4" s="17" t="n">
        <f aca="false">F4/F$4-1</f>
        <v>0</v>
      </c>
      <c r="H4" s="20" t="n">
        <f aca="false">PL!F75</f>
        <v>172.188107821514</v>
      </c>
      <c r="I4" s="20" t="n">
        <f aca="false">PL!F72</f>
        <v>162.812025457514</v>
      </c>
      <c r="J4" s="17" t="n">
        <f aca="false">PL!F79</f>
        <v>0.46</v>
      </c>
      <c r="K4" s="9" t="n">
        <f aca="false">PL!F88</f>
        <v>48.1569891168757</v>
      </c>
      <c r="L4" s="17" t="n">
        <f aca="false">K4/K$4-1</f>
        <v>0</v>
      </c>
    </row>
    <row r="5" customFormat="false" ht="17.15" hidden="false" customHeight="false" outlineLevel="0" collapsed="false">
      <c r="A5" s="4" t="s">
        <v>756</v>
      </c>
      <c r="B5" s="4" t="s">
        <v>757</v>
      </c>
      <c r="C5" s="20" t="n">
        <f aca="false">E55</f>
        <v>146.77103501369</v>
      </c>
      <c r="D5" s="20" t="n">
        <f aca="false">E52</f>
        <v>138.24732377369</v>
      </c>
      <c r="E5" s="17" t="n">
        <f aca="false">E59</f>
        <v>0.47</v>
      </c>
      <c r="F5" s="9" t="n">
        <f aca="false">E68</f>
        <v>41.8099918509437</v>
      </c>
      <c r="G5" s="17" t="n">
        <f aca="false">F5/F$4-1</f>
        <v>-0.101367903521394</v>
      </c>
      <c r="H5" s="20" t="n">
        <f aca="false">F55</f>
        <v>137.451001719844</v>
      </c>
      <c r="I5" s="20" t="n">
        <f aca="false">F52</f>
        <v>128.074919355844</v>
      </c>
      <c r="J5" s="17" t="n">
        <f aca="false">F59</f>
        <v>0.46</v>
      </c>
      <c r="K5" s="9" t="n">
        <f aca="false">F68</f>
        <v>37.9395301674058</v>
      </c>
      <c r="L5" s="17" t="n">
        <f aca="false">K5/K$4-1</f>
        <v>-0.212169804151843</v>
      </c>
    </row>
    <row r="6" customFormat="false" ht="17.15" hidden="false" customHeight="false" outlineLevel="0" collapsed="false">
      <c r="A6" s="4" t="s">
        <v>758</v>
      </c>
      <c r="B6" s="4" t="s">
        <v>759</v>
      </c>
      <c r="C6" s="20" t="n">
        <f aca="false">E87</f>
        <v>178.854085802794</v>
      </c>
      <c r="D6" s="20" t="n">
        <f aca="false">E84</f>
        <v>170.330374562793</v>
      </c>
      <c r="E6" s="17" t="n">
        <f aca="false">E91</f>
        <v>0.47</v>
      </c>
      <c r="F6" s="9" t="n">
        <f aca="false">E100</f>
        <v>51.242531010817</v>
      </c>
      <c r="G6" s="17" t="n">
        <f aca="false">F6/F$4-1</f>
        <v>0.101367903521394</v>
      </c>
      <c r="H6" s="20" t="n">
        <f aca="false">F87</f>
        <v>198.240937397766</v>
      </c>
      <c r="I6" s="20" t="n">
        <f aca="false">F84</f>
        <v>188.864855033766</v>
      </c>
      <c r="J6" s="17" t="n">
        <f aca="false">F91</f>
        <v>0.46</v>
      </c>
      <c r="K6" s="9" t="n">
        <f aca="false">F100</f>
        <v>55.6847283359582</v>
      </c>
      <c r="L6" s="17" t="n">
        <f aca="false">K6/K$4-1</f>
        <v>0.156316650129701</v>
      </c>
    </row>
    <row r="7" customFormat="false" ht="17.15" hidden="false" customHeight="false" outlineLevel="0" collapsed="false">
      <c r="A7" s="4" t="s">
        <v>760</v>
      </c>
      <c r="B7" s="4" t="s">
        <v>761</v>
      </c>
      <c r="C7" s="20" t="n">
        <f aca="false">E119</f>
        <v>154.791797710966</v>
      </c>
      <c r="D7" s="20" t="n">
        <f aca="false">E116</f>
        <v>146.268086470966</v>
      </c>
      <c r="E7" s="17" t="n">
        <f aca="false">E123</f>
        <v>0.47</v>
      </c>
      <c r="F7" s="9" t="n">
        <f aca="false">E132</f>
        <v>44.168126640912</v>
      </c>
      <c r="G7" s="17" t="n">
        <f aca="false">F7/F$4-1</f>
        <v>-0.0506839517606968</v>
      </c>
      <c r="H7" s="20" t="n">
        <f aca="false">F119</f>
        <v>111.398172143592</v>
      </c>
      <c r="I7" s="20" t="n">
        <f aca="false">F116</f>
        <v>102.022089779592</v>
      </c>
      <c r="J7" s="17" t="n">
        <f aca="false">F123</f>
        <v>0.46</v>
      </c>
      <c r="K7" s="9" t="n">
        <f aca="false">F132</f>
        <v>29.7023090104665</v>
      </c>
      <c r="L7" s="17" t="n">
        <f aca="false">K7/K$4-1</f>
        <v>-0.383219143157397</v>
      </c>
    </row>
    <row r="8" customFormat="false" ht="17.15" hidden="false" customHeight="false" outlineLevel="0" collapsed="false">
      <c r="A8" s="4" t="s">
        <v>762</v>
      </c>
      <c r="B8" s="4" t="s">
        <v>763</v>
      </c>
      <c r="C8" s="20" t="n">
        <f aca="false">E151</f>
        <v>147.573111283418</v>
      </c>
      <c r="D8" s="20" t="n">
        <f aca="false">E148</f>
        <v>139.049400043418</v>
      </c>
      <c r="E8" s="17" t="n">
        <f aca="false">E155</f>
        <v>0.47</v>
      </c>
      <c r="F8" s="9" t="n">
        <f aca="false">E164</f>
        <v>42.0458053299405</v>
      </c>
      <c r="G8" s="17" t="n">
        <f aca="false">F8/F$4-1</f>
        <v>-0.0962995083453241</v>
      </c>
      <c r="H8" s="20" t="n">
        <f aca="false">F151</f>
        <v>140.924712330011</v>
      </c>
      <c r="I8" s="20" t="n">
        <f aca="false">F148</f>
        <v>131.548629966011</v>
      </c>
      <c r="J8" s="17" t="n">
        <f aca="false">F155</f>
        <v>0.46</v>
      </c>
      <c r="K8" s="9" t="n">
        <f aca="false">F164</f>
        <v>38.9964779337592</v>
      </c>
      <c r="L8" s="17" t="n">
        <f aca="false">K8/K$4-1</f>
        <v>-0.190221842168833</v>
      </c>
    </row>
    <row r="9" customFormat="false" ht="17.15" hidden="false" customHeight="false" outlineLevel="0" collapsed="false">
      <c r="A9" s="4" t="s">
        <v>764</v>
      </c>
      <c r="B9" s="4" t="s">
        <v>765</v>
      </c>
      <c r="C9" s="20" t="n">
        <f aca="false">E183</f>
        <v>162.812560408242</v>
      </c>
      <c r="D9" s="20" t="n">
        <f aca="false">E180</f>
        <v>154.288849168242</v>
      </c>
      <c r="E9" s="17" t="n">
        <f aca="false">E187</f>
        <v>0.43</v>
      </c>
      <c r="F9" s="9" t="n">
        <f aca="false">E196</f>
        <v>42.1462932901429</v>
      </c>
      <c r="G9" s="17" t="n">
        <f aca="false">F9/F$4-1</f>
        <v>-0.0941396967225555</v>
      </c>
      <c r="H9" s="20" t="n">
        <f aca="false">F183</f>
        <v>172.188107821514</v>
      </c>
      <c r="I9" s="20" t="n">
        <f aca="false">F180</f>
        <v>162.812025457514</v>
      </c>
      <c r="J9" s="17" t="n">
        <f aca="false">F187</f>
        <v>0.4</v>
      </c>
      <c r="K9" s="9" t="n">
        <f aca="false">F196</f>
        <v>41.2087067677034</v>
      </c>
      <c r="L9" s="17" t="n">
        <f aca="false">K9/K$4-1</f>
        <v>-0.144283986116927</v>
      </c>
    </row>
    <row r="10" customFormat="false" ht="17.15" hidden="false" customHeight="false" outlineLevel="0" collapsed="false">
      <c r="A10" s="4" t="s">
        <v>766</v>
      </c>
      <c r="B10" s="4" t="s">
        <v>767</v>
      </c>
      <c r="C10" s="20" t="n">
        <f aca="false">E215</f>
        <v>162.812560408242</v>
      </c>
      <c r="D10" s="20" t="n">
        <f aca="false">E212</f>
        <v>154.288849168242</v>
      </c>
      <c r="E10" s="17" t="n">
        <f aca="false">E219</f>
        <v>0.49</v>
      </c>
      <c r="F10" s="9" t="n">
        <f aca="false">E228</f>
        <v>48.716245501249</v>
      </c>
      <c r="G10" s="17" t="n">
        <f aca="false">F10/F$4-1</f>
        <v>0.0470698483612781</v>
      </c>
      <c r="H10" s="20" t="n">
        <f aca="false">F215</f>
        <v>172.188107821514</v>
      </c>
      <c r="I10" s="20" t="n">
        <f aca="false">F212</f>
        <v>162.812025457514</v>
      </c>
      <c r="J10" s="17" t="n">
        <f aca="false">F219</f>
        <v>0.48</v>
      </c>
      <c r="K10" s="9" t="n">
        <f aca="false">F228</f>
        <v>50.4730832332665</v>
      </c>
      <c r="L10" s="17" t="n">
        <f aca="false">K10/K$4-1</f>
        <v>0.0480946620389757</v>
      </c>
    </row>
    <row r="11" customFormat="false" ht="17.15" hidden="false" customHeight="false" outlineLevel="0" collapsed="false">
      <c r="A11" s="0" t="s">
        <v>768</v>
      </c>
      <c r="B11" s="4" t="s">
        <v>769</v>
      </c>
      <c r="C11" s="20" t="n">
        <f aca="false">E247</f>
        <v>160.918202488242</v>
      </c>
      <c r="D11" s="20" t="n">
        <f aca="false">E244</f>
        <v>152.394491248242</v>
      </c>
      <c r="E11" s="17" t="n">
        <f aca="false">E251</f>
        <v>0.47</v>
      </c>
      <c r="F11" s="9" t="n">
        <f aca="false">E260</f>
        <v>45.9693129854013</v>
      </c>
      <c r="G11" s="17" t="n">
        <f aca="false">F11/F$4-1</f>
        <v>-0.0119706253705002</v>
      </c>
      <c r="H11" s="20" t="n">
        <f aca="false">F247</f>
        <v>165.693059821514</v>
      </c>
      <c r="I11" s="20" t="n">
        <f aca="false">F244</f>
        <v>156.316977457514</v>
      </c>
      <c r="J11" s="17" t="n">
        <f aca="false">F251</f>
        <v>0.46</v>
      </c>
      <c r="K11" s="9" t="n">
        <f aca="false">F260</f>
        <v>46.2749541308734</v>
      </c>
      <c r="L11" s="17" t="n">
        <f aca="false">K11/K$4-1</f>
        <v>-0.0390812428375597</v>
      </c>
    </row>
    <row r="12" customFormat="false" ht="17.15" hidden="false" customHeight="false" outlineLevel="0" collapsed="false">
      <c r="A12" s="0" t="s">
        <v>770</v>
      </c>
      <c r="B12" s="0" t="s">
        <v>771</v>
      </c>
      <c r="C12" s="20" t="n">
        <f aca="false">E279</f>
        <v>166.601276248242</v>
      </c>
      <c r="D12" s="20" t="n">
        <f aca="false">E276</f>
        <v>158.077565008242</v>
      </c>
      <c r="E12" s="17" t="n">
        <f aca="false">E283</f>
        <v>0.47</v>
      </c>
      <c r="F12" s="9" t="n">
        <f aca="false">E292</f>
        <v>47.6401583218384</v>
      </c>
      <c r="G12" s="17" t="n">
        <f aca="false">F12/F$4-1</f>
        <v>0.0239412507410011</v>
      </c>
      <c r="H12" s="20" t="n">
        <f aca="false">F279</f>
        <v>180.848171821514</v>
      </c>
      <c r="I12" s="20" t="n">
        <f aca="false">F276</f>
        <v>171.472089457514</v>
      </c>
      <c r="J12" s="17" t="n">
        <f aca="false">F283</f>
        <v>0.46</v>
      </c>
      <c r="K12" s="9" t="n">
        <f aca="false">F292</f>
        <v>50.6632756189837</v>
      </c>
      <c r="L12" s="17" t="n">
        <f aca="false">K12/K$4-1</f>
        <v>0.0520440863947136</v>
      </c>
    </row>
    <row r="13" customFormat="false" ht="17.15" hidden="false" customHeight="false" outlineLevel="0" collapsed="false">
      <c r="A13" s="0" t="s">
        <v>772</v>
      </c>
      <c r="B13" s="0" t="s">
        <v>773</v>
      </c>
      <c r="C13" s="20" t="n">
        <f aca="false">E311</f>
        <v>132.333662158593</v>
      </c>
      <c r="D13" s="20" t="n">
        <f aca="false">E308</f>
        <v>123.809950918593</v>
      </c>
      <c r="E13" s="17" t="n">
        <f aca="false">E315</f>
        <v>0.47</v>
      </c>
      <c r="F13" s="9" t="n">
        <f aca="false">E324</f>
        <v>37.5653492290007</v>
      </c>
      <c r="G13" s="17" t="n">
        <f aca="false">F13/F$4-1</f>
        <v>-0.192599016690648</v>
      </c>
      <c r="H13" s="20" t="n">
        <f aca="false">F311</f>
        <v>140.924712330011</v>
      </c>
      <c r="I13" s="20" t="n">
        <f aca="false">F308</f>
        <v>131.548629966011</v>
      </c>
      <c r="J13" s="17" t="n">
        <f aca="false">F315</f>
        <v>0.46</v>
      </c>
      <c r="K13" s="9" t="n">
        <f aca="false">F324</f>
        <v>39.162967744905</v>
      </c>
      <c r="L13" s="17" t="n">
        <f aca="false">K13/K$4-1</f>
        <v>-0.186764611677497</v>
      </c>
    </row>
    <row r="14" customFormat="false" ht="17.15" hidden="false" customHeight="false" outlineLevel="0" collapsed="false">
      <c r="A14" s="0" t="s">
        <v>774</v>
      </c>
      <c r="B14" s="0" t="s">
        <v>775</v>
      </c>
      <c r="C14" s="20" t="n">
        <f aca="false">E343</f>
        <v>193.29145865789</v>
      </c>
      <c r="D14" s="20" t="n">
        <f aca="false">E340</f>
        <v>184.76774741789</v>
      </c>
      <c r="E14" s="17" t="n">
        <f aca="false">E347</f>
        <v>0.47</v>
      </c>
      <c r="F14" s="9" t="n">
        <f aca="false">E356</f>
        <v>55.4871736327599</v>
      </c>
      <c r="G14" s="17" t="n">
        <f aca="false">F14/F$4-1</f>
        <v>0.192599016690648</v>
      </c>
      <c r="H14" s="20" t="n">
        <f aca="false">F343</f>
        <v>203.451503313017</v>
      </c>
      <c r="I14" s="20" t="n">
        <f aca="false">F340</f>
        <v>194.075420949017</v>
      </c>
      <c r="J14" s="17" t="n">
        <f aca="false">F347</f>
        <v>0.46</v>
      </c>
      <c r="K14" s="9" t="n">
        <f aca="false">F356</f>
        <v>57.1491033300001</v>
      </c>
      <c r="L14" s="17" t="n">
        <f aca="false">K14/K$4-1</f>
        <v>0.1867250087272</v>
      </c>
    </row>
    <row r="15" customFormat="false" ht="17.15" hidden="false" customHeight="false" outlineLevel="0" collapsed="false">
      <c r="A15" s="4" t="s">
        <v>776</v>
      </c>
      <c r="B15" s="0" t="s">
        <v>777</v>
      </c>
      <c r="C15" s="20" t="n">
        <f aca="false">E375</f>
        <v>157.761437369996</v>
      </c>
      <c r="D15" s="20" t="n">
        <f aca="false">E372</f>
        <v>149.237726129996</v>
      </c>
      <c r="E15" s="17" t="n">
        <f aca="false">E379</f>
        <v>0.47</v>
      </c>
      <c r="F15" s="9" t="n">
        <f aca="false">E388</f>
        <v>45.0412120142028</v>
      </c>
      <c r="G15" s="17" t="n">
        <f aca="false">F15/F$4-1</f>
        <v>-0.0319185202293487</v>
      </c>
      <c r="H15" s="20" t="n">
        <f aca="false">F375</f>
        <v>166.857952226179</v>
      </c>
      <c r="I15" s="20" t="n">
        <f aca="false">F372</f>
        <v>157.481869862179</v>
      </c>
      <c r="J15" s="17" t="n">
        <f aca="false">F379</f>
        <v>0.46</v>
      </c>
      <c r="K15" s="9" t="n">
        <f aca="false">F388</f>
        <v>46.6233138623828</v>
      </c>
      <c r="L15" s="17" t="n">
        <f aca="false">K15/K$4-1</f>
        <v>-0.0318474074608509</v>
      </c>
    </row>
    <row r="16" customFormat="false" ht="17.15" hidden="false" customHeight="false" outlineLevel="0" collapsed="false">
      <c r="A16" s="4" t="s">
        <v>778</v>
      </c>
      <c r="B16" s="0" t="s">
        <v>779</v>
      </c>
      <c r="C16" s="20" t="n">
        <f aca="false">E407</f>
        <v>169.241262456919</v>
      </c>
      <c r="D16" s="20" t="n">
        <f aca="false">E404</f>
        <v>160.717551216918</v>
      </c>
      <c r="E16" s="17" t="n">
        <f aca="false">E411</f>
        <v>0.47</v>
      </c>
      <c r="F16" s="9" t="n">
        <f aca="false">E420</f>
        <v>48.4163243248335</v>
      </c>
      <c r="G16" s="17" t="n">
        <f aca="false">F16/F$4-1</f>
        <v>0.0406235712009895</v>
      </c>
      <c r="H16" s="20" t="n">
        <f aca="false">F407</f>
        <v>178.971942215577</v>
      </c>
      <c r="I16" s="20" t="n">
        <f aca="false">F404</f>
        <v>169.595859851577</v>
      </c>
      <c r="J16" s="17" t="n">
        <f aca="false">F411</f>
        <v>0.46</v>
      </c>
      <c r="K16" s="9" t="n">
        <f aca="false">F420</f>
        <v>50.1089341006192</v>
      </c>
      <c r="L16" s="17" t="n">
        <f aca="false">K16/K$4-1</f>
        <v>0.0405329531505005</v>
      </c>
    </row>
    <row r="17" customFormat="false" ht="17.15" hidden="false" customHeight="false" outlineLevel="0" collapsed="false">
      <c r="A17" s="4" t="s">
        <v>780</v>
      </c>
      <c r="B17" s="4" t="s">
        <v>781</v>
      </c>
      <c r="C17" s="20" t="n">
        <f aca="false">E439</f>
        <v>162.812560408242</v>
      </c>
      <c r="D17" s="20" t="n">
        <f aca="false">E436</f>
        <v>154.288849168242</v>
      </c>
      <c r="E17" s="17" t="n">
        <f aca="false">E443</f>
        <v>0.47</v>
      </c>
      <c r="F17" s="9" t="n">
        <f aca="false">E452</f>
        <v>44.3362773605116</v>
      </c>
      <c r="G17" s="17" t="n">
        <f aca="false">F17/F$4-1</f>
        <v>-0.0470698483612776</v>
      </c>
      <c r="H17" s="20" t="n">
        <f aca="false">F439</f>
        <v>172.188107821514</v>
      </c>
      <c r="I17" s="20" t="n">
        <f aca="false">F436</f>
        <v>162.812025457514</v>
      </c>
      <c r="J17" s="17" t="n">
        <f aca="false">F443</f>
        <v>0.46</v>
      </c>
      <c r="K17" s="9" t="n">
        <f aca="false">F452</f>
        <v>45.840895000485</v>
      </c>
      <c r="L17" s="17" t="n">
        <f aca="false">K17/K$4-1</f>
        <v>-0.0480946620389756</v>
      </c>
    </row>
    <row r="18" customFormat="false" ht="17.15" hidden="false" customHeight="false" outlineLevel="0" collapsed="false">
      <c r="A18" s="4" t="s">
        <v>782</v>
      </c>
      <c r="B18" s="0" t="s">
        <v>783</v>
      </c>
      <c r="C18" s="20" t="n">
        <f aca="false">PL!E107</f>
        <v>165.263122319152</v>
      </c>
      <c r="D18" s="20" t="n">
        <f aca="false">PL!E104</f>
        <v>156.739411079152</v>
      </c>
      <c r="E18" s="17" t="n">
        <f aca="false">PL!E111</f>
        <v>0.47</v>
      </c>
      <c r="F18" s="9" t="n">
        <f aca="false">PL!E120</f>
        <v>47.246735968676</v>
      </c>
      <c r="G18" s="17" t="n">
        <f aca="false">F18/F$4-1</f>
        <v>0.0154853305560785</v>
      </c>
      <c r="H18" s="20" t="n">
        <f aca="false">PL!F107</f>
        <v>143.975104750345</v>
      </c>
      <c r="I18" s="20" t="n">
        <f aca="false">PL!F104</f>
        <v>134.599022386345</v>
      </c>
      <c r="J18" s="17" t="n">
        <f aca="false">PL!F111</f>
        <v>0.46</v>
      </c>
      <c r="K18" s="9" t="n">
        <f aca="false">PL!F120</f>
        <v>39.5493479728645</v>
      </c>
      <c r="L18" s="17" t="n">
        <f aca="false">K18/K$4-1</f>
        <v>-0.178741264806251</v>
      </c>
    </row>
    <row r="19" customFormat="false" ht="17.15" hidden="false" customHeight="false" outlineLevel="0" collapsed="false">
      <c r="A19" s="4" t="s">
        <v>784</v>
      </c>
      <c r="B19" s="0" t="s">
        <v>785</v>
      </c>
      <c r="C19" s="20" t="n">
        <f aca="false">PL!E139</f>
        <v>166.488403274607</v>
      </c>
      <c r="D19" s="20" t="n">
        <f aca="false">PL!E136</f>
        <v>157.964692034607</v>
      </c>
      <c r="E19" s="17" t="n">
        <f aca="false">PL!E143</f>
        <v>0.47</v>
      </c>
      <c r="F19" s="9" t="n">
        <f aca="false">PL!E152</f>
        <v>47.6069732375739</v>
      </c>
      <c r="G19" s="17" t="n">
        <f aca="false">F19/F$4-1</f>
        <v>0.0232279958341179</v>
      </c>
      <c r="H19" s="20" t="n">
        <f aca="false">PL!F139</f>
        <v>111.630169759859</v>
      </c>
      <c r="I19" s="20" t="n">
        <f aca="false">PL!F136</f>
        <v>102.254087395859</v>
      </c>
      <c r="J19" s="17" t="n">
        <f aca="false">PL!F143</f>
        <v>0.46</v>
      </c>
      <c r="K19" s="9" t="n">
        <f aca="false">PL!F152</f>
        <v>29.5156626455316</v>
      </c>
      <c r="L19" s="17" t="n">
        <f aca="false">K19/K$4-1</f>
        <v>-0.387094932909991</v>
      </c>
    </row>
    <row r="21" customFormat="false" ht="17.15" hidden="false" customHeight="false" outlineLevel="0" collapsed="false">
      <c r="A21" s="4" t="s">
        <v>786</v>
      </c>
    </row>
    <row r="23" customFormat="false" ht="17.15" hidden="false" customHeight="false" outlineLevel="0" collapsed="false">
      <c r="A23" s="1" t="s">
        <v>787</v>
      </c>
    </row>
    <row r="24" customFormat="false" ht="17.15" hidden="false" customHeight="false" outlineLevel="0" collapsed="false">
      <c r="A24" s="5" t="s">
        <v>744</v>
      </c>
      <c r="B24" s="5" t="s">
        <v>745</v>
      </c>
      <c r="C24" s="15" t="s">
        <v>788</v>
      </c>
      <c r="D24" s="15" t="s">
        <v>693</v>
      </c>
      <c r="E24" s="5" t="s">
        <v>789</v>
      </c>
      <c r="F24" s="5" t="s">
        <v>790</v>
      </c>
    </row>
    <row r="25" customFormat="false" ht="17.15" hidden="false" customHeight="false" outlineLevel="0" collapsed="false">
      <c r="A25" s="4" t="s">
        <v>26</v>
      </c>
      <c r="B25" s="0" t="s">
        <v>791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819.564089302048</v>
      </c>
      <c r="D25" s="9" t="n">
        <f aca="false">tp_comp_adj</f>
        <v>1630.36929980907</v>
      </c>
      <c r="E25" s="9" t="n">
        <f aca="false">tp_w_dcf*C25+(1-tp_w_dcf)*D25</f>
        <v>1224.96669455556</v>
      </c>
      <c r="F25" s="17" t="n">
        <f aca="false">E25/E$25-1</f>
        <v>0</v>
      </c>
    </row>
    <row r="26" customFormat="false" ht="17.15" hidden="false" customHeight="false" outlineLevel="0" collapsed="false">
      <c r="A26" s="4" t="s">
        <v>792</v>
      </c>
      <c r="B26" s="0" t="s">
        <v>793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706.130840126202</v>
      </c>
      <c r="D26" s="9" t="n">
        <f aca="false">tp_comp_adj</f>
        <v>1630.36929980907</v>
      </c>
      <c r="E26" s="9" t="n">
        <f aca="false">tp_w_dcf*C26+(1-tp_w_dcf)*D26</f>
        <v>1168.25006996764</v>
      </c>
      <c r="F26" s="17" t="n">
        <f aca="false">E26/E$25-1</f>
        <v>-0.0463005442025515</v>
      </c>
    </row>
    <row r="27" customFormat="false" ht="17.15" hidden="false" customHeight="false" outlineLevel="0" collapsed="false">
      <c r="A27" s="4" t="s">
        <v>794</v>
      </c>
      <c r="B27" s="0" t="s">
        <v>795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978.441938846122</v>
      </c>
      <c r="D27" s="9" t="n">
        <f aca="false">tp_comp_adj</f>
        <v>1630.36929980907</v>
      </c>
      <c r="E27" s="9" t="n">
        <f aca="false">tp_w_dcf*C27+(1-tp_w_dcf)*D27</f>
        <v>1304.4056193276</v>
      </c>
      <c r="F27" s="17" t="n">
        <f aca="false">E27/E$25-1</f>
        <v>0.0648498650005005</v>
      </c>
    </row>
    <row r="28" customFormat="false" ht="17.15" hidden="false" customHeight="false" outlineLevel="0" collapsed="false">
      <c r="A28" s="4" t="s">
        <v>796</v>
      </c>
      <c r="B28" s="0" t="s">
        <v>797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911.031731008899</v>
      </c>
      <c r="D28" s="9" t="n">
        <f aca="false">tp_comp_adj</f>
        <v>1630.36929980907</v>
      </c>
      <c r="E28" s="9" t="n">
        <f aca="false">tp_w_dcf*C28+(1-tp_w_dcf)*D28</f>
        <v>1270.70051540898</v>
      </c>
      <c r="F28" s="17" t="n">
        <f aca="false">E28/E$25-1</f>
        <v>0.0373347463704055</v>
      </c>
    </row>
    <row r="29" customFormat="false" ht="17.15" hidden="false" customHeight="false" outlineLevel="0" collapsed="false">
      <c r="A29" s="4" t="s">
        <v>798</v>
      </c>
      <c r="B29" s="0" t="s">
        <v>799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756.209532603951</v>
      </c>
      <c r="D29" s="9" t="n">
        <f aca="false">tp_comp_adj</f>
        <v>1630.36929980907</v>
      </c>
      <c r="E29" s="9" t="n">
        <f aca="false">tp_w_dcf*C29+(1-tp_w_dcf)*D29</f>
        <v>1193.28941620651</v>
      </c>
      <c r="F29" s="17" t="n">
        <f aca="false">E29/E$25-1</f>
        <v>-0.0258597058106477</v>
      </c>
    </row>
    <row r="30" customFormat="false" ht="17.15" hidden="false" customHeight="false" outlineLevel="0" collapsed="false">
      <c r="A30" s="0" t="s">
        <v>800</v>
      </c>
      <c r="B30" s="0" t="s">
        <v>801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819.564089302048</v>
      </c>
      <c r="D30" s="9" t="n">
        <f aca="false">tp_comp_adj</f>
        <v>1630.36929980907</v>
      </c>
      <c r="E30" s="9" t="n">
        <f aca="false">0.3*C30+(1-0.3)*D30</f>
        <v>1387.12773665696</v>
      </c>
      <c r="F30" s="17" t="n">
        <f aca="false">E30/E$25-1</f>
        <v>0.132379960061069</v>
      </c>
    </row>
    <row r="31" customFormat="false" ht="17.15" hidden="false" customHeight="false" outlineLevel="0" collapsed="false">
      <c r="A31" s="0" t="s">
        <v>802</v>
      </c>
      <c r="B31" s="0" t="s">
        <v>803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819.564089302048</v>
      </c>
      <c r="D31" s="9" t="n">
        <f aca="false">tp_comp_adj</f>
        <v>1630.36929980907</v>
      </c>
      <c r="E31" s="9" t="n">
        <f aca="false">0.7*C31+(1-0.7)*D31</f>
        <v>1062.80565245415</v>
      </c>
      <c r="F31" s="17" t="n">
        <f aca="false">E31/E$25-1</f>
        <v>-0.132379960061069</v>
      </c>
    </row>
    <row r="40" customFormat="false" ht="17.15" hidden="false" customHeight="false" outlineLevel="0" collapsed="false">
      <c r="A40" s="1" t="s">
        <v>804</v>
      </c>
    </row>
    <row r="41" customFormat="false" ht="17.15" hidden="false" customHeight="false" outlineLevel="0" collapsed="false">
      <c r="A41" s="5" t="s">
        <v>23</v>
      </c>
      <c r="B41" s="5" t="s">
        <v>24</v>
      </c>
      <c r="C41" s="15" t="s">
        <v>372</v>
      </c>
      <c r="D41" s="15" t="s">
        <v>434</v>
      </c>
      <c r="E41" s="15" t="s">
        <v>435</v>
      </c>
      <c r="F41" s="15" t="s">
        <v>436</v>
      </c>
      <c r="G41" s="15" t="s">
        <v>437</v>
      </c>
      <c r="H41" s="5" t="s">
        <v>378</v>
      </c>
    </row>
    <row r="42" customFormat="false" ht="17.15" hidden="false" customHeight="false" outlineLevel="0" collapsed="false">
      <c r="A42" s="6" t="s">
        <v>454</v>
      </c>
    </row>
    <row r="43" customFormat="false" ht="17.15" hidden="false" customHeight="false" outlineLevel="0" collapsed="false">
      <c r="A43" s="0" t="s">
        <v>455</v>
      </c>
      <c r="B43" s="0" t="s">
        <v>34</v>
      </c>
      <c r="D43" s="21" t="n">
        <f aca="false">mpl_26*1</f>
        <v>29.753262</v>
      </c>
      <c r="E43" s="21" t="n">
        <f aca="false">mpl_27*1*1</f>
        <v>53.560715</v>
      </c>
      <c r="F43" s="21" t="n">
        <f aca="false">mpl_28*um28_A*1</f>
        <v>57.9915</v>
      </c>
      <c r="G43" s="21" t="n">
        <f aca="false">mpl_29*um29_A*1</f>
        <v>72.9348</v>
      </c>
    </row>
    <row r="44" customFormat="false" ht="17.15" hidden="false" customHeight="false" outlineLevel="0" collapsed="false">
      <c r="A44" s="0" t="s">
        <v>456</v>
      </c>
      <c r="B44" s="0" t="s">
        <v>34</v>
      </c>
      <c r="D44" s="21" t="n">
        <f aca="false">mcp_26*1</f>
        <v>0.300538</v>
      </c>
      <c r="E44" s="21" t="n">
        <f aca="false">mcp_27*1</f>
        <v>2.818985</v>
      </c>
      <c r="F44" s="21" t="n">
        <f aca="false">mcp_28*um28_A</f>
        <v>6.4435</v>
      </c>
      <c r="G44" s="21" t="n">
        <f aca="false">mcp_29*um29_A</f>
        <v>11.74736</v>
      </c>
    </row>
    <row r="45" customFormat="false" ht="17.15" hidden="false" customHeight="false" outlineLevel="0" collapsed="false">
      <c r="A45" s="4" t="s">
        <v>457</v>
      </c>
      <c r="B45" s="0" t="s">
        <v>125</v>
      </c>
      <c r="D45" s="9" t="n">
        <f aca="false">fx</f>
        <v>6.72</v>
      </c>
      <c r="E45" s="9" t="n">
        <f aca="false">fx</f>
        <v>6.72</v>
      </c>
      <c r="F45" s="9" t="n">
        <f aca="false">fx</f>
        <v>6.72</v>
      </c>
      <c r="G45" s="9" t="n">
        <f aca="false">fx</f>
        <v>6.72</v>
      </c>
      <c r="H45" s="8" t="s">
        <v>458</v>
      </c>
    </row>
    <row r="46" customFormat="false" ht="17.15" hidden="false" customHeight="false" outlineLevel="0" collapsed="false">
      <c r="A46" s="4" t="s">
        <v>459</v>
      </c>
      <c r="B46" s="0" t="s">
        <v>108</v>
      </c>
      <c r="D46" s="17" t="n">
        <f aca="false">a26_aiu/D43</f>
        <v>0.445687059095763</v>
      </c>
      <c r="H46" s="8" t="s">
        <v>460</v>
      </c>
    </row>
    <row r="47" customFormat="false" ht="17.15" hidden="false" customHeight="false" outlineLevel="0" collapsed="false">
      <c r="A47" s="4" t="s">
        <v>461</v>
      </c>
      <c r="B47" s="0" t="s">
        <v>67</v>
      </c>
      <c r="D47" s="9" t="n">
        <f aca="false">1</f>
        <v>1</v>
      </c>
      <c r="E47" s="9" t="n">
        <f aca="false">RLO_27</f>
        <v>0.85</v>
      </c>
      <c r="F47" s="9" t="n">
        <f aca="false">RLO_28</f>
        <v>0.7</v>
      </c>
      <c r="G47" s="9" t="n">
        <f aca="false">RLO_29</f>
        <v>0.6</v>
      </c>
    </row>
    <row r="48" customFormat="false" ht="15" hidden="false" customHeight="false" outlineLevel="0" collapsed="false">
      <c r="A48" s="4" t="s">
        <v>462</v>
      </c>
      <c r="B48" s="0" t="s">
        <v>108</v>
      </c>
      <c r="D48" s="17" t="n">
        <f aca="false">$D$46*D47</f>
        <v>0.445687059095763</v>
      </c>
      <c r="E48" s="17" t="n">
        <f aca="false">$D$46*E47</f>
        <v>0.378834000231398</v>
      </c>
      <c r="F48" s="17" t="n">
        <f aca="false">$D$46*F47</f>
        <v>0.311980941367034</v>
      </c>
      <c r="G48" s="17" t="n">
        <f aca="false">$D$46*G47</f>
        <v>0.267412235457458</v>
      </c>
    </row>
    <row r="49" customFormat="false" ht="15" hidden="false" customHeight="false" outlineLevel="0" collapsed="false">
      <c r="A49" s="4" t="s">
        <v>463</v>
      </c>
      <c r="B49" s="0" t="s">
        <v>67</v>
      </c>
      <c r="D49" s="9" t="n">
        <f aca="false">1</f>
        <v>1</v>
      </c>
      <c r="E49" s="9" t="n">
        <f aca="false">pxr_27</f>
        <v>1</v>
      </c>
      <c r="F49" s="9" t="n">
        <f aca="false">pxr_28</f>
        <v>1</v>
      </c>
      <c r="G49" s="9" t="n">
        <f aca="false">pxr_29</f>
        <v>1</v>
      </c>
    </row>
    <row r="50" customFormat="false" ht="17.15" hidden="false" customHeight="false" outlineLevel="0" collapsed="false">
      <c r="A50" s="4" t="s">
        <v>464</v>
      </c>
      <c r="B50" s="0" t="s">
        <v>108</v>
      </c>
      <c r="D50" s="17" t="n">
        <f aca="false">0</f>
        <v>0</v>
      </c>
      <c r="E50" s="17" t="n">
        <f aca="false">cpo_27</f>
        <v>0.1</v>
      </c>
      <c r="F50" s="17" t="n">
        <f aca="false">cpo_28</f>
        <v>0.15</v>
      </c>
      <c r="G50" s="17" t="n">
        <f aca="false">cpo_29</f>
        <v>0.2</v>
      </c>
    </row>
    <row r="51" customFormat="false" ht="17.15" hidden="false" customHeight="false" outlineLevel="0" collapsed="false">
      <c r="A51" s="0" t="s">
        <v>465</v>
      </c>
      <c r="B51" s="0" t="s">
        <v>34</v>
      </c>
      <c r="D51" s="21" t="n">
        <f aca="false">a26_aiu</f>
        <v>13.2606438392857</v>
      </c>
      <c r="E51" s="21" t="n">
        <f aca="false">E43*E48*E49+E44*E50</f>
        <v>20.5725184187039</v>
      </c>
      <c r="F51" s="21" t="n">
        <f aca="false">F43*F48*F49+F44*F50</f>
        <v>19.0587677612864</v>
      </c>
      <c r="G51" s="21" t="n">
        <f aca="false">G43*G48*G49+G44*G50</f>
        <v>21.8531299106426</v>
      </c>
    </row>
    <row r="52" customFormat="false" ht="17.15" hidden="false" customHeight="false" outlineLevel="0" collapsed="false">
      <c r="A52" s="0" t="s">
        <v>466</v>
      </c>
      <c r="B52" s="0" t="s">
        <v>154</v>
      </c>
      <c r="C52" s="21" t="n">
        <f aca="false">a25_ai</f>
        <v>35.1808</v>
      </c>
      <c r="D52" s="21" t="n">
        <f aca="false">D51*D45</f>
        <v>89.1115266</v>
      </c>
      <c r="E52" s="21" t="n">
        <f aca="false">E51*E45</f>
        <v>138.24732377369</v>
      </c>
      <c r="F52" s="21" t="n">
        <f aca="false">F51*F45</f>
        <v>128.074919355844</v>
      </c>
      <c r="G52" s="21" t="n">
        <f aca="false">G51*G45</f>
        <v>146.853032999518</v>
      </c>
    </row>
    <row r="53" customFormat="false" ht="17.15" hidden="false" customHeight="false" outlineLevel="0" collapsed="false">
      <c r="A53" s="6" t="s">
        <v>467</v>
      </c>
    </row>
    <row r="54" customFormat="false" ht="15" hidden="false" customHeight="false" outlineLevel="0" collapsed="false">
      <c r="A54" s="4" t="s">
        <v>468</v>
      </c>
      <c r="B54" s="0" t="s">
        <v>154</v>
      </c>
      <c r="C54" s="21" t="n">
        <f aca="false">a25_oth</f>
        <v>3.0592</v>
      </c>
      <c r="D54" s="21" t="n">
        <f aca="false">a26_oth</f>
        <v>7.7488284</v>
      </c>
      <c r="E54" s="21" t="n">
        <f aca="false">D54*(1+g_oth)</f>
        <v>8.52371124</v>
      </c>
      <c r="F54" s="21" t="n">
        <f aca="false">E54*(1+g_oth)</f>
        <v>9.376082364</v>
      </c>
      <c r="G54" s="21" t="n">
        <f aca="false">F54*(1+g_oth)</f>
        <v>10.3136906004</v>
      </c>
    </row>
    <row r="55" customFormat="false" ht="15" hidden="false" customHeight="false" outlineLevel="0" collapsed="false">
      <c r="A55" s="4" t="s">
        <v>379</v>
      </c>
      <c r="B55" s="0" t="s">
        <v>154</v>
      </c>
      <c r="C55" s="21" t="n">
        <f aca="false">a25_rev</f>
        <v>38.24</v>
      </c>
      <c r="D55" s="21" t="n">
        <f aca="false">D52+D54</f>
        <v>96.860355</v>
      </c>
      <c r="E55" s="21" t="n">
        <f aca="false">E52+E54</f>
        <v>146.77103501369</v>
      </c>
      <c r="F55" s="21" t="n">
        <f aca="false">F52+F54</f>
        <v>137.451001719844</v>
      </c>
      <c r="G55" s="21" t="n">
        <f aca="false">G52+G54</f>
        <v>157.166723599918</v>
      </c>
    </row>
    <row r="56" customFormat="false" ht="15" hidden="false" customHeight="false" outlineLevel="0" collapsed="false">
      <c r="A56" s="4" t="s">
        <v>469</v>
      </c>
      <c r="B56" s="0" t="s">
        <v>108</v>
      </c>
      <c r="D56" s="17" t="n">
        <f aca="false">D55/C55-1</f>
        <v>1.53295907426778</v>
      </c>
      <c r="E56" s="17" t="n">
        <f aca="false">E55/D55-1</f>
        <v>0.515284917277972</v>
      </c>
      <c r="F56" s="17" t="n">
        <f aca="false">F55/E55-1</f>
        <v>-0.063500494446853</v>
      </c>
      <c r="G56" s="17" t="n">
        <f aca="false">G55/F55-1</f>
        <v>0.143438182576937</v>
      </c>
    </row>
    <row r="57" customFormat="false" ht="17.15" hidden="false" customHeight="false" outlineLevel="0" collapsed="false">
      <c r="A57" s="0" t="s">
        <v>470</v>
      </c>
      <c r="B57" s="0" t="s">
        <v>108</v>
      </c>
      <c r="C57" s="17" t="n">
        <f aca="false">C52/C55</f>
        <v>0.92</v>
      </c>
      <c r="D57" s="17" t="n">
        <f aca="false">D52/D55</f>
        <v>0.92</v>
      </c>
      <c r="E57" s="17" t="n">
        <f aca="false">E52/E55</f>
        <v>0.941925113226837</v>
      </c>
      <c r="F57" s="17" t="n">
        <f aca="false">F52/F55</f>
        <v>0.93178600194482</v>
      </c>
      <c r="G57" s="17" t="n">
        <f aca="false">G52/G55</f>
        <v>0.934377390046926</v>
      </c>
    </row>
    <row r="58" customFormat="false" ht="17.15" hidden="false" customHeight="false" outlineLevel="0" collapsed="false">
      <c r="A58" s="6" t="s">
        <v>471</v>
      </c>
    </row>
    <row r="59" customFormat="false" ht="17.15" hidden="false" customHeight="false" outlineLevel="0" collapsed="false">
      <c r="A59" s="4" t="s">
        <v>383</v>
      </c>
      <c r="B59" s="0" t="s">
        <v>108</v>
      </c>
      <c r="C59" s="17" t="n">
        <f aca="false">a25_gp/a25_rev</f>
        <v>0.4261</v>
      </c>
      <c r="D59" s="17" t="n">
        <f aca="false">a26_gp/a26_rev</f>
        <v>0.468231579886322</v>
      </c>
      <c r="E59" s="17" t="n">
        <f aca="false">gm_27</f>
        <v>0.47</v>
      </c>
      <c r="F59" s="17" t="n">
        <f aca="false">gm_28</f>
        <v>0.46</v>
      </c>
      <c r="G59" s="17" t="n">
        <f aca="false">gm_29</f>
        <v>0.45</v>
      </c>
      <c r="H59" s="8" t="s">
        <v>472</v>
      </c>
    </row>
    <row r="60" customFormat="false" ht="15" hidden="false" customHeight="false" outlineLevel="0" collapsed="false">
      <c r="A60" s="4" t="s">
        <v>382</v>
      </c>
      <c r="B60" s="0" t="s">
        <v>154</v>
      </c>
      <c r="C60" s="21" t="n">
        <f aca="false">C55*C59</f>
        <v>16.294064</v>
      </c>
      <c r="D60" s="21" t="n">
        <f aca="false">D55*D59</f>
        <v>45.35307705</v>
      </c>
      <c r="E60" s="21" t="n">
        <f aca="false">E55*E59</f>
        <v>68.9823864564343</v>
      </c>
      <c r="F60" s="21" t="n">
        <f aca="false">F55*F59</f>
        <v>63.2274607911284</v>
      </c>
      <c r="G60" s="21" t="n">
        <f aca="false">G55*G59</f>
        <v>70.7250256199632</v>
      </c>
    </row>
    <row r="61" customFormat="false" ht="15" hidden="false" customHeight="false" outlineLevel="0" collapsed="false">
      <c r="A61" s="4" t="s">
        <v>473</v>
      </c>
      <c r="B61" s="0" t="s">
        <v>154</v>
      </c>
      <c r="C61" s="21" t="n">
        <f aca="false">a25_opx</f>
        <v>2.6649299429437</v>
      </c>
      <c r="D61" s="21" t="n">
        <f aca="false">a26_opx</f>
        <v>5.17620397829946</v>
      </c>
      <c r="E61" s="21" t="n">
        <f aca="false">D61*(1+MAX(0,phi*E56))</f>
        <v>6.8157988907649</v>
      </c>
      <c r="F61" s="21" t="n">
        <f aca="false">E61*(1+MAX(0,phi*F56))</f>
        <v>6.8157988907649</v>
      </c>
      <c r="G61" s="21" t="n">
        <f aca="false">F61*(1+MAX(0,phi*G56))</f>
        <v>7.41677788241747</v>
      </c>
    </row>
    <row r="62" customFormat="false" ht="15" hidden="false" customHeight="false" outlineLevel="0" collapsed="false">
      <c r="A62" s="4" t="s">
        <v>474</v>
      </c>
      <c r="B62" s="0" t="s">
        <v>154</v>
      </c>
      <c r="C62" s="21" t="n">
        <f aca="false">C61</f>
        <v>2.6649299429437</v>
      </c>
      <c r="D62" s="21" t="n">
        <f aca="false">D61</f>
        <v>5.17620397829946</v>
      </c>
      <c r="E62" s="21" t="n">
        <f aca="false">E61+0*E55</f>
        <v>6.8157988907649</v>
      </c>
      <c r="F62" s="21" t="n">
        <f aca="false">F61+0*F55</f>
        <v>6.8157988907649</v>
      </c>
      <c r="G62" s="21" t="n">
        <f aca="false">G61+0*G55</f>
        <v>7.41677788241747</v>
      </c>
    </row>
    <row r="63" customFormat="false" ht="15" hidden="false" customHeight="false" outlineLevel="0" collapsed="false">
      <c r="A63" s="4" t="s">
        <v>475</v>
      </c>
      <c r="B63" s="0" t="s">
        <v>154</v>
      </c>
      <c r="C63" s="21" t="n">
        <f aca="false">C60-C62</f>
        <v>13.6291340570563</v>
      </c>
      <c r="D63" s="21" t="n">
        <f aca="false">D60-D62</f>
        <v>40.1768730717005</v>
      </c>
      <c r="E63" s="21" t="n">
        <f aca="false">E60-E62</f>
        <v>62.1665875656694</v>
      </c>
      <c r="F63" s="21" t="n">
        <f aca="false">F60-F62</f>
        <v>56.4116619003635</v>
      </c>
      <c r="G63" s="21" t="n">
        <f aca="false">G60-G62</f>
        <v>63.3082477375457</v>
      </c>
    </row>
    <row r="64" customFormat="false" ht="15" hidden="false" customHeight="false" outlineLevel="0" collapsed="false">
      <c r="A64" s="4" t="s">
        <v>476</v>
      </c>
      <c r="B64" s="0" t="s">
        <v>108</v>
      </c>
      <c r="C64" s="17" t="n">
        <f aca="false">C63/C55</f>
        <v>0.356410409441849</v>
      </c>
      <c r="D64" s="17" t="n">
        <f aca="false">D63/D55</f>
        <v>0.414791718156521</v>
      </c>
      <c r="E64" s="17" t="n">
        <f aca="false">E63/E55</f>
        <v>0.423561689538204</v>
      </c>
      <c r="F64" s="17" t="n">
        <f aca="false">F63/F55</f>
        <v>0.410412883096647</v>
      </c>
      <c r="G64" s="17" t="n">
        <f aca="false">G63/G55</f>
        <v>0.402809489740987</v>
      </c>
    </row>
    <row r="65" customFormat="false" ht="15" hidden="false" customHeight="false" outlineLevel="0" collapsed="false">
      <c r="A65" s="4" t="s">
        <v>390</v>
      </c>
      <c r="B65" s="0" t="s">
        <v>154</v>
      </c>
      <c r="C65" s="21" t="n">
        <f aca="false">a25_ni</f>
        <v>10.797</v>
      </c>
      <c r="D65" s="21" t="n">
        <f aca="false">a26_ni</f>
        <v>31.8281188474012</v>
      </c>
      <c r="E65" s="21" t="n">
        <f aca="false">E63*(1-tx)*attr</f>
        <v>49.2483706695233</v>
      </c>
      <c r="F65" s="21" t="n">
        <f aca="false">F63*(1-tx)*attr</f>
        <v>44.689318557468</v>
      </c>
      <c r="G65" s="21" t="n">
        <f aca="false">G63*(1-tx)*attr</f>
        <v>50.1527938576837</v>
      </c>
    </row>
    <row r="66" customFormat="false" ht="15" hidden="false" customHeight="false" outlineLevel="0" collapsed="false">
      <c r="A66" s="4" t="s">
        <v>392</v>
      </c>
      <c r="B66" s="0" t="s">
        <v>108</v>
      </c>
      <c r="C66" s="17" t="n">
        <f aca="false">C65/C55</f>
        <v>0.282348326359833</v>
      </c>
      <c r="D66" s="17" t="n">
        <f aca="false">D65/D55</f>
        <v>0.328597999123596</v>
      </c>
      <c r="E66" s="17" t="n">
        <f aca="false">E65/E55</f>
        <v>0.335545570452165</v>
      </c>
      <c r="F66" s="17" t="n">
        <f aca="false">F65/F55</f>
        <v>0.325129085989164</v>
      </c>
      <c r="G66" s="17" t="n">
        <f aca="false">G65/G55</f>
        <v>0.31910567777281</v>
      </c>
    </row>
    <row r="67" customFormat="false" ht="15" hidden="false" customHeight="false" outlineLevel="0" collapsed="false">
      <c r="A67" s="4" t="s">
        <v>477</v>
      </c>
      <c r="B67" s="4" t="s">
        <v>186</v>
      </c>
      <c r="C67" s="18" t="n">
        <f aca="false">a25_sh</f>
        <v>1.1089358245329</v>
      </c>
      <c r="D67" s="18" t="n">
        <f aca="false">a26_sh</f>
        <v>1.1434224718021</v>
      </c>
      <c r="E67" s="18" t="n">
        <f aca="false">sh_post*(1+sh_g)</f>
        <v>1.1779091190713</v>
      </c>
      <c r="F67" s="18" t="n">
        <f aca="false">E67*(1+sh_g)</f>
        <v>1.1779091190713</v>
      </c>
      <c r="G67" s="18" t="n">
        <f aca="false">F67*(1+sh_g)</f>
        <v>1.1779091190713</v>
      </c>
    </row>
    <row r="68" customFormat="false" ht="15" hidden="false" customHeight="false" outlineLevel="0" collapsed="false">
      <c r="A68" s="0" t="s">
        <v>395</v>
      </c>
      <c r="B68" s="0" t="s">
        <v>125</v>
      </c>
      <c r="C68" s="21" t="n">
        <f aca="false">C65/C67</f>
        <v>9.73636143872244</v>
      </c>
      <c r="D68" s="21" t="n">
        <f aca="false">D65/D67</f>
        <v>27.8358346388262</v>
      </c>
      <c r="E68" s="21" t="n">
        <f aca="false">E65/E67</f>
        <v>41.8099918509437</v>
      </c>
      <c r="F68" s="21" t="n">
        <f aca="false">F65/F67</f>
        <v>37.9395301674058</v>
      </c>
      <c r="G68" s="21" t="n">
        <f aca="false">G65/G67</f>
        <v>42.5778127069988</v>
      </c>
    </row>
    <row r="69" customFormat="false" ht="17.15" hidden="false" customHeight="false" outlineLevel="0" collapsed="false">
      <c r="A69" s="0" t="s">
        <v>478</v>
      </c>
      <c r="B69" s="0" t="s">
        <v>108</v>
      </c>
      <c r="D69" s="17" t="n">
        <f aca="false">D68/C68-1</f>
        <v>1.85895658393704</v>
      </c>
      <c r="E69" s="17" t="n">
        <f aca="false">E68/D68-1</f>
        <v>0.502020413378443</v>
      </c>
      <c r="F69" s="17" t="n">
        <f aca="false">F68/E68-1</f>
        <v>-0.092572648598843</v>
      </c>
      <c r="G69" s="17" t="n">
        <f aca="false">G68/F68-1</f>
        <v>0.122254611987203</v>
      </c>
    </row>
    <row r="72" customFormat="false" ht="17.15" hidden="false" customHeight="false" outlineLevel="0" collapsed="false">
      <c r="A72" s="1" t="s">
        <v>805</v>
      </c>
    </row>
    <row r="73" customFormat="false" ht="17.15" hidden="false" customHeight="false" outlineLevel="0" collapsed="false">
      <c r="A73" s="5" t="s">
        <v>23</v>
      </c>
      <c r="B73" s="5" t="s">
        <v>24</v>
      </c>
      <c r="C73" s="15" t="s">
        <v>372</v>
      </c>
      <c r="D73" s="15" t="s">
        <v>434</v>
      </c>
      <c r="E73" s="15" t="s">
        <v>435</v>
      </c>
      <c r="F73" s="15" t="s">
        <v>436</v>
      </c>
      <c r="G73" s="15" t="s">
        <v>437</v>
      </c>
      <c r="H73" s="5" t="s">
        <v>378</v>
      </c>
    </row>
    <row r="74" customFormat="false" ht="17.15" hidden="false" customHeight="false" outlineLevel="0" collapsed="false">
      <c r="A74" s="6" t="s">
        <v>454</v>
      </c>
    </row>
    <row r="75" customFormat="false" ht="17.15" hidden="false" customHeight="false" outlineLevel="0" collapsed="false">
      <c r="A75" s="0" t="s">
        <v>455</v>
      </c>
      <c r="B75" s="0" t="s">
        <v>34</v>
      </c>
      <c r="D75" s="21" t="n">
        <f aca="false">mpl_26*1</f>
        <v>29.753262</v>
      </c>
      <c r="E75" s="21" t="n">
        <f aca="false">mpl_27*1*1</f>
        <v>53.560715</v>
      </c>
      <c r="F75" s="21" t="n">
        <f aca="false">mpl_28*um28_A*1</f>
        <v>57.9915</v>
      </c>
      <c r="G75" s="21" t="n">
        <f aca="false">mpl_29*um29_A*1</f>
        <v>72.9348</v>
      </c>
    </row>
    <row r="76" customFormat="false" ht="17.15" hidden="false" customHeight="false" outlineLevel="0" collapsed="false">
      <c r="A76" s="0" t="s">
        <v>456</v>
      </c>
      <c r="B76" s="0" t="s">
        <v>34</v>
      </c>
      <c r="D76" s="21" t="n">
        <f aca="false">mcp_26*1</f>
        <v>0.300538</v>
      </c>
      <c r="E76" s="21" t="n">
        <f aca="false">mcp_27*1</f>
        <v>2.818985</v>
      </c>
      <c r="F76" s="21" t="n">
        <f aca="false">mcp_28*um28_A</f>
        <v>6.4435</v>
      </c>
      <c r="G76" s="21" t="n">
        <f aca="false">mcp_29*um29_A</f>
        <v>11.74736</v>
      </c>
    </row>
    <row r="77" customFormat="false" ht="17.15" hidden="false" customHeight="false" outlineLevel="0" collapsed="false">
      <c r="A77" s="4" t="s">
        <v>457</v>
      </c>
      <c r="B77" s="0" t="s">
        <v>125</v>
      </c>
      <c r="D77" s="9" t="n">
        <f aca="false">fx</f>
        <v>6.72</v>
      </c>
      <c r="E77" s="9" t="n">
        <f aca="false">fx</f>
        <v>6.72</v>
      </c>
      <c r="F77" s="9" t="n">
        <f aca="false">fx</f>
        <v>6.72</v>
      </c>
      <c r="G77" s="9" t="n">
        <f aca="false">fx</f>
        <v>6.72</v>
      </c>
      <c r="H77" s="8" t="s">
        <v>458</v>
      </c>
    </row>
    <row r="78" customFormat="false" ht="17.15" hidden="false" customHeight="false" outlineLevel="0" collapsed="false">
      <c r="A78" s="4" t="s">
        <v>459</v>
      </c>
      <c r="B78" s="0" t="s">
        <v>108</v>
      </c>
      <c r="D78" s="17" t="n">
        <f aca="false">a26_aiu/D75</f>
        <v>0.445687059095763</v>
      </c>
      <c r="H78" s="8" t="s">
        <v>460</v>
      </c>
    </row>
    <row r="79" customFormat="false" ht="17.15" hidden="false" customHeight="false" outlineLevel="0" collapsed="false">
      <c r="A79" s="4" t="s">
        <v>461</v>
      </c>
      <c r="B79" s="0" t="s">
        <v>67</v>
      </c>
      <c r="D79" s="9" t="n">
        <f aca="false">1</f>
        <v>1</v>
      </c>
      <c r="E79" s="9" t="n">
        <f aca="false">RHI_27</f>
        <v>1.05</v>
      </c>
      <c r="F79" s="9" t="n">
        <f aca="false">RHI_28</f>
        <v>1.05</v>
      </c>
      <c r="G79" s="9" t="n">
        <f aca="false">RHI_29</f>
        <v>1.05</v>
      </c>
    </row>
    <row r="80" customFormat="false" ht="15" hidden="false" customHeight="false" outlineLevel="0" collapsed="false">
      <c r="A80" s="4" t="s">
        <v>462</v>
      </c>
      <c r="B80" s="0" t="s">
        <v>108</v>
      </c>
      <c r="D80" s="17" t="n">
        <f aca="false">$D$78*D79</f>
        <v>0.445687059095763</v>
      </c>
      <c r="E80" s="17" t="n">
        <f aca="false">$D$78*E79</f>
        <v>0.467971412050551</v>
      </c>
      <c r="F80" s="17" t="n">
        <f aca="false">$D$78*F79</f>
        <v>0.467971412050551</v>
      </c>
      <c r="G80" s="17" t="n">
        <f aca="false">$D$78*G79</f>
        <v>0.467971412050551</v>
      </c>
    </row>
    <row r="81" customFormat="false" ht="15" hidden="false" customHeight="false" outlineLevel="0" collapsed="false">
      <c r="A81" s="4" t="s">
        <v>463</v>
      </c>
      <c r="B81" s="0" t="s">
        <v>67</v>
      </c>
      <c r="D81" s="9" t="n">
        <f aca="false">1</f>
        <v>1</v>
      </c>
      <c r="E81" s="9" t="n">
        <f aca="false">pxr_27</f>
        <v>1</v>
      </c>
      <c r="F81" s="9" t="n">
        <f aca="false">pxr_28</f>
        <v>1</v>
      </c>
      <c r="G81" s="9" t="n">
        <f aca="false">pxr_29</f>
        <v>1</v>
      </c>
    </row>
    <row r="82" customFormat="false" ht="17.15" hidden="false" customHeight="false" outlineLevel="0" collapsed="false">
      <c r="A82" s="4" t="s">
        <v>464</v>
      </c>
      <c r="B82" s="0" t="s">
        <v>108</v>
      </c>
      <c r="D82" s="17" t="n">
        <f aca="false">0</f>
        <v>0</v>
      </c>
      <c r="E82" s="17" t="n">
        <f aca="false">cpo_27</f>
        <v>0.1</v>
      </c>
      <c r="F82" s="17" t="n">
        <f aca="false">cpo_28</f>
        <v>0.15</v>
      </c>
      <c r="G82" s="17" t="n">
        <f aca="false">cpo_29</f>
        <v>0.2</v>
      </c>
    </row>
    <row r="83" customFormat="false" ht="17.15" hidden="false" customHeight="false" outlineLevel="0" collapsed="false">
      <c r="A83" s="0" t="s">
        <v>465</v>
      </c>
      <c r="B83" s="0" t="s">
        <v>34</v>
      </c>
      <c r="D83" s="21" t="n">
        <f aca="false">a26_aiu</f>
        <v>13.2606438392857</v>
      </c>
      <c r="E83" s="21" t="n">
        <f aca="false">E75*E80*E81+E76*E82</f>
        <v>25.3467819289871</v>
      </c>
      <c r="F83" s="21" t="n">
        <f aca="false">F75*F80*F81+F76*F82</f>
        <v>28.1048891419295</v>
      </c>
      <c r="G83" s="21" t="n">
        <f aca="false">G75*G80*G81+G76*G82</f>
        <v>36.4808733436245</v>
      </c>
    </row>
    <row r="84" customFormat="false" ht="17.15" hidden="false" customHeight="false" outlineLevel="0" collapsed="false">
      <c r="A84" s="0" t="s">
        <v>466</v>
      </c>
      <c r="B84" s="0" t="s">
        <v>154</v>
      </c>
      <c r="C84" s="21" t="n">
        <f aca="false">a25_ai</f>
        <v>35.1808</v>
      </c>
      <c r="D84" s="21" t="n">
        <f aca="false">D83*D77</f>
        <v>89.1115266</v>
      </c>
      <c r="E84" s="21" t="n">
        <f aca="false">E83*E77</f>
        <v>170.330374562793</v>
      </c>
      <c r="F84" s="21" t="n">
        <f aca="false">F83*F77</f>
        <v>188.864855033766</v>
      </c>
      <c r="G84" s="21" t="n">
        <f aca="false">G83*G77</f>
        <v>245.151468869157</v>
      </c>
    </row>
    <row r="85" customFormat="false" ht="17.15" hidden="false" customHeight="false" outlineLevel="0" collapsed="false">
      <c r="A85" s="6" t="s">
        <v>467</v>
      </c>
    </row>
    <row r="86" customFormat="false" ht="15" hidden="false" customHeight="false" outlineLevel="0" collapsed="false">
      <c r="A86" s="4" t="s">
        <v>468</v>
      </c>
      <c r="B86" s="0" t="s">
        <v>154</v>
      </c>
      <c r="C86" s="21" t="n">
        <f aca="false">a25_oth</f>
        <v>3.0592</v>
      </c>
      <c r="D86" s="21" t="n">
        <f aca="false">a26_oth</f>
        <v>7.7488284</v>
      </c>
      <c r="E86" s="21" t="n">
        <f aca="false">D86*(1+g_oth)</f>
        <v>8.52371124</v>
      </c>
      <c r="F86" s="21" t="n">
        <f aca="false">E86*(1+g_oth)</f>
        <v>9.376082364</v>
      </c>
      <c r="G86" s="21" t="n">
        <f aca="false">F86*(1+g_oth)</f>
        <v>10.3136906004</v>
      </c>
    </row>
    <row r="87" customFormat="false" ht="15" hidden="false" customHeight="false" outlineLevel="0" collapsed="false">
      <c r="A87" s="4" t="s">
        <v>379</v>
      </c>
      <c r="B87" s="0" t="s">
        <v>154</v>
      </c>
      <c r="C87" s="21" t="n">
        <f aca="false">a25_rev</f>
        <v>38.24</v>
      </c>
      <c r="D87" s="21" t="n">
        <f aca="false">D84+D86</f>
        <v>96.860355</v>
      </c>
      <c r="E87" s="21" t="n">
        <f aca="false">E84+E86</f>
        <v>178.854085802794</v>
      </c>
      <c r="F87" s="21" t="n">
        <f aca="false">F84+F86</f>
        <v>198.240937397766</v>
      </c>
      <c r="G87" s="21" t="n">
        <f aca="false">G84+G86</f>
        <v>255.465159469557</v>
      </c>
    </row>
    <row r="88" customFormat="false" ht="15" hidden="false" customHeight="false" outlineLevel="0" collapsed="false">
      <c r="A88" s="4" t="s">
        <v>469</v>
      </c>
      <c r="B88" s="0" t="s">
        <v>108</v>
      </c>
      <c r="D88" s="17" t="n">
        <f aca="false">D87/C87-1</f>
        <v>1.53295907426778</v>
      </c>
      <c r="E88" s="17" t="n">
        <f aca="false">E87/D87-1</f>
        <v>0.846514869812252</v>
      </c>
      <c r="F88" s="17" t="n">
        <f aca="false">F87/E87-1</f>
        <v>0.108394792928293</v>
      </c>
      <c r="G88" s="17" t="n">
        <f aca="false">G87/F87-1</f>
        <v>0.288659965105851</v>
      </c>
    </row>
    <row r="89" customFormat="false" ht="17.15" hidden="false" customHeight="false" outlineLevel="0" collapsed="false">
      <c r="A89" s="0" t="s">
        <v>470</v>
      </c>
      <c r="B89" s="0" t="s">
        <v>108</v>
      </c>
      <c r="C89" s="17" t="n">
        <f aca="false">C84/C87</f>
        <v>0.92</v>
      </c>
      <c r="D89" s="17" t="n">
        <f aca="false">D84/D87</f>
        <v>0.92</v>
      </c>
      <c r="E89" s="17" t="n">
        <f aca="false">E84/E87</f>
        <v>0.952342652941134</v>
      </c>
      <c r="F89" s="17" t="n">
        <f aca="false">F84/F87</f>
        <v>0.952703601551343</v>
      </c>
      <c r="G89" s="17" t="n">
        <f aca="false">G84/G87</f>
        <v>0.959627799650586</v>
      </c>
    </row>
    <row r="90" customFormat="false" ht="17.15" hidden="false" customHeight="false" outlineLevel="0" collapsed="false">
      <c r="A90" s="6" t="s">
        <v>471</v>
      </c>
    </row>
    <row r="91" customFormat="false" ht="17.15" hidden="false" customHeight="false" outlineLevel="0" collapsed="false">
      <c r="A91" s="4" t="s">
        <v>383</v>
      </c>
      <c r="B91" s="0" t="s">
        <v>108</v>
      </c>
      <c r="C91" s="17" t="n">
        <f aca="false">a25_gp/a25_rev</f>
        <v>0.4261</v>
      </c>
      <c r="D91" s="17" t="n">
        <f aca="false">a26_gp/a26_rev</f>
        <v>0.468231579886322</v>
      </c>
      <c r="E91" s="17" t="n">
        <f aca="false">gm_27</f>
        <v>0.47</v>
      </c>
      <c r="F91" s="17" t="n">
        <f aca="false">gm_28</f>
        <v>0.46</v>
      </c>
      <c r="G91" s="17" t="n">
        <f aca="false">gm_29</f>
        <v>0.45</v>
      </c>
      <c r="H91" s="8" t="s">
        <v>472</v>
      </c>
    </row>
    <row r="92" customFormat="false" ht="15" hidden="false" customHeight="false" outlineLevel="0" collapsed="false">
      <c r="A92" s="4" t="s">
        <v>382</v>
      </c>
      <c r="B92" s="0" t="s">
        <v>154</v>
      </c>
      <c r="C92" s="21" t="n">
        <f aca="false">C87*C91</f>
        <v>16.294064</v>
      </c>
      <c r="D92" s="21" t="n">
        <f aca="false">D87*D91</f>
        <v>45.35307705</v>
      </c>
      <c r="E92" s="21" t="n">
        <f aca="false">E87*E91</f>
        <v>84.0614203273129</v>
      </c>
      <c r="F92" s="21" t="n">
        <f aca="false">F87*F91</f>
        <v>91.1908312029726</v>
      </c>
      <c r="G92" s="21" t="n">
        <f aca="false">G87*G91</f>
        <v>114.959321761301</v>
      </c>
    </row>
    <row r="93" customFormat="false" ht="15" hidden="false" customHeight="false" outlineLevel="0" collapsed="false">
      <c r="A93" s="4" t="s">
        <v>473</v>
      </c>
      <c r="B93" s="0" t="s">
        <v>154</v>
      </c>
      <c r="C93" s="21" t="n">
        <f aca="false">a25_opx</f>
        <v>2.6649299429437</v>
      </c>
      <c r="D93" s="21" t="n">
        <f aca="false">a26_opx</f>
        <v>5.17620397829946</v>
      </c>
      <c r="E93" s="21" t="n">
        <f aca="false">D93*(1+MAX(0,phi*E88))</f>
        <v>7.86974579823552</v>
      </c>
      <c r="F93" s="21" t="n">
        <f aca="false">E93*(1+MAX(0,phi*F88))</f>
        <v>8.39412670924229</v>
      </c>
      <c r="G93" s="21" t="n">
        <f aca="false">F93*(1+MAX(0,phi*G88))</f>
        <v>9.88362436716748</v>
      </c>
    </row>
    <row r="94" customFormat="false" ht="15" hidden="false" customHeight="false" outlineLevel="0" collapsed="false">
      <c r="A94" s="4" t="s">
        <v>474</v>
      </c>
      <c r="B94" s="0" t="s">
        <v>154</v>
      </c>
      <c r="C94" s="21" t="n">
        <f aca="false">C93</f>
        <v>2.6649299429437</v>
      </c>
      <c r="D94" s="21" t="n">
        <f aca="false">D93</f>
        <v>5.17620397829946</v>
      </c>
      <c r="E94" s="21" t="n">
        <f aca="false">E93+0*E87</f>
        <v>7.86974579823552</v>
      </c>
      <c r="F94" s="21" t="n">
        <f aca="false">F93+0*F87</f>
        <v>8.39412670924229</v>
      </c>
      <c r="G94" s="21" t="n">
        <f aca="false">G93+0*G87</f>
        <v>9.88362436716748</v>
      </c>
    </row>
    <row r="95" customFormat="false" ht="15" hidden="false" customHeight="false" outlineLevel="0" collapsed="false">
      <c r="A95" s="4" t="s">
        <v>475</v>
      </c>
      <c r="B95" s="0" t="s">
        <v>154</v>
      </c>
      <c r="C95" s="21" t="n">
        <f aca="false">C92-C94</f>
        <v>13.6291340570563</v>
      </c>
      <c r="D95" s="21" t="n">
        <f aca="false">D92-D94</f>
        <v>40.1768730717005</v>
      </c>
      <c r="E95" s="21" t="n">
        <f aca="false">E92-E94</f>
        <v>76.1916745290774</v>
      </c>
      <c r="F95" s="21" t="n">
        <f aca="false">F92-F94</f>
        <v>82.7967044937303</v>
      </c>
      <c r="G95" s="21" t="n">
        <f aca="false">G92-G94</f>
        <v>105.075697394133</v>
      </c>
    </row>
    <row r="96" customFormat="false" ht="15" hidden="false" customHeight="false" outlineLevel="0" collapsed="false">
      <c r="A96" s="4" t="s">
        <v>476</v>
      </c>
      <c r="B96" s="0" t="s">
        <v>108</v>
      </c>
      <c r="C96" s="17" t="n">
        <f aca="false">C95/C87</f>
        <v>0.356410409441849</v>
      </c>
      <c r="D96" s="17" t="n">
        <f aca="false">D95/D87</f>
        <v>0.414791718156521</v>
      </c>
      <c r="E96" s="17" t="n">
        <f aca="false">E95/E87</f>
        <v>0.425999071741012</v>
      </c>
      <c r="F96" s="17" t="n">
        <f aca="false">F95/F87</f>
        <v>0.417656946040365</v>
      </c>
      <c r="G96" s="17" t="n">
        <f aca="false">G95/G87</f>
        <v>0.411311263000835</v>
      </c>
    </row>
    <row r="97" customFormat="false" ht="15" hidden="false" customHeight="false" outlineLevel="0" collapsed="false">
      <c r="A97" s="4" t="s">
        <v>390</v>
      </c>
      <c r="B97" s="0" t="s">
        <v>154</v>
      </c>
      <c r="C97" s="21" t="n">
        <f aca="false">a25_ni</f>
        <v>10.797</v>
      </c>
      <c r="D97" s="21" t="n">
        <f aca="false">a26_ni</f>
        <v>31.8281188474012</v>
      </c>
      <c r="E97" s="21" t="n">
        <f aca="false">E95*(1-tx)*attr</f>
        <v>60.3590445619351</v>
      </c>
      <c r="F97" s="21" t="n">
        <f aca="false">F95*(1-tx)*attr</f>
        <v>65.5915492999331</v>
      </c>
      <c r="G97" s="21" t="n">
        <f aca="false">G95*(1-tx)*attr</f>
        <v>83.2409674756322</v>
      </c>
    </row>
    <row r="98" customFormat="false" ht="15" hidden="false" customHeight="false" outlineLevel="0" collapsed="false">
      <c r="A98" s="4" t="s">
        <v>392</v>
      </c>
      <c r="B98" s="0" t="s">
        <v>108</v>
      </c>
      <c r="C98" s="17" t="n">
        <f aca="false">C97/C87</f>
        <v>0.282348326359833</v>
      </c>
      <c r="D98" s="17" t="n">
        <f aca="false">D97/D87</f>
        <v>0.328597999123596</v>
      </c>
      <c r="E98" s="17" t="n">
        <f aca="false">E97/E87</f>
        <v>0.33747646463323</v>
      </c>
      <c r="F98" s="17" t="n">
        <f aca="false">F97/F87</f>
        <v>0.330867832653177</v>
      </c>
      <c r="G98" s="17" t="n">
        <f aca="false">G97/G87</f>
        <v>0.325840782549261</v>
      </c>
    </row>
    <row r="99" customFormat="false" ht="15" hidden="false" customHeight="false" outlineLevel="0" collapsed="false">
      <c r="A99" s="4" t="s">
        <v>477</v>
      </c>
      <c r="B99" s="4" t="s">
        <v>186</v>
      </c>
      <c r="C99" s="18" t="n">
        <f aca="false">a25_sh</f>
        <v>1.1089358245329</v>
      </c>
      <c r="D99" s="18" t="n">
        <f aca="false">a26_sh</f>
        <v>1.1434224718021</v>
      </c>
      <c r="E99" s="18" t="n">
        <f aca="false">sh_post*(1+sh_g)</f>
        <v>1.1779091190713</v>
      </c>
      <c r="F99" s="18" t="n">
        <f aca="false">E99*(1+sh_g)</f>
        <v>1.1779091190713</v>
      </c>
      <c r="G99" s="18" t="n">
        <f aca="false">F99*(1+sh_g)</f>
        <v>1.1779091190713</v>
      </c>
    </row>
    <row r="100" customFormat="false" ht="15" hidden="false" customHeight="false" outlineLevel="0" collapsed="false">
      <c r="A100" s="0" t="s">
        <v>395</v>
      </c>
      <c r="B100" s="0" t="s">
        <v>125</v>
      </c>
      <c r="C100" s="21" t="n">
        <f aca="false">C97/C99</f>
        <v>9.73636143872244</v>
      </c>
      <c r="D100" s="21" t="n">
        <f aca="false">D97/D99</f>
        <v>27.8358346388262</v>
      </c>
      <c r="E100" s="21" t="n">
        <f aca="false">E97/E99</f>
        <v>51.242531010817</v>
      </c>
      <c r="F100" s="21" t="n">
        <f aca="false">F97/F99</f>
        <v>55.6847283359582</v>
      </c>
      <c r="G100" s="21" t="n">
        <f aca="false">G97/G99</f>
        <v>70.6684124673914</v>
      </c>
    </row>
    <row r="101" customFormat="false" ht="17.15" hidden="false" customHeight="false" outlineLevel="0" collapsed="false">
      <c r="A101" s="0" t="s">
        <v>478</v>
      </c>
      <c r="B101" s="0" t="s">
        <v>108</v>
      </c>
      <c r="D101" s="17" t="n">
        <f aca="false">D100/C100-1</f>
        <v>1.85895658393704</v>
      </c>
      <c r="E101" s="17" t="n">
        <f aca="false">E100/D100-1</f>
        <v>0.840883583183183</v>
      </c>
      <c r="F101" s="17" t="n">
        <f aca="false">F100/E100-1</f>
        <v>0.0866896548143483</v>
      </c>
      <c r="G101" s="17" t="n">
        <f aca="false">G100/F100-1</f>
        <v>0.269080672191365</v>
      </c>
    </row>
    <row r="104" customFormat="false" ht="17.15" hidden="false" customHeight="false" outlineLevel="0" collapsed="false">
      <c r="A104" s="1" t="s">
        <v>806</v>
      </c>
    </row>
    <row r="105" customFormat="false" ht="17.15" hidden="false" customHeight="false" outlineLevel="0" collapsed="false">
      <c r="A105" s="5" t="s">
        <v>23</v>
      </c>
      <c r="B105" s="5" t="s">
        <v>24</v>
      </c>
      <c r="C105" s="15" t="s">
        <v>372</v>
      </c>
      <c r="D105" s="15" t="s">
        <v>434</v>
      </c>
      <c r="E105" s="15" t="s">
        <v>435</v>
      </c>
      <c r="F105" s="15" t="s">
        <v>436</v>
      </c>
      <c r="G105" s="15" t="s">
        <v>437</v>
      </c>
      <c r="H105" s="5" t="s">
        <v>378</v>
      </c>
    </row>
    <row r="106" customFormat="false" ht="17.15" hidden="false" customHeight="false" outlineLevel="0" collapsed="false">
      <c r="A106" s="6" t="s">
        <v>454</v>
      </c>
    </row>
    <row r="107" customFormat="false" ht="17.15" hidden="false" customHeight="false" outlineLevel="0" collapsed="false">
      <c r="A107" s="0" t="s">
        <v>455</v>
      </c>
      <c r="B107" s="0" t="s">
        <v>34</v>
      </c>
      <c r="D107" s="21" t="n">
        <f aca="false">mpl_26*1</f>
        <v>29.753262</v>
      </c>
      <c r="E107" s="21" t="n">
        <f aca="false">mpl_27*1*1</f>
        <v>53.560715</v>
      </c>
      <c r="F107" s="21" t="n">
        <f aca="false">mpl_28*um28_A*1</f>
        <v>57.9915</v>
      </c>
      <c r="G107" s="21" t="n">
        <f aca="false">mpl_29*um29_A*1</f>
        <v>72.9348</v>
      </c>
    </row>
    <row r="108" customFormat="false" ht="17.15" hidden="false" customHeight="false" outlineLevel="0" collapsed="false">
      <c r="A108" s="0" t="s">
        <v>456</v>
      </c>
      <c r="B108" s="0" t="s">
        <v>34</v>
      </c>
      <c r="D108" s="21" t="n">
        <f aca="false">mcp_26*1</f>
        <v>0.300538</v>
      </c>
      <c r="E108" s="21" t="n">
        <f aca="false">mcp_27*1</f>
        <v>2.818985</v>
      </c>
      <c r="F108" s="21" t="n">
        <f aca="false">mcp_28*um28_A</f>
        <v>6.4435</v>
      </c>
      <c r="G108" s="21" t="n">
        <f aca="false">mcp_29*um29_A</f>
        <v>11.74736</v>
      </c>
    </row>
    <row r="109" customFormat="false" ht="17.15" hidden="false" customHeight="false" outlineLevel="0" collapsed="false">
      <c r="A109" s="4" t="s">
        <v>457</v>
      </c>
      <c r="B109" s="0" t="s">
        <v>125</v>
      </c>
      <c r="D109" s="9" t="n">
        <f aca="false">fx</f>
        <v>6.72</v>
      </c>
      <c r="E109" s="9" t="n">
        <f aca="false">fx</f>
        <v>6.72</v>
      </c>
      <c r="F109" s="9" t="n">
        <f aca="false">fx</f>
        <v>6.72</v>
      </c>
      <c r="G109" s="9" t="n">
        <f aca="false">fx</f>
        <v>6.72</v>
      </c>
      <c r="H109" s="8" t="s">
        <v>458</v>
      </c>
    </row>
    <row r="110" customFormat="false" ht="17.15" hidden="false" customHeight="false" outlineLevel="0" collapsed="false">
      <c r="A110" s="4" t="s">
        <v>459</v>
      </c>
      <c r="B110" s="0" t="s">
        <v>108</v>
      </c>
      <c r="D110" s="17" t="n">
        <f aca="false">a26_aiu/D107</f>
        <v>0.445687059095763</v>
      </c>
      <c r="H110" s="8" t="s">
        <v>460</v>
      </c>
    </row>
    <row r="111" customFormat="false" ht="17.15" hidden="false" customHeight="false" outlineLevel="0" collapsed="false">
      <c r="A111" s="4" t="s">
        <v>461</v>
      </c>
      <c r="B111" s="0" t="s">
        <v>67</v>
      </c>
      <c r="D111" s="9" t="n">
        <f aca="false">1</f>
        <v>1</v>
      </c>
      <c r="E111" s="9" t="n">
        <f aca="false">us_27</f>
        <v>0.9</v>
      </c>
      <c r="F111" s="9" t="n">
        <f aca="false">us_28</f>
        <v>0.55</v>
      </c>
      <c r="G111" s="9" t="n">
        <f aca="false">us_29</f>
        <v>0.5</v>
      </c>
    </row>
    <row r="112" customFormat="false" ht="15" hidden="false" customHeight="false" outlineLevel="0" collapsed="false">
      <c r="A112" s="4" t="s">
        <v>462</v>
      </c>
      <c r="B112" s="0" t="s">
        <v>108</v>
      </c>
      <c r="D112" s="17" t="n">
        <f aca="false">$D$110*D111</f>
        <v>0.445687059095763</v>
      </c>
      <c r="E112" s="17" t="n">
        <f aca="false">$D$110*E111</f>
        <v>0.401118353186187</v>
      </c>
      <c r="F112" s="17" t="n">
        <f aca="false">$D$110*F111</f>
        <v>0.24512788250267</v>
      </c>
      <c r="G112" s="17" t="n">
        <f aca="false">$D$110*G111</f>
        <v>0.222843529547881</v>
      </c>
    </row>
    <row r="113" customFormat="false" ht="15" hidden="false" customHeight="false" outlineLevel="0" collapsed="false">
      <c r="A113" s="4" t="s">
        <v>463</v>
      </c>
      <c r="B113" s="0" t="s">
        <v>67</v>
      </c>
      <c r="D113" s="9" t="n">
        <f aca="false">1</f>
        <v>1</v>
      </c>
      <c r="E113" s="9" t="n">
        <f aca="false">pxr_27</f>
        <v>1</v>
      </c>
      <c r="F113" s="9" t="n">
        <f aca="false">pxr_28</f>
        <v>1</v>
      </c>
      <c r="G113" s="9" t="n">
        <f aca="false">pxr_29</f>
        <v>1</v>
      </c>
    </row>
    <row r="114" customFormat="false" ht="17.15" hidden="false" customHeight="false" outlineLevel="0" collapsed="false">
      <c r="A114" s="4" t="s">
        <v>464</v>
      </c>
      <c r="B114" s="0" t="s">
        <v>108</v>
      </c>
      <c r="D114" s="17" t="n">
        <f aca="false">0</f>
        <v>0</v>
      </c>
      <c r="E114" s="17" t="n">
        <f aca="false">cpo_27</f>
        <v>0.1</v>
      </c>
      <c r="F114" s="17" t="n">
        <f aca="false">cpo_28</f>
        <v>0.15</v>
      </c>
      <c r="G114" s="17" t="n">
        <f aca="false">cpo_29</f>
        <v>0.2</v>
      </c>
    </row>
    <row r="115" customFormat="false" ht="17.15" hidden="false" customHeight="false" outlineLevel="0" collapsed="false">
      <c r="A115" s="0" t="s">
        <v>465</v>
      </c>
      <c r="B115" s="0" t="s">
        <v>34</v>
      </c>
      <c r="D115" s="21" t="n">
        <f aca="false">a26_aiu</f>
        <v>13.2606438392857</v>
      </c>
      <c r="E115" s="21" t="n">
        <f aca="false">E107*E112*E113+E108*E114</f>
        <v>21.7660842962747</v>
      </c>
      <c r="F115" s="21" t="n">
        <f aca="false">F107*F112*F113+F108*F114</f>
        <v>15.1818585981536</v>
      </c>
      <c r="G115" s="21" t="n">
        <f aca="false">G107*G112*G113+G108*G114</f>
        <v>18.6025202588688</v>
      </c>
    </row>
    <row r="116" customFormat="false" ht="17.15" hidden="false" customHeight="false" outlineLevel="0" collapsed="false">
      <c r="A116" s="0" t="s">
        <v>466</v>
      </c>
      <c r="B116" s="0" t="s">
        <v>154</v>
      </c>
      <c r="C116" s="21" t="n">
        <f aca="false">a25_ai</f>
        <v>35.1808</v>
      </c>
      <c r="D116" s="21" t="n">
        <f aca="false">D115*D109</f>
        <v>89.1115266</v>
      </c>
      <c r="E116" s="21" t="n">
        <f aca="false">E115*E109</f>
        <v>146.268086470966</v>
      </c>
      <c r="F116" s="21" t="n">
        <f aca="false">F115*F109</f>
        <v>102.022089779592</v>
      </c>
      <c r="G116" s="21" t="n">
        <f aca="false">G115*G109</f>
        <v>125.008936139598</v>
      </c>
    </row>
    <row r="117" customFormat="false" ht="17.15" hidden="false" customHeight="false" outlineLevel="0" collapsed="false">
      <c r="A117" s="6" t="s">
        <v>467</v>
      </c>
    </row>
    <row r="118" customFormat="false" ht="15" hidden="false" customHeight="false" outlineLevel="0" collapsed="false">
      <c r="A118" s="4" t="s">
        <v>468</v>
      </c>
      <c r="B118" s="0" t="s">
        <v>154</v>
      </c>
      <c r="C118" s="21" t="n">
        <f aca="false">a25_oth</f>
        <v>3.0592</v>
      </c>
      <c r="D118" s="21" t="n">
        <f aca="false">a26_oth</f>
        <v>7.7488284</v>
      </c>
      <c r="E118" s="21" t="n">
        <f aca="false">D118*(1+g_oth)</f>
        <v>8.52371124</v>
      </c>
      <c r="F118" s="21" t="n">
        <f aca="false">E118*(1+g_oth)</f>
        <v>9.376082364</v>
      </c>
      <c r="G118" s="21" t="n">
        <f aca="false">F118*(1+g_oth)</f>
        <v>10.3136906004</v>
      </c>
    </row>
    <row r="119" customFormat="false" ht="15" hidden="false" customHeight="false" outlineLevel="0" collapsed="false">
      <c r="A119" s="4" t="s">
        <v>379</v>
      </c>
      <c r="B119" s="0" t="s">
        <v>154</v>
      </c>
      <c r="C119" s="21" t="n">
        <f aca="false">a25_rev</f>
        <v>38.24</v>
      </c>
      <c r="D119" s="21" t="n">
        <f aca="false">D116+D118</f>
        <v>96.860355</v>
      </c>
      <c r="E119" s="21" t="n">
        <f aca="false">E116+E118</f>
        <v>154.791797710966</v>
      </c>
      <c r="F119" s="21" t="n">
        <f aca="false">F116+F118</f>
        <v>111.398172143592</v>
      </c>
      <c r="G119" s="21" t="n">
        <f aca="false">G116+G118</f>
        <v>135.322626739998</v>
      </c>
    </row>
    <row r="120" customFormat="false" ht="15" hidden="false" customHeight="false" outlineLevel="0" collapsed="false">
      <c r="A120" s="4" t="s">
        <v>469</v>
      </c>
      <c r="B120" s="0" t="s">
        <v>108</v>
      </c>
      <c r="D120" s="17" t="n">
        <f aca="false">D119/C119-1</f>
        <v>1.53295907426778</v>
      </c>
      <c r="E120" s="17" t="n">
        <f aca="false">E119/D119-1</f>
        <v>0.598092405411542</v>
      </c>
      <c r="F120" s="17" t="n">
        <f aca="false">F119/E119-1</f>
        <v>-0.280335432555673</v>
      </c>
      <c r="G120" s="17" t="n">
        <f aca="false">G119/F119-1</f>
        <v>0.214765234797281</v>
      </c>
    </row>
    <row r="121" customFormat="false" ht="17.15" hidden="false" customHeight="false" outlineLevel="0" collapsed="false">
      <c r="A121" s="0" t="s">
        <v>470</v>
      </c>
      <c r="B121" s="0" t="s">
        <v>108</v>
      </c>
      <c r="C121" s="17" t="n">
        <f aca="false">C116/C119</f>
        <v>0.92</v>
      </c>
      <c r="D121" s="17" t="n">
        <f aca="false">D116/D119</f>
        <v>0.92</v>
      </c>
      <c r="E121" s="17" t="n">
        <f aca="false">E116/E119</f>
        <v>0.944934348162841</v>
      </c>
      <c r="F121" s="17" t="n">
        <f aca="false">F116/F119</f>
        <v>0.915832709068922</v>
      </c>
      <c r="G121" s="17" t="n">
        <f aca="false">G116/G119</f>
        <v>0.923784433920159</v>
      </c>
    </row>
    <row r="122" customFormat="false" ht="17.15" hidden="false" customHeight="false" outlineLevel="0" collapsed="false">
      <c r="A122" s="6" t="s">
        <v>471</v>
      </c>
    </row>
    <row r="123" customFormat="false" ht="17.15" hidden="false" customHeight="false" outlineLevel="0" collapsed="false">
      <c r="A123" s="4" t="s">
        <v>383</v>
      </c>
      <c r="B123" s="0" t="s">
        <v>108</v>
      </c>
      <c r="C123" s="17" t="n">
        <f aca="false">a25_gp/a25_rev</f>
        <v>0.4261</v>
      </c>
      <c r="D123" s="17" t="n">
        <f aca="false">a26_gp/a26_rev</f>
        <v>0.468231579886322</v>
      </c>
      <c r="E123" s="17" t="n">
        <f aca="false">gm_27</f>
        <v>0.47</v>
      </c>
      <c r="F123" s="17" t="n">
        <f aca="false">gm_28</f>
        <v>0.46</v>
      </c>
      <c r="G123" s="17" t="n">
        <f aca="false">gm_29</f>
        <v>0.45</v>
      </c>
      <c r="H123" s="8" t="s">
        <v>472</v>
      </c>
    </row>
    <row r="124" customFormat="false" ht="15" hidden="false" customHeight="false" outlineLevel="0" collapsed="false">
      <c r="A124" s="4" t="s">
        <v>382</v>
      </c>
      <c r="B124" s="0" t="s">
        <v>154</v>
      </c>
      <c r="C124" s="21" t="n">
        <f aca="false">C119*C123</f>
        <v>16.294064</v>
      </c>
      <c r="D124" s="21" t="n">
        <f aca="false">D119*D123</f>
        <v>45.35307705</v>
      </c>
      <c r="E124" s="21" t="n">
        <f aca="false">E119*E123</f>
        <v>72.752144924154</v>
      </c>
      <c r="F124" s="21" t="n">
        <f aca="false">F119*F123</f>
        <v>51.2431591860523</v>
      </c>
      <c r="G124" s="21" t="n">
        <f aca="false">G119*G123</f>
        <v>60.8951820329993</v>
      </c>
    </row>
    <row r="125" customFormat="false" ht="15" hidden="false" customHeight="false" outlineLevel="0" collapsed="false">
      <c r="A125" s="4" t="s">
        <v>473</v>
      </c>
      <c r="B125" s="0" t="s">
        <v>154</v>
      </c>
      <c r="C125" s="21" t="n">
        <f aca="false">a25_opx</f>
        <v>2.6649299429437</v>
      </c>
      <c r="D125" s="21" t="n">
        <f aca="false">a26_opx</f>
        <v>5.17620397829946</v>
      </c>
      <c r="E125" s="21" t="n">
        <f aca="false">D125*(1+MAX(0,phi*E120))</f>
        <v>7.07928561763256</v>
      </c>
      <c r="F125" s="21" t="n">
        <f aca="false">E125*(1+MAX(0,phi*F120))</f>
        <v>7.07928561763256</v>
      </c>
      <c r="G125" s="21" t="n">
        <f aca="false">F125*(1+MAX(0,phi*G120))</f>
        <v>8.01389721322849</v>
      </c>
    </row>
    <row r="126" customFormat="false" ht="15" hidden="false" customHeight="false" outlineLevel="0" collapsed="false">
      <c r="A126" s="4" t="s">
        <v>474</v>
      </c>
      <c r="B126" s="0" t="s">
        <v>154</v>
      </c>
      <c r="C126" s="21" t="n">
        <f aca="false">C125</f>
        <v>2.6649299429437</v>
      </c>
      <c r="D126" s="21" t="n">
        <f aca="false">D125</f>
        <v>5.17620397829946</v>
      </c>
      <c r="E126" s="21" t="n">
        <f aca="false">E125+0*E119</f>
        <v>7.07928561763256</v>
      </c>
      <c r="F126" s="21" t="n">
        <f aca="false">F125+0*F119</f>
        <v>7.07928561763256</v>
      </c>
      <c r="G126" s="21" t="n">
        <f aca="false">G125+0*G119</f>
        <v>8.01389721322849</v>
      </c>
    </row>
    <row r="127" customFormat="false" ht="15" hidden="false" customHeight="false" outlineLevel="0" collapsed="false">
      <c r="A127" s="4" t="s">
        <v>475</v>
      </c>
      <c r="B127" s="0" t="s">
        <v>154</v>
      </c>
      <c r="C127" s="21" t="n">
        <f aca="false">C124-C126</f>
        <v>13.6291340570563</v>
      </c>
      <c r="D127" s="21" t="n">
        <f aca="false">D124-D126</f>
        <v>40.1768730717005</v>
      </c>
      <c r="E127" s="21" t="n">
        <f aca="false">E124-E126</f>
        <v>65.6728593065214</v>
      </c>
      <c r="F127" s="21" t="n">
        <f aca="false">F124-F126</f>
        <v>44.1638735684197</v>
      </c>
      <c r="G127" s="21" t="n">
        <f aca="false">G124-G126</f>
        <v>52.8812848197708</v>
      </c>
    </row>
    <row r="128" customFormat="false" ht="15" hidden="false" customHeight="false" outlineLevel="0" collapsed="false">
      <c r="A128" s="4" t="s">
        <v>476</v>
      </c>
      <c r="B128" s="0" t="s">
        <v>108</v>
      </c>
      <c r="C128" s="17" t="n">
        <f aca="false">C127/C119</f>
        <v>0.356410409441849</v>
      </c>
      <c r="D128" s="17" t="n">
        <f aca="false">D127/D119</f>
        <v>0.414791718156521</v>
      </c>
      <c r="E128" s="17" t="n">
        <f aca="false">E127/E119</f>
        <v>0.424265757473459</v>
      </c>
      <c r="F128" s="17" t="n">
        <f aca="false">F127/F119</f>
        <v>0.396450612416626</v>
      </c>
      <c r="G128" s="17" t="n">
        <f aca="false">G127/G119</f>
        <v>0.390779325628773</v>
      </c>
    </row>
    <row r="129" customFormat="false" ht="15" hidden="false" customHeight="false" outlineLevel="0" collapsed="false">
      <c r="A129" s="4" t="s">
        <v>390</v>
      </c>
      <c r="B129" s="0" t="s">
        <v>154</v>
      </c>
      <c r="C129" s="21" t="n">
        <f aca="false">a25_ni</f>
        <v>10.797</v>
      </c>
      <c r="D129" s="21" t="n">
        <f aca="false">a26_ni</f>
        <v>31.8281188474012</v>
      </c>
      <c r="E129" s="21" t="n">
        <f aca="false">E127*(1-tx)*attr</f>
        <v>52.0260391426263</v>
      </c>
      <c r="F129" s="21" t="n">
        <f aca="false">F127*(1-tx)*attr</f>
        <v>34.9866206409021</v>
      </c>
      <c r="G129" s="21" t="n">
        <f aca="false">G127*(1-tx)*attr</f>
        <v>41.8925538342224</v>
      </c>
    </row>
    <row r="130" customFormat="false" ht="15" hidden="false" customHeight="false" outlineLevel="0" collapsed="false">
      <c r="A130" s="4" t="s">
        <v>392</v>
      </c>
      <c r="B130" s="0" t="s">
        <v>108</v>
      </c>
      <c r="C130" s="17" t="n">
        <f aca="false">C129/C119</f>
        <v>0.282348326359833</v>
      </c>
      <c r="D130" s="17" t="n">
        <f aca="false">D129/D119</f>
        <v>0.328597999123596</v>
      </c>
      <c r="E130" s="17" t="n">
        <f aca="false">E129/E119</f>
        <v>0.336103333070474</v>
      </c>
      <c r="F130" s="17" t="n">
        <f aca="false">F129/F119</f>
        <v>0.314068175156451</v>
      </c>
      <c r="G130" s="17" t="n">
        <f aca="false">G129/G119</f>
        <v>0.309575381763114</v>
      </c>
    </row>
    <row r="131" customFormat="false" ht="15" hidden="false" customHeight="false" outlineLevel="0" collapsed="false">
      <c r="A131" s="4" t="s">
        <v>477</v>
      </c>
      <c r="B131" s="4" t="s">
        <v>186</v>
      </c>
      <c r="C131" s="18" t="n">
        <f aca="false">a25_sh</f>
        <v>1.1089358245329</v>
      </c>
      <c r="D131" s="18" t="n">
        <f aca="false">a26_sh</f>
        <v>1.1434224718021</v>
      </c>
      <c r="E131" s="18" t="n">
        <f aca="false">sh_post*(1+sh_g)</f>
        <v>1.1779091190713</v>
      </c>
      <c r="F131" s="18" t="n">
        <f aca="false">E131*(1+sh_g)</f>
        <v>1.1779091190713</v>
      </c>
      <c r="G131" s="18" t="n">
        <f aca="false">F131*(1+sh_g)</f>
        <v>1.1779091190713</v>
      </c>
    </row>
    <row r="132" customFormat="false" ht="15" hidden="false" customHeight="false" outlineLevel="0" collapsed="false">
      <c r="A132" s="0" t="s">
        <v>395</v>
      </c>
      <c r="B132" s="0" t="s">
        <v>125</v>
      </c>
      <c r="C132" s="21" t="n">
        <f aca="false">C129/C131</f>
        <v>9.73636143872244</v>
      </c>
      <c r="D132" s="21" t="n">
        <f aca="false">D129/D131</f>
        <v>27.8358346388262</v>
      </c>
      <c r="E132" s="21" t="n">
        <f aca="false">E129/E131</f>
        <v>44.168126640912</v>
      </c>
      <c r="F132" s="21" t="n">
        <f aca="false">F129/F131</f>
        <v>29.7023090104665</v>
      </c>
      <c r="G132" s="21" t="n">
        <f aca="false">G129/G131</f>
        <v>35.565183388046</v>
      </c>
    </row>
    <row r="133" customFormat="false" ht="17.15" hidden="false" customHeight="false" outlineLevel="0" collapsed="false">
      <c r="A133" s="0" t="s">
        <v>478</v>
      </c>
      <c r="B133" s="0" t="s">
        <v>108</v>
      </c>
      <c r="D133" s="17" t="n">
        <f aca="false">D132/C132-1</f>
        <v>1.85895658393704</v>
      </c>
      <c r="E133" s="17" t="n">
        <f aca="false">E132/D132-1</f>
        <v>0.586736205829628</v>
      </c>
      <c r="F133" s="17" t="n">
        <f aca="false">F132/E132-1</f>
        <v>-0.32751711993703</v>
      </c>
      <c r="G133" s="17" t="n">
        <f aca="false">G132/F132-1</f>
        <v>0.197387831885848</v>
      </c>
    </row>
    <row r="136" customFormat="false" ht="17.15" hidden="false" customHeight="false" outlineLevel="0" collapsed="false">
      <c r="A136" s="1" t="s">
        <v>807</v>
      </c>
    </row>
    <row r="137" customFormat="false" ht="17.15" hidden="false" customHeight="false" outlineLevel="0" collapsed="false">
      <c r="A137" s="5" t="s">
        <v>23</v>
      </c>
      <c r="B137" s="5" t="s">
        <v>24</v>
      </c>
      <c r="C137" s="15" t="s">
        <v>372</v>
      </c>
      <c r="D137" s="15" t="s">
        <v>434</v>
      </c>
      <c r="E137" s="15" t="s">
        <v>435</v>
      </c>
      <c r="F137" s="15" t="s">
        <v>436</v>
      </c>
      <c r="G137" s="15" t="s">
        <v>437</v>
      </c>
      <c r="H137" s="5" t="s">
        <v>378</v>
      </c>
    </row>
    <row r="138" customFormat="false" ht="17.15" hidden="false" customHeight="false" outlineLevel="0" collapsed="false">
      <c r="A138" s="6" t="s">
        <v>454</v>
      </c>
    </row>
    <row r="139" customFormat="false" ht="17.15" hidden="false" customHeight="false" outlineLevel="0" collapsed="false">
      <c r="A139" s="0" t="s">
        <v>455</v>
      </c>
      <c r="B139" s="0" t="s">
        <v>34</v>
      </c>
      <c r="D139" s="21" t="n">
        <f aca="false">mpl_26*1</f>
        <v>29.753262</v>
      </c>
      <c r="E139" s="21" t="n">
        <f aca="false">mpl_27*1*1</f>
        <v>53.560715</v>
      </c>
      <c r="F139" s="21" t="n">
        <f aca="false">mpl_28*um28_A*1</f>
        <v>57.9915</v>
      </c>
      <c r="G139" s="21" t="n">
        <f aca="false">mpl_29*um29_A*1</f>
        <v>72.9348</v>
      </c>
    </row>
    <row r="140" customFormat="false" ht="17.15" hidden="false" customHeight="false" outlineLevel="0" collapsed="false">
      <c r="A140" s="0" t="s">
        <v>456</v>
      </c>
      <c r="B140" s="0" t="s">
        <v>34</v>
      </c>
      <c r="D140" s="21" t="n">
        <f aca="false">mcp_26*1</f>
        <v>0.300538</v>
      </c>
      <c r="E140" s="21" t="n">
        <f aca="false">mcp_27*1</f>
        <v>2.818985</v>
      </c>
      <c r="F140" s="21" t="n">
        <f aca="false">mcp_28*um28_A</f>
        <v>6.4435</v>
      </c>
      <c r="G140" s="21" t="n">
        <f aca="false">mcp_29*um29_A</f>
        <v>11.74736</v>
      </c>
    </row>
    <row r="141" customFormat="false" ht="17.15" hidden="false" customHeight="false" outlineLevel="0" collapsed="false">
      <c r="A141" s="4" t="s">
        <v>457</v>
      </c>
      <c r="B141" s="0" t="s">
        <v>125</v>
      </c>
      <c r="D141" s="9" t="n">
        <f aca="false">fx</f>
        <v>6.72</v>
      </c>
      <c r="E141" s="9" t="n">
        <f aca="false">fx</f>
        <v>6.72</v>
      </c>
      <c r="F141" s="9" t="n">
        <f aca="false">fx</f>
        <v>6.72</v>
      </c>
      <c r="G141" s="9" t="n">
        <f aca="false">fx</f>
        <v>6.72</v>
      </c>
      <c r="H141" s="8" t="s">
        <v>458</v>
      </c>
    </row>
    <row r="142" customFormat="false" ht="17.15" hidden="false" customHeight="false" outlineLevel="0" collapsed="false">
      <c r="A142" s="4" t="s">
        <v>459</v>
      </c>
      <c r="B142" s="0" t="s">
        <v>108</v>
      </c>
      <c r="D142" s="17" t="n">
        <f aca="false">a26_aiu/D139</f>
        <v>0.445687059095763</v>
      </c>
      <c r="H142" s="8" t="s">
        <v>460</v>
      </c>
    </row>
    <row r="143" customFormat="false" ht="17.15" hidden="false" customHeight="false" outlineLevel="0" collapsed="false">
      <c r="A143" s="4" t="s">
        <v>461</v>
      </c>
      <c r="B143" s="0" t="s">
        <v>67</v>
      </c>
      <c r="D143" s="9" t="n">
        <f aca="false">1</f>
        <v>1</v>
      </c>
      <c r="E143" s="9" t="n">
        <f aca="false">rel_27</f>
        <v>0.95</v>
      </c>
      <c r="F143" s="9" t="n">
        <f aca="false">rel_28</f>
        <v>0.9</v>
      </c>
      <c r="G143" s="9" t="n">
        <f aca="false">rel_29</f>
        <v>0.85</v>
      </c>
    </row>
    <row r="144" customFormat="false" ht="15" hidden="false" customHeight="false" outlineLevel="0" collapsed="false">
      <c r="A144" s="4" t="s">
        <v>462</v>
      </c>
      <c r="B144" s="0" t="s">
        <v>108</v>
      </c>
      <c r="D144" s="17" t="n">
        <f aca="false">$D$142*D143</f>
        <v>0.445687059095763</v>
      </c>
      <c r="E144" s="17" t="n">
        <f aca="false">$D$142*E143</f>
        <v>0.423402706140975</v>
      </c>
      <c r="F144" s="17" t="n">
        <f aca="false">$D$142*F143</f>
        <v>0.401118353186187</v>
      </c>
      <c r="G144" s="17" t="n">
        <f aca="false">$D$142*G143</f>
        <v>0.378834000231398</v>
      </c>
    </row>
    <row r="145" customFormat="false" ht="15" hidden="false" customHeight="false" outlineLevel="0" collapsed="false">
      <c r="A145" s="4" t="s">
        <v>463</v>
      </c>
      <c r="B145" s="0" t="s">
        <v>67</v>
      </c>
      <c r="D145" s="9" t="n">
        <f aca="false">1</f>
        <v>1</v>
      </c>
      <c r="E145" s="9" t="n">
        <f aca="false">PXLO_27</f>
        <v>0.9</v>
      </c>
      <c r="F145" s="9" t="n">
        <f aca="false">PXLO_28</f>
        <v>0.8</v>
      </c>
      <c r="G145" s="9" t="n">
        <f aca="false">PXLO_29</f>
        <v>0.72</v>
      </c>
    </row>
    <row r="146" customFormat="false" ht="17.15" hidden="false" customHeight="false" outlineLevel="0" collapsed="false">
      <c r="A146" s="4" t="s">
        <v>464</v>
      </c>
      <c r="B146" s="0" t="s">
        <v>108</v>
      </c>
      <c r="D146" s="17" t="n">
        <f aca="false">0</f>
        <v>0</v>
      </c>
      <c r="E146" s="17" t="n">
        <f aca="false">cpo_27</f>
        <v>0.1</v>
      </c>
      <c r="F146" s="17" t="n">
        <f aca="false">cpo_28</f>
        <v>0.15</v>
      </c>
      <c r="G146" s="17" t="n">
        <f aca="false">cpo_29</f>
        <v>0.2</v>
      </c>
    </row>
    <row r="147" customFormat="false" ht="17.15" hidden="false" customHeight="false" outlineLevel="0" collapsed="false">
      <c r="A147" s="0" t="s">
        <v>465</v>
      </c>
      <c r="B147" s="0" t="s">
        <v>34</v>
      </c>
      <c r="D147" s="21" t="n">
        <f aca="false">a26_aiu</f>
        <v>13.2606438392857</v>
      </c>
      <c r="E147" s="21" t="n">
        <f aca="false">E139*E144*E145+E140*E146</f>
        <v>20.6918750064609</v>
      </c>
      <c r="F147" s="21" t="n">
        <f aca="false">F139*F144*F145+F140*F146</f>
        <v>19.5756889830374</v>
      </c>
      <c r="G147" s="21" t="n">
        <f aca="false">G139*G144*G145+G140*G146</f>
        <v>22.2432030688554</v>
      </c>
    </row>
    <row r="148" customFormat="false" ht="17.15" hidden="false" customHeight="false" outlineLevel="0" collapsed="false">
      <c r="A148" s="0" t="s">
        <v>466</v>
      </c>
      <c r="B148" s="0" t="s">
        <v>154</v>
      </c>
      <c r="C148" s="21" t="n">
        <f aca="false">a25_ai</f>
        <v>35.1808</v>
      </c>
      <c r="D148" s="21" t="n">
        <f aca="false">D147*D141</f>
        <v>89.1115266</v>
      </c>
      <c r="E148" s="21" t="n">
        <f aca="false">E147*E141</f>
        <v>139.049400043418</v>
      </c>
      <c r="F148" s="21" t="n">
        <f aca="false">F147*F141</f>
        <v>131.548629966011</v>
      </c>
      <c r="G148" s="21" t="n">
        <f aca="false">G147*G141</f>
        <v>149.474324622709</v>
      </c>
    </row>
    <row r="149" customFormat="false" ht="17.15" hidden="false" customHeight="false" outlineLevel="0" collapsed="false">
      <c r="A149" s="6" t="s">
        <v>467</v>
      </c>
    </row>
    <row r="150" customFormat="false" ht="15" hidden="false" customHeight="false" outlineLevel="0" collapsed="false">
      <c r="A150" s="4" t="s">
        <v>468</v>
      </c>
      <c r="B150" s="0" t="s">
        <v>154</v>
      </c>
      <c r="C150" s="21" t="n">
        <f aca="false">a25_oth</f>
        <v>3.0592</v>
      </c>
      <c r="D150" s="21" t="n">
        <f aca="false">a26_oth</f>
        <v>7.7488284</v>
      </c>
      <c r="E150" s="21" t="n">
        <f aca="false">D150*(1+g_oth)</f>
        <v>8.52371124</v>
      </c>
      <c r="F150" s="21" t="n">
        <f aca="false">E150*(1+g_oth)</f>
        <v>9.376082364</v>
      </c>
      <c r="G150" s="21" t="n">
        <f aca="false">F150*(1+g_oth)</f>
        <v>10.3136906004</v>
      </c>
    </row>
    <row r="151" customFormat="false" ht="15" hidden="false" customHeight="false" outlineLevel="0" collapsed="false">
      <c r="A151" s="4" t="s">
        <v>379</v>
      </c>
      <c r="B151" s="0" t="s">
        <v>154</v>
      </c>
      <c r="C151" s="21" t="n">
        <f aca="false">a25_rev</f>
        <v>38.24</v>
      </c>
      <c r="D151" s="21" t="n">
        <f aca="false">D148+D150</f>
        <v>96.860355</v>
      </c>
      <c r="E151" s="21" t="n">
        <f aca="false">E148+E150</f>
        <v>147.573111283418</v>
      </c>
      <c r="F151" s="21" t="n">
        <f aca="false">F148+F150</f>
        <v>140.924712330011</v>
      </c>
      <c r="G151" s="21" t="n">
        <f aca="false">G148+G150</f>
        <v>159.788015223109</v>
      </c>
    </row>
    <row r="152" customFormat="false" ht="15" hidden="false" customHeight="false" outlineLevel="0" collapsed="false">
      <c r="A152" s="4" t="s">
        <v>469</v>
      </c>
      <c r="B152" s="0" t="s">
        <v>108</v>
      </c>
      <c r="D152" s="17" t="n">
        <f aca="false">D151/C151-1</f>
        <v>1.53295907426778</v>
      </c>
      <c r="E152" s="17" t="n">
        <f aca="false">E151/D151-1</f>
        <v>0.523565666091329</v>
      </c>
      <c r="F152" s="17" t="n">
        <f aca="false">F151/E151-1</f>
        <v>-0.0450515605152343</v>
      </c>
      <c r="G152" s="17" t="n">
        <f aca="false">G151/F151-1</f>
        <v>0.133853761921642</v>
      </c>
    </row>
    <row r="153" customFormat="false" ht="17.15" hidden="false" customHeight="false" outlineLevel="0" collapsed="false">
      <c r="A153" s="0" t="s">
        <v>470</v>
      </c>
      <c r="B153" s="0" t="s">
        <v>108</v>
      </c>
      <c r="C153" s="17" t="n">
        <f aca="false">C148/C151</f>
        <v>0.92</v>
      </c>
      <c r="D153" s="17" t="n">
        <f aca="false">D148/D151</f>
        <v>0.92</v>
      </c>
      <c r="E153" s="17" t="n">
        <f aca="false">E148/E151</f>
        <v>0.942240756694287</v>
      </c>
      <c r="F153" s="17" t="n">
        <f aca="false">F148/F151</f>
        <v>0.93346743655546</v>
      </c>
      <c r="G153" s="17" t="n">
        <f aca="false">G148/G151</f>
        <v>0.935453916327835</v>
      </c>
    </row>
    <row r="154" customFormat="false" ht="17.15" hidden="false" customHeight="false" outlineLevel="0" collapsed="false">
      <c r="A154" s="6" t="s">
        <v>471</v>
      </c>
    </row>
    <row r="155" customFormat="false" ht="17.15" hidden="false" customHeight="false" outlineLevel="0" collapsed="false">
      <c r="A155" s="4" t="s">
        <v>383</v>
      </c>
      <c r="B155" s="0" t="s">
        <v>108</v>
      </c>
      <c r="C155" s="17" t="n">
        <f aca="false">a25_gp/a25_rev</f>
        <v>0.4261</v>
      </c>
      <c r="D155" s="17" t="n">
        <f aca="false">a26_gp/a26_rev</f>
        <v>0.468231579886322</v>
      </c>
      <c r="E155" s="17" t="n">
        <f aca="false">gm_27</f>
        <v>0.47</v>
      </c>
      <c r="F155" s="17" t="n">
        <f aca="false">gm_28</f>
        <v>0.46</v>
      </c>
      <c r="G155" s="17" t="n">
        <f aca="false">gm_29</f>
        <v>0.45</v>
      </c>
      <c r="H155" s="8" t="s">
        <v>472</v>
      </c>
    </row>
    <row r="156" customFormat="false" ht="15" hidden="false" customHeight="false" outlineLevel="0" collapsed="false">
      <c r="A156" s="4" t="s">
        <v>382</v>
      </c>
      <c r="B156" s="0" t="s">
        <v>154</v>
      </c>
      <c r="C156" s="21" t="n">
        <f aca="false">C151*C155</f>
        <v>16.294064</v>
      </c>
      <c r="D156" s="21" t="n">
        <f aca="false">D151*D155</f>
        <v>45.35307705</v>
      </c>
      <c r="E156" s="21" t="n">
        <f aca="false">E151*E155</f>
        <v>69.3593623032063</v>
      </c>
      <c r="F156" s="21" t="n">
        <f aca="false">F151*F155</f>
        <v>64.8253676718052</v>
      </c>
      <c r="G156" s="21" t="n">
        <f aca="false">G151*G155</f>
        <v>71.9046068503989</v>
      </c>
    </row>
    <row r="157" customFormat="false" ht="15" hidden="false" customHeight="false" outlineLevel="0" collapsed="false">
      <c r="A157" s="4" t="s">
        <v>473</v>
      </c>
      <c r="B157" s="0" t="s">
        <v>154</v>
      </c>
      <c r="C157" s="21" t="n">
        <f aca="false">a25_opx</f>
        <v>2.6649299429437</v>
      </c>
      <c r="D157" s="21" t="n">
        <f aca="false">a26_opx</f>
        <v>5.17620397829946</v>
      </c>
      <c r="E157" s="21" t="n">
        <f aca="false">D157*(1+MAX(0,phi*E152))</f>
        <v>6.84214756345167</v>
      </c>
      <c r="F157" s="21" t="n">
        <f aca="false">E157*(1+MAX(0,phi*F152))</f>
        <v>6.84214756345167</v>
      </c>
      <c r="G157" s="21" t="n">
        <f aca="false">F157*(1+MAX(0,phi*G152))</f>
        <v>7.40513767514639</v>
      </c>
    </row>
    <row r="158" customFormat="false" ht="15" hidden="false" customHeight="false" outlineLevel="0" collapsed="false">
      <c r="A158" s="4" t="s">
        <v>474</v>
      </c>
      <c r="B158" s="0" t="s">
        <v>154</v>
      </c>
      <c r="C158" s="21" t="n">
        <f aca="false">C157</f>
        <v>2.6649299429437</v>
      </c>
      <c r="D158" s="21" t="n">
        <f aca="false">D157</f>
        <v>5.17620397829946</v>
      </c>
      <c r="E158" s="21" t="n">
        <f aca="false">E157+0*E151</f>
        <v>6.84214756345167</v>
      </c>
      <c r="F158" s="21" t="n">
        <f aca="false">F157+0*F151</f>
        <v>6.84214756345167</v>
      </c>
      <c r="G158" s="21" t="n">
        <f aca="false">G157+0*G151</f>
        <v>7.40513767514639</v>
      </c>
    </row>
    <row r="159" customFormat="false" ht="15" hidden="false" customHeight="false" outlineLevel="0" collapsed="false">
      <c r="A159" s="4" t="s">
        <v>475</v>
      </c>
      <c r="B159" s="0" t="s">
        <v>154</v>
      </c>
      <c r="C159" s="21" t="n">
        <f aca="false">C156-C158</f>
        <v>13.6291340570563</v>
      </c>
      <c r="D159" s="21" t="n">
        <f aca="false">D156-D158</f>
        <v>40.1768730717005</v>
      </c>
      <c r="E159" s="21" t="n">
        <f aca="false">E156-E158</f>
        <v>62.5172147397546</v>
      </c>
      <c r="F159" s="21" t="n">
        <f aca="false">F156-F158</f>
        <v>57.9832201083535</v>
      </c>
      <c r="G159" s="21" t="n">
        <f aca="false">G156-G158</f>
        <v>64.4994691752525</v>
      </c>
    </row>
    <row r="160" customFormat="false" ht="15" hidden="false" customHeight="false" outlineLevel="0" collapsed="false">
      <c r="A160" s="4" t="s">
        <v>476</v>
      </c>
      <c r="B160" s="0" t="s">
        <v>108</v>
      </c>
      <c r="C160" s="17" t="n">
        <f aca="false">C159/C151</f>
        <v>0.356410409441849</v>
      </c>
      <c r="D160" s="17" t="n">
        <f aca="false">D159/D151</f>
        <v>0.414791718156521</v>
      </c>
      <c r="E160" s="17" t="n">
        <f aca="false">E159/E151</f>
        <v>0.423635540350497</v>
      </c>
      <c r="F160" s="17" t="n">
        <f aca="false">F159/F151</f>
        <v>0.411448206277484</v>
      </c>
      <c r="G160" s="17" t="n">
        <f aca="false">G159/G151</f>
        <v>0.403656488787305</v>
      </c>
    </row>
    <row r="161" customFormat="false" ht="15" hidden="false" customHeight="false" outlineLevel="0" collapsed="false">
      <c r="A161" s="4" t="s">
        <v>390</v>
      </c>
      <c r="B161" s="0" t="s">
        <v>154</v>
      </c>
      <c r="C161" s="21" t="n">
        <f aca="false">a25_ni</f>
        <v>10.797</v>
      </c>
      <c r="D161" s="21" t="n">
        <f aca="false">a26_ni</f>
        <v>31.8281188474012</v>
      </c>
      <c r="E161" s="21" t="n">
        <f aca="false">E159*(1-tx)*attr</f>
        <v>49.5261375168336</v>
      </c>
      <c r="F161" s="21" t="n">
        <f aca="false">F159*(1-tx)*attr</f>
        <v>45.9343069698377</v>
      </c>
      <c r="G161" s="21" t="n">
        <f aca="false">G159*(1-tx)*attr</f>
        <v>51.096479480635</v>
      </c>
    </row>
    <row r="162" customFormat="false" ht="15" hidden="false" customHeight="false" outlineLevel="0" collapsed="false">
      <c r="A162" s="4" t="s">
        <v>392</v>
      </c>
      <c r="B162" s="0" t="s">
        <v>108</v>
      </c>
      <c r="C162" s="17" t="n">
        <f aca="false">C161/C151</f>
        <v>0.282348326359833</v>
      </c>
      <c r="D162" s="17" t="n">
        <f aca="false">D161/D151</f>
        <v>0.328597999123596</v>
      </c>
      <c r="E162" s="17" t="n">
        <f aca="false">E161/E151</f>
        <v>0.335604075065664</v>
      </c>
      <c r="F162" s="17" t="n">
        <f aca="false">F161/F151</f>
        <v>0.325949269013023</v>
      </c>
      <c r="G162" s="17" t="n">
        <f aca="false">G161/G151</f>
        <v>0.319776670417303</v>
      </c>
    </row>
    <row r="163" customFormat="false" ht="15" hidden="false" customHeight="false" outlineLevel="0" collapsed="false">
      <c r="A163" s="4" t="s">
        <v>477</v>
      </c>
      <c r="B163" s="4" t="s">
        <v>186</v>
      </c>
      <c r="C163" s="18" t="n">
        <f aca="false">a25_sh</f>
        <v>1.1089358245329</v>
      </c>
      <c r="D163" s="18" t="n">
        <f aca="false">a26_sh</f>
        <v>1.1434224718021</v>
      </c>
      <c r="E163" s="18" t="n">
        <f aca="false">sh_post*(1+sh_g)</f>
        <v>1.1779091190713</v>
      </c>
      <c r="F163" s="18" t="n">
        <f aca="false">E163*(1+sh_g)</f>
        <v>1.1779091190713</v>
      </c>
      <c r="G163" s="18" t="n">
        <f aca="false">F163*(1+sh_g)</f>
        <v>1.1779091190713</v>
      </c>
    </row>
    <row r="164" customFormat="false" ht="15" hidden="false" customHeight="false" outlineLevel="0" collapsed="false">
      <c r="A164" s="0" t="s">
        <v>395</v>
      </c>
      <c r="B164" s="0" t="s">
        <v>125</v>
      </c>
      <c r="C164" s="21" t="n">
        <f aca="false">C161/C163</f>
        <v>9.73636143872244</v>
      </c>
      <c r="D164" s="21" t="n">
        <f aca="false">D161/D163</f>
        <v>27.8358346388262</v>
      </c>
      <c r="E164" s="21" t="n">
        <f aca="false">E161/E163</f>
        <v>42.0458053299405</v>
      </c>
      <c r="F164" s="21" t="n">
        <f aca="false">F161/F163</f>
        <v>38.9964779337592</v>
      </c>
      <c r="G164" s="21" t="n">
        <f aca="false">G161/G163</f>
        <v>43.3789658755007</v>
      </c>
    </row>
    <row r="165" customFormat="false" ht="17.15" hidden="false" customHeight="false" outlineLevel="0" collapsed="false">
      <c r="A165" s="0" t="s">
        <v>478</v>
      </c>
      <c r="B165" s="0" t="s">
        <v>108</v>
      </c>
      <c r="D165" s="17" t="n">
        <f aca="false">D164/C164-1</f>
        <v>1.85895658393704</v>
      </c>
      <c r="E165" s="17" t="n">
        <f aca="false">E164/D164-1</f>
        <v>0.510491992623561</v>
      </c>
      <c r="F165" s="17" t="n">
        <f aca="false">F164/E164-1</f>
        <v>-0.0725239384108055</v>
      </c>
      <c r="G165" s="17" t="n">
        <f aca="false">G164/F164-1</f>
        <v>0.112381634802655</v>
      </c>
    </row>
    <row r="168" customFormat="false" ht="17.15" hidden="false" customHeight="false" outlineLevel="0" collapsed="false">
      <c r="A168" s="1" t="s">
        <v>808</v>
      </c>
    </row>
    <row r="169" customFormat="false" ht="17.15" hidden="false" customHeight="false" outlineLevel="0" collapsed="false">
      <c r="A169" s="5" t="s">
        <v>23</v>
      </c>
      <c r="B169" s="5" t="s">
        <v>24</v>
      </c>
      <c r="C169" s="15" t="s">
        <v>372</v>
      </c>
      <c r="D169" s="15" t="s">
        <v>434</v>
      </c>
      <c r="E169" s="15" t="s">
        <v>435</v>
      </c>
      <c r="F169" s="15" t="s">
        <v>436</v>
      </c>
      <c r="G169" s="15" t="s">
        <v>437</v>
      </c>
      <c r="H169" s="5" t="s">
        <v>378</v>
      </c>
    </row>
    <row r="170" customFormat="false" ht="17.15" hidden="false" customHeight="false" outlineLevel="0" collapsed="false">
      <c r="A170" s="6" t="s">
        <v>454</v>
      </c>
    </row>
    <row r="171" customFormat="false" ht="17.15" hidden="false" customHeight="false" outlineLevel="0" collapsed="false">
      <c r="A171" s="0" t="s">
        <v>455</v>
      </c>
      <c r="B171" s="0" t="s">
        <v>34</v>
      </c>
      <c r="D171" s="21" t="n">
        <f aca="false">mpl_26*1</f>
        <v>29.753262</v>
      </c>
      <c r="E171" s="21" t="n">
        <f aca="false">mpl_27*1*1</f>
        <v>53.560715</v>
      </c>
      <c r="F171" s="21" t="n">
        <f aca="false">mpl_28*um28_A*1</f>
        <v>57.9915</v>
      </c>
      <c r="G171" s="21" t="n">
        <f aca="false">mpl_29*um29_A*1</f>
        <v>72.9348</v>
      </c>
    </row>
    <row r="172" customFormat="false" ht="17.15" hidden="false" customHeight="false" outlineLevel="0" collapsed="false">
      <c r="A172" s="0" t="s">
        <v>456</v>
      </c>
      <c r="B172" s="0" t="s">
        <v>34</v>
      </c>
      <c r="D172" s="21" t="n">
        <f aca="false">mcp_26*1</f>
        <v>0.300538</v>
      </c>
      <c r="E172" s="21" t="n">
        <f aca="false">mcp_27*1</f>
        <v>2.818985</v>
      </c>
      <c r="F172" s="21" t="n">
        <f aca="false">mcp_28*um28_A</f>
        <v>6.4435</v>
      </c>
      <c r="G172" s="21" t="n">
        <f aca="false">mcp_29*um29_A</f>
        <v>11.74736</v>
      </c>
    </row>
    <row r="173" customFormat="false" ht="17.15" hidden="false" customHeight="false" outlineLevel="0" collapsed="false">
      <c r="A173" s="4" t="s">
        <v>457</v>
      </c>
      <c r="B173" s="0" t="s">
        <v>125</v>
      </c>
      <c r="D173" s="9" t="n">
        <f aca="false">fx</f>
        <v>6.72</v>
      </c>
      <c r="E173" s="9" t="n">
        <f aca="false">fx</f>
        <v>6.72</v>
      </c>
      <c r="F173" s="9" t="n">
        <f aca="false">fx</f>
        <v>6.72</v>
      </c>
      <c r="G173" s="9" t="n">
        <f aca="false">fx</f>
        <v>6.72</v>
      </c>
      <c r="H173" s="8" t="s">
        <v>458</v>
      </c>
    </row>
    <row r="174" customFormat="false" ht="17.15" hidden="false" customHeight="false" outlineLevel="0" collapsed="false">
      <c r="A174" s="4" t="s">
        <v>459</v>
      </c>
      <c r="B174" s="0" t="s">
        <v>108</v>
      </c>
      <c r="D174" s="17" t="n">
        <f aca="false">a26_aiu/D171</f>
        <v>0.445687059095763</v>
      </c>
      <c r="H174" s="8" t="s">
        <v>460</v>
      </c>
    </row>
    <row r="175" customFormat="false" ht="17.15" hidden="false" customHeight="false" outlineLevel="0" collapsed="false">
      <c r="A175" s="4" t="s">
        <v>461</v>
      </c>
      <c r="B175" s="0" t="s">
        <v>67</v>
      </c>
      <c r="D175" s="9" t="n">
        <f aca="false">1</f>
        <v>1</v>
      </c>
      <c r="E175" s="9" t="n">
        <f aca="false">rel_27</f>
        <v>0.95</v>
      </c>
      <c r="F175" s="9" t="n">
        <f aca="false">rel_28</f>
        <v>0.9</v>
      </c>
      <c r="G175" s="9" t="n">
        <f aca="false">rel_29</f>
        <v>0.85</v>
      </c>
    </row>
    <row r="176" customFormat="false" ht="15" hidden="false" customHeight="false" outlineLevel="0" collapsed="false">
      <c r="A176" s="4" t="s">
        <v>462</v>
      </c>
      <c r="B176" s="0" t="s">
        <v>108</v>
      </c>
      <c r="D176" s="17" t="n">
        <f aca="false">$D$174*D175</f>
        <v>0.445687059095763</v>
      </c>
      <c r="E176" s="17" t="n">
        <f aca="false">$D$174*E175</f>
        <v>0.423402706140975</v>
      </c>
      <c r="F176" s="17" t="n">
        <f aca="false">$D$174*F175</f>
        <v>0.401118353186187</v>
      </c>
      <c r="G176" s="17" t="n">
        <f aca="false">$D$174*G175</f>
        <v>0.378834000231398</v>
      </c>
    </row>
    <row r="177" customFormat="false" ht="15" hidden="false" customHeight="false" outlineLevel="0" collapsed="false">
      <c r="A177" s="4" t="s">
        <v>463</v>
      </c>
      <c r="B177" s="0" t="s">
        <v>67</v>
      </c>
      <c r="D177" s="9" t="n">
        <f aca="false">1</f>
        <v>1</v>
      </c>
      <c r="E177" s="9" t="n">
        <f aca="false">pxr_27</f>
        <v>1</v>
      </c>
      <c r="F177" s="9" t="n">
        <f aca="false">pxr_28</f>
        <v>1</v>
      </c>
      <c r="G177" s="9" t="n">
        <f aca="false">pxr_29</f>
        <v>1</v>
      </c>
    </row>
    <row r="178" customFormat="false" ht="17.15" hidden="false" customHeight="false" outlineLevel="0" collapsed="false">
      <c r="A178" s="4" t="s">
        <v>464</v>
      </c>
      <c r="B178" s="0" t="s">
        <v>108</v>
      </c>
      <c r="D178" s="17" t="n">
        <f aca="false">0</f>
        <v>0</v>
      </c>
      <c r="E178" s="17" t="n">
        <f aca="false">cpo_27</f>
        <v>0.1</v>
      </c>
      <c r="F178" s="17" t="n">
        <f aca="false">cpo_28</f>
        <v>0.15</v>
      </c>
      <c r="G178" s="17" t="n">
        <f aca="false">cpo_29</f>
        <v>0.2</v>
      </c>
    </row>
    <row r="179" customFormat="false" ht="17.15" hidden="false" customHeight="false" outlineLevel="0" collapsed="false">
      <c r="A179" s="0" t="s">
        <v>465</v>
      </c>
      <c r="B179" s="0" t="s">
        <v>34</v>
      </c>
      <c r="D179" s="21" t="n">
        <f aca="false">a26_aiu</f>
        <v>13.2606438392857</v>
      </c>
      <c r="E179" s="21" t="n">
        <f aca="false">E171*E176*E177+E172*E178</f>
        <v>22.9596501738455</v>
      </c>
      <c r="F179" s="21" t="n">
        <f aca="false">F171*F176*F177+F172*F178</f>
        <v>24.2279799787967</v>
      </c>
      <c r="G179" s="21" t="n">
        <f aca="false">G171*G176*G177+G172*G178</f>
        <v>29.979654040077</v>
      </c>
    </row>
    <row r="180" customFormat="false" ht="17.15" hidden="false" customHeight="false" outlineLevel="0" collapsed="false">
      <c r="A180" s="0" t="s">
        <v>466</v>
      </c>
      <c r="B180" s="0" t="s">
        <v>154</v>
      </c>
      <c r="C180" s="21" t="n">
        <f aca="false">a25_ai</f>
        <v>35.1808</v>
      </c>
      <c r="D180" s="21" t="n">
        <f aca="false">D179*D173</f>
        <v>89.1115266</v>
      </c>
      <c r="E180" s="21" t="n">
        <f aca="false">E179*E173</f>
        <v>154.288849168242</v>
      </c>
      <c r="F180" s="21" t="n">
        <f aca="false">F179*F173</f>
        <v>162.812025457514</v>
      </c>
      <c r="G180" s="21" t="n">
        <f aca="false">G179*G173</f>
        <v>201.463275149317</v>
      </c>
    </row>
    <row r="181" customFormat="false" ht="17.15" hidden="false" customHeight="false" outlineLevel="0" collapsed="false">
      <c r="A181" s="6" t="s">
        <v>467</v>
      </c>
    </row>
    <row r="182" customFormat="false" ht="15" hidden="false" customHeight="false" outlineLevel="0" collapsed="false">
      <c r="A182" s="4" t="s">
        <v>468</v>
      </c>
      <c r="B182" s="0" t="s">
        <v>154</v>
      </c>
      <c r="C182" s="21" t="n">
        <f aca="false">a25_oth</f>
        <v>3.0592</v>
      </c>
      <c r="D182" s="21" t="n">
        <f aca="false">a26_oth</f>
        <v>7.7488284</v>
      </c>
      <c r="E182" s="21" t="n">
        <f aca="false">D182*(1+g_oth)</f>
        <v>8.52371124</v>
      </c>
      <c r="F182" s="21" t="n">
        <f aca="false">E182*(1+g_oth)</f>
        <v>9.376082364</v>
      </c>
      <c r="G182" s="21" t="n">
        <f aca="false">F182*(1+g_oth)</f>
        <v>10.3136906004</v>
      </c>
    </row>
    <row r="183" customFormat="false" ht="15" hidden="false" customHeight="false" outlineLevel="0" collapsed="false">
      <c r="A183" s="4" t="s">
        <v>379</v>
      </c>
      <c r="B183" s="0" t="s">
        <v>154</v>
      </c>
      <c r="C183" s="21" t="n">
        <f aca="false">a25_rev</f>
        <v>38.24</v>
      </c>
      <c r="D183" s="21" t="n">
        <f aca="false">D180+D182</f>
        <v>96.860355</v>
      </c>
      <c r="E183" s="21" t="n">
        <f aca="false">E180+E182</f>
        <v>162.812560408242</v>
      </c>
      <c r="F183" s="21" t="n">
        <f aca="false">F180+F182</f>
        <v>172.188107821514</v>
      </c>
      <c r="G183" s="21" t="n">
        <f aca="false">G180+G182</f>
        <v>211.776965749717</v>
      </c>
    </row>
    <row r="184" customFormat="false" ht="15" hidden="false" customHeight="false" outlineLevel="0" collapsed="false">
      <c r="A184" s="4" t="s">
        <v>469</v>
      </c>
      <c r="B184" s="0" t="s">
        <v>108</v>
      </c>
      <c r="D184" s="17" t="n">
        <f aca="false">D183/C183-1</f>
        <v>1.53295907426778</v>
      </c>
      <c r="E184" s="17" t="n">
        <f aca="false">E183/D183-1</f>
        <v>0.680899893545112</v>
      </c>
      <c r="F184" s="17" t="n">
        <f aca="false">F183/E183-1</f>
        <v>0.0575849147618819</v>
      </c>
      <c r="G184" s="17" t="n">
        <f aca="false">G183/F183-1</f>
        <v>0.229916330628595</v>
      </c>
    </row>
    <row r="185" customFormat="false" ht="17.15" hidden="false" customHeight="false" outlineLevel="0" collapsed="false">
      <c r="A185" s="0" t="s">
        <v>470</v>
      </c>
      <c r="B185" s="0" t="s">
        <v>108</v>
      </c>
      <c r="C185" s="17" t="n">
        <f aca="false">C180/C183</f>
        <v>0.92</v>
      </c>
      <c r="D185" s="17" t="n">
        <f aca="false">D180/D183</f>
        <v>0.92</v>
      </c>
      <c r="E185" s="17" t="n">
        <f aca="false">E180/E183</f>
        <v>0.947647090503169</v>
      </c>
      <c r="F185" s="17" t="n">
        <f aca="false">F180/F183</f>
        <v>0.945547445275843</v>
      </c>
      <c r="G185" s="17" t="n">
        <f aca="false">G180/G183</f>
        <v>0.951299280524262</v>
      </c>
    </row>
    <row r="186" customFormat="false" ht="17.15" hidden="false" customHeight="false" outlineLevel="0" collapsed="false">
      <c r="A186" s="6" t="s">
        <v>471</v>
      </c>
    </row>
    <row r="187" customFormat="false" ht="17.15" hidden="false" customHeight="false" outlineLevel="0" collapsed="false">
      <c r="A187" s="4" t="s">
        <v>383</v>
      </c>
      <c r="B187" s="0" t="s">
        <v>108</v>
      </c>
      <c r="C187" s="17" t="n">
        <f aca="false">a25_gp/a25_rev</f>
        <v>0.4261</v>
      </c>
      <c r="D187" s="17" t="n">
        <f aca="false">a26_gp/a26_rev</f>
        <v>0.468231579886322</v>
      </c>
      <c r="E187" s="17" t="n">
        <f aca="false">GMLO_27</f>
        <v>0.43</v>
      </c>
      <c r="F187" s="17" t="n">
        <f aca="false">GMLO_28</f>
        <v>0.4</v>
      </c>
      <c r="G187" s="17" t="n">
        <f aca="false">GMLO_29</f>
        <v>0.36</v>
      </c>
      <c r="H187" s="8" t="s">
        <v>472</v>
      </c>
    </row>
    <row r="188" customFormat="false" ht="15" hidden="false" customHeight="false" outlineLevel="0" collapsed="false">
      <c r="A188" s="4" t="s">
        <v>382</v>
      </c>
      <c r="B188" s="0" t="s">
        <v>154</v>
      </c>
      <c r="C188" s="21" t="n">
        <f aca="false">C183*C187</f>
        <v>16.294064</v>
      </c>
      <c r="D188" s="21" t="n">
        <f aca="false">D183*D187</f>
        <v>45.35307705</v>
      </c>
      <c r="E188" s="21" t="n">
        <f aca="false">E183*E187</f>
        <v>70.009400975544</v>
      </c>
      <c r="F188" s="21" t="n">
        <f aca="false">F183*F187</f>
        <v>68.8752431286056</v>
      </c>
      <c r="G188" s="21" t="n">
        <f aca="false">G183*G187</f>
        <v>76.2397076698983</v>
      </c>
    </row>
    <row r="189" customFormat="false" ht="15" hidden="false" customHeight="false" outlineLevel="0" collapsed="false">
      <c r="A189" s="4" t="s">
        <v>473</v>
      </c>
      <c r="B189" s="0" t="s">
        <v>154</v>
      </c>
      <c r="C189" s="21" t="n">
        <f aca="false">a25_opx</f>
        <v>2.6649299429437</v>
      </c>
      <c r="D189" s="21" t="n">
        <f aca="false">a26_opx</f>
        <v>5.17620397829946</v>
      </c>
      <c r="E189" s="21" t="n">
        <f aca="false">D189*(1+MAX(0,phi*E184))</f>
        <v>7.34277234450021</v>
      </c>
      <c r="F189" s="21" t="n">
        <f aca="false">E189*(1+MAX(0,phi*F184))</f>
        <v>7.6026964398742</v>
      </c>
      <c r="G189" s="21" t="n">
        <f aca="false">F189*(1+MAX(0,phi*G184))</f>
        <v>8.6772182111425</v>
      </c>
    </row>
    <row r="190" customFormat="false" ht="15" hidden="false" customHeight="false" outlineLevel="0" collapsed="false">
      <c r="A190" s="4" t="s">
        <v>474</v>
      </c>
      <c r="B190" s="0" t="s">
        <v>154</v>
      </c>
      <c r="C190" s="21" t="n">
        <f aca="false">C189</f>
        <v>2.6649299429437</v>
      </c>
      <c r="D190" s="21" t="n">
        <f aca="false">D189</f>
        <v>5.17620397829946</v>
      </c>
      <c r="E190" s="21" t="n">
        <f aca="false">E189+0*E183</f>
        <v>7.34277234450021</v>
      </c>
      <c r="F190" s="21" t="n">
        <f aca="false">F189+0*F183</f>
        <v>7.6026964398742</v>
      </c>
      <c r="G190" s="21" t="n">
        <f aca="false">G189+0*G183</f>
        <v>8.6772182111425</v>
      </c>
    </row>
    <row r="191" customFormat="false" ht="15" hidden="false" customHeight="false" outlineLevel="0" collapsed="false">
      <c r="A191" s="4" t="s">
        <v>475</v>
      </c>
      <c r="B191" s="0" t="s">
        <v>154</v>
      </c>
      <c r="C191" s="21" t="n">
        <f aca="false">C188-C190</f>
        <v>13.6291340570563</v>
      </c>
      <c r="D191" s="21" t="n">
        <f aca="false">D188-D190</f>
        <v>40.1768730717005</v>
      </c>
      <c r="E191" s="21" t="n">
        <f aca="false">E188-E190</f>
        <v>62.6666286310437</v>
      </c>
      <c r="F191" s="21" t="n">
        <f aca="false">F188-F190</f>
        <v>61.2725466887314</v>
      </c>
      <c r="G191" s="21" t="n">
        <f aca="false">G188-G190</f>
        <v>67.5624894587558</v>
      </c>
    </row>
    <row r="192" customFormat="false" ht="15" hidden="false" customHeight="false" outlineLevel="0" collapsed="false">
      <c r="A192" s="4" t="s">
        <v>476</v>
      </c>
      <c r="B192" s="0" t="s">
        <v>108</v>
      </c>
      <c r="C192" s="17" t="n">
        <f aca="false">C191/C183</f>
        <v>0.356410409441849</v>
      </c>
      <c r="D192" s="17" t="n">
        <f aca="false">D191/D183</f>
        <v>0.414791718156521</v>
      </c>
      <c r="E192" s="17" t="n">
        <f aca="false">E191/E183</f>
        <v>0.384900455308309</v>
      </c>
      <c r="F192" s="17" t="n">
        <f aca="false">F191/F183</f>
        <v>0.355846564922155</v>
      </c>
      <c r="G192" s="17" t="n">
        <f aca="false">G191/G183</f>
        <v>0.319026619441713</v>
      </c>
    </row>
    <row r="193" customFormat="false" ht="15" hidden="false" customHeight="false" outlineLevel="0" collapsed="false">
      <c r="A193" s="4" t="s">
        <v>390</v>
      </c>
      <c r="B193" s="0" t="s">
        <v>154</v>
      </c>
      <c r="C193" s="21" t="n">
        <f aca="false">a25_ni</f>
        <v>10.797</v>
      </c>
      <c r="D193" s="21" t="n">
        <f aca="false">a26_ni</f>
        <v>31.8281188474012</v>
      </c>
      <c r="E193" s="21" t="n">
        <f aca="false">E191*(1-tx)*attr</f>
        <v>49.6445032015129</v>
      </c>
      <c r="F193" s="21" t="n">
        <f aca="false">F191*(1-tx)*attr</f>
        <v>48.540111486813</v>
      </c>
      <c r="G193" s="21" t="n">
        <f aca="false">G191*(1-tx)*attr</f>
        <v>53.5230041492263</v>
      </c>
    </row>
    <row r="194" customFormat="false" ht="15" hidden="false" customHeight="false" outlineLevel="0" collapsed="false">
      <c r="A194" s="4" t="s">
        <v>392</v>
      </c>
      <c r="B194" s="0" t="s">
        <v>108</v>
      </c>
      <c r="C194" s="17" t="n">
        <f aca="false">C193/C183</f>
        <v>0.282348326359833</v>
      </c>
      <c r="D194" s="17" t="n">
        <f aca="false">D193/D183</f>
        <v>0.328597999123596</v>
      </c>
      <c r="E194" s="17" t="n">
        <f aca="false">E193/E183</f>
        <v>0.304918140695242</v>
      </c>
      <c r="F194" s="17" t="n">
        <f aca="false">F193/F183</f>
        <v>0.281901648731331</v>
      </c>
      <c r="G194" s="17" t="n">
        <f aca="false">G193/G183</f>
        <v>0.252732887921725</v>
      </c>
    </row>
    <row r="195" customFormat="false" ht="15" hidden="false" customHeight="false" outlineLevel="0" collapsed="false">
      <c r="A195" s="4" t="s">
        <v>477</v>
      </c>
      <c r="B195" s="4" t="s">
        <v>186</v>
      </c>
      <c r="C195" s="18" t="n">
        <f aca="false">a25_sh</f>
        <v>1.1089358245329</v>
      </c>
      <c r="D195" s="18" t="n">
        <f aca="false">a26_sh</f>
        <v>1.1434224718021</v>
      </c>
      <c r="E195" s="18" t="n">
        <f aca="false">sh_post*(1+sh_g)</f>
        <v>1.1779091190713</v>
      </c>
      <c r="F195" s="18" t="n">
        <f aca="false">E195*(1+sh_g)</f>
        <v>1.1779091190713</v>
      </c>
      <c r="G195" s="18" t="n">
        <f aca="false">F195*(1+sh_g)</f>
        <v>1.1779091190713</v>
      </c>
    </row>
    <row r="196" customFormat="false" ht="15" hidden="false" customHeight="false" outlineLevel="0" collapsed="false">
      <c r="A196" s="0" t="s">
        <v>395</v>
      </c>
      <c r="B196" s="0" t="s">
        <v>125</v>
      </c>
      <c r="C196" s="21" t="n">
        <f aca="false">C193/C195</f>
        <v>9.73636143872244</v>
      </c>
      <c r="D196" s="21" t="n">
        <f aca="false">D193/D195</f>
        <v>27.8358346388262</v>
      </c>
      <c r="E196" s="21" t="n">
        <f aca="false">E193/E195</f>
        <v>42.1462932901429</v>
      </c>
      <c r="F196" s="21" t="n">
        <f aca="false">F193/F195</f>
        <v>41.2087067677034</v>
      </c>
      <c r="G196" s="21" t="n">
        <f aca="false">G193/G195</f>
        <v>45.4389929432124</v>
      </c>
    </row>
    <row r="197" customFormat="false" ht="17.15" hidden="false" customHeight="false" outlineLevel="0" collapsed="false">
      <c r="A197" s="0" t="s">
        <v>478</v>
      </c>
      <c r="B197" s="0" t="s">
        <v>108</v>
      </c>
      <c r="D197" s="17" t="n">
        <f aca="false">D196/C196-1</f>
        <v>1.85895658393704</v>
      </c>
      <c r="E197" s="17" t="n">
        <f aca="false">E196/D196-1</f>
        <v>0.514102014076348</v>
      </c>
      <c r="F197" s="17" t="n">
        <f aca="false">F196/E196-1</f>
        <v>-0.0222460019433965</v>
      </c>
      <c r="G197" s="17" t="n">
        <f aca="false">G196/F196-1</f>
        <v>0.102655154876745</v>
      </c>
    </row>
    <row r="200" customFormat="false" ht="17.15" hidden="false" customHeight="false" outlineLevel="0" collapsed="false">
      <c r="A200" s="1" t="s">
        <v>809</v>
      </c>
    </row>
    <row r="201" customFormat="false" ht="17.15" hidden="false" customHeight="false" outlineLevel="0" collapsed="false">
      <c r="A201" s="5" t="s">
        <v>23</v>
      </c>
      <c r="B201" s="5" t="s">
        <v>24</v>
      </c>
      <c r="C201" s="15" t="s">
        <v>372</v>
      </c>
      <c r="D201" s="15" t="s">
        <v>434</v>
      </c>
      <c r="E201" s="15" t="s">
        <v>435</v>
      </c>
      <c r="F201" s="15" t="s">
        <v>436</v>
      </c>
      <c r="G201" s="15" t="s">
        <v>437</v>
      </c>
      <c r="H201" s="5" t="s">
        <v>378</v>
      </c>
    </row>
    <row r="202" customFormat="false" ht="17.15" hidden="false" customHeight="false" outlineLevel="0" collapsed="false">
      <c r="A202" s="6" t="s">
        <v>454</v>
      </c>
    </row>
    <row r="203" customFormat="false" ht="17.15" hidden="false" customHeight="false" outlineLevel="0" collapsed="false">
      <c r="A203" s="0" t="s">
        <v>455</v>
      </c>
      <c r="B203" s="0" t="s">
        <v>34</v>
      </c>
      <c r="D203" s="21" t="n">
        <f aca="false">mpl_26*1</f>
        <v>29.753262</v>
      </c>
      <c r="E203" s="21" t="n">
        <f aca="false">mpl_27*1*1</f>
        <v>53.560715</v>
      </c>
      <c r="F203" s="21" t="n">
        <f aca="false">mpl_28*um28_A*1</f>
        <v>57.9915</v>
      </c>
      <c r="G203" s="21" t="n">
        <f aca="false">mpl_29*um29_A*1</f>
        <v>72.9348</v>
      </c>
    </row>
    <row r="204" customFormat="false" ht="17.15" hidden="false" customHeight="false" outlineLevel="0" collapsed="false">
      <c r="A204" s="0" t="s">
        <v>456</v>
      </c>
      <c r="B204" s="0" t="s">
        <v>34</v>
      </c>
      <c r="D204" s="21" t="n">
        <f aca="false">mcp_26*1</f>
        <v>0.300538</v>
      </c>
      <c r="E204" s="21" t="n">
        <f aca="false">mcp_27*1</f>
        <v>2.818985</v>
      </c>
      <c r="F204" s="21" t="n">
        <f aca="false">mcp_28*um28_A</f>
        <v>6.4435</v>
      </c>
      <c r="G204" s="21" t="n">
        <f aca="false">mcp_29*um29_A</f>
        <v>11.74736</v>
      </c>
    </row>
    <row r="205" customFormat="false" ht="17.15" hidden="false" customHeight="false" outlineLevel="0" collapsed="false">
      <c r="A205" s="4" t="s">
        <v>457</v>
      </c>
      <c r="B205" s="0" t="s">
        <v>125</v>
      </c>
      <c r="D205" s="9" t="n">
        <f aca="false">fx</f>
        <v>6.72</v>
      </c>
      <c r="E205" s="9" t="n">
        <f aca="false">fx</f>
        <v>6.72</v>
      </c>
      <c r="F205" s="9" t="n">
        <f aca="false">fx</f>
        <v>6.72</v>
      </c>
      <c r="G205" s="9" t="n">
        <f aca="false">fx</f>
        <v>6.72</v>
      </c>
      <c r="H205" s="8" t="s">
        <v>458</v>
      </c>
    </row>
    <row r="206" customFormat="false" ht="17.15" hidden="false" customHeight="false" outlineLevel="0" collapsed="false">
      <c r="A206" s="4" t="s">
        <v>459</v>
      </c>
      <c r="B206" s="0" t="s">
        <v>108</v>
      </c>
      <c r="D206" s="17" t="n">
        <f aca="false">a26_aiu/D203</f>
        <v>0.445687059095763</v>
      </c>
      <c r="H206" s="8" t="s">
        <v>460</v>
      </c>
    </row>
    <row r="207" customFormat="false" ht="17.15" hidden="false" customHeight="false" outlineLevel="0" collapsed="false">
      <c r="A207" s="4" t="s">
        <v>461</v>
      </c>
      <c r="B207" s="0" t="s">
        <v>67</v>
      </c>
      <c r="D207" s="9" t="n">
        <f aca="false">1</f>
        <v>1</v>
      </c>
      <c r="E207" s="9" t="n">
        <f aca="false">rel_27</f>
        <v>0.95</v>
      </c>
      <c r="F207" s="9" t="n">
        <f aca="false">rel_28</f>
        <v>0.9</v>
      </c>
      <c r="G207" s="9" t="n">
        <f aca="false">rel_29</f>
        <v>0.85</v>
      </c>
    </row>
    <row r="208" customFormat="false" ht="15" hidden="false" customHeight="false" outlineLevel="0" collapsed="false">
      <c r="A208" s="4" t="s">
        <v>462</v>
      </c>
      <c r="B208" s="0" t="s">
        <v>108</v>
      </c>
      <c r="D208" s="17" t="n">
        <f aca="false">$D$206*D207</f>
        <v>0.445687059095763</v>
      </c>
      <c r="E208" s="17" t="n">
        <f aca="false">$D$206*E207</f>
        <v>0.423402706140975</v>
      </c>
      <c r="F208" s="17" t="n">
        <f aca="false">$D$206*F207</f>
        <v>0.401118353186187</v>
      </c>
      <c r="G208" s="17" t="n">
        <f aca="false">$D$206*G207</f>
        <v>0.378834000231398</v>
      </c>
    </row>
    <row r="209" customFormat="false" ht="15" hidden="false" customHeight="false" outlineLevel="0" collapsed="false">
      <c r="A209" s="4" t="s">
        <v>463</v>
      </c>
      <c r="B209" s="0" t="s">
        <v>67</v>
      </c>
      <c r="D209" s="9" t="n">
        <f aca="false">1</f>
        <v>1</v>
      </c>
      <c r="E209" s="9" t="n">
        <f aca="false">pxr_27</f>
        <v>1</v>
      </c>
      <c r="F209" s="9" t="n">
        <f aca="false">pxr_28</f>
        <v>1</v>
      </c>
      <c r="G209" s="9" t="n">
        <f aca="false">pxr_29</f>
        <v>1</v>
      </c>
    </row>
    <row r="210" customFormat="false" ht="17.15" hidden="false" customHeight="false" outlineLevel="0" collapsed="false">
      <c r="A210" s="4" t="s">
        <v>464</v>
      </c>
      <c r="B210" s="0" t="s">
        <v>108</v>
      </c>
      <c r="D210" s="17" t="n">
        <f aca="false">0</f>
        <v>0</v>
      </c>
      <c r="E210" s="17" t="n">
        <f aca="false">cpo_27</f>
        <v>0.1</v>
      </c>
      <c r="F210" s="17" t="n">
        <f aca="false">cpo_28</f>
        <v>0.15</v>
      </c>
      <c r="G210" s="17" t="n">
        <f aca="false">cpo_29</f>
        <v>0.2</v>
      </c>
    </row>
    <row r="211" customFormat="false" ht="17.15" hidden="false" customHeight="false" outlineLevel="0" collapsed="false">
      <c r="A211" s="0" t="s">
        <v>465</v>
      </c>
      <c r="B211" s="0" t="s">
        <v>34</v>
      </c>
      <c r="D211" s="21" t="n">
        <f aca="false">a26_aiu</f>
        <v>13.2606438392857</v>
      </c>
      <c r="E211" s="21" t="n">
        <f aca="false">E203*E208*E209+E204*E210</f>
        <v>22.9596501738455</v>
      </c>
      <c r="F211" s="21" t="n">
        <f aca="false">F203*F208*F209+F204*F210</f>
        <v>24.2279799787967</v>
      </c>
      <c r="G211" s="21" t="n">
        <f aca="false">G203*G208*G209+G204*G210</f>
        <v>29.979654040077</v>
      </c>
    </row>
    <row r="212" customFormat="false" ht="17.15" hidden="false" customHeight="false" outlineLevel="0" collapsed="false">
      <c r="A212" s="0" t="s">
        <v>466</v>
      </c>
      <c r="B212" s="0" t="s">
        <v>154</v>
      </c>
      <c r="C212" s="21" t="n">
        <f aca="false">a25_ai</f>
        <v>35.1808</v>
      </c>
      <c r="D212" s="21" t="n">
        <f aca="false">D211*D205</f>
        <v>89.1115266</v>
      </c>
      <c r="E212" s="21" t="n">
        <f aca="false">E211*E205</f>
        <v>154.288849168242</v>
      </c>
      <c r="F212" s="21" t="n">
        <f aca="false">F211*F205</f>
        <v>162.812025457514</v>
      </c>
      <c r="G212" s="21" t="n">
        <f aca="false">G211*G205</f>
        <v>201.463275149317</v>
      </c>
    </row>
    <row r="213" customFormat="false" ht="17.15" hidden="false" customHeight="false" outlineLevel="0" collapsed="false">
      <c r="A213" s="6" t="s">
        <v>467</v>
      </c>
    </row>
    <row r="214" customFormat="false" ht="15" hidden="false" customHeight="false" outlineLevel="0" collapsed="false">
      <c r="A214" s="4" t="s">
        <v>468</v>
      </c>
      <c r="B214" s="0" t="s">
        <v>154</v>
      </c>
      <c r="C214" s="21" t="n">
        <f aca="false">a25_oth</f>
        <v>3.0592</v>
      </c>
      <c r="D214" s="21" t="n">
        <f aca="false">a26_oth</f>
        <v>7.7488284</v>
      </c>
      <c r="E214" s="21" t="n">
        <f aca="false">D214*(1+g_oth)</f>
        <v>8.52371124</v>
      </c>
      <c r="F214" s="21" t="n">
        <f aca="false">E214*(1+g_oth)</f>
        <v>9.376082364</v>
      </c>
      <c r="G214" s="21" t="n">
        <f aca="false">F214*(1+g_oth)</f>
        <v>10.3136906004</v>
      </c>
    </row>
    <row r="215" customFormat="false" ht="15" hidden="false" customHeight="false" outlineLevel="0" collapsed="false">
      <c r="A215" s="4" t="s">
        <v>379</v>
      </c>
      <c r="B215" s="0" t="s">
        <v>154</v>
      </c>
      <c r="C215" s="21" t="n">
        <f aca="false">a25_rev</f>
        <v>38.24</v>
      </c>
      <c r="D215" s="21" t="n">
        <f aca="false">D212+D214</f>
        <v>96.860355</v>
      </c>
      <c r="E215" s="21" t="n">
        <f aca="false">E212+E214</f>
        <v>162.812560408242</v>
      </c>
      <c r="F215" s="21" t="n">
        <f aca="false">F212+F214</f>
        <v>172.188107821514</v>
      </c>
      <c r="G215" s="21" t="n">
        <f aca="false">G212+G214</f>
        <v>211.776965749717</v>
      </c>
    </row>
    <row r="216" customFormat="false" ht="15" hidden="false" customHeight="false" outlineLevel="0" collapsed="false">
      <c r="A216" s="4" t="s">
        <v>469</v>
      </c>
      <c r="B216" s="0" t="s">
        <v>108</v>
      </c>
      <c r="D216" s="17" t="n">
        <f aca="false">D215/C215-1</f>
        <v>1.53295907426778</v>
      </c>
      <c r="E216" s="17" t="n">
        <f aca="false">E215/D215-1</f>
        <v>0.680899893545112</v>
      </c>
      <c r="F216" s="17" t="n">
        <f aca="false">F215/E215-1</f>
        <v>0.0575849147618819</v>
      </c>
      <c r="G216" s="17" t="n">
        <f aca="false">G215/F215-1</f>
        <v>0.229916330628595</v>
      </c>
    </row>
    <row r="217" customFormat="false" ht="17.15" hidden="false" customHeight="false" outlineLevel="0" collapsed="false">
      <c r="A217" s="0" t="s">
        <v>470</v>
      </c>
      <c r="B217" s="0" t="s">
        <v>108</v>
      </c>
      <c r="C217" s="17" t="n">
        <f aca="false">C212/C215</f>
        <v>0.92</v>
      </c>
      <c r="D217" s="17" t="n">
        <f aca="false">D212/D215</f>
        <v>0.92</v>
      </c>
      <c r="E217" s="17" t="n">
        <f aca="false">E212/E215</f>
        <v>0.947647090503169</v>
      </c>
      <c r="F217" s="17" t="n">
        <f aca="false">F212/F215</f>
        <v>0.945547445275843</v>
      </c>
      <c r="G217" s="17" t="n">
        <f aca="false">G212/G215</f>
        <v>0.951299280524262</v>
      </c>
    </row>
    <row r="218" customFormat="false" ht="17.15" hidden="false" customHeight="false" outlineLevel="0" collapsed="false">
      <c r="A218" s="6" t="s">
        <v>471</v>
      </c>
    </row>
    <row r="219" customFormat="false" ht="17.15" hidden="false" customHeight="false" outlineLevel="0" collapsed="false">
      <c r="A219" s="4" t="s">
        <v>383</v>
      </c>
      <c r="B219" s="0" t="s">
        <v>108</v>
      </c>
      <c r="C219" s="17" t="n">
        <f aca="false">a25_gp/a25_rev</f>
        <v>0.4261</v>
      </c>
      <c r="D219" s="17" t="n">
        <f aca="false">a26_gp/a26_rev</f>
        <v>0.468231579886322</v>
      </c>
      <c r="E219" s="17" t="n">
        <f aca="false">GMHI_27</f>
        <v>0.49</v>
      </c>
      <c r="F219" s="17" t="n">
        <f aca="false">GMHI_28</f>
        <v>0.48</v>
      </c>
      <c r="G219" s="17" t="n">
        <f aca="false">GMHI_29</f>
        <v>0.47</v>
      </c>
      <c r="H219" s="8" t="s">
        <v>472</v>
      </c>
    </row>
    <row r="220" customFormat="false" ht="15" hidden="false" customHeight="false" outlineLevel="0" collapsed="false">
      <c r="A220" s="4" t="s">
        <v>382</v>
      </c>
      <c r="B220" s="0" t="s">
        <v>154</v>
      </c>
      <c r="C220" s="21" t="n">
        <f aca="false">C215*C219</f>
        <v>16.294064</v>
      </c>
      <c r="D220" s="21" t="n">
        <f aca="false">D215*D219</f>
        <v>45.35307705</v>
      </c>
      <c r="E220" s="21" t="n">
        <f aca="false">E215*E219</f>
        <v>79.7781546000385</v>
      </c>
      <c r="F220" s="21" t="n">
        <f aca="false">F215*F219</f>
        <v>82.6502917543268</v>
      </c>
      <c r="G220" s="21" t="n">
        <f aca="false">G215*G219</f>
        <v>99.5351739023672</v>
      </c>
    </row>
    <row r="221" customFormat="false" ht="15" hidden="false" customHeight="false" outlineLevel="0" collapsed="false">
      <c r="A221" s="4" t="s">
        <v>473</v>
      </c>
      <c r="B221" s="0" t="s">
        <v>154</v>
      </c>
      <c r="C221" s="21" t="n">
        <f aca="false">a25_opx</f>
        <v>2.6649299429437</v>
      </c>
      <c r="D221" s="21" t="n">
        <f aca="false">a26_opx</f>
        <v>5.17620397829946</v>
      </c>
      <c r="E221" s="21" t="n">
        <f aca="false">D221*(1+MAX(0,phi*E216))</f>
        <v>7.34277234450021</v>
      </c>
      <c r="F221" s="21" t="n">
        <f aca="false">E221*(1+MAX(0,phi*F216))</f>
        <v>7.6026964398742</v>
      </c>
      <c r="G221" s="21" t="n">
        <f aca="false">F221*(1+MAX(0,phi*G216))</f>
        <v>8.6772182111425</v>
      </c>
    </row>
    <row r="222" customFormat="false" ht="15" hidden="false" customHeight="false" outlineLevel="0" collapsed="false">
      <c r="A222" s="4" t="s">
        <v>474</v>
      </c>
      <c r="B222" s="0" t="s">
        <v>154</v>
      </c>
      <c r="C222" s="21" t="n">
        <f aca="false">C221</f>
        <v>2.6649299429437</v>
      </c>
      <c r="D222" s="21" t="n">
        <f aca="false">D221</f>
        <v>5.17620397829946</v>
      </c>
      <c r="E222" s="21" t="n">
        <f aca="false">E221+0*E215</f>
        <v>7.34277234450021</v>
      </c>
      <c r="F222" s="21" t="n">
        <f aca="false">F221+0*F215</f>
        <v>7.6026964398742</v>
      </c>
      <c r="G222" s="21" t="n">
        <f aca="false">G221+0*G215</f>
        <v>8.6772182111425</v>
      </c>
    </row>
    <row r="223" customFormat="false" ht="15" hidden="false" customHeight="false" outlineLevel="0" collapsed="false">
      <c r="A223" s="4" t="s">
        <v>475</v>
      </c>
      <c r="B223" s="0" t="s">
        <v>154</v>
      </c>
      <c r="C223" s="21" t="n">
        <f aca="false">C220-C222</f>
        <v>13.6291340570563</v>
      </c>
      <c r="D223" s="21" t="n">
        <f aca="false">D220-D222</f>
        <v>40.1768730717005</v>
      </c>
      <c r="E223" s="21" t="n">
        <f aca="false">E220-E222</f>
        <v>72.4353822555382</v>
      </c>
      <c r="F223" s="21" t="n">
        <f aca="false">F220-F222</f>
        <v>75.0475953144526</v>
      </c>
      <c r="G223" s="21" t="n">
        <f aca="false">G220-G222</f>
        <v>90.8579556912247</v>
      </c>
    </row>
    <row r="224" customFormat="false" ht="15" hidden="false" customHeight="false" outlineLevel="0" collapsed="false">
      <c r="A224" s="4" t="s">
        <v>476</v>
      </c>
      <c r="B224" s="0" t="s">
        <v>108</v>
      </c>
      <c r="C224" s="17" t="n">
        <f aca="false">C223/C215</f>
        <v>0.356410409441849</v>
      </c>
      <c r="D224" s="17" t="n">
        <f aca="false">D223/D215</f>
        <v>0.414791718156521</v>
      </c>
      <c r="E224" s="17" t="n">
        <f aca="false">E223/E215</f>
        <v>0.444900455308309</v>
      </c>
      <c r="F224" s="17" t="n">
        <f aca="false">F223/F215</f>
        <v>0.435846564922155</v>
      </c>
      <c r="G224" s="17" t="n">
        <f aca="false">G223/G215</f>
        <v>0.429026619441713</v>
      </c>
    </row>
    <row r="225" customFormat="false" ht="15" hidden="false" customHeight="false" outlineLevel="0" collapsed="false">
      <c r="A225" s="4" t="s">
        <v>390</v>
      </c>
      <c r="B225" s="0" t="s">
        <v>154</v>
      </c>
      <c r="C225" s="21" t="n">
        <f aca="false">a25_ni</f>
        <v>10.797</v>
      </c>
      <c r="D225" s="21" t="n">
        <f aca="false">a26_ni</f>
        <v>31.8281188474012</v>
      </c>
      <c r="E225" s="21" t="n">
        <f aca="false">E223*(1-tx)*attr</f>
        <v>57.3833098228374</v>
      </c>
      <c r="F225" s="21" t="n">
        <f aca="false">F223*(1-tx)*attr</f>
        <v>59.4527050081093</v>
      </c>
      <c r="G225" s="21" t="n">
        <f aca="false">G223*(1-tx)*attr</f>
        <v>71.9776724985882</v>
      </c>
    </row>
    <row r="226" customFormat="false" ht="15" hidden="false" customHeight="false" outlineLevel="0" collapsed="false">
      <c r="A226" s="4" t="s">
        <v>392</v>
      </c>
      <c r="B226" s="0" t="s">
        <v>108</v>
      </c>
      <c r="C226" s="17" t="n">
        <f aca="false">C225/C215</f>
        <v>0.282348326359833</v>
      </c>
      <c r="D226" s="17" t="n">
        <f aca="false">D225/D215</f>
        <v>0.328597999123596</v>
      </c>
      <c r="E226" s="17" t="n">
        <f aca="false">E225/E215</f>
        <v>0.352450140695242</v>
      </c>
      <c r="F226" s="17" t="n">
        <f aca="false">F225/F215</f>
        <v>0.345277648731331</v>
      </c>
      <c r="G226" s="17" t="n">
        <f aca="false">G225/G215</f>
        <v>0.339874887921725</v>
      </c>
    </row>
    <row r="227" customFormat="false" ht="15" hidden="false" customHeight="false" outlineLevel="0" collapsed="false">
      <c r="A227" s="4" t="s">
        <v>477</v>
      </c>
      <c r="B227" s="4" t="s">
        <v>186</v>
      </c>
      <c r="C227" s="18" t="n">
        <f aca="false">a25_sh</f>
        <v>1.1089358245329</v>
      </c>
      <c r="D227" s="18" t="n">
        <f aca="false">a26_sh</f>
        <v>1.1434224718021</v>
      </c>
      <c r="E227" s="18" t="n">
        <f aca="false">sh_post*(1+sh_g)</f>
        <v>1.1779091190713</v>
      </c>
      <c r="F227" s="18" t="n">
        <f aca="false">E227*(1+sh_g)</f>
        <v>1.1779091190713</v>
      </c>
      <c r="G227" s="18" t="n">
        <f aca="false">F227*(1+sh_g)</f>
        <v>1.1779091190713</v>
      </c>
    </row>
    <row r="228" customFormat="false" ht="15" hidden="false" customHeight="false" outlineLevel="0" collapsed="false">
      <c r="A228" s="0" t="s">
        <v>395</v>
      </c>
      <c r="B228" s="0" t="s">
        <v>125</v>
      </c>
      <c r="C228" s="21" t="n">
        <f aca="false">C225/C227</f>
        <v>9.73636143872244</v>
      </c>
      <c r="D228" s="21" t="n">
        <f aca="false">D225/D227</f>
        <v>27.8358346388262</v>
      </c>
      <c r="E228" s="21" t="n">
        <f aca="false">E225/E227</f>
        <v>48.716245501249</v>
      </c>
      <c r="F228" s="21" t="n">
        <f aca="false">F225/F227</f>
        <v>50.4730832332665</v>
      </c>
      <c r="G228" s="21" t="n">
        <f aca="false">G225/G227</f>
        <v>61.1063038168324</v>
      </c>
    </row>
    <row r="229" customFormat="false" ht="17.15" hidden="false" customHeight="false" outlineLevel="0" collapsed="false">
      <c r="A229" s="0" t="s">
        <v>478</v>
      </c>
      <c r="B229" s="0" t="s">
        <v>108</v>
      </c>
      <c r="D229" s="17" t="n">
        <f aca="false">D228/C228-1</f>
        <v>1.85895658393704</v>
      </c>
      <c r="E229" s="17" t="n">
        <f aca="false">E228/D228-1</f>
        <v>0.750126990383046</v>
      </c>
      <c r="F229" s="17" t="n">
        <f aca="false">F228/E228-1</f>
        <v>0.0360626668566326</v>
      </c>
      <c r="G229" s="17" t="n">
        <f aca="false">G228/F228-1</f>
        <v>0.210671112252512</v>
      </c>
    </row>
    <row r="232" customFormat="false" ht="17.15" hidden="false" customHeight="false" outlineLevel="0" collapsed="false">
      <c r="A232" s="1" t="s">
        <v>810</v>
      </c>
    </row>
    <row r="233" customFormat="false" ht="17.15" hidden="false" customHeight="false" outlineLevel="0" collapsed="false">
      <c r="A233" s="5" t="s">
        <v>23</v>
      </c>
      <c r="B233" s="5" t="s">
        <v>24</v>
      </c>
      <c r="C233" s="15" t="s">
        <v>372</v>
      </c>
      <c r="D233" s="15" t="s">
        <v>434</v>
      </c>
      <c r="E233" s="15" t="s">
        <v>435</v>
      </c>
      <c r="F233" s="15" t="s">
        <v>436</v>
      </c>
      <c r="G233" s="15" t="s">
        <v>437</v>
      </c>
      <c r="H233" s="5" t="s">
        <v>378</v>
      </c>
    </row>
    <row r="234" customFormat="false" ht="17.15" hidden="false" customHeight="false" outlineLevel="0" collapsed="false">
      <c r="A234" s="6" t="s">
        <v>454</v>
      </c>
    </row>
    <row r="235" customFormat="false" ht="17.15" hidden="false" customHeight="false" outlineLevel="0" collapsed="false">
      <c r="A235" s="0" t="s">
        <v>455</v>
      </c>
      <c r="B235" s="0" t="s">
        <v>34</v>
      </c>
      <c r="D235" s="21" t="n">
        <f aca="false">mpl_26*1</f>
        <v>29.753262</v>
      </c>
      <c r="E235" s="21" t="n">
        <f aca="false">mpl_27*1*1</f>
        <v>53.560715</v>
      </c>
      <c r="F235" s="21" t="n">
        <f aca="false">mpl_28*um28_A*1</f>
        <v>57.9915</v>
      </c>
      <c r="G235" s="21" t="n">
        <f aca="false">mpl_29*um29_A*1</f>
        <v>72.9348</v>
      </c>
    </row>
    <row r="236" customFormat="false" ht="17.15" hidden="false" customHeight="false" outlineLevel="0" collapsed="false">
      <c r="A236" s="0" t="s">
        <v>456</v>
      </c>
      <c r="B236" s="0" t="s">
        <v>34</v>
      </c>
      <c r="D236" s="21" t="n">
        <f aca="false">mcp_26*1</f>
        <v>0.300538</v>
      </c>
      <c r="E236" s="21" t="n">
        <f aca="false">mcp_27*1</f>
        <v>2.818985</v>
      </c>
      <c r="F236" s="21" t="n">
        <f aca="false">mcp_28*um28_A</f>
        <v>6.4435</v>
      </c>
      <c r="G236" s="21" t="n">
        <f aca="false">mcp_29*um29_A</f>
        <v>11.74736</v>
      </c>
    </row>
    <row r="237" customFormat="false" ht="17.15" hidden="false" customHeight="false" outlineLevel="0" collapsed="false">
      <c r="A237" s="4" t="s">
        <v>457</v>
      </c>
      <c r="B237" s="0" t="s">
        <v>125</v>
      </c>
      <c r="D237" s="9" t="n">
        <f aca="false">fx</f>
        <v>6.72</v>
      </c>
      <c r="E237" s="9" t="n">
        <f aca="false">fx</f>
        <v>6.72</v>
      </c>
      <c r="F237" s="9" t="n">
        <f aca="false">fx</f>
        <v>6.72</v>
      </c>
      <c r="G237" s="9" t="n">
        <f aca="false">fx</f>
        <v>6.72</v>
      </c>
      <c r="H237" s="8" t="s">
        <v>458</v>
      </c>
    </row>
    <row r="238" customFormat="false" ht="17.15" hidden="false" customHeight="false" outlineLevel="0" collapsed="false">
      <c r="A238" s="4" t="s">
        <v>459</v>
      </c>
      <c r="B238" s="0" t="s">
        <v>108</v>
      </c>
      <c r="D238" s="17" t="n">
        <f aca="false">a26_aiu/D235</f>
        <v>0.445687059095763</v>
      </c>
      <c r="H238" s="8" t="s">
        <v>460</v>
      </c>
    </row>
    <row r="239" customFormat="false" ht="17.15" hidden="false" customHeight="false" outlineLevel="0" collapsed="false">
      <c r="A239" s="4" t="s">
        <v>461</v>
      </c>
      <c r="B239" s="0" t="s">
        <v>67</v>
      </c>
      <c r="D239" s="9" t="n">
        <f aca="false">1</f>
        <v>1</v>
      </c>
      <c r="E239" s="9" t="n">
        <f aca="false">rel_27</f>
        <v>0.95</v>
      </c>
      <c r="F239" s="9" t="n">
        <f aca="false">rel_28</f>
        <v>0.9</v>
      </c>
      <c r="G239" s="9" t="n">
        <f aca="false">rel_29</f>
        <v>0.85</v>
      </c>
    </row>
    <row r="240" customFormat="false" ht="15" hidden="false" customHeight="false" outlineLevel="0" collapsed="false">
      <c r="A240" s="4" t="s">
        <v>462</v>
      </c>
      <c r="B240" s="0" t="s">
        <v>108</v>
      </c>
      <c r="D240" s="17" t="n">
        <f aca="false">$D$238*D239</f>
        <v>0.445687059095763</v>
      </c>
      <c r="E240" s="17" t="n">
        <f aca="false">$D$238*E239</f>
        <v>0.423402706140975</v>
      </c>
      <c r="F240" s="17" t="n">
        <f aca="false">$D$238*F239</f>
        <v>0.401118353186187</v>
      </c>
      <c r="G240" s="17" t="n">
        <f aca="false">$D$238*G239</f>
        <v>0.378834000231398</v>
      </c>
    </row>
    <row r="241" customFormat="false" ht="15" hidden="false" customHeight="false" outlineLevel="0" collapsed="false">
      <c r="A241" s="4" t="s">
        <v>463</v>
      </c>
      <c r="B241" s="0" t="s">
        <v>67</v>
      </c>
      <c r="D241" s="9" t="n">
        <f aca="false">1</f>
        <v>1</v>
      </c>
      <c r="E241" s="9" t="n">
        <f aca="false">pxr_27</f>
        <v>1</v>
      </c>
      <c r="F241" s="9" t="n">
        <f aca="false">pxr_28</f>
        <v>1</v>
      </c>
      <c r="G241" s="9" t="n">
        <f aca="false">pxr_29</f>
        <v>1</v>
      </c>
    </row>
    <row r="242" customFormat="false" ht="17.15" hidden="false" customHeight="false" outlineLevel="0" collapsed="false">
      <c r="A242" s="4" t="s">
        <v>464</v>
      </c>
      <c r="B242" s="0" t="s">
        <v>108</v>
      </c>
      <c r="D242" s="17" t="n">
        <f aca="false">0</f>
        <v>0</v>
      </c>
      <c r="E242" s="17" t="n">
        <f aca="false">CPLO_27</f>
        <v>0</v>
      </c>
      <c r="F242" s="17" t="n">
        <f aca="false">CPLO_28</f>
        <v>0</v>
      </c>
      <c r="G242" s="17" t="n">
        <f aca="false">CPLO_29</f>
        <v>0</v>
      </c>
    </row>
    <row r="243" customFormat="false" ht="17.15" hidden="false" customHeight="false" outlineLevel="0" collapsed="false">
      <c r="A243" s="0" t="s">
        <v>465</v>
      </c>
      <c r="B243" s="0" t="s">
        <v>34</v>
      </c>
      <c r="D243" s="21" t="n">
        <f aca="false">a26_aiu</f>
        <v>13.2606438392857</v>
      </c>
      <c r="E243" s="21" t="n">
        <f aca="false">E235*E240*E241+E236*E242</f>
        <v>22.6777516738455</v>
      </c>
      <c r="F243" s="21" t="n">
        <f aca="false">F235*F240*F241+F236*F242</f>
        <v>23.2614549787967</v>
      </c>
      <c r="G243" s="21" t="n">
        <f aca="false">G235*G240*G241+G236*G242</f>
        <v>27.630182040077</v>
      </c>
    </row>
    <row r="244" customFormat="false" ht="17.15" hidden="false" customHeight="false" outlineLevel="0" collapsed="false">
      <c r="A244" s="0" t="s">
        <v>466</v>
      </c>
      <c r="B244" s="0" t="s">
        <v>154</v>
      </c>
      <c r="C244" s="21" t="n">
        <f aca="false">a25_ai</f>
        <v>35.1808</v>
      </c>
      <c r="D244" s="21" t="n">
        <f aca="false">D243*D237</f>
        <v>89.1115266</v>
      </c>
      <c r="E244" s="21" t="n">
        <f aca="false">E243*E237</f>
        <v>152.394491248242</v>
      </c>
      <c r="F244" s="21" t="n">
        <f aca="false">F243*F237</f>
        <v>156.316977457514</v>
      </c>
      <c r="G244" s="21" t="n">
        <f aca="false">G243*G237</f>
        <v>185.674823309317</v>
      </c>
    </row>
    <row r="245" customFormat="false" ht="17.15" hidden="false" customHeight="false" outlineLevel="0" collapsed="false">
      <c r="A245" s="6" t="s">
        <v>467</v>
      </c>
    </row>
    <row r="246" customFormat="false" ht="15" hidden="false" customHeight="false" outlineLevel="0" collapsed="false">
      <c r="A246" s="4" t="s">
        <v>468</v>
      </c>
      <c r="B246" s="0" t="s">
        <v>154</v>
      </c>
      <c r="C246" s="21" t="n">
        <f aca="false">a25_oth</f>
        <v>3.0592</v>
      </c>
      <c r="D246" s="21" t="n">
        <f aca="false">a26_oth</f>
        <v>7.7488284</v>
      </c>
      <c r="E246" s="21" t="n">
        <f aca="false">D246*(1+g_oth)</f>
        <v>8.52371124</v>
      </c>
      <c r="F246" s="21" t="n">
        <f aca="false">E246*(1+g_oth)</f>
        <v>9.376082364</v>
      </c>
      <c r="G246" s="21" t="n">
        <f aca="false">F246*(1+g_oth)</f>
        <v>10.3136906004</v>
      </c>
    </row>
    <row r="247" customFormat="false" ht="15" hidden="false" customHeight="false" outlineLevel="0" collapsed="false">
      <c r="A247" s="4" t="s">
        <v>379</v>
      </c>
      <c r="B247" s="0" t="s">
        <v>154</v>
      </c>
      <c r="C247" s="21" t="n">
        <f aca="false">a25_rev</f>
        <v>38.24</v>
      </c>
      <c r="D247" s="21" t="n">
        <f aca="false">D244+D246</f>
        <v>96.860355</v>
      </c>
      <c r="E247" s="21" t="n">
        <f aca="false">E244+E246</f>
        <v>160.918202488242</v>
      </c>
      <c r="F247" s="21" t="n">
        <f aca="false">F244+F246</f>
        <v>165.693059821514</v>
      </c>
      <c r="G247" s="21" t="n">
        <f aca="false">G244+G246</f>
        <v>195.988513909717</v>
      </c>
    </row>
    <row r="248" customFormat="false" ht="15" hidden="false" customHeight="false" outlineLevel="0" collapsed="false">
      <c r="A248" s="4" t="s">
        <v>469</v>
      </c>
      <c r="B248" s="0" t="s">
        <v>108</v>
      </c>
      <c r="D248" s="17" t="n">
        <f aca="false">D247/C247-1</f>
        <v>1.53295907426778</v>
      </c>
      <c r="E248" s="17" t="n">
        <f aca="false">E247/D247-1</f>
        <v>0.661342274537831</v>
      </c>
      <c r="F248" s="17" t="n">
        <f aca="false">F247/E247-1</f>
        <v>0.0296725743852455</v>
      </c>
      <c r="G248" s="17" t="n">
        <f aca="false">G247/F247-1</f>
        <v>0.182840814943232</v>
      </c>
    </row>
    <row r="249" customFormat="false" ht="17.15" hidden="false" customHeight="false" outlineLevel="0" collapsed="false">
      <c r="A249" s="0" t="s">
        <v>470</v>
      </c>
      <c r="B249" s="0" t="s">
        <v>108</v>
      </c>
      <c r="C249" s="17" t="n">
        <f aca="false">C244/C247</f>
        <v>0.92</v>
      </c>
      <c r="D249" s="17" t="n">
        <f aca="false">D244/D247</f>
        <v>0.92</v>
      </c>
      <c r="E249" s="17" t="n">
        <f aca="false">E244/E247</f>
        <v>0.947030782669706</v>
      </c>
      <c r="F249" s="17" t="n">
        <f aca="false">F244/F247</f>
        <v>0.943412944548794</v>
      </c>
      <c r="G249" s="17" t="n">
        <f aca="false">G244/G247</f>
        <v>0.947376045694438</v>
      </c>
    </row>
    <row r="250" customFormat="false" ht="17.15" hidden="false" customHeight="false" outlineLevel="0" collapsed="false">
      <c r="A250" s="6" t="s">
        <v>471</v>
      </c>
    </row>
    <row r="251" customFormat="false" ht="17.15" hidden="false" customHeight="false" outlineLevel="0" collapsed="false">
      <c r="A251" s="4" t="s">
        <v>383</v>
      </c>
      <c r="B251" s="0" t="s">
        <v>108</v>
      </c>
      <c r="C251" s="17" t="n">
        <f aca="false">a25_gp/a25_rev</f>
        <v>0.4261</v>
      </c>
      <c r="D251" s="17" t="n">
        <f aca="false">a26_gp/a26_rev</f>
        <v>0.468231579886322</v>
      </c>
      <c r="E251" s="17" t="n">
        <f aca="false">gm_27</f>
        <v>0.47</v>
      </c>
      <c r="F251" s="17" t="n">
        <f aca="false">gm_28</f>
        <v>0.46</v>
      </c>
      <c r="G251" s="17" t="n">
        <f aca="false">gm_29</f>
        <v>0.45</v>
      </c>
      <c r="H251" s="8" t="s">
        <v>472</v>
      </c>
    </row>
    <row r="252" customFormat="false" ht="15" hidden="false" customHeight="false" outlineLevel="0" collapsed="false">
      <c r="A252" s="4" t="s">
        <v>382</v>
      </c>
      <c r="B252" s="0" t="s">
        <v>154</v>
      </c>
      <c r="C252" s="21" t="n">
        <f aca="false">C247*C251</f>
        <v>16.294064</v>
      </c>
      <c r="D252" s="21" t="n">
        <f aca="false">D247*D251</f>
        <v>45.35307705</v>
      </c>
      <c r="E252" s="21" t="n">
        <f aca="false">E247*E251</f>
        <v>75.6315551694736</v>
      </c>
      <c r="F252" s="21" t="n">
        <f aca="false">F247*F251</f>
        <v>76.2188075178965</v>
      </c>
      <c r="G252" s="21" t="n">
        <f aca="false">G247*G251</f>
        <v>88.1948312593728</v>
      </c>
    </row>
    <row r="253" customFormat="false" ht="15" hidden="false" customHeight="false" outlineLevel="0" collapsed="false">
      <c r="A253" s="4" t="s">
        <v>473</v>
      </c>
      <c r="B253" s="0" t="s">
        <v>154</v>
      </c>
      <c r="C253" s="21" t="n">
        <f aca="false">a25_opx</f>
        <v>2.6649299429437</v>
      </c>
      <c r="D253" s="21" t="n">
        <f aca="false">a26_opx</f>
        <v>5.17620397829946</v>
      </c>
      <c r="E253" s="21" t="n">
        <f aca="false">D253*(1+MAX(0,phi*E248))</f>
        <v>7.28054158332508</v>
      </c>
      <c r="F253" s="21" t="n">
        <f aca="false">E253*(1+MAX(0,phi*F248))</f>
        <v>7.41334115162299</v>
      </c>
      <c r="G253" s="21" t="n">
        <f aca="false">F253*(1+MAX(0,phi*G248))</f>
        <v>8.24657112423009</v>
      </c>
    </row>
    <row r="254" customFormat="false" ht="15" hidden="false" customHeight="false" outlineLevel="0" collapsed="false">
      <c r="A254" s="4" t="s">
        <v>474</v>
      </c>
      <c r="B254" s="0" t="s">
        <v>154</v>
      </c>
      <c r="C254" s="21" t="n">
        <f aca="false">C253</f>
        <v>2.6649299429437</v>
      </c>
      <c r="D254" s="21" t="n">
        <f aca="false">D253</f>
        <v>5.17620397829946</v>
      </c>
      <c r="E254" s="21" t="n">
        <f aca="false">E253+0*E247</f>
        <v>7.28054158332508</v>
      </c>
      <c r="F254" s="21" t="n">
        <f aca="false">F253+0*F247</f>
        <v>7.41334115162299</v>
      </c>
      <c r="G254" s="21" t="n">
        <f aca="false">G253+0*G247</f>
        <v>8.24657112423009</v>
      </c>
    </row>
    <row r="255" customFormat="false" ht="15" hidden="false" customHeight="false" outlineLevel="0" collapsed="false">
      <c r="A255" s="4" t="s">
        <v>475</v>
      </c>
      <c r="B255" s="0" t="s">
        <v>154</v>
      </c>
      <c r="C255" s="21" t="n">
        <f aca="false">C252-C254</f>
        <v>13.6291340570563</v>
      </c>
      <c r="D255" s="21" t="n">
        <f aca="false">D252-D254</f>
        <v>40.1768730717005</v>
      </c>
      <c r="E255" s="21" t="n">
        <f aca="false">E252-E254</f>
        <v>68.3510135861485</v>
      </c>
      <c r="F255" s="21" t="n">
        <f aca="false">F252-F254</f>
        <v>68.8054663662735</v>
      </c>
      <c r="G255" s="21" t="n">
        <f aca="false">G252-G254</f>
        <v>79.9482601351428</v>
      </c>
    </row>
    <row r="256" customFormat="false" ht="15" hidden="false" customHeight="false" outlineLevel="0" collapsed="false">
      <c r="A256" s="4" t="s">
        <v>476</v>
      </c>
      <c r="B256" s="0" t="s">
        <v>108</v>
      </c>
      <c r="C256" s="17" t="n">
        <f aca="false">C255/C247</f>
        <v>0.356410409441849</v>
      </c>
      <c r="D256" s="17" t="n">
        <f aca="false">D255/D247</f>
        <v>0.414791718156521</v>
      </c>
      <c r="E256" s="17" t="n">
        <f aca="false">E255/E247</f>
        <v>0.424756258330334</v>
      </c>
      <c r="F256" s="17" t="n">
        <f aca="false">F255/F247</f>
        <v>0.415258589831048</v>
      </c>
      <c r="G256" s="17" t="n">
        <f aca="false">G255/G247</f>
        <v>0.407923191723221</v>
      </c>
    </row>
    <row r="257" customFormat="false" ht="15" hidden="false" customHeight="false" outlineLevel="0" collapsed="false">
      <c r="A257" s="4" t="s">
        <v>390</v>
      </c>
      <c r="B257" s="0" t="s">
        <v>154</v>
      </c>
      <c r="C257" s="21" t="n">
        <f aca="false">a25_ni</f>
        <v>10.797</v>
      </c>
      <c r="D257" s="21" t="n">
        <f aca="false">a26_ni</f>
        <v>31.8281188474012</v>
      </c>
      <c r="E257" s="21" t="n">
        <f aca="false">E255*(1-tx)*attr</f>
        <v>54.1476729629469</v>
      </c>
      <c r="F257" s="21" t="n">
        <f aca="false">F255*(1-tx)*attr</f>
        <v>54.5076904553619</v>
      </c>
      <c r="G257" s="21" t="n">
        <f aca="false">G255*(1-tx)*attr</f>
        <v>63.3350116790601</v>
      </c>
    </row>
    <row r="258" customFormat="false" ht="15" hidden="false" customHeight="false" outlineLevel="0" collapsed="false">
      <c r="A258" s="4" t="s">
        <v>392</v>
      </c>
      <c r="B258" s="0" t="s">
        <v>108</v>
      </c>
      <c r="C258" s="17" t="n">
        <f aca="false">C257/C247</f>
        <v>0.282348326359833</v>
      </c>
      <c r="D258" s="17" t="n">
        <f aca="false">D257/D247</f>
        <v>0.328597999123596</v>
      </c>
      <c r="E258" s="17" t="n">
        <f aca="false">E257/E247</f>
        <v>0.33649190784929</v>
      </c>
      <c r="F258" s="17" t="n">
        <f aca="false">F257/F247</f>
        <v>0.328967854864157</v>
      </c>
      <c r="G258" s="17" t="n">
        <f aca="false">G257/G247</f>
        <v>0.323156752483135</v>
      </c>
    </row>
    <row r="259" customFormat="false" ht="15" hidden="false" customHeight="false" outlineLevel="0" collapsed="false">
      <c r="A259" s="4" t="s">
        <v>477</v>
      </c>
      <c r="B259" s="4" t="s">
        <v>186</v>
      </c>
      <c r="C259" s="18" t="n">
        <f aca="false">a25_sh</f>
        <v>1.1089358245329</v>
      </c>
      <c r="D259" s="18" t="n">
        <f aca="false">a26_sh</f>
        <v>1.1434224718021</v>
      </c>
      <c r="E259" s="18" t="n">
        <f aca="false">sh_post*(1+sh_g)</f>
        <v>1.1779091190713</v>
      </c>
      <c r="F259" s="18" t="n">
        <f aca="false">E259*(1+sh_g)</f>
        <v>1.1779091190713</v>
      </c>
      <c r="G259" s="18" t="n">
        <f aca="false">F259*(1+sh_g)</f>
        <v>1.1779091190713</v>
      </c>
    </row>
    <row r="260" customFormat="false" ht="15" hidden="false" customHeight="false" outlineLevel="0" collapsed="false">
      <c r="A260" s="0" t="s">
        <v>395</v>
      </c>
      <c r="B260" s="0" t="s">
        <v>125</v>
      </c>
      <c r="C260" s="21" t="n">
        <f aca="false">C257/C259</f>
        <v>9.73636143872244</v>
      </c>
      <c r="D260" s="21" t="n">
        <f aca="false">D257/D259</f>
        <v>27.8358346388262</v>
      </c>
      <c r="E260" s="21" t="n">
        <f aca="false">E257/E259</f>
        <v>45.9693129854013</v>
      </c>
      <c r="F260" s="21" t="n">
        <f aca="false">F257/F259</f>
        <v>46.2749541308734</v>
      </c>
      <c r="G260" s="21" t="n">
        <f aca="false">G257/G259</f>
        <v>53.7690138004835</v>
      </c>
    </row>
    <row r="261" customFormat="false" ht="17.15" hidden="false" customHeight="false" outlineLevel="0" collapsed="false">
      <c r="A261" s="0" t="s">
        <v>478</v>
      </c>
      <c r="B261" s="0" t="s">
        <v>108</v>
      </c>
      <c r="D261" s="17" t="n">
        <f aca="false">D260/C260-1</f>
        <v>1.85895658393704</v>
      </c>
      <c r="E261" s="17" t="n">
        <f aca="false">E260/D260-1</f>
        <v>0.651443672584619</v>
      </c>
      <c r="F261" s="17" t="n">
        <f aca="false">F260/E260-1</f>
        <v>0.00664880820753533</v>
      </c>
      <c r="G261" s="17" t="n">
        <f aca="false">G260/F260-1</f>
        <v>0.161946344634198</v>
      </c>
    </row>
    <row r="264" customFormat="false" ht="17.15" hidden="false" customHeight="false" outlineLevel="0" collapsed="false">
      <c r="A264" s="1" t="s">
        <v>811</v>
      </c>
    </row>
    <row r="265" customFormat="false" ht="17.15" hidden="false" customHeight="false" outlineLevel="0" collapsed="false">
      <c r="A265" s="5" t="s">
        <v>23</v>
      </c>
      <c r="B265" s="5" t="s">
        <v>24</v>
      </c>
      <c r="C265" s="15" t="s">
        <v>372</v>
      </c>
      <c r="D265" s="15" t="s">
        <v>434</v>
      </c>
      <c r="E265" s="15" t="s">
        <v>435</v>
      </c>
      <c r="F265" s="15" t="s">
        <v>436</v>
      </c>
      <c r="G265" s="15" t="s">
        <v>437</v>
      </c>
      <c r="H265" s="5" t="s">
        <v>378</v>
      </c>
    </row>
    <row r="266" customFormat="false" ht="17.15" hidden="false" customHeight="false" outlineLevel="0" collapsed="false">
      <c r="A266" s="6" t="s">
        <v>454</v>
      </c>
    </row>
    <row r="267" customFormat="false" ht="17.15" hidden="false" customHeight="false" outlineLevel="0" collapsed="false">
      <c r="A267" s="0" t="s">
        <v>455</v>
      </c>
      <c r="B267" s="0" t="s">
        <v>34</v>
      </c>
      <c r="D267" s="21" t="n">
        <f aca="false">mpl_26*1</f>
        <v>29.753262</v>
      </c>
      <c r="E267" s="21" t="n">
        <f aca="false">mpl_27*1*1</f>
        <v>53.560715</v>
      </c>
      <c r="F267" s="21" t="n">
        <f aca="false">mpl_28*um28_A*1</f>
        <v>57.9915</v>
      </c>
      <c r="G267" s="21" t="n">
        <f aca="false">mpl_29*um29_A*1</f>
        <v>72.9348</v>
      </c>
    </row>
    <row r="268" customFormat="false" ht="17.15" hidden="false" customHeight="false" outlineLevel="0" collapsed="false">
      <c r="A268" s="0" t="s">
        <v>456</v>
      </c>
      <c r="B268" s="0" t="s">
        <v>34</v>
      </c>
      <c r="D268" s="21" t="n">
        <f aca="false">mcp_26*1</f>
        <v>0.300538</v>
      </c>
      <c r="E268" s="21" t="n">
        <f aca="false">mcp_27*1</f>
        <v>2.818985</v>
      </c>
      <c r="F268" s="21" t="n">
        <f aca="false">mcp_28*um28_A</f>
        <v>6.4435</v>
      </c>
      <c r="G268" s="21" t="n">
        <f aca="false">mcp_29*um29_A</f>
        <v>11.74736</v>
      </c>
    </row>
    <row r="269" customFormat="false" ht="17.15" hidden="false" customHeight="false" outlineLevel="0" collapsed="false">
      <c r="A269" s="4" t="s">
        <v>457</v>
      </c>
      <c r="B269" s="0" t="s">
        <v>125</v>
      </c>
      <c r="D269" s="9" t="n">
        <f aca="false">fx</f>
        <v>6.72</v>
      </c>
      <c r="E269" s="9" t="n">
        <f aca="false">fx</f>
        <v>6.72</v>
      </c>
      <c r="F269" s="9" t="n">
        <f aca="false">fx</f>
        <v>6.72</v>
      </c>
      <c r="G269" s="9" t="n">
        <f aca="false">fx</f>
        <v>6.72</v>
      </c>
      <c r="H269" s="8" t="s">
        <v>458</v>
      </c>
    </row>
    <row r="270" customFormat="false" ht="17.15" hidden="false" customHeight="false" outlineLevel="0" collapsed="false">
      <c r="A270" s="4" t="s">
        <v>459</v>
      </c>
      <c r="B270" s="0" t="s">
        <v>108</v>
      </c>
      <c r="D270" s="17" t="n">
        <f aca="false">a26_aiu/D267</f>
        <v>0.445687059095763</v>
      </c>
      <c r="H270" s="8" t="s">
        <v>460</v>
      </c>
    </row>
    <row r="271" customFormat="false" ht="17.15" hidden="false" customHeight="false" outlineLevel="0" collapsed="false">
      <c r="A271" s="4" t="s">
        <v>461</v>
      </c>
      <c r="B271" s="0" t="s">
        <v>67</v>
      </c>
      <c r="D271" s="9" t="n">
        <f aca="false">1</f>
        <v>1</v>
      </c>
      <c r="E271" s="9" t="n">
        <f aca="false">rel_27</f>
        <v>0.95</v>
      </c>
      <c r="F271" s="9" t="n">
        <f aca="false">rel_28</f>
        <v>0.9</v>
      </c>
      <c r="G271" s="9" t="n">
        <f aca="false">rel_29</f>
        <v>0.85</v>
      </c>
    </row>
    <row r="272" customFormat="false" ht="15" hidden="false" customHeight="false" outlineLevel="0" collapsed="false">
      <c r="A272" s="4" t="s">
        <v>462</v>
      </c>
      <c r="B272" s="0" t="s">
        <v>108</v>
      </c>
      <c r="D272" s="17" t="n">
        <f aca="false">$D$270*D271</f>
        <v>0.445687059095763</v>
      </c>
      <c r="E272" s="17" t="n">
        <f aca="false">$D$270*E271</f>
        <v>0.423402706140975</v>
      </c>
      <c r="F272" s="17" t="n">
        <f aca="false">$D$270*F271</f>
        <v>0.401118353186187</v>
      </c>
      <c r="G272" s="17" t="n">
        <f aca="false">$D$270*G271</f>
        <v>0.378834000231398</v>
      </c>
    </row>
    <row r="273" customFormat="false" ht="15" hidden="false" customHeight="false" outlineLevel="0" collapsed="false">
      <c r="A273" s="4" t="s">
        <v>463</v>
      </c>
      <c r="B273" s="0" t="s">
        <v>67</v>
      </c>
      <c r="D273" s="9" t="n">
        <f aca="false">1</f>
        <v>1</v>
      </c>
      <c r="E273" s="9" t="n">
        <f aca="false">pxr_27</f>
        <v>1</v>
      </c>
      <c r="F273" s="9" t="n">
        <f aca="false">pxr_28</f>
        <v>1</v>
      </c>
      <c r="G273" s="9" t="n">
        <f aca="false">pxr_29</f>
        <v>1</v>
      </c>
    </row>
    <row r="274" customFormat="false" ht="17.15" hidden="false" customHeight="false" outlineLevel="0" collapsed="false">
      <c r="A274" s="4" t="s">
        <v>464</v>
      </c>
      <c r="B274" s="0" t="s">
        <v>108</v>
      </c>
      <c r="D274" s="17" t="n">
        <f aca="false">0</f>
        <v>0</v>
      </c>
      <c r="E274" s="17" t="n">
        <f aca="false">CPHI_27</f>
        <v>0.3</v>
      </c>
      <c r="F274" s="17" t="n">
        <f aca="false">CPHI_28</f>
        <v>0.35</v>
      </c>
      <c r="G274" s="17" t="n">
        <f aca="false">CPHI_29</f>
        <v>0.4</v>
      </c>
    </row>
    <row r="275" customFormat="false" ht="17.15" hidden="false" customHeight="false" outlineLevel="0" collapsed="false">
      <c r="A275" s="0" t="s">
        <v>465</v>
      </c>
      <c r="B275" s="0" t="s">
        <v>34</v>
      </c>
      <c r="D275" s="21" t="n">
        <f aca="false">a26_aiu</f>
        <v>13.2606438392857</v>
      </c>
      <c r="E275" s="21" t="n">
        <f aca="false">E267*E272*E273+E268*E274</f>
        <v>23.5234471738455</v>
      </c>
      <c r="F275" s="21" t="n">
        <f aca="false">F267*F272*F273+F268*F274</f>
        <v>25.5166799787967</v>
      </c>
      <c r="G275" s="21" t="n">
        <f aca="false">G267*G272*G273+G268*G274</f>
        <v>32.329126040077</v>
      </c>
    </row>
    <row r="276" customFormat="false" ht="17.15" hidden="false" customHeight="false" outlineLevel="0" collapsed="false">
      <c r="A276" s="0" t="s">
        <v>466</v>
      </c>
      <c r="B276" s="0" t="s">
        <v>154</v>
      </c>
      <c r="C276" s="21" t="n">
        <f aca="false">a25_ai</f>
        <v>35.1808</v>
      </c>
      <c r="D276" s="21" t="n">
        <f aca="false">D275*D269</f>
        <v>89.1115266</v>
      </c>
      <c r="E276" s="21" t="n">
        <f aca="false">E275*E269</f>
        <v>158.077565008242</v>
      </c>
      <c r="F276" s="21" t="n">
        <f aca="false">F275*F269</f>
        <v>171.472089457514</v>
      </c>
      <c r="G276" s="21" t="n">
        <f aca="false">G275*G269</f>
        <v>217.251726989317</v>
      </c>
    </row>
    <row r="277" customFormat="false" ht="17.15" hidden="false" customHeight="false" outlineLevel="0" collapsed="false">
      <c r="A277" s="6" t="s">
        <v>467</v>
      </c>
    </row>
    <row r="278" customFormat="false" ht="15" hidden="false" customHeight="false" outlineLevel="0" collapsed="false">
      <c r="A278" s="4" t="s">
        <v>468</v>
      </c>
      <c r="B278" s="0" t="s">
        <v>154</v>
      </c>
      <c r="C278" s="21" t="n">
        <f aca="false">a25_oth</f>
        <v>3.0592</v>
      </c>
      <c r="D278" s="21" t="n">
        <f aca="false">a26_oth</f>
        <v>7.7488284</v>
      </c>
      <c r="E278" s="21" t="n">
        <f aca="false">D278*(1+g_oth)</f>
        <v>8.52371124</v>
      </c>
      <c r="F278" s="21" t="n">
        <f aca="false">E278*(1+g_oth)</f>
        <v>9.376082364</v>
      </c>
      <c r="G278" s="21" t="n">
        <f aca="false">F278*(1+g_oth)</f>
        <v>10.3136906004</v>
      </c>
    </row>
    <row r="279" customFormat="false" ht="15" hidden="false" customHeight="false" outlineLevel="0" collapsed="false">
      <c r="A279" s="4" t="s">
        <v>379</v>
      </c>
      <c r="B279" s="0" t="s">
        <v>154</v>
      </c>
      <c r="C279" s="21" t="n">
        <f aca="false">a25_rev</f>
        <v>38.24</v>
      </c>
      <c r="D279" s="21" t="n">
        <f aca="false">D276+D278</f>
        <v>96.860355</v>
      </c>
      <c r="E279" s="21" t="n">
        <f aca="false">E276+E278</f>
        <v>166.601276248242</v>
      </c>
      <c r="F279" s="21" t="n">
        <f aca="false">F276+F278</f>
        <v>180.848171821514</v>
      </c>
      <c r="G279" s="21" t="n">
        <f aca="false">G276+G278</f>
        <v>227.565417589717</v>
      </c>
    </row>
    <row r="280" customFormat="false" ht="15" hidden="false" customHeight="false" outlineLevel="0" collapsed="false">
      <c r="A280" s="4" t="s">
        <v>469</v>
      </c>
      <c r="B280" s="0" t="s">
        <v>108</v>
      </c>
      <c r="D280" s="17" t="n">
        <f aca="false">D279/C279-1</f>
        <v>1.53295907426778</v>
      </c>
      <c r="E280" s="17" t="n">
        <f aca="false">E279/D279-1</f>
        <v>0.720015131559674</v>
      </c>
      <c r="F280" s="17" t="n">
        <f aca="false">F279/E279-1</f>
        <v>0.085514924579833</v>
      </c>
      <c r="G280" s="17" t="n">
        <f aca="false">G279/F279-1</f>
        <v>0.258323019235773</v>
      </c>
    </row>
    <row r="281" customFormat="false" ht="17.15" hidden="false" customHeight="false" outlineLevel="0" collapsed="false">
      <c r="A281" s="0" t="s">
        <v>470</v>
      </c>
      <c r="B281" s="0" t="s">
        <v>108</v>
      </c>
      <c r="C281" s="17" t="n">
        <f aca="false">C276/C279</f>
        <v>0.92</v>
      </c>
      <c r="D281" s="17" t="n">
        <f aca="false">D276/D279</f>
        <v>0.92</v>
      </c>
      <c r="E281" s="17" t="n">
        <f aca="false">E276/E279</f>
        <v>0.948837659398843</v>
      </c>
      <c r="F281" s="17" t="n">
        <f aca="false">F276/F279</f>
        <v>0.948154950810044</v>
      </c>
      <c r="G281" s="17" t="n">
        <f aca="false">G276/G279</f>
        <v>0.954678128559082</v>
      </c>
    </row>
    <row r="282" customFormat="false" ht="17.15" hidden="false" customHeight="false" outlineLevel="0" collapsed="false">
      <c r="A282" s="6" t="s">
        <v>471</v>
      </c>
    </row>
    <row r="283" customFormat="false" ht="17.15" hidden="false" customHeight="false" outlineLevel="0" collapsed="false">
      <c r="A283" s="4" t="s">
        <v>383</v>
      </c>
      <c r="B283" s="0" t="s">
        <v>108</v>
      </c>
      <c r="C283" s="17" t="n">
        <f aca="false">a25_gp/a25_rev</f>
        <v>0.4261</v>
      </c>
      <c r="D283" s="17" t="n">
        <f aca="false">a26_gp/a26_rev</f>
        <v>0.468231579886322</v>
      </c>
      <c r="E283" s="17" t="n">
        <f aca="false">gm_27</f>
        <v>0.47</v>
      </c>
      <c r="F283" s="17" t="n">
        <f aca="false">gm_28</f>
        <v>0.46</v>
      </c>
      <c r="G283" s="17" t="n">
        <f aca="false">gm_29</f>
        <v>0.45</v>
      </c>
      <c r="H283" s="8" t="s">
        <v>472</v>
      </c>
    </row>
    <row r="284" customFormat="false" ht="15" hidden="false" customHeight="false" outlineLevel="0" collapsed="false">
      <c r="A284" s="4" t="s">
        <v>382</v>
      </c>
      <c r="B284" s="0" t="s">
        <v>154</v>
      </c>
      <c r="C284" s="21" t="n">
        <f aca="false">C279*C283</f>
        <v>16.294064</v>
      </c>
      <c r="D284" s="21" t="n">
        <f aca="false">D279*D283</f>
        <v>45.35307705</v>
      </c>
      <c r="E284" s="21" t="n">
        <f aca="false">E279*E283</f>
        <v>78.3025998366736</v>
      </c>
      <c r="F284" s="21" t="n">
        <f aca="false">F279*F283</f>
        <v>83.1901590378965</v>
      </c>
      <c r="G284" s="21" t="n">
        <f aca="false">G279*G283</f>
        <v>102.404437915373</v>
      </c>
    </row>
    <row r="285" customFormat="false" ht="15" hidden="false" customHeight="false" outlineLevel="0" collapsed="false">
      <c r="A285" s="4" t="s">
        <v>473</v>
      </c>
      <c r="B285" s="0" t="s">
        <v>154</v>
      </c>
      <c r="C285" s="21" t="n">
        <f aca="false">a25_opx</f>
        <v>2.6649299429437</v>
      </c>
      <c r="D285" s="21" t="n">
        <f aca="false">a26_opx</f>
        <v>5.17620397829946</v>
      </c>
      <c r="E285" s="21" t="n">
        <f aca="false">D285*(1+MAX(0,phi*E280))</f>
        <v>7.46723386685049</v>
      </c>
      <c r="F285" s="21" t="n">
        <f aca="false">E285*(1+MAX(0,phi*F280))</f>
        <v>7.85976980080543</v>
      </c>
      <c r="G285" s="21" t="n">
        <f aca="false">F285*(1+MAX(0,phi*G280))</f>
        <v>9.10787353849652</v>
      </c>
    </row>
    <row r="286" customFormat="false" ht="15" hidden="false" customHeight="false" outlineLevel="0" collapsed="false">
      <c r="A286" s="4" t="s">
        <v>474</v>
      </c>
      <c r="B286" s="0" t="s">
        <v>154</v>
      </c>
      <c r="C286" s="21" t="n">
        <f aca="false">C285</f>
        <v>2.6649299429437</v>
      </c>
      <c r="D286" s="21" t="n">
        <f aca="false">D285</f>
        <v>5.17620397829946</v>
      </c>
      <c r="E286" s="21" t="n">
        <f aca="false">E285+0*E279</f>
        <v>7.46723386685049</v>
      </c>
      <c r="F286" s="21" t="n">
        <f aca="false">F285+0*F279</f>
        <v>7.85976980080543</v>
      </c>
      <c r="G286" s="21" t="n">
        <f aca="false">G285+0*G279</f>
        <v>9.10787353849652</v>
      </c>
    </row>
    <row r="287" customFormat="false" ht="15" hidden="false" customHeight="false" outlineLevel="0" collapsed="false">
      <c r="A287" s="4" t="s">
        <v>475</v>
      </c>
      <c r="B287" s="0" t="s">
        <v>154</v>
      </c>
      <c r="C287" s="21" t="n">
        <f aca="false">C284-C286</f>
        <v>13.6291340570563</v>
      </c>
      <c r="D287" s="21" t="n">
        <f aca="false">D284-D286</f>
        <v>40.1768730717005</v>
      </c>
      <c r="E287" s="21" t="n">
        <f aca="false">E284-E286</f>
        <v>70.8353659698231</v>
      </c>
      <c r="F287" s="21" t="n">
        <f aca="false">F284-F286</f>
        <v>75.330389237091</v>
      </c>
      <c r="G287" s="21" t="n">
        <f aca="false">G284-G286</f>
        <v>93.2965643768763</v>
      </c>
    </row>
    <row r="288" customFormat="false" ht="15" hidden="false" customHeight="false" outlineLevel="0" collapsed="false">
      <c r="A288" s="4" t="s">
        <v>476</v>
      </c>
      <c r="B288" s="0" t="s">
        <v>108</v>
      </c>
      <c r="C288" s="17" t="n">
        <f aca="false">C287/C279</f>
        <v>0.356410409441849</v>
      </c>
      <c r="D288" s="17" t="n">
        <f aca="false">D287/D279</f>
        <v>0.414791718156521</v>
      </c>
      <c r="E288" s="17" t="n">
        <f aca="false">E287/E279</f>
        <v>0.425179011619791</v>
      </c>
      <c r="F288" s="17" t="n">
        <f aca="false">F287/F279</f>
        <v>0.41653940141257</v>
      </c>
      <c r="G288" s="17" t="n">
        <f aca="false">G287/G279</f>
        <v>0.409976899675867</v>
      </c>
    </row>
    <row r="289" customFormat="false" ht="15" hidden="false" customHeight="false" outlineLevel="0" collapsed="false">
      <c r="A289" s="4" t="s">
        <v>390</v>
      </c>
      <c r="B289" s="0" t="s">
        <v>154</v>
      </c>
      <c r="C289" s="21" t="n">
        <f aca="false">a25_ni</f>
        <v>10.797</v>
      </c>
      <c r="D289" s="21" t="n">
        <f aca="false">a26_ni</f>
        <v>31.8281188474012</v>
      </c>
      <c r="E289" s="21" t="n">
        <f aca="false">E287*(1-tx)*attr</f>
        <v>56.1157769212939</v>
      </c>
      <c r="F289" s="21" t="n">
        <f aca="false">F287*(1-tx)*attr</f>
        <v>59.6767343536235</v>
      </c>
      <c r="G289" s="21" t="n">
        <f aca="false">G287*(1-tx)*attr</f>
        <v>73.9095382993614</v>
      </c>
    </row>
    <row r="290" customFormat="false" ht="15" hidden="false" customHeight="false" outlineLevel="0" collapsed="false">
      <c r="A290" s="4" t="s">
        <v>392</v>
      </c>
      <c r="B290" s="0" t="s">
        <v>108</v>
      </c>
      <c r="C290" s="17" t="n">
        <f aca="false">C289/C279</f>
        <v>0.282348326359833</v>
      </c>
      <c r="D290" s="17" t="n">
        <f aca="false">D289/D279</f>
        <v>0.328597999123596</v>
      </c>
      <c r="E290" s="17" t="n">
        <f aca="false">E289/E279</f>
        <v>0.336826813005198</v>
      </c>
      <c r="F290" s="17" t="n">
        <f aca="false">F289/F279</f>
        <v>0.329982513799038</v>
      </c>
      <c r="G290" s="17" t="n">
        <f aca="false">G289/G279</f>
        <v>0.324783699923222</v>
      </c>
    </row>
    <row r="291" customFormat="false" ht="15" hidden="false" customHeight="false" outlineLevel="0" collapsed="false">
      <c r="A291" s="4" t="s">
        <v>477</v>
      </c>
      <c r="B291" s="4" t="s">
        <v>186</v>
      </c>
      <c r="C291" s="18" t="n">
        <f aca="false">a25_sh</f>
        <v>1.1089358245329</v>
      </c>
      <c r="D291" s="18" t="n">
        <f aca="false">a26_sh</f>
        <v>1.1434224718021</v>
      </c>
      <c r="E291" s="18" t="n">
        <f aca="false">sh_post*(1+sh_g)</f>
        <v>1.1779091190713</v>
      </c>
      <c r="F291" s="18" t="n">
        <f aca="false">E291*(1+sh_g)</f>
        <v>1.1779091190713</v>
      </c>
      <c r="G291" s="18" t="n">
        <f aca="false">F291*(1+sh_g)</f>
        <v>1.1779091190713</v>
      </c>
    </row>
    <row r="292" customFormat="false" ht="15" hidden="false" customHeight="false" outlineLevel="0" collapsed="false">
      <c r="A292" s="0" t="s">
        <v>395</v>
      </c>
      <c r="B292" s="0" t="s">
        <v>125</v>
      </c>
      <c r="C292" s="21" t="n">
        <f aca="false">C289/C291</f>
        <v>9.73636143872244</v>
      </c>
      <c r="D292" s="21" t="n">
        <f aca="false">D289/D291</f>
        <v>27.8358346388262</v>
      </c>
      <c r="E292" s="21" t="n">
        <f aca="false">E289/E291</f>
        <v>47.6401583218384</v>
      </c>
      <c r="F292" s="21" t="n">
        <f aca="false">F289/F291</f>
        <v>50.6632756189837</v>
      </c>
      <c r="G292" s="21" t="n">
        <f aca="false">G289/G291</f>
        <v>62.746384337048</v>
      </c>
    </row>
    <row r="293" customFormat="false" ht="17.15" hidden="false" customHeight="false" outlineLevel="0" collapsed="false">
      <c r="A293" s="0" t="s">
        <v>478</v>
      </c>
      <c r="B293" s="0" t="s">
        <v>108</v>
      </c>
      <c r="D293" s="17" t="n">
        <f aca="false">D292/C292-1</f>
        <v>1.85895658393704</v>
      </c>
      <c r="E293" s="17" t="n">
        <f aca="false">E292/D292-1</f>
        <v>0.711468649673201</v>
      </c>
      <c r="F293" s="17" t="n">
        <f aca="false">F292/E292-1</f>
        <v>0.0634573310340889</v>
      </c>
      <c r="G293" s="17" t="n">
        <f aca="false">G292/F292-1</f>
        <v>0.238498371264742</v>
      </c>
    </row>
    <row r="296" customFormat="false" ht="17.15" hidden="false" customHeight="false" outlineLevel="0" collapsed="false">
      <c r="A296" s="1" t="s">
        <v>812</v>
      </c>
    </row>
    <row r="297" customFormat="false" ht="17.15" hidden="false" customHeight="false" outlineLevel="0" collapsed="false">
      <c r="A297" s="5" t="s">
        <v>23</v>
      </c>
      <c r="B297" s="5" t="s">
        <v>24</v>
      </c>
      <c r="C297" s="15" t="s">
        <v>372</v>
      </c>
      <c r="D297" s="15" t="s">
        <v>434</v>
      </c>
      <c r="E297" s="15" t="s">
        <v>435</v>
      </c>
      <c r="F297" s="15" t="s">
        <v>436</v>
      </c>
      <c r="G297" s="15" t="s">
        <v>437</v>
      </c>
      <c r="H297" s="5" t="s">
        <v>378</v>
      </c>
    </row>
    <row r="298" customFormat="false" ht="17.15" hidden="false" customHeight="false" outlineLevel="0" collapsed="false">
      <c r="A298" s="6" t="s">
        <v>454</v>
      </c>
    </row>
    <row r="299" customFormat="false" ht="17.15" hidden="false" customHeight="false" outlineLevel="0" collapsed="false">
      <c r="A299" s="0" t="s">
        <v>455</v>
      </c>
      <c r="B299" s="0" t="s">
        <v>34</v>
      </c>
      <c r="D299" s="21" t="n">
        <f aca="false">mpl_26*1</f>
        <v>29.753262</v>
      </c>
      <c r="E299" s="21" t="n">
        <f aca="false">mpl_27*1*mf_lo</f>
        <v>42.848572</v>
      </c>
      <c r="F299" s="21" t="n">
        <f aca="false">mpl_28*um28_A*mf_lo</f>
        <v>46.3932</v>
      </c>
      <c r="G299" s="21" t="n">
        <f aca="false">mpl_29*um29_A*mf_lo</f>
        <v>58.34784</v>
      </c>
    </row>
    <row r="300" customFormat="false" ht="17.15" hidden="false" customHeight="false" outlineLevel="0" collapsed="false">
      <c r="A300" s="0" t="s">
        <v>456</v>
      </c>
      <c r="B300" s="0" t="s">
        <v>34</v>
      </c>
      <c r="D300" s="21" t="n">
        <f aca="false">mcp_26*1</f>
        <v>0.300538</v>
      </c>
      <c r="E300" s="21" t="n">
        <f aca="false">mcp_27*1</f>
        <v>2.818985</v>
      </c>
      <c r="F300" s="21" t="n">
        <f aca="false">mcp_28*um28_A</f>
        <v>6.4435</v>
      </c>
      <c r="G300" s="21" t="n">
        <f aca="false">mcp_29*um29_A</f>
        <v>11.74736</v>
      </c>
    </row>
    <row r="301" customFormat="false" ht="17.15" hidden="false" customHeight="false" outlineLevel="0" collapsed="false">
      <c r="A301" s="4" t="s">
        <v>457</v>
      </c>
      <c r="B301" s="0" t="s">
        <v>125</v>
      </c>
      <c r="D301" s="9" t="n">
        <f aca="false">fx</f>
        <v>6.72</v>
      </c>
      <c r="E301" s="9" t="n">
        <f aca="false">fx</f>
        <v>6.72</v>
      </c>
      <c r="F301" s="9" t="n">
        <f aca="false">fx</f>
        <v>6.72</v>
      </c>
      <c r="G301" s="9" t="n">
        <f aca="false">fx</f>
        <v>6.72</v>
      </c>
      <c r="H301" s="8" t="s">
        <v>458</v>
      </c>
    </row>
    <row r="302" customFormat="false" ht="17.15" hidden="false" customHeight="false" outlineLevel="0" collapsed="false">
      <c r="A302" s="4" t="s">
        <v>459</v>
      </c>
      <c r="B302" s="0" t="s">
        <v>108</v>
      </c>
      <c r="D302" s="17" t="n">
        <f aca="false">a26_aiu/D299</f>
        <v>0.445687059095763</v>
      </c>
      <c r="H302" s="8" t="s">
        <v>460</v>
      </c>
    </row>
    <row r="303" customFormat="false" ht="17.15" hidden="false" customHeight="false" outlineLevel="0" collapsed="false">
      <c r="A303" s="4" t="s">
        <v>461</v>
      </c>
      <c r="B303" s="0" t="s">
        <v>67</v>
      </c>
      <c r="D303" s="9" t="n">
        <f aca="false">1</f>
        <v>1</v>
      </c>
      <c r="E303" s="9" t="n">
        <f aca="false">rel_27</f>
        <v>0.95</v>
      </c>
      <c r="F303" s="9" t="n">
        <f aca="false">rel_28</f>
        <v>0.9</v>
      </c>
      <c r="G303" s="9" t="n">
        <f aca="false">rel_29</f>
        <v>0.85</v>
      </c>
    </row>
    <row r="304" customFormat="false" ht="15" hidden="false" customHeight="false" outlineLevel="0" collapsed="false">
      <c r="A304" s="4" t="s">
        <v>462</v>
      </c>
      <c r="B304" s="0" t="s">
        <v>108</v>
      </c>
      <c r="D304" s="17" t="n">
        <f aca="false">$D$302*D303</f>
        <v>0.445687059095763</v>
      </c>
      <c r="E304" s="17" t="n">
        <f aca="false">$D$302*E303</f>
        <v>0.423402706140975</v>
      </c>
      <c r="F304" s="17" t="n">
        <f aca="false">$D$302*F303</f>
        <v>0.401118353186187</v>
      </c>
      <c r="G304" s="17" t="n">
        <f aca="false">$D$302*G303</f>
        <v>0.378834000231398</v>
      </c>
    </row>
    <row r="305" customFormat="false" ht="15" hidden="false" customHeight="false" outlineLevel="0" collapsed="false">
      <c r="A305" s="4" t="s">
        <v>463</v>
      </c>
      <c r="B305" s="0" t="s">
        <v>67</v>
      </c>
      <c r="D305" s="9" t="n">
        <f aca="false">1</f>
        <v>1</v>
      </c>
      <c r="E305" s="9" t="n">
        <f aca="false">pxr_27</f>
        <v>1</v>
      </c>
      <c r="F305" s="9" t="n">
        <f aca="false">pxr_28</f>
        <v>1</v>
      </c>
      <c r="G305" s="9" t="n">
        <f aca="false">pxr_29</f>
        <v>1</v>
      </c>
    </row>
    <row r="306" customFormat="false" ht="17.15" hidden="false" customHeight="false" outlineLevel="0" collapsed="false">
      <c r="A306" s="4" t="s">
        <v>464</v>
      </c>
      <c r="B306" s="0" t="s">
        <v>108</v>
      </c>
      <c r="D306" s="17" t="n">
        <f aca="false">0</f>
        <v>0</v>
      </c>
      <c r="E306" s="17" t="n">
        <f aca="false">cpo_27</f>
        <v>0.1</v>
      </c>
      <c r="F306" s="17" t="n">
        <f aca="false">cpo_28</f>
        <v>0.15</v>
      </c>
      <c r="G306" s="17" t="n">
        <f aca="false">cpo_29</f>
        <v>0.2</v>
      </c>
    </row>
    <row r="307" customFormat="false" ht="17.15" hidden="false" customHeight="false" outlineLevel="0" collapsed="false">
      <c r="A307" s="0" t="s">
        <v>465</v>
      </c>
      <c r="B307" s="0" t="s">
        <v>34</v>
      </c>
      <c r="D307" s="21" t="n">
        <f aca="false">a26_aiu</f>
        <v>13.2606438392857</v>
      </c>
      <c r="E307" s="21" t="n">
        <f aca="false">E299*E304*E305+E300*E306</f>
        <v>18.4240998390764</v>
      </c>
      <c r="F307" s="21" t="n">
        <f aca="false">F299*F304*F305+F300*F306</f>
        <v>19.5756889830374</v>
      </c>
      <c r="G307" s="21" t="n">
        <f aca="false">G299*G304*G305+G300*G306</f>
        <v>24.4536176320616</v>
      </c>
    </row>
    <row r="308" customFormat="false" ht="17.15" hidden="false" customHeight="false" outlineLevel="0" collapsed="false">
      <c r="A308" s="0" t="s">
        <v>466</v>
      </c>
      <c r="B308" s="0" t="s">
        <v>154</v>
      </c>
      <c r="C308" s="21" t="n">
        <f aca="false">a25_ai</f>
        <v>35.1808</v>
      </c>
      <c r="D308" s="21" t="n">
        <f aca="false">D307*D301</f>
        <v>89.1115266</v>
      </c>
      <c r="E308" s="21" t="n">
        <f aca="false">E307*E301</f>
        <v>123.809950918593</v>
      </c>
      <c r="F308" s="21" t="n">
        <f aca="false">F307*F301</f>
        <v>131.548629966011</v>
      </c>
      <c r="G308" s="21" t="n">
        <f aca="false">G307*G301</f>
        <v>164.328310487454</v>
      </c>
    </row>
    <row r="309" customFormat="false" ht="17.15" hidden="false" customHeight="false" outlineLevel="0" collapsed="false">
      <c r="A309" s="6" t="s">
        <v>467</v>
      </c>
    </row>
    <row r="310" customFormat="false" ht="15" hidden="false" customHeight="false" outlineLevel="0" collapsed="false">
      <c r="A310" s="4" t="s">
        <v>468</v>
      </c>
      <c r="B310" s="0" t="s">
        <v>154</v>
      </c>
      <c r="C310" s="21" t="n">
        <f aca="false">a25_oth</f>
        <v>3.0592</v>
      </c>
      <c r="D310" s="21" t="n">
        <f aca="false">a26_oth</f>
        <v>7.7488284</v>
      </c>
      <c r="E310" s="21" t="n">
        <f aca="false">D310*(1+g_oth)</f>
        <v>8.52371124</v>
      </c>
      <c r="F310" s="21" t="n">
        <f aca="false">E310*(1+g_oth)</f>
        <v>9.376082364</v>
      </c>
      <c r="G310" s="21" t="n">
        <f aca="false">F310*(1+g_oth)</f>
        <v>10.3136906004</v>
      </c>
    </row>
    <row r="311" customFormat="false" ht="15" hidden="false" customHeight="false" outlineLevel="0" collapsed="false">
      <c r="A311" s="4" t="s">
        <v>379</v>
      </c>
      <c r="B311" s="0" t="s">
        <v>154</v>
      </c>
      <c r="C311" s="21" t="n">
        <f aca="false">a25_rev</f>
        <v>38.24</v>
      </c>
      <c r="D311" s="21" t="n">
        <f aca="false">D308+D310</f>
        <v>96.860355</v>
      </c>
      <c r="E311" s="21" t="n">
        <f aca="false">E308+E310</f>
        <v>132.333662158593</v>
      </c>
      <c r="F311" s="21" t="n">
        <f aca="false">F308+F310</f>
        <v>140.924712330011</v>
      </c>
      <c r="G311" s="21" t="n">
        <f aca="false">G308+G310</f>
        <v>174.642001087854</v>
      </c>
    </row>
    <row r="312" customFormat="false" ht="15" hidden="false" customHeight="false" outlineLevel="0" collapsed="false">
      <c r="A312" s="4" t="s">
        <v>469</v>
      </c>
      <c r="B312" s="0" t="s">
        <v>108</v>
      </c>
      <c r="D312" s="17" t="n">
        <f aca="false">D311/C311-1</f>
        <v>1.53295907426778</v>
      </c>
      <c r="E312" s="17" t="n">
        <f aca="false">E311/D311-1</f>
        <v>0.366231438637546</v>
      </c>
      <c r="F312" s="17" t="n">
        <f aca="false">F311/E311-1</f>
        <v>0.0649196132811776</v>
      </c>
      <c r="G312" s="17" t="n">
        <f aca="false">G311/F311-1</f>
        <v>0.239257460245049</v>
      </c>
    </row>
    <row r="313" customFormat="false" ht="17.15" hidden="false" customHeight="false" outlineLevel="0" collapsed="false">
      <c r="A313" s="0" t="s">
        <v>470</v>
      </c>
      <c r="B313" s="0" t="s">
        <v>108</v>
      </c>
      <c r="C313" s="17" t="n">
        <f aca="false">C308/C311</f>
        <v>0.92</v>
      </c>
      <c r="D313" s="17" t="n">
        <f aca="false">D308/D311</f>
        <v>0.92</v>
      </c>
      <c r="E313" s="17" t="n">
        <f aca="false">E308/E311</f>
        <v>0.935589243878214</v>
      </c>
      <c r="F313" s="17" t="n">
        <f aca="false">F308/F311</f>
        <v>0.93346743655546</v>
      </c>
      <c r="G313" s="17" t="n">
        <f aca="false">G308/G311</f>
        <v>0.940943813423143</v>
      </c>
    </row>
    <row r="314" customFormat="false" ht="17.15" hidden="false" customHeight="false" outlineLevel="0" collapsed="false">
      <c r="A314" s="6" t="s">
        <v>471</v>
      </c>
    </row>
    <row r="315" customFormat="false" ht="17.15" hidden="false" customHeight="false" outlineLevel="0" collapsed="false">
      <c r="A315" s="4" t="s">
        <v>383</v>
      </c>
      <c r="B315" s="0" t="s">
        <v>108</v>
      </c>
      <c r="C315" s="17" t="n">
        <f aca="false">a25_gp/a25_rev</f>
        <v>0.4261</v>
      </c>
      <c r="D315" s="17" t="n">
        <f aca="false">a26_gp/a26_rev</f>
        <v>0.468231579886322</v>
      </c>
      <c r="E315" s="17" t="n">
        <f aca="false">gm_27</f>
        <v>0.47</v>
      </c>
      <c r="F315" s="17" t="n">
        <f aca="false">gm_28</f>
        <v>0.46</v>
      </c>
      <c r="G315" s="17" t="n">
        <f aca="false">gm_29</f>
        <v>0.45</v>
      </c>
      <c r="H315" s="8" t="s">
        <v>472</v>
      </c>
    </row>
    <row r="316" customFormat="false" ht="15" hidden="false" customHeight="false" outlineLevel="0" collapsed="false">
      <c r="A316" s="4" t="s">
        <v>382</v>
      </c>
      <c r="B316" s="0" t="s">
        <v>154</v>
      </c>
      <c r="C316" s="21" t="n">
        <f aca="false">C311*C315</f>
        <v>16.294064</v>
      </c>
      <c r="D316" s="21" t="n">
        <f aca="false">D311*D315</f>
        <v>45.35307705</v>
      </c>
      <c r="E316" s="21" t="n">
        <f aca="false">E311*E315</f>
        <v>62.1968212145389</v>
      </c>
      <c r="F316" s="21" t="n">
        <f aca="false">F311*F315</f>
        <v>64.8253676718052</v>
      </c>
      <c r="G316" s="21" t="n">
        <f aca="false">G311*G315</f>
        <v>78.5889004895343</v>
      </c>
    </row>
    <row r="317" customFormat="false" ht="15" hidden="false" customHeight="false" outlineLevel="0" collapsed="false">
      <c r="A317" s="4" t="s">
        <v>473</v>
      </c>
      <c r="B317" s="0" t="s">
        <v>154</v>
      </c>
      <c r="C317" s="21" t="n">
        <f aca="false">a25_opx</f>
        <v>2.6649299429437</v>
      </c>
      <c r="D317" s="21" t="n">
        <f aca="false">a26_opx</f>
        <v>5.17620397829946</v>
      </c>
      <c r="E317" s="21" t="n">
        <f aca="false">D317*(1+MAX(0,phi*E312))</f>
        <v>6.34152278240312</v>
      </c>
      <c r="F317" s="21" t="n">
        <f aca="false">E317*(1+MAX(0,phi*F312))</f>
        <v>6.59459660816125</v>
      </c>
      <c r="G317" s="21" t="n">
        <f aca="false">F317*(1+MAX(0,phi*G312))</f>
        <v>7.56450668733913</v>
      </c>
    </row>
    <row r="318" customFormat="false" ht="15" hidden="false" customHeight="false" outlineLevel="0" collapsed="false">
      <c r="A318" s="4" t="s">
        <v>474</v>
      </c>
      <c r="B318" s="0" t="s">
        <v>154</v>
      </c>
      <c r="C318" s="21" t="n">
        <f aca="false">C317</f>
        <v>2.6649299429437</v>
      </c>
      <c r="D318" s="21" t="n">
        <f aca="false">D317</f>
        <v>5.17620397829946</v>
      </c>
      <c r="E318" s="21" t="n">
        <f aca="false">E317+0*E311</f>
        <v>6.34152278240312</v>
      </c>
      <c r="F318" s="21" t="n">
        <f aca="false">F317+0*F311</f>
        <v>6.59459660816125</v>
      </c>
      <c r="G318" s="21" t="n">
        <f aca="false">G317+0*G311</f>
        <v>7.56450668733913</v>
      </c>
    </row>
    <row r="319" customFormat="false" ht="15" hidden="false" customHeight="false" outlineLevel="0" collapsed="false">
      <c r="A319" s="4" t="s">
        <v>475</v>
      </c>
      <c r="B319" s="0" t="s">
        <v>154</v>
      </c>
      <c r="C319" s="21" t="n">
        <f aca="false">C316-C318</f>
        <v>13.6291340570563</v>
      </c>
      <c r="D319" s="21" t="n">
        <f aca="false">D316-D318</f>
        <v>40.1768730717005</v>
      </c>
      <c r="E319" s="21" t="n">
        <f aca="false">E316-E318</f>
        <v>55.8552984321358</v>
      </c>
      <c r="F319" s="21" t="n">
        <f aca="false">F316-F318</f>
        <v>58.230771063644</v>
      </c>
      <c r="G319" s="21" t="n">
        <f aca="false">G316-G318</f>
        <v>71.0243938021951</v>
      </c>
    </row>
    <row r="320" customFormat="false" ht="15" hidden="false" customHeight="false" outlineLevel="0" collapsed="false">
      <c r="A320" s="4" t="s">
        <v>476</v>
      </c>
      <c r="B320" s="0" t="s">
        <v>108</v>
      </c>
      <c r="C320" s="17" t="n">
        <f aca="false">C319/C311</f>
        <v>0.356410409441849</v>
      </c>
      <c r="D320" s="17" t="n">
        <f aca="false">D319/D311</f>
        <v>0.414791718156521</v>
      </c>
      <c r="E320" s="17" t="n">
        <f aca="false">E319/E311</f>
        <v>0.422079292003548</v>
      </c>
      <c r="F320" s="17" t="n">
        <f aca="false">F319/F311</f>
        <v>0.413204824766871</v>
      </c>
      <c r="G320" s="17" t="n">
        <f aca="false">G319/G311</f>
        <v>0.406685638963025</v>
      </c>
    </row>
    <row r="321" customFormat="false" ht="15" hidden="false" customHeight="false" outlineLevel="0" collapsed="false">
      <c r="A321" s="4" t="s">
        <v>390</v>
      </c>
      <c r="B321" s="0" t="s">
        <v>154</v>
      </c>
      <c r="C321" s="21" t="n">
        <f aca="false">a25_ni</f>
        <v>10.797</v>
      </c>
      <c r="D321" s="21" t="n">
        <f aca="false">a26_ni</f>
        <v>31.8281188474012</v>
      </c>
      <c r="E321" s="21" t="n">
        <f aca="false">E319*(1-tx)*attr</f>
        <v>44.248567417938</v>
      </c>
      <c r="F321" s="21" t="n">
        <f aca="false">F319*(1-tx)*attr</f>
        <v>46.1304168366187</v>
      </c>
      <c r="G321" s="21" t="n">
        <f aca="false">G319*(1-tx)*attr</f>
        <v>56.265524770099</v>
      </c>
    </row>
    <row r="322" customFormat="false" ht="15" hidden="false" customHeight="false" outlineLevel="0" collapsed="false">
      <c r="A322" s="4" t="s">
        <v>392</v>
      </c>
      <c r="B322" s="0" t="s">
        <v>108</v>
      </c>
      <c r="C322" s="17" t="n">
        <f aca="false">C321/C311</f>
        <v>0.282348326359833</v>
      </c>
      <c r="D322" s="17" t="n">
        <f aca="false">D321/D311</f>
        <v>0.328597999123596</v>
      </c>
      <c r="E322" s="17" t="n">
        <f aca="false">E321/E311</f>
        <v>0.334371215125211</v>
      </c>
      <c r="F322" s="17" t="n">
        <f aca="false">F321/F311</f>
        <v>0.327340862180315</v>
      </c>
      <c r="G322" s="17" t="n">
        <f aca="false">G321/G311</f>
        <v>0.322176363186508</v>
      </c>
    </row>
    <row r="323" customFormat="false" ht="15" hidden="false" customHeight="false" outlineLevel="0" collapsed="false">
      <c r="A323" s="4" t="s">
        <v>477</v>
      </c>
      <c r="B323" s="4" t="s">
        <v>186</v>
      </c>
      <c r="C323" s="18" t="n">
        <f aca="false">a25_sh</f>
        <v>1.1089358245329</v>
      </c>
      <c r="D323" s="18" t="n">
        <f aca="false">a26_sh</f>
        <v>1.1434224718021</v>
      </c>
      <c r="E323" s="18" t="n">
        <f aca="false">sh_post*(1+sh_g)</f>
        <v>1.1779091190713</v>
      </c>
      <c r="F323" s="18" t="n">
        <f aca="false">E323*(1+sh_g)</f>
        <v>1.1779091190713</v>
      </c>
      <c r="G323" s="18" t="n">
        <f aca="false">F323*(1+sh_g)</f>
        <v>1.1779091190713</v>
      </c>
    </row>
    <row r="324" customFormat="false" ht="15" hidden="false" customHeight="false" outlineLevel="0" collapsed="false">
      <c r="A324" s="0" t="s">
        <v>395</v>
      </c>
      <c r="B324" s="0" t="s">
        <v>125</v>
      </c>
      <c r="C324" s="21" t="n">
        <f aca="false">C321/C323</f>
        <v>9.73636143872244</v>
      </c>
      <c r="D324" s="21" t="n">
        <f aca="false">D321/D323</f>
        <v>27.8358346388262</v>
      </c>
      <c r="E324" s="21" t="n">
        <f aca="false">E321/E323</f>
        <v>37.5653492290007</v>
      </c>
      <c r="F324" s="21" t="n">
        <f aca="false">F321/F323</f>
        <v>39.162967744905</v>
      </c>
      <c r="G324" s="21" t="n">
        <f aca="false">G321/G323</f>
        <v>47.7672885446888</v>
      </c>
    </row>
    <row r="325" customFormat="false" ht="17.15" hidden="false" customHeight="false" outlineLevel="0" collapsed="false">
      <c r="A325" s="0" t="s">
        <v>478</v>
      </c>
      <c r="B325" s="0" t="s">
        <v>108</v>
      </c>
      <c r="D325" s="17" t="n">
        <f aca="false">D324/C324-1</f>
        <v>1.85895658393704</v>
      </c>
      <c r="E325" s="17" t="n">
        <f aca="false">E324/D324-1</f>
        <v>0.349531986966309</v>
      </c>
      <c r="F325" s="17" t="n">
        <f aca="false">F324/E324-1</f>
        <v>0.0425290473453359</v>
      </c>
      <c r="G325" s="17" t="n">
        <f aca="false">G324/F324-1</f>
        <v>0.219705535490304</v>
      </c>
    </row>
    <row r="328" customFormat="false" ht="17.15" hidden="false" customHeight="false" outlineLevel="0" collapsed="false">
      <c r="A328" s="1" t="s">
        <v>813</v>
      </c>
    </row>
    <row r="329" customFormat="false" ht="17.15" hidden="false" customHeight="false" outlineLevel="0" collapsed="false">
      <c r="A329" s="5" t="s">
        <v>23</v>
      </c>
      <c r="B329" s="5" t="s">
        <v>24</v>
      </c>
      <c r="C329" s="15" t="s">
        <v>372</v>
      </c>
      <c r="D329" s="15" t="s">
        <v>434</v>
      </c>
      <c r="E329" s="15" t="s">
        <v>435</v>
      </c>
      <c r="F329" s="15" t="s">
        <v>436</v>
      </c>
      <c r="G329" s="15" t="s">
        <v>437</v>
      </c>
      <c r="H329" s="5" t="s">
        <v>378</v>
      </c>
    </row>
    <row r="330" customFormat="false" ht="17.15" hidden="false" customHeight="false" outlineLevel="0" collapsed="false">
      <c r="A330" s="6" t="s">
        <v>454</v>
      </c>
    </row>
    <row r="331" customFormat="false" ht="17.15" hidden="false" customHeight="false" outlineLevel="0" collapsed="false">
      <c r="A331" s="0" t="s">
        <v>455</v>
      </c>
      <c r="B331" s="0" t="s">
        <v>34</v>
      </c>
      <c r="D331" s="21" t="n">
        <f aca="false">mpl_26*1</f>
        <v>29.753262</v>
      </c>
      <c r="E331" s="21" t="n">
        <f aca="false">mpl_27*1*mf_hi</f>
        <v>64.272858</v>
      </c>
      <c r="F331" s="21" t="n">
        <f aca="false">mpl_28*um28_A*mf_hi</f>
        <v>69.5898</v>
      </c>
      <c r="G331" s="21" t="n">
        <f aca="false">mpl_29*um29_A*mf_hi</f>
        <v>87.52176</v>
      </c>
    </row>
    <row r="332" customFormat="false" ht="17.15" hidden="false" customHeight="false" outlineLevel="0" collapsed="false">
      <c r="A332" s="0" t="s">
        <v>456</v>
      </c>
      <c r="B332" s="0" t="s">
        <v>34</v>
      </c>
      <c r="D332" s="21" t="n">
        <f aca="false">mcp_26*1</f>
        <v>0.300538</v>
      </c>
      <c r="E332" s="21" t="n">
        <f aca="false">mcp_27*1</f>
        <v>2.818985</v>
      </c>
      <c r="F332" s="21" t="n">
        <f aca="false">mcp_28*um28_A</f>
        <v>6.4435</v>
      </c>
      <c r="G332" s="21" t="n">
        <f aca="false">mcp_29*um29_A</f>
        <v>11.74736</v>
      </c>
    </row>
    <row r="333" customFormat="false" ht="17.15" hidden="false" customHeight="false" outlineLevel="0" collapsed="false">
      <c r="A333" s="4" t="s">
        <v>457</v>
      </c>
      <c r="B333" s="0" t="s">
        <v>125</v>
      </c>
      <c r="D333" s="9" t="n">
        <f aca="false">fx</f>
        <v>6.72</v>
      </c>
      <c r="E333" s="9" t="n">
        <f aca="false">fx</f>
        <v>6.72</v>
      </c>
      <c r="F333" s="9" t="n">
        <f aca="false">fx</f>
        <v>6.72</v>
      </c>
      <c r="G333" s="9" t="n">
        <f aca="false">fx</f>
        <v>6.72</v>
      </c>
      <c r="H333" s="8" t="s">
        <v>458</v>
      </c>
    </row>
    <row r="334" customFormat="false" ht="17.15" hidden="false" customHeight="false" outlineLevel="0" collapsed="false">
      <c r="A334" s="4" t="s">
        <v>459</v>
      </c>
      <c r="B334" s="0" t="s">
        <v>108</v>
      </c>
      <c r="D334" s="17" t="n">
        <f aca="false">a26_aiu/D331</f>
        <v>0.445687059095763</v>
      </c>
      <c r="H334" s="8" t="s">
        <v>460</v>
      </c>
    </row>
    <row r="335" customFormat="false" ht="17.15" hidden="false" customHeight="false" outlineLevel="0" collapsed="false">
      <c r="A335" s="4" t="s">
        <v>461</v>
      </c>
      <c r="B335" s="0" t="s">
        <v>67</v>
      </c>
      <c r="D335" s="9" t="n">
        <f aca="false">1</f>
        <v>1</v>
      </c>
      <c r="E335" s="9" t="n">
        <f aca="false">rel_27</f>
        <v>0.95</v>
      </c>
      <c r="F335" s="9" t="n">
        <f aca="false">rel_28</f>
        <v>0.9</v>
      </c>
      <c r="G335" s="9" t="n">
        <f aca="false">rel_29</f>
        <v>0.85</v>
      </c>
    </row>
    <row r="336" customFormat="false" ht="15" hidden="false" customHeight="false" outlineLevel="0" collapsed="false">
      <c r="A336" s="4" t="s">
        <v>462</v>
      </c>
      <c r="B336" s="0" t="s">
        <v>108</v>
      </c>
      <c r="D336" s="17" t="n">
        <f aca="false">$D$334*D335</f>
        <v>0.445687059095763</v>
      </c>
      <c r="E336" s="17" t="n">
        <f aca="false">$D$334*E335</f>
        <v>0.423402706140975</v>
      </c>
      <c r="F336" s="17" t="n">
        <f aca="false">$D$334*F335</f>
        <v>0.401118353186187</v>
      </c>
      <c r="G336" s="17" t="n">
        <f aca="false">$D$334*G335</f>
        <v>0.378834000231398</v>
      </c>
    </row>
    <row r="337" customFormat="false" ht="15" hidden="false" customHeight="false" outlineLevel="0" collapsed="false">
      <c r="A337" s="4" t="s">
        <v>463</v>
      </c>
      <c r="B337" s="0" t="s">
        <v>67</v>
      </c>
      <c r="D337" s="9" t="n">
        <f aca="false">1</f>
        <v>1</v>
      </c>
      <c r="E337" s="9" t="n">
        <f aca="false">pxr_27</f>
        <v>1</v>
      </c>
      <c r="F337" s="9" t="n">
        <f aca="false">pxr_28</f>
        <v>1</v>
      </c>
      <c r="G337" s="9" t="n">
        <f aca="false">pxr_29</f>
        <v>1</v>
      </c>
    </row>
    <row r="338" customFormat="false" ht="17.15" hidden="false" customHeight="false" outlineLevel="0" collapsed="false">
      <c r="A338" s="4" t="s">
        <v>464</v>
      </c>
      <c r="B338" s="0" t="s">
        <v>108</v>
      </c>
      <c r="D338" s="17" t="n">
        <f aca="false">0</f>
        <v>0</v>
      </c>
      <c r="E338" s="17" t="n">
        <f aca="false">cpo_27</f>
        <v>0.1</v>
      </c>
      <c r="F338" s="17" t="n">
        <f aca="false">cpo_28</f>
        <v>0.15</v>
      </c>
      <c r="G338" s="17" t="n">
        <f aca="false">cpo_29</f>
        <v>0.2</v>
      </c>
    </row>
    <row r="339" customFormat="false" ht="17.15" hidden="false" customHeight="false" outlineLevel="0" collapsed="false">
      <c r="A339" s="0" t="s">
        <v>465</v>
      </c>
      <c r="B339" s="0" t="s">
        <v>34</v>
      </c>
      <c r="D339" s="21" t="n">
        <f aca="false">a26_aiu</f>
        <v>13.2606438392857</v>
      </c>
      <c r="E339" s="21" t="n">
        <f aca="false">E331*E336*E337+E332*E338</f>
        <v>27.4952005086146</v>
      </c>
      <c r="F339" s="21" t="n">
        <f aca="false">F331*F336*F337+F332*F338</f>
        <v>28.8802709745561</v>
      </c>
      <c r="G339" s="21" t="n">
        <f aca="false">G331*G336*G337+G332*G338</f>
        <v>35.5056904480924</v>
      </c>
    </row>
    <row r="340" customFormat="false" ht="17.15" hidden="false" customHeight="false" outlineLevel="0" collapsed="false">
      <c r="A340" s="0" t="s">
        <v>466</v>
      </c>
      <c r="B340" s="0" t="s">
        <v>154</v>
      </c>
      <c r="C340" s="21" t="n">
        <f aca="false">a25_ai</f>
        <v>35.1808</v>
      </c>
      <c r="D340" s="21" t="n">
        <f aca="false">D339*D333</f>
        <v>89.1115266</v>
      </c>
      <c r="E340" s="21" t="n">
        <f aca="false">E339*E333</f>
        <v>184.76774741789</v>
      </c>
      <c r="F340" s="21" t="n">
        <f aca="false">F339*F333</f>
        <v>194.075420949017</v>
      </c>
      <c r="G340" s="21" t="n">
        <f aca="false">G339*G333</f>
        <v>238.598239811181</v>
      </c>
    </row>
    <row r="341" customFormat="false" ht="17.15" hidden="false" customHeight="false" outlineLevel="0" collapsed="false">
      <c r="A341" s="6" t="s">
        <v>467</v>
      </c>
    </row>
    <row r="342" customFormat="false" ht="15" hidden="false" customHeight="false" outlineLevel="0" collapsed="false">
      <c r="A342" s="4" t="s">
        <v>468</v>
      </c>
      <c r="B342" s="0" t="s">
        <v>154</v>
      </c>
      <c r="C342" s="21" t="n">
        <f aca="false">a25_oth</f>
        <v>3.0592</v>
      </c>
      <c r="D342" s="21" t="n">
        <f aca="false">a26_oth</f>
        <v>7.7488284</v>
      </c>
      <c r="E342" s="21" t="n">
        <f aca="false">D342*(1+g_oth)</f>
        <v>8.52371124</v>
      </c>
      <c r="F342" s="21" t="n">
        <f aca="false">E342*(1+g_oth)</f>
        <v>9.376082364</v>
      </c>
      <c r="G342" s="21" t="n">
        <f aca="false">F342*(1+g_oth)</f>
        <v>10.3136906004</v>
      </c>
    </row>
    <row r="343" customFormat="false" ht="15" hidden="false" customHeight="false" outlineLevel="0" collapsed="false">
      <c r="A343" s="4" t="s">
        <v>379</v>
      </c>
      <c r="B343" s="0" t="s">
        <v>154</v>
      </c>
      <c r="C343" s="21" t="n">
        <f aca="false">a25_rev</f>
        <v>38.24</v>
      </c>
      <c r="D343" s="21" t="n">
        <f aca="false">D340+D342</f>
        <v>96.860355</v>
      </c>
      <c r="E343" s="21" t="n">
        <f aca="false">E340+E342</f>
        <v>193.29145865789</v>
      </c>
      <c r="F343" s="21" t="n">
        <f aca="false">F340+F342</f>
        <v>203.451503313017</v>
      </c>
      <c r="G343" s="21" t="n">
        <f aca="false">G340+G342</f>
        <v>248.911930411581</v>
      </c>
    </row>
    <row r="344" customFormat="false" ht="15" hidden="false" customHeight="false" outlineLevel="0" collapsed="false">
      <c r="A344" s="4" t="s">
        <v>469</v>
      </c>
      <c r="B344" s="0" t="s">
        <v>108</v>
      </c>
      <c r="D344" s="17" t="n">
        <f aca="false">D343/C343-1</f>
        <v>1.53295907426778</v>
      </c>
      <c r="E344" s="17" t="n">
        <f aca="false">E343/D343-1</f>
        <v>0.995568348452678</v>
      </c>
      <c r="F344" s="17" t="n">
        <f aca="false">F343/E343-1</f>
        <v>0.0525633399720431</v>
      </c>
      <c r="G344" s="17" t="n">
        <f aca="false">G343/F343-1</f>
        <v>0.223446012235268</v>
      </c>
    </row>
    <row r="345" customFormat="false" ht="17.15" hidden="false" customHeight="false" outlineLevel="0" collapsed="false">
      <c r="A345" s="0" t="s">
        <v>470</v>
      </c>
      <c r="B345" s="0" t="s">
        <v>108</v>
      </c>
      <c r="C345" s="17" t="n">
        <f aca="false">C340/C343</f>
        <v>0.92</v>
      </c>
      <c r="D345" s="17" t="n">
        <f aca="false">D340/D343</f>
        <v>0.92</v>
      </c>
      <c r="E345" s="17" t="n">
        <f aca="false">E340/E343</f>
        <v>0.95590228715131</v>
      </c>
      <c r="F345" s="17" t="n">
        <f aca="false">F340/F343</f>
        <v>0.953914902513281</v>
      </c>
      <c r="G345" s="17" t="n">
        <f aca="false">G340/G343</f>
        <v>0.958564900511815</v>
      </c>
    </row>
    <row r="346" customFormat="false" ht="17.15" hidden="false" customHeight="false" outlineLevel="0" collapsed="false">
      <c r="A346" s="6" t="s">
        <v>471</v>
      </c>
    </row>
    <row r="347" customFormat="false" ht="17.15" hidden="false" customHeight="false" outlineLevel="0" collapsed="false">
      <c r="A347" s="4" t="s">
        <v>383</v>
      </c>
      <c r="B347" s="0" t="s">
        <v>108</v>
      </c>
      <c r="C347" s="17" t="n">
        <f aca="false">a25_gp/a25_rev</f>
        <v>0.4261</v>
      </c>
      <c r="D347" s="17" t="n">
        <f aca="false">a26_gp/a26_rev</f>
        <v>0.468231579886322</v>
      </c>
      <c r="E347" s="17" t="n">
        <f aca="false">gm_27</f>
        <v>0.47</v>
      </c>
      <c r="F347" s="17" t="n">
        <f aca="false">gm_28</f>
        <v>0.46</v>
      </c>
      <c r="G347" s="17" t="n">
        <f aca="false">gm_29</f>
        <v>0.45</v>
      </c>
      <c r="H347" s="8" t="s">
        <v>472</v>
      </c>
    </row>
    <row r="348" customFormat="false" ht="15" hidden="false" customHeight="false" outlineLevel="0" collapsed="false">
      <c r="A348" s="4" t="s">
        <v>382</v>
      </c>
      <c r="B348" s="0" t="s">
        <v>154</v>
      </c>
      <c r="C348" s="21" t="n">
        <f aca="false">C343*C347</f>
        <v>16.294064</v>
      </c>
      <c r="D348" s="21" t="n">
        <f aca="false">D343*D347</f>
        <v>45.35307705</v>
      </c>
      <c r="E348" s="21" t="n">
        <f aca="false">E343*E347</f>
        <v>90.8469855692083</v>
      </c>
      <c r="F348" s="21" t="n">
        <f aca="false">F343*F347</f>
        <v>93.5876915239878</v>
      </c>
      <c r="G348" s="21" t="n">
        <f aca="false">G343*G347</f>
        <v>112.010368685211</v>
      </c>
    </row>
    <row r="349" customFormat="false" ht="15" hidden="false" customHeight="false" outlineLevel="0" collapsed="false">
      <c r="A349" s="4" t="s">
        <v>473</v>
      </c>
      <c r="B349" s="0" t="s">
        <v>154</v>
      </c>
      <c r="C349" s="21" t="n">
        <f aca="false">a25_opx</f>
        <v>2.6649299429437</v>
      </c>
      <c r="D349" s="21" t="n">
        <f aca="false">a26_opx</f>
        <v>5.17620397829946</v>
      </c>
      <c r="E349" s="21" t="n">
        <f aca="false">D349*(1+MAX(0,phi*E344))</f>
        <v>8.3440219065973</v>
      </c>
      <c r="F349" s="21" t="n">
        <f aca="false">E349*(1+MAX(0,phi*F344))</f>
        <v>8.6136319946328</v>
      </c>
      <c r="G349" s="21" t="n">
        <f aca="false">F349*(1+MAX(0,phi*G344))</f>
        <v>9.79677344793842</v>
      </c>
    </row>
    <row r="350" customFormat="false" ht="15" hidden="false" customHeight="false" outlineLevel="0" collapsed="false">
      <c r="A350" s="4" t="s">
        <v>474</v>
      </c>
      <c r="B350" s="0" t="s">
        <v>154</v>
      </c>
      <c r="C350" s="21" t="n">
        <f aca="false">C349</f>
        <v>2.6649299429437</v>
      </c>
      <c r="D350" s="21" t="n">
        <f aca="false">D349</f>
        <v>5.17620397829946</v>
      </c>
      <c r="E350" s="21" t="n">
        <f aca="false">E349+0*E343</f>
        <v>8.3440219065973</v>
      </c>
      <c r="F350" s="21" t="n">
        <f aca="false">F349+0*F343</f>
        <v>8.6136319946328</v>
      </c>
      <c r="G350" s="21" t="n">
        <f aca="false">G349+0*G343</f>
        <v>9.79677344793842</v>
      </c>
    </row>
    <row r="351" customFormat="false" ht="15" hidden="false" customHeight="false" outlineLevel="0" collapsed="false">
      <c r="A351" s="4" t="s">
        <v>475</v>
      </c>
      <c r="B351" s="0" t="s">
        <v>154</v>
      </c>
      <c r="C351" s="21" t="n">
        <f aca="false">C348-C350</f>
        <v>13.6291340570563</v>
      </c>
      <c r="D351" s="21" t="n">
        <f aca="false">D348-D350</f>
        <v>40.1768730717005</v>
      </c>
      <c r="E351" s="21" t="n">
        <f aca="false">E348-E350</f>
        <v>82.502963662611</v>
      </c>
      <c r="F351" s="21" t="n">
        <f aca="false">F348-F350</f>
        <v>84.974059529355</v>
      </c>
      <c r="G351" s="21" t="n">
        <f aca="false">G348-G350</f>
        <v>102.213595237273</v>
      </c>
    </row>
    <row r="352" customFormat="false" ht="15" hidden="false" customHeight="false" outlineLevel="0" collapsed="false">
      <c r="A352" s="4" t="s">
        <v>476</v>
      </c>
      <c r="B352" s="0" t="s">
        <v>108</v>
      </c>
      <c r="C352" s="17" t="n">
        <f aca="false">C351/C343</f>
        <v>0.356410409441849</v>
      </c>
      <c r="D352" s="17" t="n">
        <f aca="false">D351/D343</f>
        <v>0.414791718156521</v>
      </c>
      <c r="E352" s="17" t="n">
        <f aca="false">E351/E343</f>
        <v>0.426831916089135</v>
      </c>
      <c r="F352" s="17" t="n">
        <f aca="false">F351/F343</f>
        <v>0.417662480471425</v>
      </c>
      <c r="G352" s="17" t="n">
        <f aca="false">G351/G343</f>
        <v>0.410641607528658</v>
      </c>
    </row>
    <row r="353" customFormat="false" ht="15" hidden="false" customHeight="false" outlineLevel="0" collapsed="false">
      <c r="A353" s="4" t="s">
        <v>390</v>
      </c>
      <c r="B353" s="0" t="s">
        <v>154</v>
      </c>
      <c r="C353" s="21" t="n">
        <f aca="false">a25_ni</f>
        <v>10.797</v>
      </c>
      <c r="D353" s="21" t="n">
        <f aca="false">a26_ni</f>
        <v>31.8281188474012</v>
      </c>
      <c r="E353" s="21" t="n">
        <f aca="false">E351*(1-tx)*attr</f>
        <v>65.3588478135205</v>
      </c>
      <c r="F353" s="21" t="n">
        <f aca="false">F351*(1-tx)*attr</f>
        <v>67.316449959155</v>
      </c>
      <c r="G353" s="21" t="n">
        <f aca="false">G351*(1-tx)*attr</f>
        <v>80.9736101469676</v>
      </c>
    </row>
    <row r="354" customFormat="false" ht="15" hidden="false" customHeight="false" outlineLevel="0" collapsed="false">
      <c r="A354" s="4" t="s">
        <v>392</v>
      </c>
      <c r="B354" s="0" t="s">
        <v>108</v>
      </c>
      <c r="C354" s="17" t="n">
        <f aca="false">C353/C343</f>
        <v>0.282348326359833</v>
      </c>
      <c r="D354" s="17" t="n">
        <f aca="false">D353/D343</f>
        <v>0.328597999123596</v>
      </c>
      <c r="E354" s="17" t="n">
        <f aca="false">E353/E343</f>
        <v>0.338136243925813</v>
      </c>
      <c r="F354" s="17" t="n">
        <f aca="false">F353/F343</f>
        <v>0.330872217029463</v>
      </c>
      <c r="G354" s="17" t="n">
        <f aca="false">G353/G343</f>
        <v>0.325310281484203</v>
      </c>
    </row>
    <row r="355" customFormat="false" ht="15" hidden="false" customHeight="false" outlineLevel="0" collapsed="false">
      <c r="A355" s="4" t="s">
        <v>477</v>
      </c>
      <c r="B355" s="4" t="s">
        <v>186</v>
      </c>
      <c r="C355" s="18" t="n">
        <f aca="false">a25_sh</f>
        <v>1.1089358245329</v>
      </c>
      <c r="D355" s="18" t="n">
        <f aca="false">a26_sh</f>
        <v>1.1434224718021</v>
      </c>
      <c r="E355" s="18" t="n">
        <f aca="false">sh_post*(1+sh_g)</f>
        <v>1.1779091190713</v>
      </c>
      <c r="F355" s="18" t="n">
        <f aca="false">E355*(1+sh_g)</f>
        <v>1.1779091190713</v>
      </c>
      <c r="G355" s="18" t="n">
        <f aca="false">F355*(1+sh_g)</f>
        <v>1.1779091190713</v>
      </c>
    </row>
    <row r="356" customFormat="false" ht="15" hidden="false" customHeight="false" outlineLevel="0" collapsed="false">
      <c r="A356" s="0" t="s">
        <v>395</v>
      </c>
      <c r="B356" s="0" t="s">
        <v>125</v>
      </c>
      <c r="C356" s="21" t="n">
        <f aca="false">C353/C355</f>
        <v>9.73636143872244</v>
      </c>
      <c r="D356" s="21" t="n">
        <f aca="false">D353/D355</f>
        <v>27.8358346388262</v>
      </c>
      <c r="E356" s="21" t="n">
        <f aca="false">E353/E355</f>
        <v>55.4871736327599</v>
      </c>
      <c r="F356" s="21" t="n">
        <f aca="false">F353/F355</f>
        <v>57.1491033300001</v>
      </c>
      <c r="G356" s="21" t="n">
        <f aca="false">G353/G355</f>
        <v>68.7435124118996</v>
      </c>
    </row>
    <row r="357" customFormat="false" ht="17.15" hidden="false" customHeight="false" outlineLevel="0" collapsed="false">
      <c r="A357" s="0" t="s">
        <v>478</v>
      </c>
      <c r="B357" s="0" t="s">
        <v>108</v>
      </c>
      <c r="D357" s="17" t="n">
        <f aca="false">D356/C356-1</f>
        <v>1.85895658393704</v>
      </c>
      <c r="E357" s="17" t="n">
        <f aca="false">E356/D356-1</f>
        <v>0.993372009595317</v>
      </c>
      <c r="F357" s="17" t="n">
        <f aca="false">F356/E356-1</f>
        <v>0.0299516012157974</v>
      </c>
      <c r="G357" s="17" t="n">
        <f aca="false">G356/F356-1</f>
        <v>0.202879982472327</v>
      </c>
    </row>
    <row r="360" customFormat="false" ht="17.15" hidden="false" customHeight="false" outlineLevel="0" collapsed="false">
      <c r="A360" s="1" t="s">
        <v>814</v>
      </c>
    </row>
    <row r="361" customFormat="false" ht="17.15" hidden="false" customHeight="false" outlineLevel="0" collapsed="false">
      <c r="A361" s="5" t="s">
        <v>23</v>
      </c>
      <c r="B361" s="5" t="s">
        <v>24</v>
      </c>
      <c r="C361" s="15" t="s">
        <v>372</v>
      </c>
      <c r="D361" s="15" t="s">
        <v>434</v>
      </c>
      <c r="E361" s="15" t="s">
        <v>435</v>
      </c>
      <c r="F361" s="15" t="s">
        <v>436</v>
      </c>
      <c r="G361" s="15" t="s">
        <v>437</v>
      </c>
      <c r="H361" s="5" t="s">
        <v>378</v>
      </c>
    </row>
    <row r="362" customFormat="false" ht="17.15" hidden="false" customHeight="false" outlineLevel="0" collapsed="false">
      <c r="A362" s="6" t="s">
        <v>454</v>
      </c>
    </row>
    <row r="363" customFormat="false" ht="17.15" hidden="false" customHeight="false" outlineLevel="0" collapsed="false">
      <c r="A363" s="0" t="s">
        <v>455</v>
      </c>
      <c r="B363" s="0" t="s">
        <v>34</v>
      </c>
      <c r="D363" s="21" t="n">
        <f aca="false">mpl_26*1</f>
        <v>29.753262</v>
      </c>
      <c r="E363" s="21" t="n">
        <f aca="false">mpl_27*1*1</f>
        <v>53.560715</v>
      </c>
      <c r="F363" s="21" t="n">
        <f aca="false">mpl_28*um28_A*1</f>
        <v>57.9915</v>
      </c>
      <c r="G363" s="21" t="n">
        <f aca="false">mpl_29*um29_A*1</f>
        <v>72.9348</v>
      </c>
    </row>
    <row r="364" customFormat="false" ht="17.15" hidden="false" customHeight="false" outlineLevel="0" collapsed="false">
      <c r="A364" s="0" t="s">
        <v>456</v>
      </c>
      <c r="B364" s="0" t="s">
        <v>34</v>
      </c>
      <c r="D364" s="21" t="n">
        <f aca="false">mcp_26*1</f>
        <v>0.300538</v>
      </c>
      <c r="E364" s="21" t="n">
        <f aca="false">mcp_27*1</f>
        <v>2.818985</v>
      </c>
      <c r="F364" s="21" t="n">
        <f aca="false">mcp_28*um28_A</f>
        <v>6.4435</v>
      </c>
      <c r="G364" s="21" t="n">
        <f aca="false">mcp_29*um29_A</f>
        <v>11.74736</v>
      </c>
    </row>
    <row r="365" customFormat="false" ht="17.15" hidden="false" customHeight="false" outlineLevel="0" collapsed="false">
      <c r="A365" s="4" t="s">
        <v>457</v>
      </c>
      <c r="B365" s="0" t="s">
        <v>125</v>
      </c>
      <c r="D365" s="9" t="n">
        <f aca="false">fx</f>
        <v>6.72</v>
      </c>
      <c r="E365" s="9" t="n">
        <f aca="false">fx_lo</f>
        <v>6.5</v>
      </c>
      <c r="F365" s="9" t="n">
        <f aca="false">fx_lo</f>
        <v>6.5</v>
      </c>
      <c r="G365" s="9" t="n">
        <f aca="false">fx_lo</f>
        <v>6.5</v>
      </c>
      <c r="H365" s="8" t="s">
        <v>458</v>
      </c>
    </row>
    <row r="366" customFormat="false" ht="17.15" hidden="false" customHeight="false" outlineLevel="0" collapsed="false">
      <c r="A366" s="4" t="s">
        <v>459</v>
      </c>
      <c r="B366" s="0" t="s">
        <v>108</v>
      </c>
      <c r="D366" s="17" t="n">
        <f aca="false">a26_aiu/D363</f>
        <v>0.445687059095763</v>
      </c>
      <c r="H366" s="8" t="s">
        <v>460</v>
      </c>
    </row>
    <row r="367" customFormat="false" ht="17.15" hidden="false" customHeight="false" outlineLevel="0" collapsed="false">
      <c r="A367" s="4" t="s">
        <v>461</v>
      </c>
      <c r="B367" s="0" t="s">
        <v>67</v>
      </c>
      <c r="D367" s="9" t="n">
        <f aca="false">1</f>
        <v>1</v>
      </c>
      <c r="E367" s="9" t="n">
        <f aca="false">rel_27</f>
        <v>0.95</v>
      </c>
      <c r="F367" s="9" t="n">
        <f aca="false">rel_28</f>
        <v>0.9</v>
      </c>
      <c r="G367" s="9" t="n">
        <f aca="false">rel_29</f>
        <v>0.85</v>
      </c>
    </row>
    <row r="368" customFormat="false" ht="15" hidden="false" customHeight="false" outlineLevel="0" collapsed="false">
      <c r="A368" s="4" t="s">
        <v>462</v>
      </c>
      <c r="B368" s="0" t="s">
        <v>108</v>
      </c>
      <c r="D368" s="17" t="n">
        <f aca="false">$D$366*D367</f>
        <v>0.445687059095763</v>
      </c>
      <c r="E368" s="17" t="n">
        <f aca="false">$D$366*E367</f>
        <v>0.423402706140975</v>
      </c>
      <c r="F368" s="17" t="n">
        <f aca="false">$D$366*F367</f>
        <v>0.401118353186187</v>
      </c>
      <c r="G368" s="17" t="n">
        <f aca="false">$D$366*G367</f>
        <v>0.378834000231398</v>
      </c>
    </row>
    <row r="369" customFormat="false" ht="15" hidden="false" customHeight="false" outlineLevel="0" collapsed="false">
      <c r="A369" s="4" t="s">
        <v>463</v>
      </c>
      <c r="B369" s="0" t="s">
        <v>67</v>
      </c>
      <c r="D369" s="9" t="n">
        <f aca="false">1</f>
        <v>1</v>
      </c>
      <c r="E369" s="9" t="n">
        <f aca="false">pxr_27</f>
        <v>1</v>
      </c>
      <c r="F369" s="9" t="n">
        <f aca="false">pxr_28</f>
        <v>1</v>
      </c>
      <c r="G369" s="9" t="n">
        <f aca="false">pxr_29</f>
        <v>1</v>
      </c>
    </row>
    <row r="370" customFormat="false" ht="17.15" hidden="false" customHeight="false" outlineLevel="0" collapsed="false">
      <c r="A370" s="4" t="s">
        <v>464</v>
      </c>
      <c r="B370" s="0" t="s">
        <v>108</v>
      </c>
      <c r="D370" s="17" t="n">
        <f aca="false">0</f>
        <v>0</v>
      </c>
      <c r="E370" s="17" t="n">
        <f aca="false">cpo_27</f>
        <v>0.1</v>
      </c>
      <c r="F370" s="17" t="n">
        <f aca="false">cpo_28</f>
        <v>0.15</v>
      </c>
      <c r="G370" s="17" t="n">
        <f aca="false">cpo_29</f>
        <v>0.2</v>
      </c>
    </row>
    <row r="371" customFormat="false" ht="17.15" hidden="false" customHeight="false" outlineLevel="0" collapsed="false">
      <c r="A371" s="0" t="s">
        <v>465</v>
      </c>
      <c r="B371" s="0" t="s">
        <v>34</v>
      </c>
      <c r="D371" s="21" t="n">
        <f aca="false">a26_aiu</f>
        <v>13.2606438392857</v>
      </c>
      <c r="E371" s="21" t="n">
        <f aca="false">E363*E368*E369+E364*E370</f>
        <v>22.9596501738455</v>
      </c>
      <c r="F371" s="21" t="n">
        <f aca="false">F363*F368*F369+F364*F370</f>
        <v>24.2279799787967</v>
      </c>
      <c r="G371" s="21" t="n">
        <f aca="false">G363*G368*G369+G364*G370</f>
        <v>29.979654040077</v>
      </c>
    </row>
    <row r="372" customFormat="false" ht="17.15" hidden="false" customHeight="false" outlineLevel="0" collapsed="false">
      <c r="A372" s="0" t="s">
        <v>466</v>
      </c>
      <c r="B372" s="0" t="s">
        <v>154</v>
      </c>
      <c r="C372" s="21" t="n">
        <f aca="false">a25_ai</f>
        <v>35.1808</v>
      </c>
      <c r="D372" s="21" t="n">
        <f aca="false">D371*D365</f>
        <v>89.1115266</v>
      </c>
      <c r="E372" s="21" t="n">
        <f aca="false">E371*E365</f>
        <v>149.237726129996</v>
      </c>
      <c r="F372" s="21" t="n">
        <f aca="false">F371*F365</f>
        <v>157.481869862179</v>
      </c>
      <c r="G372" s="21" t="n">
        <f aca="false">G371*G365</f>
        <v>194.8677512605</v>
      </c>
    </row>
    <row r="373" customFormat="false" ht="17.15" hidden="false" customHeight="false" outlineLevel="0" collapsed="false">
      <c r="A373" s="6" t="s">
        <v>467</v>
      </c>
    </row>
    <row r="374" customFormat="false" ht="15" hidden="false" customHeight="false" outlineLevel="0" collapsed="false">
      <c r="A374" s="4" t="s">
        <v>468</v>
      </c>
      <c r="B374" s="0" t="s">
        <v>154</v>
      </c>
      <c r="C374" s="21" t="n">
        <f aca="false">a25_oth</f>
        <v>3.0592</v>
      </c>
      <c r="D374" s="21" t="n">
        <f aca="false">a26_oth</f>
        <v>7.7488284</v>
      </c>
      <c r="E374" s="21" t="n">
        <f aca="false">D374*(1+g_oth)</f>
        <v>8.52371124</v>
      </c>
      <c r="F374" s="21" t="n">
        <f aca="false">E374*(1+g_oth)</f>
        <v>9.376082364</v>
      </c>
      <c r="G374" s="21" t="n">
        <f aca="false">F374*(1+g_oth)</f>
        <v>10.3136906004</v>
      </c>
    </row>
    <row r="375" customFormat="false" ht="15" hidden="false" customHeight="false" outlineLevel="0" collapsed="false">
      <c r="A375" s="4" t="s">
        <v>379</v>
      </c>
      <c r="B375" s="0" t="s">
        <v>154</v>
      </c>
      <c r="C375" s="21" t="n">
        <f aca="false">a25_rev</f>
        <v>38.24</v>
      </c>
      <c r="D375" s="21" t="n">
        <f aca="false">D372+D374</f>
        <v>96.860355</v>
      </c>
      <c r="E375" s="21" t="n">
        <f aca="false">E372+E374</f>
        <v>157.761437369996</v>
      </c>
      <c r="F375" s="21" t="n">
        <f aca="false">F372+F374</f>
        <v>166.857952226179</v>
      </c>
      <c r="G375" s="21" t="n">
        <f aca="false">G372+G374</f>
        <v>205.1814418609</v>
      </c>
    </row>
    <row r="376" customFormat="false" ht="15" hidden="false" customHeight="false" outlineLevel="0" collapsed="false">
      <c r="A376" s="4" t="s">
        <v>469</v>
      </c>
      <c r="B376" s="0" t="s">
        <v>108</v>
      </c>
      <c r="D376" s="17" t="n">
        <f aca="false">D375/C375-1</f>
        <v>1.53295907426778</v>
      </c>
      <c r="E376" s="17" t="n">
        <f aca="false">E375/D375-1</f>
        <v>0.628751385125481</v>
      </c>
      <c r="F376" s="17" t="n">
        <f aca="false">F375/E375-1</f>
        <v>0.0576599390055577</v>
      </c>
      <c r="G376" s="17" t="n">
        <f aca="false">G375/F375-1</f>
        <v>0.229677334064208</v>
      </c>
    </row>
    <row r="377" customFormat="false" ht="17.15" hidden="false" customHeight="false" outlineLevel="0" collapsed="false">
      <c r="A377" s="0" t="s">
        <v>470</v>
      </c>
      <c r="B377" s="0" t="s">
        <v>108</v>
      </c>
      <c r="C377" s="17" t="n">
        <f aca="false">C372/C375</f>
        <v>0.92</v>
      </c>
      <c r="D377" s="17" t="n">
        <f aca="false">D372/D375</f>
        <v>0.92</v>
      </c>
      <c r="E377" s="17" t="n">
        <f aca="false">E372/E375</f>
        <v>0.945970882478654</v>
      </c>
      <c r="F377" s="17" t="n">
        <f aca="false">F372/F375</f>
        <v>0.94380799812711</v>
      </c>
      <c r="G377" s="17" t="n">
        <f aca="false">G372/G375</f>
        <v>0.949733803862281</v>
      </c>
    </row>
    <row r="378" customFormat="false" ht="17.15" hidden="false" customHeight="false" outlineLevel="0" collapsed="false">
      <c r="A378" s="6" t="s">
        <v>471</v>
      </c>
    </row>
    <row r="379" customFormat="false" ht="17.15" hidden="false" customHeight="false" outlineLevel="0" collapsed="false">
      <c r="A379" s="4" t="s">
        <v>383</v>
      </c>
      <c r="B379" s="0" t="s">
        <v>108</v>
      </c>
      <c r="C379" s="17" t="n">
        <f aca="false">a25_gp/a25_rev</f>
        <v>0.4261</v>
      </c>
      <c r="D379" s="17" t="n">
        <f aca="false">a26_gp/a26_rev</f>
        <v>0.468231579886322</v>
      </c>
      <c r="E379" s="17" t="n">
        <f aca="false">gm_27</f>
        <v>0.47</v>
      </c>
      <c r="F379" s="17" t="n">
        <f aca="false">gm_28</f>
        <v>0.46</v>
      </c>
      <c r="G379" s="17" t="n">
        <f aca="false">gm_29</f>
        <v>0.45</v>
      </c>
      <c r="H379" s="8" t="s">
        <v>472</v>
      </c>
    </row>
    <row r="380" customFormat="false" ht="15" hidden="false" customHeight="false" outlineLevel="0" collapsed="false">
      <c r="A380" s="4" t="s">
        <v>382</v>
      </c>
      <c r="B380" s="0" t="s">
        <v>154</v>
      </c>
      <c r="C380" s="21" t="n">
        <f aca="false">C375*C379</f>
        <v>16.294064</v>
      </c>
      <c r="D380" s="21" t="n">
        <f aca="false">D375*D379</f>
        <v>45.35307705</v>
      </c>
      <c r="E380" s="21" t="n">
        <f aca="false">E375*E379</f>
        <v>74.147875563898</v>
      </c>
      <c r="F380" s="21" t="n">
        <f aca="false">F375*F379</f>
        <v>76.7546580240423</v>
      </c>
      <c r="G380" s="21" t="n">
        <f aca="false">G375*G379</f>
        <v>92.3316488374052</v>
      </c>
    </row>
    <row r="381" customFormat="false" ht="15" hidden="false" customHeight="false" outlineLevel="0" collapsed="false">
      <c r="A381" s="4" t="s">
        <v>473</v>
      </c>
      <c r="B381" s="0" t="s">
        <v>154</v>
      </c>
      <c r="C381" s="21" t="n">
        <f aca="false">a25_opx</f>
        <v>2.6649299429437</v>
      </c>
      <c r="D381" s="21" t="n">
        <f aca="false">a26_opx</f>
        <v>5.17620397829946</v>
      </c>
      <c r="E381" s="21" t="n">
        <f aca="false">D381*(1+MAX(0,phi*E376))</f>
        <v>7.17684001030894</v>
      </c>
      <c r="F381" s="21" t="n">
        <f aca="false">E381*(1+MAX(0,phi*F376))</f>
        <v>7.43122131636232</v>
      </c>
      <c r="G381" s="21" t="n">
        <f aca="false">F381*(1+MAX(0,phi*G376))</f>
        <v>8.48041600517155</v>
      </c>
    </row>
    <row r="382" customFormat="false" ht="15" hidden="false" customHeight="false" outlineLevel="0" collapsed="false">
      <c r="A382" s="4" t="s">
        <v>474</v>
      </c>
      <c r="B382" s="0" t="s">
        <v>154</v>
      </c>
      <c r="C382" s="21" t="n">
        <f aca="false">C381</f>
        <v>2.6649299429437</v>
      </c>
      <c r="D382" s="21" t="n">
        <f aca="false">D381</f>
        <v>5.17620397829946</v>
      </c>
      <c r="E382" s="21" t="n">
        <f aca="false">E381+0*E375</f>
        <v>7.17684001030894</v>
      </c>
      <c r="F382" s="21" t="n">
        <f aca="false">F381+0*F375</f>
        <v>7.43122131636232</v>
      </c>
      <c r="G382" s="21" t="n">
        <f aca="false">G381+0*G375</f>
        <v>8.48041600517155</v>
      </c>
    </row>
    <row r="383" customFormat="false" ht="15" hidden="false" customHeight="false" outlineLevel="0" collapsed="false">
      <c r="A383" s="4" t="s">
        <v>475</v>
      </c>
      <c r="B383" s="0" t="s">
        <v>154</v>
      </c>
      <c r="C383" s="21" t="n">
        <f aca="false">C380-C382</f>
        <v>13.6291340570563</v>
      </c>
      <c r="D383" s="21" t="n">
        <f aca="false">D380-D382</f>
        <v>40.1768730717005</v>
      </c>
      <c r="E383" s="21" t="n">
        <f aca="false">E380-E382</f>
        <v>66.9710355535891</v>
      </c>
      <c r="F383" s="21" t="n">
        <f aca="false">F380-F382</f>
        <v>69.32343670768</v>
      </c>
      <c r="G383" s="21" t="n">
        <f aca="false">G380-G382</f>
        <v>83.8512328322337</v>
      </c>
    </row>
    <row r="384" customFormat="false" ht="15" hidden="false" customHeight="false" outlineLevel="0" collapsed="false">
      <c r="A384" s="4" t="s">
        <v>476</v>
      </c>
      <c r="B384" s="0" t="s">
        <v>108</v>
      </c>
      <c r="C384" s="17" t="n">
        <f aca="false">C383/C375</f>
        <v>0.356410409441849</v>
      </c>
      <c r="D384" s="17" t="n">
        <f aca="false">D383/D375</f>
        <v>0.414791718156521</v>
      </c>
      <c r="E384" s="17" t="n">
        <f aca="false">E383/E375</f>
        <v>0.424508274455707</v>
      </c>
      <c r="F384" s="17" t="n">
        <f aca="false">F383/F375</f>
        <v>0.415463786908465</v>
      </c>
      <c r="G384" s="17" t="n">
        <f aca="false">G383/G375</f>
        <v>0.408668698649068</v>
      </c>
    </row>
    <row r="385" customFormat="false" ht="15" hidden="false" customHeight="false" outlineLevel="0" collapsed="false">
      <c r="A385" s="4" t="s">
        <v>390</v>
      </c>
      <c r="B385" s="0" t="s">
        <v>154</v>
      </c>
      <c r="C385" s="21" t="n">
        <f aca="false">a25_ni</f>
        <v>10.797</v>
      </c>
      <c r="D385" s="21" t="n">
        <f aca="false">a26_ni</f>
        <v>31.8281188474012</v>
      </c>
      <c r="E385" s="21" t="n">
        <f aca="false">E383*(1-tx)*attr</f>
        <v>53.0544543655532</v>
      </c>
      <c r="F385" s="21" t="n">
        <f aca="false">F383*(1-tx)*attr</f>
        <v>54.9180265598241</v>
      </c>
      <c r="G385" s="21" t="n">
        <f aca="false">G383*(1-tx)*attr</f>
        <v>66.4269466496955</v>
      </c>
    </row>
    <row r="386" customFormat="false" ht="15" hidden="false" customHeight="false" outlineLevel="0" collapsed="false">
      <c r="A386" s="4" t="s">
        <v>392</v>
      </c>
      <c r="B386" s="0" t="s">
        <v>108</v>
      </c>
      <c r="C386" s="17" t="n">
        <f aca="false">C385/C375</f>
        <v>0.282348326359833</v>
      </c>
      <c r="D386" s="17" t="n">
        <f aca="false">D385/D375</f>
        <v>0.328597999123596</v>
      </c>
      <c r="E386" s="17" t="n">
        <f aca="false">E385/E375</f>
        <v>0.336295455023811</v>
      </c>
      <c r="F386" s="17" t="n">
        <f aca="false">F385/F375</f>
        <v>0.329130411988886</v>
      </c>
      <c r="G386" s="17" t="n">
        <f aca="false">G385/G375</f>
        <v>0.323747343069792</v>
      </c>
    </row>
    <row r="387" customFormat="false" ht="15" hidden="false" customHeight="false" outlineLevel="0" collapsed="false">
      <c r="A387" s="4" t="s">
        <v>477</v>
      </c>
      <c r="B387" s="4" t="s">
        <v>186</v>
      </c>
      <c r="C387" s="18" t="n">
        <f aca="false">a25_sh</f>
        <v>1.1089358245329</v>
      </c>
      <c r="D387" s="18" t="n">
        <f aca="false">a26_sh</f>
        <v>1.1434224718021</v>
      </c>
      <c r="E387" s="18" t="n">
        <f aca="false">sh_post*(1+sh_g)</f>
        <v>1.1779091190713</v>
      </c>
      <c r="F387" s="18" t="n">
        <f aca="false">E387*(1+sh_g)</f>
        <v>1.1779091190713</v>
      </c>
      <c r="G387" s="18" t="n">
        <f aca="false">F387*(1+sh_g)</f>
        <v>1.1779091190713</v>
      </c>
    </row>
    <row r="388" customFormat="false" ht="15" hidden="false" customHeight="false" outlineLevel="0" collapsed="false">
      <c r="A388" s="0" t="s">
        <v>395</v>
      </c>
      <c r="B388" s="0" t="s">
        <v>125</v>
      </c>
      <c r="C388" s="21" t="n">
        <f aca="false">C385/C387</f>
        <v>9.73636143872244</v>
      </c>
      <c r="D388" s="21" t="n">
        <f aca="false">D385/D387</f>
        <v>27.8358346388262</v>
      </c>
      <c r="E388" s="21" t="n">
        <f aca="false">E385/E387</f>
        <v>45.0412120142028</v>
      </c>
      <c r="F388" s="21" t="n">
        <f aca="false">F385/F387</f>
        <v>46.6233138623828</v>
      </c>
      <c r="G388" s="21" t="n">
        <f aca="false">G385/G387</f>
        <v>56.3939488829738</v>
      </c>
    </row>
    <row r="389" customFormat="false" ht="17.15" hidden="false" customHeight="false" outlineLevel="0" collapsed="false">
      <c r="A389" s="0" t="s">
        <v>478</v>
      </c>
      <c r="B389" s="0" t="s">
        <v>108</v>
      </c>
      <c r="D389" s="17" t="n">
        <f aca="false">D388/C388-1</f>
        <v>1.85895658393704</v>
      </c>
      <c r="E389" s="17" t="n">
        <f aca="false">E388/D388-1</f>
        <v>0.618101723861301</v>
      </c>
      <c r="F389" s="17" t="n">
        <f aca="false">F388/E388-1</f>
        <v>0.0351256499865311</v>
      </c>
      <c r="G389" s="17" t="n">
        <f aca="false">G388/F388-1</f>
        <v>0.209565434353953</v>
      </c>
    </row>
    <row r="392" customFormat="false" ht="17.15" hidden="false" customHeight="false" outlineLevel="0" collapsed="false">
      <c r="A392" s="1" t="s">
        <v>815</v>
      </c>
    </row>
    <row r="393" customFormat="false" ht="17.15" hidden="false" customHeight="false" outlineLevel="0" collapsed="false">
      <c r="A393" s="5" t="s">
        <v>23</v>
      </c>
      <c r="B393" s="5" t="s">
        <v>24</v>
      </c>
      <c r="C393" s="15" t="s">
        <v>372</v>
      </c>
      <c r="D393" s="15" t="s">
        <v>434</v>
      </c>
      <c r="E393" s="15" t="s">
        <v>435</v>
      </c>
      <c r="F393" s="15" t="s">
        <v>436</v>
      </c>
      <c r="G393" s="15" t="s">
        <v>437</v>
      </c>
      <c r="H393" s="5" t="s">
        <v>378</v>
      </c>
    </row>
    <row r="394" customFormat="false" ht="17.15" hidden="false" customHeight="false" outlineLevel="0" collapsed="false">
      <c r="A394" s="6" t="s">
        <v>454</v>
      </c>
    </row>
    <row r="395" customFormat="false" ht="17.15" hidden="false" customHeight="false" outlineLevel="0" collapsed="false">
      <c r="A395" s="0" t="s">
        <v>455</v>
      </c>
      <c r="B395" s="0" t="s">
        <v>34</v>
      </c>
      <c r="D395" s="21" t="n">
        <f aca="false">mpl_26*1</f>
        <v>29.753262</v>
      </c>
      <c r="E395" s="21" t="n">
        <f aca="false">mpl_27*1*1</f>
        <v>53.560715</v>
      </c>
      <c r="F395" s="21" t="n">
        <f aca="false">mpl_28*um28_A*1</f>
        <v>57.9915</v>
      </c>
      <c r="G395" s="21" t="n">
        <f aca="false">mpl_29*um29_A*1</f>
        <v>72.9348</v>
      </c>
    </row>
    <row r="396" customFormat="false" ht="17.15" hidden="false" customHeight="false" outlineLevel="0" collapsed="false">
      <c r="A396" s="0" t="s">
        <v>456</v>
      </c>
      <c r="B396" s="0" t="s">
        <v>34</v>
      </c>
      <c r="D396" s="21" t="n">
        <f aca="false">mcp_26*1</f>
        <v>0.300538</v>
      </c>
      <c r="E396" s="21" t="n">
        <f aca="false">mcp_27*1</f>
        <v>2.818985</v>
      </c>
      <c r="F396" s="21" t="n">
        <f aca="false">mcp_28*um28_A</f>
        <v>6.4435</v>
      </c>
      <c r="G396" s="21" t="n">
        <f aca="false">mcp_29*um29_A</f>
        <v>11.74736</v>
      </c>
    </row>
    <row r="397" customFormat="false" ht="17.15" hidden="false" customHeight="false" outlineLevel="0" collapsed="false">
      <c r="A397" s="4" t="s">
        <v>457</v>
      </c>
      <c r="B397" s="0" t="s">
        <v>125</v>
      </c>
      <c r="D397" s="9" t="n">
        <f aca="false">fx</f>
        <v>6.72</v>
      </c>
      <c r="E397" s="9" t="n">
        <f aca="false">fx_hi</f>
        <v>7</v>
      </c>
      <c r="F397" s="9" t="n">
        <f aca="false">fx_hi</f>
        <v>7</v>
      </c>
      <c r="G397" s="9" t="n">
        <f aca="false">fx_hi</f>
        <v>7</v>
      </c>
      <c r="H397" s="8" t="s">
        <v>458</v>
      </c>
    </row>
    <row r="398" customFormat="false" ht="17.15" hidden="false" customHeight="false" outlineLevel="0" collapsed="false">
      <c r="A398" s="4" t="s">
        <v>459</v>
      </c>
      <c r="B398" s="0" t="s">
        <v>108</v>
      </c>
      <c r="D398" s="17" t="n">
        <f aca="false">a26_aiu/D395</f>
        <v>0.445687059095763</v>
      </c>
      <c r="H398" s="8" t="s">
        <v>460</v>
      </c>
    </row>
    <row r="399" customFormat="false" ht="17.15" hidden="false" customHeight="false" outlineLevel="0" collapsed="false">
      <c r="A399" s="4" t="s">
        <v>461</v>
      </c>
      <c r="B399" s="0" t="s">
        <v>67</v>
      </c>
      <c r="D399" s="9" t="n">
        <f aca="false">1</f>
        <v>1</v>
      </c>
      <c r="E399" s="9" t="n">
        <f aca="false">rel_27</f>
        <v>0.95</v>
      </c>
      <c r="F399" s="9" t="n">
        <f aca="false">rel_28</f>
        <v>0.9</v>
      </c>
      <c r="G399" s="9" t="n">
        <f aca="false">rel_29</f>
        <v>0.85</v>
      </c>
    </row>
    <row r="400" customFormat="false" ht="15" hidden="false" customHeight="false" outlineLevel="0" collapsed="false">
      <c r="A400" s="4" t="s">
        <v>462</v>
      </c>
      <c r="B400" s="0" t="s">
        <v>108</v>
      </c>
      <c r="D400" s="17" t="n">
        <f aca="false">$D$398*D399</f>
        <v>0.445687059095763</v>
      </c>
      <c r="E400" s="17" t="n">
        <f aca="false">$D$398*E399</f>
        <v>0.423402706140975</v>
      </c>
      <c r="F400" s="17" t="n">
        <f aca="false">$D$398*F399</f>
        <v>0.401118353186187</v>
      </c>
      <c r="G400" s="17" t="n">
        <f aca="false">$D$398*G399</f>
        <v>0.378834000231398</v>
      </c>
    </row>
    <row r="401" customFormat="false" ht="15" hidden="false" customHeight="false" outlineLevel="0" collapsed="false">
      <c r="A401" s="4" t="s">
        <v>463</v>
      </c>
      <c r="B401" s="0" t="s">
        <v>67</v>
      </c>
      <c r="D401" s="9" t="n">
        <f aca="false">1</f>
        <v>1</v>
      </c>
      <c r="E401" s="9" t="n">
        <f aca="false">pxr_27</f>
        <v>1</v>
      </c>
      <c r="F401" s="9" t="n">
        <f aca="false">pxr_28</f>
        <v>1</v>
      </c>
      <c r="G401" s="9" t="n">
        <f aca="false">pxr_29</f>
        <v>1</v>
      </c>
    </row>
    <row r="402" customFormat="false" ht="17.15" hidden="false" customHeight="false" outlineLevel="0" collapsed="false">
      <c r="A402" s="4" t="s">
        <v>464</v>
      </c>
      <c r="B402" s="0" t="s">
        <v>108</v>
      </c>
      <c r="D402" s="17" t="n">
        <f aca="false">0</f>
        <v>0</v>
      </c>
      <c r="E402" s="17" t="n">
        <f aca="false">cpo_27</f>
        <v>0.1</v>
      </c>
      <c r="F402" s="17" t="n">
        <f aca="false">cpo_28</f>
        <v>0.15</v>
      </c>
      <c r="G402" s="17" t="n">
        <f aca="false">cpo_29</f>
        <v>0.2</v>
      </c>
    </row>
    <row r="403" customFormat="false" ht="17.15" hidden="false" customHeight="false" outlineLevel="0" collapsed="false">
      <c r="A403" s="0" t="s">
        <v>465</v>
      </c>
      <c r="B403" s="0" t="s">
        <v>34</v>
      </c>
      <c r="D403" s="21" t="n">
        <f aca="false">a26_aiu</f>
        <v>13.2606438392857</v>
      </c>
      <c r="E403" s="21" t="n">
        <f aca="false">E395*E400*E401+E396*E402</f>
        <v>22.9596501738455</v>
      </c>
      <c r="F403" s="21" t="n">
        <f aca="false">F395*F400*F401+F396*F402</f>
        <v>24.2279799787967</v>
      </c>
      <c r="G403" s="21" t="n">
        <f aca="false">G395*G400*G401+G396*G402</f>
        <v>29.979654040077</v>
      </c>
    </row>
    <row r="404" customFormat="false" ht="17.15" hidden="false" customHeight="false" outlineLevel="0" collapsed="false">
      <c r="A404" s="0" t="s">
        <v>466</v>
      </c>
      <c r="B404" s="0" t="s">
        <v>154</v>
      </c>
      <c r="C404" s="21" t="n">
        <f aca="false">a25_ai</f>
        <v>35.1808</v>
      </c>
      <c r="D404" s="21" t="n">
        <f aca="false">D403*D397</f>
        <v>89.1115266</v>
      </c>
      <c r="E404" s="21" t="n">
        <f aca="false">E403*E397</f>
        <v>160.717551216918</v>
      </c>
      <c r="F404" s="21" t="n">
        <f aca="false">F403*F397</f>
        <v>169.595859851577</v>
      </c>
      <c r="G404" s="21" t="n">
        <f aca="false">G403*G397</f>
        <v>209.857578280539</v>
      </c>
    </row>
    <row r="405" customFormat="false" ht="17.15" hidden="false" customHeight="false" outlineLevel="0" collapsed="false">
      <c r="A405" s="6" t="s">
        <v>467</v>
      </c>
    </row>
    <row r="406" customFormat="false" ht="15" hidden="false" customHeight="false" outlineLevel="0" collapsed="false">
      <c r="A406" s="4" t="s">
        <v>468</v>
      </c>
      <c r="B406" s="0" t="s">
        <v>154</v>
      </c>
      <c r="C406" s="21" t="n">
        <f aca="false">a25_oth</f>
        <v>3.0592</v>
      </c>
      <c r="D406" s="21" t="n">
        <f aca="false">a26_oth</f>
        <v>7.7488284</v>
      </c>
      <c r="E406" s="21" t="n">
        <f aca="false">D406*(1+g_oth)</f>
        <v>8.52371124</v>
      </c>
      <c r="F406" s="21" t="n">
        <f aca="false">E406*(1+g_oth)</f>
        <v>9.376082364</v>
      </c>
      <c r="G406" s="21" t="n">
        <f aca="false">F406*(1+g_oth)</f>
        <v>10.3136906004</v>
      </c>
    </row>
    <row r="407" customFormat="false" ht="15" hidden="false" customHeight="false" outlineLevel="0" collapsed="false">
      <c r="A407" s="4" t="s">
        <v>379</v>
      </c>
      <c r="B407" s="0" t="s">
        <v>154</v>
      </c>
      <c r="C407" s="21" t="n">
        <f aca="false">a25_rev</f>
        <v>38.24</v>
      </c>
      <c r="D407" s="21" t="n">
        <f aca="false">D404+D406</f>
        <v>96.860355</v>
      </c>
      <c r="E407" s="21" t="n">
        <f aca="false">E404+E406</f>
        <v>169.241262456919</v>
      </c>
      <c r="F407" s="21" t="n">
        <f aca="false">F404+F406</f>
        <v>178.971942215577</v>
      </c>
      <c r="G407" s="21" t="n">
        <f aca="false">G404+G406</f>
        <v>220.171268880939</v>
      </c>
    </row>
    <row r="408" customFormat="false" ht="15" hidden="false" customHeight="false" outlineLevel="0" collapsed="false">
      <c r="A408" s="4" t="s">
        <v>469</v>
      </c>
      <c r="B408" s="0" t="s">
        <v>108</v>
      </c>
      <c r="D408" s="17" t="n">
        <f aca="false">D407/C407-1</f>
        <v>1.53295907426778</v>
      </c>
      <c r="E408" s="17" t="n">
        <f aca="false">E407/D407-1</f>
        <v>0.747270722442825</v>
      </c>
      <c r="F408" s="17" t="n">
        <f aca="false">F407/E407-1</f>
        <v>0.0574959062429337</v>
      </c>
      <c r="G408" s="17" t="n">
        <f aca="false">G407/F407-1</f>
        <v>0.230199919357951</v>
      </c>
    </row>
    <row r="409" customFormat="false" ht="17.15" hidden="false" customHeight="false" outlineLevel="0" collapsed="false">
      <c r="A409" s="0" t="s">
        <v>470</v>
      </c>
      <c r="B409" s="0" t="s">
        <v>108</v>
      </c>
      <c r="C409" s="17" t="n">
        <f aca="false">C404/C407</f>
        <v>0.92</v>
      </c>
      <c r="D409" s="17" t="n">
        <f aca="false">D404/D407</f>
        <v>0.92</v>
      </c>
      <c r="E409" s="17" t="n">
        <f aca="false">E404/E407</f>
        <v>0.949635738257567</v>
      </c>
      <c r="F409" s="17" t="n">
        <f aca="false">F404/F407</f>
        <v>0.94761143982722</v>
      </c>
      <c r="G409" s="17" t="n">
        <f aca="false">G404/G407</f>
        <v>0.953156055952163</v>
      </c>
    </row>
    <row r="410" customFormat="false" ht="17.15" hidden="false" customHeight="false" outlineLevel="0" collapsed="false">
      <c r="A410" s="6" t="s">
        <v>471</v>
      </c>
    </row>
    <row r="411" customFormat="false" ht="17.15" hidden="false" customHeight="false" outlineLevel="0" collapsed="false">
      <c r="A411" s="4" t="s">
        <v>383</v>
      </c>
      <c r="B411" s="0" t="s">
        <v>108</v>
      </c>
      <c r="C411" s="17" t="n">
        <f aca="false">a25_gp/a25_rev</f>
        <v>0.4261</v>
      </c>
      <c r="D411" s="17" t="n">
        <f aca="false">a26_gp/a26_rev</f>
        <v>0.468231579886322</v>
      </c>
      <c r="E411" s="17" t="n">
        <f aca="false">gm_27</f>
        <v>0.47</v>
      </c>
      <c r="F411" s="17" t="n">
        <f aca="false">gm_28</f>
        <v>0.46</v>
      </c>
      <c r="G411" s="17" t="n">
        <f aca="false">gm_29</f>
        <v>0.45</v>
      </c>
      <c r="H411" s="8" t="s">
        <v>472</v>
      </c>
    </row>
    <row r="412" customFormat="false" ht="15" hidden="false" customHeight="false" outlineLevel="0" collapsed="false">
      <c r="A412" s="4" t="s">
        <v>382</v>
      </c>
      <c r="B412" s="0" t="s">
        <v>154</v>
      </c>
      <c r="C412" s="21" t="n">
        <f aca="false">C407*C411</f>
        <v>16.294064</v>
      </c>
      <c r="D412" s="21" t="n">
        <f aca="false">D407*D411</f>
        <v>45.35307705</v>
      </c>
      <c r="E412" s="21" t="n">
        <f aca="false">E407*E411</f>
        <v>79.5433933547517</v>
      </c>
      <c r="F412" s="21" t="n">
        <f aca="false">F407*F411</f>
        <v>82.3270934191655</v>
      </c>
      <c r="G412" s="21" t="n">
        <f aca="false">G407*G411</f>
        <v>99.0770709964226</v>
      </c>
    </row>
    <row r="413" customFormat="false" ht="15" hidden="false" customHeight="false" outlineLevel="0" collapsed="false">
      <c r="A413" s="4" t="s">
        <v>473</v>
      </c>
      <c r="B413" s="0" t="s">
        <v>154</v>
      </c>
      <c r="C413" s="21" t="n">
        <f aca="false">a25_opx</f>
        <v>2.6649299429437</v>
      </c>
      <c r="D413" s="21" t="n">
        <f aca="false">a26_opx</f>
        <v>5.17620397829946</v>
      </c>
      <c r="E413" s="21" t="n">
        <f aca="false">D413*(1+MAX(0,phi*E408))</f>
        <v>7.55395895165274</v>
      </c>
      <c r="F413" s="21" t="n">
        <f aca="false">E413*(1+MAX(0,phi*F408))</f>
        <v>7.82094544635288</v>
      </c>
      <c r="G413" s="21" t="n">
        <f aca="false">F413*(1+MAX(0,phi*G408))</f>
        <v>8.92767669636548</v>
      </c>
    </row>
    <row r="414" customFormat="false" ht="15" hidden="false" customHeight="false" outlineLevel="0" collapsed="false">
      <c r="A414" s="4" t="s">
        <v>474</v>
      </c>
      <c r="B414" s="0" t="s">
        <v>154</v>
      </c>
      <c r="C414" s="21" t="n">
        <f aca="false">C413</f>
        <v>2.6649299429437</v>
      </c>
      <c r="D414" s="21" t="n">
        <f aca="false">D413</f>
        <v>5.17620397829946</v>
      </c>
      <c r="E414" s="21" t="n">
        <f aca="false">E413+0*E407</f>
        <v>7.55395895165274</v>
      </c>
      <c r="F414" s="21" t="n">
        <f aca="false">F413+0*F407</f>
        <v>7.82094544635288</v>
      </c>
      <c r="G414" s="21" t="n">
        <f aca="false">G413+0*G407</f>
        <v>8.92767669636548</v>
      </c>
    </row>
    <row r="415" customFormat="false" ht="15" hidden="false" customHeight="false" outlineLevel="0" collapsed="false">
      <c r="A415" s="4" t="s">
        <v>475</v>
      </c>
      <c r="B415" s="0" t="s">
        <v>154</v>
      </c>
      <c r="C415" s="21" t="n">
        <f aca="false">C412-C414</f>
        <v>13.6291340570563</v>
      </c>
      <c r="D415" s="21" t="n">
        <f aca="false">D412-D414</f>
        <v>40.1768730717005</v>
      </c>
      <c r="E415" s="21" t="n">
        <f aca="false">E412-E414</f>
        <v>71.989434403099</v>
      </c>
      <c r="F415" s="21" t="n">
        <f aca="false">F412-F414</f>
        <v>74.5061479728126</v>
      </c>
      <c r="G415" s="21" t="n">
        <f aca="false">G412-G414</f>
        <v>90.1493943000571</v>
      </c>
    </row>
    <row r="416" customFormat="false" ht="15" hidden="false" customHeight="false" outlineLevel="0" collapsed="false">
      <c r="A416" s="4" t="s">
        <v>476</v>
      </c>
      <c r="B416" s="0" t="s">
        <v>108</v>
      </c>
      <c r="C416" s="17" t="n">
        <f aca="false">C415/C407</f>
        <v>0.356410409441849</v>
      </c>
      <c r="D416" s="17" t="n">
        <f aca="false">D415/D407</f>
        <v>0.414791718156521</v>
      </c>
      <c r="E416" s="17" t="n">
        <f aca="false">E415/E407</f>
        <v>0.425365737397665</v>
      </c>
      <c r="F416" s="17" t="n">
        <f aca="false">F415/F407</f>
        <v>0.416300717589954</v>
      </c>
      <c r="G416" s="17" t="n">
        <f aca="false">G415/G407</f>
        <v>0.409451218400375</v>
      </c>
    </row>
    <row r="417" customFormat="false" ht="15" hidden="false" customHeight="false" outlineLevel="0" collapsed="false">
      <c r="A417" s="4" t="s">
        <v>390</v>
      </c>
      <c r="B417" s="0" t="s">
        <v>154</v>
      </c>
      <c r="C417" s="21" t="n">
        <f aca="false">a25_ni</f>
        <v>10.797</v>
      </c>
      <c r="D417" s="21" t="n">
        <f aca="false">a26_ni</f>
        <v>31.8281188474012</v>
      </c>
      <c r="E417" s="21" t="n">
        <f aca="false">E415*(1-tx)*attr</f>
        <v>57.030029934135</v>
      </c>
      <c r="F417" s="21" t="n">
        <f aca="false">F415*(1-tx)*attr</f>
        <v>59.0237704240622</v>
      </c>
      <c r="G417" s="21" t="n">
        <f aca="false">G415*(1-tx)*attr</f>
        <v>71.4163501645052</v>
      </c>
    </row>
    <row r="418" customFormat="false" ht="15" hidden="false" customHeight="false" outlineLevel="0" collapsed="false">
      <c r="A418" s="4" t="s">
        <v>392</v>
      </c>
      <c r="B418" s="0" t="s">
        <v>108</v>
      </c>
      <c r="C418" s="17" t="n">
        <f aca="false">C417/C407</f>
        <v>0.282348326359833</v>
      </c>
      <c r="D418" s="17" t="n">
        <f aca="false">D417/D407</f>
        <v>0.328597999123596</v>
      </c>
      <c r="E418" s="17" t="n">
        <f aca="false">E417/E407</f>
        <v>0.336974737166431</v>
      </c>
      <c r="F418" s="17" t="n">
        <f aca="false">F417/F407</f>
        <v>0.329793428474762</v>
      </c>
      <c r="G418" s="17" t="n">
        <f aca="false">G417/G407</f>
        <v>0.324367255216777</v>
      </c>
    </row>
    <row r="419" customFormat="false" ht="15" hidden="false" customHeight="false" outlineLevel="0" collapsed="false">
      <c r="A419" s="4" t="s">
        <v>477</v>
      </c>
      <c r="B419" s="4" t="s">
        <v>186</v>
      </c>
      <c r="C419" s="18" t="n">
        <f aca="false">a25_sh</f>
        <v>1.1089358245329</v>
      </c>
      <c r="D419" s="18" t="n">
        <f aca="false">a26_sh</f>
        <v>1.1434224718021</v>
      </c>
      <c r="E419" s="18" t="n">
        <f aca="false">sh_post*(1+sh_g)</f>
        <v>1.1779091190713</v>
      </c>
      <c r="F419" s="18" t="n">
        <f aca="false">E419*(1+sh_g)</f>
        <v>1.1779091190713</v>
      </c>
      <c r="G419" s="18" t="n">
        <f aca="false">F419*(1+sh_g)</f>
        <v>1.1779091190713</v>
      </c>
    </row>
    <row r="420" customFormat="false" ht="15" hidden="false" customHeight="false" outlineLevel="0" collapsed="false">
      <c r="A420" s="0" t="s">
        <v>395</v>
      </c>
      <c r="B420" s="0" t="s">
        <v>125</v>
      </c>
      <c r="C420" s="21" t="n">
        <f aca="false">C417/C419</f>
        <v>9.73636143872244</v>
      </c>
      <c r="D420" s="21" t="n">
        <f aca="false">D417/D419</f>
        <v>27.8358346388262</v>
      </c>
      <c r="E420" s="21" t="n">
        <f aca="false">E417/E419</f>
        <v>48.4163243248335</v>
      </c>
      <c r="F420" s="21" t="n">
        <f aca="false">F417/F419</f>
        <v>50.1089341006192</v>
      </c>
      <c r="G420" s="21" t="n">
        <f aca="false">G417/G419</f>
        <v>60.6297625243042</v>
      </c>
    </row>
    <row r="421" customFormat="false" ht="17.15" hidden="false" customHeight="false" outlineLevel="0" collapsed="false">
      <c r="A421" s="0" t="s">
        <v>478</v>
      </c>
      <c r="B421" s="0" t="s">
        <v>108</v>
      </c>
      <c r="D421" s="17" t="n">
        <f aca="false">D420/C420-1</f>
        <v>1.85895658393704</v>
      </c>
      <c r="E421" s="17" t="n">
        <f aca="false">E420/D420-1</f>
        <v>0.73935234754201</v>
      </c>
      <c r="F421" s="17" t="n">
        <f aca="false">F420/E420-1</f>
        <v>0.0349594852436479</v>
      </c>
      <c r="G421" s="17" t="n">
        <f aca="false">G420/F420-1</f>
        <v>0.209959134284498</v>
      </c>
    </row>
    <row r="424" customFormat="false" ht="17.15" hidden="false" customHeight="false" outlineLevel="0" collapsed="false">
      <c r="A424" s="1" t="s">
        <v>816</v>
      </c>
    </row>
    <row r="425" customFormat="false" ht="17.15" hidden="false" customHeight="false" outlineLevel="0" collapsed="false">
      <c r="A425" s="5" t="s">
        <v>23</v>
      </c>
      <c r="B425" s="5" t="s">
        <v>24</v>
      </c>
      <c r="C425" s="15" t="s">
        <v>372</v>
      </c>
      <c r="D425" s="15" t="s">
        <v>434</v>
      </c>
      <c r="E425" s="15" t="s">
        <v>435</v>
      </c>
      <c r="F425" s="15" t="s">
        <v>436</v>
      </c>
      <c r="G425" s="15" t="s">
        <v>437</v>
      </c>
      <c r="H425" s="5" t="s">
        <v>378</v>
      </c>
    </row>
    <row r="426" customFormat="false" ht="17.15" hidden="false" customHeight="false" outlineLevel="0" collapsed="false">
      <c r="A426" s="6" t="s">
        <v>454</v>
      </c>
    </row>
    <row r="427" customFormat="false" ht="17.15" hidden="false" customHeight="false" outlineLevel="0" collapsed="false">
      <c r="A427" s="0" t="s">
        <v>455</v>
      </c>
      <c r="B427" s="0" t="s">
        <v>34</v>
      </c>
      <c r="D427" s="21" t="n">
        <f aca="false">mpl_26*1</f>
        <v>29.753262</v>
      </c>
      <c r="E427" s="21" t="n">
        <f aca="false">mpl_27*1*1</f>
        <v>53.560715</v>
      </c>
      <c r="F427" s="21" t="n">
        <f aca="false">mpl_28*um28_A*1</f>
        <v>57.9915</v>
      </c>
      <c r="G427" s="21" t="n">
        <f aca="false">mpl_29*um29_A*1</f>
        <v>72.9348</v>
      </c>
    </row>
    <row r="428" customFormat="false" ht="17.15" hidden="false" customHeight="false" outlineLevel="0" collapsed="false">
      <c r="A428" s="0" t="s">
        <v>456</v>
      </c>
      <c r="B428" s="0" t="s">
        <v>34</v>
      </c>
      <c r="D428" s="21" t="n">
        <f aca="false">mcp_26*1</f>
        <v>0.300538</v>
      </c>
      <c r="E428" s="21" t="n">
        <f aca="false">mcp_27*1</f>
        <v>2.818985</v>
      </c>
      <c r="F428" s="21" t="n">
        <f aca="false">mcp_28*um28_A</f>
        <v>6.4435</v>
      </c>
      <c r="G428" s="21" t="n">
        <f aca="false">mcp_29*um29_A</f>
        <v>11.74736</v>
      </c>
    </row>
    <row r="429" customFormat="false" ht="17.15" hidden="false" customHeight="false" outlineLevel="0" collapsed="false">
      <c r="A429" s="4" t="s">
        <v>457</v>
      </c>
      <c r="B429" s="0" t="s">
        <v>125</v>
      </c>
      <c r="D429" s="9" t="n">
        <f aca="false">fx</f>
        <v>6.72</v>
      </c>
      <c r="E429" s="9" t="n">
        <f aca="false">fx</f>
        <v>6.72</v>
      </c>
      <c r="F429" s="9" t="n">
        <f aca="false">fx</f>
        <v>6.72</v>
      </c>
      <c r="G429" s="9" t="n">
        <f aca="false">fx</f>
        <v>6.72</v>
      </c>
      <c r="H429" s="8" t="s">
        <v>458</v>
      </c>
    </row>
    <row r="430" customFormat="false" ht="17.15" hidden="false" customHeight="false" outlineLevel="0" collapsed="false">
      <c r="A430" s="4" t="s">
        <v>459</v>
      </c>
      <c r="B430" s="0" t="s">
        <v>108</v>
      </c>
      <c r="D430" s="17" t="n">
        <f aca="false">a26_aiu/D427</f>
        <v>0.445687059095763</v>
      </c>
      <c r="H430" s="8" t="s">
        <v>460</v>
      </c>
    </row>
    <row r="431" customFormat="false" ht="17.15" hidden="false" customHeight="false" outlineLevel="0" collapsed="false">
      <c r="A431" s="4" t="s">
        <v>461</v>
      </c>
      <c r="B431" s="0" t="s">
        <v>67</v>
      </c>
      <c r="D431" s="9" t="n">
        <f aca="false">1</f>
        <v>1</v>
      </c>
      <c r="E431" s="9" t="n">
        <f aca="false">rel_27</f>
        <v>0.95</v>
      </c>
      <c r="F431" s="9" t="n">
        <f aca="false">rel_28</f>
        <v>0.9</v>
      </c>
      <c r="G431" s="9" t="n">
        <f aca="false">rel_29</f>
        <v>0.85</v>
      </c>
    </row>
    <row r="432" customFormat="false" ht="15" hidden="false" customHeight="false" outlineLevel="0" collapsed="false">
      <c r="A432" s="4" t="s">
        <v>462</v>
      </c>
      <c r="B432" s="0" t="s">
        <v>108</v>
      </c>
      <c r="D432" s="17" t="n">
        <f aca="false">$D$430*D431</f>
        <v>0.445687059095763</v>
      </c>
      <c r="E432" s="17" t="n">
        <f aca="false">$D$430*E431</f>
        <v>0.423402706140975</v>
      </c>
      <c r="F432" s="17" t="n">
        <f aca="false">$D$430*F431</f>
        <v>0.401118353186187</v>
      </c>
      <c r="G432" s="17" t="n">
        <f aca="false">$D$430*G431</f>
        <v>0.378834000231398</v>
      </c>
    </row>
    <row r="433" customFormat="false" ht="15" hidden="false" customHeight="false" outlineLevel="0" collapsed="false">
      <c r="A433" s="4" t="s">
        <v>463</v>
      </c>
      <c r="B433" s="0" t="s">
        <v>67</v>
      </c>
      <c r="D433" s="9" t="n">
        <f aca="false">1</f>
        <v>1</v>
      </c>
      <c r="E433" s="9" t="n">
        <f aca="false">pxr_27</f>
        <v>1</v>
      </c>
      <c r="F433" s="9" t="n">
        <f aca="false">pxr_28</f>
        <v>1</v>
      </c>
      <c r="G433" s="9" t="n">
        <f aca="false">pxr_29</f>
        <v>1</v>
      </c>
    </row>
    <row r="434" customFormat="false" ht="17.15" hidden="false" customHeight="false" outlineLevel="0" collapsed="false">
      <c r="A434" s="4" t="s">
        <v>464</v>
      </c>
      <c r="B434" s="0" t="s">
        <v>108</v>
      </c>
      <c r="D434" s="17" t="n">
        <f aca="false">0</f>
        <v>0</v>
      </c>
      <c r="E434" s="17" t="n">
        <f aca="false">cpo_27</f>
        <v>0.1</v>
      </c>
      <c r="F434" s="17" t="n">
        <f aca="false">cpo_28</f>
        <v>0.15</v>
      </c>
      <c r="G434" s="17" t="n">
        <f aca="false">cpo_29</f>
        <v>0.2</v>
      </c>
    </row>
    <row r="435" customFormat="false" ht="17.15" hidden="false" customHeight="false" outlineLevel="0" collapsed="false">
      <c r="A435" s="0" t="s">
        <v>465</v>
      </c>
      <c r="B435" s="0" t="s">
        <v>34</v>
      </c>
      <c r="D435" s="21" t="n">
        <f aca="false">a26_aiu</f>
        <v>13.2606438392857</v>
      </c>
      <c r="E435" s="21" t="n">
        <f aca="false">E427*E432*E433+E428*E434</f>
        <v>22.9596501738455</v>
      </c>
      <c r="F435" s="21" t="n">
        <f aca="false">F427*F432*F433+F428*F434</f>
        <v>24.2279799787967</v>
      </c>
      <c r="G435" s="21" t="n">
        <f aca="false">G427*G432*G433+G428*G434</f>
        <v>29.979654040077</v>
      </c>
    </row>
    <row r="436" customFormat="false" ht="17.15" hidden="false" customHeight="false" outlineLevel="0" collapsed="false">
      <c r="A436" s="0" t="s">
        <v>466</v>
      </c>
      <c r="B436" s="0" t="s">
        <v>154</v>
      </c>
      <c r="C436" s="21" t="n">
        <f aca="false">a25_ai</f>
        <v>35.1808</v>
      </c>
      <c r="D436" s="21" t="n">
        <f aca="false">D435*D429</f>
        <v>89.1115266</v>
      </c>
      <c r="E436" s="21" t="n">
        <f aca="false">E435*E429</f>
        <v>154.288849168242</v>
      </c>
      <c r="F436" s="21" t="n">
        <f aca="false">F435*F429</f>
        <v>162.812025457514</v>
      </c>
      <c r="G436" s="21" t="n">
        <f aca="false">G435*G429</f>
        <v>201.463275149317</v>
      </c>
    </row>
    <row r="437" customFormat="false" ht="17.15" hidden="false" customHeight="false" outlineLevel="0" collapsed="false">
      <c r="A437" s="6" t="s">
        <v>467</v>
      </c>
    </row>
    <row r="438" customFormat="false" ht="15" hidden="false" customHeight="false" outlineLevel="0" collapsed="false">
      <c r="A438" s="4" t="s">
        <v>468</v>
      </c>
      <c r="B438" s="0" t="s">
        <v>154</v>
      </c>
      <c r="C438" s="21" t="n">
        <f aca="false">a25_oth</f>
        <v>3.0592</v>
      </c>
      <c r="D438" s="21" t="n">
        <f aca="false">a26_oth</f>
        <v>7.7488284</v>
      </c>
      <c r="E438" s="21" t="n">
        <f aca="false">D438*(1+g_oth)</f>
        <v>8.52371124</v>
      </c>
      <c r="F438" s="21" t="n">
        <f aca="false">E438*(1+g_oth)</f>
        <v>9.376082364</v>
      </c>
      <c r="G438" s="21" t="n">
        <f aca="false">F438*(1+g_oth)</f>
        <v>10.3136906004</v>
      </c>
    </row>
    <row r="439" customFormat="false" ht="15" hidden="false" customHeight="false" outlineLevel="0" collapsed="false">
      <c r="A439" s="4" t="s">
        <v>379</v>
      </c>
      <c r="B439" s="0" t="s">
        <v>154</v>
      </c>
      <c r="C439" s="21" t="n">
        <f aca="false">a25_rev</f>
        <v>38.24</v>
      </c>
      <c r="D439" s="21" t="n">
        <f aca="false">D436+D438</f>
        <v>96.860355</v>
      </c>
      <c r="E439" s="21" t="n">
        <f aca="false">E436+E438</f>
        <v>162.812560408242</v>
      </c>
      <c r="F439" s="21" t="n">
        <f aca="false">F436+F438</f>
        <v>172.188107821514</v>
      </c>
      <c r="G439" s="21" t="n">
        <f aca="false">G436+G438</f>
        <v>211.776965749717</v>
      </c>
    </row>
    <row r="440" customFormat="false" ht="15" hidden="false" customHeight="false" outlineLevel="0" collapsed="false">
      <c r="A440" s="4" t="s">
        <v>469</v>
      </c>
      <c r="B440" s="0" t="s">
        <v>108</v>
      </c>
      <c r="D440" s="17" t="n">
        <f aca="false">D439/C439-1</f>
        <v>1.53295907426778</v>
      </c>
      <c r="E440" s="17" t="n">
        <f aca="false">E439/D439-1</f>
        <v>0.680899893545112</v>
      </c>
      <c r="F440" s="17" t="n">
        <f aca="false">F439/E439-1</f>
        <v>0.0575849147618819</v>
      </c>
      <c r="G440" s="17" t="n">
        <f aca="false">G439/F439-1</f>
        <v>0.229916330628595</v>
      </c>
    </row>
    <row r="441" customFormat="false" ht="17.15" hidden="false" customHeight="false" outlineLevel="0" collapsed="false">
      <c r="A441" s="0" t="s">
        <v>470</v>
      </c>
      <c r="B441" s="0" t="s">
        <v>108</v>
      </c>
      <c r="C441" s="17" t="n">
        <f aca="false">C436/C439</f>
        <v>0.92</v>
      </c>
      <c r="D441" s="17" t="n">
        <f aca="false">D436/D439</f>
        <v>0.92</v>
      </c>
      <c r="E441" s="17" t="n">
        <f aca="false">E436/E439</f>
        <v>0.947647090503169</v>
      </c>
      <c r="F441" s="17" t="n">
        <f aca="false">F436/F439</f>
        <v>0.945547445275843</v>
      </c>
      <c r="G441" s="17" t="n">
        <f aca="false">G436/G439</f>
        <v>0.951299280524262</v>
      </c>
    </row>
    <row r="442" customFormat="false" ht="17.15" hidden="false" customHeight="false" outlineLevel="0" collapsed="false">
      <c r="A442" s="6" t="s">
        <v>471</v>
      </c>
    </row>
    <row r="443" customFormat="false" ht="17.15" hidden="false" customHeight="false" outlineLevel="0" collapsed="false">
      <c r="A443" s="4" t="s">
        <v>383</v>
      </c>
      <c r="B443" s="0" t="s">
        <v>108</v>
      </c>
      <c r="C443" s="17" t="n">
        <f aca="false">a25_gp/a25_rev</f>
        <v>0.4261</v>
      </c>
      <c r="D443" s="17" t="n">
        <f aca="false">a26_gp/a26_rev</f>
        <v>0.468231579886322</v>
      </c>
      <c r="E443" s="17" t="n">
        <f aca="false">gm_27</f>
        <v>0.47</v>
      </c>
      <c r="F443" s="17" t="n">
        <f aca="false">gm_28</f>
        <v>0.46</v>
      </c>
      <c r="G443" s="17" t="n">
        <f aca="false">gm_29</f>
        <v>0.45</v>
      </c>
      <c r="H443" s="8" t="s">
        <v>472</v>
      </c>
    </row>
    <row r="444" customFormat="false" ht="15" hidden="false" customHeight="false" outlineLevel="0" collapsed="false">
      <c r="A444" s="4" t="s">
        <v>382</v>
      </c>
      <c r="B444" s="0" t="s">
        <v>154</v>
      </c>
      <c r="C444" s="21" t="n">
        <f aca="false">C439*C443</f>
        <v>16.294064</v>
      </c>
      <c r="D444" s="21" t="n">
        <f aca="false">D439*D443</f>
        <v>45.35307705</v>
      </c>
      <c r="E444" s="21" t="n">
        <f aca="false">E439*E443</f>
        <v>76.5219033918736</v>
      </c>
      <c r="F444" s="21" t="n">
        <f aca="false">F439*F443</f>
        <v>79.2065295978965</v>
      </c>
      <c r="G444" s="21" t="n">
        <f aca="false">G439*G443</f>
        <v>95.2996345873728</v>
      </c>
    </row>
    <row r="445" customFormat="false" ht="15" hidden="false" customHeight="false" outlineLevel="0" collapsed="false">
      <c r="A445" s="4" t="s">
        <v>473</v>
      </c>
      <c r="B445" s="0" t="s">
        <v>154</v>
      </c>
      <c r="C445" s="21" t="n">
        <f aca="false">a25_opx</f>
        <v>2.6649299429437</v>
      </c>
      <c r="D445" s="21" t="n">
        <f aca="false">a26_opx</f>
        <v>5.17620397829946</v>
      </c>
      <c r="E445" s="21" t="n">
        <f aca="false">D445*(1+MAX(0,phi*E440))</f>
        <v>7.34277234450021</v>
      </c>
      <c r="F445" s="21" t="n">
        <f aca="false">E445*(1+MAX(0,phi*F440))</f>
        <v>7.6026964398742</v>
      </c>
      <c r="G445" s="21" t="n">
        <f aca="false">F445*(1+MAX(0,phi*G440))</f>
        <v>8.6772182111425</v>
      </c>
    </row>
    <row r="446" customFormat="false" ht="15" hidden="false" customHeight="false" outlineLevel="0" collapsed="false">
      <c r="A446" s="4" t="s">
        <v>474</v>
      </c>
      <c r="B446" s="0" t="s">
        <v>154</v>
      </c>
      <c r="C446" s="21" t="n">
        <f aca="false">C445</f>
        <v>2.6649299429437</v>
      </c>
      <c r="D446" s="21" t="n">
        <f aca="false">D445</f>
        <v>5.17620397829946</v>
      </c>
      <c r="E446" s="21" t="n">
        <f aca="false">E445+opx_adj_hi*E439</f>
        <v>10.599023552665</v>
      </c>
      <c r="F446" s="21" t="n">
        <f aca="false">F445+opx_adj_hi*F439</f>
        <v>11.0464585963045</v>
      </c>
      <c r="G446" s="21" t="n">
        <f aca="false">G445+opx_adj_hi*G439</f>
        <v>12.9127575261369</v>
      </c>
    </row>
    <row r="447" customFormat="false" ht="15" hidden="false" customHeight="false" outlineLevel="0" collapsed="false">
      <c r="A447" s="4" t="s">
        <v>475</v>
      </c>
      <c r="B447" s="0" t="s">
        <v>154</v>
      </c>
      <c r="C447" s="21" t="n">
        <f aca="false">C444-C446</f>
        <v>13.6291340570563</v>
      </c>
      <c r="D447" s="21" t="n">
        <f aca="false">D444-D446</f>
        <v>40.1768730717005</v>
      </c>
      <c r="E447" s="21" t="n">
        <f aca="false">E444-E446</f>
        <v>65.9228798392086</v>
      </c>
      <c r="F447" s="21" t="n">
        <f aca="false">F444-F446</f>
        <v>68.160071001592</v>
      </c>
      <c r="G447" s="21" t="n">
        <f aca="false">G444-G446</f>
        <v>82.386877061236</v>
      </c>
    </row>
    <row r="448" customFormat="false" ht="15" hidden="false" customHeight="false" outlineLevel="0" collapsed="false">
      <c r="A448" s="4" t="s">
        <v>476</v>
      </c>
      <c r="B448" s="0" t="s">
        <v>108</v>
      </c>
      <c r="C448" s="17" t="n">
        <f aca="false">C447/C439</f>
        <v>0.356410409441849</v>
      </c>
      <c r="D448" s="17" t="n">
        <f aca="false">D447/D439</f>
        <v>0.414791718156521</v>
      </c>
      <c r="E448" s="17" t="n">
        <f aca="false">E447/E439</f>
        <v>0.404900455308309</v>
      </c>
      <c r="F448" s="17" t="n">
        <f aca="false">F447/F439</f>
        <v>0.395846564922155</v>
      </c>
      <c r="G448" s="17" t="n">
        <f aca="false">G447/G439</f>
        <v>0.389026619441713</v>
      </c>
    </row>
    <row r="449" customFormat="false" ht="15" hidden="false" customHeight="false" outlineLevel="0" collapsed="false">
      <c r="A449" s="4" t="s">
        <v>390</v>
      </c>
      <c r="B449" s="0" t="s">
        <v>154</v>
      </c>
      <c r="C449" s="21" t="n">
        <f aca="false">a25_ni</f>
        <v>10.797</v>
      </c>
      <c r="D449" s="21" t="n">
        <f aca="false">a26_ni</f>
        <v>31.8281188474012</v>
      </c>
      <c r="E449" s="21" t="n">
        <f aca="false">E447*(1-tx)*attr</f>
        <v>52.224105408621</v>
      </c>
      <c r="F449" s="21" t="n">
        <f aca="false">F447*(1-tx)*attr</f>
        <v>53.9964082474612</v>
      </c>
      <c r="G449" s="21" t="n">
        <f aca="false">G447*(1-tx)*attr</f>
        <v>65.2668840079111</v>
      </c>
    </row>
    <row r="450" customFormat="false" ht="15" hidden="false" customHeight="false" outlineLevel="0" collapsed="false">
      <c r="A450" s="4" t="s">
        <v>392</v>
      </c>
      <c r="B450" s="0" t="s">
        <v>108</v>
      </c>
      <c r="C450" s="17" t="n">
        <f aca="false">C449/C439</f>
        <v>0.282348326359833</v>
      </c>
      <c r="D450" s="17" t="n">
        <f aca="false">D449/D439</f>
        <v>0.328597999123596</v>
      </c>
      <c r="E450" s="17" t="n">
        <f aca="false">E449/E439</f>
        <v>0.320762140695242</v>
      </c>
      <c r="F450" s="17" t="n">
        <f aca="false">F449/F439</f>
        <v>0.313589648731331</v>
      </c>
      <c r="G450" s="17" t="n">
        <f aca="false">G449/G439</f>
        <v>0.308186887921725</v>
      </c>
    </row>
    <row r="451" customFormat="false" ht="15" hidden="false" customHeight="false" outlineLevel="0" collapsed="false">
      <c r="A451" s="4" t="s">
        <v>477</v>
      </c>
      <c r="B451" s="4" t="s">
        <v>186</v>
      </c>
      <c r="C451" s="18" t="n">
        <f aca="false">a25_sh</f>
        <v>1.1089358245329</v>
      </c>
      <c r="D451" s="18" t="n">
        <f aca="false">a26_sh</f>
        <v>1.1434224718021</v>
      </c>
      <c r="E451" s="18" t="n">
        <f aca="false">sh_post*(1+sh_g)</f>
        <v>1.1779091190713</v>
      </c>
      <c r="F451" s="18" t="n">
        <f aca="false">E451*(1+sh_g)</f>
        <v>1.1779091190713</v>
      </c>
      <c r="G451" s="18" t="n">
        <f aca="false">F451*(1+sh_g)</f>
        <v>1.1779091190713</v>
      </c>
    </row>
    <row r="452" customFormat="false" ht="15" hidden="false" customHeight="false" outlineLevel="0" collapsed="false">
      <c r="A452" s="0" t="s">
        <v>395</v>
      </c>
      <c r="B452" s="0" t="s">
        <v>125</v>
      </c>
      <c r="C452" s="21" t="n">
        <f aca="false">C449/C451</f>
        <v>9.73636143872244</v>
      </c>
      <c r="D452" s="21" t="n">
        <f aca="false">D449/D451</f>
        <v>27.8358346388262</v>
      </c>
      <c r="E452" s="21" t="n">
        <f aca="false">E449/E451</f>
        <v>44.3362773605116</v>
      </c>
      <c r="F452" s="21" t="n">
        <f aca="false">F449/F451</f>
        <v>45.840895000485</v>
      </c>
      <c r="G452" s="21" t="n">
        <f aca="false">G449/G451</f>
        <v>55.4090998627887</v>
      </c>
    </row>
    <row r="453" customFormat="false" ht="17.15" hidden="false" customHeight="false" outlineLevel="0" collapsed="false">
      <c r="A453" s="0" t="s">
        <v>478</v>
      </c>
      <c r="B453" s="0" t="s">
        <v>108</v>
      </c>
      <c r="D453" s="17" t="n">
        <f aca="false">D452/C452-1</f>
        <v>1.85895658393704</v>
      </c>
      <c r="E453" s="17" t="n">
        <f aca="false">E452/D452-1</f>
        <v>0.592777006178581</v>
      </c>
      <c r="F453" s="17" t="n">
        <f aca="false">F452/E452-1</f>
        <v>0.0339364901509174</v>
      </c>
      <c r="G453" s="17" t="n">
        <f aca="false">G452/F452-1</f>
        <v>0.208726397296618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817</v>
      </c>
    </row>
    <row r="2" customFormat="false" ht="17.15" hidden="false" customHeight="false" outlineLevel="0" collapsed="false">
      <c r="A2" s="4" t="s">
        <v>818</v>
      </c>
      <c r="B2" s="0" t="s">
        <v>819</v>
      </c>
    </row>
    <row r="3" customFormat="false" ht="17.15" hidden="false" customHeight="false" outlineLevel="0" collapsed="false">
      <c r="A3" s="4" t="s">
        <v>820</v>
      </c>
      <c r="B3" s="0" t="s">
        <v>821</v>
      </c>
    </row>
    <row r="4" customFormat="false" ht="17.15" hidden="false" customHeight="false" outlineLevel="0" collapsed="false">
      <c r="A4" s="4" t="s">
        <v>822</v>
      </c>
      <c r="B4" s="0" t="s">
        <v>823</v>
      </c>
    </row>
    <row r="5" customFormat="false" ht="17.15" hidden="false" customHeight="false" outlineLevel="0" collapsed="false">
      <c r="A5" s="4" t="s">
        <v>824</v>
      </c>
      <c r="B5" s="0" t="s">
        <v>825</v>
      </c>
    </row>
    <row r="6" customFormat="false" ht="17.15" hidden="false" customHeight="false" outlineLevel="0" collapsed="false">
      <c r="A6" s="4" t="s">
        <v>826</v>
      </c>
      <c r="B6" s="0" t="s">
        <v>827</v>
      </c>
    </row>
    <row r="7" customFormat="false" ht="17.15" hidden="false" customHeight="false" outlineLevel="0" collapsed="false">
      <c r="A7" s="4" t="s">
        <v>828</v>
      </c>
      <c r="B7" s="0" t="s">
        <v>829</v>
      </c>
    </row>
    <row r="8" customFormat="false" ht="17.15" hidden="false" customHeight="false" outlineLevel="0" collapsed="false">
      <c r="A8" s="4" t="s">
        <v>830</v>
      </c>
      <c r="B8" s="0" t="s">
        <v>831</v>
      </c>
    </row>
    <row r="9" customFormat="false" ht="17.15" hidden="false" customHeight="false" outlineLevel="0" collapsed="false">
      <c r="A9" s="4" t="s">
        <v>832</v>
      </c>
      <c r="B9" s="0" t="s">
        <v>833</v>
      </c>
    </row>
    <row r="10" customFormat="false" ht="17.15" hidden="false" customHeight="false" outlineLevel="0" collapsed="false">
      <c r="A10" s="4" t="s">
        <v>834</v>
      </c>
      <c r="B10" s="0" t="s">
        <v>835</v>
      </c>
    </row>
    <row r="11" customFormat="false" ht="17.15" hidden="false" customHeight="false" outlineLevel="0" collapsed="false">
      <c r="A11" s="4" t="s">
        <v>836</v>
      </c>
      <c r="B11" s="0" t="s">
        <v>837</v>
      </c>
    </row>
    <row r="12" customFormat="false" ht="17.15" hidden="false" customHeight="false" outlineLevel="0" collapsed="false">
      <c r="A12" s="4" t="s">
        <v>838</v>
      </c>
      <c r="B12" s="0" t="s">
        <v>839</v>
      </c>
    </row>
    <row r="13" customFormat="false" ht="17.15" hidden="false" customHeight="false" outlineLevel="0" collapsed="false">
      <c r="A13" s="4" t="s">
        <v>840</v>
      </c>
      <c r="B13" s="0" t="s">
        <v>841</v>
      </c>
    </row>
    <row r="14" customFormat="false" ht="17.15" hidden="false" customHeight="false" outlineLevel="0" collapsed="false">
      <c r="A14" s="4" t="s">
        <v>842</v>
      </c>
    </row>
    <row r="15" customFormat="false" ht="17.15" hidden="false" customHeight="false" outlineLevel="0" collapsed="false">
      <c r="A15" s="4" t="s">
        <v>843</v>
      </c>
      <c r="B15" s="4" t="s">
        <v>844</v>
      </c>
    </row>
    <row r="16" customFormat="false" ht="15" hidden="false" customHeight="false" outlineLevel="0" collapsed="false">
      <c r="A16" s="0" t="s">
        <v>845</v>
      </c>
      <c r="B16" s="4" t="s">
        <v>846</v>
      </c>
    </row>
    <row r="17" customFormat="false" ht="17.15" hidden="false" customHeight="false" outlineLevel="0" collapsed="false">
      <c r="A17" s="0" t="s">
        <v>847</v>
      </c>
      <c r="B17" s="0" t="s">
        <v>848</v>
      </c>
    </row>
    <row r="18" customFormat="false" ht="17.15" hidden="false" customHeight="false" outlineLevel="0" collapsed="false">
      <c r="A18" s="0" t="s">
        <v>849</v>
      </c>
      <c r="B18" s="4" t="s">
        <v>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2026-10-29T07:23:18Z</dcterms:created>
  <dc:creator>openpyxl</dc:creator>
  <dc:description/>
  <dc:language>en-US</dc:language>
  <cp:lastModifiedBy/>
  <dcterms:modified xsi:type="dcterms:W3CDTF">2026-10-29T07:23:19Z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