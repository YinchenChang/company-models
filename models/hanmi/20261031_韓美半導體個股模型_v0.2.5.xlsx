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A" vbProcedure="false">In!$E$121</definedName>
    <definedName function="false" hidden="false" name="hbp_28_C" vbProcedure="false">In!$E$124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A" vbProcedure="false">In!$E$122</definedName>
    <definedName function="false" hidden="false" name="hbp_29_C" vbProcedure="false">In!$E$125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A" vbProcedure="false">In!$E$123</definedName>
    <definedName function="false" hidden="false" name="hbp_30_C" vbProcedure="false">In!$E$126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rm_factor" vbProcedure="false">Val!$B$141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comp_adj" vbProcedure="false">Val!$B$142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<sst xmlns="http://schemas.openxmlformats.org/spreadsheetml/2006/main" count="3790" uniqueCount="969">
  <si>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</si>
  <si>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</si>
  <si>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</si>
  <si>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</si>
  <si>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</si>
  <si>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</si>
  <si>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</si>
  <si>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</si>
  <si>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）；混合鍵合為行業技術變數、與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取高值、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低值）；公司特有變數（份額、其他業務成長）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起分情境、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</si>
  <si>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</si>
  <si>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</si>
  <si>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</si>
  <si>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</si>
  <si>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(1) CY2027 </t>
    </r>
    <r>
      <rPr>
        <sz val="11"/>
        <color theme="1"/>
        <rFont val="Noto Sans CJK SC"/>
        <family val="2"/>
      </rPr>
      <t xml:space="preserve">購機的「下一年（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）產能」三情境用共同前提＝情境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韓美在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海力士／美光的份額與其他業務成長，</t>
    </r>
    <r>
      <rPr>
        <sz val="11"/>
        <color theme="1"/>
        <rFont val="Calibri"/>
        <family val="2"/>
        <charset val="1"/>
      </rPr>
      <t xml:space="preserve">CY2026–27 </t>
    </r>
    <r>
      <rPr>
        <sz val="11"/>
        <color theme="1"/>
        <rFont val="Noto Sans CJK SC"/>
        <family val="2"/>
      </rPr>
      <t xml:space="preserve">三情境共用情境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起分情境（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＝導入快（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＝導入慢（低值）。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鍵合需求被混合鍵合侵蝕最多，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屬預期結果。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</si>
  <si>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</si>
  <si>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：混合鍵合替代是最大變數：不納入混合鍵合時 </t>
    </r>
    <r>
      <rPr>
        <sz val="11"/>
        <color theme="1"/>
        <rFont val="Calibri"/>
        <family val="2"/>
        <charset val="1"/>
      </rPr>
      <t xml:space="preserve">FY2028 EPS 3,782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2,363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+60.0%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+9.1%</t>
    </r>
    <r>
      <rPr>
        <sz val="11"/>
        <color theme="1"/>
        <rFont val="Noto Sans CJK SC"/>
        <family val="2"/>
      </rPr>
      <t xml:space="preserve">；晶粒容量取低值 </t>
    </r>
    <r>
      <rPr>
        <sz val="11"/>
        <color theme="1"/>
        <rFont val="Calibri"/>
        <family val="2"/>
        <charset val="1"/>
      </rPr>
      <t xml:space="preserve">FY2027 +15.1%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</si>
  <si>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：三情境的現價隱含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都高於十年最大值（分位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只顯示到千位（約 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），差距待第三季財報（預定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前後）的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鍵合出貨與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年訂單檢驗。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</si>
  <si>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</si>
  <si>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</si>
  <si>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</si>
  <si>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</si>
  <si>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</si>
  <si>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</si>
  <si>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</si>
  <si>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</si>
  <si>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</si>
  <si>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</si>
  <si>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</si>
  <si>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</si>
  <si>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</si>
  <si>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</si>
  <si>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</si>
  <si>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</si>
  <si>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</si>
  <si>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</si>
  <si>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</si>
  <si>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</si>
  <si>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</si>
  <si>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</si>
  <si>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</si>
  <si>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</si>
  <si>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</si>
  <si>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</si>
  <si>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</si>
  <si>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</si>
  <si>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</si>
  <si>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</si>
  <si>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</si>
  <si>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</si>
  <si>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</si>
  <si>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</si>
  <si>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</si>
  <si>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</si>
  <si>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</si>
  <si>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</si>
  <si>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</si>
  <si>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</si>
  <si>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</si>
  <si>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</si>
  <si>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</si>
  <si>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</si>
  <si>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</si>
  <si>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</si>
  <si>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</si>
  <si>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</si>
  <si>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</si>
  <si>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</si>
  <si>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</si>
  <si>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</si>
  <si>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</si>
  <si>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</si>
  <si>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</si>
  <si>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</si>
  <si>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</si>
  <si>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</si>
  <si>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</si>
  <si>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</si>
  <si>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</si>
  <si>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</si>
  <si>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</si>
  <si>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</si>
  <si>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</si>
  <si>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</si>
  <si>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</si>
  <si>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</si>
  <si>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</si>
  <si>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</si>
  <si>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</si>
  <si>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</si>
  <si>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</si>
  <si>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</si>
  <si>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</si>
  <si>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</si>
  <si>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</si>
  <si>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</si>
  <si>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</si>
  <si>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</si>
  <si>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</si>
  <si>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</si>
  <si>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</si>
  <si>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</si>
  <si>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</si>
  <si>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</si>
  <si>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</si>
  <si>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</si>
  <si>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</si>
  <si>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</si>
  <si>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</si>
  <si>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</si>
  <si>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</si>
  <si>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</si>
  <si>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</si>
  <si>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</si>
  <si>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</si>
  <si>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</si>
  <si>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</si>
  <si>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</si>
  <si>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</si>
  <si>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</si>
  <si>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</si>
  <si>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</si>
  <si>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</si>
  <si>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</si>
  <si>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</si>
  <si>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</si>
  <si>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新聞稿）。本模型（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）：混合鍵合為行業技術變數，與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同字母——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取高值（導入快）、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取低值（導入慢），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以前三情境皆取基準；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另列不納入與基準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</si>
  <si>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</si>
  <si>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</si>
  <si>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</si>
  <si>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</si>
  <si>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</si>
  <si>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</si>
  <si>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</si>
  <si>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</si>
  <si>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</si>
  <si>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</si>
  <si>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</si>
  <si>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</si>
  <si>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</si>
  <si>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</si>
  <si>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</si>
  <si>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</si>
  <si>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</si>
  <si>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</si>
  <si>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</si>
  <si>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</si>
  <si>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</si>
  <si>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</si>
  <si>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</si>
  <si>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</si>
  <si>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In!D21:F21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</si>
  <si>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</si>
  <si>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</si>
  <si>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</si>
  <si>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</si>
  <si>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</si>
  <si>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</si>
  <si>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In!D23:F23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</si>
  <si>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</si>
  <si>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</si>
  <si>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</si>
  <si>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</si>
  <si>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</si>
  <si>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</si>
  <si>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</si>
  <si>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</si>
  <si>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</si>
  <si>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</si>
  <si>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</si>
  <si>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</si>
  <si>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</si>
  <si>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</si>
  <si>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</si>
  <si>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</si>
  <si>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</si>
  <si>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</si>
  <si>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</si>
  <si>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</si>
  <si>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samsung/dist/20261030_</t>
    </r>
    <r>
      <rPr>
        <sz val="11"/>
        <color theme="1"/>
        <rFont val="Noto Sans CJK SC"/>
        <family val="2"/>
      </rPr>
      <t xml:space="preserve">三星電子個股模型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</si>
  <si>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</si>
  <si>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</si>
  <si>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</si>
  <si>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</si>
  <si>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</si>
  <si>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</si>
  <si>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</si>
  <si>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</si>
  <si>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</si>
  <si>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</si>
  <si>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</si>
  <si>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</si>
  <si>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</si>
  <si>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</si>
  <si>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</si>
  <si>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</si>
  <si>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</si>
  <si>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</si>
  <si>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</si>
  <si>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</si>
  <si>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</si>
  <si>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</si>
  <si>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</si>
  <si>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</si>
  <si>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</si>
  <si>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</si>
  <si>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</si>
  <si>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</si>
  <si>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</si>
  <si>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</si>
  <si>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</si>
  <si>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</si>
  <si>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</si>
  <si>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</si>
  <si>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</si>
  <si>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</si>
  <si>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</si>
  <si>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</si>
  <si>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</si>
  <si>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</si>
  <si>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</si>
  <si>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</si>
  <si>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</si>
  <si>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</si>
  <si>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</si>
  <si>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</si>
  <si>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</si>
  <si>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</si>
  <si>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</si>
  <si>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</si>
  <si>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</si>
  <si>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</si>
  <si>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</si>
  <si>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</si>
  <si>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</si>
  <si>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</si>
  <si>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</si>
  <si>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</si>
  <si>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</si>
  <si>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</si>
  <si>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</si>
  <si>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</si>
  <si>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</si>
  <si>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</si>
  <si>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</si>
  <si>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</si>
  <si>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</si>
  <si>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</si>
  <si>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</si>
  <si>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t xml:space="preserve">g_o_C</t>
  </si>
  <si>
    <r>
      <rPr>
        <sz val="11"/>
        <color theme="1"/>
        <rFont val="Noto Sans CJK SC"/>
        <family val="2"/>
      </rPr>
      <t xml:space="preserve">其他業務年成長（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值，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分情境）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</si>
  <si>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</si>
  <si>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</si>
  <si>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</si>
  <si>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</si>
  <si>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</si>
  <si>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</si>
  <si>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</si>
  <si>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</si>
  <si>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</si>
  <si>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</si>
  <si>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</si>
  <si>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</si>
  <si>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</si>
  <si>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</si>
  <si>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</si>
  <si>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</si>
  <si>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</si>
  <si>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</si>
  <si>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</si>
  <si>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</si>
  <si>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</si>
  <si>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</si>
  <si>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</si>
  <si>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</si>
  <si>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</si>
  <si>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</si>
  <si>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</si>
  <si>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</si>
  <si>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</si>
  <si>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</si>
  <si>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</si>
  <si>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</si>
  <si>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</si>
  <si>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</si>
  <si>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</si>
  <si>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</si>
  <si>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</si>
  <si>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</si>
  <si>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</si>
  <si>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</si>
  <si>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</si>
  <si>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</si>
  <si>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</si>
  <si>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</si>
  <si>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</si>
  <si>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</si>
  <si>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</si>
  <si>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</si>
  <si>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</si>
  <si>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</si>
  <si>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</si>
  <si>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</si>
  <si>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</si>
  <si>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</si>
  <si>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</si>
  <si>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</si>
  <si>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</si>
  <si>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</si>
  <si>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</si>
  <si>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</si>
  <si>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</si>
  <si>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</si>
  <si>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</si>
  <si>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</si>
  <si>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</si>
  <si>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</si>
  <si>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</si>
  <si>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</si>
  <si>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</si>
  <si>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</si>
  <si>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</si>
  <si>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</si>
  <si>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</si>
  <si>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</si>
  <si>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</si>
  <si>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</si>
  <si>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</si>
  <si>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</si>
  <si>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</si>
  <si>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</si>
  <si>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</si>
  <si>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</si>
  <si>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</si>
  <si>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</si>
  <si>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</si>
  <si>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</si>
  <si>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</si>
  <si>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</si>
  <si>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</si>
  <si>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</si>
  <si>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</si>
  <si>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</si>
  <si>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</si>
  <si>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</si>
  <si>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</si>
  <si>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</si>
  <si>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</si>
  <si>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</si>
  <si>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</si>
  <si>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</si>
  <si>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</si>
  <si>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</si>
  <si>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</si>
  <si>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</si>
  <si>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</si>
  <si>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</si>
  <si>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</si>
  <si>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</si>
  <si>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</si>
  <si>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</si>
  <si>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</si>
  <si>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</si>
  <si>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</si>
  <si>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</si>
  <si>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</si>
  <si>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</si>
  <si>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</si>
  <si>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</si>
  <si>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</si>
  <si>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</si>
  <si>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</si>
  <si>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</si>
  <si>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</si>
  <si>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</si>
  <si>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</si>
  <si>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</si>
  <si>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</si>
  <si>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</si>
  <si>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</si>
  <si>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</si>
  <si>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</si>
  <si>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</si>
  <si>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</si>
  <si>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</si>
  <si>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</si>
  <si>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</si>
  <si>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</si>
  <si>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</si>
  <si>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</si>
  <si>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</si>
  <si>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</si>
  <si>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</si>
  <si>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</si>
  <si>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</si>
  <si>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hbp_28_A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</si>
  <si>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</si>
  <si>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</si>
  <si>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</si>
  <si>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</si>
  <si>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</si>
  <si>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hbp_30_A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</si>
  <si>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</si>
  <si>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hbp_30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In!F40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</si>
  <si>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</si>
  <si>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</si>
  <si>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</si>
  <si>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</si>
  <si>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</si>
  <si>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</si>
  <si>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hbp_30_C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</si>
  <si>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</si>
  <si>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hbp_30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In!D40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</si>
  <si>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</si>
  <si>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</si>
  <si>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</si>
  <si>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</si>
  <si>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</si>
  <si>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scn_hs_25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</si>
  <si>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</si>
  <si>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</si>
  <si>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</si>
  <si>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</si>
  <si>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</si>
  <si>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</si>
  <si>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</si>
  <si>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</si>
  <si>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</si>
  <si>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</si>
  <si>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</si>
  <si>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</si>
  <si>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</si>
  <si>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</si>
  <si>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scn_hsk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</si>
  <si>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hsk_A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hsk_C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</si>
  <si>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scn_hmu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</si>
  <si>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hmu_A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hmu_B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hmu_C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</si>
  <si>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</si>
  <si>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</si>
  <si>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</si>
  <si>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</si>
  <si>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</si>
  <si>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</si>
  <si>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</si>
  <si>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</si>
  <si>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</si>
  <si>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scn_hbp_30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</si>
  <si>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hbp_30_A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hbp_30_C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</si>
  <si>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scn_gm_adj_C28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</si>
  <si>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</si>
  <si>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gm_adj_C28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</si>
  <si>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scn_gm_adj_C29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</si>
  <si>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</si>
  <si>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gm_adj_C29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</si>
  <si>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</si>
  <si>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</si>
  <si>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</si>
  <si>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</si>
  <si>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</si>
  <si>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</si>
  <si>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</si>
  <si>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</si>
  <si>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</si>
  <si>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</si>
  <si>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</si>
  <si>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</si>
  <si>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</si>
  <si>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</si>
  <si>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</si>
  <si>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</si>
  <si>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</si>
  <si>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</si>
  <si>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</si>
  <si>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</si>
  <si>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</si>
  <si>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</si>
  <si>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</si>
  <si>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</si>
  <si>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</si>
  <si>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</si>
  <si>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</si>
  <si>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</si>
  <si>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</si>
  <si>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</si>
  <si>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</si>
  <si>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</si>
  <si>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</si>
  <si>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</si>
  <si>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</si>
  <si>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</si>
  <si>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</si>
  <si>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</si>
  <si>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</si>
  <si>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</si>
  <si>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</si>
  <si>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</si>
  <si>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</si>
  <si>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</si>
  <si>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</si>
  <si>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</si>
  <si>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</si>
  <si>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</si>
  <si>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追加）：客戶別營收（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事業報告）；分部宣告見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</si>
  <si>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</si>
  <si>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</si>
  <si>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</si>
  <si>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</si>
  <si>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</si>
  <si>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</si>
  <si>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</si>
  <si>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</si>
  <si>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</si>
  <si>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</si>
  <si>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</si>
  <si>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</si>
  <si>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</si>
  <si>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</si>
  <si>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</si>
  <si>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</si>
  <si>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</si>
  <si>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</si>
  <si>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</si>
  <si>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</si>
  <si>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</si>
  <si>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</si>
  <si>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</si>
  <si>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</si>
  <si>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</si>
  <si>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</si>
  <si>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</si>
  <si>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</si>
  <si>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</si>
  <si>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</si>
  <si>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</si>
  <si>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</si>
  <si>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</si>
  <si>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</si>
  <si>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</si>
  <si>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</si>
  <si>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</si>
  <si>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</si>
  <si>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</si>
  <si>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：基準顆數；混合鍵合導入快（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</si>
  <si>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</si>
  <si>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</si>
  <si>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</si>
  <si>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</si>
  <si>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</si>
  <si>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</si>
  <si>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</si>
  <si>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</si>
  <si>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</si>
  <si>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</si>
  <si>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模型高值（導入快）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</si>
  <si>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</si>
  <si>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的下一年產能用三情境共同前提）</t>
    </r>
  </si>
  <si>
    <r>
      <rPr>
        <sz val="11"/>
        <color theme="1"/>
        <rFont val="Noto Sans CJK SC"/>
        <family val="2"/>
      </rPr>
      <t xml:space="preserve">鍵合機在產能需要前一年購入；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位元（</t>
    </r>
    <r>
      <rPr>
        <sz val="11"/>
        <color theme="1"/>
        <rFont val="Calibri"/>
        <family val="2"/>
        <charset val="1"/>
      </rPr>
      <t xml:space="preserve">hsA_28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混合鍵合基準，三情境相同（與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三情境相同、記憶體供給三情境相同一致）；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</si>
  <si>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</si>
  <si>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</si>
  <si>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</si>
  <si>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</si>
  <si>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</si>
  <si>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</si>
  <si>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</si>
  <si>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三情境共用 </t>
    </r>
    <r>
      <rPr>
        <sz val="11"/>
        <color theme="1"/>
        <rFont val="Calibri"/>
        <family val="2"/>
        <charset val="1"/>
      </rPr>
      <t xml:space="preserve">g_o_A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起讀 </t>
    </r>
    <r>
      <rPr>
        <sz val="11"/>
        <color theme="1"/>
        <rFont val="Calibri"/>
        <family val="2"/>
        <charset val="1"/>
      </rPr>
      <t xml:space="preserve">g_o_{</t>
    </r>
    <r>
      <rPr>
        <sz val="11"/>
        <color theme="1"/>
        <rFont val="Noto Sans CJK SC"/>
        <family val="2"/>
      </rPr>
      <t xml:space="preserve">情境</t>
    </r>
    <r>
      <rPr>
        <sz val="11"/>
        <color theme="1"/>
        <rFont val="Calibri"/>
        <family val="2"/>
        <charset val="1"/>
      </rPr>
      <t xml:space="preserve">}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</si>
  <si>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</si>
  <si>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</si>
  <si>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</si>
  <si>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</si>
  <si>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</si>
  <si>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</si>
  <si>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</si>
  <si>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</si>
  <si>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</si>
  <si>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</si>
  <si>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</si>
  <si>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</si>
  <si>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</si>
  <si>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</si>
  <si>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；混合鍵合導入慢（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低值）；韓華、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</si>
  <si>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模型低值（導入慢）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</si>
  <si>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</si>
  <si>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</si>
  <si>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</si>
  <si>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</si>
  <si>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</si>
  <si>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</si>
  <si>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</si>
  <si>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</si>
  <si>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</si>
  <si>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</si>
  <si>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</si>
  <si>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</si>
  <si>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</si>
  <si>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</si>
  <si>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</si>
  <si>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</si>
  <si>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</si>
  <si>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</si>
  <si>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</si>
  <si>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</si>
  <si>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</si>
  <si>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</si>
  <si>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</si>
  <si>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</si>
  <si>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</si>
  <si>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</si>
  <si>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</si>
  <si>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</si>
  <si>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</si>
  <si>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</si>
  <si>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</si>
  <si>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</si>
  <si>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</si>
  <si>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</si>
  <si>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</si>
  <si>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</si>
  <si>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</si>
  <si>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</si>
  <si>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</si>
  <si>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</si>
  <si>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</si>
  <si>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</si>
  <si>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</si>
  <si>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</si>
  <si>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</si>
  <si>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</si>
  <si>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</si>
  <si>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</si>
  <si>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</si>
  <si>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</si>
  <si>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</si>
  <si>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</si>
  <si>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</si>
  <si>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</si>
  <si>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</si>
  <si>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</si>
  <si>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</si>
  <si>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</si>
  <si>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</si>
  <si>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</si>
  <si>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</si>
  <si>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</si>
  <si>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</si>
  <si>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</si>
  <si>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</si>
  <si>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</si>
  <si>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</si>
  <si>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</si>
  <si>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</si>
  <si>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</si>
  <si>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</si>
  <si>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</si>
  <si>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</si>
  <si>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</si>
  <si>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</si>
  <si>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</si>
  <si>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</si>
  <si>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</si>
  <si>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</si>
  <si>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</si>
  <si>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</si>
  <si>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</si>
  <si>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</si>
  <si>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</si>
  <si>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</si>
  <si>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</si>
  <si>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</si>
  <si>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</si>
  <si>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</si>
  <si>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</si>
  <si>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</si>
  <si>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</si>
  <si>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</si>
  <si>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</si>
  <si>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</si>
  <si>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</si>
  <si>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</si>
  <si>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</si>
  <si>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</si>
  <si>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</si>
  <si>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</si>
  <si>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</si>
  <si>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</si>
  <si>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</si>
  <si>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</si>
  <si>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</si>
  <si>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</si>
  <si>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</si>
  <si>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</si>
  <si>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</si>
  <si>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</si>
  <si>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</si>
  <si>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</si>
  <si>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</si>
  <si>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</si>
  <si>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</si>
  <si>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</si>
  <si>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</si>
  <si>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</si>
  <si>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</si>
  <si>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</si>
  <si>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</si>
  <si>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</si>
  <si>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</si>
  <si>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</si>
  <si>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</si>
  <si>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</si>
  <si>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</si>
  <si>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</si>
  <si>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</si>
  <si>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</si>
  <si>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</si>
  <si>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</si>
  <si>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</si>
  <si>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</si>
  <si>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</si>
  <si>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</si>
  <si>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</si>
  <si>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</si>
  <si>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</si>
  <si>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</si>
  <si>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</si>
  <si>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</si>
  <si>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</si>
  <si>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</si>
  <si>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</si>
  <si>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</si>
  <si>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</si>
  <si>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</si>
  <si>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</si>
  <si>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</si>
  <si>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</si>
  <si>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</si>
  <si>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</si>
  <si>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</si>
  <si>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</si>
  <si>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</si>
  <si>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</si>
  <si>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</si>
  <si>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</si>
  <si>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</si>
  <si>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</si>
  <si>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</si>
  <si>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</si>
  <si>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</si>
  <si>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</si>
  <si>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</si>
  <si>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</si>
  <si>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</si>
  <si>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</si>
  <si>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</si>
  <si>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</si>
  <si>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</si>
  <si>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</si>
  <si>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</si>
  <si>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</si>
  <si>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</si>
  <si>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</si>
  <si>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</si>
  <si>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</si>
  <si>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</si>
  <si>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</si>
  <si>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</si>
  <si>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</si>
  <si>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</si>
  <si>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韓美半導體</t>
  </si>
  <si>
    <t xml:space="preserve">042700.KS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</si>
  <si>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</si>
  <si>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</si>
  <si>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</si>
  <si>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</si>
  <si>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</si>
  <si>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</si>
  <si>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</si>
  <si>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</si>
  <si>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</si>
  <si>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</si>
  <si>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</si>
  <si>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</si>
  <si>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</si>
  <si>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</si>
  <si>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</si>
  <si>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</si>
  <si>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</si>
  <si>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</si>
  <si>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</si>
  <si>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</si>
  <si>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</si>
  <si>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</si>
  <si>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</si>
  <si>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</si>
  <si>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</si>
  <si>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</si>
  <si>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</si>
  <si>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</si>
  <si>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</si>
  <si>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</si>
  <si>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</si>
  <si>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</si>
  <si>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</si>
  <si>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</si>
  <si>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</si>
  <si>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</si>
  <si>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</si>
  <si>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</si>
  <si>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</si>
  <si>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</si>
  <si>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</si>
  <si>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</si>
  <si>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</si>
  <si>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</si>
  <si>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</si>
  <si>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</si>
  <si>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</si>
  <si>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</si>
  <si>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</si>
  <si>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</si>
  <si>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</si>
  <si>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</si>
  <si>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</si>
  <si>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</si>
  <si>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</si>
  <si>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</si>
  <si>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</si>
  <si>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</si>
  <si>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</si>
  <si>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</si>
  <si>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</si>
  <si>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</si>
  <si>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</si>
  <si>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</si>
  <si>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</si>
  <si>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</si>
  <si>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</si>
  <si>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</si>
  <si>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</si>
  <si>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</si>
  <si>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</si>
  <si>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</si>
  <si>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</si>
  <si>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</si>
  <si>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</si>
  <si>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</si>
  <si>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</si>
  <si>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t xml:space="preserve">混合鍵合 不納入</t>
  </si>
  <si>
    <r>
      <rPr>
        <sz val="11"/>
        <color theme="1"/>
        <rFont val="Noto Sans CJK SC"/>
        <family val="2"/>
      </rPr>
      <t xml:space="preserve">各年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</si>
  <si>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</si>
  <si>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</si>
  <si>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</si>
  <si>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</si>
  <si>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</si>
  <si>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</si>
  <si>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</si>
  <si>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</si>
  <si>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</si>
  <si>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</si>
  <si>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</si>
  <si>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</si>
  <si>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</si>
  <si>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</si>
  <si>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</si>
  <si>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</si>
  <si>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</si>
  <si>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</si>
  <si>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</si>
  <si>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</si>
  <si>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</si>
  <si>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</si>
  <si>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</si>
  <si>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</si>
  <si>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</si>
  <si>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</si>
  <si>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</si>
  <si>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</si>
  <si>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</si>
  <si>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</si>
  <si>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</si>
  <si>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</si>
  <si>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</si>
  <si>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</si>
  <si>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</si>
  <si>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</si>
  <si>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；混合鍵合低值（導入慢）；份額回落、毛利率下調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</si>
  <si>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</si>
  <si>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</si>
  <si>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</si>
  <si>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</si>
  <si>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</si>
  <si>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</si>
  <si>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不納入（情境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</si>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</sst>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0"/>
    <numFmt numFmtId="171" formatCode="0.00"/>
    <numFmt numFmtId="172" formatCode="#,##0.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"投資建議："&amp;Val!B123&amp;"（依上檔空間固定規則）"</f>
        <v>投資建議：強力放空（依上檔空間固定規則）</v>
      </c>
    </row>
    <row r="20" customFormat="false" ht="17.15" hidden="false" customHeight="false" outlineLevel="0" collapsed="false">
      <c r="A20" s="0" t="str">
        <f aca="false">"重點觀察 1：目標價 ₩"&amp;TEXT(Val!$B$111,"#,##0")&amp;"（DCF "&amp;TEXT(Val!$B$97,"#,##0")&amp;"、Comparable（相對倍數調整後）"&amp;TEXT(tp_comp_adj,"#,##0")&amp;"；DCF 權重 "&amp;TEXT(tp_w_dcf,"0%")&amp;"），比現價 "&amp;TEXT(px,"#,##0")&amp;"（2026-10-23）"&amp;IF(Val!$B$114&gt;=0,"高 "&amp;TEXT(Val!$B$114,"0.0%"),"低 "&amp;TEXT(-Val!$B$114,"0.0%"))&amp;"，級距 "&amp;Val!$B$122&amp;"、投資建議 "&amp;Val!$B$123&amp;"。相對倍數調整係數 "&amp;TEXT(rm_factor,"0.00")&amp;"（本公司 10 年前瞻倍數中位數 ÷ 同業的中位數，夾在 0.5–2.0；Val 第 0.5 節），調整前加權上檔空間 "&amp;TEXT((tp_w_dcf*Val!$B$97+(1-tp_w_dcf)*Val!$B$107)/px-1,"+0.0%;−0.0%")&amp;"；Comparable 單獨（市場主流同業法、未調整）為 "&amp;TEXT(Val!$B$115,"+0.0%;−0.0%")&amp;"。"&amp;"以下為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109%）。D"&amp;"CF 低不是 ROE（39.2%）造成，而是 FY2028 起 TC 鍵合需求回落（FY2027 EPS 3,098 → A 情境 FY2028 2,363）。"</f>
        <v>重點觀察 1：目標價 ₩36,848（DCF 27,780、Comparable（相對倍數調整後）45,916；DCF 權重 50%），比現價 188,500（2026-10-23）低 80.5%，級距 小於 −50%、投資建議 強力放空。相對倍數調整係數 0.67（本公司 10 年前瞻倍數中位數 ÷ 同業的中位數，夾在 0.5–2.0；Val 第 0.5 節），調整前加權上檔空間 −74.3%；Comparable 單獨（市場主流同業法、未調整）為 −63.4%。以下為 2026-10-29 相對倍數調整前撰寫的說明，其中數字為調整前：主因 EPS 與倍數都有：本模型 12 個月後前瞻 EPS 2,662 比共識前瞻 EPS 約 5,000 低 46.8%；現價隱含 70.8 倍前瞻 EPS，同業（BESI、ASMPT、Kulicke &amp; Soffa、Disco）中位數 25.9 倍、共識目標價 271,429 隱含 54.3 倍（比同業高 109%）。DCF 低不是 ROE（39.2%）造成，而是 FY2028 起 TC 鍵合需求回落（FY2027 EPS 3,098 → A 情境 FY2028 2,363）。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7" t="n">
        <v>2.22511470588235</v>
      </c>
      <c r="G5" s="8" t="s">
        <v>36</v>
      </c>
      <c r="H5" s="8" t="s">
        <v>37</v>
      </c>
      <c r="I5" s="8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7" t="n">
        <v>3.782695</v>
      </c>
      <c r="G6" s="8" t="s">
        <v>36</v>
      </c>
      <c r="H6" s="8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7" t="n">
        <v>5.86317725</v>
      </c>
      <c r="G7" s="8" t="s">
        <v>36</v>
      </c>
      <c r="H7" s="8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7" t="n">
        <v>8.5016070125</v>
      </c>
      <c r="G8" s="8" t="s">
        <v>36</v>
      </c>
      <c r="H8" s="8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35</v>
      </c>
      <c r="E9" s="7" t="n">
        <v>11.477169466875</v>
      </c>
      <c r="G9" s="8" t="s">
        <v>36</v>
      </c>
      <c r="H9" s="8" t="s">
        <v>37</v>
      </c>
      <c r="I9" s="4" t="s">
        <v>41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35</v>
      </c>
      <c r="E10" s="7" t="n">
        <v>2.22511470588235</v>
      </c>
      <c r="G10" s="8" t="s">
        <v>36</v>
      </c>
      <c r="H10" s="8" t="s">
        <v>50</v>
      </c>
      <c r="I10" s="8" t="s">
        <v>38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35</v>
      </c>
      <c r="E11" s="7" t="n">
        <v>3.782695</v>
      </c>
      <c r="G11" s="8" t="s">
        <v>36</v>
      </c>
      <c r="H11" s="8" t="s">
        <v>50</v>
      </c>
      <c r="I11" s="4" t="s">
        <v>41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35</v>
      </c>
      <c r="E12" s="7" t="n">
        <v>5.86317725</v>
      </c>
      <c r="G12" s="8" t="s">
        <v>36</v>
      </c>
      <c r="H12" s="8" t="s">
        <v>50</v>
      </c>
      <c r="I12" s="4" t="s">
        <v>41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35</v>
      </c>
      <c r="E13" s="7" t="n">
        <v>8.22296</v>
      </c>
      <c r="G13" s="8" t="s">
        <v>36</v>
      </c>
      <c r="H13" s="8" t="s">
        <v>50</v>
      </c>
      <c r="I13" s="4" t="s">
        <v>41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0" t="s">
        <v>35</v>
      </c>
      <c r="E14" s="7" t="n">
        <v>11.3579635</v>
      </c>
      <c r="G14" s="8" t="s">
        <v>36</v>
      </c>
      <c r="H14" s="8" t="s">
        <v>50</v>
      </c>
      <c r="I14" s="4" t="s">
        <v>41</v>
      </c>
    </row>
    <row r="15" customFormat="false" ht="17.15" hidden="false" customHeight="false" outlineLevel="0" collapsed="false">
      <c r="A15" s="0" t="s">
        <v>59</v>
      </c>
      <c r="B15" s="0" t="s">
        <v>60</v>
      </c>
      <c r="C15" s="0" t="s">
        <v>35</v>
      </c>
      <c r="E15" s="7" t="n">
        <v>2.22511470588235</v>
      </c>
      <c r="G15" s="8" t="s">
        <v>36</v>
      </c>
      <c r="H15" s="8" t="s">
        <v>61</v>
      </c>
      <c r="I15" s="8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35</v>
      </c>
      <c r="E16" s="7" t="n">
        <v>3.782695</v>
      </c>
      <c r="G16" s="8" t="s">
        <v>36</v>
      </c>
      <c r="H16" s="8" t="s">
        <v>61</v>
      </c>
      <c r="I16" s="4" t="s">
        <v>41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35</v>
      </c>
      <c r="E17" s="7" t="n">
        <v>5.86317725</v>
      </c>
      <c r="G17" s="8" t="s">
        <v>36</v>
      </c>
      <c r="H17" s="8" t="s">
        <v>61</v>
      </c>
      <c r="I17" s="4" t="s">
        <v>41</v>
      </c>
    </row>
    <row r="18" customFormat="false" ht="17.15" hidden="false" customHeight="false" outlineLevel="0" collapsed="false">
      <c r="A18" s="0" t="s">
        <v>66</v>
      </c>
      <c r="B18" s="0" t="s">
        <v>67</v>
      </c>
      <c r="C18" s="0" t="s">
        <v>35</v>
      </c>
      <c r="E18" s="7" t="n">
        <v>6.16722</v>
      </c>
      <c r="G18" s="8" t="s">
        <v>36</v>
      </c>
      <c r="H18" s="8" t="s">
        <v>61</v>
      </c>
      <c r="I18" s="4" t="s">
        <v>41</v>
      </c>
    </row>
    <row r="19" customFormat="false" ht="17.15" hidden="false" customHeight="false" outlineLevel="0" collapsed="false">
      <c r="A19" s="0" t="s">
        <v>68</v>
      </c>
      <c r="B19" s="0" t="s">
        <v>69</v>
      </c>
      <c r="C19" s="0" t="s">
        <v>35</v>
      </c>
      <c r="E19" s="7" t="n">
        <v>8.017386</v>
      </c>
      <c r="G19" s="8" t="s">
        <v>36</v>
      </c>
      <c r="H19" s="8" t="s">
        <v>61</v>
      </c>
      <c r="I19" s="4" t="s">
        <v>41</v>
      </c>
    </row>
    <row r="20" customFormat="false" ht="17.15" hidden="false" customHeight="false" outlineLevel="0" collapsed="false">
      <c r="A20" s="0" t="s">
        <v>70</v>
      </c>
      <c r="B20" s="0" t="s">
        <v>71</v>
      </c>
      <c r="C20" s="0" t="s">
        <v>72</v>
      </c>
      <c r="D20" s="7" t="n">
        <v>0</v>
      </c>
      <c r="E20" s="7" t="n">
        <v>0.1</v>
      </c>
      <c r="F20" s="7" t="n">
        <v>0.2</v>
      </c>
      <c r="G20" s="8" t="s">
        <v>73</v>
      </c>
      <c r="H20" s="4" t="s">
        <v>74</v>
      </c>
      <c r="I20" s="4" t="s">
        <v>75</v>
      </c>
    </row>
    <row r="21" customFormat="false" ht="17.15" hidden="false" customHeight="false" outlineLevel="0" collapsed="false">
      <c r="A21" s="6" t="s">
        <v>76</v>
      </c>
    </row>
    <row r="22" customFormat="false" ht="17.15" hidden="false" customHeight="false" outlineLevel="0" collapsed="false">
      <c r="A22" s="0" t="s">
        <v>77</v>
      </c>
      <c r="B22" s="0" t="s">
        <v>78</v>
      </c>
      <c r="C22" s="0" t="s">
        <v>79</v>
      </c>
      <c r="D22" s="7" t="n">
        <v>22</v>
      </c>
      <c r="E22" s="7" t="n">
        <v>24</v>
      </c>
      <c r="F22" s="7" t="n">
        <v>24</v>
      </c>
      <c r="G22" s="8" t="s">
        <v>73</v>
      </c>
      <c r="H22" s="8" t="s">
        <v>80</v>
      </c>
      <c r="I22" s="8" t="s">
        <v>81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0" t="s">
        <v>79</v>
      </c>
      <c r="D23" s="7" t="n">
        <v>24</v>
      </c>
      <c r="E23" s="7" t="n">
        <v>24</v>
      </c>
      <c r="F23" s="7" t="n">
        <v>26</v>
      </c>
      <c r="G23" s="8" t="s">
        <v>73</v>
      </c>
      <c r="H23" s="8" t="s">
        <v>84</v>
      </c>
      <c r="I23" s="4" t="s">
        <v>41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79</v>
      </c>
      <c r="D24" s="7" t="n">
        <v>24</v>
      </c>
      <c r="E24" s="7" t="n">
        <v>26</v>
      </c>
      <c r="F24" s="7" t="n">
        <v>28</v>
      </c>
      <c r="G24" s="8" t="s">
        <v>73</v>
      </c>
      <c r="H24" s="8" t="s">
        <v>87</v>
      </c>
      <c r="I24" s="4" t="s">
        <v>41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0" t="s">
        <v>79</v>
      </c>
      <c r="D25" s="7" t="n">
        <v>24</v>
      </c>
      <c r="E25" s="7" t="n">
        <v>28</v>
      </c>
      <c r="F25" s="7" t="n">
        <v>32</v>
      </c>
      <c r="G25" s="8" t="s">
        <v>73</v>
      </c>
      <c r="H25" s="8" t="s">
        <v>90</v>
      </c>
      <c r="I25" s="4" t="s">
        <v>41</v>
      </c>
    </row>
    <row r="26" customFormat="false" ht="17.15" hidden="false" customHeight="false" outlineLevel="0" collapsed="false">
      <c r="A26" s="0" t="s">
        <v>91</v>
      </c>
      <c r="B26" s="0" t="s">
        <v>92</v>
      </c>
      <c r="C26" s="0" t="s">
        <v>79</v>
      </c>
      <c r="D26" s="7" t="n">
        <v>26</v>
      </c>
      <c r="E26" s="7" t="n">
        <v>30</v>
      </c>
      <c r="F26" s="7" t="n">
        <v>32</v>
      </c>
      <c r="G26" s="8" t="s">
        <v>73</v>
      </c>
      <c r="H26" s="8" t="s">
        <v>93</v>
      </c>
      <c r="I26" s="4" t="s">
        <v>41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0" t="s">
        <v>79</v>
      </c>
      <c r="D27" s="7" t="n">
        <v>28</v>
      </c>
      <c r="E27" s="7" t="n">
        <v>32</v>
      </c>
      <c r="F27" s="7" t="n">
        <v>32</v>
      </c>
      <c r="G27" s="8" t="s">
        <v>73</v>
      </c>
      <c r="H27" s="8" t="s">
        <v>96</v>
      </c>
      <c r="I27" s="4" t="s">
        <v>41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4" t="s">
        <v>99</v>
      </c>
      <c r="D28" s="7" t="n">
        <v>8</v>
      </c>
      <c r="E28" s="7" t="n">
        <v>10</v>
      </c>
      <c r="F28" s="7" t="n">
        <v>12</v>
      </c>
      <c r="G28" s="8" t="s">
        <v>73</v>
      </c>
      <c r="H28" s="8" t="s">
        <v>100</v>
      </c>
      <c r="I28" s="4" t="s">
        <v>101</v>
      </c>
    </row>
    <row r="29" customFormat="false" ht="17.15" hidden="false" customHeight="false" outlineLevel="0" collapsed="false">
      <c r="A29" s="0" t="s">
        <v>102</v>
      </c>
      <c r="B29" s="0" t="s">
        <v>103</v>
      </c>
      <c r="C29" s="4" t="s">
        <v>99</v>
      </c>
      <c r="D29" s="7" t="n">
        <v>10</v>
      </c>
      <c r="E29" s="7" t="n">
        <v>12</v>
      </c>
      <c r="F29" s="7" t="n">
        <v>12</v>
      </c>
      <c r="G29" s="8" t="s">
        <v>73</v>
      </c>
      <c r="H29" s="8" t="s">
        <v>104</v>
      </c>
      <c r="I29" s="4" t="s">
        <v>41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4" t="s">
        <v>99</v>
      </c>
      <c r="D30" s="7" t="n">
        <v>12</v>
      </c>
      <c r="E30" s="7" t="n">
        <v>12.5</v>
      </c>
      <c r="F30" s="7" t="n">
        <v>14</v>
      </c>
      <c r="G30" s="8" t="s">
        <v>73</v>
      </c>
      <c r="H30" s="8" t="s">
        <v>107</v>
      </c>
      <c r="I30" s="4" t="s">
        <v>41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4" t="s">
        <v>99</v>
      </c>
      <c r="D31" s="7" t="n">
        <v>12</v>
      </c>
      <c r="E31" s="7" t="n">
        <v>14</v>
      </c>
      <c r="F31" s="7" t="n">
        <v>16</v>
      </c>
      <c r="G31" s="8" t="s">
        <v>73</v>
      </c>
      <c r="H31" s="8" t="s">
        <v>110</v>
      </c>
      <c r="I31" s="4" t="s">
        <v>41</v>
      </c>
    </row>
    <row r="32" customFormat="false" ht="17.15" hidden="false" customHeight="false" outlineLevel="0" collapsed="false">
      <c r="A32" s="0" t="s">
        <v>111</v>
      </c>
      <c r="B32" s="0" t="s">
        <v>112</v>
      </c>
      <c r="C32" s="4" t="s">
        <v>99</v>
      </c>
      <c r="D32" s="7" t="n">
        <v>12</v>
      </c>
      <c r="E32" s="7" t="n">
        <v>15</v>
      </c>
      <c r="F32" s="7" t="n">
        <v>16</v>
      </c>
      <c r="G32" s="8" t="s">
        <v>73</v>
      </c>
      <c r="H32" s="8" t="s">
        <v>113</v>
      </c>
      <c r="I32" s="4" t="s">
        <v>41</v>
      </c>
    </row>
    <row r="33" customFormat="false" ht="17.15" hidden="false" customHeight="false" outlineLevel="0" collapsed="false">
      <c r="A33" s="0" t="s">
        <v>114</v>
      </c>
      <c r="B33" s="0" t="s">
        <v>115</v>
      </c>
      <c r="C33" s="4" t="s">
        <v>99</v>
      </c>
      <c r="D33" s="7" t="n">
        <v>14</v>
      </c>
      <c r="E33" s="7" t="n">
        <v>16</v>
      </c>
      <c r="F33" s="7" t="n">
        <v>16</v>
      </c>
      <c r="G33" s="8" t="s">
        <v>73</v>
      </c>
      <c r="H33" s="8" t="s">
        <v>116</v>
      </c>
      <c r="I33" s="4" t="s">
        <v>41</v>
      </c>
    </row>
    <row r="34" customFormat="false" ht="17.15" hidden="false" customHeight="false" outlineLevel="0" collapsed="false">
      <c r="A34" s="0" t="s">
        <v>117</v>
      </c>
      <c r="B34" s="4" t="s">
        <v>118</v>
      </c>
      <c r="C34" s="0" t="s">
        <v>119</v>
      </c>
      <c r="D34" s="7" t="n">
        <v>0</v>
      </c>
      <c r="E34" s="7" t="n">
        <v>0.1</v>
      </c>
      <c r="F34" s="7" t="n">
        <v>0.25</v>
      </c>
      <c r="G34" s="8" t="s">
        <v>73</v>
      </c>
      <c r="H34" s="4" t="s">
        <v>120</v>
      </c>
      <c r="I34" s="4" t="s">
        <v>121</v>
      </c>
    </row>
    <row r="35" customFormat="false" ht="17.15" hidden="false" customHeight="false" outlineLevel="0" collapsed="false">
      <c r="A35" s="0" t="s">
        <v>122</v>
      </c>
      <c r="B35" s="4" t="s">
        <v>123</v>
      </c>
      <c r="C35" s="0" t="s">
        <v>72</v>
      </c>
      <c r="D35" s="7" t="n">
        <v>0</v>
      </c>
      <c r="E35" s="7" t="n">
        <v>0</v>
      </c>
      <c r="F35" s="7" t="n">
        <v>0</v>
      </c>
      <c r="G35" s="8" t="s">
        <v>73</v>
      </c>
      <c r="H35" s="8" t="s">
        <v>124</v>
      </c>
      <c r="I35" s="8" t="s">
        <v>125</v>
      </c>
    </row>
    <row r="36" customFormat="false" ht="17.15" hidden="false" customHeight="false" outlineLevel="0" collapsed="false">
      <c r="A36" s="0" t="s">
        <v>126</v>
      </c>
      <c r="B36" s="4" t="s">
        <v>127</v>
      </c>
      <c r="C36" s="0" t="s">
        <v>72</v>
      </c>
      <c r="D36" s="7" t="n">
        <v>0</v>
      </c>
      <c r="E36" s="7" t="n">
        <v>0</v>
      </c>
      <c r="F36" s="7" t="n">
        <v>0</v>
      </c>
      <c r="G36" s="8" t="s">
        <v>73</v>
      </c>
      <c r="H36" s="8" t="s">
        <v>128</v>
      </c>
      <c r="I36" s="4" t="s">
        <v>41</v>
      </c>
    </row>
    <row r="37" customFormat="false" ht="17.15" hidden="false" customHeight="false" outlineLevel="0" collapsed="false">
      <c r="A37" s="0" t="s">
        <v>129</v>
      </c>
      <c r="B37" s="4" t="s">
        <v>130</v>
      </c>
      <c r="C37" s="0" t="s">
        <v>72</v>
      </c>
      <c r="D37" s="7" t="n">
        <v>0</v>
      </c>
      <c r="E37" s="7" t="n">
        <v>0</v>
      </c>
      <c r="F37" s="7" t="n">
        <v>0.05</v>
      </c>
      <c r="G37" s="8" t="s">
        <v>73</v>
      </c>
      <c r="H37" s="8" t="s">
        <v>131</v>
      </c>
      <c r="I37" s="4" t="s">
        <v>41</v>
      </c>
    </row>
    <row r="38" customFormat="false" ht="17.15" hidden="false" customHeight="false" outlineLevel="0" collapsed="false">
      <c r="A38" s="0" t="s">
        <v>132</v>
      </c>
      <c r="B38" s="4" t="s">
        <v>133</v>
      </c>
      <c r="C38" s="0" t="s">
        <v>72</v>
      </c>
      <c r="D38" s="7" t="n">
        <v>0</v>
      </c>
      <c r="E38" s="7" t="n">
        <v>0.05</v>
      </c>
      <c r="F38" s="7" t="n">
        <v>0.15</v>
      </c>
      <c r="G38" s="8" t="s">
        <v>73</v>
      </c>
      <c r="H38" s="8" t="s">
        <v>134</v>
      </c>
      <c r="I38" s="4" t="s">
        <v>41</v>
      </c>
    </row>
    <row r="39" customFormat="false" ht="17.15" hidden="false" customHeight="false" outlineLevel="0" collapsed="false">
      <c r="A39" s="0" t="s">
        <v>135</v>
      </c>
      <c r="B39" s="4" t="s">
        <v>136</v>
      </c>
      <c r="C39" s="0" t="s">
        <v>72</v>
      </c>
      <c r="D39" s="7" t="n">
        <v>0.05</v>
      </c>
      <c r="E39" s="7" t="n">
        <v>0.15</v>
      </c>
      <c r="F39" s="7" t="n">
        <v>0.3</v>
      </c>
      <c r="G39" s="8" t="s">
        <v>73</v>
      </c>
      <c r="H39" s="8" t="s">
        <v>137</v>
      </c>
      <c r="I39" s="4" t="s">
        <v>41</v>
      </c>
    </row>
    <row r="40" customFormat="false" ht="17.15" hidden="false" customHeight="false" outlineLevel="0" collapsed="false">
      <c r="A40" s="0" t="s">
        <v>138</v>
      </c>
      <c r="B40" s="4" t="s">
        <v>139</v>
      </c>
      <c r="C40" s="0" t="s">
        <v>72</v>
      </c>
      <c r="D40" s="7" t="n">
        <v>0.1</v>
      </c>
      <c r="E40" s="7" t="n">
        <v>0.25</v>
      </c>
      <c r="F40" s="7" t="n">
        <v>0.4</v>
      </c>
      <c r="G40" s="8" t="s">
        <v>73</v>
      </c>
      <c r="H40" s="8" t="s">
        <v>140</v>
      </c>
      <c r="I40" s="4" t="s">
        <v>41</v>
      </c>
    </row>
    <row r="41" customFormat="false" ht="17.15" hidden="false" customHeight="false" outlineLevel="0" collapsed="false">
      <c r="A41" s="0" t="s">
        <v>141</v>
      </c>
      <c r="B41" s="4" t="s">
        <v>142</v>
      </c>
      <c r="C41" s="0" t="s">
        <v>143</v>
      </c>
      <c r="D41" s="7" t="n">
        <v>0.05</v>
      </c>
      <c r="E41" s="7" t="n">
        <v>0.1</v>
      </c>
      <c r="F41" s="7" t="n">
        <v>0.15</v>
      </c>
      <c r="G41" s="8" t="s">
        <v>73</v>
      </c>
      <c r="H41" s="4" t="s">
        <v>144</v>
      </c>
      <c r="I41" s="4" t="s">
        <v>145</v>
      </c>
    </row>
    <row r="42" customFormat="false" ht="17.15" hidden="false" customHeight="false" outlineLevel="0" collapsed="false">
      <c r="A42" s="6" t="s">
        <v>146</v>
      </c>
    </row>
    <row r="43" customFormat="false" ht="17.15" hidden="false" customHeight="false" outlineLevel="0" collapsed="false">
      <c r="A43" s="0" t="s">
        <v>147</v>
      </c>
      <c r="B43" s="0" t="s">
        <v>148</v>
      </c>
      <c r="C43" s="0" t="s">
        <v>72</v>
      </c>
      <c r="E43" s="7" t="n">
        <v>0.58</v>
      </c>
      <c r="G43" s="8" t="s">
        <v>149</v>
      </c>
      <c r="H43" s="8" t="s">
        <v>150</v>
      </c>
      <c r="I43" s="4" t="s">
        <v>151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72</v>
      </c>
      <c r="E44" s="7" t="n">
        <v>0.52</v>
      </c>
      <c r="G44" s="8" t="s">
        <v>149</v>
      </c>
      <c r="H44" s="8" t="s">
        <v>154</v>
      </c>
      <c r="I44" s="4" t="s">
        <v>41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72</v>
      </c>
      <c r="E45" s="7" t="n">
        <v>0.42</v>
      </c>
      <c r="G45" s="8" t="s">
        <v>149</v>
      </c>
      <c r="H45" s="8" t="s">
        <v>157</v>
      </c>
      <c r="I45" s="4" t="s">
        <v>41</v>
      </c>
    </row>
    <row r="46" customFormat="false" ht="17.15" hidden="false" customHeight="false" outlineLevel="0" collapsed="false">
      <c r="A46" s="0" t="s">
        <v>158</v>
      </c>
      <c r="B46" s="0" t="s">
        <v>159</v>
      </c>
      <c r="C46" s="0" t="s">
        <v>72</v>
      </c>
      <c r="E46" s="7" t="n">
        <v>0.4</v>
      </c>
      <c r="G46" s="8" t="s">
        <v>149</v>
      </c>
      <c r="H46" s="8" t="s">
        <v>160</v>
      </c>
      <c r="I46" s="4" t="s">
        <v>41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72</v>
      </c>
      <c r="E47" s="7" t="n">
        <v>0.4</v>
      </c>
      <c r="G47" s="8" t="s">
        <v>149</v>
      </c>
      <c r="H47" s="8" t="s">
        <v>163</v>
      </c>
      <c r="I47" s="4" t="s">
        <v>41</v>
      </c>
    </row>
    <row r="48" customFormat="false" ht="17.15" hidden="false" customHeight="false" outlineLevel="0" collapsed="false">
      <c r="A48" s="0" t="s">
        <v>164</v>
      </c>
      <c r="B48" s="4" t="s">
        <v>165</v>
      </c>
      <c r="C48" s="0" t="s">
        <v>72</v>
      </c>
      <c r="E48" s="7" t="n">
        <v>0.17</v>
      </c>
      <c r="G48" s="8" t="s">
        <v>149</v>
      </c>
      <c r="H48" s="8" t="s">
        <v>166</v>
      </c>
      <c r="I48" s="4" t="s">
        <v>151</v>
      </c>
    </row>
    <row r="49" customFormat="false" ht="17.15" hidden="false" customHeight="false" outlineLevel="0" collapsed="false">
      <c r="A49" s="0" t="s">
        <v>167</v>
      </c>
      <c r="B49" s="4" t="s">
        <v>168</v>
      </c>
      <c r="C49" s="0" t="s">
        <v>72</v>
      </c>
      <c r="E49" s="7" t="n">
        <v>0.29</v>
      </c>
      <c r="G49" s="8" t="s">
        <v>149</v>
      </c>
      <c r="H49" s="8" t="s">
        <v>169</v>
      </c>
      <c r="I49" s="4" t="s">
        <v>41</v>
      </c>
    </row>
    <row r="50" customFormat="false" ht="17.15" hidden="false" customHeight="false" outlineLevel="0" collapsed="false">
      <c r="A50" s="0" t="s">
        <v>170</v>
      </c>
      <c r="B50" s="4" t="s">
        <v>171</v>
      </c>
      <c r="C50" s="0" t="s">
        <v>72</v>
      </c>
      <c r="E50" s="7" t="n">
        <v>0.38</v>
      </c>
      <c r="G50" s="8" t="s">
        <v>149</v>
      </c>
      <c r="H50" s="8" t="s">
        <v>172</v>
      </c>
      <c r="I50" s="4" t="s">
        <v>41</v>
      </c>
    </row>
    <row r="51" customFormat="false" ht="17.15" hidden="false" customHeight="false" outlineLevel="0" collapsed="false">
      <c r="A51" s="0" t="s">
        <v>173</v>
      </c>
      <c r="B51" s="4" t="s">
        <v>174</v>
      </c>
      <c r="C51" s="0" t="s">
        <v>72</v>
      </c>
      <c r="E51" s="7" t="n">
        <v>0.4</v>
      </c>
      <c r="G51" s="8" t="s">
        <v>149</v>
      </c>
      <c r="H51" s="8" t="s">
        <v>175</v>
      </c>
      <c r="I51" s="4" t="s">
        <v>41</v>
      </c>
    </row>
    <row r="52" customFormat="false" ht="17.15" hidden="false" customHeight="false" outlineLevel="0" collapsed="false">
      <c r="A52" s="0" t="s">
        <v>176</v>
      </c>
      <c r="B52" s="4" t="s">
        <v>177</v>
      </c>
      <c r="C52" s="0" t="s">
        <v>72</v>
      </c>
      <c r="E52" s="7" t="n">
        <v>0.4</v>
      </c>
      <c r="G52" s="8" t="s">
        <v>149</v>
      </c>
      <c r="H52" s="8" t="s">
        <v>178</v>
      </c>
      <c r="I52" s="4" t="s">
        <v>41</v>
      </c>
    </row>
    <row r="53" customFormat="false" ht="17.15" hidden="false" customHeight="false" outlineLevel="0" collapsed="false">
      <c r="A53" s="0" t="s">
        <v>179</v>
      </c>
      <c r="B53" s="4" t="s">
        <v>180</v>
      </c>
      <c r="C53" s="0" t="s">
        <v>72</v>
      </c>
      <c r="E53" s="7" t="n">
        <v>0.21</v>
      </c>
      <c r="G53" s="8" t="s">
        <v>149</v>
      </c>
      <c r="H53" s="8" t="s">
        <v>181</v>
      </c>
      <c r="I53" s="4" t="s">
        <v>151</v>
      </c>
    </row>
    <row r="54" customFormat="false" ht="17.15" hidden="false" customHeight="false" outlineLevel="0" collapsed="false">
      <c r="A54" s="0" t="s">
        <v>182</v>
      </c>
      <c r="B54" s="4" t="s">
        <v>183</v>
      </c>
      <c r="C54" s="0" t="s">
        <v>72</v>
      </c>
      <c r="E54" s="7" t="n">
        <v>0.19</v>
      </c>
      <c r="G54" s="8" t="s">
        <v>149</v>
      </c>
      <c r="H54" s="8" t="s">
        <v>184</v>
      </c>
      <c r="I54" s="4" t="s">
        <v>41</v>
      </c>
    </row>
    <row r="55" customFormat="false" ht="17.15" hidden="false" customHeight="false" outlineLevel="0" collapsed="false">
      <c r="A55" s="0" t="s">
        <v>185</v>
      </c>
      <c r="B55" s="4" t="s">
        <v>186</v>
      </c>
      <c r="C55" s="0" t="s">
        <v>72</v>
      </c>
      <c r="E55" s="7" t="n">
        <v>0.2</v>
      </c>
      <c r="G55" s="8" t="s">
        <v>149</v>
      </c>
      <c r="H55" s="8" t="s">
        <v>187</v>
      </c>
      <c r="I55" s="4" t="s">
        <v>41</v>
      </c>
    </row>
    <row r="56" customFormat="false" ht="17.15" hidden="false" customHeight="false" outlineLevel="0" collapsed="false">
      <c r="A56" s="0" t="s">
        <v>188</v>
      </c>
      <c r="B56" s="4" t="s">
        <v>189</v>
      </c>
      <c r="C56" s="0" t="s">
        <v>72</v>
      </c>
      <c r="E56" s="7" t="n">
        <v>0.2</v>
      </c>
      <c r="G56" s="8" t="s">
        <v>149</v>
      </c>
      <c r="H56" s="8" t="s">
        <v>190</v>
      </c>
      <c r="I56" s="4" t="s">
        <v>41</v>
      </c>
    </row>
    <row r="57" customFormat="false" ht="17.15" hidden="false" customHeight="false" outlineLevel="0" collapsed="false">
      <c r="A57" s="0" t="s">
        <v>191</v>
      </c>
      <c r="B57" s="4" t="s">
        <v>192</v>
      </c>
      <c r="C57" s="0" t="s">
        <v>72</v>
      </c>
      <c r="E57" s="7" t="n">
        <v>0.2</v>
      </c>
      <c r="G57" s="8" t="s">
        <v>149</v>
      </c>
      <c r="H57" s="8" t="s">
        <v>193</v>
      </c>
      <c r="I57" s="4" t="s">
        <v>41</v>
      </c>
    </row>
    <row r="58" customFormat="false" ht="17.15" hidden="false" customHeight="false" outlineLevel="0" collapsed="false">
      <c r="A58" s="6" t="s">
        <v>194</v>
      </c>
    </row>
    <row r="59" customFormat="false" ht="17.15" hidden="false" customHeight="false" outlineLevel="0" collapsed="false">
      <c r="A59" s="0" t="s">
        <v>195</v>
      </c>
      <c r="B59" s="4" t="s">
        <v>196</v>
      </c>
      <c r="C59" s="0" t="s">
        <v>72</v>
      </c>
      <c r="D59" s="7" t="n">
        <v>0.4</v>
      </c>
      <c r="E59" s="7" t="n">
        <v>0.5</v>
      </c>
      <c r="F59" s="7" t="n">
        <v>0.65</v>
      </c>
      <c r="G59" s="8" t="s">
        <v>149</v>
      </c>
      <c r="H59" s="8" t="s">
        <v>197</v>
      </c>
      <c r="I59" s="8" t="s">
        <v>198</v>
      </c>
    </row>
    <row r="60" customFormat="false" ht="17.15" hidden="false" customHeight="false" outlineLevel="0" collapsed="false">
      <c r="A60" s="0" t="s">
        <v>199</v>
      </c>
      <c r="B60" s="4" t="s">
        <v>200</v>
      </c>
      <c r="C60" s="0" t="s">
        <v>72</v>
      </c>
      <c r="D60" s="7" t="n">
        <v>0.35</v>
      </c>
      <c r="E60" s="7" t="n">
        <v>0.45</v>
      </c>
      <c r="F60" s="7" t="n">
        <v>0.55</v>
      </c>
      <c r="G60" s="8" t="s">
        <v>73</v>
      </c>
      <c r="H60" s="4" t="s">
        <v>201</v>
      </c>
      <c r="I60" s="8" t="s">
        <v>202</v>
      </c>
    </row>
    <row r="61" customFormat="false" ht="17.15" hidden="false" customHeight="false" outlineLevel="0" collapsed="false">
      <c r="A61" s="0" t="s">
        <v>203</v>
      </c>
      <c r="B61" s="4" t="s">
        <v>204</v>
      </c>
      <c r="C61" s="0" t="s">
        <v>72</v>
      </c>
      <c r="D61" s="7" t="n">
        <v>0.35</v>
      </c>
      <c r="E61" s="7" t="n">
        <v>0.45</v>
      </c>
      <c r="F61" s="7" t="n">
        <v>0.55</v>
      </c>
      <c r="G61" s="8" t="s">
        <v>73</v>
      </c>
      <c r="H61" s="4" t="s">
        <v>201</v>
      </c>
      <c r="I61" s="8" t="s">
        <v>202</v>
      </c>
    </row>
    <row r="62" customFormat="false" ht="17.15" hidden="false" customHeight="false" outlineLevel="0" collapsed="false">
      <c r="A62" s="0" t="s">
        <v>205</v>
      </c>
      <c r="B62" s="4" t="s">
        <v>206</v>
      </c>
      <c r="C62" s="0" t="s">
        <v>72</v>
      </c>
      <c r="D62" s="7" t="n">
        <v>0.25</v>
      </c>
      <c r="E62" s="7" t="n">
        <v>0.35</v>
      </c>
      <c r="F62" s="7" t="n">
        <v>0.45</v>
      </c>
      <c r="G62" s="8" t="s">
        <v>73</v>
      </c>
      <c r="H62" s="4" t="s">
        <v>201</v>
      </c>
      <c r="I62" s="8" t="s">
        <v>207</v>
      </c>
    </row>
    <row r="63" customFormat="false" ht="17.15" hidden="false" customHeight="false" outlineLevel="0" collapsed="false">
      <c r="A63" s="0" t="s">
        <v>208</v>
      </c>
      <c r="B63" s="4" t="s">
        <v>209</v>
      </c>
      <c r="C63" s="0" t="s">
        <v>72</v>
      </c>
      <c r="D63" s="7" t="n">
        <v>0.7</v>
      </c>
      <c r="E63" s="7" t="n">
        <v>0.8</v>
      </c>
      <c r="F63" s="7" t="n">
        <v>0.9</v>
      </c>
      <c r="G63" s="8" t="s">
        <v>149</v>
      </c>
      <c r="H63" s="4" t="s">
        <v>210</v>
      </c>
      <c r="I63" s="8" t="s">
        <v>211</v>
      </c>
    </row>
    <row r="64" customFormat="false" ht="17.15" hidden="false" customHeight="false" outlineLevel="0" collapsed="false">
      <c r="A64" s="0" t="s">
        <v>212</v>
      </c>
      <c r="B64" s="4" t="s">
        <v>213</v>
      </c>
      <c r="C64" s="0" t="s">
        <v>72</v>
      </c>
      <c r="D64" s="7" t="n">
        <v>0.65</v>
      </c>
      <c r="E64" s="7" t="n">
        <v>0.75</v>
      </c>
      <c r="F64" s="7" t="n">
        <v>0.85</v>
      </c>
      <c r="G64" s="8" t="s">
        <v>73</v>
      </c>
      <c r="H64" s="4" t="s">
        <v>214</v>
      </c>
      <c r="I64" s="8" t="s">
        <v>215</v>
      </c>
    </row>
    <row r="65" customFormat="false" ht="17.15" hidden="false" customHeight="false" outlineLevel="0" collapsed="false">
      <c r="A65" s="0" t="s">
        <v>216</v>
      </c>
      <c r="B65" s="4" t="s">
        <v>217</v>
      </c>
      <c r="C65" s="0" t="s">
        <v>72</v>
      </c>
      <c r="D65" s="7" t="n">
        <v>0.6</v>
      </c>
      <c r="E65" s="7" t="n">
        <v>0.7</v>
      </c>
      <c r="F65" s="7" t="n">
        <v>0.8</v>
      </c>
      <c r="G65" s="8" t="s">
        <v>73</v>
      </c>
      <c r="H65" s="4" t="s">
        <v>214</v>
      </c>
      <c r="I65" s="8" t="s">
        <v>215</v>
      </c>
    </row>
    <row r="66" customFormat="false" ht="17.15" hidden="false" customHeight="false" outlineLevel="0" collapsed="false">
      <c r="A66" s="0" t="s">
        <v>218</v>
      </c>
      <c r="B66" s="4" t="s">
        <v>219</v>
      </c>
      <c r="C66" s="0" t="s">
        <v>72</v>
      </c>
      <c r="D66" s="7" t="n">
        <v>0.45</v>
      </c>
      <c r="E66" s="7" t="n">
        <v>0.55</v>
      </c>
      <c r="F66" s="7" t="n">
        <v>0.65</v>
      </c>
      <c r="G66" s="8" t="s">
        <v>73</v>
      </c>
      <c r="H66" s="4" t="s">
        <v>214</v>
      </c>
      <c r="I66" s="8" t="s">
        <v>220</v>
      </c>
    </row>
    <row r="67" customFormat="false" ht="17.15" hidden="false" customHeight="false" outlineLevel="0" collapsed="false">
      <c r="A67" s="0" t="s">
        <v>221</v>
      </c>
      <c r="B67" s="4" t="s">
        <v>222</v>
      </c>
      <c r="C67" s="0" t="s">
        <v>72</v>
      </c>
      <c r="D67" s="7" t="n">
        <v>0</v>
      </c>
      <c r="E67" s="7" t="n">
        <v>0</v>
      </c>
      <c r="F67" s="7" t="n">
        <v>0.1</v>
      </c>
      <c r="G67" s="8" t="s">
        <v>73</v>
      </c>
      <c r="H67" s="4" t="s">
        <v>223</v>
      </c>
      <c r="I67" s="8" t="s">
        <v>224</v>
      </c>
    </row>
    <row r="68" customFormat="false" ht="17.15" hidden="false" customHeight="false" outlineLevel="0" collapsed="false">
      <c r="A68" s="6" t="s">
        <v>225</v>
      </c>
    </row>
    <row r="69" customFormat="false" ht="17.15" hidden="false" customHeight="false" outlineLevel="0" collapsed="false">
      <c r="A69" s="0" t="s">
        <v>226</v>
      </c>
      <c r="B69" s="0" t="s">
        <v>227</v>
      </c>
      <c r="C69" s="0" t="s">
        <v>72</v>
      </c>
      <c r="D69" s="7" t="n">
        <v>0.5</v>
      </c>
      <c r="E69" s="7" t="n">
        <v>0.6</v>
      </c>
      <c r="F69" s="7" t="n">
        <v>0.7</v>
      </c>
      <c r="G69" s="8" t="s">
        <v>149</v>
      </c>
      <c r="H69" s="8" t="s">
        <v>228</v>
      </c>
      <c r="I69" s="4" t="s">
        <v>229</v>
      </c>
    </row>
    <row r="70" customFormat="false" ht="17.15" hidden="false" customHeight="false" outlineLevel="0" collapsed="false">
      <c r="A70" s="0" t="s">
        <v>230</v>
      </c>
      <c r="B70" s="4" t="s">
        <v>231</v>
      </c>
      <c r="C70" s="0" t="s">
        <v>72</v>
      </c>
      <c r="D70" s="7" t="n">
        <v>0.1</v>
      </c>
      <c r="E70" s="7" t="n">
        <v>0.17</v>
      </c>
      <c r="F70" s="7" t="n">
        <v>0.25</v>
      </c>
      <c r="G70" s="8" t="s">
        <v>149</v>
      </c>
      <c r="H70" s="8" t="s">
        <v>232</v>
      </c>
      <c r="I70" s="4" t="s">
        <v>233</v>
      </c>
    </row>
    <row r="71" customFormat="false" ht="17.15" hidden="false" customHeight="false" outlineLevel="0" collapsed="false">
      <c r="A71" s="0" t="s">
        <v>234</v>
      </c>
      <c r="B71" s="0" t="s">
        <v>235</v>
      </c>
      <c r="C71" s="4" t="s">
        <v>236</v>
      </c>
      <c r="E71" s="0" t="n">
        <f aca="false">a25_rev*tcb_sh25*(1-cn_sh25)</f>
        <v>2871.966</v>
      </c>
      <c r="G71" s="0" t="s">
        <v>36</v>
      </c>
      <c r="H71" s="4" t="s">
        <v>237</v>
      </c>
      <c r="I71" s="4" t="s">
        <v>238</v>
      </c>
    </row>
    <row r="72" customFormat="false" ht="17.15" hidden="false" customHeight="false" outlineLevel="0" collapsed="false">
      <c r="A72" s="0" t="s">
        <v>239</v>
      </c>
      <c r="B72" s="4" t="s">
        <v>240</v>
      </c>
      <c r="C72" s="0" t="s">
        <v>72</v>
      </c>
      <c r="D72" s="7" t="n">
        <v>0</v>
      </c>
      <c r="E72" s="7" t="n">
        <v>0.15</v>
      </c>
      <c r="F72" s="7" t="n">
        <v>0.35</v>
      </c>
      <c r="G72" s="8" t="s">
        <v>73</v>
      </c>
      <c r="H72" s="4" t="s">
        <v>241</v>
      </c>
      <c r="I72" s="8" t="s">
        <v>242</v>
      </c>
    </row>
    <row r="73" customFormat="false" ht="17.15" hidden="false" customHeight="false" outlineLevel="0" collapsed="false">
      <c r="A73" s="0" t="s">
        <v>243</v>
      </c>
      <c r="B73" s="4" t="s">
        <v>244</v>
      </c>
      <c r="C73" s="0" t="s">
        <v>72</v>
      </c>
      <c r="D73" s="7" t="n">
        <v>0.07</v>
      </c>
      <c r="E73" s="7" t="n">
        <v>0.12</v>
      </c>
      <c r="F73" s="7" t="n">
        <v>0.17</v>
      </c>
      <c r="G73" s="8" t="s">
        <v>73</v>
      </c>
      <c r="H73" s="4" t="s">
        <v>245</v>
      </c>
      <c r="I73" s="8" t="s">
        <v>215</v>
      </c>
    </row>
    <row r="74" customFormat="false" ht="17.15" hidden="false" customHeight="false" outlineLevel="0" collapsed="false">
      <c r="A74" s="0" t="s">
        <v>246</v>
      </c>
      <c r="B74" s="4" t="s">
        <v>247</v>
      </c>
      <c r="C74" s="0" t="s">
        <v>72</v>
      </c>
      <c r="D74" s="7" t="n">
        <v>0.03</v>
      </c>
      <c r="E74" s="7" t="n">
        <v>0.08</v>
      </c>
      <c r="F74" s="7" t="n">
        <v>0.13</v>
      </c>
      <c r="G74" s="8" t="s">
        <v>73</v>
      </c>
      <c r="H74" s="4" t="s">
        <v>245</v>
      </c>
      <c r="I74" s="8" t="s">
        <v>215</v>
      </c>
    </row>
    <row r="75" customFormat="false" ht="17.15" hidden="false" customHeight="false" outlineLevel="0" collapsed="false">
      <c r="A75" s="0" t="s">
        <v>248</v>
      </c>
      <c r="B75" s="4" t="s">
        <v>249</v>
      </c>
      <c r="C75" s="0" t="s">
        <v>72</v>
      </c>
      <c r="D75" s="7" t="n">
        <v>-0.1</v>
      </c>
      <c r="E75" s="7" t="n">
        <v>-0.05</v>
      </c>
      <c r="F75" s="7" t="n">
        <v>0</v>
      </c>
      <c r="G75" s="8" t="s">
        <v>73</v>
      </c>
      <c r="H75" s="4" t="s">
        <v>245</v>
      </c>
      <c r="I75" s="8" t="s">
        <v>250</v>
      </c>
    </row>
    <row r="76" customFormat="false" ht="17.15" hidden="false" customHeight="false" outlineLevel="0" collapsed="false">
      <c r="A76" s="6" t="s">
        <v>251</v>
      </c>
    </row>
    <row r="77" customFormat="false" ht="17.15" hidden="false" customHeight="false" outlineLevel="0" collapsed="false">
      <c r="A77" s="0" t="s">
        <v>252</v>
      </c>
      <c r="B77" s="0" t="s">
        <v>253</v>
      </c>
      <c r="C77" s="0" t="s">
        <v>119</v>
      </c>
      <c r="D77" s="7" t="n">
        <v>0.7</v>
      </c>
      <c r="E77" s="7" t="n">
        <v>0.9</v>
      </c>
      <c r="F77" s="7" t="n">
        <v>1.1</v>
      </c>
      <c r="G77" s="8" t="s">
        <v>73</v>
      </c>
      <c r="H77" s="4" t="s">
        <v>254</v>
      </c>
      <c r="I77" s="8" t="s">
        <v>255</v>
      </c>
    </row>
    <row r="78" customFormat="false" ht="17.15" hidden="false" customHeight="false" outlineLevel="0" collapsed="false">
      <c r="A78" s="0" t="s">
        <v>256</v>
      </c>
      <c r="B78" s="0" t="s">
        <v>257</v>
      </c>
      <c r="C78" s="0" t="s">
        <v>72</v>
      </c>
      <c r="D78" s="7" t="n">
        <v>0.42</v>
      </c>
      <c r="E78" s="7" t="n">
        <v>0.48</v>
      </c>
      <c r="F78" s="7" t="n">
        <v>0.52</v>
      </c>
      <c r="G78" s="8" t="s">
        <v>73</v>
      </c>
      <c r="H78" s="4" t="s">
        <v>258</v>
      </c>
      <c r="I78" s="4" t="s">
        <v>259</v>
      </c>
    </row>
    <row r="79" customFormat="false" ht="17.15" hidden="false" customHeight="false" outlineLevel="0" collapsed="false">
      <c r="A79" s="0" t="s">
        <v>260</v>
      </c>
      <c r="B79" s="0" t="s">
        <v>261</v>
      </c>
      <c r="C79" s="4" t="s">
        <v>236</v>
      </c>
      <c r="E79" s="0" t="n">
        <f aca="false">q1_rev+q2_rev+h2f*2*q2_rev</f>
        <v>7539.8</v>
      </c>
      <c r="G79" s="0" t="s">
        <v>36</v>
      </c>
      <c r="H79" s="4" t="s">
        <v>262</v>
      </c>
      <c r="I79" s="0" t="s">
        <v>215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4" t="s">
        <v>236</v>
      </c>
      <c r="E80" s="0" t="n">
        <f aca="false">q1_oi+q2_oi+h2f*2*q2_rev*m_h2</f>
        <v>3557.504</v>
      </c>
      <c r="G80" s="0" t="s">
        <v>36</v>
      </c>
      <c r="H80" s="4" t="s">
        <v>265</v>
      </c>
      <c r="I80" s="0" t="s">
        <v>215</v>
      </c>
    </row>
    <row r="81" customFormat="false" ht="17.15" hidden="false" customHeight="false" outlineLevel="0" collapsed="false">
      <c r="A81" s="6" t="s">
        <v>266</v>
      </c>
    </row>
    <row r="82" customFormat="false" ht="17.15" hidden="false" customHeight="false" outlineLevel="0" collapsed="false">
      <c r="A82" s="0" t="s">
        <v>267</v>
      </c>
      <c r="B82" s="0" t="s">
        <v>268</v>
      </c>
      <c r="C82" s="0" t="s">
        <v>72</v>
      </c>
      <c r="D82" s="7" t="n">
        <v>0.3</v>
      </c>
      <c r="E82" s="7" t="n">
        <v>0.5</v>
      </c>
      <c r="F82" s="7" t="n">
        <v>0.7</v>
      </c>
      <c r="G82" s="8" t="s">
        <v>73</v>
      </c>
      <c r="H82" s="4" t="s">
        <v>269</v>
      </c>
      <c r="I82" s="4" t="s">
        <v>270</v>
      </c>
    </row>
    <row r="83" customFormat="false" ht="17.15" hidden="false" customHeight="false" outlineLevel="0" collapsed="false">
      <c r="A83" s="0" t="s">
        <v>271</v>
      </c>
      <c r="B83" s="4" t="s">
        <v>272</v>
      </c>
      <c r="C83" s="4" t="s">
        <v>236</v>
      </c>
      <c r="E83" s="0" t="n">
        <f aca="false">a25_gp-a25_oi</f>
        <v>806.7</v>
      </c>
      <c r="G83" s="0" t="s">
        <v>36</v>
      </c>
      <c r="H83" s="0" t="s">
        <v>273</v>
      </c>
      <c r="I83" s="0" t="s">
        <v>215</v>
      </c>
    </row>
    <row r="84" customFormat="false" ht="15" hidden="false" customHeight="false" outlineLevel="0" collapsed="false">
      <c r="A84" s="0" t="s">
        <v>274</v>
      </c>
      <c r="B84" s="4" t="s">
        <v>275</v>
      </c>
      <c r="C84" s="4" t="s">
        <v>236</v>
      </c>
      <c r="E84" s="0" t="n">
        <f aca="false">(1-phi)*opex25</f>
        <v>403.35</v>
      </c>
      <c r="G84" s="0" t="s">
        <v>36</v>
      </c>
      <c r="H84" s="0" t="s">
        <v>215</v>
      </c>
      <c r="I84" s="0" t="s">
        <v>215</v>
      </c>
    </row>
    <row r="85" customFormat="false" ht="15" hidden="false" customHeight="false" outlineLevel="0" collapsed="false">
      <c r="A85" s="0" t="s">
        <v>276</v>
      </c>
      <c r="B85" s="4" t="s">
        <v>277</v>
      </c>
      <c r="C85" s="0" t="s">
        <v>72</v>
      </c>
      <c r="E85" s="0" t="n">
        <f aca="false">phi*opex25/a25_rev</f>
        <v>0.0699410438702965</v>
      </c>
      <c r="G85" s="0" t="s">
        <v>36</v>
      </c>
      <c r="H85" s="0" t="s">
        <v>215</v>
      </c>
      <c r="I85" s="0" t="s">
        <v>215</v>
      </c>
    </row>
    <row r="86" customFormat="false" ht="17.15" hidden="false" customHeight="false" outlineLevel="0" collapsed="false">
      <c r="A86" s="0" t="s">
        <v>278</v>
      </c>
      <c r="B86" s="4" t="s">
        <v>279</v>
      </c>
      <c r="C86" s="0" t="s">
        <v>280</v>
      </c>
      <c r="D86" s="7" t="n">
        <v>-0.06</v>
      </c>
      <c r="E86" s="7" t="n">
        <v>-0.03</v>
      </c>
      <c r="F86" s="7" t="n">
        <v>0</v>
      </c>
      <c r="G86" s="8" t="s">
        <v>73</v>
      </c>
      <c r="H86" s="4" t="s">
        <v>281</v>
      </c>
      <c r="I86" s="8" t="s">
        <v>215</v>
      </c>
    </row>
    <row r="87" customFormat="false" ht="17.15" hidden="false" customHeight="false" outlineLevel="0" collapsed="false">
      <c r="A87" s="0" t="s">
        <v>282</v>
      </c>
      <c r="B87" s="4" t="s">
        <v>283</v>
      </c>
      <c r="C87" s="0" t="s">
        <v>280</v>
      </c>
      <c r="D87" s="7" t="n">
        <v>-0.08</v>
      </c>
      <c r="E87" s="7" t="n">
        <v>-0.05</v>
      </c>
      <c r="F87" s="7" t="n">
        <v>0</v>
      </c>
      <c r="G87" s="8" t="s">
        <v>73</v>
      </c>
      <c r="H87" s="4" t="s">
        <v>284</v>
      </c>
      <c r="I87" s="8" t="s">
        <v>215</v>
      </c>
    </row>
    <row r="88" customFormat="false" ht="17.15" hidden="false" customHeight="false" outlineLevel="0" collapsed="false">
      <c r="A88" s="0" t="s">
        <v>285</v>
      </c>
      <c r="B88" s="4" t="s">
        <v>286</v>
      </c>
      <c r="C88" s="0" t="s">
        <v>119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36</v>
      </c>
      <c r="H88" s="4" t="s">
        <v>287</v>
      </c>
      <c r="I88" s="8" t="s">
        <v>288</v>
      </c>
    </row>
    <row r="89" customFormat="false" ht="17.15" hidden="false" customHeight="false" outlineLevel="0" collapsed="false">
      <c r="A89" s="0" t="s">
        <v>289</v>
      </c>
      <c r="B89" s="4" t="s">
        <v>290</v>
      </c>
      <c r="C89" s="4" t="s">
        <v>291</v>
      </c>
      <c r="E89" s="0" t="n">
        <f aca="false">a25_ni/a25_eps*100</f>
        <v>95.8910247793162</v>
      </c>
      <c r="G89" s="0" t="s">
        <v>36</v>
      </c>
      <c r="H89" s="0" t="s">
        <v>292</v>
      </c>
      <c r="I89" s="4" t="s">
        <v>293</v>
      </c>
    </row>
    <row r="90" customFormat="false" ht="15" hidden="false" customHeight="false" outlineLevel="0" collapsed="false">
      <c r="A90" s="0" t="s">
        <v>294</v>
      </c>
      <c r="B90" s="4" t="s">
        <v>295</v>
      </c>
      <c r="C90" s="0" t="s">
        <v>296</v>
      </c>
      <c r="D90" s="7" t="n">
        <v>1350</v>
      </c>
      <c r="E90" s="7" t="n">
        <v>1420</v>
      </c>
      <c r="F90" s="7" t="n">
        <v>1500</v>
      </c>
      <c r="G90" s="8" t="s">
        <v>73</v>
      </c>
      <c r="H90" s="4" t="s">
        <v>297</v>
      </c>
      <c r="I90" s="8" t="s">
        <v>215</v>
      </c>
    </row>
    <row r="91" customFormat="false" ht="17.15" hidden="false" customHeight="false" outlineLevel="0" collapsed="false">
      <c r="A91" s="6" t="s">
        <v>298</v>
      </c>
    </row>
    <row r="92" customFormat="false" ht="17.15" hidden="false" customHeight="false" outlineLevel="0" collapsed="false">
      <c r="A92" s="0" t="s">
        <v>299</v>
      </c>
      <c r="B92" s="4" t="s">
        <v>300</v>
      </c>
      <c r="C92" s="4" t="s">
        <v>301</v>
      </c>
      <c r="E92" s="7" t="n">
        <v>2029</v>
      </c>
      <c r="G92" s="8" t="s">
        <v>36</v>
      </c>
      <c r="H92" s="8" t="s">
        <v>302</v>
      </c>
      <c r="I92" s="4" t="s">
        <v>303</v>
      </c>
    </row>
    <row r="93" customFormat="false" ht="17.15" hidden="false" customHeight="false" outlineLevel="0" collapsed="false">
      <c r="A93" s="0" t="s">
        <v>304</v>
      </c>
      <c r="B93" s="4" t="s">
        <v>305</v>
      </c>
      <c r="C93" s="4" t="s">
        <v>301</v>
      </c>
      <c r="E93" s="7" t="n">
        <v>2028</v>
      </c>
      <c r="G93" s="8" t="s">
        <v>36</v>
      </c>
      <c r="H93" s="8" t="s">
        <v>306</v>
      </c>
      <c r="I93" s="4" t="s">
        <v>41</v>
      </c>
    </row>
    <row r="94" customFormat="false" ht="17.15" hidden="false" customHeight="false" outlineLevel="0" collapsed="false">
      <c r="A94" s="0" t="s">
        <v>307</v>
      </c>
      <c r="B94" s="4" t="s">
        <v>308</v>
      </c>
      <c r="C94" s="4" t="s">
        <v>301</v>
      </c>
      <c r="E94" s="7" t="n">
        <v>2027</v>
      </c>
      <c r="G94" s="8" t="s">
        <v>36</v>
      </c>
      <c r="H94" s="8" t="s">
        <v>309</v>
      </c>
      <c r="I94" s="4" t="s">
        <v>41</v>
      </c>
    </row>
    <row r="95" customFormat="false" ht="17.15" hidden="false" customHeight="false" outlineLevel="0" collapsed="false">
      <c r="A95" s="0" t="s">
        <v>310</v>
      </c>
      <c r="B95" s="4" t="s">
        <v>311</v>
      </c>
      <c r="C95" s="0" t="s">
        <v>312</v>
      </c>
      <c r="E95" s="7" t="n">
        <v>188500</v>
      </c>
      <c r="G95" s="8" t="s">
        <v>313</v>
      </c>
      <c r="H95" s="8" t="s">
        <v>314</v>
      </c>
      <c r="I95" s="8" t="s">
        <v>315</v>
      </c>
    </row>
    <row r="96" customFormat="false" ht="17.15" hidden="false" customHeight="false" outlineLevel="0" collapsed="false">
      <c r="A96" s="0" t="s">
        <v>316</v>
      </c>
      <c r="B96" s="4" t="s">
        <v>317</v>
      </c>
      <c r="C96" s="0" t="s">
        <v>72</v>
      </c>
      <c r="E96" s="7" t="n">
        <v>0.3</v>
      </c>
      <c r="G96" s="8" t="s">
        <v>73</v>
      </c>
      <c r="H96" s="8" t="s">
        <v>318</v>
      </c>
      <c r="I96" s="8" t="s">
        <v>215</v>
      </c>
    </row>
    <row r="97" customFormat="false" ht="17.15" hidden="false" customHeight="false" outlineLevel="0" collapsed="false">
      <c r="A97" s="0" t="s">
        <v>319</v>
      </c>
      <c r="B97" s="4" t="s">
        <v>320</v>
      </c>
      <c r="C97" s="0" t="s">
        <v>72</v>
      </c>
      <c r="E97" s="7" t="n">
        <v>0.5</v>
      </c>
      <c r="G97" s="8" t="s">
        <v>73</v>
      </c>
      <c r="H97" s="8" t="s">
        <v>318</v>
      </c>
      <c r="I97" s="8" t="s">
        <v>215</v>
      </c>
    </row>
    <row r="98" customFormat="false" ht="17.15" hidden="false" customHeight="false" outlineLevel="0" collapsed="false">
      <c r="A98" s="0" t="s">
        <v>321</v>
      </c>
      <c r="B98" s="4" t="s">
        <v>322</v>
      </c>
      <c r="C98" s="0" t="s">
        <v>72</v>
      </c>
      <c r="E98" s="7" t="n">
        <v>0.2</v>
      </c>
      <c r="G98" s="8" t="s">
        <v>73</v>
      </c>
      <c r="H98" s="8" t="s">
        <v>318</v>
      </c>
      <c r="I98" s="8" t="s">
        <v>215</v>
      </c>
    </row>
    <row r="99" customFormat="false" ht="17.15" hidden="false" customHeight="false" outlineLevel="0" collapsed="false">
      <c r="A99" s="0" t="s">
        <v>323</v>
      </c>
      <c r="B99" s="4" t="s">
        <v>324</v>
      </c>
      <c r="C99" s="4" t="s">
        <v>236</v>
      </c>
      <c r="E99" s="7" t="n">
        <v>7280</v>
      </c>
      <c r="G99" s="8" t="s">
        <v>149</v>
      </c>
      <c r="H99" s="8" t="s">
        <v>325</v>
      </c>
      <c r="I99" s="4" t="s">
        <v>326</v>
      </c>
    </row>
    <row r="100" customFormat="false" ht="17.15" hidden="false" customHeight="false" outlineLevel="0" collapsed="false">
      <c r="A100" s="0" t="s">
        <v>327</v>
      </c>
      <c r="B100" s="4" t="s">
        <v>328</v>
      </c>
      <c r="C100" s="4" t="s">
        <v>236</v>
      </c>
      <c r="E100" s="7" t="n">
        <v>3694</v>
      </c>
      <c r="G100" s="8" t="s">
        <v>149</v>
      </c>
      <c r="H100" s="4" t="s">
        <v>329</v>
      </c>
      <c r="I100" s="4" t="s">
        <v>330</v>
      </c>
    </row>
    <row r="101" customFormat="false" ht="17.15" hidden="false" customHeight="false" outlineLevel="0" collapsed="false">
      <c r="A101" s="0" t="s">
        <v>331</v>
      </c>
      <c r="B101" s="4" t="s">
        <v>332</v>
      </c>
      <c r="C101" s="0" t="s">
        <v>312</v>
      </c>
      <c r="E101" s="7" t="n">
        <v>3400</v>
      </c>
      <c r="G101" s="8" t="s">
        <v>149</v>
      </c>
      <c r="H101" s="8" t="s">
        <v>333</v>
      </c>
      <c r="I101" s="8" t="s">
        <v>334</v>
      </c>
    </row>
    <row r="102" customFormat="false" ht="17.15" hidden="false" customHeight="false" outlineLevel="0" collapsed="false">
      <c r="A102" s="0" t="s">
        <v>335</v>
      </c>
      <c r="B102" s="4" t="s">
        <v>336</v>
      </c>
      <c r="C102" s="4" t="s">
        <v>236</v>
      </c>
      <c r="E102" s="7" t="n">
        <v>9900</v>
      </c>
      <c r="G102" s="8" t="s">
        <v>149</v>
      </c>
      <c r="H102" s="8" t="s">
        <v>337</v>
      </c>
      <c r="I102" s="4" t="s">
        <v>338</v>
      </c>
    </row>
    <row r="103" customFormat="false" ht="17.15" hidden="false" customHeight="false" outlineLevel="0" collapsed="false">
      <c r="A103" s="0" t="s">
        <v>339</v>
      </c>
      <c r="B103" s="4" t="s">
        <v>340</v>
      </c>
      <c r="C103" s="0" t="s">
        <v>312</v>
      </c>
      <c r="E103" s="7" t="n">
        <v>4650</v>
      </c>
      <c r="G103" s="8" t="s">
        <v>149</v>
      </c>
      <c r="H103" s="8" t="s">
        <v>337</v>
      </c>
      <c r="I103" s="4" t="s">
        <v>338</v>
      </c>
    </row>
    <row r="104" customFormat="false" ht="17.15" hidden="false" customHeight="false" outlineLevel="0" collapsed="false">
      <c r="A104" s="0" t="s">
        <v>341</v>
      </c>
      <c r="B104" s="0" t="s">
        <v>342</v>
      </c>
      <c r="C104" s="0" t="s">
        <v>343</v>
      </c>
      <c r="E104" s="7" t="n">
        <v>759</v>
      </c>
      <c r="G104" s="8" t="s">
        <v>149</v>
      </c>
      <c r="H104" s="8" t="s">
        <v>344</v>
      </c>
      <c r="I104" s="4" t="s">
        <v>345</v>
      </c>
    </row>
    <row r="105" customFormat="false" ht="17.15" hidden="false" customHeight="false" outlineLevel="0" collapsed="false">
      <c r="A105" s="0" t="s">
        <v>346</v>
      </c>
      <c r="B105" s="0" t="s">
        <v>347</v>
      </c>
      <c r="C105" s="0" t="s">
        <v>343</v>
      </c>
      <c r="E105" s="7" t="n">
        <v>1600</v>
      </c>
      <c r="G105" s="8" t="s">
        <v>149</v>
      </c>
      <c r="H105" s="4" t="s">
        <v>41</v>
      </c>
      <c r="I105" s="8" t="s">
        <v>215</v>
      </c>
    </row>
    <row r="106" customFormat="false" ht="17.15" hidden="false" customHeight="false" outlineLevel="0" collapsed="false">
      <c r="A106" s="0" t="s">
        <v>348</v>
      </c>
      <c r="B106" s="4" t="s">
        <v>349</v>
      </c>
      <c r="C106" s="0" t="s">
        <v>72</v>
      </c>
      <c r="E106" s="7" t="n">
        <v>0.712</v>
      </c>
      <c r="G106" s="8" t="s">
        <v>149</v>
      </c>
      <c r="H106" s="4" t="s">
        <v>350</v>
      </c>
      <c r="I106" s="4" t="s">
        <v>351</v>
      </c>
    </row>
    <row r="107" customFormat="false" ht="17.15" hidden="false" customHeight="false" outlineLevel="0" collapsed="false">
      <c r="A107" s="0" t="s">
        <v>352</v>
      </c>
      <c r="B107" s="0" t="s">
        <v>353</v>
      </c>
      <c r="C107" s="0" t="s">
        <v>354</v>
      </c>
      <c r="E107" s="7" t="n">
        <v>6.11313868613139</v>
      </c>
      <c r="G107" s="8" t="s">
        <v>36</v>
      </c>
      <c r="H107" s="8" t="s">
        <v>355</v>
      </c>
      <c r="I107" s="8" t="s">
        <v>356</v>
      </c>
    </row>
    <row r="108" customFormat="false" ht="17.15" hidden="false" customHeight="false" outlineLevel="0" collapsed="false">
      <c r="A108" s="0" t="s">
        <v>357</v>
      </c>
      <c r="B108" s="0" t="s">
        <v>358</v>
      </c>
      <c r="C108" s="0" t="s">
        <v>354</v>
      </c>
      <c r="E108" s="7" t="n">
        <v>8.6</v>
      </c>
      <c r="G108" s="8" t="s">
        <v>149</v>
      </c>
      <c r="H108" s="8" t="s">
        <v>355</v>
      </c>
      <c r="I108" s="8" t="s">
        <v>359</v>
      </c>
    </row>
    <row r="109" customFormat="false" ht="17.15" hidden="false" customHeight="false" outlineLevel="0" collapsed="false">
      <c r="A109" s="0" t="s">
        <v>360</v>
      </c>
      <c r="B109" s="0" t="s">
        <v>361</v>
      </c>
      <c r="C109" s="4" t="s">
        <v>362</v>
      </c>
      <c r="D109" s="7" t="n">
        <v>25</v>
      </c>
      <c r="E109" s="7" t="n">
        <v>30</v>
      </c>
      <c r="F109" s="7" t="n">
        <v>40</v>
      </c>
      <c r="G109" s="8" t="s">
        <v>149</v>
      </c>
      <c r="H109" s="4" t="s">
        <v>363</v>
      </c>
      <c r="I109" s="8" t="s">
        <v>364</v>
      </c>
    </row>
    <row r="111" customFormat="false" ht="17.15" hidden="false" customHeight="false" outlineLevel="0" collapsed="false">
      <c r="A111" s="6" t="s">
        <v>365</v>
      </c>
    </row>
    <row r="112" customFormat="false" ht="17.15" hidden="false" customHeight="false" outlineLevel="0" collapsed="false">
      <c r="A112" s="0" t="s">
        <v>366</v>
      </c>
      <c r="B112" s="4" t="s">
        <v>367</v>
      </c>
      <c r="C112" s="0" t="s">
        <v>72</v>
      </c>
      <c r="E112" s="9" t="n">
        <v>0.1</v>
      </c>
      <c r="G112" s="8" t="s">
        <v>73</v>
      </c>
      <c r="H112" s="8" t="s">
        <v>368</v>
      </c>
      <c r="I112" s="8" t="s">
        <v>215</v>
      </c>
    </row>
    <row r="113" customFormat="false" ht="17.15" hidden="false" customHeight="false" outlineLevel="0" collapsed="false">
      <c r="A113" s="0" t="s">
        <v>369</v>
      </c>
      <c r="B113" s="4" t="s">
        <v>370</v>
      </c>
      <c r="C113" s="0" t="s">
        <v>72</v>
      </c>
      <c r="E113" s="9" t="n">
        <v>0.04</v>
      </c>
      <c r="G113" s="8" t="s">
        <v>73</v>
      </c>
      <c r="H113" s="8" t="s">
        <v>371</v>
      </c>
      <c r="I113" s="4" t="s">
        <v>372</v>
      </c>
    </row>
    <row r="114" customFormat="false" ht="17.15" hidden="false" customHeight="false" outlineLevel="0" collapsed="false">
      <c r="A114" s="0" t="s">
        <v>373</v>
      </c>
      <c r="B114" s="0" t="s">
        <v>374</v>
      </c>
      <c r="C114" s="0" t="s">
        <v>72</v>
      </c>
      <c r="E114" s="10" t="n">
        <f aca="false">AVERAGE(0.5554,0.2743,0.3476)</f>
        <v>0.392433333333333</v>
      </c>
      <c r="G114" s="8" t="s">
        <v>36</v>
      </c>
      <c r="H114" s="8" t="s">
        <v>375</v>
      </c>
      <c r="I114" s="4" t="s">
        <v>376</v>
      </c>
    </row>
    <row r="115" customFormat="false" ht="17.15" hidden="false" customHeight="false" outlineLevel="0" collapsed="false">
      <c r="A115" s="0" t="s">
        <v>377</v>
      </c>
      <c r="B115" s="4" t="s">
        <v>378</v>
      </c>
      <c r="C115" s="0" t="s">
        <v>72</v>
      </c>
      <c r="E115" s="11" t="n">
        <v>0.5</v>
      </c>
      <c r="G115" s="8" t="s">
        <v>73</v>
      </c>
      <c r="H115" s="8" t="s">
        <v>379</v>
      </c>
      <c r="I115" s="8" t="s">
        <v>215</v>
      </c>
    </row>
    <row r="116" customFormat="false" ht="17.15" hidden="false" customHeight="false" outlineLevel="0" collapsed="false">
      <c r="A116" s="0" t="s">
        <v>380</v>
      </c>
      <c r="B116" s="4" t="s">
        <v>381</v>
      </c>
      <c r="C116" s="0" t="s">
        <v>72</v>
      </c>
      <c r="E116" s="4" t="s">
        <v>382</v>
      </c>
      <c r="G116" s="0" t="s">
        <v>73</v>
      </c>
      <c r="H116" s="4" t="s">
        <v>383</v>
      </c>
      <c r="I116" s="4" t="s">
        <v>384</v>
      </c>
    </row>
    <row r="117" customFormat="false" ht="17.15" hidden="false" customHeight="false" outlineLevel="0" collapsed="false">
      <c r="A117" s="0" t="s">
        <v>385</v>
      </c>
      <c r="B117" s="4" t="s">
        <v>386</v>
      </c>
      <c r="C117" s="0" t="s">
        <v>312</v>
      </c>
      <c r="E117" s="12" t="n">
        <v>271429</v>
      </c>
      <c r="G117" s="8" t="s">
        <v>149</v>
      </c>
      <c r="H117" s="8" t="s">
        <v>387</v>
      </c>
      <c r="I117" s="4" t="s">
        <v>388</v>
      </c>
    </row>
    <row r="118" customFormat="false" ht="17.15" hidden="false" customHeight="false" outlineLevel="0" collapsed="false">
      <c r="A118" s="0" t="s">
        <v>389</v>
      </c>
      <c r="B118" s="4" t="s">
        <v>390</v>
      </c>
      <c r="C118" s="0" t="s">
        <v>312</v>
      </c>
      <c r="E118" s="12" t="n">
        <v>5000</v>
      </c>
      <c r="G118" s="8" t="s">
        <v>149</v>
      </c>
      <c r="H118" s="4" t="s">
        <v>391</v>
      </c>
      <c r="I118" s="8" t="s">
        <v>392</v>
      </c>
    </row>
    <row r="120" customFormat="false" ht="17.15" hidden="false" customHeight="false" outlineLevel="0" collapsed="false">
      <c r="A120" s="1" t="s">
        <v>393</v>
      </c>
    </row>
    <row r="121" customFormat="false" ht="17.15" hidden="false" customHeight="false" outlineLevel="0" collapsed="false">
      <c r="A121" s="0" t="s">
        <v>394</v>
      </c>
      <c r="B121" s="4" t="s">
        <v>395</v>
      </c>
      <c r="C121" s="0" t="s">
        <v>72</v>
      </c>
      <c r="E121" s="7" t="n">
        <v>0.15</v>
      </c>
      <c r="G121" s="8" t="s">
        <v>73</v>
      </c>
      <c r="H121" s="4" t="s">
        <v>396</v>
      </c>
    </row>
    <row r="122" customFormat="false" ht="17.15" hidden="false" customHeight="false" outlineLevel="0" collapsed="false">
      <c r="A122" s="0" t="s">
        <v>397</v>
      </c>
      <c r="B122" s="4" t="s">
        <v>398</v>
      </c>
      <c r="C122" s="0" t="s">
        <v>72</v>
      </c>
      <c r="E122" s="7" t="n">
        <v>0.3</v>
      </c>
      <c r="G122" s="8" t="s">
        <v>73</v>
      </c>
      <c r="H122" s="4" t="s">
        <v>399</v>
      </c>
    </row>
    <row r="123" customFormat="false" ht="17.15" hidden="false" customHeight="false" outlineLevel="0" collapsed="false">
      <c r="A123" s="0" t="s">
        <v>400</v>
      </c>
      <c r="B123" s="4" t="s">
        <v>401</v>
      </c>
      <c r="C123" s="0" t="s">
        <v>72</v>
      </c>
      <c r="E123" s="7" t="n">
        <v>0.4</v>
      </c>
      <c r="G123" s="8" t="s">
        <v>73</v>
      </c>
      <c r="H123" s="4" t="s">
        <v>402</v>
      </c>
    </row>
    <row r="124" customFormat="false" ht="17.15" hidden="false" customHeight="false" outlineLevel="0" collapsed="false">
      <c r="A124" s="0" t="s">
        <v>403</v>
      </c>
      <c r="B124" s="4" t="s">
        <v>404</v>
      </c>
      <c r="C124" s="0" t="s">
        <v>72</v>
      </c>
      <c r="E124" s="7" t="n">
        <v>0</v>
      </c>
      <c r="G124" s="8" t="s">
        <v>73</v>
      </c>
      <c r="H124" s="4" t="s">
        <v>405</v>
      </c>
    </row>
    <row r="125" customFormat="false" ht="17.15" hidden="false" customHeight="false" outlineLevel="0" collapsed="false">
      <c r="A125" s="0" t="s">
        <v>406</v>
      </c>
      <c r="B125" s="4" t="s">
        <v>407</v>
      </c>
      <c r="C125" s="0" t="s">
        <v>72</v>
      </c>
      <c r="E125" s="7" t="n">
        <v>0.05</v>
      </c>
      <c r="G125" s="8" t="s">
        <v>73</v>
      </c>
      <c r="H125" s="4" t="s">
        <v>408</v>
      </c>
    </row>
    <row r="126" customFormat="false" ht="17.15" hidden="false" customHeight="false" outlineLevel="0" collapsed="false">
      <c r="A126" s="0" t="s">
        <v>409</v>
      </c>
      <c r="B126" s="4" t="s">
        <v>410</v>
      </c>
      <c r="C126" s="0" t="s">
        <v>72</v>
      </c>
      <c r="E126" s="7" t="n">
        <v>0.1</v>
      </c>
      <c r="G126" s="8" t="s">
        <v>73</v>
      </c>
      <c r="H126" s="4" t="s">
        <v>411</v>
      </c>
    </row>
    <row r="128" customFormat="false" ht="17.15" hidden="false" customHeight="false" outlineLevel="0" collapsed="false">
      <c r="A128" s="1" t="s">
        <v>412</v>
      </c>
    </row>
    <row r="129" customFormat="false" ht="17.15" hidden="false" customHeight="false" outlineLevel="0" collapsed="false">
      <c r="A129" s="1" t="s">
        <v>23</v>
      </c>
      <c r="B129" s="1" t="s">
        <v>24</v>
      </c>
      <c r="C129" s="1" t="s">
        <v>25</v>
      </c>
      <c r="D129" s="1" t="s">
        <v>413</v>
      </c>
      <c r="E129" s="1" t="s">
        <v>414</v>
      </c>
      <c r="F129" s="1" t="s">
        <v>415</v>
      </c>
      <c r="G129" s="1" t="s">
        <v>29</v>
      </c>
      <c r="H129" s="1" t="s">
        <v>416</v>
      </c>
    </row>
    <row r="130" customFormat="false" ht="17.15" hidden="false" customHeight="false" outlineLevel="0" collapsed="false">
      <c r="A130" s="0" t="s">
        <v>417</v>
      </c>
      <c r="B130" s="0" t="s">
        <v>418</v>
      </c>
      <c r="C130" s="0" t="s">
        <v>35</v>
      </c>
      <c r="D130" s="0" t="n">
        <f aca="false">E5</f>
        <v>2.22511470588235</v>
      </c>
      <c r="E130" s="0" t="n">
        <f aca="false">E10</f>
        <v>2.22511470588235</v>
      </c>
      <c r="F130" s="0" t="n">
        <f aca="false">E15</f>
        <v>2.22511470588235</v>
      </c>
      <c r="G130" s="0" t="s">
        <v>36</v>
      </c>
      <c r="H130" s="4" t="s">
        <v>419</v>
      </c>
    </row>
    <row r="131" customFormat="false" ht="17.15" hidden="false" customHeight="false" outlineLevel="0" collapsed="false">
      <c r="A131" s="0" t="s">
        <v>420</v>
      </c>
      <c r="B131" s="0" t="s">
        <v>421</v>
      </c>
      <c r="C131" s="0" t="s">
        <v>35</v>
      </c>
      <c r="D131" s="0" t="n">
        <f aca="false">E6</f>
        <v>3.782695</v>
      </c>
      <c r="E131" s="0" t="n">
        <f aca="false">E11</f>
        <v>3.782695</v>
      </c>
      <c r="F131" s="0" t="n">
        <f aca="false">E16</f>
        <v>3.782695</v>
      </c>
      <c r="G131" s="0" t="s">
        <v>36</v>
      </c>
      <c r="H131" s="4" t="s">
        <v>422</v>
      </c>
    </row>
    <row r="132" customFormat="false" ht="17.15" hidden="false" customHeight="false" outlineLevel="0" collapsed="false">
      <c r="A132" s="0" t="s">
        <v>423</v>
      </c>
      <c r="B132" s="0" t="s">
        <v>424</v>
      </c>
      <c r="C132" s="0" t="s">
        <v>35</v>
      </c>
      <c r="D132" s="0" t="n">
        <f aca="false">E7</f>
        <v>5.86317725</v>
      </c>
      <c r="E132" s="0" t="n">
        <f aca="false">E12</f>
        <v>5.86317725</v>
      </c>
      <c r="F132" s="0" t="n">
        <f aca="false">E17</f>
        <v>5.86317725</v>
      </c>
      <c r="G132" s="0" t="s">
        <v>36</v>
      </c>
      <c r="H132" s="4" t="s">
        <v>425</v>
      </c>
    </row>
    <row r="133" customFormat="false" ht="17.15" hidden="false" customHeight="false" outlineLevel="0" collapsed="false">
      <c r="A133" s="0" t="s">
        <v>426</v>
      </c>
      <c r="B133" s="0" t="s">
        <v>427</v>
      </c>
      <c r="C133" s="0" t="s">
        <v>35</v>
      </c>
      <c r="D133" s="0" t="n">
        <f aca="false">E8</f>
        <v>8.5016070125</v>
      </c>
      <c r="E133" s="0" t="n">
        <f aca="false">E13</f>
        <v>8.22296</v>
      </c>
      <c r="F133" s="0" t="n">
        <f aca="false">E18</f>
        <v>6.16722</v>
      </c>
      <c r="G133" s="0" t="s">
        <v>36</v>
      </c>
      <c r="H133" s="4" t="s">
        <v>428</v>
      </c>
    </row>
    <row r="134" customFormat="false" ht="17.15" hidden="false" customHeight="false" outlineLevel="0" collapsed="false">
      <c r="A134" s="0" t="s">
        <v>429</v>
      </c>
      <c r="B134" s="0" t="s">
        <v>430</v>
      </c>
      <c r="C134" s="0" t="s">
        <v>35</v>
      </c>
      <c r="D134" s="0" t="n">
        <f aca="false">E9</f>
        <v>11.477169466875</v>
      </c>
      <c r="E134" s="0" t="n">
        <f aca="false">E14</f>
        <v>11.3579635</v>
      </c>
      <c r="F134" s="0" t="n">
        <f aca="false">E19</f>
        <v>8.017386</v>
      </c>
      <c r="G134" s="0" t="s">
        <v>36</v>
      </c>
      <c r="H134" s="4" t="s">
        <v>431</v>
      </c>
    </row>
    <row r="135" customFormat="false" ht="17.15" hidden="false" customHeight="false" outlineLevel="0" collapsed="false">
      <c r="A135" s="0" t="s">
        <v>432</v>
      </c>
      <c r="B135" s="4" t="s">
        <v>206</v>
      </c>
      <c r="C135" s="0" t="s">
        <v>72</v>
      </c>
      <c r="D135" s="0" t="n">
        <f aca="false">E60</f>
        <v>0.45</v>
      </c>
      <c r="E135" s="0" t="n">
        <f aca="false">E61</f>
        <v>0.45</v>
      </c>
      <c r="F135" s="0" t="n">
        <f aca="false">E62</f>
        <v>0.35</v>
      </c>
      <c r="G135" s="0" t="s">
        <v>36</v>
      </c>
      <c r="H135" s="4" t="s">
        <v>433</v>
      </c>
    </row>
    <row r="136" customFormat="false" ht="17.15" hidden="false" customHeight="false" outlineLevel="0" collapsed="false">
      <c r="A136" s="0" t="s">
        <v>434</v>
      </c>
      <c r="B136" s="4" t="s">
        <v>219</v>
      </c>
      <c r="C136" s="0" t="s">
        <v>72</v>
      </c>
      <c r="D136" s="0" t="n">
        <f aca="false">E64</f>
        <v>0.75</v>
      </c>
      <c r="E136" s="0" t="n">
        <f aca="false">E65</f>
        <v>0.7</v>
      </c>
      <c r="F136" s="0" t="n">
        <f aca="false">E66</f>
        <v>0.55</v>
      </c>
      <c r="G136" s="0" t="s">
        <v>36</v>
      </c>
      <c r="H136" s="4" t="s">
        <v>435</v>
      </c>
    </row>
    <row r="137" customFormat="false" ht="17.15" hidden="false" customHeight="false" outlineLevel="0" collapsed="false">
      <c r="A137" s="0" t="s">
        <v>436</v>
      </c>
      <c r="B137" s="4" t="s">
        <v>249</v>
      </c>
      <c r="C137" s="0" t="s">
        <v>72</v>
      </c>
      <c r="D137" s="0" t="n">
        <f aca="false">E73</f>
        <v>0.12</v>
      </c>
      <c r="E137" s="0" t="n">
        <f aca="false">E74</f>
        <v>0.08</v>
      </c>
      <c r="F137" s="0" t="n">
        <f aca="false">E75</f>
        <v>-0.05</v>
      </c>
      <c r="G137" s="0" t="s">
        <v>36</v>
      </c>
      <c r="H137" s="4" t="s">
        <v>437</v>
      </c>
    </row>
    <row r="138" customFormat="false" ht="17.15" hidden="false" customHeight="false" outlineLevel="0" collapsed="false">
      <c r="A138" s="0" t="s">
        <v>438</v>
      </c>
      <c r="B138" s="4" t="s">
        <v>439</v>
      </c>
      <c r="C138" s="4" t="s">
        <v>301</v>
      </c>
      <c r="D138" s="0" t="n">
        <f aca="false">E92</f>
        <v>2029</v>
      </c>
      <c r="E138" s="0" t="n">
        <f aca="false">E93</f>
        <v>2028</v>
      </c>
      <c r="F138" s="0" t="n">
        <f aca="false">E94</f>
        <v>2027</v>
      </c>
      <c r="G138" s="0" t="s">
        <v>36</v>
      </c>
      <c r="H138" s="4" t="s">
        <v>440</v>
      </c>
    </row>
    <row r="139" customFormat="false" ht="17.15" hidden="false" customHeight="false" outlineLevel="0" collapsed="false">
      <c r="A139" s="0" t="s">
        <v>441</v>
      </c>
      <c r="B139" s="4" t="s">
        <v>133</v>
      </c>
      <c r="C139" s="0" t="s">
        <v>72</v>
      </c>
      <c r="D139" s="0" t="n">
        <f aca="false">E121</f>
        <v>0.15</v>
      </c>
      <c r="E139" s="0" t="n">
        <f aca="false">E38</f>
        <v>0.05</v>
      </c>
      <c r="F139" s="0" t="n">
        <f aca="false">E124</f>
        <v>0</v>
      </c>
      <c r="G139" s="0" t="s">
        <v>36</v>
      </c>
      <c r="H139" s="4" t="s">
        <v>442</v>
      </c>
    </row>
    <row r="140" customFormat="false" ht="17.15" hidden="false" customHeight="false" outlineLevel="0" collapsed="false">
      <c r="A140" s="0" t="s">
        <v>443</v>
      </c>
      <c r="B140" s="4" t="s">
        <v>136</v>
      </c>
      <c r="C140" s="0" t="s">
        <v>72</v>
      </c>
      <c r="D140" s="0" t="n">
        <f aca="false">E122</f>
        <v>0.3</v>
      </c>
      <c r="E140" s="0" t="n">
        <f aca="false">E39</f>
        <v>0.15</v>
      </c>
      <c r="F140" s="0" t="n">
        <f aca="false">E125</f>
        <v>0.05</v>
      </c>
      <c r="G140" s="0" t="s">
        <v>36</v>
      </c>
      <c r="H140" s="4" t="s">
        <v>444</v>
      </c>
    </row>
    <row r="141" customFormat="false" ht="17.15" hidden="false" customHeight="false" outlineLevel="0" collapsed="false">
      <c r="A141" s="0" t="s">
        <v>445</v>
      </c>
      <c r="B141" s="4" t="s">
        <v>139</v>
      </c>
      <c r="C141" s="0" t="s">
        <v>72</v>
      </c>
      <c r="D141" s="0" t="n">
        <f aca="false">E123</f>
        <v>0.4</v>
      </c>
      <c r="E141" s="0" t="n">
        <f aca="false">E40</f>
        <v>0.25</v>
      </c>
      <c r="F141" s="0" t="n">
        <f aca="false">E126</f>
        <v>0.1</v>
      </c>
      <c r="G141" s="0" t="s">
        <v>36</v>
      </c>
      <c r="H141" s="4" t="s">
        <v>446</v>
      </c>
    </row>
    <row r="142" customFormat="false" ht="17.15" hidden="false" customHeight="false" outlineLevel="0" collapsed="false">
      <c r="A142" s="0" t="s">
        <v>447</v>
      </c>
      <c r="B142" s="0" t="s">
        <v>448</v>
      </c>
      <c r="C142" s="0" t="s">
        <v>280</v>
      </c>
      <c r="D142" s="0" t="n">
        <v>0</v>
      </c>
      <c r="E142" s="0" t="n">
        <v>0</v>
      </c>
      <c r="F142" s="0" t="n">
        <f aca="false">E86</f>
        <v>-0.03</v>
      </c>
      <c r="G142" s="0" t="s">
        <v>36</v>
      </c>
      <c r="H142" s="4" t="s">
        <v>449</v>
      </c>
    </row>
    <row r="143" customFormat="false" ht="17.15" hidden="false" customHeight="false" outlineLevel="0" collapsed="false">
      <c r="A143" s="0" t="s">
        <v>450</v>
      </c>
      <c r="B143" s="0" t="s">
        <v>451</v>
      </c>
      <c r="C143" s="0" t="s">
        <v>280</v>
      </c>
      <c r="D143" s="0" t="n">
        <v>0</v>
      </c>
      <c r="E143" s="0" t="n">
        <v>0</v>
      </c>
      <c r="F143" s="0" t="n">
        <f aca="false">E87</f>
        <v>-0.05</v>
      </c>
      <c r="G143" s="0" t="s">
        <v>36</v>
      </c>
      <c r="H143" s="4" t="s">
        <v>452</v>
      </c>
    </row>
    <row r="144" customFormat="false" ht="17.15" hidden="false" customHeight="false" outlineLevel="0" collapsed="false">
      <c r="A144" s="0" t="s">
        <v>453</v>
      </c>
      <c r="B144" s="4" t="s">
        <v>454</v>
      </c>
      <c r="C144" s="0" t="s">
        <v>72</v>
      </c>
      <c r="D144" s="0" t="n">
        <f aca="false">E96</f>
        <v>0.3</v>
      </c>
      <c r="E144" s="0" t="n">
        <f aca="false">E97</f>
        <v>0.5</v>
      </c>
      <c r="F144" s="0" t="n">
        <f aca="false">E98</f>
        <v>0.2</v>
      </c>
      <c r="G144" s="0" t="s">
        <v>36</v>
      </c>
      <c r="H144" s="4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456</v>
      </c>
    </row>
    <row r="2" customFormat="false" ht="17.15" hidden="false" customHeight="false" outlineLevel="0" collapsed="false">
      <c r="A2" s="0" t="s">
        <v>457</v>
      </c>
    </row>
    <row r="3" customFormat="false" ht="17.15" hidden="false" customHeight="false" outlineLevel="0" collapsed="false">
      <c r="A3" s="5" t="s">
        <v>24</v>
      </c>
      <c r="B3" s="13" t="s">
        <v>458</v>
      </c>
      <c r="C3" s="13" t="s">
        <v>459</v>
      </c>
      <c r="D3" s="13" t="s">
        <v>460</v>
      </c>
      <c r="E3" s="13" t="s">
        <v>461</v>
      </c>
      <c r="F3" s="13" t="s">
        <v>462</v>
      </c>
      <c r="G3" s="13" t="s">
        <v>463</v>
      </c>
      <c r="H3" s="13" t="s">
        <v>464</v>
      </c>
      <c r="I3" s="13" t="s">
        <v>465</v>
      </c>
      <c r="J3" s="13" t="s">
        <v>466</v>
      </c>
      <c r="K3" s="5" t="s">
        <v>29</v>
      </c>
      <c r="L3" s="5" t="s">
        <v>30</v>
      </c>
      <c r="M3" s="5" t="s">
        <v>31</v>
      </c>
    </row>
    <row r="4" customFormat="false" ht="17.15" hidden="false" customHeight="false" outlineLevel="0" collapsed="false">
      <c r="A4" s="4" t="s">
        <v>467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468</v>
      </c>
      <c r="K4" s="8" t="s">
        <v>469</v>
      </c>
      <c r="L4" s="4" t="s">
        <v>470</v>
      </c>
      <c r="M4" s="8" t="s">
        <v>471</v>
      </c>
    </row>
    <row r="5" customFormat="false" ht="17.15" hidden="false" customHeight="false" outlineLevel="0" collapsed="false">
      <c r="A5" s="4" t="s">
        <v>472</v>
      </c>
      <c r="B5" s="15" t="n">
        <v>3143</v>
      </c>
      <c r="G5" s="15" t="n">
        <v>3320.6</v>
      </c>
      <c r="K5" s="8" t="s">
        <v>313</v>
      </c>
      <c r="L5" s="8" t="s">
        <v>473</v>
      </c>
      <c r="M5" s="8" t="s">
        <v>474</v>
      </c>
    </row>
    <row r="6" customFormat="false" ht="17.15" hidden="false" customHeight="false" outlineLevel="0" collapsed="false">
      <c r="A6" s="4" t="s">
        <v>475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468</v>
      </c>
      <c r="K6" s="8" t="s">
        <v>469</v>
      </c>
      <c r="L6" s="4" t="s">
        <v>476</v>
      </c>
      <c r="M6" s="8" t="s">
        <v>477</v>
      </c>
    </row>
    <row r="7" customFormat="false" ht="17.15" hidden="false" customHeight="false" outlineLevel="0" collapsed="false">
      <c r="A7" s="4" t="s">
        <v>478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36</v>
      </c>
      <c r="L7" s="8" t="s">
        <v>215</v>
      </c>
      <c r="M7" s="4" t="s">
        <v>479</v>
      </c>
    </row>
    <row r="8" customFormat="false" ht="17.15" hidden="false" customHeight="false" outlineLevel="0" collapsed="false">
      <c r="A8" s="4" t="s">
        <v>480</v>
      </c>
      <c r="B8" s="16" t="n">
        <f aca="false">B5-B6</f>
        <v>589</v>
      </c>
      <c r="G8" s="16" t="n">
        <f aca="false">G5-G6</f>
        <v>806.7</v>
      </c>
      <c r="K8" s="8" t="s">
        <v>36</v>
      </c>
      <c r="L8" s="8" t="s">
        <v>215</v>
      </c>
      <c r="M8" s="8" t="s">
        <v>481</v>
      </c>
    </row>
    <row r="9" customFormat="false" ht="17.15" hidden="false" customHeight="false" outlineLevel="0" collapsed="false">
      <c r="A9" s="4" t="s">
        <v>482</v>
      </c>
      <c r="B9" s="15" t="n">
        <v>1526</v>
      </c>
      <c r="G9" s="15" t="n">
        <v>2140</v>
      </c>
      <c r="H9" s="15" t="n">
        <v>190</v>
      </c>
      <c r="K9" s="8" t="s">
        <v>313</v>
      </c>
      <c r="L9" s="8" t="s">
        <v>483</v>
      </c>
      <c r="M9" s="8" t="s">
        <v>484</v>
      </c>
    </row>
    <row r="10" customFormat="false" ht="17.15" hidden="false" customHeight="false" outlineLevel="0" collapsed="false">
      <c r="A10" s="0" t="s">
        <v>485</v>
      </c>
      <c r="B10" s="15" t="n">
        <v>1584</v>
      </c>
      <c r="G10" s="15" t="n">
        <v>2231.7</v>
      </c>
      <c r="K10" s="8" t="s">
        <v>486</v>
      </c>
      <c r="L10" s="8" t="s">
        <v>487</v>
      </c>
      <c r="M10" s="8" t="s">
        <v>488</v>
      </c>
    </row>
    <row r="11" customFormat="false" ht="17.15" hidden="false" customHeight="false" outlineLevel="0" collapsed="false">
      <c r="A11" s="4" t="s">
        <v>489</v>
      </c>
      <c r="B11" s="17" t="n">
        <f aca="false">SUM(C4:F4)-G4</f>
        <v>0</v>
      </c>
      <c r="C11" s="17" t="n">
        <f aca="false">SUM(C6:F6)-G6</f>
        <v>0</v>
      </c>
      <c r="K11" s="8" t="s">
        <v>215</v>
      </c>
      <c r="L11" s="8" t="s">
        <v>215</v>
      </c>
      <c r="M11" s="8" t="s">
        <v>215</v>
      </c>
    </row>
    <row r="13" customFormat="false" ht="15" hidden="false" customHeight="false" outlineLevel="0" collapsed="false">
      <c r="A13" s="1" t="s">
        <v>490</v>
      </c>
    </row>
    <row r="14" customFormat="false" ht="17.15" hidden="false" customHeight="false" outlineLevel="0" collapsed="false">
      <c r="A14" s="5" t="s">
        <v>491</v>
      </c>
      <c r="B14" s="13" t="s">
        <v>458</v>
      </c>
      <c r="C14" s="5" t="s">
        <v>492</v>
      </c>
      <c r="D14" s="5"/>
      <c r="E14" s="5"/>
      <c r="F14" s="5"/>
      <c r="G14" s="13" t="s">
        <v>463</v>
      </c>
      <c r="H14" s="5"/>
      <c r="I14" s="5"/>
      <c r="J14" s="5"/>
      <c r="K14" s="5" t="s">
        <v>29</v>
      </c>
      <c r="L14" s="5" t="s">
        <v>30</v>
      </c>
      <c r="M14" s="5" t="s">
        <v>31</v>
      </c>
    </row>
    <row r="15" customFormat="false" ht="17.15" hidden="false" customHeight="false" outlineLevel="0" collapsed="false">
      <c r="A15" s="0" t="s">
        <v>493</v>
      </c>
      <c r="B15" s="12" t="n">
        <v>2996</v>
      </c>
      <c r="C15" s="10" t="n">
        <f aca="false">B15/B4</f>
        <v>0.536052961173734</v>
      </c>
      <c r="G15" s="8" t="s">
        <v>494</v>
      </c>
      <c r="K15" s="8" t="s">
        <v>313</v>
      </c>
      <c r="L15" s="4" t="s">
        <v>495</v>
      </c>
    </row>
    <row r="16" customFormat="false" ht="17.15" hidden="false" customHeight="false" outlineLevel="0" collapsed="false">
      <c r="A16" s="4" t="s">
        <v>496</v>
      </c>
      <c r="B16" s="12" t="n">
        <v>1111</v>
      </c>
      <c r="C16" s="10" t="n">
        <f aca="false">B16/B4</f>
        <v>0.198783324387189</v>
      </c>
      <c r="G16" s="4" t="s">
        <v>382</v>
      </c>
      <c r="K16" s="8" t="s">
        <v>313</v>
      </c>
      <c r="L16" s="4" t="s">
        <v>495</v>
      </c>
    </row>
    <row r="17" customFormat="false" ht="17.15" hidden="false" customHeight="false" outlineLevel="0" collapsed="false">
      <c r="A17" s="4" t="s">
        <v>497</v>
      </c>
      <c r="B17" s="14" t="n">
        <f aca="false">B4-B15-B16</f>
        <v>1482</v>
      </c>
      <c r="C17" s="10" t="n">
        <f aca="false">B17/B4</f>
        <v>0.265163714439077</v>
      </c>
      <c r="G17" s="8" t="s">
        <v>498</v>
      </c>
      <c r="K17" s="8" t="s">
        <v>36</v>
      </c>
      <c r="L17" s="4" t="s">
        <v>499</v>
      </c>
    </row>
    <row r="19" customFormat="false" ht="15" hidden="false" customHeight="false" outlineLevel="0" collapsed="false">
      <c r="A19" s="1" t="s">
        <v>500</v>
      </c>
      <c r="B19" s="18" t="n">
        <f aca="false">ROUND(B15+B16+B17-B4,3)</f>
        <v>0</v>
      </c>
    </row>
    <row r="20" customFormat="false" ht="17.15" hidden="false" customHeight="false" outlineLevel="0" collapsed="false">
      <c r="A20" s="4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502</v>
      </c>
    </row>
    <row r="3" customFormat="false" ht="15" hidden="false" customHeight="false" outlineLevel="0" collapsed="false">
      <c r="A3" s="5" t="s">
        <v>24</v>
      </c>
      <c r="B3" s="5" t="s">
        <v>25</v>
      </c>
      <c r="C3" s="13" t="s">
        <v>503</v>
      </c>
      <c r="D3" s="13" t="s">
        <v>504</v>
      </c>
      <c r="E3" s="13" t="s">
        <v>505</v>
      </c>
      <c r="F3" s="13" t="s">
        <v>506</v>
      </c>
      <c r="G3" s="13" t="s">
        <v>507</v>
      </c>
      <c r="H3" s="13" t="s">
        <v>508</v>
      </c>
      <c r="I3" s="5" t="s">
        <v>416</v>
      </c>
    </row>
    <row r="4" customFormat="false" ht="17.15" hidden="false" customHeight="false" outlineLevel="0" collapsed="false">
      <c r="A4" s="1" t="s">
        <v>509</v>
      </c>
    </row>
    <row r="5" customFormat="false" ht="17.15" hidden="false" customHeight="false" outlineLevel="0" collapsed="false">
      <c r="A5" s="0" t="s">
        <v>510</v>
      </c>
      <c r="B5" s="0" t="s">
        <v>35</v>
      </c>
      <c r="C5" s="19" t="n">
        <f aca="false">PL!C43</f>
        <v>2.22511470588235</v>
      </c>
      <c r="D5" s="19" t="n">
        <f aca="false">PL!D43</f>
        <v>3.782695</v>
      </c>
      <c r="E5" s="19" t="n">
        <f aca="false">PL!E43</f>
        <v>5.86317725</v>
      </c>
      <c r="F5" s="19" t="n">
        <f aca="false">PL!F43</f>
        <v>8.5016070125</v>
      </c>
      <c r="G5" s="19" t="n">
        <f aca="false">PL!G43</f>
        <v>11.477169466875</v>
      </c>
      <c r="H5" s="19" t="n">
        <f aca="false">PL!H43</f>
        <v>12.6248864135625</v>
      </c>
    </row>
    <row r="6" customFormat="false" ht="15" hidden="false" customHeight="false" outlineLevel="0" collapsed="false">
      <c r="A6" s="4" t="s">
        <v>511</v>
      </c>
      <c r="B6" s="4" t="s">
        <v>512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513</v>
      </c>
      <c r="B7" s="4" t="s">
        <v>514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2271.143587625</v>
      </c>
      <c r="G7" s="14" t="n">
        <f aca="false">PL!G49</f>
        <v>2410.20558804375</v>
      </c>
      <c r="H7" s="14" t="n">
        <f aca="false">PL!H49</f>
        <v>2177.79290633953</v>
      </c>
    </row>
    <row r="8" customFormat="false" ht="15" hidden="false" customHeight="false" outlineLevel="0" collapsed="false">
      <c r="A8" s="4" t="s">
        <v>515</v>
      </c>
      <c r="B8" s="4" t="s">
        <v>514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813.209798471154</v>
      </c>
      <c r="F8" s="14" t="n">
        <f aca="false">PL!F50</f>
        <v>366.17635918125</v>
      </c>
      <c r="G8" s="14" t="n">
        <f aca="false">PL!G50</f>
        <v>241.020558804375</v>
      </c>
    </row>
    <row r="9" customFormat="false" ht="15" hidden="false" customHeight="false" outlineLevel="0" collapsed="false">
      <c r="A9" s="4" t="s">
        <v>516</v>
      </c>
      <c r="B9" s="0" t="s">
        <v>72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517</v>
      </c>
      <c r="B10" s="4" t="s">
        <v>514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268.359233495481</v>
      </c>
      <c r="F10" s="14" t="n">
        <f aca="false">PL!F55</f>
        <v>120.838198529813</v>
      </c>
      <c r="G10" s="14" t="n">
        <f aca="false">PL!G55</f>
        <v>79.5367844054438</v>
      </c>
    </row>
    <row r="11" customFormat="false" ht="17.15" hidden="false" customHeight="false" outlineLevel="0" collapsed="false">
      <c r="A11" s="4" t="s">
        <v>518</v>
      </c>
      <c r="B11" s="4" t="s">
        <v>236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11155.3425514913</v>
      </c>
      <c r="F11" s="14" t="n">
        <f aca="false">PL!F69</f>
        <v>5023.08595961866</v>
      </c>
      <c r="G11" s="14" t="n">
        <f aca="false">PL!G69</f>
        <v>3306.24016148034</v>
      </c>
    </row>
    <row r="13" customFormat="false" ht="17.15" hidden="false" customHeight="false" outlineLevel="0" collapsed="false">
      <c r="A13" s="1" t="s">
        <v>519</v>
      </c>
    </row>
    <row r="14" customFormat="false" ht="17.15" hidden="false" customHeight="false" outlineLevel="0" collapsed="false">
      <c r="A14" s="0" t="s">
        <v>510</v>
      </c>
      <c r="B14" s="0" t="s">
        <v>35</v>
      </c>
      <c r="C14" s="19" t="n">
        <f aca="false">PL!C76</f>
        <v>2.22511470588235</v>
      </c>
      <c r="D14" s="19" t="n">
        <f aca="false">PL!D76</f>
        <v>3.782695</v>
      </c>
      <c r="E14" s="19" t="n">
        <f aca="false">PL!E76</f>
        <v>5.86317725</v>
      </c>
      <c r="F14" s="19" t="n">
        <f aca="false">PL!F76</f>
        <v>8.22296</v>
      </c>
      <c r="G14" s="19" t="n">
        <f aca="false">PL!G76</f>
        <v>11.3579635</v>
      </c>
      <c r="H14" s="19" t="n">
        <f aca="false">PL!H76</f>
        <v>12.49375985</v>
      </c>
    </row>
    <row r="15" customFormat="false" ht="15" hidden="false" customHeight="false" outlineLevel="0" collapsed="false">
      <c r="A15" s="4" t="s">
        <v>511</v>
      </c>
      <c r="B15" s="4" t="s">
        <v>512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513</v>
      </c>
      <c r="B16" s="4" t="s">
        <v>514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515</v>
      </c>
      <c r="B17" s="4" t="s">
        <v>514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813.209798471154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516</v>
      </c>
      <c r="B18" s="0" t="s">
        <v>72</v>
      </c>
      <c r="C18" s="10" t="n">
        <f aca="false">PL!C87</f>
        <v>0.412</v>
      </c>
      <c r="D18" s="10" t="n">
        <f aca="false">PL!D87</f>
        <v>0.339</v>
      </c>
      <c r="E18" s="10" t="n">
        <f aca="false">PL!E87</f>
        <v>0.33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517</v>
      </c>
      <c r="B19" s="4" t="s">
        <v>514</v>
      </c>
      <c r="C19" s="14" t="n">
        <f aca="false">PL!C88</f>
        <v>270.440441352942</v>
      </c>
      <c r="D19" s="14" t="n">
        <f aca="false">PL!D88</f>
        <v>245.862808497115</v>
      </c>
      <c r="E19" s="14" t="n">
        <f aca="false">PL!E88</f>
        <v>268.359233495481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518</v>
      </c>
      <c r="B20" s="4" t="s">
        <v>236</v>
      </c>
      <c r="C20" s="14" t="n">
        <f aca="false">PL!C102</f>
        <v>9004.3989362985</v>
      </c>
      <c r="D20" s="14" t="n">
        <f aca="false">PL!D102</f>
        <v>9948.86294467556</v>
      </c>
      <c r="E20" s="14" t="n">
        <f aca="false">PL!E102</f>
        <v>11155.3425514913</v>
      </c>
      <c r="F20" s="14" t="n">
        <f aca="false">PL!F102</f>
        <v>9419.29025520079</v>
      </c>
      <c r="G20" s="14" t="n">
        <f aca="false">PL!G102</f>
        <v>3973.02188326425</v>
      </c>
    </row>
    <row r="22" customFormat="false" ht="17.15" hidden="false" customHeight="false" outlineLevel="0" collapsed="false">
      <c r="A22" s="1" t="s">
        <v>520</v>
      </c>
    </row>
    <row r="23" customFormat="false" ht="17.15" hidden="false" customHeight="false" outlineLevel="0" collapsed="false">
      <c r="A23" s="0" t="s">
        <v>510</v>
      </c>
      <c r="B23" s="0" t="s">
        <v>35</v>
      </c>
      <c r="C23" s="19" t="n">
        <f aca="false">PL!C109</f>
        <v>2.22511470588235</v>
      </c>
      <c r="D23" s="19" t="n">
        <f aca="false">PL!D109</f>
        <v>3.782695</v>
      </c>
      <c r="E23" s="19" t="n">
        <f aca="false">PL!E109</f>
        <v>5.86317725</v>
      </c>
      <c r="F23" s="19" t="n">
        <f aca="false">PL!F109</f>
        <v>6.16722</v>
      </c>
      <c r="G23" s="19" t="n">
        <f aca="false">PL!G109</f>
        <v>8.017386</v>
      </c>
      <c r="H23" s="19" t="n">
        <f aca="false">PL!H109</f>
        <v>8.8191246</v>
      </c>
    </row>
    <row r="24" customFormat="false" ht="15" hidden="false" customHeight="false" outlineLevel="0" collapsed="false">
      <c r="A24" s="4" t="s">
        <v>511</v>
      </c>
      <c r="B24" s="4" t="s">
        <v>512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513</v>
      </c>
      <c r="B25" s="4" t="s">
        <v>514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1916.80794711538</v>
      </c>
      <c r="F25" s="14" t="n">
        <f aca="false">PL!F115</f>
        <v>1938.26914285714</v>
      </c>
      <c r="G25" s="14" t="n">
        <f aca="false">PL!G115</f>
        <v>2284.95501</v>
      </c>
      <c r="H25" s="14" t="n">
        <f aca="false">PL!H115</f>
        <v>2281.94849025</v>
      </c>
    </row>
    <row r="26" customFormat="false" ht="15" hidden="false" customHeight="false" outlineLevel="0" collapsed="false">
      <c r="A26" s="4" t="s">
        <v>515</v>
      </c>
      <c r="B26" s="4" t="s">
        <v>514</v>
      </c>
      <c r="C26" s="14" t="n">
        <f aca="false">PL!C116</f>
        <v>656.408838235295</v>
      </c>
      <c r="D26" s="14" t="n">
        <f aca="false">PL!D116</f>
        <v>725.259022115385</v>
      </c>
      <c r="E26" s="14" t="n">
        <f aca="false">PL!E116</f>
        <v>813.209798471154</v>
      </c>
      <c r="F26" s="14" t="n">
        <f aca="false">PL!F116</f>
        <v>540.512781428571</v>
      </c>
      <c r="G26" s="14" t="n">
        <f aca="false">PL!G116</f>
        <v>228.495501</v>
      </c>
    </row>
    <row r="27" customFormat="false" ht="15" hidden="false" customHeight="false" outlineLevel="0" collapsed="false">
      <c r="A27" s="4" t="s">
        <v>516</v>
      </c>
      <c r="B27" s="0" t="s">
        <v>72</v>
      </c>
      <c r="C27" s="10" t="n">
        <f aca="false">PL!C120</f>
        <v>0.412</v>
      </c>
      <c r="D27" s="10" t="n">
        <f aca="false">PL!D120</f>
        <v>0.339</v>
      </c>
      <c r="E27" s="10" t="n">
        <f aca="false">PL!E120</f>
        <v>0.33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517</v>
      </c>
      <c r="B28" s="4" t="s">
        <v>514</v>
      </c>
      <c r="C28" s="14" t="n">
        <f aca="false">PL!C121</f>
        <v>270.440441352942</v>
      </c>
      <c r="D28" s="14" t="n">
        <f aca="false">PL!D121</f>
        <v>245.862808497115</v>
      </c>
      <c r="E28" s="14" t="n">
        <f aca="false">PL!E121</f>
        <v>268.359233495481</v>
      </c>
      <c r="F28" s="14" t="n">
        <f aca="false">PL!F121</f>
        <v>135.128195357143</v>
      </c>
      <c r="G28" s="14" t="n">
        <f aca="false">PL!G121</f>
        <v>57.12387525</v>
      </c>
    </row>
    <row r="29" customFormat="false" ht="17.15" hidden="false" customHeight="false" outlineLevel="0" collapsed="false">
      <c r="A29" s="4" t="s">
        <v>518</v>
      </c>
      <c r="B29" s="4" t="s">
        <v>236</v>
      </c>
      <c r="C29" s="14" t="n">
        <f aca="false">PL!C135</f>
        <v>9004.3989362985</v>
      </c>
      <c r="D29" s="14" t="n">
        <f aca="false">PL!D135</f>
        <v>9948.86294467556</v>
      </c>
      <c r="E29" s="14" t="n">
        <f aca="false">PL!E135</f>
        <v>11155.3425514913</v>
      </c>
      <c r="F29" s="14" t="n">
        <f aca="false">PL!F135</f>
        <v>7414.57523216127</v>
      </c>
      <c r="G29" s="14" t="n">
        <f aca="false">PL!G135</f>
        <v>3134.42556880363</v>
      </c>
    </row>
    <row r="31" customFormat="false" ht="17.15" hidden="false" customHeight="false" outlineLevel="0" collapsed="false">
      <c r="A31" s="1" t="s">
        <v>521</v>
      </c>
    </row>
    <row r="32" customFormat="false" ht="17.15" hidden="false" customHeight="false" outlineLevel="0" collapsed="false">
      <c r="A32" s="4" t="s">
        <v>522</v>
      </c>
      <c r="B32" s="4" t="s">
        <v>523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371.844751716378</v>
      </c>
      <c r="F32" s="14" t="n">
        <f aca="false">F11/asp</f>
        <v>167.436198653955</v>
      </c>
      <c r="G32" s="14" t="n">
        <f aca="false">G11/asp</f>
        <v>110.208005382678</v>
      </c>
    </row>
    <row r="33" customFormat="false" ht="17.15" hidden="false" customHeight="false" outlineLevel="0" collapsed="false">
      <c r="A33" s="4" t="s">
        <v>524</v>
      </c>
      <c r="B33" s="4" t="s">
        <v>523</v>
      </c>
      <c r="C33" s="14" t="n">
        <f aca="false">C20/asp</f>
        <v>300.14663120995</v>
      </c>
      <c r="D33" s="14" t="n">
        <f aca="false">D20/asp</f>
        <v>331.628764822519</v>
      </c>
      <c r="E33" s="14" t="n">
        <f aca="false">E20/asp</f>
        <v>371.844751716378</v>
      </c>
      <c r="F33" s="14" t="n">
        <f aca="false">F20/asp</f>
        <v>313.976341840026</v>
      </c>
      <c r="G33" s="14" t="n">
        <f aca="false">G20/asp</f>
        <v>132.434062775475</v>
      </c>
    </row>
    <row r="34" customFormat="false" ht="17.15" hidden="false" customHeight="false" outlineLevel="0" collapsed="false">
      <c r="A34" s="4" t="s">
        <v>525</v>
      </c>
      <c r="B34" s="4" t="s">
        <v>523</v>
      </c>
      <c r="C34" s="14" t="n">
        <f aca="false">C29/asp</f>
        <v>300.14663120995</v>
      </c>
      <c r="D34" s="14" t="n">
        <f aca="false">D29/asp</f>
        <v>331.628764822519</v>
      </c>
      <c r="E34" s="14" t="n">
        <f aca="false">E29/asp</f>
        <v>371.844751716378</v>
      </c>
      <c r="F34" s="14" t="n">
        <f aca="false">F29/asp</f>
        <v>247.152507738709</v>
      </c>
      <c r="G34" s="14" t="n">
        <f aca="false">G29/asp</f>
        <v>104.480852293454</v>
      </c>
    </row>
    <row r="35" customFormat="false" ht="17.15" hidden="false" customHeight="false" outlineLevel="0" collapsed="false">
      <c r="I35" s="4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527</v>
      </c>
    </row>
    <row r="3" customFormat="false" ht="17.15" hidden="false" customHeight="false" outlineLevel="0" collapsed="false">
      <c r="A3" s="5" t="s">
        <v>528</v>
      </c>
      <c r="B3" s="5" t="s">
        <v>25</v>
      </c>
      <c r="C3" s="13" t="s">
        <v>529</v>
      </c>
      <c r="D3" s="13" t="s">
        <v>530</v>
      </c>
      <c r="E3" s="13" t="s">
        <v>531</v>
      </c>
      <c r="F3" s="13" t="s">
        <v>532</v>
      </c>
      <c r="G3" s="13" t="s">
        <v>533</v>
      </c>
      <c r="H3" s="5" t="s">
        <v>416</v>
      </c>
    </row>
    <row r="4" customFormat="false" ht="17.15" hidden="false" customHeight="false" outlineLevel="0" collapsed="false">
      <c r="A4" s="1" t="s">
        <v>509</v>
      </c>
    </row>
    <row r="5" customFormat="false" ht="17.15" hidden="false" customHeight="false" outlineLevel="0" collapsed="false">
      <c r="A5" s="4" t="s">
        <v>467</v>
      </c>
      <c r="B5" s="4" t="s">
        <v>236</v>
      </c>
      <c r="C5" s="14" t="n">
        <f aca="false">C60</f>
        <v>5767</v>
      </c>
      <c r="D5" s="14" t="n">
        <f aca="false">D60</f>
        <v>7539.8</v>
      </c>
      <c r="E5" s="14" t="n">
        <f aca="false">E60</f>
        <v>7410.06683399214</v>
      </c>
      <c r="F5" s="14" t="n">
        <f aca="false">F60</f>
        <v>5833.87861371416</v>
      </c>
      <c r="G5" s="14" t="n">
        <f aca="false">G60</f>
        <v>5768.47072997331</v>
      </c>
      <c r="H5" s="8" t="s">
        <v>534</v>
      </c>
    </row>
    <row r="6" customFormat="false" ht="17.15" hidden="false" customHeight="false" outlineLevel="0" collapsed="false">
      <c r="A6" s="0" t="s">
        <v>535</v>
      </c>
      <c r="B6" s="4" t="s">
        <v>236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3681.26304199214</v>
      </c>
      <c r="F6" s="14" t="n">
        <f aca="false">F58</f>
        <v>1657.61836667416</v>
      </c>
      <c r="G6" s="14" t="n">
        <f aca="false">G58</f>
        <v>1091.05925328851</v>
      </c>
    </row>
    <row r="7" customFormat="false" ht="15" hidden="false" customHeight="false" outlineLevel="0" collapsed="false">
      <c r="A7" s="4" t="s">
        <v>536</v>
      </c>
      <c r="B7" s="4" t="s">
        <v>236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537</v>
      </c>
      <c r="B8" s="0" t="s">
        <v>72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475</v>
      </c>
      <c r="B9" s="4" t="s">
        <v>236</v>
      </c>
      <c r="C9" s="14" t="n">
        <f aca="false">C65</f>
        <v>2513.9</v>
      </c>
      <c r="D9" s="14" t="n">
        <f aca="false">D65</f>
        <v>3557.504</v>
      </c>
      <c r="E9" s="14" t="n">
        <f aca="false">E65</f>
        <v>3489.35177719371</v>
      </c>
      <c r="F9" s="14" t="n">
        <f aca="false">F65</f>
        <v>2661.33890987084</v>
      </c>
      <c r="G9" s="14" t="n">
        <f aca="false">G65</f>
        <v>2626.97843904317</v>
      </c>
    </row>
    <row r="10" customFormat="false" ht="15" hidden="false" customHeight="false" outlineLevel="0" collapsed="false">
      <c r="A10" s="4" t="s">
        <v>478</v>
      </c>
      <c r="B10" s="0" t="s">
        <v>72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0.47089342854332</v>
      </c>
      <c r="F10" s="10" t="n">
        <f aca="false">F66</f>
        <v>0.456186884590746</v>
      </c>
      <c r="G10" s="10" t="n">
        <f aca="false">G66</f>
        <v>0.455402924278221</v>
      </c>
    </row>
    <row r="11" customFormat="false" ht="15" hidden="false" customHeight="false" outlineLevel="0" collapsed="false">
      <c r="A11" s="4" t="s">
        <v>538</v>
      </c>
      <c r="B11" s="4" t="s">
        <v>236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2970.36986482936</v>
      </c>
      <c r="F11" s="14" t="n">
        <f aca="false">F67</f>
        <v>2265.50987196134</v>
      </c>
      <c r="G11" s="14" t="n">
        <f aca="false">G67</f>
        <v>2236.25993856255</v>
      </c>
    </row>
    <row r="12" customFormat="false" ht="15" hidden="false" customHeight="false" outlineLevel="0" collapsed="false">
      <c r="A12" s="0" t="s">
        <v>539</v>
      </c>
      <c r="B12" s="0" t="s">
        <v>312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3097.6516015606</v>
      </c>
      <c r="F12" s="14" t="n">
        <f aca="false">F68</f>
        <v>2362.58802862435</v>
      </c>
      <c r="G12" s="14" t="n">
        <f aca="false">G68</f>
        <v>2332.08472191123</v>
      </c>
    </row>
    <row r="14" customFormat="false" ht="17.15" hidden="false" customHeight="false" outlineLevel="0" collapsed="false">
      <c r="A14" s="1" t="s">
        <v>519</v>
      </c>
    </row>
    <row r="15" customFormat="false" ht="15" hidden="false" customHeight="false" outlineLevel="0" collapsed="false">
      <c r="A15" s="4" t="s">
        <v>467</v>
      </c>
      <c r="B15" s="4" t="s">
        <v>236</v>
      </c>
      <c r="C15" s="14" t="n">
        <f aca="false">C93</f>
        <v>5767</v>
      </c>
      <c r="D15" s="14" t="n">
        <f aca="false">D93</f>
        <v>7539.8</v>
      </c>
      <c r="E15" s="14" t="n">
        <f aca="false">E93</f>
        <v>7410.06683399214</v>
      </c>
      <c r="F15" s="14" t="n">
        <f aca="false">F93</f>
        <v>7041.28097702425</v>
      </c>
      <c r="G15" s="14" t="n">
        <f aca="false">G93</f>
        <v>5620.64374563336</v>
      </c>
    </row>
    <row r="16" customFormat="false" ht="17.15" hidden="false" customHeight="false" outlineLevel="0" collapsed="false">
      <c r="A16" s="0" t="s">
        <v>535</v>
      </c>
      <c r="B16" s="4" t="s">
        <v>236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3681.26304199214</v>
      </c>
      <c r="F16" s="14" t="n">
        <f aca="false">F91</f>
        <v>3014.17288166425</v>
      </c>
      <c r="G16" s="14" t="n">
        <f aca="false">G91</f>
        <v>1271.36700264456</v>
      </c>
    </row>
    <row r="17" customFormat="false" ht="15" hidden="false" customHeight="false" outlineLevel="0" collapsed="false">
      <c r="A17" s="4" t="s">
        <v>536</v>
      </c>
      <c r="B17" s="4" t="s">
        <v>236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3728.803792</v>
      </c>
      <c r="F17" s="14" t="n">
        <f aca="false">F90</f>
        <v>4027.10809536</v>
      </c>
      <c r="G17" s="14" t="n">
        <f aca="false">G90</f>
        <v>4349.2767429888</v>
      </c>
    </row>
    <row r="18" customFormat="false" ht="15" hidden="false" customHeight="false" outlineLevel="0" collapsed="false">
      <c r="A18" s="4" t="s">
        <v>537</v>
      </c>
      <c r="B18" s="0" t="s">
        <v>72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475</v>
      </c>
      <c r="B19" s="4" t="s">
        <v>236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3489.35177719371</v>
      </c>
      <c r="F19" s="14" t="n">
        <f aca="false">F98</f>
        <v>3295.61892795173</v>
      </c>
      <c r="G19" s="14" t="n">
        <f aca="false">G98</f>
        <v>2549.32106056751</v>
      </c>
    </row>
    <row r="20" customFormat="false" ht="15" hidden="false" customHeight="false" outlineLevel="0" collapsed="false">
      <c r="A20" s="4" t="s">
        <v>478</v>
      </c>
      <c r="B20" s="0" t="s">
        <v>72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0.47089342854332</v>
      </c>
      <c r="F20" s="10" t="n">
        <f aca="false">F99</f>
        <v>0.468042525032782</v>
      </c>
      <c r="G20" s="10" t="n">
        <f aca="false">G99</f>
        <v>0.453563893379305</v>
      </c>
    </row>
    <row r="21" customFormat="false" ht="15" hidden="false" customHeight="false" outlineLevel="0" collapsed="false">
      <c r="A21" s="4" t="s">
        <v>538</v>
      </c>
      <c r="B21" s="4" t="s">
        <v>236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2970.36986482936</v>
      </c>
      <c r="F21" s="14" t="n">
        <f aca="false">F100</f>
        <v>2805.45149203098</v>
      </c>
      <c r="G21" s="14" t="n">
        <f aca="false">G100</f>
        <v>2170.15277839789</v>
      </c>
    </row>
    <row r="22" customFormat="false" ht="15" hidden="false" customHeight="false" outlineLevel="0" collapsed="false">
      <c r="A22" s="0" t="s">
        <v>539</v>
      </c>
      <c r="B22" s="0" t="s">
        <v>312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3097.6516015606</v>
      </c>
      <c r="F22" s="14" t="n">
        <f aca="false">F101</f>
        <v>2925.66639942315</v>
      </c>
      <c r="G22" s="14" t="n">
        <f aca="false">G101</f>
        <v>2263.14483904233</v>
      </c>
    </row>
    <row r="24" customFormat="false" ht="17.15" hidden="false" customHeight="false" outlineLevel="0" collapsed="false">
      <c r="A24" s="1" t="s">
        <v>520</v>
      </c>
    </row>
    <row r="25" customFormat="false" ht="15" hidden="false" customHeight="false" outlineLevel="0" collapsed="false">
      <c r="A25" s="4" t="s">
        <v>467</v>
      </c>
      <c r="B25" s="4" t="s">
        <v>236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7410.06683399214</v>
      </c>
      <c r="F25" s="14" t="n">
        <f aca="false">F126</f>
        <v>5396.00741044032</v>
      </c>
      <c r="G25" s="14" t="n">
        <f aca="false">G126</f>
        <v>4148.85181448091</v>
      </c>
    </row>
    <row r="26" customFormat="false" ht="17.15" hidden="false" customHeight="false" outlineLevel="0" collapsed="false">
      <c r="A26" s="0" t="s">
        <v>535</v>
      </c>
      <c r="B26" s="4" t="s">
        <v>236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3681.26304199214</v>
      </c>
      <c r="F26" s="14" t="n">
        <f aca="false">F124</f>
        <v>1853.64380804032</v>
      </c>
      <c r="G26" s="14" t="n">
        <f aca="false">G124</f>
        <v>783.606392200907</v>
      </c>
    </row>
    <row r="27" customFormat="false" ht="15" hidden="false" customHeight="false" outlineLevel="0" collapsed="false">
      <c r="A27" s="4" t="s">
        <v>536</v>
      </c>
      <c r="B27" s="4" t="s">
        <v>236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3728.803792</v>
      </c>
      <c r="F27" s="14" t="n">
        <f aca="false">F123</f>
        <v>3542.3636024</v>
      </c>
      <c r="G27" s="14" t="n">
        <f aca="false">G123</f>
        <v>3365.24542228</v>
      </c>
    </row>
    <row r="28" customFormat="false" ht="15" hidden="false" customHeight="false" outlineLevel="0" collapsed="false">
      <c r="A28" s="4" t="s">
        <v>537</v>
      </c>
      <c r="B28" s="0" t="s">
        <v>72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475</v>
      </c>
      <c r="B29" s="4" t="s">
        <v>236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3489.35177719371</v>
      </c>
      <c r="F29" s="14" t="n">
        <f aca="false">F131</f>
        <v>2269.43350028847</v>
      </c>
      <c r="G29" s="14" t="n">
        <f aca="false">G131</f>
        <v>1568.7077016967</v>
      </c>
    </row>
    <row r="30" customFormat="false" ht="15" hidden="false" customHeight="false" outlineLevel="0" collapsed="false">
      <c r="A30" s="4" t="s">
        <v>478</v>
      </c>
      <c r="B30" s="0" t="s">
        <v>72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0.47089342854332</v>
      </c>
      <c r="F30" s="10" t="n">
        <f aca="false">F132</f>
        <v>0.42057642394959</v>
      </c>
      <c r="G30" s="10" t="n">
        <f aca="false">G132</f>
        <v>0.378106467004046</v>
      </c>
    </row>
    <row r="31" customFormat="false" ht="15" hidden="false" customHeight="false" outlineLevel="0" collapsed="false">
      <c r="A31" s="4" t="s">
        <v>538</v>
      </c>
      <c r="B31" s="4" t="s">
        <v>236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2970.36986482936</v>
      </c>
      <c r="F31" s="14" t="n">
        <f aca="false">F133</f>
        <v>1931.89374701354</v>
      </c>
      <c r="G31" s="14" t="n">
        <f aca="false">G133</f>
        <v>1335.38902964754</v>
      </c>
    </row>
    <row r="32" customFormat="false" ht="15" hidden="false" customHeight="false" outlineLevel="0" collapsed="false">
      <c r="A32" s="0" t="s">
        <v>539</v>
      </c>
      <c r="B32" s="0" t="s">
        <v>312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3097.6516015606</v>
      </c>
      <c r="F32" s="14" t="n">
        <f aca="false">F134</f>
        <v>2014.67629682715</v>
      </c>
      <c r="G32" s="14" t="n">
        <f aca="false">G134</f>
        <v>1392.6110735815</v>
      </c>
    </row>
    <row r="34" customFormat="false" ht="17.15" hidden="false" customHeight="false" outlineLevel="0" collapsed="false">
      <c r="A34" s="1" t="s">
        <v>540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541</v>
      </c>
    </row>
    <row r="41" customFormat="false" ht="15" hidden="false" customHeight="false" outlineLevel="0" collapsed="false">
      <c r="A41" s="5" t="s">
        <v>24</v>
      </c>
      <c r="B41" s="5" t="s">
        <v>25</v>
      </c>
      <c r="C41" s="13" t="s">
        <v>503</v>
      </c>
      <c r="D41" s="13" t="s">
        <v>504</v>
      </c>
      <c r="E41" s="13" t="s">
        <v>505</v>
      </c>
      <c r="F41" s="13" t="s">
        <v>506</v>
      </c>
      <c r="G41" s="13" t="s">
        <v>507</v>
      </c>
      <c r="H41" s="13" t="s">
        <v>508</v>
      </c>
      <c r="I41" s="5" t="s">
        <v>416</v>
      </c>
    </row>
    <row r="42" customFormat="false" ht="17.15" hidden="false" customHeight="false" outlineLevel="0" collapsed="false">
      <c r="A42" s="6" t="s">
        <v>542</v>
      </c>
    </row>
    <row r="43" customFormat="false" ht="17.15" hidden="false" customHeight="false" outlineLevel="0" collapsed="false">
      <c r="A43" s="0" t="s">
        <v>543</v>
      </c>
      <c r="B43" s="0" t="s">
        <v>35</v>
      </c>
      <c r="C43" s="20" t="n">
        <f aca="false">hsA_25</f>
        <v>2.22511470588235</v>
      </c>
      <c r="D43" s="20" t="n">
        <f aca="false">hsA_26</f>
        <v>3.782695</v>
      </c>
      <c r="E43" s="20" t="n">
        <f aca="false">hsA_27</f>
        <v>5.86317725</v>
      </c>
      <c r="F43" s="20" t="n">
        <f aca="false">hsA_28</f>
        <v>8.5016070125</v>
      </c>
      <c r="G43" s="20" t="n">
        <f aca="false">hsA_29</f>
        <v>11.477169466875</v>
      </c>
      <c r="H43" s="20" t="n">
        <f aca="false">G43*(1+g_tail)</f>
        <v>12.6248864135625</v>
      </c>
      <c r="I43" s="8" t="s">
        <v>544</v>
      </c>
    </row>
    <row r="44" customFormat="false" ht="17.15" hidden="false" customHeight="false" outlineLevel="0" collapsed="false">
      <c r="A44" s="0" t="s">
        <v>545</v>
      </c>
      <c r="B44" s="0" t="s">
        <v>546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547</v>
      </c>
      <c r="B45" s="4" t="s">
        <v>512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548</v>
      </c>
    </row>
    <row r="46" customFormat="false" ht="15" hidden="false" customHeight="false" outlineLevel="0" collapsed="false">
      <c r="A46" s="4" t="s">
        <v>549</v>
      </c>
      <c r="B46" s="4" t="s">
        <v>99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550</v>
      </c>
      <c r="B47" s="0" t="s">
        <v>119</v>
      </c>
      <c r="C47" s="18" t="n">
        <f aca="false">1+beta*(C46-$C46)/4</f>
        <v>1</v>
      </c>
      <c r="D47" s="18" t="n">
        <f aca="false">1+beta*(D46-$C46)/4</f>
        <v>1.05</v>
      </c>
      <c r="E47" s="18" t="n">
        <f aca="false">1+beta*(E46-$C46)/4</f>
        <v>1.0625</v>
      </c>
      <c r="F47" s="18" t="n">
        <f aca="false">1+beta*(F46-$C46)/4</f>
        <v>1.1</v>
      </c>
      <c r="G47" s="18" t="n">
        <f aca="false">1+beta*(G46-$C46)/4</f>
        <v>1.125</v>
      </c>
      <c r="H47" s="18" t="n">
        <f aca="false">1+beta*(H46-$C46)/4</f>
        <v>1.15</v>
      </c>
    </row>
    <row r="48" customFormat="false" ht="17.15" hidden="false" customHeight="false" outlineLevel="0" collapsed="false">
      <c r="A48" s="4" t="s">
        <v>551</v>
      </c>
      <c r="B48" s="0" t="s">
        <v>72</v>
      </c>
      <c r="C48" s="10" t="n">
        <f aca="false">hbp_25</f>
        <v>0</v>
      </c>
      <c r="D48" s="10" t="n">
        <f aca="false">hbp_26</f>
        <v>0</v>
      </c>
      <c r="E48" s="10" t="n">
        <f aca="false">hbp_27</f>
        <v>0</v>
      </c>
      <c r="F48" s="10" t="n">
        <f aca="false">hbp_28_A</f>
        <v>0.15</v>
      </c>
      <c r="G48" s="10" t="n">
        <f aca="false">hbp_29_A</f>
        <v>0.3</v>
      </c>
      <c r="H48" s="10" t="n">
        <f aca="false">hbp_30_A</f>
        <v>0.4</v>
      </c>
      <c r="I48" s="4" t="s">
        <v>552</v>
      </c>
    </row>
    <row r="49" customFormat="false" ht="17.15" hidden="false" customHeight="false" outlineLevel="0" collapsed="false">
      <c r="A49" s="0" t="s">
        <v>553</v>
      </c>
      <c r="B49" s="4" t="s">
        <v>514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2271.143587625</v>
      </c>
      <c r="G49" s="14" t="n">
        <f aca="false">G45*G47*(1-G48)</f>
        <v>2410.20558804375</v>
      </c>
      <c r="H49" s="14" t="n">
        <f aca="false">H45*H47*(1-H48)</f>
        <v>2177.79290633953</v>
      </c>
    </row>
    <row r="50" customFormat="false" ht="17.15" hidden="false" customHeight="false" outlineLevel="0" collapsed="false">
      <c r="A50" s="4" t="s">
        <v>554</v>
      </c>
      <c r="B50" s="4" t="s">
        <v>514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MAX(0,hsA_28*8000/F44*F47*(1-hbp_28)-E49)+dlt*E49</f>
        <v>813.209798471154</v>
      </c>
      <c r="F50" s="14" t="n">
        <f aca="false">MAX(0,G49-F49)+dlt*F49</f>
        <v>366.17635918125</v>
      </c>
      <c r="G50" s="14" t="n">
        <f aca="false">MAX(0,H49-G49)+dlt*G49</f>
        <v>241.020558804375</v>
      </c>
      <c r="I50" s="4" t="s">
        <v>555</v>
      </c>
    </row>
    <row r="51" customFormat="false" ht="17.15" hidden="false" customHeight="false" outlineLevel="0" collapsed="false">
      <c r="A51" s="0" t="s">
        <v>556</v>
      </c>
      <c r="B51" s="0" t="s">
        <v>72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557</v>
      </c>
      <c r="B52" s="0" t="s">
        <v>72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558</v>
      </c>
      <c r="B53" s="0" t="s">
        <v>72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559</v>
      </c>
      <c r="B54" s="0" t="s">
        <v>72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560</v>
      </c>
      <c r="B55" s="4" t="s">
        <v>514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268.359233495481</v>
      </c>
      <c r="F55" s="14" t="n">
        <f aca="false">F50*F54</f>
        <v>120.838198529813</v>
      </c>
      <c r="G55" s="14" t="n">
        <f aca="false">G50*G54</f>
        <v>79.5367844054438</v>
      </c>
    </row>
    <row r="56" customFormat="false" ht="17.15" hidden="false" customHeight="false" outlineLevel="0" collapsed="false">
      <c r="A56" s="6" t="s">
        <v>561</v>
      </c>
    </row>
    <row r="57" customFormat="false" ht="17.15" hidden="false" customHeight="false" outlineLevel="0" collapsed="false">
      <c r="A57" s="4" t="s">
        <v>562</v>
      </c>
      <c r="B57" s="4" t="s">
        <v>236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  <c r="I57" s="8" t="s">
        <v>563</v>
      </c>
    </row>
    <row r="58" customFormat="false" ht="17.15" hidden="false" customHeight="false" outlineLevel="0" collapsed="false">
      <c r="A58" s="0" t="s">
        <v>564</v>
      </c>
      <c r="B58" s="4" t="s">
        <v>236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3681.26304199214</v>
      </c>
      <c r="F58" s="14" t="n">
        <f aca="false">$C59*F55</f>
        <v>1657.61836667416</v>
      </c>
      <c r="G58" s="14" t="n">
        <f aca="false">$C59*G55</f>
        <v>1091.05925328851</v>
      </c>
      <c r="I58" s="8" t="s">
        <v>565</v>
      </c>
    </row>
    <row r="59" customFormat="false" ht="17.15" hidden="false" customHeight="false" outlineLevel="0" collapsed="false">
      <c r="A59" s="4" t="s">
        <v>566</v>
      </c>
      <c r="B59" s="4" t="s">
        <v>567</v>
      </c>
      <c r="C59" s="18" t="n">
        <f aca="false">(C58+D58)/(C55+D55)</f>
        <v>13.7176686415529</v>
      </c>
      <c r="I59" s="4" t="s">
        <v>568</v>
      </c>
    </row>
    <row r="60" customFormat="false" ht="15" hidden="false" customHeight="false" outlineLevel="0" collapsed="false">
      <c r="A60" s="4" t="s">
        <v>467</v>
      </c>
      <c r="B60" s="4" t="s">
        <v>236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7410.06683399214</v>
      </c>
      <c r="F60" s="14" t="n">
        <f aca="false">F57+F58</f>
        <v>5833.87861371416</v>
      </c>
      <c r="G60" s="14" t="n">
        <f aca="false">G57+G58</f>
        <v>5768.47072997331</v>
      </c>
    </row>
    <row r="61" customFormat="false" ht="17.15" hidden="false" customHeight="false" outlineLevel="0" collapsed="false">
      <c r="A61" s="0" t="s">
        <v>569</v>
      </c>
      <c r="B61" s="0" t="s">
        <v>72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0.496792151064699</v>
      </c>
      <c r="F61" s="10" t="n">
        <f aca="false">F58/F60</f>
        <v>0.284136588440059</v>
      </c>
      <c r="G61" s="10" t="n">
        <f aca="false">G58/G60</f>
        <v>0.189141854810722</v>
      </c>
    </row>
    <row r="62" customFormat="false" ht="17.15" hidden="false" customHeight="false" outlineLevel="0" collapsed="false">
      <c r="A62" s="4" t="s">
        <v>570</v>
      </c>
      <c r="B62" s="4" t="s">
        <v>236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921.617809518073</v>
      </c>
      <c r="F62" s="14" t="n">
        <f aca="false">opex_fix+opex_var*F60</f>
        <v>811.377560055767</v>
      </c>
      <c r="G62" s="14" t="n">
        <f aca="false">opex_fix+opex_var*G60</f>
        <v>806.802864389585</v>
      </c>
      <c r="I62" s="4" t="s">
        <v>571</v>
      </c>
    </row>
    <row r="63" customFormat="false" ht="17.15" hidden="false" customHeight="false" outlineLevel="0" collapsed="false">
      <c r="A63" s="4" t="s">
        <v>537</v>
      </c>
      <c r="B63" s="0" t="s">
        <v>72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572</v>
      </c>
    </row>
    <row r="64" customFormat="false" ht="15" hidden="false" customHeight="false" outlineLevel="0" collapsed="false">
      <c r="A64" s="4" t="s">
        <v>472</v>
      </c>
      <c r="B64" s="4" t="s">
        <v>236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4410.96958671178</v>
      </c>
      <c r="F64" s="14" t="n">
        <f aca="false">F60*F63</f>
        <v>3472.71646992661</v>
      </c>
      <c r="G64" s="14" t="n">
        <f aca="false">G60*G63</f>
        <v>3433.78130343276</v>
      </c>
    </row>
    <row r="65" customFormat="false" ht="15" hidden="false" customHeight="false" outlineLevel="0" collapsed="false">
      <c r="A65" s="4" t="s">
        <v>475</v>
      </c>
      <c r="B65" s="4" t="s">
        <v>236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3489.35177719371</v>
      </c>
      <c r="F65" s="14" t="n">
        <f aca="false">F64-F62</f>
        <v>2661.33890987084</v>
      </c>
      <c r="G65" s="14" t="n">
        <f aca="false">G64-G62</f>
        <v>2626.97843904317</v>
      </c>
    </row>
    <row r="66" customFormat="false" ht="15" hidden="false" customHeight="false" outlineLevel="0" collapsed="false">
      <c r="A66" s="4" t="s">
        <v>478</v>
      </c>
      <c r="B66" s="0" t="s">
        <v>72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0.47089342854332</v>
      </c>
      <c r="F66" s="10" t="n">
        <f aca="false">F65/F60</f>
        <v>0.456186884590746</v>
      </c>
      <c r="G66" s="10" t="n">
        <f aca="false">G65/G60</f>
        <v>0.455402924278221</v>
      </c>
    </row>
    <row r="67" customFormat="false" ht="15" hidden="false" customHeight="false" outlineLevel="0" collapsed="false">
      <c r="A67" s="4" t="s">
        <v>538</v>
      </c>
      <c r="B67" s="4" t="s">
        <v>236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2970.36986482936</v>
      </c>
      <c r="F67" s="14" t="n">
        <f aca="false">F65*nioi</f>
        <v>2265.50987196134</v>
      </c>
      <c r="G67" s="14" t="n">
        <f aca="false">G65*nioi</f>
        <v>2236.25993856255</v>
      </c>
    </row>
    <row r="68" customFormat="false" ht="15" hidden="false" customHeight="false" outlineLevel="0" collapsed="false">
      <c r="A68" s="0" t="s">
        <v>539</v>
      </c>
      <c r="B68" s="0" t="s">
        <v>312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3097.6516015606</v>
      </c>
      <c r="F68" s="14" t="n">
        <f aca="false">F67*100/shares</f>
        <v>2362.58802862435</v>
      </c>
      <c r="G68" s="14" t="n">
        <f aca="false">G67*100/shares</f>
        <v>2332.08472191123</v>
      </c>
    </row>
    <row r="69" customFormat="false" ht="17.15" hidden="false" customHeight="false" outlineLevel="0" collapsed="false">
      <c r="A69" s="4" t="s">
        <v>573</v>
      </c>
      <c r="B69" s="4" t="s">
        <v>236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11155.3425514913</v>
      </c>
      <c r="F69" s="14" t="n">
        <f aca="false">$C59*F50</f>
        <v>5023.08595961866</v>
      </c>
      <c r="G69" s="14" t="n">
        <f aca="false">$C59*G50</f>
        <v>3306.24016148034</v>
      </c>
      <c r="I69" s="4" t="s">
        <v>574</v>
      </c>
    </row>
    <row r="70" customFormat="false" ht="15" hidden="false" customHeight="false" outlineLevel="0" collapsed="false">
      <c r="A70" s="4" t="s">
        <v>575</v>
      </c>
      <c r="B70" s="0" t="s">
        <v>343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785.58750362615</v>
      </c>
      <c r="F70" s="14" t="n">
        <f aca="false">F69/fx*100</f>
        <v>353.738447860469</v>
      </c>
      <c r="G70" s="14" t="n">
        <f aca="false">G69/fx*100</f>
        <v>232.833814188756</v>
      </c>
    </row>
    <row r="73" customFormat="false" ht="17.15" hidden="false" customHeight="false" outlineLevel="0" collapsed="false">
      <c r="A73" s="1" t="s">
        <v>576</v>
      </c>
    </row>
    <row r="74" customFormat="false" ht="15" hidden="false" customHeight="false" outlineLevel="0" collapsed="false">
      <c r="A74" s="5" t="s">
        <v>24</v>
      </c>
      <c r="B74" s="5" t="s">
        <v>25</v>
      </c>
      <c r="C74" s="13" t="s">
        <v>503</v>
      </c>
      <c r="D74" s="13" t="s">
        <v>504</v>
      </c>
      <c r="E74" s="13" t="s">
        <v>505</v>
      </c>
      <c r="F74" s="13" t="s">
        <v>506</v>
      </c>
      <c r="G74" s="13" t="s">
        <v>507</v>
      </c>
      <c r="H74" s="13" t="s">
        <v>508</v>
      </c>
      <c r="I74" s="5" t="s">
        <v>416</v>
      </c>
    </row>
    <row r="75" customFormat="false" ht="17.15" hidden="false" customHeight="false" outlineLevel="0" collapsed="false">
      <c r="A75" s="6" t="s">
        <v>542</v>
      </c>
    </row>
    <row r="76" customFormat="false" ht="17.15" hidden="false" customHeight="false" outlineLevel="0" collapsed="false">
      <c r="A76" s="0" t="s">
        <v>543</v>
      </c>
      <c r="B76" s="0" t="s">
        <v>35</v>
      </c>
      <c r="C76" s="20" t="n">
        <f aca="false">hsB_25</f>
        <v>2.22511470588235</v>
      </c>
      <c r="D76" s="20" t="n">
        <f aca="false">hsB_26</f>
        <v>3.782695</v>
      </c>
      <c r="E76" s="20" t="n">
        <f aca="false">hsB_27</f>
        <v>5.86317725</v>
      </c>
      <c r="F76" s="20" t="n">
        <f aca="false">hsB_28</f>
        <v>8.22296</v>
      </c>
      <c r="G76" s="20" t="n">
        <f aca="false">hsB_29</f>
        <v>11.3579635</v>
      </c>
      <c r="H76" s="20" t="n">
        <f aca="false">G76*(1+g_tail)</f>
        <v>12.49375985</v>
      </c>
      <c r="I76" s="8" t="s">
        <v>544</v>
      </c>
    </row>
    <row r="77" customFormat="false" ht="17.15" hidden="false" customHeight="false" outlineLevel="0" collapsed="false">
      <c r="A77" s="0" t="s">
        <v>545</v>
      </c>
      <c r="B77" s="0" t="s">
        <v>546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547</v>
      </c>
      <c r="B78" s="4" t="s">
        <v>512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548</v>
      </c>
    </row>
    <row r="79" customFormat="false" ht="15" hidden="false" customHeight="false" outlineLevel="0" collapsed="false">
      <c r="A79" s="4" t="s">
        <v>549</v>
      </c>
      <c r="B79" s="4" t="s">
        <v>99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550</v>
      </c>
      <c r="B80" s="0" t="s">
        <v>119</v>
      </c>
      <c r="C80" s="18" t="n">
        <f aca="false">1+beta*(C79-$C79)/4</f>
        <v>1</v>
      </c>
      <c r="D80" s="18" t="n">
        <f aca="false">1+beta*(D79-$C79)/4</f>
        <v>1.05</v>
      </c>
      <c r="E80" s="18" t="n">
        <f aca="false">1+beta*(E79-$C79)/4</f>
        <v>1.0625</v>
      </c>
      <c r="F80" s="18" t="n">
        <f aca="false">1+beta*(F79-$C79)/4</f>
        <v>1.1</v>
      </c>
      <c r="G80" s="18" t="n">
        <f aca="false">1+beta*(G79-$C79)/4</f>
        <v>1.125</v>
      </c>
      <c r="H80" s="18" t="n">
        <f aca="false">1+beta*(H79-$C79)/4</f>
        <v>1.15</v>
      </c>
    </row>
    <row r="81" customFormat="false" ht="17.15" hidden="false" customHeight="false" outlineLevel="0" collapsed="false">
      <c r="A81" s="4" t="s">
        <v>551</v>
      </c>
      <c r="B81" s="0" t="s">
        <v>72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577</v>
      </c>
    </row>
    <row r="82" customFormat="false" ht="17.15" hidden="false" customHeight="false" outlineLevel="0" collapsed="false">
      <c r="A82" s="0" t="s">
        <v>553</v>
      </c>
      <c r="B82" s="4" t="s">
        <v>514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554</v>
      </c>
      <c r="B83" s="4" t="s">
        <v>514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MAX(0,hsA_28*8000/F77*F80*(1-hbp_28)-E82)+dlt*E82</f>
        <v>813.209798471154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555</v>
      </c>
    </row>
    <row r="84" customFormat="false" ht="17.15" hidden="false" customHeight="false" outlineLevel="0" collapsed="false">
      <c r="A84" s="0" t="s">
        <v>556</v>
      </c>
      <c r="B84" s="0" t="s">
        <v>72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557</v>
      </c>
      <c r="B85" s="0" t="s">
        <v>72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558</v>
      </c>
      <c r="B86" s="0" t="s">
        <v>72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559</v>
      </c>
      <c r="B87" s="0" t="s">
        <v>72</v>
      </c>
      <c r="C87" s="10" t="n">
        <f aca="false">C84*hsk_25+C85*hss+C86*hmu_25</f>
        <v>0.412</v>
      </c>
      <c r="D87" s="10" t="n">
        <f aca="false">D84*hsk_A+D85*hss+D86*hmu_A</f>
        <v>0.339</v>
      </c>
      <c r="E87" s="10" t="n">
        <f aca="false">E84*hsk_A+E85*hss+E86*hmu_A</f>
        <v>0.33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560</v>
      </c>
      <c r="B88" s="4" t="s">
        <v>514</v>
      </c>
      <c r="C88" s="14" t="n">
        <f aca="false">C83*C87</f>
        <v>270.440441352942</v>
      </c>
      <c r="D88" s="14" t="n">
        <f aca="false">D83*D87</f>
        <v>245.862808497115</v>
      </c>
      <c r="E88" s="14" t="n">
        <f aca="false">E83*E87</f>
        <v>268.359233495481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561</v>
      </c>
    </row>
    <row r="90" customFormat="false" ht="17.15" hidden="false" customHeight="false" outlineLevel="0" collapsed="false">
      <c r="A90" s="4" t="s">
        <v>562</v>
      </c>
      <c r="B90" s="4" t="s">
        <v>236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D90*(1+g_o_A)</f>
        <v>3728.803792</v>
      </c>
      <c r="F90" s="14" t="n">
        <f aca="false">E90*(1+g_o_B)</f>
        <v>4027.10809536</v>
      </c>
      <c r="G90" s="14" t="n">
        <f aca="false">F90*(1+g_o_B)</f>
        <v>4349.2767429888</v>
      </c>
      <c r="I90" s="8" t="s">
        <v>563</v>
      </c>
    </row>
    <row r="91" customFormat="false" ht="17.15" hidden="false" customHeight="false" outlineLevel="0" collapsed="false">
      <c r="A91" s="0" t="s">
        <v>564</v>
      </c>
      <c r="B91" s="4" t="s">
        <v>236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3681.26304199214</v>
      </c>
      <c r="F91" s="14" t="n">
        <f aca="false">$C92*F88</f>
        <v>3014.17288166425</v>
      </c>
      <c r="G91" s="14" t="n">
        <f aca="false">$C92*G88</f>
        <v>1271.36700264456</v>
      </c>
      <c r="I91" s="8" t="s">
        <v>565</v>
      </c>
    </row>
    <row r="92" customFormat="false" ht="17.15" hidden="false" customHeight="false" outlineLevel="0" collapsed="false">
      <c r="A92" s="4" t="s">
        <v>566</v>
      </c>
      <c r="B92" s="4" t="s">
        <v>567</v>
      </c>
      <c r="C92" s="18" t="n">
        <f aca="false">(C91+D91)/(C88+D88)</f>
        <v>13.7176686415529</v>
      </c>
      <c r="I92" s="4" t="s">
        <v>568</v>
      </c>
    </row>
    <row r="93" customFormat="false" ht="15" hidden="false" customHeight="false" outlineLevel="0" collapsed="false">
      <c r="A93" s="4" t="s">
        <v>467</v>
      </c>
      <c r="B93" s="4" t="s">
        <v>236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7410.06683399214</v>
      </c>
      <c r="F93" s="14" t="n">
        <f aca="false">F90+F91</f>
        <v>7041.28097702425</v>
      </c>
      <c r="G93" s="14" t="n">
        <f aca="false">G90+G91</f>
        <v>5620.64374563336</v>
      </c>
    </row>
    <row r="94" customFormat="false" ht="17.15" hidden="false" customHeight="false" outlineLevel="0" collapsed="false">
      <c r="A94" s="0" t="s">
        <v>569</v>
      </c>
      <c r="B94" s="0" t="s">
        <v>72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0.496792151064699</v>
      </c>
      <c r="F94" s="10" t="n">
        <f aca="false">F91/F93</f>
        <v>0.428071666433923</v>
      </c>
      <c r="G94" s="10" t="n">
        <f aca="false">G91/G93</f>
        <v>0.226195976863375</v>
      </c>
    </row>
    <row r="95" customFormat="false" ht="17.15" hidden="false" customHeight="false" outlineLevel="0" collapsed="false">
      <c r="A95" s="4" t="s">
        <v>570</v>
      </c>
      <c r="B95" s="4" t="s">
        <v>236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921.617809518073</v>
      </c>
      <c r="F95" s="14" t="n">
        <f aca="false">opex_fix+opex_var*F93</f>
        <v>895.824541717137</v>
      </c>
      <c r="G95" s="14" t="n">
        <f aca="false">opex_fix+opex_var*G93</f>
        <v>796.46369079265</v>
      </c>
      <c r="I95" s="4" t="s">
        <v>571</v>
      </c>
    </row>
    <row r="96" customFormat="false" ht="17.15" hidden="false" customHeight="false" outlineLevel="0" collapsed="false">
      <c r="A96" s="4" t="s">
        <v>537</v>
      </c>
      <c r="B96" s="0" t="s">
        <v>72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572</v>
      </c>
    </row>
    <row r="97" customFormat="false" ht="15" hidden="false" customHeight="false" outlineLevel="0" collapsed="false">
      <c r="A97" s="4" t="s">
        <v>472</v>
      </c>
      <c r="B97" s="4" t="s">
        <v>236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4410.96958671178</v>
      </c>
      <c r="F97" s="14" t="n">
        <f aca="false">F93*F96</f>
        <v>4191.44346966886</v>
      </c>
      <c r="G97" s="14" t="n">
        <f aca="false">G93*G96</f>
        <v>3345.78475136016</v>
      </c>
    </row>
    <row r="98" customFormat="false" ht="15" hidden="false" customHeight="false" outlineLevel="0" collapsed="false">
      <c r="A98" s="4" t="s">
        <v>475</v>
      </c>
      <c r="B98" s="4" t="s">
        <v>236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3489.35177719371</v>
      </c>
      <c r="F98" s="14" t="n">
        <f aca="false">F97-F95</f>
        <v>3295.61892795173</v>
      </c>
      <c r="G98" s="14" t="n">
        <f aca="false">G97-G95</f>
        <v>2549.32106056751</v>
      </c>
    </row>
    <row r="99" customFormat="false" ht="15" hidden="false" customHeight="false" outlineLevel="0" collapsed="false">
      <c r="A99" s="4" t="s">
        <v>478</v>
      </c>
      <c r="B99" s="0" t="s">
        <v>72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0.47089342854332</v>
      </c>
      <c r="F99" s="10" t="n">
        <f aca="false">F98/F93</f>
        <v>0.468042525032782</v>
      </c>
      <c r="G99" s="10" t="n">
        <f aca="false">G98/G93</f>
        <v>0.453563893379305</v>
      </c>
    </row>
    <row r="100" customFormat="false" ht="15" hidden="false" customHeight="false" outlineLevel="0" collapsed="false">
      <c r="A100" s="4" t="s">
        <v>538</v>
      </c>
      <c r="B100" s="4" t="s">
        <v>236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2970.36986482936</v>
      </c>
      <c r="F100" s="14" t="n">
        <f aca="false">F98*nioi</f>
        <v>2805.45149203098</v>
      </c>
      <c r="G100" s="14" t="n">
        <f aca="false">G98*nioi</f>
        <v>2170.15277839789</v>
      </c>
    </row>
    <row r="101" customFormat="false" ht="15" hidden="false" customHeight="false" outlineLevel="0" collapsed="false">
      <c r="A101" s="0" t="s">
        <v>539</v>
      </c>
      <c r="B101" s="0" t="s">
        <v>312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3097.6516015606</v>
      </c>
      <c r="F101" s="14" t="n">
        <f aca="false">F100*100/shares</f>
        <v>2925.66639942315</v>
      </c>
      <c r="G101" s="14" t="n">
        <f aca="false">G100*100/shares</f>
        <v>2263.14483904233</v>
      </c>
    </row>
    <row r="102" customFormat="false" ht="17.15" hidden="false" customHeight="false" outlineLevel="0" collapsed="false">
      <c r="A102" s="4" t="s">
        <v>573</v>
      </c>
      <c r="B102" s="4" t="s">
        <v>236</v>
      </c>
      <c r="C102" s="14" t="n">
        <f aca="false">$C92*C83</f>
        <v>9004.3989362985</v>
      </c>
      <c r="D102" s="14" t="n">
        <f aca="false">$C92*D83</f>
        <v>9948.86294467556</v>
      </c>
      <c r="E102" s="14" t="n">
        <f aca="false">$C92*E83</f>
        <v>11155.3425514913</v>
      </c>
      <c r="F102" s="14" t="n">
        <f aca="false">$C92*F83</f>
        <v>9419.29025520079</v>
      </c>
      <c r="G102" s="14" t="n">
        <f aca="false">$C92*G83</f>
        <v>3973.02188326425</v>
      </c>
      <c r="I102" s="4" t="s">
        <v>574</v>
      </c>
    </row>
    <row r="103" customFormat="false" ht="15" hidden="false" customHeight="false" outlineLevel="0" collapsed="false">
      <c r="A103" s="4" t="s">
        <v>575</v>
      </c>
      <c r="B103" s="0" t="s">
        <v>343</v>
      </c>
      <c r="C103" s="14" t="n">
        <f aca="false">C102/fx*100</f>
        <v>634.112601147782</v>
      </c>
      <c r="D103" s="14" t="n">
        <f aca="false">D102/fx*100</f>
        <v>700.62415103349</v>
      </c>
      <c r="E103" s="14" t="n">
        <f aca="false">E102/fx*100</f>
        <v>785.58750362615</v>
      </c>
      <c r="F103" s="14" t="n">
        <f aca="false">F102/fx*100</f>
        <v>663.330299662028</v>
      </c>
      <c r="G103" s="14" t="n">
        <f aca="false">G102/fx*100</f>
        <v>279.790273469313</v>
      </c>
    </row>
    <row r="106" customFormat="false" ht="17.15" hidden="false" customHeight="false" outlineLevel="0" collapsed="false">
      <c r="A106" s="1" t="s">
        <v>578</v>
      </c>
    </row>
    <row r="107" customFormat="false" ht="15" hidden="false" customHeight="false" outlineLevel="0" collapsed="false">
      <c r="A107" s="5" t="s">
        <v>24</v>
      </c>
      <c r="B107" s="5" t="s">
        <v>25</v>
      </c>
      <c r="C107" s="13" t="s">
        <v>503</v>
      </c>
      <c r="D107" s="13" t="s">
        <v>504</v>
      </c>
      <c r="E107" s="13" t="s">
        <v>505</v>
      </c>
      <c r="F107" s="13" t="s">
        <v>506</v>
      </c>
      <c r="G107" s="13" t="s">
        <v>507</v>
      </c>
      <c r="H107" s="13" t="s">
        <v>508</v>
      </c>
      <c r="I107" s="5" t="s">
        <v>416</v>
      </c>
    </row>
    <row r="108" customFormat="false" ht="17.15" hidden="false" customHeight="false" outlineLevel="0" collapsed="false">
      <c r="A108" s="6" t="s">
        <v>542</v>
      </c>
    </row>
    <row r="109" customFormat="false" ht="17.15" hidden="false" customHeight="false" outlineLevel="0" collapsed="false">
      <c r="A109" s="0" t="s">
        <v>543</v>
      </c>
      <c r="B109" s="0" t="s">
        <v>35</v>
      </c>
      <c r="C109" s="20" t="n">
        <f aca="false">hsC_25</f>
        <v>2.22511470588235</v>
      </c>
      <c r="D109" s="20" t="n">
        <f aca="false">hsC_26</f>
        <v>3.782695</v>
      </c>
      <c r="E109" s="20" t="n">
        <f aca="false">hsC_27</f>
        <v>5.86317725</v>
      </c>
      <c r="F109" s="20" t="n">
        <f aca="false">hsC_28</f>
        <v>6.16722</v>
      </c>
      <c r="G109" s="20" t="n">
        <f aca="false">hsC_29</f>
        <v>8.017386</v>
      </c>
      <c r="H109" s="20" t="n">
        <f aca="false">G109*(1+g_tail)</f>
        <v>8.8191246</v>
      </c>
      <c r="I109" s="8" t="s">
        <v>544</v>
      </c>
    </row>
    <row r="110" customFormat="false" ht="17.15" hidden="false" customHeight="false" outlineLevel="0" collapsed="false">
      <c r="A110" s="0" t="s">
        <v>545</v>
      </c>
      <c r="B110" s="0" t="s">
        <v>546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547</v>
      </c>
      <c r="B111" s="4" t="s">
        <v>512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548</v>
      </c>
    </row>
    <row r="112" customFormat="false" ht="15" hidden="false" customHeight="false" outlineLevel="0" collapsed="false">
      <c r="A112" s="4" t="s">
        <v>549</v>
      </c>
      <c r="B112" s="4" t="s">
        <v>99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550</v>
      </c>
      <c r="B113" s="0" t="s">
        <v>119</v>
      </c>
      <c r="C113" s="18" t="n">
        <f aca="false">1+beta*(C112-$C112)/4</f>
        <v>1</v>
      </c>
      <c r="D113" s="18" t="n">
        <f aca="false">1+beta*(D112-$C112)/4</f>
        <v>1.05</v>
      </c>
      <c r="E113" s="18" t="n">
        <f aca="false">1+beta*(E112-$C112)/4</f>
        <v>1.0625</v>
      </c>
      <c r="F113" s="18" t="n">
        <f aca="false">1+beta*(F112-$C112)/4</f>
        <v>1.1</v>
      </c>
      <c r="G113" s="18" t="n">
        <f aca="false">1+beta*(G112-$C112)/4</f>
        <v>1.125</v>
      </c>
      <c r="H113" s="18" t="n">
        <f aca="false">1+beta*(H112-$C112)/4</f>
        <v>1.15</v>
      </c>
    </row>
    <row r="114" customFormat="false" ht="17.15" hidden="false" customHeight="false" outlineLevel="0" collapsed="false">
      <c r="A114" s="4" t="s">
        <v>551</v>
      </c>
      <c r="B114" s="0" t="s">
        <v>72</v>
      </c>
      <c r="C114" s="10" t="n">
        <f aca="false">hbp_25</f>
        <v>0</v>
      </c>
      <c r="D114" s="10" t="n">
        <f aca="false">hbp_26</f>
        <v>0</v>
      </c>
      <c r="E114" s="10" t="n">
        <f aca="false">hbp_27</f>
        <v>0</v>
      </c>
      <c r="F114" s="10" t="n">
        <f aca="false">hbp_28_C</f>
        <v>0</v>
      </c>
      <c r="G114" s="10" t="n">
        <f aca="false">hbp_29_C</f>
        <v>0.05</v>
      </c>
      <c r="H114" s="10" t="n">
        <f aca="false">hbp_30_C</f>
        <v>0.1</v>
      </c>
      <c r="I114" s="4" t="s">
        <v>579</v>
      </c>
    </row>
    <row r="115" customFormat="false" ht="17.15" hidden="false" customHeight="false" outlineLevel="0" collapsed="false">
      <c r="A115" s="0" t="s">
        <v>553</v>
      </c>
      <c r="B115" s="4" t="s">
        <v>514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1916.80794711538</v>
      </c>
      <c r="F115" s="14" t="n">
        <f aca="false">F111*F113*(1-F114)</f>
        <v>1938.26914285714</v>
      </c>
      <c r="G115" s="14" t="n">
        <f aca="false">G111*G113*(1-G114)</f>
        <v>2284.95501</v>
      </c>
      <c r="H115" s="14" t="n">
        <f aca="false">H111*H113*(1-H114)</f>
        <v>2281.94849025</v>
      </c>
    </row>
    <row r="116" customFormat="false" ht="17.15" hidden="false" customHeight="false" outlineLevel="0" collapsed="false">
      <c r="A116" s="4" t="s">
        <v>554</v>
      </c>
      <c r="B116" s="4" t="s">
        <v>514</v>
      </c>
      <c r="C116" s="14" t="n">
        <f aca="false">MAX(0,D115-C115)+dlt*C115</f>
        <v>656.408838235295</v>
      </c>
      <c r="D116" s="14" t="n">
        <f aca="false">MAX(0,E115-D115)+dlt*D115</f>
        <v>725.259022115385</v>
      </c>
      <c r="E116" s="14" t="n">
        <f aca="false">MAX(0,hsA_28*8000/F110*F113*(1-hbp_28)-E115)+dlt*E115</f>
        <v>813.209798471154</v>
      </c>
      <c r="F116" s="14" t="n">
        <f aca="false">MAX(0,G115-F115)+dlt*F115</f>
        <v>540.512781428571</v>
      </c>
      <c r="G116" s="14" t="n">
        <f aca="false">MAX(0,H115-G115)+dlt*G115</f>
        <v>228.495501</v>
      </c>
      <c r="I116" s="4" t="s">
        <v>555</v>
      </c>
    </row>
    <row r="117" customFormat="false" ht="17.15" hidden="false" customHeight="false" outlineLevel="0" collapsed="false">
      <c r="A117" s="0" t="s">
        <v>556</v>
      </c>
      <c r="B117" s="0" t="s">
        <v>72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557</v>
      </c>
      <c r="B118" s="0" t="s">
        <v>72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558</v>
      </c>
      <c r="B119" s="0" t="s">
        <v>72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559</v>
      </c>
      <c r="B120" s="0" t="s">
        <v>72</v>
      </c>
      <c r="C120" s="10" t="n">
        <f aca="false">C117*hsk_25+C118*hss+C119*hmu_25</f>
        <v>0.412</v>
      </c>
      <c r="D120" s="10" t="n">
        <f aca="false">D117*hsk_A+D118*hss+D119*hmu_A</f>
        <v>0.339</v>
      </c>
      <c r="E120" s="10" t="n">
        <f aca="false">E117*hsk_A+E118*hss+E119*hmu_A</f>
        <v>0.33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560</v>
      </c>
      <c r="B121" s="4" t="s">
        <v>514</v>
      </c>
      <c r="C121" s="14" t="n">
        <f aca="false">C116*C120</f>
        <v>270.440441352942</v>
      </c>
      <c r="D121" s="14" t="n">
        <f aca="false">D116*D120</f>
        <v>245.862808497115</v>
      </c>
      <c r="E121" s="14" t="n">
        <f aca="false">E116*E120</f>
        <v>268.359233495481</v>
      </c>
      <c r="F121" s="14" t="n">
        <f aca="false">F116*F120</f>
        <v>135.128195357143</v>
      </c>
      <c r="G121" s="14" t="n">
        <f aca="false">G116*G120</f>
        <v>57.12387525</v>
      </c>
    </row>
    <row r="122" customFormat="false" ht="17.15" hidden="false" customHeight="false" outlineLevel="0" collapsed="false">
      <c r="A122" s="6" t="s">
        <v>561</v>
      </c>
    </row>
    <row r="123" customFormat="false" ht="17.15" hidden="false" customHeight="false" outlineLevel="0" collapsed="false">
      <c r="A123" s="4" t="s">
        <v>562</v>
      </c>
      <c r="B123" s="4" t="s">
        <v>236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D123*(1+g_o_A)</f>
        <v>3728.803792</v>
      </c>
      <c r="F123" s="14" t="n">
        <f aca="false">E123*(1+g_o_C)</f>
        <v>3542.3636024</v>
      </c>
      <c r="G123" s="14" t="n">
        <f aca="false">F123*(1+g_o_C)</f>
        <v>3365.24542228</v>
      </c>
      <c r="I123" s="8" t="s">
        <v>563</v>
      </c>
    </row>
    <row r="124" customFormat="false" ht="17.15" hidden="false" customHeight="false" outlineLevel="0" collapsed="false">
      <c r="A124" s="0" t="s">
        <v>564</v>
      </c>
      <c r="B124" s="4" t="s">
        <v>236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3681.26304199214</v>
      </c>
      <c r="F124" s="14" t="n">
        <f aca="false">$C125*F121</f>
        <v>1853.64380804032</v>
      </c>
      <c r="G124" s="14" t="n">
        <f aca="false">$C125*G121</f>
        <v>783.606392200907</v>
      </c>
      <c r="I124" s="8" t="s">
        <v>565</v>
      </c>
    </row>
    <row r="125" customFormat="false" ht="17.15" hidden="false" customHeight="false" outlineLevel="0" collapsed="false">
      <c r="A125" s="4" t="s">
        <v>566</v>
      </c>
      <c r="B125" s="4" t="s">
        <v>567</v>
      </c>
      <c r="C125" s="18" t="n">
        <f aca="false">(C124+D124)/(C121+D121)</f>
        <v>13.7176686415529</v>
      </c>
      <c r="I125" s="4" t="s">
        <v>568</v>
      </c>
    </row>
    <row r="126" customFormat="false" ht="15" hidden="false" customHeight="false" outlineLevel="0" collapsed="false">
      <c r="A126" s="4" t="s">
        <v>467</v>
      </c>
      <c r="B126" s="4" t="s">
        <v>236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7410.06683399214</v>
      </c>
      <c r="F126" s="14" t="n">
        <f aca="false">F123+F124</f>
        <v>5396.00741044032</v>
      </c>
      <c r="G126" s="14" t="n">
        <f aca="false">G123+G124</f>
        <v>4148.85181448091</v>
      </c>
    </row>
    <row r="127" customFormat="false" ht="17.15" hidden="false" customHeight="false" outlineLevel="0" collapsed="false">
      <c r="A127" s="0" t="s">
        <v>569</v>
      </c>
      <c r="B127" s="0" t="s">
        <v>72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0.496792151064699</v>
      </c>
      <c r="F127" s="10" t="n">
        <f aca="false">F124/F126</f>
        <v>0.343521360710855</v>
      </c>
      <c r="G127" s="10" t="n">
        <f aca="false">G124/G126</f>
        <v>0.188873073139381</v>
      </c>
    </row>
    <row r="128" customFormat="false" ht="17.15" hidden="false" customHeight="false" outlineLevel="0" collapsed="false">
      <c r="A128" s="4" t="s">
        <v>570</v>
      </c>
      <c r="B128" s="4" t="s">
        <v>236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921.617809518073</v>
      </c>
      <c r="F128" s="14" t="n">
        <f aca="false">opex_fix+opex_var*F126</f>
        <v>780.752391018051</v>
      </c>
      <c r="G128" s="14" t="n">
        <f aca="false">opex_fix+opex_var*G126</f>
        <v>693.525026767968</v>
      </c>
      <c r="I128" s="4" t="s">
        <v>571</v>
      </c>
    </row>
    <row r="129" customFormat="false" ht="17.15" hidden="false" customHeight="false" outlineLevel="0" collapsed="false">
      <c r="A129" s="4" t="s">
        <v>537</v>
      </c>
      <c r="B129" s="0" t="s">
        <v>72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572</v>
      </c>
    </row>
    <row r="130" customFormat="false" ht="15" hidden="false" customHeight="false" outlineLevel="0" collapsed="false">
      <c r="A130" s="4" t="s">
        <v>472</v>
      </c>
      <c r="B130" s="4" t="s">
        <v>236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4410.96958671178</v>
      </c>
      <c r="F130" s="14" t="n">
        <f aca="false">F126*F129</f>
        <v>3050.18589130652</v>
      </c>
      <c r="G130" s="14" t="n">
        <f aca="false">G126*G129</f>
        <v>2262.23272846467</v>
      </c>
    </row>
    <row r="131" customFormat="false" ht="15" hidden="false" customHeight="false" outlineLevel="0" collapsed="false">
      <c r="A131" s="4" t="s">
        <v>475</v>
      </c>
      <c r="B131" s="4" t="s">
        <v>236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3489.35177719371</v>
      </c>
      <c r="F131" s="14" t="n">
        <f aca="false">F130-F128</f>
        <v>2269.43350028847</v>
      </c>
      <c r="G131" s="14" t="n">
        <f aca="false">G130-G128</f>
        <v>1568.7077016967</v>
      </c>
    </row>
    <row r="132" customFormat="false" ht="15" hidden="false" customHeight="false" outlineLevel="0" collapsed="false">
      <c r="A132" s="4" t="s">
        <v>478</v>
      </c>
      <c r="B132" s="0" t="s">
        <v>72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0.47089342854332</v>
      </c>
      <c r="F132" s="10" t="n">
        <f aca="false">F131/F126</f>
        <v>0.42057642394959</v>
      </c>
      <c r="G132" s="10" t="n">
        <f aca="false">G131/G126</f>
        <v>0.378106467004046</v>
      </c>
    </row>
    <row r="133" customFormat="false" ht="15" hidden="false" customHeight="false" outlineLevel="0" collapsed="false">
      <c r="A133" s="4" t="s">
        <v>538</v>
      </c>
      <c r="B133" s="4" t="s">
        <v>236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2970.36986482936</v>
      </c>
      <c r="F133" s="14" t="n">
        <f aca="false">F131*nioi</f>
        <v>1931.89374701354</v>
      </c>
      <c r="G133" s="14" t="n">
        <f aca="false">G131*nioi</f>
        <v>1335.38902964754</v>
      </c>
    </row>
    <row r="134" customFormat="false" ht="15" hidden="false" customHeight="false" outlineLevel="0" collapsed="false">
      <c r="A134" s="0" t="s">
        <v>539</v>
      </c>
      <c r="B134" s="0" t="s">
        <v>312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3097.6516015606</v>
      </c>
      <c r="F134" s="14" t="n">
        <f aca="false">F133*100/shares</f>
        <v>2014.67629682715</v>
      </c>
      <c r="G134" s="14" t="n">
        <f aca="false">G133*100/shares</f>
        <v>1392.6110735815</v>
      </c>
    </row>
    <row r="135" customFormat="false" ht="17.15" hidden="false" customHeight="false" outlineLevel="0" collapsed="false">
      <c r="A135" s="4" t="s">
        <v>573</v>
      </c>
      <c r="B135" s="4" t="s">
        <v>236</v>
      </c>
      <c r="C135" s="14" t="n">
        <f aca="false">$C125*C116</f>
        <v>9004.3989362985</v>
      </c>
      <c r="D135" s="14" t="n">
        <f aca="false">$C125*D116</f>
        <v>9948.86294467556</v>
      </c>
      <c r="E135" s="14" t="n">
        <f aca="false">$C125*E116</f>
        <v>11155.3425514913</v>
      </c>
      <c r="F135" s="14" t="n">
        <f aca="false">$C125*F116</f>
        <v>7414.57523216127</v>
      </c>
      <c r="G135" s="14" t="n">
        <f aca="false">$C125*G116</f>
        <v>3134.42556880363</v>
      </c>
      <c r="I135" s="4" t="s">
        <v>574</v>
      </c>
    </row>
    <row r="136" customFormat="false" ht="15" hidden="false" customHeight="false" outlineLevel="0" collapsed="false">
      <c r="A136" s="4" t="s">
        <v>575</v>
      </c>
      <c r="B136" s="0" t="s">
        <v>343</v>
      </c>
      <c r="C136" s="14" t="n">
        <f aca="false">C135/fx*100</f>
        <v>634.112601147782</v>
      </c>
      <c r="D136" s="14" t="n">
        <f aca="false">D135/fx*100</f>
        <v>700.62415103349</v>
      </c>
      <c r="E136" s="14" t="n">
        <f aca="false">E135/fx*100</f>
        <v>785.58750362615</v>
      </c>
      <c r="F136" s="14" t="n">
        <f aca="false">F135/fx*100</f>
        <v>522.153185363469</v>
      </c>
      <c r="G136" s="14" t="n">
        <f aca="false">G135/fx*100</f>
        <v>220.734194986171</v>
      </c>
    </row>
    <row r="139" customFormat="false" ht="17.15" hidden="false" customHeight="false" outlineLevel="0" collapsed="false">
      <c r="A139" s="1" t="s">
        <v>580</v>
      </c>
    </row>
    <row r="140" customFormat="false" ht="17.15" hidden="false" customHeight="false" outlineLevel="0" collapsed="false">
      <c r="A140" s="4" t="s">
        <v>581</v>
      </c>
    </row>
    <row r="141" customFormat="false" ht="17.15" hidden="false" customHeight="false" outlineLevel="0" collapsed="false">
      <c r="A141" s="5" t="s">
        <v>582</v>
      </c>
      <c r="B141" s="5" t="s">
        <v>25</v>
      </c>
      <c r="C141" s="13" t="s">
        <v>529</v>
      </c>
      <c r="D141" s="13" t="s">
        <v>530</v>
      </c>
      <c r="E141" s="13" t="s">
        <v>531</v>
      </c>
      <c r="F141" s="13" t="s">
        <v>532</v>
      </c>
      <c r="G141" s="13" t="s">
        <v>533</v>
      </c>
      <c r="H141" s="13" t="s">
        <v>583</v>
      </c>
      <c r="I141" s="13" t="s">
        <v>584</v>
      </c>
      <c r="J141" s="13" t="s">
        <v>585</v>
      </c>
      <c r="K141" s="5" t="s">
        <v>416</v>
      </c>
    </row>
    <row r="142" customFormat="false" ht="17.15" hidden="false" customHeight="false" outlineLevel="0" collapsed="false">
      <c r="A142" s="1" t="s">
        <v>586</v>
      </c>
    </row>
    <row r="143" customFormat="false" ht="17.15" hidden="false" customHeight="false" outlineLevel="0" collapsed="false">
      <c r="A143" s="4" t="s">
        <v>467</v>
      </c>
      <c r="B143" s="4" t="s">
        <v>236</v>
      </c>
      <c r="C143" s="14" t="n">
        <f aca="false">C5</f>
        <v>5767</v>
      </c>
      <c r="D143" s="14" t="n">
        <f aca="false">D5</f>
        <v>7539.8</v>
      </c>
      <c r="E143" s="14" t="n">
        <f aca="false">E5</f>
        <v>7410.06683399214</v>
      </c>
      <c r="F143" s="14" t="n">
        <f aca="false">F5</f>
        <v>5833.87861371416</v>
      </c>
      <c r="G143" s="14" t="n">
        <f aca="false">G5</f>
        <v>5768.47072997331</v>
      </c>
      <c r="H143" s="21" t="n">
        <f aca="false">G143*(1+H144)</f>
        <v>5840.7237791892</v>
      </c>
      <c r="I143" s="21" t="n">
        <f aca="false">H143*(1+I144)</f>
        <v>6052.52452038947</v>
      </c>
      <c r="J143" s="21" t="n">
        <f aca="false">I143*(1+J144)</f>
        <v>6415.67599161284</v>
      </c>
      <c r="K143" s="8" t="s">
        <v>587</v>
      </c>
    </row>
    <row r="144" customFormat="false" ht="15" hidden="false" customHeight="false" outlineLevel="0" collapsed="false">
      <c r="A144" s="4" t="s">
        <v>588</v>
      </c>
      <c r="B144" s="0" t="s">
        <v>72</v>
      </c>
      <c r="D144" s="10" t="n">
        <f aca="false">D143/C143-1</f>
        <v>0.307404196289232</v>
      </c>
      <c r="E144" s="10" t="n">
        <f aca="false">E143/D143-1</f>
        <v>-0.0172064465911378</v>
      </c>
      <c r="F144" s="10" t="n">
        <f aca="false">F143/E143-1</f>
        <v>-0.212709042386439</v>
      </c>
      <c r="G144" s="10" t="n">
        <f aca="false">G143/F143-1</f>
        <v>-0.0112117320348568</v>
      </c>
      <c r="H144" s="22" t="n">
        <f aca="false">$G144+((tp_g+0.02)-$G144)*1/3</f>
        <v>0.0125255119767621</v>
      </c>
      <c r="I144" s="22" t="n">
        <f aca="false">$G144+((tp_g+0.02)-$G144)*2/3</f>
        <v>0.0362627559883811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589</v>
      </c>
      <c r="B145" s="0" t="s">
        <v>72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0.400856015387528</v>
      </c>
      <c r="F145" s="10" t="n">
        <f aca="false">F146/F143</f>
        <v>0.388336820487767</v>
      </c>
      <c r="G145" s="10" t="n">
        <f aca="false">G146/G143</f>
        <v>0.387669460979114</v>
      </c>
      <c r="H145" s="22" t="n">
        <f aca="false">$G145+($G145-$G145)*1/3</f>
        <v>0.387669460979114</v>
      </c>
      <c r="I145" s="22" t="n">
        <f aca="false">$G145+($G145-$G145)*2/3</f>
        <v>0.387669460979114</v>
      </c>
      <c r="J145" s="22" t="n">
        <f aca="false">$G145+($G145-$G145)*3/3</f>
        <v>0.387669460979114</v>
      </c>
    </row>
    <row r="146" customFormat="false" ht="15" hidden="false" customHeight="false" outlineLevel="0" collapsed="false">
      <c r="A146" s="4" t="s">
        <v>590</v>
      </c>
      <c r="B146" s="4" t="s">
        <v>236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2970.36986482936</v>
      </c>
      <c r="F146" s="14" t="n">
        <f aca="false">F11</f>
        <v>2265.50987196134</v>
      </c>
      <c r="G146" s="14" t="n">
        <f aca="false">G11</f>
        <v>2236.25993856255</v>
      </c>
      <c r="H146" s="21" t="n">
        <f aca="false">H143*H145</f>
        <v>2264.27023920617</v>
      </c>
      <c r="I146" s="21" t="n">
        <f aca="false">I143*I145</f>
        <v>2346.37891838225</v>
      </c>
      <c r="J146" s="21" t="n">
        <f aca="false">J143*J145</f>
        <v>2487.16165348519</v>
      </c>
    </row>
    <row r="147" customFormat="false" ht="17.15" hidden="false" customHeight="false" outlineLevel="0" collapsed="false">
      <c r="A147" s="0" t="s">
        <v>591</v>
      </c>
      <c r="B147" s="0" t="s">
        <v>312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3097.6516015606</v>
      </c>
      <c r="F147" s="14" t="n">
        <f aca="false">F12</f>
        <v>2362.58802862435</v>
      </c>
      <c r="G147" s="14" t="n">
        <f aca="false">G12</f>
        <v>2332.08472191123</v>
      </c>
      <c r="H147" s="21" t="n">
        <f aca="false">$G147*H146/$G146</f>
        <v>2361.29527702636</v>
      </c>
      <c r="I147" s="21" t="n">
        <f aca="false">$G147*I146/$G146</f>
        <v>2446.92235147368</v>
      </c>
      <c r="J147" s="21" t="n">
        <f aca="false">$G147*J146/$G146</f>
        <v>2593.7376925621</v>
      </c>
    </row>
    <row r="149" customFormat="false" ht="17.15" hidden="false" customHeight="false" outlineLevel="0" collapsed="false">
      <c r="A149" s="1" t="s">
        <v>592</v>
      </c>
    </row>
    <row r="150" customFormat="false" ht="17.15" hidden="false" customHeight="false" outlineLevel="0" collapsed="false">
      <c r="A150" s="4" t="s">
        <v>467</v>
      </c>
      <c r="B150" s="4" t="s">
        <v>236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7410.06683399214</v>
      </c>
      <c r="F150" s="14" t="n">
        <f aca="false">F15</f>
        <v>7041.28097702425</v>
      </c>
      <c r="G150" s="14" t="n">
        <f aca="false">G15</f>
        <v>5620.64374563336</v>
      </c>
      <c r="H150" s="21" t="n">
        <f aca="false">G150*(1+H151)</f>
        <v>4939.57779042739</v>
      </c>
      <c r="I150" s="21" t="n">
        <f aca="false">H150*(1+I151)</f>
        <v>4739.09951003922</v>
      </c>
      <c r="J150" s="21" t="n">
        <f aca="false">I150*(1+J151)</f>
        <v>4928.66349044079</v>
      </c>
      <c r="K150" s="8" t="s">
        <v>587</v>
      </c>
    </row>
    <row r="151" customFormat="false" ht="15" hidden="false" customHeight="false" outlineLevel="0" collapsed="false">
      <c r="A151" s="4" t="s">
        <v>588</v>
      </c>
      <c r="B151" s="0" t="s">
        <v>72</v>
      </c>
      <c r="D151" s="10" t="n">
        <f aca="false">D150/C150-1</f>
        <v>0.307404196289232</v>
      </c>
      <c r="E151" s="10" t="n">
        <f aca="false">E150/D150-1</f>
        <v>-0.0172064465911378</v>
      </c>
      <c r="F151" s="10" t="n">
        <f aca="false">F150/E150-1</f>
        <v>-0.0497682227744773</v>
      </c>
      <c r="G151" s="10" t="n">
        <f aca="false">G150/F150-1</f>
        <v>-0.201758349940365</v>
      </c>
      <c r="H151" s="22" t="n">
        <f aca="false">$G151+((tp_g)-$G151)*1/3</f>
        <v>-0.121172233293576</v>
      </c>
      <c r="I151" s="22" t="n">
        <f aca="false">$G151+((tp_g)-$G151)*2/3</f>
        <v>-0.0405861166467882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589</v>
      </c>
      <c r="B152" s="0" t="s">
        <v>72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0.400856015387528</v>
      </c>
      <c r="F152" s="10" t="n">
        <f aca="false">F153/F150</f>
        <v>0.398429135435042</v>
      </c>
      <c r="G152" s="10" t="n">
        <f aca="false">G153/G150</f>
        <v>0.386103954744307</v>
      </c>
      <c r="H152" s="22" t="n">
        <f aca="false">$G152+(($G152+0.8*$G152)/2-$G152)*1/3</f>
        <v>0.373233822919496</v>
      </c>
      <c r="I152" s="22" t="n">
        <f aca="false">$G152+(($G152+0.8*$G152)/2-$G152)*2/3</f>
        <v>0.360363691094686</v>
      </c>
      <c r="J152" s="22" t="n">
        <f aca="false">$G152+(($G152+0.8*$G152)/2-$G152)*3/3</f>
        <v>0.347493559269876</v>
      </c>
    </row>
    <row r="153" customFormat="false" ht="15" hidden="false" customHeight="false" outlineLevel="0" collapsed="false">
      <c r="A153" s="4" t="s">
        <v>590</v>
      </c>
      <c r="B153" s="4" t="s">
        <v>236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2970.36986482936</v>
      </c>
      <c r="F153" s="14" t="n">
        <f aca="false">F21</f>
        <v>2805.45149203098</v>
      </c>
      <c r="G153" s="14" t="n">
        <f aca="false">G21</f>
        <v>2170.15277839789</v>
      </c>
      <c r="H153" s="21" t="n">
        <f aca="false">H150*H152</f>
        <v>1843.61750232945</v>
      </c>
      <c r="I153" s="21" t="n">
        <f aca="false">I150*I152</f>
        <v>1707.79939190275</v>
      </c>
      <c r="J153" s="21" t="n">
        <f aca="false">J150*J152</f>
        <v>1712.67881873676</v>
      </c>
    </row>
    <row r="154" customFormat="false" ht="17.15" hidden="false" customHeight="false" outlineLevel="0" collapsed="false">
      <c r="A154" s="0" t="s">
        <v>591</v>
      </c>
      <c r="B154" s="0" t="s">
        <v>312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3097.6516015606</v>
      </c>
      <c r="F154" s="14" t="n">
        <f aca="false">F22</f>
        <v>2925.66639942315</v>
      </c>
      <c r="G154" s="14" t="n">
        <f aca="false">G22</f>
        <v>2263.14483904233</v>
      </c>
      <c r="H154" s="21" t="n">
        <f aca="false">$G154*H153/$G153</f>
        <v>1922.61737380778</v>
      </c>
      <c r="I154" s="21" t="n">
        <f aca="false">$G154*I153/$G153</f>
        <v>1780.97939388288</v>
      </c>
      <c r="J154" s="21" t="n">
        <f aca="false">$G154*J153/$G153</f>
        <v>1786.06790643684</v>
      </c>
    </row>
    <row r="156" customFormat="false" ht="17.15" hidden="false" customHeight="false" outlineLevel="0" collapsed="false">
      <c r="A156" s="1" t="s">
        <v>593</v>
      </c>
    </row>
    <row r="157" customFormat="false" ht="17.15" hidden="false" customHeight="false" outlineLevel="0" collapsed="false">
      <c r="A157" s="4" t="s">
        <v>467</v>
      </c>
      <c r="B157" s="4" t="s">
        <v>236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7410.06683399214</v>
      </c>
      <c r="F157" s="14" t="n">
        <f aca="false">F25</f>
        <v>5396.00741044032</v>
      </c>
      <c r="G157" s="14" t="n">
        <f aca="false">G25</f>
        <v>4148.85181448091</v>
      </c>
      <c r="H157" s="21" t="n">
        <f aca="false">G157*(1+H158)</f>
        <v>3537.2401753147</v>
      </c>
      <c r="I157" s="21" t="n">
        <f aca="false">H157*(1+I158)</f>
        <v>3311.88775987894</v>
      </c>
      <c r="J157" s="21" t="n">
        <f aca="false">I157*(1+J158)</f>
        <v>3378.12551507652</v>
      </c>
      <c r="K157" s="8" t="s">
        <v>587</v>
      </c>
    </row>
    <row r="158" customFormat="false" ht="15" hidden="false" customHeight="false" outlineLevel="0" collapsed="false">
      <c r="A158" s="4" t="s">
        <v>588</v>
      </c>
      <c r="B158" s="0" t="s">
        <v>72</v>
      </c>
      <c r="D158" s="10" t="n">
        <f aca="false">D157/C157-1</f>
        <v>0.307404196289232</v>
      </c>
      <c r="E158" s="10" t="n">
        <f aca="false">E157/D157-1</f>
        <v>-0.0172064465911378</v>
      </c>
      <c r="F158" s="10" t="n">
        <f aca="false">F157/E157-1</f>
        <v>-0.271800439681967</v>
      </c>
      <c r="G158" s="10" t="n">
        <f aca="false">G157/F157-1</f>
        <v>-0.231125626986054</v>
      </c>
      <c r="H158" s="22" t="n">
        <f aca="false">$G158+((tp_g-0.02)-$G158)*1/3</f>
        <v>-0.147417084657369</v>
      </c>
      <c r="I158" s="22" t="n">
        <f aca="false">$G158+((tp_g-0.02)-$G158)*2/3</f>
        <v>-0.0637085423286845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589</v>
      </c>
      <c r="B159" s="0" t="s">
        <v>72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0.400856015387528</v>
      </c>
      <c r="F159" s="10" t="n">
        <f aca="false">F160/F157</f>
        <v>0.358022812065763</v>
      </c>
      <c r="G159" s="10" t="n">
        <f aca="false">G160/G157</f>
        <v>0.321869541106909</v>
      </c>
      <c r="H159" s="22" t="n">
        <f aca="false">$G159+(0.8*$G159-$G159)*1/3</f>
        <v>0.300411571699782</v>
      </c>
      <c r="I159" s="22" t="n">
        <f aca="false">$G159+(0.8*$G159-$G159)*2/3</f>
        <v>0.278953602292655</v>
      </c>
      <c r="J159" s="22" t="n">
        <f aca="false">$G159+(0.8*$G159-$G159)*3/3</f>
        <v>0.257495632885527</v>
      </c>
    </row>
    <row r="160" customFormat="false" ht="15" hidden="false" customHeight="false" outlineLevel="0" collapsed="false">
      <c r="A160" s="4" t="s">
        <v>590</v>
      </c>
      <c r="B160" s="4" t="s">
        <v>236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2970.36986482936</v>
      </c>
      <c r="F160" s="14" t="n">
        <f aca="false">F31</f>
        <v>1931.89374701354</v>
      </c>
      <c r="G160" s="14" t="n">
        <f aca="false">G31</f>
        <v>1335.38902964754</v>
      </c>
      <c r="H160" s="21" t="n">
        <f aca="false">H157*H159</f>
        <v>1062.6278805459</v>
      </c>
      <c r="I160" s="21" t="n">
        <f aca="false">I157*I159</f>
        <v>923.86302100718</v>
      </c>
      <c r="J160" s="21" t="n">
        <f aca="false">J157*J159</f>
        <v>869.852567471375</v>
      </c>
    </row>
    <row r="161" customFormat="false" ht="17.15" hidden="false" customHeight="false" outlineLevel="0" collapsed="false">
      <c r="A161" s="0" t="s">
        <v>591</v>
      </c>
      <c r="B161" s="0" t="s">
        <v>312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3097.6516015606</v>
      </c>
      <c r="F161" s="14" t="n">
        <f aca="false">F32</f>
        <v>2014.67629682715</v>
      </c>
      <c r="G161" s="14" t="n">
        <f aca="false">G32</f>
        <v>1392.6110735815</v>
      </c>
      <c r="H161" s="21" t="n">
        <f aca="false">$G161*H160/$G160</f>
        <v>1108.16198178238</v>
      </c>
      <c r="I161" s="21" t="n">
        <f aca="false">$G161*I160/$G160</f>
        <v>963.450983169029</v>
      </c>
      <c r="J161" s="21" t="n">
        <f aca="false">$G161*J160/$G160</f>
        <v>907.126156460686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594</v>
      </c>
    </row>
    <row r="2" customFormat="false" ht="17.15" hidden="false" customHeight="false" outlineLevel="0" collapsed="false">
      <c r="A2" s="0" t="s">
        <v>595</v>
      </c>
    </row>
    <row r="3" customFormat="false" ht="17.15" hidden="false" customHeight="false" outlineLevel="0" collapsed="false">
      <c r="A3" s="4" t="s">
        <v>596</v>
      </c>
    </row>
    <row r="4" customFormat="false" ht="15" hidden="false" customHeight="false" outlineLevel="0" collapsed="false">
      <c r="A4" s="1" t="s">
        <v>597</v>
      </c>
    </row>
    <row r="5" customFormat="false" ht="15" hidden="false" customHeight="false" outlineLevel="0" collapsed="false">
      <c r="A5" s="5" t="s">
        <v>24</v>
      </c>
      <c r="B5" s="5" t="s">
        <v>598</v>
      </c>
      <c r="C5" s="5"/>
      <c r="D5" s="5"/>
      <c r="E5" s="5" t="s">
        <v>416</v>
      </c>
    </row>
    <row r="6" customFormat="false" ht="17.15" hidden="false" customHeight="false" outlineLevel="0" collapsed="false">
      <c r="A6" s="23" t="s">
        <v>599</v>
      </c>
      <c r="B6" s="24" t="n">
        <f aca="false">tp_wA*B8+tp_wB*B9+tp_wC*B10</f>
        <v>64078.0210298826</v>
      </c>
      <c r="C6" s="23"/>
      <c r="D6" s="23"/>
      <c r="E6" s="23" t="s">
        <v>600</v>
      </c>
    </row>
    <row r="7" customFormat="false" ht="17.15" hidden="false" customHeight="false" outlineLevel="0" collapsed="false">
      <c r="A7" s="4" t="s">
        <v>601</v>
      </c>
      <c r="B7" s="10" t="n">
        <f aca="false">B6/px-1</f>
        <v>-0.66006354891309</v>
      </c>
      <c r="E7" s="4" t="s">
        <v>602</v>
      </c>
    </row>
    <row r="8" customFormat="false" ht="17.15" hidden="false" customHeight="false" outlineLevel="0" collapsed="false">
      <c r="A8" s="4" t="s">
        <v>603</v>
      </c>
      <c r="B8" s="14" t="n">
        <f aca="false">F44</f>
        <v>66816.3450456621</v>
      </c>
      <c r="E8" s="8" t="s">
        <v>604</v>
      </c>
    </row>
    <row r="9" customFormat="false" ht="17.15" hidden="false" customHeight="false" outlineLevel="0" collapsed="false">
      <c r="A9" s="4" t="s">
        <v>605</v>
      </c>
      <c r="B9" s="14" t="n">
        <f aca="false">F51</f>
        <v>66816.3450456621</v>
      </c>
      <c r="E9" s="8" t="s">
        <v>606</v>
      </c>
    </row>
    <row r="10" customFormat="false" ht="17.15" hidden="false" customHeight="false" outlineLevel="0" collapsed="false">
      <c r="A10" s="4" t="s">
        <v>607</v>
      </c>
      <c r="B10" s="14" t="n">
        <f aca="false">F58</f>
        <v>53124.7249667643</v>
      </c>
      <c r="E10" s="8" t="s">
        <v>608</v>
      </c>
    </row>
    <row r="11" customFormat="false" ht="17.15" hidden="false" customHeight="false" outlineLevel="0" collapsed="false">
      <c r="A11" s="4" t="s">
        <v>609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610</v>
      </c>
    </row>
    <row r="12" customFormat="false" ht="17.15" hidden="false" customHeight="false" outlineLevel="0" collapsed="false">
      <c r="A12" s="4" t="s">
        <v>611</v>
      </c>
      <c r="B12" s="0" t="s">
        <v>612</v>
      </c>
    </row>
    <row r="14" customFormat="false" ht="17.15" hidden="false" customHeight="false" outlineLevel="0" collapsed="false">
      <c r="A14" s="6" t="s">
        <v>613</v>
      </c>
    </row>
    <row r="15" customFormat="false" ht="17.15" hidden="false" customHeight="false" outlineLevel="0" collapsed="false">
      <c r="A15" s="5" t="s">
        <v>614</v>
      </c>
      <c r="B15" s="5" t="s">
        <v>615</v>
      </c>
      <c r="C15" s="5" t="s">
        <v>616</v>
      </c>
      <c r="D15" s="5" t="s">
        <v>617</v>
      </c>
      <c r="E15" s="5" t="s">
        <v>29</v>
      </c>
      <c r="F15" s="5" t="s">
        <v>618</v>
      </c>
    </row>
    <row r="16" customFormat="false" ht="17.15" hidden="false" customHeight="false" outlineLevel="0" collapsed="false">
      <c r="A16" s="0" t="s">
        <v>619</v>
      </c>
      <c r="B16" s="26" t="n">
        <v>23.2</v>
      </c>
      <c r="C16" s="17"/>
      <c r="D16" s="17" t="str">
        <f aca="false">IF(C16="","",B16-C16)</f>
        <v/>
      </c>
      <c r="E16" s="8" t="s">
        <v>620</v>
      </c>
      <c r="F16" s="4" t="s">
        <v>621</v>
      </c>
    </row>
    <row r="17" customFormat="false" ht="17.15" hidden="false" customHeight="false" outlineLevel="0" collapsed="false">
      <c r="A17" s="0" t="s">
        <v>622</v>
      </c>
      <c r="B17" s="26" t="n">
        <v>55</v>
      </c>
      <c r="C17" s="17"/>
      <c r="D17" s="17" t="str">
        <f aca="false">IF(C17="","",B17-C17)</f>
        <v/>
      </c>
      <c r="E17" s="8" t="s">
        <v>620</v>
      </c>
      <c r="F17" s="4" t="s">
        <v>382</v>
      </c>
    </row>
    <row r="18" customFormat="false" ht="17.15" hidden="false" customHeight="false" outlineLevel="0" collapsed="false">
      <c r="A18" s="0" t="s">
        <v>623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620</v>
      </c>
      <c r="F18" s="8" t="s">
        <v>624</v>
      </c>
    </row>
    <row r="19" customFormat="false" ht="17.15" hidden="false" customHeight="false" outlineLevel="0" collapsed="false">
      <c r="A19" s="0" t="s">
        <v>625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620</v>
      </c>
      <c r="F19" s="8" t="s">
        <v>626</v>
      </c>
    </row>
    <row r="20" customFormat="false" ht="17.15" hidden="false" customHeight="false" outlineLevel="0" collapsed="false">
      <c r="A20" s="0" t="s">
        <v>627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620</v>
      </c>
      <c r="F20" s="8" t="s">
        <v>628</v>
      </c>
    </row>
    <row r="21" customFormat="false" ht="17.15" hidden="false" customHeight="false" outlineLevel="0" collapsed="false">
      <c r="A21" s="0" t="s">
        <v>629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620</v>
      </c>
      <c r="F21" s="8" t="s">
        <v>630</v>
      </c>
    </row>
    <row r="22" customFormat="false" ht="17.15" hidden="false" customHeight="false" outlineLevel="0" collapsed="false">
      <c r="A22" s="0" t="s">
        <v>631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620</v>
      </c>
      <c r="F22" s="8" t="s">
        <v>632</v>
      </c>
    </row>
    <row r="23" customFormat="false" ht="17.15" hidden="false" customHeight="false" outlineLevel="0" collapsed="false">
      <c r="A23" s="0" t="s">
        <v>633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620</v>
      </c>
      <c r="F23" s="8" t="s">
        <v>634</v>
      </c>
    </row>
    <row r="24" customFormat="false" ht="17.15" hidden="false" customHeight="false" outlineLevel="0" collapsed="false">
      <c r="A24" s="0" t="s">
        <v>635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620</v>
      </c>
      <c r="F24" s="8" t="s">
        <v>634</v>
      </c>
    </row>
    <row r="25" customFormat="false" ht="17.15" hidden="false" customHeight="false" outlineLevel="0" collapsed="false">
      <c r="A25" s="0" t="s">
        <v>636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620</v>
      </c>
      <c r="F25" s="8" t="s">
        <v>634</v>
      </c>
    </row>
    <row r="26" customFormat="false" ht="17.15" hidden="false" customHeight="false" outlineLevel="0" collapsed="false">
      <c r="A26" s="4" t="s">
        <v>637</v>
      </c>
    </row>
    <row r="28" customFormat="false" ht="17.15" hidden="false" customHeight="false" outlineLevel="0" collapsed="false">
      <c r="A28" s="6" t="s">
        <v>638</v>
      </c>
    </row>
    <row r="29" customFormat="false" ht="17.15" hidden="false" customHeight="false" outlineLevel="0" collapsed="false">
      <c r="A29" s="5" t="s">
        <v>639</v>
      </c>
      <c r="B29" s="5" t="s">
        <v>640</v>
      </c>
      <c r="C29" s="5" t="s">
        <v>30</v>
      </c>
      <c r="D29" s="5" t="s">
        <v>641</v>
      </c>
      <c r="E29" s="5" t="s">
        <v>642</v>
      </c>
    </row>
    <row r="30" customFormat="false" ht="17.15" hidden="false" customHeight="false" outlineLevel="0" collapsed="false">
      <c r="A30" s="0" t="s">
        <v>643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644</v>
      </c>
    </row>
    <row r="31" customFormat="false" ht="15" hidden="false" customHeight="false" outlineLevel="0" collapsed="false">
      <c r="A31" s="4" t="s">
        <v>645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646</v>
      </c>
    </row>
    <row r="32" customFormat="false" ht="17.15" hidden="false" customHeight="false" outlineLevel="0" collapsed="false">
      <c r="A32" s="0" t="s">
        <v>647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648</v>
      </c>
    </row>
    <row r="33" customFormat="false" ht="15" hidden="false" customHeight="false" outlineLevel="0" collapsed="false">
      <c r="A33" s="4" t="s">
        <v>649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650</v>
      </c>
    </row>
    <row r="36" customFormat="false" ht="17.15" hidden="false" customHeight="false" outlineLevel="0" collapsed="false">
      <c r="A36" s="4" t="s">
        <v>651</v>
      </c>
    </row>
    <row r="37" customFormat="false" ht="17.15" hidden="false" customHeight="false" outlineLevel="0" collapsed="false">
      <c r="A37" s="5" t="s">
        <v>652</v>
      </c>
      <c r="B37" s="5" t="s">
        <v>653</v>
      </c>
      <c r="C37" s="13" t="s">
        <v>654</v>
      </c>
      <c r="D37" s="5" t="s">
        <v>655</v>
      </c>
      <c r="E37" s="5" t="s">
        <v>656</v>
      </c>
      <c r="F37" s="5" t="s">
        <v>657</v>
      </c>
    </row>
    <row r="38" customFormat="false" ht="15" hidden="false" customHeight="false" outlineLevel="0" collapsed="false">
      <c r="A38" s="0" t="s">
        <v>658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659</v>
      </c>
    </row>
    <row r="39" customFormat="false" ht="15" hidden="false" customHeight="false" outlineLevel="0" collapsed="false">
      <c r="A39" s="0" t="s">
        <v>660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659</v>
      </c>
    </row>
    <row r="40" customFormat="false" ht="15" hidden="false" customHeight="false" outlineLevel="0" collapsed="false">
      <c r="A40" s="0" t="s">
        <v>661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659</v>
      </c>
    </row>
    <row r="42" customFormat="false" ht="17.15" hidden="false" customHeight="false" outlineLevel="0" collapsed="false">
      <c r="A42" s="6" t="s">
        <v>662</v>
      </c>
    </row>
    <row r="43" customFormat="false" ht="17.15" hidden="false" customHeight="false" outlineLevel="0" collapsed="false">
      <c r="A43" s="5" t="s">
        <v>652</v>
      </c>
      <c r="B43" s="13" t="s">
        <v>663</v>
      </c>
      <c r="C43" s="13" t="s">
        <v>539</v>
      </c>
      <c r="D43" s="5" t="s">
        <v>664</v>
      </c>
      <c r="E43" s="5" t="s">
        <v>656</v>
      </c>
      <c r="F43" s="5" t="s">
        <v>665</v>
      </c>
      <c r="G43" s="5" t="s">
        <v>666</v>
      </c>
      <c r="H43" s="5" t="s">
        <v>667</v>
      </c>
    </row>
    <row r="44" customFormat="false" ht="15" hidden="false" customHeight="false" outlineLevel="0" collapsed="false">
      <c r="A44" s="27" t="s">
        <v>658</v>
      </c>
      <c r="B44" s="27" t="s">
        <v>531</v>
      </c>
      <c r="C44" s="24" t="n">
        <f aca="false">PL!E12</f>
        <v>3097.6516015606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66816.3450456621</v>
      </c>
      <c r="G44" s="29" t="n">
        <f aca="false">F44/px-1</f>
        <v>-0.645536631057495</v>
      </c>
      <c r="H44" s="27"/>
    </row>
    <row r="45" customFormat="false" ht="17.15" hidden="false" customHeight="false" outlineLevel="0" collapsed="false">
      <c r="A45" s="0" t="s">
        <v>658</v>
      </c>
      <c r="B45" s="0" t="s">
        <v>531</v>
      </c>
      <c r="C45" s="14" t="n">
        <f aca="false">PL!E12</f>
        <v>3097.6516015606</v>
      </c>
      <c r="D45" s="4" t="s">
        <v>668</v>
      </c>
      <c r="E45" s="17" t="n">
        <f aca="false">pe_peak</f>
        <v>17.15</v>
      </c>
      <c r="F45" s="14" t="n">
        <f aca="false">C45*E45</f>
        <v>53124.7249667643</v>
      </c>
      <c r="G45" s="25" t="n">
        <f aca="false">F45/px-1</f>
        <v>-0.718171220335468</v>
      </c>
    </row>
    <row r="46" customFormat="false" ht="15" hidden="false" customHeight="false" outlineLevel="0" collapsed="false">
      <c r="A46" s="0" t="s">
        <v>658</v>
      </c>
      <c r="B46" s="0" t="s">
        <v>531</v>
      </c>
      <c r="C46" s="14" t="n">
        <f aca="false">PL!E12</f>
        <v>3097.6516015606</v>
      </c>
      <c r="D46" s="4" t="s">
        <v>669</v>
      </c>
      <c r="E46" s="17" t="n">
        <f aca="false">pe_mid</f>
        <v>21.57</v>
      </c>
      <c r="F46" s="14" t="n">
        <f aca="false">C46*E46</f>
        <v>66816.3450456621</v>
      </c>
      <c r="G46" s="25" t="n">
        <f aca="false">F46/px-1</f>
        <v>-0.645536631057495</v>
      </c>
    </row>
    <row r="47" customFormat="false" ht="17.15" hidden="false" customHeight="false" outlineLevel="0" collapsed="false">
      <c r="A47" s="0" t="s">
        <v>658</v>
      </c>
      <c r="B47" s="0" t="s">
        <v>531</v>
      </c>
      <c r="C47" s="14" t="n">
        <f aca="false">PL!E12</f>
        <v>3097.6516015606</v>
      </c>
      <c r="D47" s="4" t="s">
        <v>670</v>
      </c>
      <c r="E47" s="17" t="n">
        <f aca="false">pe_trough</f>
        <v>39.17</v>
      </c>
      <c r="F47" s="14" t="n">
        <f aca="false">C47*E47</f>
        <v>121335.013233129</v>
      </c>
      <c r="G47" s="25" t="n">
        <f aca="false">F47/px-1</f>
        <v>-0.356312927145206</v>
      </c>
    </row>
    <row r="48" customFormat="false" ht="17.15" hidden="false" customHeight="false" outlineLevel="0" collapsed="false">
      <c r="A48" s="0" t="s">
        <v>658</v>
      </c>
      <c r="B48" s="0" t="s">
        <v>532</v>
      </c>
      <c r="C48" s="14" t="n">
        <f aca="false">PL!F12</f>
        <v>2362.58802862435</v>
      </c>
      <c r="D48" s="4" t="s">
        <v>668</v>
      </c>
      <c r="E48" s="17" t="n">
        <f aca="false">pe_peak</f>
        <v>17.15</v>
      </c>
      <c r="F48" s="14" t="n">
        <f aca="false">C48*E48</f>
        <v>40518.3846909076</v>
      </c>
      <c r="G48" s="25" t="n">
        <f aca="false">F48/px-1</f>
        <v>-0.785048357077413</v>
      </c>
    </row>
    <row r="49" customFormat="false" ht="15" hidden="false" customHeight="false" outlineLevel="0" collapsed="false">
      <c r="A49" s="0" t="s">
        <v>658</v>
      </c>
      <c r="B49" s="0" t="s">
        <v>532</v>
      </c>
      <c r="C49" s="14" t="n">
        <f aca="false">PL!F12</f>
        <v>2362.58802862435</v>
      </c>
      <c r="D49" s="4" t="s">
        <v>669</v>
      </c>
      <c r="E49" s="17" t="n">
        <f aca="false">pe_mid</f>
        <v>21.57</v>
      </c>
      <c r="F49" s="14" t="n">
        <f aca="false">C49*E49</f>
        <v>50961.0237774273</v>
      </c>
      <c r="G49" s="25" t="n">
        <f aca="false">F49/px-1</f>
        <v>-0.729649741233807</v>
      </c>
    </row>
    <row r="50" customFormat="false" ht="17.15" hidden="false" customHeight="false" outlineLevel="0" collapsed="false">
      <c r="A50" s="0" t="s">
        <v>658</v>
      </c>
      <c r="B50" s="0" t="s">
        <v>532</v>
      </c>
      <c r="C50" s="14" t="n">
        <f aca="false">PL!F12</f>
        <v>2362.58802862435</v>
      </c>
      <c r="D50" s="4" t="s">
        <v>670</v>
      </c>
      <c r="E50" s="17" t="n">
        <f aca="false">pe_trough</f>
        <v>39.17</v>
      </c>
      <c r="F50" s="14" t="n">
        <f aca="false">C50*E50</f>
        <v>92542.5730812159</v>
      </c>
      <c r="G50" s="25" t="n">
        <f aca="false">F50/px-1</f>
        <v>-0.509057967738908</v>
      </c>
    </row>
    <row r="51" customFormat="false" ht="15" hidden="false" customHeight="false" outlineLevel="0" collapsed="false">
      <c r="A51" s="27" t="s">
        <v>660</v>
      </c>
      <c r="B51" s="27" t="s">
        <v>531</v>
      </c>
      <c r="C51" s="24" t="n">
        <f aca="false">PL!E22</f>
        <v>3097.6516015606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66816.3450456621</v>
      </c>
      <c r="G51" s="29" t="n">
        <f aca="false">F51/px-1</f>
        <v>-0.645536631057495</v>
      </c>
      <c r="H51" s="27"/>
    </row>
    <row r="52" customFormat="false" ht="17.15" hidden="false" customHeight="false" outlineLevel="0" collapsed="false">
      <c r="A52" s="0" t="s">
        <v>660</v>
      </c>
      <c r="B52" s="0" t="s">
        <v>531</v>
      </c>
      <c r="C52" s="14" t="n">
        <f aca="false">PL!E22</f>
        <v>3097.6516015606</v>
      </c>
      <c r="D52" s="4" t="s">
        <v>668</v>
      </c>
      <c r="E52" s="17" t="n">
        <f aca="false">pe_peak</f>
        <v>17.15</v>
      </c>
      <c r="F52" s="14" t="n">
        <f aca="false">C52*E52</f>
        <v>53124.7249667643</v>
      </c>
      <c r="G52" s="25" t="n">
        <f aca="false">F52/px-1</f>
        <v>-0.718171220335468</v>
      </c>
    </row>
    <row r="53" customFormat="false" ht="15" hidden="false" customHeight="false" outlineLevel="0" collapsed="false">
      <c r="A53" s="0" t="s">
        <v>660</v>
      </c>
      <c r="B53" s="0" t="s">
        <v>531</v>
      </c>
      <c r="C53" s="14" t="n">
        <f aca="false">PL!E22</f>
        <v>3097.6516015606</v>
      </c>
      <c r="D53" s="4" t="s">
        <v>669</v>
      </c>
      <c r="E53" s="17" t="n">
        <f aca="false">pe_mid</f>
        <v>21.57</v>
      </c>
      <c r="F53" s="14" t="n">
        <f aca="false">C53*E53</f>
        <v>66816.3450456621</v>
      </c>
      <c r="G53" s="25" t="n">
        <f aca="false">F53/px-1</f>
        <v>-0.645536631057495</v>
      </c>
    </row>
    <row r="54" customFormat="false" ht="17.15" hidden="false" customHeight="false" outlineLevel="0" collapsed="false">
      <c r="A54" s="0" t="s">
        <v>660</v>
      </c>
      <c r="B54" s="0" t="s">
        <v>531</v>
      </c>
      <c r="C54" s="14" t="n">
        <f aca="false">PL!E22</f>
        <v>3097.6516015606</v>
      </c>
      <c r="D54" s="4" t="s">
        <v>670</v>
      </c>
      <c r="E54" s="17" t="n">
        <f aca="false">pe_trough</f>
        <v>39.17</v>
      </c>
      <c r="F54" s="14" t="n">
        <f aca="false">C54*E54</f>
        <v>121335.013233129</v>
      </c>
      <c r="G54" s="25" t="n">
        <f aca="false">F54/px-1</f>
        <v>-0.356312927145206</v>
      </c>
    </row>
    <row r="55" customFormat="false" ht="17.15" hidden="false" customHeight="false" outlineLevel="0" collapsed="false">
      <c r="A55" s="0" t="s">
        <v>660</v>
      </c>
      <c r="B55" s="0" t="s">
        <v>532</v>
      </c>
      <c r="C55" s="14" t="n">
        <f aca="false">PL!F22</f>
        <v>2925.66639942315</v>
      </c>
      <c r="D55" s="4" t="s">
        <v>668</v>
      </c>
      <c r="E55" s="17" t="n">
        <f aca="false">pe_peak</f>
        <v>17.15</v>
      </c>
      <c r="F55" s="14" t="n">
        <f aca="false">C55*E55</f>
        <v>50175.1787501071</v>
      </c>
      <c r="G55" s="25" t="n">
        <f aca="false">F55/px-1</f>
        <v>-0.733818680370785</v>
      </c>
    </row>
    <row r="56" customFormat="false" ht="15" hidden="false" customHeight="false" outlineLevel="0" collapsed="false">
      <c r="A56" s="0" t="s">
        <v>660</v>
      </c>
      <c r="B56" s="0" t="s">
        <v>532</v>
      </c>
      <c r="C56" s="14" t="n">
        <f aca="false">PL!F22</f>
        <v>2925.66639942315</v>
      </c>
      <c r="D56" s="4" t="s">
        <v>669</v>
      </c>
      <c r="E56" s="17" t="n">
        <f aca="false">pe_mid</f>
        <v>21.57</v>
      </c>
      <c r="F56" s="14" t="n">
        <f aca="false">C56*E56</f>
        <v>63106.6242355574</v>
      </c>
      <c r="G56" s="25" t="n">
        <f aca="false">F56/px-1</f>
        <v>-0.665216847556725</v>
      </c>
    </row>
    <row r="57" customFormat="false" ht="17.15" hidden="false" customHeight="false" outlineLevel="0" collapsed="false">
      <c r="A57" s="0" t="s">
        <v>660</v>
      </c>
      <c r="B57" s="0" t="s">
        <v>532</v>
      </c>
      <c r="C57" s="14" t="n">
        <f aca="false">PL!F22</f>
        <v>2925.66639942315</v>
      </c>
      <c r="D57" s="4" t="s">
        <v>670</v>
      </c>
      <c r="E57" s="17" t="n">
        <f aca="false">pe_trough</f>
        <v>39.17</v>
      </c>
      <c r="F57" s="14" t="n">
        <f aca="false">C57*E57</f>
        <v>114598.352865405</v>
      </c>
      <c r="G57" s="25" t="n">
        <f aca="false">F57/px-1</f>
        <v>-0.392051178432865</v>
      </c>
    </row>
    <row r="58" customFormat="false" ht="15" hidden="false" customHeight="false" outlineLevel="0" collapsed="false">
      <c r="A58" s="27" t="s">
        <v>661</v>
      </c>
      <c r="B58" s="27" t="s">
        <v>531</v>
      </c>
      <c r="C58" s="24" t="n">
        <f aca="false">PL!E32</f>
        <v>3097.6516015606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53124.7249667643</v>
      </c>
      <c r="G58" s="29" t="n">
        <f aca="false">F58/px-1</f>
        <v>-0.718171220335468</v>
      </c>
      <c r="H58" s="27"/>
    </row>
    <row r="59" customFormat="false" ht="17.15" hidden="false" customHeight="false" outlineLevel="0" collapsed="false">
      <c r="A59" s="0" t="s">
        <v>661</v>
      </c>
      <c r="B59" s="0" t="s">
        <v>531</v>
      </c>
      <c r="C59" s="14" t="n">
        <f aca="false">PL!E32</f>
        <v>3097.6516015606</v>
      </c>
      <c r="D59" s="4" t="s">
        <v>668</v>
      </c>
      <c r="E59" s="17" t="n">
        <f aca="false">pe_peak</f>
        <v>17.15</v>
      </c>
      <c r="F59" s="14" t="n">
        <f aca="false">C59*E59</f>
        <v>53124.7249667643</v>
      </c>
      <c r="G59" s="25" t="n">
        <f aca="false">F59/px-1</f>
        <v>-0.718171220335468</v>
      </c>
    </row>
    <row r="60" customFormat="false" ht="15" hidden="false" customHeight="false" outlineLevel="0" collapsed="false">
      <c r="A60" s="0" t="s">
        <v>661</v>
      </c>
      <c r="B60" s="0" t="s">
        <v>531</v>
      </c>
      <c r="C60" s="14" t="n">
        <f aca="false">PL!E32</f>
        <v>3097.6516015606</v>
      </c>
      <c r="D60" s="4" t="s">
        <v>669</v>
      </c>
      <c r="E60" s="17" t="n">
        <f aca="false">pe_mid</f>
        <v>21.57</v>
      </c>
      <c r="F60" s="14" t="n">
        <f aca="false">C60*E60</f>
        <v>66816.3450456621</v>
      </c>
      <c r="G60" s="25" t="n">
        <f aca="false">F60/px-1</f>
        <v>-0.645536631057495</v>
      </c>
    </row>
    <row r="61" customFormat="false" ht="17.15" hidden="false" customHeight="false" outlineLevel="0" collapsed="false">
      <c r="A61" s="0" t="s">
        <v>661</v>
      </c>
      <c r="B61" s="0" t="s">
        <v>531</v>
      </c>
      <c r="C61" s="14" t="n">
        <f aca="false">PL!E32</f>
        <v>3097.6516015606</v>
      </c>
      <c r="D61" s="4" t="s">
        <v>670</v>
      </c>
      <c r="E61" s="17" t="n">
        <f aca="false">pe_trough</f>
        <v>39.17</v>
      </c>
      <c r="F61" s="14" t="n">
        <f aca="false">C61*E61</f>
        <v>121335.013233129</v>
      </c>
      <c r="G61" s="25" t="n">
        <f aca="false">F61/px-1</f>
        <v>-0.356312927145206</v>
      </c>
    </row>
    <row r="62" customFormat="false" ht="17.15" hidden="false" customHeight="false" outlineLevel="0" collapsed="false">
      <c r="A62" s="0" t="s">
        <v>661</v>
      </c>
      <c r="B62" s="0" t="s">
        <v>532</v>
      </c>
      <c r="C62" s="14" t="n">
        <f aca="false">PL!F32</f>
        <v>2014.67629682715</v>
      </c>
      <c r="D62" s="4" t="s">
        <v>668</v>
      </c>
      <c r="E62" s="17" t="n">
        <f aca="false">pe_peak</f>
        <v>17.15</v>
      </c>
      <c r="F62" s="14" t="n">
        <f aca="false">C62*E62</f>
        <v>34551.6984905857</v>
      </c>
      <c r="G62" s="25" t="n">
        <f aca="false">F62/px-1</f>
        <v>-0.816701864771429</v>
      </c>
    </row>
    <row r="63" customFormat="false" ht="15" hidden="false" customHeight="false" outlineLevel="0" collapsed="false">
      <c r="A63" s="0" t="s">
        <v>661</v>
      </c>
      <c r="B63" s="0" t="s">
        <v>532</v>
      </c>
      <c r="C63" s="14" t="n">
        <f aca="false">PL!F32</f>
        <v>2014.67629682715</v>
      </c>
      <c r="D63" s="4" t="s">
        <v>669</v>
      </c>
      <c r="E63" s="17" t="n">
        <f aca="false">pe_mid</f>
        <v>21.57</v>
      </c>
      <c r="F63" s="14" t="n">
        <f aca="false">C63*E63</f>
        <v>43456.5677225617</v>
      </c>
      <c r="G63" s="25" t="n">
        <f aca="false">F63/px-1</f>
        <v>-0.769461179190654</v>
      </c>
    </row>
    <row r="64" customFormat="false" ht="17.15" hidden="false" customHeight="false" outlineLevel="0" collapsed="false">
      <c r="A64" s="0" t="s">
        <v>661</v>
      </c>
      <c r="B64" s="0" t="s">
        <v>532</v>
      </c>
      <c r="C64" s="14" t="n">
        <f aca="false">PL!F32</f>
        <v>2014.67629682715</v>
      </c>
      <c r="D64" s="4" t="s">
        <v>670</v>
      </c>
      <c r="E64" s="17" t="n">
        <f aca="false">pe_trough</f>
        <v>39.17</v>
      </c>
      <c r="F64" s="14" t="n">
        <f aca="false">C64*E64</f>
        <v>78914.8705467196</v>
      </c>
      <c r="G64" s="25" t="n">
        <f aca="false">F64/px-1</f>
        <v>-0.581353471900692</v>
      </c>
    </row>
    <row r="66" customFormat="false" ht="17.15" hidden="false" customHeight="false" outlineLevel="0" collapsed="false">
      <c r="A66" s="6" t="s">
        <v>671</v>
      </c>
    </row>
    <row r="67" customFormat="false" ht="15" hidden="false" customHeight="false" outlineLevel="0" collapsed="false">
      <c r="A67" s="5" t="s">
        <v>24</v>
      </c>
      <c r="B67" s="13" t="s">
        <v>658</v>
      </c>
      <c r="C67" s="13" t="s">
        <v>660</v>
      </c>
      <c r="D67" s="13" t="s">
        <v>661</v>
      </c>
      <c r="E67" s="5" t="s">
        <v>667</v>
      </c>
    </row>
    <row r="68" customFormat="false" ht="17.15" hidden="false" customHeight="false" outlineLevel="0" collapsed="false">
      <c r="A68" s="4" t="s">
        <v>672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673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674</v>
      </c>
      <c r="B70" s="17" t="n">
        <f aca="false">px/PL!E12</f>
        <v>60.8525503336248</v>
      </c>
      <c r="C70" s="17" t="n">
        <f aca="false">px/PL!E22</f>
        <v>60.8525503336248</v>
      </c>
      <c r="D70" s="17" t="n">
        <f aca="false">px/PL!E32</f>
        <v>60.8525503336248</v>
      </c>
    </row>
    <row r="71" customFormat="false" ht="17.15" hidden="false" customHeight="false" outlineLevel="0" collapsed="false">
      <c r="A71" s="4" t="s">
        <v>675</v>
      </c>
      <c r="B71" s="17" t="n">
        <f aca="false">px/PL!F12</f>
        <v>79.7853869215432</v>
      </c>
      <c r="C71" s="17" t="n">
        <f aca="false">px/PL!F22</f>
        <v>64.4297654842555</v>
      </c>
      <c r="D71" s="17" t="n">
        <f aca="false">px/PL!F32</f>
        <v>93.5634177544364</v>
      </c>
    </row>
    <row r="72" customFormat="false" ht="17.15" hidden="false" customHeight="false" outlineLevel="0" collapsed="false">
      <c r="A72" s="4" t="s">
        <v>676</v>
      </c>
      <c r="B72" s="7" t="n">
        <v>116.68</v>
      </c>
      <c r="E72" s="4" t="s">
        <v>677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678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679</v>
      </c>
      <c r="B74" s="19" t="n">
        <f aca="false">B70/E38</f>
        <v>2.82116598672345</v>
      </c>
      <c r="E74" s="8" t="s">
        <v>680</v>
      </c>
    </row>
    <row r="77" customFormat="false" ht="17.15" hidden="false" customHeight="false" outlineLevel="0" collapsed="false">
      <c r="A77" s="6" t="s">
        <v>681</v>
      </c>
    </row>
    <row r="78" customFormat="false" ht="17.15" hidden="false" customHeight="false" outlineLevel="0" collapsed="false">
      <c r="A78" s="6" t="s">
        <v>682</v>
      </c>
    </row>
    <row r="79" customFormat="false" ht="17.15" hidden="false" customHeight="false" outlineLevel="0" collapsed="false">
      <c r="A79" s="5" t="s">
        <v>24</v>
      </c>
      <c r="B79" s="13" t="s">
        <v>683</v>
      </c>
      <c r="C79" s="13" t="s">
        <v>684</v>
      </c>
      <c r="D79" s="13" t="s">
        <v>685</v>
      </c>
      <c r="E79" s="5" t="s">
        <v>416</v>
      </c>
    </row>
    <row r="80" customFormat="false" ht="17.15" hidden="false" customHeight="false" outlineLevel="0" collapsed="false">
      <c r="A80" s="4" t="s">
        <v>686</v>
      </c>
      <c r="E80" s="0" t="s">
        <v>687</v>
      </c>
    </row>
    <row r="81" customFormat="false" ht="15" hidden="false" customHeight="false" outlineLevel="0" collapsed="false">
      <c r="A81" s="0" t="s">
        <v>688</v>
      </c>
      <c r="B81" s="14" t="n">
        <f aca="false">PL!E147</f>
        <v>3097.6516015606</v>
      </c>
      <c r="C81" s="14" t="n">
        <f aca="false">PL!E154</f>
        <v>3097.6516015606</v>
      </c>
      <c r="D81" s="14" t="n">
        <f aca="false">PL!E161</f>
        <v>3097.6516015606</v>
      </c>
    </row>
    <row r="82" customFormat="false" ht="15" hidden="false" customHeight="false" outlineLevel="0" collapsed="false">
      <c r="A82" s="0" t="s">
        <v>689</v>
      </c>
      <c r="B82" s="14" t="n">
        <f aca="false">PL!F147</f>
        <v>2362.58802862435</v>
      </c>
      <c r="C82" s="14" t="n">
        <f aca="false">PL!F154</f>
        <v>2925.66639942315</v>
      </c>
      <c r="D82" s="14" t="n">
        <f aca="false">PL!F161</f>
        <v>2014.67629682715</v>
      </c>
    </row>
    <row r="83" customFormat="false" ht="15" hidden="false" customHeight="false" outlineLevel="0" collapsed="false">
      <c r="A83" s="0" t="s">
        <v>690</v>
      </c>
      <c r="B83" s="14" t="n">
        <f aca="false">PL!G147</f>
        <v>2332.08472191123</v>
      </c>
      <c r="C83" s="14" t="n">
        <f aca="false">PL!G154</f>
        <v>2263.14483904233</v>
      </c>
      <c r="D83" s="14" t="n">
        <f aca="false">PL!G161</f>
        <v>1392.6110735815</v>
      </c>
    </row>
    <row r="84" customFormat="false" ht="15" hidden="false" customHeight="false" outlineLevel="0" collapsed="false">
      <c r="A84" s="0" t="s">
        <v>691</v>
      </c>
      <c r="B84" s="14" t="n">
        <f aca="false">PL!H147</f>
        <v>2361.29527702636</v>
      </c>
      <c r="C84" s="14" t="n">
        <f aca="false">PL!H154</f>
        <v>1922.61737380778</v>
      </c>
      <c r="D84" s="14" t="n">
        <f aca="false">PL!H161</f>
        <v>1108.16198178238</v>
      </c>
    </row>
    <row r="85" customFormat="false" ht="15" hidden="false" customHeight="false" outlineLevel="0" collapsed="false">
      <c r="A85" s="0" t="s">
        <v>692</v>
      </c>
      <c r="B85" s="14" t="n">
        <f aca="false">PL!I147</f>
        <v>2446.92235147368</v>
      </c>
      <c r="C85" s="14" t="n">
        <f aca="false">PL!I154</f>
        <v>1780.97939388288</v>
      </c>
      <c r="D85" s="14" t="n">
        <f aca="false">PL!I161</f>
        <v>963.450983169029</v>
      </c>
    </row>
    <row r="86" customFormat="false" ht="15" hidden="false" customHeight="false" outlineLevel="0" collapsed="false">
      <c r="A86" s="0" t="s">
        <v>693</v>
      </c>
      <c r="B86" s="14" t="n">
        <f aca="false">PL!J147</f>
        <v>2593.7376925621</v>
      </c>
      <c r="C86" s="14" t="n">
        <f aca="false">PL!J154</f>
        <v>1786.06790643684</v>
      </c>
      <c r="D86" s="14" t="n">
        <f aca="false">PL!J161</f>
        <v>907.126156460686</v>
      </c>
    </row>
    <row r="87" customFormat="false" ht="17.15" hidden="false" customHeight="false" outlineLevel="0" collapsed="false">
      <c r="A87" s="4" t="s">
        <v>694</v>
      </c>
      <c r="E87" s="4" t="s">
        <v>695</v>
      </c>
    </row>
    <row r="88" customFormat="false" ht="17.15" hidden="false" customHeight="false" outlineLevel="0" collapsed="false">
      <c r="A88" s="4" t="s">
        <v>696</v>
      </c>
      <c r="B88" s="10" t="n">
        <f aca="false">MIN(tp_g/tp_roe,0.8)</f>
        <v>0.101928140660834</v>
      </c>
      <c r="E88" s="8" t="s">
        <v>697</v>
      </c>
    </row>
    <row r="89" customFormat="false" ht="15" hidden="false" customHeight="false" outlineLevel="0" collapsed="false">
      <c r="A89" s="0" t="s">
        <v>688</v>
      </c>
      <c r="B89" s="14" t="n">
        <f aca="false">B81*(1-$B$88)</f>
        <v>2781.91373339847</v>
      </c>
      <c r="C89" s="14" t="n">
        <f aca="false">C81*(1-$B$88)</f>
        <v>2781.91373339847</v>
      </c>
      <c r="D89" s="14" t="n">
        <f aca="false">D81*(1-$B$88)</f>
        <v>2781.91373339847</v>
      </c>
    </row>
    <row r="90" customFormat="false" ht="15" hidden="false" customHeight="false" outlineLevel="0" collapsed="false">
      <c r="A90" s="0" t="s">
        <v>689</v>
      </c>
      <c r="B90" s="14" t="n">
        <f aca="false">B82*(1-$B$88)</f>
        <v>2121.77382371913</v>
      </c>
      <c r="C90" s="14" t="n">
        <f aca="false">C82*(1-$B$88)</f>
        <v>2627.45866313607</v>
      </c>
      <c r="D90" s="14" t="n">
        <f aca="false">D82*(1-$B$88)</f>
        <v>1809.32408785811</v>
      </c>
    </row>
    <row r="91" customFormat="false" ht="15" hidden="false" customHeight="false" outlineLevel="0" collapsed="false">
      <c r="A91" s="0" t="s">
        <v>690</v>
      </c>
      <c r="B91" s="14" t="n">
        <f aca="false">B83*(1-$B$88)</f>
        <v>2094.37966234328</v>
      </c>
      <c r="C91" s="14" t="n">
        <f aca="false">C83*(1-$B$88)</f>
        <v>2032.46669355258</v>
      </c>
      <c r="D91" s="14" t="n">
        <f aca="false">D83*(1-$B$88)</f>
        <v>1250.66481618765</v>
      </c>
    </row>
    <row r="92" customFormat="false" ht="15" hidden="false" customHeight="false" outlineLevel="0" collapsed="false">
      <c r="A92" s="0" t="s">
        <v>691</v>
      </c>
      <c r="B92" s="14" t="n">
        <f aca="false">B84*(1-$B$88)</f>
        <v>2120.61283988785</v>
      </c>
      <c r="C92" s="14" t="n">
        <f aca="false">C84*(1-$B$88)</f>
        <v>1726.64855969333</v>
      </c>
      <c r="D92" s="14" t="n">
        <f aca="false">D84*(1-$B$88)</f>
        <v>995.209091428273</v>
      </c>
    </row>
    <row r="93" customFormat="false" ht="15" hidden="false" customHeight="false" outlineLevel="0" collapsed="false">
      <c r="A93" s="0" t="s">
        <v>692</v>
      </c>
      <c r="B93" s="14" t="n">
        <f aca="false">B85*(1-$B$88)</f>
        <v>2197.51210584653</v>
      </c>
      <c r="C93" s="14" t="n">
        <f aca="false">C85*(1-$B$88)</f>
        <v>1599.44747570914</v>
      </c>
      <c r="D93" s="14" t="n">
        <f aca="false">D85*(1-$B$88)</f>
        <v>865.248215836758</v>
      </c>
    </row>
    <row r="94" customFormat="false" ht="15" hidden="false" customHeight="false" outlineLevel="0" collapsed="false">
      <c r="A94" s="0" t="s">
        <v>693</v>
      </c>
      <c r="B94" s="14" t="n">
        <f aca="false">B86*(1-$B$88)</f>
        <v>2329.36283219732</v>
      </c>
      <c r="C94" s="14" t="n">
        <f aca="false">C86*(1-$B$88)</f>
        <v>1604.01732563974</v>
      </c>
      <c r="D94" s="14" t="n">
        <f aca="false">D86*(1-$B$88)</f>
        <v>814.66447398784</v>
      </c>
    </row>
    <row r="95" customFormat="false" ht="17.15" hidden="false" customHeight="false" outlineLevel="0" collapsed="false">
      <c r="A95" s="0" t="s">
        <v>698</v>
      </c>
      <c r="B95" s="14" t="n">
        <f aca="false">SUMPRODUCT(B89:B94,1/(1+tp_r)^{1;2;3;4;5;6})+B94*(1+tp_g)/(tp_r-tp_g)/(1+tp_r)^6</f>
        <v>32774.8230979955</v>
      </c>
      <c r="C95" s="14" t="n">
        <f aca="false">SUMPRODUCT(C89:C94,1/(1+tp_r)^{1;2;3;4;5;6})+C94*(1+tp_g)/(tp_r-tp_g)/(1+tp_r)^6</f>
        <v>24999.419477227</v>
      </c>
      <c r="D95" s="14" t="n">
        <f aca="false">SUMPRODUCT(D89:D94,1/(1+tp_r)^{1;2;3;4;5;6})+D94*(1+tp_g)/(tp_r-tp_g)/(1+tp_r)^6</f>
        <v>14611.6659537249</v>
      </c>
      <c r="E95" s="8" t="s">
        <v>699</v>
      </c>
    </row>
    <row r="96" customFormat="false" ht="17.15" hidden="false" customHeight="false" outlineLevel="0" collapsed="false">
      <c r="A96" s="0" t="s">
        <v>700</v>
      </c>
      <c r="B96" s="14" t="n">
        <f aca="false">B95*(1+tp_r)</f>
        <v>36052.3054077951</v>
      </c>
      <c r="C96" s="14" t="n">
        <f aca="false">C95*(1+tp_r)</f>
        <v>27499.3614249497</v>
      </c>
      <c r="D96" s="14" t="n">
        <f aca="false">D95*(1+tp_r)</f>
        <v>16072.8325490973</v>
      </c>
    </row>
    <row r="97" customFormat="false" ht="17.15" hidden="false" customHeight="false" outlineLevel="0" collapsed="false">
      <c r="A97" s="0" t="s">
        <v>701</v>
      </c>
      <c r="B97" s="24" t="n">
        <f aca="false">tp_wA*B96+tp_wB*C96+tp_wC*D96</f>
        <v>27779.9388446329</v>
      </c>
      <c r="E97" s="8" t="s">
        <v>702</v>
      </c>
    </row>
    <row r="99" customFormat="false" ht="17.15" hidden="false" customHeight="false" outlineLevel="0" collapsed="false">
      <c r="A99" s="6" t="s">
        <v>703</v>
      </c>
    </row>
    <row r="100" customFormat="false" ht="17.15" hidden="false" customHeight="false" outlineLevel="0" collapsed="false">
      <c r="A100" s="5" t="s">
        <v>704</v>
      </c>
      <c r="B100" s="5" t="s">
        <v>705</v>
      </c>
      <c r="C100" s="5" t="s">
        <v>706</v>
      </c>
      <c r="D100" s="5" t="s">
        <v>707</v>
      </c>
      <c r="E100" s="5" t="s">
        <v>708</v>
      </c>
      <c r="F100" s="5" t="s">
        <v>29</v>
      </c>
    </row>
    <row r="101" customFormat="false" ht="17.15" hidden="false" customHeight="false" outlineLevel="0" collapsed="false">
      <c r="A101" s="0" t="s">
        <v>709</v>
      </c>
      <c r="B101" s="0" t="s">
        <v>710</v>
      </c>
      <c r="C101" s="26" t="n">
        <v>25.82</v>
      </c>
      <c r="D101" s="8" t="s">
        <v>711</v>
      </c>
      <c r="E101" s="8" t="s">
        <v>712</v>
      </c>
      <c r="F101" s="8" t="s">
        <v>149</v>
      </c>
    </row>
    <row r="102" customFormat="false" ht="17.15" hidden="false" customHeight="false" outlineLevel="0" collapsed="false">
      <c r="A102" s="0" t="s">
        <v>713</v>
      </c>
      <c r="B102" s="0" t="s">
        <v>714</v>
      </c>
      <c r="C102" s="26" t="n">
        <v>30.26</v>
      </c>
      <c r="D102" s="8" t="s">
        <v>715</v>
      </c>
      <c r="E102" s="8" t="s">
        <v>712</v>
      </c>
      <c r="F102" s="8" t="s">
        <v>149</v>
      </c>
    </row>
    <row r="103" customFormat="false" ht="17.15" hidden="false" customHeight="false" outlineLevel="0" collapsed="false">
      <c r="A103" s="0" t="s">
        <v>716</v>
      </c>
      <c r="B103" s="0" t="s">
        <v>717</v>
      </c>
      <c r="C103" s="26" t="n">
        <v>12.61</v>
      </c>
      <c r="D103" s="8" t="s">
        <v>711</v>
      </c>
      <c r="E103" s="8" t="s">
        <v>712</v>
      </c>
      <c r="F103" s="8" t="s">
        <v>149</v>
      </c>
    </row>
    <row r="104" customFormat="false" ht="17.15" hidden="false" customHeight="false" outlineLevel="0" collapsed="false">
      <c r="A104" s="0" t="s">
        <v>718</v>
      </c>
      <c r="B104" s="0" t="s">
        <v>719</v>
      </c>
      <c r="C104" s="26" t="n">
        <v>26.01</v>
      </c>
      <c r="D104" s="8" t="s">
        <v>711</v>
      </c>
      <c r="E104" s="8" t="s">
        <v>712</v>
      </c>
      <c r="F104" s="8" t="s">
        <v>149</v>
      </c>
    </row>
    <row r="105" customFormat="false" ht="17.15" hidden="false" customHeight="false" outlineLevel="0" collapsed="false">
      <c r="A105" s="4" t="s">
        <v>720</v>
      </c>
      <c r="B105" s="17" t="n">
        <f aca="false">MEDIAN(C101:C104)</f>
        <v>25.915</v>
      </c>
      <c r="E105" s="4" t="s">
        <v>721</v>
      </c>
    </row>
    <row r="106" customFormat="false" ht="17.15" hidden="false" customHeight="false" outlineLevel="0" collapsed="false">
      <c r="A106" s="0" t="s">
        <v>722</v>
      </c>
      <c r="B106" s="14" t="n">
        <f aca="false">tp_wA*(2/12*B81+10/12*B82)+tp_wB*(2/12*C81+10/12*C82)+tp_wC*(2/12*D81+10/12*D82)</f>
        <v>2661.72932331369</v>
      </c>
      <c r="E106" s="4" t="s">
        <v>723</v>
      </c>
    </row>
    <row r="107" customFormat="false" ht="17.15" hidden="false" customHeight="false" outlineLevel="0" collapsed="false">
      <c r="A107" s="0" t="s">
        <v>724</v>
      </c>
      <c r="B107" s="24" t="n">
        <f aca="false">B105*B106</f>
        <v>68978.7154136744</v>
      </c>
      <c r="E107" s="4" t="s">
        <v>725</v>
      </c>
    </row>
    <row r="109" customFormat="false" ht="17.15" hidden="false" customHeight="false" outlineLevel="0" collapsed="false">
      <c r="A109" s="6" t="s">
        <v>726</v>
      </c>
    </row>
    <row r="110" customFormat="false" ht="15" hidden="false" customHeight="false" outlineLevel="0" collapsed="false">
      <c r="A110" s="5" t="s">
        <v>24</v>
      </c>
      <c r="B110" s="5" t="s">
        <v>598</v>
      </c>
      <c r="C110" s="5"/>
      <c r="D110" s="5"/>
      <c r="E110" s="5" t="s">
        <v>416</v>
      </c>
    </row>
    <row r="111" customFormat="false" ht="17.15" hidden="false" customHeight="false" outlineLevel="0" collapsed="false">
      <c r="A111" s="4" t="s">
        <v>727</v>
      </c>
      <c r="B111" s="24" t="n">
        <f aca="false">tp_w_dcf*B97+(1-tp_w_dcf)*tp_comp_adj</f>
        <v>36848.0931174305</v>
      </c>
      <c r="E111" s="8" t="s">
        <v>728</v>
      </c>
    </row>
    <row r="112" customFormat="false" ht="17.15" hidden="false" customHeight="false" outlineLevel="0" collapsed="false">
      <c r="A112" s="0" t="s">
        <v>729</v>
      </c>
      <c r="B112" s="14" t="n">
        <f aca="false">B107</f>
        <v>68978.7154136744</v>
      </c>
      <c r="E112" s="4" t="s">
        <v>730</v>
      </c>
    </row>
    <row r="113" customFormat="false" ht="17.15" hidden="false" customHeight="false" outlineLevel="0" collapsed="false">
      <c r="A113" s="4" t="s">
        <v>731</v>
      </c>
      <c r="B113" s="14" t="n">
        <f aca="false">cons_tp</f>
        <v>271429</v>
      </c>
      <c r="E113" s="8" t="s">
        <v>387</v>
      </c>
    </row>
    <row r="114" customFormat="false" ht="17.15" hidden="false" customHeight="false" outlineLevel="0" collapsed="false">
      <c r="A114" s="4" t="s">
        <v>732</v>
      </c>
      <c r="B114" s="10" t="n">
        <f aca="false">B111/px-1</f>
        <v>-0.804519399907531</v>
      </c>
      <c r="E114" s="4" t="s">
        <v>733</v>
      </c>
    </row>
    <row r="115" customFormat="false" ht="17.15" hidden="false" customHeight="false" outlineLevel="0" collapsed="false">
      <c r="A115" s="4" t="s">
        <v>734</v>
      </c>
      <c r="B115" s="10" t="n">
        <f aca="false">B112/px-1</f>
        <v>-0.634065170219234</v>
      </c>
    </row>
    <row r="116" customFormat="false" ht="17.15" hidden="false" customHeight="false" outlineLevel="0" collapsed="false">
      <c r="A116" s="4" t="s">
        <v>735</v>
      </c>
      <c r="B116" s="10" t="n">
        <f aca="false">B106/cons_feps-1</f>
        <v>-0.467654135337261</v>
      </c>
      <c r="E116" s="4" t="s">
        <v>736</v>
      </c>
    </row>
    <row r="117" customFormat="false" ht="17.15" hidden="false" customHeight="false" outlineLevel="0" collapsed="false">
      <c r="A117" s="4" t="s">
        <v>737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738</v>
      </c>
      <c r="B118" s="30" t="str">
        <f aca="false">TEXT(D96,"#,##0")&amp;"～"&amp;TEXT(B96,"#,##0")</f>
        <v>16,073～36,052</v>
      </c>
      <c r="E118" s="8" t="s">
        <v>739</v>
      </c>
    </row>
    <row r="119" customFormat="false" ht="17.15" hidden="false" customHeight="false" outlineLevel="0" collapsed="false">
      <c r="A119" s="4" t="s">
        <v>740</v>
      </c>
      <c r="B119" s="25" t="n">
        <f aca="false">IF(px/B82&lt;MIN(B16:B25),0,IF(px/B82&gt;MAX(B16:B25),1,PERCENTRANK(B16:B25,px/B82)))</f>
        <v>1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741</v>
      </c>
    </row>
    <row r="120" customFormat="false" ht="17.15" hidden="false" customHeight="false" outlineLevel="0" collapsed="false">
      <c r="A120" s="4" t="s">
        <v>742</v>
      </c>
      <c r="B120" s="0" t="s">
        <v>743</v>
      </c>
    </row>
    <row r="122" customFormat="false" ht="17.15" hidden="false" customHeight="false" outlineLevel="0" collapsed="false">
      <c r="A122" s="4" t="s">
        <v>744</v>
      </c>
      <c r="B122" s="30" t="str">
        <f aca="false">IF(B114&gt;0.5,"大於 50%",IF(B114&gt;0.25,"25%–50%",IF(B114&gt;=0,"0%–25%",IF(B114&gt;=-0.25,"0%～−25%",IF(B114&gt;=-0.5,"−25%～−50%","小於 −50%")))))</f>
        <v>小於 −50%</v>
      </c>
      <c r="E122" s="4" t="s">
        <v>745</v>
      </c>
    </row>
    <row r="123" customFormat="false" ht="17.15" hidden="false" customHeight="false" outlineLevel="0" collapsed="false">
      <c r="A123" s="4" t="s">
        <v>746</v>
      </c>
      <c r="B123" s="30" t="str">
        <f aca="false">IF(B114&gt;0.5,"強力買進",IF(B114&gt;0.25,"買進",IF(B114&gt;=-0.25,"中立",IF(B114&gt;=-0.5,"放空","強力放空"))))</f>
        <v>強力放空</v>
      </c>
      <c r="E123" s="4" t="s">
        <v>747</v>
      </c>
    </row>
    <row r="126" customFormat="false" ht="17.15" hidden="false" customHeight="false" outlineLevel="0" collapsed="false">
      <c r="A126" s="6" t="s">
        <v>748</v>
      </c>
    </row>
    <row r="127" customFormat="false" ht="17.15" hidden="false" customHeight="false" outlineLevel="0" collapsed="false">
      <c r="A127" s="4" t="s">
        <v>749</v>
      </c>
    </row>
    <row r="128" customFormat="false" ht="17.15" hidden="false" customHeight="false" outlineLevel="0" collapsed="false">
      <c r="A128" s="5" t="s">
        <v>750</v>
      </c>
      <c r="B128" s="5" t="s">
        <v>705</v>
      </c>
      <c r="C128" s="5" t="s">
        <v>751</v>
      </c>
      <c r="D128" s="13" t="s">
        <v>752</v>
      </c>
      <c r="E128" s="13" t="s">
        <v>753</v>
      </c>
      <c r="F128" s="13" t="s">
        <v>754</v>
      </c>
      <c r="G128" s="13" t="s">
        <v>755</v>
      </c>
      <c r="H128" s="13" t="s">
        <v>756</v>
      </c>
      <c r="I128" s="13" t="s">
        <v>757</v>
      </c>
      <c r="J128" s="13" t="s">
        <v>758</v>
      </c>
      <c r="K128" s="13" t="s">
        <v>759</v>
      </c>
      <c r="L128" s="13" t="s">
        <v>760</v>
      </c>
      <c r="M128" s="13" t="s">
        <v>761</v>
      </c>
      <c r="N128" s="5" t="s">
        <v>762</v>
      </c>
      <c r="O128" s="13" t="s">
        <v>763</v>
      </c>
      <c r="P128" s="5" t="s">
        <v>764</v>
      </c>
      <c r="Q128" s="5" t="s">
        <v>708</v>
      </c>
    </row>
    <row r="129" customFormat="false" ht="17.15" hidden="false" customHeight="false" outlineLevel="0" collapsed="false">
      <c r="A129" s="4" t="s">
        <v>765</v>
      </c>
      <c r="B129" s="0" t="s">
        <v>766</v>
      </c>
      <c r="C129" s="4" t="s">
        <v>767</v>
      </c>
      <c r="D129" s="31" t="n">
        <v>11.158</v>
      </c>
      <c r="E129" s="31" t="n">
        <v>11.6755</v>
      </c>
      <c r="F129" s="31" t="n">
        <v>7.992</v>
      </c>
      <c r="G129" s="31" t="n">
        <v>7.992</v>
      </c>
      <c r="H129" s="31" t="n">
        <v>16.4005</v>
      </c>
      <c r="I129" s="31" t="n">
        <v>12.6425</v>
      </c>
      <c r="J129" s="31" t="n">
        <v>20.3175</v>
      </c>
      <c r="K129" s="31" t="n">
        <v>54.74</v>
      </c>
      <c r="L129" s="31" t="n">
        <v>20.84</v>
      </c>
      <c r="M129" s="31" t="n">
        <v>53.1365</v>
      </c>
      <c r="N129" s="8" t="n">
        <f aca="false">COUNT(D129:M129)</f>
        <v>10</v>
      </c>
      <c r="O129" s="19" t="n">
        <f aca="false">IF(N129&gt;0,MEDIAN(D129:M129),"")</f>
        <v>14.5215</v>
      </c>
      <c r="P129" s="19" t="n">
        <f aca="false">IF(N129&gt;=7,O129,"")</f>
        <v>14.5215</v>
      </c>
      <c r="Q129" s="8" t="s">
        <v>768</v>
      </c>
    </row>
    <row r="130" customFormat="false" ht="17.15" hidden="false" customHeight="false" outlineLevel="0" collapsed="false">
      <c r="A130" s="0" t="s">
        <v>709</v>
      </c>
      <c r="B130" s="0" t="s">
        <v>710</v>
      </c>
      <c r="C130" s="4" t="s">
        <v>769</v>
      </c>
      <c r="D130" s="31" t="n">
        <v>16.997</v>
      </c>
      <c r="E130" s="31" t="n">
        <v>12.1645</v>
      </c>
      <c r="F130" s="31" t="n">
        <v>17.0685</v>
      </c>
      <c r="G130" s="31" t="n">
        <v>26.015</v>
      </c>
      <c r="H130" s="31" t="n">
        <v>23.457</v>
      </c>
      <c r="I130" s="31" t="n">
        <v>18.0605</v>
      </c>
      <c r="J130" s="31" t="n">
        <v>29.8845</v>
      </c>
      <c r="K130" s="31" t="n">
        <v>38.1565</v>
      </c>
      <c r="L130" s="31" t="n">
        <v>37.0955</v>
      </c>
      <c r="M130" s="31" t="n">
        <v>44.0715</v>
      </c>
      <c r="N130" s="8" t="n">
        <f aca="false">COUNT(D130:M130)</f>
        <v>10</v>
      </c>
      <c r="O130" s="19" t="n">
        <f aca="false">IF(N130&gt;0,MEDIAN(D130:M130),"")</f>
        <v>24.736</v>
      </c>
      <c r="P130" s="19" t="n">
        <f aca="false">IF(N130&gt;=7,O130,"")</f>
        <v>24.736</v>
      </c>
      <c r="Q130" s="8" t="s">
        <v>770</v>
      </c>
    </row>
    <row r="131" customFormat="false" ht="17.15" hidden="false" customHeight="false" outlineLevel="0" collapsed="false">
      <c r="A131" s="0" t="s">
        <v>713</v>
      </c>
      <c r="B131" s="0" t="s">
        <v>714</v>
      </c>
      <c r="C131" s="4" t="s">
        <v>769</v>
      </c>
      <c r="D131" s="31" t="n">
        <v>18.5965</v>
      </c>
      <c r="E131" s="31" t="n">
        <v>14.378</v>
      </c>
      <c r="F131" s="31" t="n">
        <v>16.3415</v>
      </c>
      <c r="G131" s="31" t="n">
        <v>21.023</v>
      </c>
      <c r="H131" s="31" t="n">
        <v>19.1925</v>
      </c>
      <c r="I131" s="31" t="n">
        <v>10.5945</v>
      </c>
      <c r="J131" s="31" t="n">
        <v>14.305</v>
      </c>
      <c r="K131" s="31" t="n">
        <v>23.1025</v>
      </c>
      <c r="L131" s="31" t="n">
        <v>20.718</v>
      </c>
      <c r="M131" s="31" t="n">
        <v>29.0835</v>
      </c>
      <c r="N131" s="8" t="n">
        <f aca="false">COUNT(D131:M131)</f>
        <v>10</v>
      </c>
      <c r="O131" s="19" t="n">
        <f aca="false">IF(N131&gt;0,MEDIAN(D131:M131),"")</f>
        <v>18.8945</v>
      </c>
      <c r="P131" s="19" t="n">
        <f aca="false">IF(N131&gt;=7,O131,"")</f>
        <v>18.8945</v>
      </c>
      <c r="Q131" s="8" t="s">
        <v>771</v>
      </c>
    </row>
    <row r="132" customFormat="false" ht="17.15" hidden="false" customHeight="false" outlineLevel="0" collapsed="false">
      <c r="A132" s="0" t="s">
        <v>716</v>
      </c>
      <c r="B132" s="0" t="s">
        <v>717</v>
      </c>
      <c r="C132" s="4" t="s">
        <v>769</v>
      </c>
      <c r="D132" s="31" t="n">
        <v>14.699</v>
      </c>
      <c r="E132" s="31" t="n">
        <v>10.885</v>
      </c>
      <c r="F132" s="31" t="n">
        <v>18.2685</v>
      </c>
      <c r="G132" s="31" t="n">
        <v>17.7735</v>
      </c>
      <c r="H132" s="31" t="n">
        <v>14.6295</v>
      </c>
      <c r="I132" s="31" t="n">
        <v>9.362</v>
      </c>
      <c r="J132" s="31" t="n">
        <v>22.145</v>
      </c>
      <c r="K132" s="31" t="n">
        <v>23.597</v>
      </c>
      <c r="L132" s="31" t="n">
        <v>25.411</v>
      </c>
      <c r="M132" s="31" t="n">
        <v>25.2495</v>
      </c>
      <c r="N132" s="8" t="n">
        <f aca="false">COUNT(D132:M132)</f>
        <v>10</v>
      </c>
      <c r="O132" s="19" t="n">
        <f aca="false">IF(N132&gt;0,MEDIAN(D132:M132),"")</f>
        <v>18.021</v>
      </c>
      <c r="P132" s="19" t="n">
        <f aca="false">IF(N132&gt;=7,O132,"")</f>
        <v>18.021</v>
      </c>
      <c r="Q132" s="8" t="s">
        <v>772</v>
      </c>
    </row>
    <row r="133" customFormat="false" ht="17.15" hidden="false" customHeight="false" outlineLevel="0" collapsed="false">
      <c r="A133" s="0" t="s">
        <v>718</v>
      </c>
      <c r="B133" s="0" t="s">
        <v>719</v>
      </c>
      <c r="C133" s="4" t="s">
        <v>769</v>
      </c>
      <c r="D133" s="31" t="n">
        <v>21.227</v>
      </c>
      <c r="E133" s="31" t="n">
        <v>18.311</v>
      </c>
      <c r="F133" s="31" t="n">
        <v>21.2065</v>
      </c>
      <c r="G133" s="31" t="n">
        <v>26.9885</v>
      </c>
      <c r="H133" s="31" t="n">
        <v>26.1895</v>
      </c>
      <c r="I133" s="31" t="n">
        <v>17.8975</v>
      </c>
      <c r="J133" s="31" t="n">
        <v>27.598</v>
      </c>
      <c r="K133" s="31" t="n">
        <v>40.0635</v>
      </c>
      <c r="L133" s="31" t="n">
        <v>33.295</v>
      </c>
      <c r="M133" s="31" t="n">
        <v>37.754</v>
      </c>
      <c r="N133" s="8" t="n">
        <f aca="false">COUNT(D133:M133)</f>
        <v>10</v>
      </c>
      <c r="O133" s="19" t="n">
        <f aca="false">IF(N133&gt;0,MEDIAN(D133:M133),"")</f>
        <v>26.589</v>
      </c>
      <c r="P133" s="19" t="n">
        <f aca="false">IF(N133&gt;=7,O133,"")</f>
        <v>26.589</v>
      </c>
      <c r="Q133" s="8" t="s">
        <v>773</v>
      </c>
    </row>
    <row r="135" customFormat="false" ht="17.15" hidden="false" customHeight="false" outlineLevel="0" collapsed="false">
      <c r="A135" s="4" t="s">
        <v>774</v>
      </c>
      <c r="B135" s="19" t="n">
        <f aca="false">P129</f>
        <v>14.5215</v>
      </c>
      <c r="E135" s="4" t="s">
        <v>775</v>
      </c>
    </row>
    <row r="136" customFormat="false" ht="15" hidden="false" customHeight="false" outlineLevel="0" collapsed="false">
      <c r="A136" s="4" t="s">
        <v>776</v>
      </c>
      <c r="B136" s="32" t="n">
        <f aca="false">COUNT(P130:P133)</f>
        <v>4</v>
      </c>
    </row>
    <row r="137" customFormat="false" ht="17.15" hidden="false" customHeight="false" outlineLevel="0" collapsed="false">
      <c r="A137" s="4" t="s">
        <v>777</v>
      </c>
      <c r="B137" s="19" t="n">
        <f aca="false">IF(B136&gt;0,MEDIAN(P130:P133),"")</f>
        <v>21.81525</v>
      </c>
    </row>
    <row r="138" customFormat="false" ht="17.15" hidden="false" customHeight="false" outlineLevel="0" collapsed="false">
      <c r="A138" s="4" t="s">
        <v>778</v>
      </c>
      <c r="B138" s="19" t="n">
        <f aca="false">IF(AND(ISNUMBER(B135),B136&gt;=2),B135/B137,"")</f>
        <v>0.665658197820332</v>
      </c>
      <c r="E138" s="4" t="s">
        <v>779</v>
      </c>
    </row>
    <row r="139" customFormat="false" ht="17.15" hidden="false" customHeight="false" outlineLevel="0" collapsed="false">
      <c r="A139" s="4" t="s">
        <v>780</v>
      </c>
      <c r="B139" s="31" t="n">
        <v>0.5</v>
      </c>
      <c r="E139" s="8" t="s">
        <v>781</v>
      </c>
    </row>
    <row r="140" customFormat="false" ht="17.15" hidden="false" customHeight="false" outlineLevel="0" collapsed="false">
      <c r="A140" s="4" t="s">
        <v>782</v>
      </c>
      <c r="B140" s="31" t="n">
        <v>2</v>
      </c>
      <c r="E140" s="8" t="s">
        <v>783</v>
      </c>
    </row>
    <row r="141" customFormat="false" ht="17.15" hidden="false" customHeight="false" outlineLevel="0" collapsed="false">
      <c r="A141" s="1" t="s">
        <v>784</v>
      </c>
      <c r="B141" s="33" t="n">
        <f aca="false">IF(ISNUMBER(B138),MIN(MAX(B138,B139),B140),1)</f>
        <v>0.665658197820332</v>
      </c>
      <c r="E141" s="4" t="s">
        <v>785</v>
      </c>
    </row>
    <row r="142" customFormat="false" ht="17.15" hidden="false" customHeight="false" outlineLevel="0" collapsed="false">
      <c r="A142" s="6" t="s">
        <v>786</v>
      </c>
      <c r="B142" s="24" t="n">
        <f aca="false">Val!$B$107*B141</f>
        <v>45916.2473902281</v>
      </c>
      <c r="E142" s="4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788</v>
      </c>
    </row>
    <row r="3" customFormat="false" ht="17.15" hidden="false" customHeight="false" outlineLevel="0" collapsed="false">
      <c r="A3" s="5" t="s">
        <v>24</v>
      </c>
      <c r="B3" s="5" t="s">
        <v>789</v>
      </c>
      <c r="C3" s="5" t="s">
        <v>790</v>
      </c>
      <c r="D3" s="5" t="s">
        <v>791</v>
      </c>
      <c r="E3" s="5" t="s">
        <v>792</v>
      </c>
      <c r="F3" s="5" t="s">
        <v>793</v>
      </c>
      <c r="G3" s="5" t="s">
        <v>794</v>
      </c>
      <c r="H3" s="5" t="s">
        <v>795</v>
      </c>
      <c r="I3" s="5" t="s">
        <v>796</v>
      </c>
      <c r="J3" s="5" t="s">
        <v>416</v>
      </c>
    </row>
    <row r="4" customFormat="false" ht="17.15" hidden="false" customHeight="false" outlineLevel="0" collapsed="false">
      <c r="A4" s="6" t="s">
        <v>797</v>
      </c>
    </row>
    <row r="5" customFormat="false" ht="17.15" hidden="false" customHeight="false" outlineLevel="0" collapsed="false">
      <c r="A5" s="4" t="s">
        <v>467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798</v>
      </c>
      <c r="J5" s="4" t="s">
        <v>799</v>
      </c>
    </row>
    <row r="6" customFormat="false" ht="17.15" hidden="false" customHeight="false" outlineLevel="0" collapsed="false">
      <c r="A6" s="4" t="s">
        <v>475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800</v>
      </c>
    </row>
    <row r="7" customFormat="false" ht="17.15" hidden="false" customHeight="false" outlineLevel="0" collapsed="false">
      <c r="A7" s="0" t="s">
        <v>485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801</v>
      </c>
      <c r="J7" s="8" t="s">
        <v>802</v>
      </c>
    </row>
    <row r="8" customFormat="false" ht="17.15" hidden="false" customHeight="false" outlineLevel="0" collapsed="false">
      <c r="A8" s="6" t="s">
        <v>803</v>
      </c>
    </row>
    <row r="9" customFormat="false" ht="15" hidden="false" customHeight="false" outlineLevel="0" collapsed="false">
      <c r="A9" s="4" t="s">
        <v>467</v>
      </c>
      <c r="B9" s="14" t="n">
        <f aca="false">cons_rev27</f>
        <v>9900</v>
      </c>
      <c r="C9" s="14" t="n">
        <f aca="false">PL!E5</f>
        <v>7410.06683399214</v>
      </c>
      <c r="D9" s="10" t="n">
        <f aca="false">C9/B9-1</f>
        <v>-0.251508400606855</v>
      </c>
      <c r="E9" s="14" t="n">
        <f aca="false">PL!E15</f>
        <v>7410.06683399214</v>
      </c>
      <c r="F9" s="10" t="n">
        <f aca="false">E9/B9-1</f>
        <v>-0.251508400606855</v>
      </c>
      <c r="G9" s="14" t="n">
        <f aca="false">PL!E25</f>
        <v>7410.06683399214</v>
      </c>
      <c r="H9" s="10" t="n">
        <f aca="false">G9/B9-1</f>
        <v>-0.251508400606855</v>
      </c>
      <c r="I9" s="8" t="s">
        <v>804</v>
      </c>
    </row>
    <row r="10" customFormat="false" ht="17.15" hidden="false" customHeight="false" outlineLevel="0" collapsed="false">
      <c r="A10" s="0" t="s">
        <v>485</v>
      </c>
      <c r="B10" s="14" t="n">
        <f aca="false">cons_eps27</f>
        <v>4650</v>
      </c>
      <c r="C10" s="14" t="n">
        <f aca="false">PL!E12</f>
        <v>3097.6516015606</v>
      </c>
      <c r="D10" s="10" t="n">
        <f aca="false">C10/B10-1</f>
        <v>-0.333838365255785</v>
      </c>
      <c r="E10" s="14" t="n">
        <f aca="false">PL!E22</f>
        <v>3097.6516015606</v>
      </c>
      <c r="F10" s="10" t="n">
        <f aca="false">E10/B10-1</f>
        <v>-0.333838365255785</v>
      </c>
      <c r="G10" s="14" t="n">
        <f aca="false">PL!E32</f>
        <v>3097.6516015606</v>
      </c>
      <c r="H10" s="10" t="n">
        <f aca="false">G10/B10-1</f>
        <v>-0.333838365255785</v>
      </c>
      <c r="I10" s="8" t="s">
        <v>804</v>
      </c>
    </row>
    <row r="11" customFormat="false" ht="17.15" hidden="false" customHeight="false" outlineLevel="0" collapsed="false">
      <c r="A11" s="6" t="s">
        <v>805</v>
      </c>
    </row>
    <row r="12" customFormat="false" ht="17.15" hidden="false" customHeight="false" outlineLevel="0" collapsed="false">
      <c r="A12" s="0" t="s">
        <v>806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634.112601147782</v>
      </c>
      <c r="F12" s="10" t="n">
        <f aca="false">E12/B12-1</f>
        <v>-0.164542027473278</v>
      </c>
      <c r="G12" s="14" t="n">
        <f aca="false">PL!C136</f>
        <v>634.112601147782</v>
      </c>
      <c r="H12" s="10" t="n">
        <f aca="false">G12/B12-1</f>
        <v>-0.164542027473278</v>
      </c>
      <c r="I12" s="8" t="s">
        <v>807</v>
      </c>
      <c r="J12" s="4" t="s">
        <v>808</v>
      </c>
    </row>
    <row r="13" customFormat="false" ht="17.15" hidden="false" customHeight="false" outlineLevel="0" collapsed="false">
      <c r="A13" s="0" t="s">
        <v>809</v>
      </c>
      <c r="B13" s="14" t="n">
        <f aca="false">tam28</f>
        <v>1600</v>
      </c>
      <c r="C13" s="14" t="n">
        <f aca="false">PL!F70</f>
        <v>353.738447860469</v>
      </c>
      <c r="D13" s="10" t="n">
        <f aca="false">C13/B13-1</f>
        <v>-0.778913470087207</v>
      </c>
      <c r="E13" s="14" t="n">
        <f aca="false">PL!F103</f>
        <v>663.330299662028</v>
      </c>
      <c r="F13" s="10" t="n">
        <f aca="false">E13/B13-1</f>
        <v>-0.585418562711233</v>
      </c>
      <c r="G13" s="14" t="n">
        <f aca="false">PL!F136</f>
        <v>522.153185363469</v>
      </c>
      <c r="H13" s="10" t="n">
        <f aca="false">G13/B13-1</f>
        <v>-0.673654259147832</v>
      </c>
      <c r="I13" s="8" t="s">
        <v>810</v>
      </c>
    </row>
    <row r="14" customFormat="false" ht="17.15" hidden="false" customHeight="false" outlineLevel="0" collapsed="false">
      <c r="A14" s="4" t="s">
        <v>811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812</v>
      </c>
      <c r="J14" s="4" t="s">
        <v>813</v>
      </c>
    </row>
    <row r="15" customFormat="false" ht="17.15" hidden="false" customHeight="false" outlineLevel="0" collapsed="false">
      <c r="A15" s="6" t="s">
        <v>814</v>
      </c>
    </row>
    <row r="16" customFormat="false" ht="17.15" hidden="false" customHeight="false" outlineLevel="0" collapsed="false">
      <c r="A16" s="0" t="s">
        <v>815</v>
      </c>
      <c r="B16" s="19" t="n">
        <f aca="false">semi_pkg25</f>
        <v>6.11313868613139</v>
      </c>
      <c r="C16" s="19" t="n">
        <f aca="false">PL!C70/1000</f>
        <v>0.634112601147782</v>
      </c>
      <c r="D16" s="10" t="n">
        <f aca="false">C16/B16-1</f>
        <v>-0.896270535692841</v>
      </c>
      <c r="E16" s="19" t="n">
        <f aca="false">PL!C103/1000</f>
        <v>0.634112601147782</v>
      </c>
      <c r="F16" s="10" t="n">
        <f aca="false">E16/B16-1</f>
        <v>-0.896270535692841</v>
      </c>
      <c r="G16" s="19" t="n">
        <f aca="false">PL!C136/1000</f>
        <v>0.634112601147782</v>
      </c>
      <c r="H16" s="10" t="n">
        <f aca="false">G16/B16-1</f>
        <v>-0.896270535692841</v>
      </c>
      <c r="I16" s="8" t="s">
        <v>816</v>
      </c>
      <c r="J16" s="4" t="s">
        <v>817</v>
      </c>
    </row>
    <row r="17" customFormat="false" ht="17.15" hidden="false" customHeight="false" outlineLevel="0" collapsed="false">
      <c r="A17" s="0" t="s">
        <v>818</v>
      </c>
      <c r="B17" s="19" t="n">
        <f aca="false">semi_pkg28</f>
        <v>8.6</v>
      </c>
      <c r="C17" s="19" t="n">
        <f aca="false">PL!F70/1000</f>
        <v>0.353738447860469</v>
      </c>
      <c r="D17" s="10" t="n">
        <f aca="false">C17/B17-1</f>
        <v>-0.958867622341806</v>
      </c>
      <c r="E17" s="19" t="n">
        <f aca="false">PL!F103/1000</f>
        <v>0.663330299662028</v>
      </c>
      <c r="F17" s="10" t="n">
        <f aca="false">E17/B17-1</f>
        <v>-0.922868569806741</v>
      </c>
      <c r="G17" s="19" t="n">
        <f aca="false">PL!F136/1000</f>
        <v>0.522153185363469</v>
      </c>
      <c r="H17" s="10" t="n">
        <f aca="false">G17/B17-1</f>
        <v>-0.939284513329829</v>
      </c>
      <c r="I17" s="8" t="s">
        <v>819</v>
      </c>
    </row>
    <row r="18" customFormat="false" ht="17.15" hidden="false" customHeight="false" outlineLevel="0" collapsed="false">
      <c r="A18" s="6" t="s">
        <v>820</v>
      </c>
    </row>
    <row r="19" customFormat="false" ht="17.15" hidden="false" customHeight="false" outlineLevel="0" collapsed="false">
      <c r="A19" s="0" t="s">
        <v>821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822</v>
      </c>
      <c r="C20" s="14" t="n">
        <f aca="false">Units!D32</f>
        <v>331.628764822519</v>
      </c>
      <c r="J20" s="4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824</v>
      </c>
    </row>
    <row r="3" customFormat="false" ht="17.15" hidden="false" customHeight="false" outlineLevel="0" collapsed="false">
      <c r="A3" s="5" t="s">
        <v>825</v>
      </c>
      <c r="B3" s="5" t="s">
        <v>826</v>
      </c>
      <c r="C3" s="13" t="s">
        <v>827</v>
      </c>
      <c r="D3" s="13" t="s">
        <v>828</v>
      </c>
      <c r="E3" s="5" t="s">
        <v>829</v>
      </c>
      <c r="F3" s="13" t="s">
        <v>830</v>
      </c>
      <c r="G3" s="13" t="s">
        <v>831</v>
      </c>
      <c r="H3" s="5" t="s">
        <v>829</v>
      </c>
    </row>
    <row r="4" customFormat="false" ht="17.15" hidden="false" customHeight="false" outlineLevel="0" collapsed="false">
      <c r="A4" s="4" t="s">
        <v>832</v>
      </c>
      <c r="B4" s="0" t="s">
        <v>833</v>
      </c>
      <c r="C4" s="14" t="n">
        <f aca="false">PL!E60</f>
        <v>7410.06683399214</v>
      </c>
      <c r="D4" s="14" t="n">
        <f aca="false">PL!E68</f>
        <v>3097.6516015606</v>
      </c>
      <c r="E4" s="10" t="n">
        <f aca="false">D4/D$4-1</f>
        <v>0</v>
      </c>
      <c r="F4" s="14" t="n">
        <f aca="false">PL!F60</f>
        <v>5833.87861371416</v>
      </c>
      <c r="G4" s="14" t="n">
        <f aca="false">PL!F68</f>
        <v>2362.58802862435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834</v>
      </c>
      <c r="B5" s="0" t="s">
        <v>835</v>
      </c>
      <c r="C5" s="14" t="n">
        <f aca="false">E80</f>
        <v>7166.68115223397</v>
      </c>
      <c r="D5" s="14" t="n">
        <f aca="false">E88</f>
        <v>2984.14742323148</v>
      </c>
      <c r="E5" s="10" t="n">
        <f aca="false">D5/D$4-1</f>
        <v>-0.0366420091503942</v>
      </c>
      <c r="F5" s="14" t="n">
        <f aca="false">F80</f>
        <v>5724.28563661206</v>
      </c>
      <c r="G5" s="14" t="n">
        <f aca="false">F88</f>
        <v>2311.47877385326</v>
      </c>
      <c r="H5" s="10" t="n">
        <f aca="false">G5/G$4-1</f>
        <v>-0.0216327409399667</v>
      </c>
    </row>
    <row r="6" customFormat="false" ht="17.15" hidden="false" customHeight="false" outlineLevel="0" collapsed="false">
      <c r="A6" s="0" t="s">
        <v>836</v>
      </c>
      <c r="B6" s="0" t="s">
        <v>837</v>
      </c>
      <c r="C6" s="14" t="n">
        <f aca="false">E120</f>
        <v>7626.33390501918</v>
      </c>
      <c r="D6" s="14" t="n">
        <f aca="false">E128</f>
        <v>3198.50887475451</v>
      </c>
      <c r="E6" s="10" t="n">
        <f aca="false">D6/D$4-1</f>
        <v>0.0325592694617738</v>
      </c>
      <c r="F6" s="14" t="n">
        <f aca="false">F120</f>
        <v>5931.26048101133</v>
      </c>
      <c r="G6" s="14" t="n">
        <f aca="false">F128</f>
        <v>2408.00256883836</v>
      </c>
      <c r="H6" s="10" t="n">
        <f aca="false">G6/G$4-1</f>
        <v>0.0192223695641309</v>
      </c>
    </row>
    <row r="7" customFormat="false" ht="17.15" hidden="false" customHeight="false" outlineLevel="0" collapsed="false">
      <c r="A7" s="4" t="s">
        <v>838</v>
      </c>
      <c r="B7" s="0" t="s">
        <v>839</v>
      </c>
      <c r="C7" s="14" t="n">
        <f aca="false">E160</f>
        <v>7286.92286166927</v>
      </c>
      <c r="D7" s="14" t="n">
        <f aca="false">E168</f>
        <v>3040.22276970114</v>
      </c>
      <c r="E7" s="10" t="n">
        <f aca="false">D7/D$4-1</f>
        <v>-0.018539474171508</v>
      </c>
      <c r="F7" s="14" t="n">
        <f aca="false">F160</f>
        <v>5778.42870211069</v>
      </c>
      <c r="G7" s="14" t="n">
        <f aca="false">F168</f>
        <v>2336.72867400041</v>
      </c>
      <c r="H7" s="10" t="n">
        <f aca="false">G7/G$4-1</f>
        <v>-0.0109453507385288</v>
      </c>
    </row>
    <row r="8" customFormat="false" ht="17.15" hidden="false" customHeight="false" outlineLevel="0" collapsed="false">
      <c r="A8" s="4" t="s">
        <v>840</v>
      </c>
      <c r="B8" s="0" t="s">
        <v>841</v>
      </c>
      <c r="C8" s="14" t="n">
        <f aca="false">E200</f>
        <v>7526.48059843967</v>
      </c>
      <c r="D8" s="14" t="n">
        <f aca="false">E208</f>
        <v>3151.94176597933</v>
      </c>
      <c r="E8" s="10" t="n">
        <f aca="false">D8/D$4-1</f>
        <v>0.017526233224995</v>
      </c>
      <c r="F8" s="14" t="n">
        <f aca="false">F200</f>
        <v>5886.29801213277</v>
      </c>
      <c r="G8" s="14" t="n">
        <f aca="false">F208</f>
        <v>2387.03408766542</v>
      </c>
      <c r="H8" s="10" t="n">
        <f aca="false">G8/G$4-1</f>
        <v>0.0103471526753247</v>
      </c>
    </row>
    <row r="9" customFormat="false" ht="17.15" hidden="false" customHeight="false" outlineLevel="0" collapsed="false">
      <c r="A9" s="4" t="s">
        <v>842</v>
      </c>
      <c r="B9" s="4" t="s">
        <v>843</v>
      </c>
      <c r="C9" s="14" t="n">
        <f aca="false">E240</f>
        <v>7514.61589988023</v>
      </c>
      <c r="D9" s="14" t="n">
        <f aca="false">E248</f>
        <v>3146.40860210797</v>
      </c>
      <c r="E9" s="10" t="n">
        <f aca="false">D9/D$4-1</f>
        <v>0.0157399884876663</v>
      </c>
      <c r="F9" s="14" t="n">
        <f aca="false">F240</f>
        <v>5880.95551364168</v>
      </c>
      <c r="G9" s="14" t="n">
        <f aca="false">F248</f>
        <v>2384.54258571232</v>
      </c>
      <c r="H9" s="10" t="n">
        <f aca="false">G9/G$4-1</f>
        <v>0.00929258796793087</v>
      </c>
    </row>
    <row r="10" customFormat="false" ht="17.15" hidden="false" customHeight="false" outlineLevel="0" collapsed="false">
      <c r="A10" s="4" t="s">
        <v>844</v>
      </c>
      <c r="B10" s="4" t="s">
        <v>845</v>
      </c>
      <c r="C10" s="14" t="n">
        <f aca="false">E280</f>
        <v>8014.83638733926</v>
      </c>
      <c r="D10" s="14" t="n">
        <f aca="false">E288</f>
        <v>3379.68902765429</v>
      </c>
      <c r="E10" s="10" t="n">
        <f aca="false">D10/D$4-1</f>
        <v>0.0910487886861127</v>
      </c>
      <c r="F10" s="14" t="n">
        <f aca="false">F280</f>
        <v>8876.96904805627</v>
      </c>
      <c r="G10" s="14" t="n">
        <f aca="false">F288</f>
        <v>3781.74907719578</v>
      </c>
      <c r="H10" s="10" t="n">
        <f aca="false">G10/G$4-1</f>
        <v>0.600680707502675</v>
      </c>
    </row>
    <row r="11" customFormat="false" ht="17.15" hidden="false" customHeight="false" outlineLevel="0" collapsed="false">
      <c r="A11" s="4" t="s">
        <v>846</v>
      </c>
      <c r="B11" s="0" t="s">
        <v>847</v>
      </c>
      <c r="C11" s="14" t="n">
        <f aca="false">E320</f>
        <v>7410.06683399214</v>
      </c>
      <c r="D11" s="14" t="n">
        <f aca="false">E328</f>
        <v>3097.6516015606</v>
      </c>
      <c r="E11" s="10" t="n">
        <f aca="false">D11/D$4-1</f>
        <v>0</v>
      </c>
      <c r="F11" s="14" t="n">
        <f aca="false">F320</f>
        <v>7083.27753187901</v>
      </c>
      <c r="G11" s="14" t="n">
        <f aca="false">F328</f>
        <v>2945.25171116791</v>
      </c>
      <c r="H11" s="10" t="n">
        <f aca="false">G11/G$4-1</f>
        <v>0.246620940885245</v>
      </c>
    </row>
    <row r="12" customFormat="false" ht="15" hidden="false" customHeight="false" outlineLevel="0" collapsed="false">
      <c r="A12" s="4" t="s">
        <v>848</v>
      </c>
      <c r="B12" s="4" t="s">
        <v>849</v>
      </c>
      <c r="C12" s="14" t="n">
        <f aca="false">E360</f>
        <v>8410.10989037545</v>
      </c>
      <c r="D12" s="14" t="n">
        <f aca="false">E368</f>
        <v>3564.02688127533</v>
      </c>
      <c r="E12" s="10" t="n">
        <f aca="false">D12/D$4-1</f>
        <v>0.150557693279569</v>
      </c>
      <c r="F12" s="14" t="n">
        <f aca="false">F360</f>
        <v>5874.40129643143</v>
      </c>
      <c r="G12" s="14" t="n">
        <f aca="false">F368</f>
        <v>2381.48599243344</v>
      </c>
      <c r="H12" s="10" t="n">
        <f aca="false">G12/G$4-1</f>
        <v>0.00799884007712071</v>
      </c>
    </row>
    <row r="13" customFormat="false" ht="15" hidden="false" customHeight="false" outlineLevel="0" collapsed="false">
      <c r="A13" s="4" t="s">
        <v>850</v>
      </c>
      <c r="B13" s="4" t="s">
        <v>851</v>
      </c>
      <c r="C13" s="14" t="n">
        <f aca="false">E400</f>
        <v>6881.44037862992</v>
      </c>
      <c r="D13" s="14" t="n">
        <f aca="false">E408</f>
        <v>2851.12390516743</v>
      </c>
      <c r="E13" s="10" t="n">
        <f aca="false">D13/D$4-1</f>
        <v>-0.0795853530684231</v>
      </c>
      <c r="F13" s="14" t="n">
        <f aca="false">F400</f>
        <v>6574.78440283449</v>
      </c>
      <c r="G13" s="14" t="n">
        <f aca="false">F408</f>
        <v>2708.11329619924</v>
      </c>
      <c r="H13" s="10" t="n">
        <f aca="false">G13/G$4-1</f>
        <v>0.146248632173116</v>
      </c>
    </row>
    <row r="14" customFormat="false" ht="15" hidden="false" customHeight="false" outlineLevel="0" collapsed="false">
      <c r="A14" s="4" t="s">
        <v>852</v>
      </c>
      <c r="C14" s="14" t="n">
        <f aca="false">E440</f>
        <v>6989.59883038499</v>
      </c>
      <c r="D14" s="14" t="n">
        <f aca="false">E448</f>
        <v>2901.5641615832</v>
      </c>
      <c r="E14" s="10" t="n">
        <f aca="false">D14/D$4-1</f>
        <v>-0.0633019671671948</v>
      </c>
      <c r="F14" s="14" t="n">
        <f aca="false">F440</f>
        <v>5531.23347688573</v>
      </c>
      <c r="G14" s="14" t="n">
        <f aca="false">F448</f>
        <v>2221.44789526537</v>
      </c>
      <c r="H14" s="10" t="n">
        <f aca="false">G14/G$4-1</f>
        <v>-0.059739629444055</v>
      </c>
    </row>
    <row r="15" customFormat="false" ht="15" hidden="false" customHeight="false" outlineLevel="0" collapsed="false">
      <c r="A15" s="4" t="s">
        <v>853</v>
      </c>
      <c r="C15" s="14" t="n">
        <f aca="false">E480</f>
        <v>7610.07362275686</v>
      </c>
      <c r="D15" s="14" t="n">
        <f aca="false">E488</f>
        <v>3190.92580756563</v>
      </c>
      <c r="E15" s="10" t="n">
        <f aca="false">D15/D$4-1</f>
        <v>0.030111264274534</v>
      </c>
      <c r="F15" s="14" t="n">
        <f aca="false">F480</f>
        <v>5631.97720341414</v>
      </c>
      <c r="G15" s="14" t="n">
        <f aca="false">F488</f>
        <v>2268.43025601403</v>
      </c>
      <c r="H15" s="10" t="n">
        <f aca="false">G15/G$4-1</f>
        <v>-0.0398536568667649</v>
      </c>
    </row>
    <row r="16" customFormat="false" ht="17.15" hidden="false" customHeight="false" outlineLevel="0" collapsed="false">
      <c r="A16" s="4" t="s">
        <v>854</v>
      </c>
      <c r="B16" s="0" t="s">
        <v>855</v>
      </c>
      <c r="C16" s="14" t="n">
        <f aca="false">E520</f>
        <v>7120.18120251987</v>
      </c>
      <c r="D16" s="14" t="n">
        <f aca="false">E528</f>
        <v>2962.46192987576</v>
      </c>
      <c r="E16" s="10" t="n">
        <f aca="false">D16/D$4-1</f>
        <v>-0.0436426328954253</v>
      </c>
      <c r="F16" s="14" t="n">
        <f aca="false">F520</f>
        <v>5585.49497337652</v>
      </c>
      <c r="G16" s="14" t="n">
        <f aca="false">F528</f>
        <v>2246.75302632158</v>
      </c>
      <c r="H16" s="10" t="n">
        <f aca="false">G16/G$4-1</f>
        <v>-0.0490288619511103</v>
      </c>
    </row>
    <row r="17" customFormat="false" ht="17.15" hidden="false" customHeight="false" outlineLevel="0" collapsed="false">
      <c r="A17" s="4" t="s">
        <v>856</v>
      </c>
      <c r="B17" s="0" t="s">
        <v>857</v>
      </c>
      <c r="C17" s="14" t="n">
        <f aca="false">E560</f>
        <v>7761.16409868975</v>
      </c>
      <c r="D17" s="14" t="n">
        <f aca="false">E568</f>
        <v>3261.38763670953</v>
      </c>
      <c r="E17" s="10" t="n">
        <f aca="false">D17/D$4-1</f>
        <v>0.0528581184102313</v>
      </c>
      <c r="F17" s="14" t="n">
        <f aca="false">F560</f>
        <v>6134.71041512245</v>
      </c>
      <c r="G17" s="14" t="n">
        <f aca="false">F568</f>
        <v>2502.88250358054</v>
      </c>
      <c r="H17" s="10" t="n">
        <f aca="false">G17/G$4-1</f>
        <v>0.0593816921343986</v>
      </c>
    </row>
    <row r="18" customFormat="false" ht="17.15" hidden="false" customHeight="false" outlineLevel="0" collapsed="false">
      <c r="A18" s="4" t="s">
        <v>858</v>
      </c>
      <c r="C18" s="14" t="n">
        <f aca="false">E600</f>
        <v>7232.16101802174</v>
      </c>
      <c r="D18" s="14" t="n">
        <f aca="false">E608</f>
        <v>3014.6842991465</v>
      </c>
      <c r="E18" s="10" t="n">
        <f aca="false">D18/D$4-1</f>
        <v>-0.0267839360541059</v>
      </c>
      <c r="F18" s="14" t="n">
        <f aca="false">F600</f>
        <v>5409.95550586756</v>
      </c>
      <c r="G18" s="14" t="n">
        <f aca="false">F608</f>
        <v>2164.88928281784</v>
      </c>
      <c r="H18" s="10" t="n">
        <f aca="false">G18/G$4-1</f>
        <v>-0.0836788908651278</v>
      </c>
    </row>
    <row r="19" customFormat="false" ht="17.15" hidden="false" customHeight="false" outlineLevel="0" collapsed="false">
      <c r="A19" s="4" t="s">
        <v>859</v>
      </c>
      <c r="C19" s="14" t="n">
        <f aca="false">E640</f>
        <v>7563.74767170053</v>
      </c>
      <c r="D19" s="14" t="n">
        <f aca="false">E648</f>
        <v>3169.32145938877</v>
      </c>
      <c r="E19" s="10" t="n">
        <f aca="false">D19/D$4-1</f>
        <v>0.0231368362381574</v>
      </c>
      <c r="F19" s="14" t="n">
        <f aca="false">F640</f>
        <v>6200.07720021034</v>
      </c>
      <c r="G19" s="14" t="n">
        <f aca="false">F648</f>
        <v>2533.36664372313</v>
      </c>
      <c r="H19" s="10" t="n">
        <f aca="false">G19/G$4-1</f>
        <v>0.0722845511065327</v>
      </c>
    </row>
    <row r="20" customFormat="false" ht="17.15" hidden="false" customHeight="false" outlineLevel="0" collapsed="false">
      <c r="A20" s="0" t="s">
        <v>860</v>
      </c>
      <c r="B20" s="4" t="s">
        <v>861</v>
      </c>
      <c r="C20" s="14" t="n">
        <f aca="false">E680</f>
        <v>6888.00927537491</v>
      </c>
      <c r="D20" s="14" t="n">
        <f aca="false">E688</f>
        <v>2896.78294689132</v>
      </c>
      <c r="E20" s="10" t="n">
        <f aca="false">D20/D$4-1</f>
        <v>-0.0648454637597327</v>
      </c>
      <c r="F20" s="14" t="n">
        <f aca="false">F680</f>
        <v>5598.80380711825</v>
      </c>
      <c r="G20" s="14" t="n">
        <f aca="false">F688</f>
        <v>2287.5827974213</v>
      </c>
      <c r="H20" s="10" t="n">
        <f aca="false">G20/G$4-1</f>
        <v>-0.0317470630911148</v>
      </c>
    </row>
    <row r="21" customFormat="false" ht="17.15" hidden="false" customHeight="false" outlineLevel="0" collapsed="false">
      <c r="A21" s="0" t="s">
        <v>862</v>
      </c>
      <c r="B21" s="4" t="s">
        <v>863</v>
      </c>
      <c r="C21" s="14" t="n">
        <f aca="false">E720</f>
        <v>7932.12439260937</v>
      </c>
      <c r="D21" s="14" t="n">
        <f aca="false">E728</f>
        <v>3303.59598858725</v>
      </c>
      <c r="E21" s="10" t="n">
        <f aca="false">D21/D$4-1</f>
        <v>0.0664840380767466</v>
      </c>
      <c r="F21" s="14" t="n">
        <f aca="false">F720</f>
        <v>6068.95342031007</v>
      </c>
      <c r="G21" s="14" t="n">
        <f aca="false">F728</f>
        <v>2443.50953212123</v>
      </c>
      <c r="H21" s="10" t="n">
        <f aca="false">G21/G$4-1</f>
        <v>0.034251212025314</v>
      </c>
    </row>
    <row r="22" customFormat="false" ht="17.15" hidden="false" customHeight="false" outlineLevel="0" collapsed="false">
      <c r="A22" s="4" t="s">
        <v>864</v>
      </c>
      <c r="B22" s="4" t="s">
        <v>865</v>
      </c>
      <c r="C22" s="14" t="n">
        <f aca="false">E760</f>
        <v>7410.06683399214</v>
      </c>
      <c r="D22" s="14" t="n">
        <f aca="false">E768</f>
        <v>2861.04841862103</v>
      </c>
      <c r="E22" s="10" t="n">
        <f aca="false">D22/D$4-1</f>
        <v>-0.0763814700208276</v>
      </c>
      <c r="F22" s="14" t="n">
        <f aca="false">F760</f>
        <v>5833.87861371416</v>
      </c>
      <c r="G22" s="14" t="n">
        <f aca="false">F768</f>
        <v>2176.31248215344</v>
      </c>
      <c r="H22" s="10" t="n">
        <f aca="false">G22/G$4-1</f>
        <v>-0.0788438543724322</v>
      </c>
    </row>
    <row r="23" customFormat="false" ht="17.15" hidden="false" customHeight="false" outlineLevel="0" collapsed="false">
      <c r="A23" s="4" t="s">
        <v>866</v>
      </c>
      <c r="C23" s="14" t="n">
        <f aca="false">E800</f>
        <v>7410.06683399214</v>
      </c>
      <c r="D23" s="14" t="n">
        <f aca="false">E808</f>
        <v>3255.38705685365</v>
      </c>
      <c r="E23" s="10" t="n">
        <f aca="false">D23/D$4-1</f>
        <v>0.050920980013885</v>
      </c>
      <c r="F23" s="14" t="n">
        <f aca="false">F800</f>
        <v>5833.87861371416</v>
      </c>
      <c r="G23" s="14" t="n">
        <f aca="false">F808</f>
        <v>2486.77172627163</v>
      </c>
      <c r="H23" s="10" t="n">
        <f aca="false">G23/G$4-1</f>
        <v>0.0525625695816216</v>
      </c>
    </row>
    <row r="24" customFormat="false" ht="17.15" hidden="false" customHeight="false" outlineLevel="0" collapsed="false">
      <c r="A24" s="0" t="s">
        <v>867</v>
      </c>
      <c r="B24" s="0" t="s">
        <v>868</v>
      </c>
      <c r="C24" s="14" t="n">
        <f aca="false">E840</f>
        <v>7491.6753171949</v>
      </c>
      <c r="D24" s="14" t="n">
        <f aca="false">E848</f>
        <v>3135.71014207827</v>
      </c>
      <c r="E24" s="10" t="n">
        <f aca="false">D24/D$4-1</f>
        <v>0.0122862559813044</v>
      </c>
      <c r="F24" s="14" t="n">
        <f aca="false">F840</f>
        <v>6283.51515751493</v>
      </c>
      <c r="G24" s="14" t="n">
        <f aca="false">F848</f>
        <v>2572.27836900173</v>
      </c>
      <c r="H24" s="10" t="n">
        <f aca="false">G24/G$4-1</f>
        <v>0.0887545089693311</v>
      </c>
    </row>
    <row r="25" customFormat="false" ht="17.15" hidden="false" customHeight="false" outlineLevel="0" collapsed="false">
      <c r="A25" s="0" t="s">
        <v>869</v>
      </c>
      <c r="C25" s="14" t="n">
        <f aca="false">E880</f>
        <v>7328.45835078939</v>
      </c>
      <c r="D25" s="14" t="n">
        <f aca="false">E888</f>
        <v>3059.59306104293</v>
      </c>
      <c r="E25" s="10" t="n">
        <f aca="false">D25/D$4-1</f>
        <v>-0.0122862559813044</v>
      </c>
      <c r="F25" s="14" t="n">
        <f aca="false">F880</f>
        <v>5384.24206991339</v>
      </c>
      <c r="G25" s="14" t="n">
        <f aca="false">F888</f>
        <v>2152.89768824698</v>
      </c>
      <c r="H25" s="10" t="n">
        <f aca="false">G25/G$4-1</f>
        <v>-0.0887545089693306</v>
      </c>
    </row>
    <row r="26" customFormat="false" ht="15" hidden="false" customHeight="false" outlineLevel="0" collapsed="false">
      <c r="A26" s="4" t="s">
        <v>870</v>
      </c>
      <c r="B26" s="0" t="s">
        <v>871</v>
      </c>
      <c r="C26" s="14" t="n">
        <f aca="false">E920</f>
        <v>7243.60237899214</v>
      </c>
      <c r="D26" s="14" t="n">
        <f aca="false">E928</f>
        <v>3020.0200373318</v>
      </c>
      <c r="E26" s="10" t="n">
        <f aca="false">D26/D$4-1</f>
        <v>-0.0250614253035066</v>
      </c>
      <c r="F26" s="14" t="n">
        <f aca="false">F920</f>
        <v>5469.32145726416</v>
      </c>
      <c r="G26" s="14" t="n">
        <f aca="false">F928</f>
        <v>2192.57490296328</v>
      </c>
      <c r="H26" s="10" t="n">
        <f aca="false">G26/G$4-1</f>
        <v>-0.0719605464859908</v>
      </c>
    </row>
    <row r="27" customFormat="false" ht="15" hidden="false" customHeight="false" outlineLevel="0" collapsed="false">
      <c r="A27" s="4" t="s">
        <v>872</v>
      </c>
      <c r="B27" s="0" t="s">
        <v>873</v>
      </c>
      <c r="C27" s="14" t="n">
        <f aca="false">E960</f>
        <v>7576.53128899214</v>
      </c>
      <c r="D27" s="14" t="n">
        <f aca="false">E968</f>
        <v>3175.2831657894</v>
      </c>
      <c r="E27" s="10" t="n">
        <f aca="false">D27/D$4-1</f>
        <v>0.0250614253035064</v>
      </c>
      <c r="F27" s="14" t="n">
        <f aca="false">F960</f>
        <v>6215.08221566416</v>
      </c>
      <c r="G27" s="14" t="n">
        <f aca="false">F968</f>
        <v>2540.3643107083</v>
      </c>
      <c r="H27" s="10" t="n">
        <f aca="false">G27/G$4-1</f>
        <v>0.0752464161885476</v>
      </c>
    </row>
    <row r="28" customFormat="false" ht="17.15" hidden="false" customHeight="false" outlineLevel="0" collapsed="false">
      <c r="A28" s="4" t="s">
        <v>874</v>
      </c>
      <c r="C28" s="14" t="n">
        <f aca="false">E1000</f>
        <v>7410.06683399214</v>
      </c>
      <c r="D28" s="14" t="n">
        <f aca="false">E1008</f>
        <v>3095.18714561678</v>
      </c>
      <c r="E28" s="10" t="n">
        <f aca="false">D28/D$4-1</f>
        <v>-0.000795588484703291</v>
      </c>
      <c r="F28" s="14" t="n">
        <f aca="false">F1000</f>
        <v>5833.87861371416</v>
      </c>
      <c r="G28" s="14" t="n">
        <f aca="false">F1008</f>
        <v>2330.18175789575</v>
      </c>
      <c r="H28" s="10" t="n">
        <f aca="false">G28/G$4-1</f>
        <v>-0.0137164289059178</v>
      </c>
    </row>
    <row r="29" customFormat="false" ht="17.15" hidden="false" customHeight="false" outlineLevel="0" collapsed="false">
      <c r="A29" s="4" t="s">
        <v>875</v>
      </c>
      <c r="C29" s="14" t="n">
        <f aca="false">E1040</f>
        <v>7410.06683399214</v>
      </c>
      <c r="D29" s="14" t="n">
        <f aca="false">E1048</f>
        <v>3100.11605750442</v>
      </c>
      <c r="E29" s="10" t="n">
        <f aca="false">D29/D$4-1</f>
        <v>0.000795588484703291</v>
      </c>
      <c r="F29" s="14" t="n">
        <f aca="false">F1040</f>
        <v>5833.87861371416</v>
      </c>
      <c r="G29" s="14" t="n">
        <f aca="false">F1048</f>
        <v>2394.99429935295</v>
      </c>
      <c r="H29" s="10" t="n">
        <f aca="false">G29/G$4-1</f>
        <v>0.0137164289059182</v>
      </c>
    </row>
    <row r="30" customFormat="false" ht="17.15" hidden="false" customHeight="false" outlineLevel="0" collapsed="false">
      <c r="A30" s="4" t="s">
        <v>876</v>
      </c>
      <c r="C30" s="14" t="n">
        <f aca="false">E1080</f>
        <v>7410.06683399214</v>
      </c>
      <c r="D30" s="14" t="n">
        <f aca="false">E1088</f>
        <v>2619.98793459696</v>
      </c>
      <c r="E30" s="10" t="n">
        <f aca="false">D30/D$4-1</f>
        <v>-0.154201869158879</v>
      </c>
      <c r="F30" s="14" t="n">
        <f aca="false">F1080</f>
        <v>5833.87861371416</v>
      </c>
      <c r="G30" s="14" t="n">
        <f aca="false">F1088</f>
        <v>1998.27253855809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877</v>
      </c>
      <c r="B31" s="4" t="s">
        <v>878</v>
      </c>
      <c r="C31" s="14" t="n">
        <f aca="false">E1120</f>
        <v>7410.06683399214</v>
      </c>
      <c r="D31" s="14" t="n">
        <f aca="false">E1128</f>
        <v>3456.92852481544</v>
      </c>
      <c r="E31" s="10" t="n">
        <f aca="false">D31/D$4-1</f>
        <v>0.115983644859813</v>
      </c>
      <c r="F31" s="14" t="n">
        <f aca="false">F1120</f>
        <v>5833.87861371416</v>
      </c>
      <c r="G31" s="14" t="n">
        <f aca="false">F1128</f>
        <v>2636.60959948637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879</v>
      </c>
      <c r="B32" s="0" t="s">
        <v>880</v>
      </c>
      <c r="C32" s="14" t="n">
        <f aca="false">PL!E93</f>
        <v>7410.06683399214</v>
      </c>
      <c r="D32" s="14" t="n">
        <f aca="false">PL!E101</f>
        <v>3097.6516015606</v>
      </c>
      <c r="E32" s="10" t="n">
        <f aca="false">D32/D$4-1</f>
        <v>0</v>
      </c>
      <c r="F32" s="14" t="n">
        <f aca="false">PL!F93</f>
        <v>7041.28097702425</v>
      </c>
      <c r="G32" s="14" t="n">
        <f aca="false">PL!F101</f>
        <v>2925.66639942315</v>
      </c>
      <c r="H32" s="10" t="n">
        <f aca="false">G32/G$4-1</f>
        <v>0.23833117072326</v>
      </c>
    </row>
    <row r="33" customFormat="false" ht="17.15" hidden="false" customHeight="false" outlineLevel="0" collapsed="false">
      <c r="A33" s="4" t="s">
        <v>881</v>
      </c>
      <c r="B33" s="0" t="s">
        <v>882</v>
      </c>
      <c r="C33" s="14" t="n">
        <f aca="false">PL!E126</f>
        <v>7410.06683399214</v>
      </c>
      <c r="D33" s="14" t="n">
        <f aca="false">PL!E134</f>
        <v>3097.6516015606</v>
      </c>
      <c r="E33" s="10" t="n">
        <f aca="false">D33/D$4-1</f>
        <v>0</v>
      </c>
      <c r="F33" s="14" t="n">
        <f aca="false">PL!F126</f>
        <v>5396.00741044032</v>
      </c>
      <c r="G33" s="14" t="n">
        <f aca="false">PL!F134</f>
        <v>2014.67629682715</v>
      </c>
      <c r="H33" s="10" t="n">
        <f aca="false">G33/G$4-1</f>
        <v>-0.147258738121929</v>
      </c>
    </row>
    <row r="35" customFormat="false" ht="17.15" hidden="false" customHeight="false" outlineLevel="0" collapsed="false">
      <c r="A35" s="4" t="s">
        <v>883</v>
      </c>
    </row>
    <row r="60" customFormat="false" ht="17.15" hidden="false" customHeight="false" outlineLevel="0" collapsed="false">
      <c r="A60" s="1" t="s">
        <v>884</v>
      </c>
    </row>
    <row r="61" customFormat="false" ht="15" hidden="false" customHeight="false" outlineLevel="0" collapsed="false">
      <c r="A61" s="5" t="s">
        <v>24</v>
      </c>
      <c r="B61" s="5" t="s">
        <v>25</v>
      </c>
      <c r="C61" s="13" t="s">
        <v>503</v>
      </c>
      <c r="D61" s="13" t="s">
        <v>504</v>
      </c>
      <c r="E61" s="13" t="s">
        <v>505</v>
      </c>
      <c r="F61" s="13" t="s">
        <v>506</v>
      </c>
      <c r="G61" s="13" t="s">
        <v>507</v>
      </c>
      <c r="H61" s="13" t="s">
        <v>508</v>
      </c>
      <c r="I61" s="5" t="s">
        <v>416</v>
      </c>
    </row>
    <row r="62" customFormat="false" ht="17.15" hidden="false" customHeight="false" outlineLevel="0" collapsed="false">
      <c r="A62" s="6" t="s">
        <v>542</v>
      </c>
    </row>
    <row r="63" customFormat="false" ht="17.15" hidden="false" customHeight="false" outlineLevel="0" collapsed="false">
      <c r="A63" s="0" t="s">
        <v>543</v>
      </c>
      <c r="B63" s="0" t="s">
        <v>35</v>
      </c>
      <c r="C63" s="20" t="n">
        <f aca="false">hsA_25</f>
        <v>2.22511470588235</v>
      </c>
      <c r="D63" s="20" t="n">
        <f aca="false">hsA_26</f>
        <v>3.782695</v>
      </c>
      <c r="E63" s="20" t="n">
        <f aca="false">hsA_27</f>
        <v>5.86317725</v>
      </c>
      <c r="F63" s="20" t="n">
        <f aca="false">hsA_28</f>
        <v>8.5016070125</v>
      </c>
      <c r="G63" s="20" t="n">
        <f aca="false">hsA_29</f>
        <v>11.477169466875</v>
      </c>
      <c r="H63" s="20" t="n">
        <f aca="false">G63*(1+g_tail)</f>
        <v>12.6248864135625</v>
      </c>
      <c r="I63" s="8" t="s">
        <v>544</v>
      </c>
    </row>
    <row r="64" customFormat="false" ht="17.15" hidden="false" customHeight="false" outlineLevel="0" collapsed="false">
      <c r="A64" s="0" t="s">
        <v>545</v>
      </c>
      <c r="B64" s="0" t="s">
        <v>546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547</v>
      </c>
      <c r="B65" s="4" t="s">
        <v>512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548</v>
      </c>
    </row>
    <row r="66" customFormat="false" ht="15" hidden="false" customHeight="false" outlineLevel="0" collapsed="false">
      <c r="A66" s="4" t="s">
        <v>549</v>
      </c>
      <c r="B66" s="4" t="s">
        <v>99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550</v>
      </c>
      <c r="B67" s="0" t="s">
        <v>119</v>
      </c>
      <c r="C67" s="18" t="n">
        <f aca="false">1+beta*(C66-$C66)/4</f>
        <v>1</v>
      </c>
      <c r="D67" s="18" t="n">
        <f aca="false">1+beta*(D66-$C66)/4</f>
        <v>1.05</v>
      </c>
      <c r="E67" s="18" t="n">
        <f aca="false">1+beta*(E66-$C66)/4</f>
        <v>1.0625</v>
      </c>
      <c r="F67" s="18" t="n">
        <f aca="false">1+beta*(F66-$C66)/4</f>
        <v>1.1</v>
      </c>
      <c r="G67" s="18" t="n">
        <f aca="false">1+beta*(G66-$C66)/4</f>
        <v>1.125</v>
      </c>
      <c r="H67" s="18" t="n">
        <f aca="false">1+beta*(H66-$C66)/4</f>
        <v>1.15</v>
      </c>
    </row>
    <row r="68" customFormat="false" ht="17.15" hidden="false" customHeight="false" outlineLevel="0" collapsed="false">
      <c r="A68" s="4" t="s">
        <v>551</v>
      </c>
      <c r="B68" s="0" t="s">
        <v>72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hbp_28_hi</f>
        <v>0.15</v>
      </c>
      <c r="G68" s="10" t="n">
        <f aca="false">hbp_29_hi</f>
        <v>0.3</v>
      </c>
      <c r="H68" s="10" t="n">
        <f aca="false">hbp_30_hi</f>
        <v>0.4</v>
      </c>
      <c r="I68" s="4" t="s">
        <v>552</v>
      </c>
    </row>
    <row r="69" customFormat="false" ht="17.15" hidden="false" customHeight="false" outlineLevel="0" collapsed="false">
      <c r="A69" s="0" t="s">
        <v>553</v>
      </c>
      <c r="B69" s="4" t="s">
        <v>514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2271.143587625</v>
      </c>
      <c r="G69" s="14" t="n">
        <f aca="false">G65*G67*(1-G68)</f>
        <v>2410.20558804375</v>
      </c>
      <c r="H69" s="14" t="n">
        <f aca="false">H65*H67*(1-H68)</f>
        <v>2177.79290633953</v>
      </c>
    </row>
    <row r="70" customFormat="false" ht="17.15" hidden="false" customHeight="false" outlineLevel="0" collapsed="false">
      <c r="A70" s="4" t="s">
        <v>554</v>
      </c>
      <c r="B70" s="4" t="s">
        <v>514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MAX(0,hsA_28*8000/F64*F67*(1-hbp_28)-E69)+dlt*E69</f>
        <v>813.209798471154</v>
      </c>
      <c r="F70" s="14" t="n">
        <f aca="false">MAX(0,G69-F69)+dlt*F69</f>
        <v>366.17635918125</v>
      </c>
      <c r="G70" s="14" t="n">
        <f aca="false">MAX(0,H69-G69)+dlt*G69</f>
        <v>241.020558804375</v>
      </c>
      <c r="I70" s="4" t="s">
        <v>555</v>
      </c>
    </row>
    <row r="71" customFormat="false" ht="17.15" hidden="false" customHeight="false" outlineLevel="0" collapsed="false">
      <c r="A71" s="0" t="s">
        <v>556</v>
      </c>
      <c r="B71" s="0" t="s">
        <v>72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557</v>
      </c>
      <c r="B72" s="0" t="s">
        <v>72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558</v>
      </c>
      <c r="B73" s="0" t="s">
        <v>72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559</v>
      </c>
      <c r="B74" s="0" t="s">
        <v>72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560</v>
      </c>
      <c r="B75" s="4" t="s">
        <v>514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235.830841556635</v>
      </c>
      <c r="F75" s="14" t="n">
        <f aca="false">F70*F74</f>
        <v>106.191144162563</v>
      </c>
      <c r="G75" s="14" t="n">
        <f aca="false">G70*G74</f>
        <v>69.8959620532688</v>
      </c>
    </row>
    <row r="76" customFormat="false" ht="17.15" hidden="false" customHeight="false" outlineLevel="0" collapsed="false">
      <c r="A76" s="6" t="s">
        <v>561</v>
      </c>
    </row>
    <row r="77" customFormat="false" ht="17.15" hidden="false" customHeight="false" outlineLevel="0" collapsed="false">
      <c r="A77" s="4" t="s">
        <v>562</v>
      </c>
      <c r="B77" s="4" t="s">
        <v>236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  <c r="I77" s="8" t="s">
        <v>563</v>
      </c>
    </row>
    <row r="78" customFormat="false" ht="17.15" hidden="false" customHeight="false" outlineLevel="0" collapsed="false">
      <c r="A78" s="0" t="s">
        <v>564</v>
      </c>
      <c r="B78" s="4" t="s">
        <v>236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3437.87736023397</v>
      </c>
      <c r="F78" s="14" t="n">
        <f aca="false">$C79*F75</f>
        <v>1548.02538957206</v>
      </c>
      <c r="G78" s="14" t="n">
        <f aca="false">$C79*G75</f>
        <v>1018.92417433026</v>
      </c>
      <c r="I78" s="8" t="s">
        <v>565</v>
      </c>
    </row>
    <row r="79" customFormat="false" ht="17.15" hidden="false" customHeight="false" outlineLevel="0" collapsed="false">
      <c r="A79" s="4" t="s">
        <v>566</v>
      </c>
      <c r="B79" s="4" t="s">
        <v>567</v>
      </c>
      <c r="C79" s="18" t="n">
        <f aca="false">(C78+D78)/(C75+D75)</f>
        <v>14.5777258713991</v>
      </c>
      <c r="I79" s="4" t="s">
        <v>568</v>
      </c>
    </row>
    <row r="80" customFormat="false" ht="15" hidden="false" customHeight="false" outlineLevel="0" collapsed="false">
      <c r="A80" s="4" t="s">
        <v>467</v>
      </c>
      <c r="B80" s="4" t="s">
        <v>236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7166.68115223397</v>
      </c>
      <c r="F80" s="14" t="n">
        <f aca="false">F77+F78</f>
        <v>5724.28563661206</v>
      </c>
      <c r="G80" s="14" t="n">
        <f aca="false">G77+G78</f>
        <v>5696.33565101507</v>
      </c>
    </row>
    <row r="81" customFormat="false" ht="17.15" hidden="false" customHeight="false" outlineLevel="0" collapsed="false">
      <c r="A81" s="0" t="s">
        <v>569</v>
      </c>
      <c r="B81" s="0" t="s">
        <v>72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0.479702848111546</v>
      </c>
      <c r="F81" s="10" t="n">
        <f aca="false">F78/F80</f>
        <v>0.270431192264588</v>
      </c>
      <c r="G81" s="10" t="n">
        <f aca="false">G78/G80</f>
        <v>0.178873619244803</v>
      </c>
    </row>
    <row r="82" customFormat="false" ht="17.15" hidden="false" customHeight="false" outlineLevel="0" collapsed="false">
      <c r="A82" s="4" t="s">
        <v>570</v>
      </c>
      <c r="B82" s="4" t="s">
        <v>236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904.595160872823</v>
      </c>
      <c r="F82" s="14" t="n">
        <f aca="false">opex_fix+opex_var*F80</f>
        <v>803.712512836392</v>
      </c>
      <c r="G82" s="14" t="n">
        <f aca="false">opex_fix+opex_var*G80</f>
        <v>801.757661667579</v>
      </c>
      <c r="I82" s="4" t="s">
        <v>571</v>
      </c>
    </row>
    <row r="83" customFormat="false" ht="17.15" hidden="false" customHeight="false" outlineLevel="0" collapsed="false">
      <c r="A83" s="4" t="s">
        <v>537</v>
      </c>
      <c r="B83" s="0" t="s">
        <v>72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572</v>
      </c>
    </row>
    <row r="84" customFormat="false" ht="15" hidden="false" customHeight="false" outlineLevel="0" collapsed="false">
      <c r="A84" s="4" t="s">
        <v>472</v>
      </c>
      <c r="B84" s="4" t="s">
        <v>236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4266.09007831765</v>
      </c>
      <c r="F84" s="14" t="n">
        <f aca="false">F80*F83</f>
        <v>3407.47936751655</v>
      </c>
      <c r="G84" s="14" t="n">
        <f aca="false">G80*G83</f>
        <v>3390.8416584136</v>
      </c>
    </row>
    <row r="85" customFormat="false" ht="15" hidden="false" customHeight="false" outlineLevel="0" collapsed="false">
      <c r="A85" s="4" t="s">
        <v>475</v>
      </c>
      <c r="B85" s="4" t="s">
        <v>236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3361.49491744483</v>
      </c>
      <c r="F85" s="14" t="n">
        <f aca="false">F84-F82</f>
        <v>2603.76685468015</v>
      </c>
      <c r="G85" s="14" t="n">
        <f aca="false">G84-G82</f>
        <v>2589.08399674602</v>
      </c>
    </row>
    <row r="86" customFormat="false" ht="15" hidden="false" customHeight="false" outlineLevel="0" collapsed="false">
      <c r="A86" s="4" t="s">
        <v>478</v>
      </c>
      <c r="B86" s="0" t="s">
        <v>72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0.469044854381027</v>
      </c>
      <c r="F86" s="10" t="n">
        <f aca="false">F85/F80</f>
        <v>0.454863195160401</v>
      </c>
      <c r="G86" s="10" t="n">
        <f aca="false">G85/G80</f>
        <v>0.454517457426276</v>
      </c>
    </row>
    <row r="87" customFormat="false" ht="15" hidden="false" customHeight="false" outlineLevel="0" collapsed="false">
      <c r="A87" s="4" t="s">
        <v>538</v>
      </c>
      <c r="B87" s="4" t="s">
        <v>236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2861.52954506223</v>
      </c>
      <c r="F87" s="14" t="n">
        <f aca="false">F85*nioi</f>
        <v>2216.50068380426</v>
      </c>
      <c r="G87" s="14" t="n">
        <f aca="false">G85*nioi</f>
        <v>2204.00165202931</v>
      </c>
    </row>
    <row r="88" customFormat="false" ht="15" hidden="false" customHeight="false" outlineLevel="0" collapsed="false">
      <c r="A88" s="0" t="s">
        <v>539</v>
      </c>
      <c r="B88" s="0" t="s">
        <v>312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2984.14742323148</v>
      </c>
      <c r="F88" s="14" t="n">
        <f aca="false">F87*100/shares</f>
        <v>2311.47877385326</v>
      </c>
      <c r="G88" s="14" t="n">
        <f aca="false">G87*100/shares</f>
        <v>2298.44415272608</v>
      </c>
    </row>
    <row r="89" customFormat="false" ht="17.15" hidden="false" customHeight="false" outlineLevel="0" collapsed="false">
      <c r="A89" s="4" t="s">
        <v>573</v>
      </c>
      <c r="B89" s="4" t="s">
        <v>236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11854.7495180482</v>
      </c>
      <c r="F89" s="14" t="n">
        <f aca="false">$C79*F70</f>
        <v>5338.01858473123</v>
      </c>
      <c r="G89" s="14" t="n">
        <f aca="false">$C79*G70</f>
        <v>3513.5316356216</v>
      </c>
      <c r="I89" s="4" t="s">
        <v>574</v>
      </c>
    </row>
    <row r="90" customFormat="false" ht="15" hidden="false" customHeight="false" outlineLevel="0" collapsed="false">
      <c r="A90" s="4" t="s">
        <v>575</v>
      </c>
      <c r="B90" s="0" t="s">
        <v>343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834.841515355505</v>
      </c>
      <c r="F90" s="14" t="n">
        <f aca="false">F89/fx*100</f>
        <v>375.916801741636</v>
      </c>
      <c r="G90" s="14" t="n">
        <f aca="false">G89/fx*100</f>
        <v>247.431805325465</v>
      </c>
    </row>
    <row r="100" customFormat="false" ht="17.15" hidden="false" customHeight="false" outlineLevel="0" collapsed="false">
      <c r="A100" s="1" t="s">
        <v>885</v>
      </c>
    </row>
    <row r="101" customFormat="false" ht="15" hidden="false" customHeight="false" outlineLevel="0" collapsed="false">
      <c r="A101" s="5" t="s">
        <v>24</v>
      </c>
      <c r="B101" s="5" t="s">
        <v>25</v>
      </c>
      <c r="C101" s="13" t="s">
        <v>503</v>
      </c>
      <c r="D101" s="13" t="s">
        <v>504</v>
      </c>
      <c r="E101" s="13" t="s">
        <v>505</v>
      </c>
      <c r="F101" s="13" t="s">
        <v>506</v>
      </c>
      <c r="G101" s="13" t="s">
        <v>507</v>
      </c>
      <c r="H101" s="13" t="s">
        <v>508</v>
      </c>
      <c r="I101" s="5" t="s">
        <v>416</v>
      </c>
    </row>
    <row r="102" customFormat="false" ht="17.15" hidden="false" customHeight="false" outlineLevel="0" collapsed="false">
      <c r="A102" s="6" t="s">
        <v>542</v>
      </c>
    </row>
    <row r="103" customFormat="false" ht="17.15" hidden="false" customHeight="false" outlineLevel="0" collapsed="false">
      <c r="A103" s="0" t="s">
        <v>543</v>
      </c>
      <c r="B103" s="0" t="s">
        <v>35</v>
      </c>
      <c r="C103" s="20" t="n">
        <f aca="false">hsA_25</f>
        <v>2.22511470588235</v>
      </c>
      <c r="D103" s="20" t="n">
        <f aca="false">hsA_26</f>
        <v>3.782695</v>
      </c>
      <c r="E103" s="20" t="n">
        <f aca="false">hsA_27</f>
        <v>5.86317725</v>
      </c>
      <c r="F103" s="20" t="n">
        <f aca="false">hsA_28</f>
        <v>8.5016070125</v>
      </c>
      <c r="G103" s="20" t="n">
        <f aca="false">hsA_29</f>
        <v>11.477169466875</v>
      </c>
      <c r="H103" s="20" t="n">
        <f aca="false">G103*(1+g_tail)</f>
        <v>12.6248864135625</v>
      </c>
      <c r="I103" s="8" t="s">
        <v>544</v>
      </c>
    </row>
    <row r="104" customFormat="false" ht="17.15" hidden="false" customHeight="false" outlineLevel="0" collapsed="false">
      <c r="A104" s="0" t="s">
        <v>545</v>
      </c>
      <c r="B104" s="0" t="s">
        <v>546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547</v>
      </c>
      <c r="B105" s="4" t="s">
        <v>512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548</v>
      </c>
    </row>
    <row r="106" customFormat="false" ht="15" hidden="false" customHeight="false" outlineLevel="0" collapsed="false">
      <c r="A106" s="4" t="s">
        <v>549</v>
      </c>
      <c r="B106" s="4" t="s">
        <v>99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550</v>
      </c>
      <c r="B107" s="0" t="s">
        <v>119</v>
      </c>
      <c r="C107" s="18" t="n">
        <f aca="false">1+beta*(C106-$C106)/4</f>
        <v>1</v>
      </c>
      <c r="D107" s="18" t="n">
        <f aca="false">1+beta*(D106-$C106)/4</f>
        <v>1.05</v>
      </c>
      <c r="E107" s="18" t="n">
        <f aca="false">1+beta*(E106-$C106)/4</f>
        <v>1.0625</v>
      </c>
      <c r="F107" s="18" t="n">
        <f aca="false">1+beta*(F106-$C106)/4</f>
        <v>1.1</v>
      </c>
      <c r="G107" s="18" t="n">
        <f aca="false">1+beta*(G106-$C106)/4</f>
        <v>1.125</v>
      </c>
      <c r="H107" s="18" t="n">
        <f aca="false">1+beta*(H106-$C106)/4</f>
        <v>1.15</v>
      </c>
    </row>
    <row r="108" customFormat="false" ht="17.15" hidden="false" customHeight="false" outlineLevel="0" collapsed="false">
      <c r="A108" s="4" t="s">
        <v>551</v>
      </c>
      <c r="B108" s="0" t="s">
        <v>72</v>
      </c>
      <c r="C108" s="10" t="n">
        <f aca="false">hbp_25</f>
        <v>0</v>
      </c>
      <c r="D108" s="10" t="n">
        <f aca="false">hbp_26</f>
        <v>0</v>
      </c>
      <c r="E108" s="10" t="n">
        <f aca="false">hbp_27</f>
        <v>0</v>
      </c>
      <c r="F108" s="10" t="n">
        <f aca="false">hbp_28_hi</f>
        <v>0.15</v>
      </c>
      <c r="G108" s="10" t="n">
        <f aca="false">hbp_29_hi</f>
        <v>0.3</v>
      </c>
      <c r="H108" s="10" t="n">
        <f aca="false">hbp_30_hi</f>
        <v>0.4</v>
      </c>
      <c r="I108" s="4" t="s">
        <v>552</v>
      </c>
    </row>
    <row r="109" customFormat="false" ht="17.15" hidden="false" customHeight="false" outlineLevel="0" collapsed="false">
      <c r="A109" s="0" t="s">
        <v>553</v>
      </c>
      <c r="B109" s="4" t="s">
        <v>514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2271.143587625</v>
      </c>
      <c r="G109" s="14" t="n">
        <f aca="false">G105*G107*(1-G108)</f>
        <v>2410.20558804375</v>
      </c>
      <c r="H109" s="14" t="n">
        <f aca="false">H105*H107*(1-H108)</f>
        <v>2177.79290633953</v>
      </c>
    </row>
    <row r="110" customFormat="false" ht="17.15" hidden="false" customHeight="false" outlineLevel="0" collapsed="false">
      <c r="A110" s="4" t="s">
        <v>554</v>
      </c>
      <c r="B110" s="4" t="s">
        <v>514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MAX(0,hsA_28*8000/F104*F107*(1-hbp_28)-E109)+dlt*E109</f>
        <v>813.209798471154</v>
      </c>
      <c r="F110" s="14" t="n">
        <f aca="false">MAX(0,G109-F109)+dlt*F109</f>
        <v>366.17635918125</v>
      </c>
      <c r="G110" s="14" t="n">
        <f aca="false">MAX(0,H109-G109)+dlt*G109</f>
        <v>241.020558804375</v>
      </c>
      <c r="I110" s="4" t="s">
        <v>555</v>
      </c>
    </row>
    <row r="111" customFormat="false" ht="17.15" hidden="false" customHeight="false" outlineLevel="0" collapsed="false">
      <c r="A111" s="0" t="s">
        <v>556</v>
      </c>
      <c r="B111" s="0" t="s">
        <v>72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557</v>
      </c>
      <c r="B112" s="0" t="s">
        <v>72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558</v>
      </c>
      <c r="B113" s="0" t="s">
        <v>72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559</v>
      </c>
      <c r="B114" s="0" t="s">
        <v>72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560</v>
      </c>
      <c r="B115" s="4" t="s">
        <v>514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300.887625434327</v>
      </c>
      <c r="F115" s="14" t="n">
        <f aca="false">F110*F114</f>
        <v>135.485252897063</v>
      </c>
      <c r="G115" s="14" t="n">
        <f aca="false">G110*G114</f>
        <v>89.1776067576188</v>
      </c>
    </row>
    <row r="116" customFormat="false" ht="17.15" hidden="false" customHeight="false" outlineLevel="0" collapsed="false">
      <c r="A116" s="6" t="s">
        <v>561</v>
      </c>
    </row>
    <row r="117" customFormat="false" ht="17.15" hidden="false" customHeight="false" outlineLevel="0" collapsed="false">
      <c r="A117" s="4" t="s">
        <v>562</v>
      </c>
      <c r="B117" s="4" t="s">
        <v>236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  <c r="I117" s="8" t="s">
        <v>563</v>
      </c>
    </row>
    <row r="118" customFormat="false" ht="17.15" hidden="false" customHeight="false" outlineLevel="0" collapsed="false">
      <c r="A118" s="0" t="s">
        <v>564</v>
      </c>
      <c r="B118" s="4" t="s">
        <v>236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3897.53011301918</v>
      </c>
      <c r="F118" s="14" t="n">
        <f aca="false">$C119*F115</f>
        <v>1755.00023397133</v>
      </c>
      <c r="G118" s="14" t="n">
        <f aca="false">$C119*G115</f>
        <v>1155.15687041993</v>
      </c>
      <c r="I118" s="8" t="s">
        <v>565</v>
      </c>
    </row>
    <row r="119" customFormat="false" ht="17.15" hidden="false" customHeight="false" outlineLevel="0" collapsed="false">
      <c r="A119" s="4" t="s">
        <v>566</v>
      </c>
      <c r="B119" s="4" t="s">
        <v>567</v>
      </c>
      <c r="C119" s="18" t="n">
        <f aca="false">(C118+D118)/(C115+D115)</f>
        <v>12.9534410309934</v>
      </c>
      <c r="I119" s="4" t="s">
        <v>568</v>
      </c>
    </row>
    <row r="120" customFormat="false" ht="15" hidden="false" customHeight="false" outlineLevel="0" collapsed="false">
      <c r="A120" s="4" t="s">
        <v>467</v>
      </c>
      <c r="B120" s="4" t="s">
        <v>236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7626.33390501918</v>
      </c>
      <c r="F120" s="14" t="n">
        <f aca="false">F117+F118</f>
        <v>5931.26048101133</v>
      </c>
      <c r="G120" s="14" t="n">
        <f aca="false">G117+G118</f>
        <v>5832.56834710473</v>
      </c>
    </row>
    <row r="121" customFormat="false" ht="17.15" hidden="false" customHeight="false" outlineLevel="0" collapsed="false">
      <c r="A121" s="0" t="s">
        <v>569</v>
      </c>
      <c r="B121" s="0" t="s">
        <v>72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0.511062085867243</v>
      </c>
      <c r="F121" s="10" t="n">
        <f aca="false">F118/F120</f>
        <v>0.29588992754405</v>
      </c>
      <c r="G121" s="10" t="n">
        <f aca="false">G118/G120</f>
        <v>0.198052864822981</v>
      </c>
    </row>
    <row r="122" customFormat="false" ht="17.15" hidden="false" customHeight="false" outlineLevel="0" collapsed="false">
      <c r="A122" s="4" t="s">
        <v>570</v>
      </c>
      <c r="B122" s="4" t="s">
        <v>236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936.743754220476</v>
      </c>
      <c r="F122" s="14" t="n">
        <f aca="false">opex_fix+opex_var*F120</f>
        <v>818.188549508569</v>
      </c>
      <c r="G122" s="14" t="n">
        <f aca="false">opex_fix+opex_var*G120</f>
        <v>811.285918641355</v>
      </c>
      <c r="I122" s="4" t="s">
        <v>571</v>
      </c>
    </row>
    <row r="123" customFormat="false" ht="17.15" hidden="false" customHeight="false" outlineLevel="0" collapsed="false">
      <c r="A123" s="4" t="s">
        <v>537</v>
      </c>
      <c r="B123" s="0" t="s">
        <v>72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572</v>
      </c>
    </row>
    <row r="124" customFormat="false" ht="15" hidden="false" customHeight="false" outlineLevel="0" collapsed="false">
      <c r="A124" s="4" t="s">
        <v>472</v>
      </c>
      <c r="B124" s="4" t="s">
        <v>236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4539.70627617475</v>
      </c>
      <c r="F124" s="14" t="n">
        <f aca="false">F120*F123</f>
        <v>3530.68469944035</v>
      </c>
      <c r="G124" s="14" t="n">
        <f aca="false">G120*G123</f>
        <v>3471.93651121718</v>
      </c>
    </row>
    <row r="125" customFormat="false" ht="15" hidden="false" customHeight="false" outlineLevel="0" collapsed="false">
      <c r="A125" s="4" t="s">
        <v>475</v>
      </c>
      <c r="B125" s="4" t="s">
        <v>236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3602.96252195428</v>
      </c>
      <c r="F125" s="14" t="n">
        <f aca="false">F124-F122</f>
        <v>2712.49614993178</v>
      </c>
      <c r="G125" s="14" t="n">
        <f aca="false">G124-G122</f>
        <v>2660.65059257582</v>
      </c>
    </row>
    <row r="126" customFormat="false" ht="15" hidden="false" customHeight="false" outlineLevel="0" collapsed="false">
      <c r="A126" s="4" t="s">
        <v>478</v>
      </c>
      <c r="B126" s="0" t="s">
        <v>72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0.472437027650078</v>
      </c>
      <c r="F126" s="10" t="n">
        <f aca="false">F125/F120</f>
        <v>0.457322041177541</v>
      </c>
      <c r="G126" s="10" t="n">
        <f aca="false">G125/G120</f>
        <v>0.456171352693459</v>
      </c>
    </row>
    <row r="127" customFormat="false" ht="15" hidden="false" customHeight="false" outlineLevel="0" collapsed="false">
      <c r="A127" s="4" t="s">
        <v>538</v>
      </c>
      <c r="B127" s="4" t="s">
        <v>236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3067.08293765947</v>
      </c>
      <c r="F127" s="14" t="n">
        <f aca="false">F125*nioi</f>
        <v>2309.05833997136</v>
      </c>
      <c r="G127" s="14" t="n">
        <f aca="false">G125*nioi</f>
        <v>2264.92393019303</v>
      </c>
    </row>
    <row r="128" customFormat="false" ht="15" hidden="false" customHeight="false" outlineLevel="0" collapsed="false">
      <c r="A128" s="0" t="s">
        <v>539</v>
      </c>
      <c r="B128" s="0" t="s">
        <v>312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3198.50887475451</v>
      </c>
      <c r="F128" s="14" t="n">
        <f aca="false">F127*100/shares</f>
        <v>2408.00256883836</v>
      </c>
      <c r="G128" s="14" t="n">
        <f aca="false">G127*100/shares</f>
        <v>2361.97697897747</v>
      </c>
    </row>
    <row r="129" customFormat="false" ht="17.15" hidden="false" customHeight="false" outlineLevel="0" collapsed="false">
      <c r="A129" s="4" t="s">
        <v>573</v>
      </c>
      <c r="B129" s="4" t="s">
        <v>236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10533.8651703221</v>
      </c>
      <c r="F129" s="14" t="n">
        <f aca="false">$C119*F110</f>
        <v>4743.24387559818</v>
      </c>
      <c r="G129" s="14" t="n">
        <f aca="false">$C119*G110</f>
        <v>3122.04559572955</v>
      </c>
      <c r="I129" s="4" t="s">
        <v>574</v>
      </c>
    </row>
    <row r="130" customFormat="false" ht="15" hidden="false" customHeight="false" outlineLevel="0" collapsed="false">
      <c r="A130" s="4" t="s">
        <v>575</v>
      </c>
      <c r="B130" s="0" t="s">
        <v>343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741.821490867754</v>
      </c>
      <c r="F130" s="14" t="n">
        <f aca="false">F129/fx*100</f>
        <v>334.031258844942</v>
      </c>
      <c r="G130" s="14" t="n">
        <f aca="false">G129/fx*100</f>
        <v>219.862365896447</v>
      </c>
    </row>
    <row r="140" customFormat="false" ht="17.15" hidden="false" customHeight="false" outlineLevel="0" collapsed="false">
      <c r="A140" s="1" t="s">
        <v>886</v>
      </c>
    </row>
    <row r="141" customFormat="false" ht="15" hidden="false" customHeight="false" outlineLevel="0" collapsed="false">
      <c r="A141" s="5" t="s">
        <v>24</v>
      </c>
      <c r="B141" s="5" t="s">
        <v>25</v>
      </c>
      <c r="C141" s="13" t="s">
        <v>503</v>
      </c>
      <c r="D141" s="13" t="s">
        <v>504</v>
      </c>
      <c r="E141" s="13" t="s">
        <v>505</v>
      </c>
      <c r="F141" s="13" t="s">
        <v>506</v>
      </c>
      <c r="G141" s="13" t="s">
        <v>507</v>
      </c>
      <c r="H141" s="13" t="s">
        <v>508</v>
      </c>
      <c r="I141" s="5" t="s">
        <v>416</v>
      </c>
    </row>
    <row r="142" customFormat="false" ht="17.15" hidden="false" customHeight="false" outlineLevel="0" collapsed="false">
      <c r="A142" s="6" t="s">
        <v>542</v>
      </c>
    </row>
    <row r="143" customFormat="false" ht="17.15" hidden="false" customHeight="false" outlineLevel="0" collapsed="false">
      <c r="A143" s="0" t="s">
        <v>543</v>
      </c>
      <c r="B143" s="0" t="s">
        <v>35</v>
      </c>
      <c r="C143" s="20" t="n">
        <f aca="false">hsA_25</f>
        <v>2.22511470588235</v>
      </c>
      <c r="D143" s="20" t="n">
        <f aca="false">hsA_26</f>
        <v>3.782695</v>
      </c>
      <c r="E143" s="20" t="n">
        <f aca="false">hsA_27</f>
        <v>5.86317725</v>
      </c>
      <c r="F143" s="20" t="n">
        <f aca="false">hsA_28</f>
        <v>8.5016070125</v>
      </c>
      <c r="G143" s="20" t="n">
        <f aca="false">hsA_29</f>
        <v>11.477169466875</v>
      </c>
      <c r="H143" s="20" t="n">
        <f aca="false">G143*(1+g_tail)</f>
        <v>12.6248864135625</v>
      </c>
      <c r="I143" s="8" t="s">
        <v>544</v>
      </c>
    </row>
    <row r="144" customFormat="false" ht="17.15" hidden="false" customHeight="false" outlineLevel="0" collapsed="false">
      <c r="A144" s="0" t="s">
        <v>545</v>
      </c>
      <c r="B144" s="0" t="s">
        <v>546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547</v>
      </c>
      <c r="B145" s="4" t="s">
        <v>512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548</v>
      </c>
    </row>
    <row r="146" customFormat="false" ht="15" hidden="false" customHeight="false" outlineLevel="0" collapsed="false">
      <c r="A146" s="4" t="s">
        <v>549</v>
      </c>
      <c r="B146" s="4" t="s">
        <v>99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550</v>
      </c>
      <c r="B147" s="0" t="s">
        <v>119</v>
      </c>
      <c r="C147" s="18" t="n">
        <f aca="false">1+beta*(C146-$C146)/4</f>
        <v>1</v>
      </c>
      <c r="D147" s="18" t="n">
        <f aca="false">1+beta*(D146-$C146)/4</f>
        <v>1.05</v>
      </c>
      <c r="E147" s="18" t="n">
        <f aca="false">1+beta*(E146-$C146)/4</f>
        <v>1.0625</v>
      </c>
      <c r="F147" s="18" t="n">
        <f aca="false">1+beta*(F146-$C146)/4</f>
        <v>1.1</v>
      </c>
      <c r="G147" s="18" t="n">
        <f aca="false">1+beta*(G146-$C146)/4</f>
        <v>1.125</v>
      </c>
      <c r="H147" s="18" t="n">
        <f aca="false">1+beta*(H146-$C146)/4</f>
        <v>1.15</v>
      </c>
    </row>
    <row r="148" customFormat="false" ht="17.15" hidden="false" customHeight="false" outlineLevel="0" collapsed="false">
      <c r="A148" s="4" t="s">
        <v>551</v>
      </c>
      <c r="B148" s="0" t="s">
        <v>72</v>
      </c>
      <c r="C148" s="10" t="n">
        <f aca="false">hbp_25</f>
        <v>0</v>
      </c>
      <c r="D148" s="10" t="n">
        <f aca="false">hbp_26</f>
        <v>0</v>
      </c>
      <c r="E148" s="10" t="n">
        <f aca="false">hbp_27</f>
        <v>0</v>
      </c>
      <c r="F148" s="10" t="n">
        <f aca="false">hbp_28_hi</f>
        <v>0.15</v>
      </c>
      <c r="G148" s="10" t="n">
        <f aca="false">hbp_29_hi</f>
        <v>0.3</v>
      </c>
      <c r="H148" s="10" t="n">
        <f aca="false">hbp_30_hi</f>
        <v>0.4</v>
      </c>
      <c r="I148" s="4" t="s">
        <v>552</v>
      </c>
    </row>
    <row r="149" customFormat="false" ht="17.15" hidden="false" customHeight="false" outlineLevel="0" collapsed="false">
      <c r="A149" s="0" t="s">
        <v>553</v>
      </c>
      <c r="B149" s="4" t="s">
        <v>514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2271.143587625</v>
      </c>
      <c r="G149" s="14" t="n">
        <f aca="false">G145*G147*(1-G148)</f>
        <v>2410.20558804375</v>
      </c>
      <c r="H149" s="14" t="n">
        <f aca="false">H145*H147*(1-H148)</f>
        <v>2177.79290633953</v>
      </c>
    </row>
    <row r="150" customFormat="false" ht="17.15" hidden="false" customHeight="false" outlineLevel="0" collapsed="false">
      <c r="A150" s="4" t="s">
        <v>554</v>
      </c>
      <c r="B150" s="4" t="s">
        <v>514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MAX(0,hsA_28*8000/F144*F147*(1-hbp_28)-E149)+dlt*E149</f>
        <v>813.209798471154</v>
      </c>
      <c r="F150" s="14" t="n">
        <f aca="false">MAX(0,G149-F149)+dlt*F149</f>
        <v>366.17635918125</v>
      </c>
      <c r="G150" s="14" t="n">
        <f aca="false">MAX(0,H149-G149)+dlt*G149</f>
        <v>241.020558804375</v>
      </c>
      <c r="I150" s="4" t="s">
        <v>555</v>
      </c>
    </row>
    <row r="151" customFormat="false" ht="17.15" hidden="false" customHeight="false" outlineLevel="0" collapsed="false">
      <c r="A151" s="0" t="s">
        <v>556</v>
      </c>
      <c r="B151" s="0" t="s">
        <v>72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557</v>
      </c>
      <c r="B152" s="0" t="s">
        <v>72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558</v>
      </c>
      <c r="B153" s="0" t="s">
        <v>72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559</v>
      </c>
      <c r="B154" s="0" t="s">
        <v>72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560</v>
      </c>
      <c r="B155" s="4" t="s">
        <v>514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252.095037526058</v>
      </c>
      <c r="F155" s="14" t="n">
        <f aca="false">F150*F154</f>
        <v>113.514671346188</v>
      </c>
      <c r="G155" s="14" t="n">
        <f aca="false">G150*G154</f>
        <v>74.7163732293563</v>
      </c>
    </row>
    <row r="156" customFormat="false" ht="17.15" hidden="false" customHeight="false" outlineLevel="0" collapsed="false">
      <c r="A156" s="6" t="s">
        <v>561</v>
      </c>
    </row>
    <row r="157" customFormat="false" ht="17.15" hidden="false" customHeight="false" outlineLevel="0" collapsed="false">
      <c r="A157" s="4" t="s">
        <v>562</v>
      </c>
      <c r="B157" s="4" t="s">
        <v>236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  <c r="I157" s="8" t="s">
        <v>563</v>
      </c>
    </row>
    <row r="158" customFormat="false" ht="17.15" hidden="false" customHeight="false" outlineLevel="0" collapsed="false">
      <c r="A158" s="0" t="s">
        <v>564</v>
      </c>
      <c r="B158" s="4" t="s">
        <v>236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3558.11906966927</v>
      </c>
      <c r="F158" s="14" t="n">
        <f aca="false">$C159*F155</f>
        <v>1602.16845507068</v>
      </c>
      <c r="G158" s="14" t="n">
        <f aca="false">$C159*G155</f>
        <v>1054.56162490473</v>
      </c>
      <c r="I158" s="8" t="s">
        <v>565</v>
      </c>
    </row>
    <row r="159" customFormat="false" ht="17.15" hidden="false" customHeight="false" outlineLevel="0" collapsed="false">
      <c r="A159" s="4" t="s">
        <v>566</v>
      </c>
      <c r="B159" s="4" t="s">
        <v>567</v>
      </c>
      <c r="C159" s="18" t="n">
        <f aca="false">(C158+D158)/(C155+D155)</f>
        <v>14.1141971876439</v>
      </c>
      <c r="I159" s="4" t="s">
        <v>568</v>
      </c>
    </row>
    <row r="160" customFormat="false" ht="15" hidden="false" customHeight="false" outlineLevel="0" collapsed="false">
      <c r="A160" s="4" t="s">
        <v>467</v>
      </c>
      <c r="B160" s="4" t="s">
        <v>236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7286.92286166927</v>
      </c>
      <c r="F160" s="14" t="n">
        <f aca="false">F157+F158</f>
        <v>5778.42870211069</v>
      </c>
      <c r="G160" s="14" t="n">
        <f aca="false">G157+G158</f>
        <v>5731.97310158954</v>
      </c>
    </row>
    <row r="161" customFormat="false" ht="17.15" hidden="false" customHeight="false" outlineLevel="0" collapsed="false">
      <c r="A161" s="0" t="s">
        <v>569</v>
      </c>
      <c r="B161" s="0" t="s">
        <v>72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0.488288285359204</v>
      </c>
      <c r="F161" s="10" t="n">
        <f aca="false">F158/F160</f>
        <v>0.277267149542827</v>
      </c>
      <c r="G161" s="10" t="n">
        <f aca="false">G158/G160</f>
        <v>0.183978816057649</v>
      </c>
    </row>
    <row r="162" customFormat="false" ht="17.15" hidden="false" customHeight="false" outlineLevel="0" collapsed="false">
      <c r="A162" s="4" t="s">
        <v>570</v>
      </c>
      <c r="B162" s="4" t="s">
        <v>236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913.004991547477</v>
      </c>
      <c r="F162" s="14" t="n">
        <f aca="false">opex_fix+opex_var*F160</f>
        <v>807.499335355704</v>
      </c>
      <c r="G162" s="14" t="n">
        <f aca="false">opex_fix+opex_var*G160</f>
        <v>804.250182161633</v>
      </c>
      <c r="I162" s="4" t="s">
        <v>571</v>
      </c>
    </row>
    <row r="163" customFormat="false" ht="17.15" hidden="false" customHeight="false" outlineLevel="0" collapsed="false">
      <c r="A163" s="4" t="s">
        <v>537</v>
      </c>
      <c r="B163" s="0" t="s">
        <v>72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572</v>
      </c>
    </row>
    <row r="164" customFormat="false" ht="15" hidden="false" customHeight="false" outlineLevel="0" collapsed="false">
      <c r="A164" s="4" t="s">
        <v>472</v>
      </c>
      <c r="B164" s="4" t="s">
        <v>236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4337.66602159259</v>
      </c>
      <c r="F164" s="14" t="n">
        <f aca="false">F160*F163</f>
        <v>3439.70895742392</v>
      </c>
      <c r="G164" s="14" t="n">
        <f aca="false">G160*G163</f>
        <v>3412.05546311382</v>
      </c>
    </row>
    <row r="165" customFormat="false" ht="15" hidden="false" customHeight="false" outlineLevel="0" collapsed="false">
      <c r="A165" s="4" t="s">
        <v>475</v>
      </c>
      <c r="B165" s="4" t="s">
        <v>236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3424.66103004512</v>
      </c>
      <c r="F165" s="14" t="n">
        <f aca="false">F164-F162</f>
        <v>2632.20962206821</v>
      </c>
      <c r="G165" s="14" t="n">
        <f aca="false">G164-G162</f>
        <v>2607.80528095219</v>
      </c>
    </row>
    <row r="166" customFormat="false" ht="15" hidden="false" customHeight="false" outlineLevel="0" collapsed="false">
      <c r="A166" s="4" t="s">
        <v>478</v>
      </c>
      <c r="B166" s="0" t="s">
        <v>72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0.469973553316935</v>
      </c>
      <c r="F166" s="10" t="n">
        <f aca="false">F165/F160</f>
        <v>0.455523423020993</v>
      </c>
      <c r="G166" s="10" t="n">
        <f aca="false">G165/G160</f>
        <v>0.454957696893068</v>
      </c>
    </row>
    <row r="167" customFormat="false" ht="15" hidden="false" customHeight="false" outlineLevel="0" collapsed="false">
      <c r="A167" s="4" t="s">
        <v>538</v>
      </c>
      <c r="B167" s="4" t="s">
        <v>236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2915.30076944053</v>
      </c>
      <c r="F167" s="14" t="n">
        <f aca="false">F165*nioi</f>
        <v>2240.71307181112</v>
      </c>
      <c r="G167" s="14" t="n">
        <f aca="false">G165*nioi</f>
        <v>2219.93846264278</v>
      </c>
    </row>
    <row r="168" customFormat="false" ht="15" hidden="false" customHeight="false" outlineLevel="0" collapsed="false">
      <c r="A168" s="0" t="s">
        <v>539</v>
      </c>
      <c r="B168" s="0" t="s">
        <v>312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3040.22276970114</v>
      </c>
      <c r="F168" s="14" t="n">
        <f aca="false">F167*100/shares</f>
        <v>2336.72867400041</v>
      </c>
      <c r="G168" s="14" t="n">
        <f aca="false">G167*100/shares</f>
        <v>2315.06386312144</v>
      </c>
    </row>
    <row r="169" customFormat="false" ht="17.15" hidden="false" customHeight="false" outlineLevel="0" collapsed="false">
      <c r="A169" s="4" t="s">
        <v>573</v>
      </c>
      <c r="B169" s="4" t="s">
        <v>236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11477.803450546</v>
      </c>
      <c r="F169" s="14" t="n">
        <f aca="false">$C159*F150</f>
        <v>5168.28533893769</v>
      </c>
      <c r="G169" s="14" t="n">
        <f aca="false">$C159*G150</f>
        <v>3401.81169324107</v>
      </c>
      <c r="I169" s="4" t="s">
        <v>574</v>
      </c>
    </row>
    <row r="170" customFormat="false" ht="15" hidden="false" customHeight="false" outlineLevel="0" collapsed="false">
      <c r="A170" s="4" t="s">
        <v>575</v>
      </c>
      <c r="B170" s="0" t="s">
        <v>343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808.296017644087</v>
      </c>
      <c r="F170" s="14" t="n">
        <f aca="false">F169/fx*100</f>
        <v>363.963756263218</v>
      </c>
      <c r="G170" s="14" t="n">
        <f aca="false">G169/fx*100</f>
        <v>239.564203749371</v>
      </c>
    </row>
    <row r="180" customFormat="false" ht="17.15" hidden="false" customHeight="false" outlineLevel="0" collapsed="false">
      <c r="A180" s="1" t="s">
        <v>887</v>
      </c>
    </row>
    <row r="181" customFormat="false" ht="15" hidden="false" customHeight="false" outlineLevel="0" collapsed="false">
      <c r="A181" s="5" t="s">
        <v>24</v>
      </c>
      <c r="B181" s="5" t="s">
        <v>25</v>
      </c>
      <c r="C181" s="13" t="s">
        <v>503</v>
      </c>
      <c r="D181" s="13" t="s">
        <v>504</v>
      </c>
      <c r="E181" s="13" t="s">
        <v>505</v>
      </c>
      <c r="F181" s="13" t="s">
        <v>506</v>
      </c>
      <c r="G181" s="13" t="s">
        <v>507</v>
      </c>
      <c r="H181" s="13" t="s">
        <v>508</v>
      </c>
      <c r="I181" s="5" t="s">
        <v>416</v>
      </c>
    </row>
    <row r="182" customFormat="false" ht="17.15" hidden="false" customHeight="false" outlineLevel="0" collapsed="false">
      <c r="A182" s="6" t="s">
        <v>542</v>
      </c>
    </row>
    <row r="183" customFormat="false" ht="17.15" hidden="false" customHeight="false" outlineLevel="0" collapsed="false">
      <c r="A183" s="0" t="s">
        <v>543</v>
      </c>
      <c r="B183" s="0" t="s">
        <v>35</v>
      </c>
      <c r="C183" s="20" t="n">
        <f aca="false">hsA_25</f>
        <v>2.22511470588235</v>
      </c>
      <c r="D183" s="20" t="n">
        <f aca="false">hsA_26</f>
        <v>3.782695</v>
      </c>
      <c r="E183" s="20" t="n">
        <f aca="false">hsA_27</f>
        <v>5.86317725</v>
      </c>
      <c r="F183" s="20" t="n">
        <f aca="false">hsA_28</f>
        <v>8.5016070125</v>
      </c>
      <c r="G183" s="20" t="n">
        <f aca="false">hsA_29</f>
        <v>11.477169466875</v>
      </c>
      <c r="H183" s="20" t="n">
        <f aca="false">G183*(1+g_tail)</f>
        <v>12.6248864135625</v>
      </c>
      <c r="I183" s="8" t="s">
        <v>544</v>
      </c>
    </row>
    <row r="184" customFormat="false" ht="17.15" hidden="false" customHeight="false" outlineLevel="0" collapsed="false">
      <c r="A184" s="0" t="s">
        <v>545</v>
      </c>
      <c r="B184" s="0" t="s">
        <v>546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547</v>
      </c>
      <c r="B185" s="4" t="s">
        <v>512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548</v>
      </c>
    </row>
    <row r="186" customFormat="false" ht="15" hidden="false" customHeight="false" outlineLevel="0" collapsed="false">
      <c r="A186" s="4" t="s">
        <v>549</v>
      </c>
      <c r="B186" s="4" t="s">
        <v>99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550</v>
      </c>
      <c r="B187" s="0" t="s">
        <v>119</v>
      </c>
      <c r="C187" s="18" t="n">
        <f aca="false">1+beta*(C186-$C186)/4</f>
        <v>1</v>
      </c>
      <c r="D187" s="18" t="n">
        <f aca="false">1+beta*(D186-$C186)/4</f>
        <v>1.05</v>
      </c>
      <c r="E187" s="18" t="n">
        <f aca="false">1+beta*(E186-$C186)/4</f>
        <v>1.0625</v>
      </c>
      <c r="F187" s="18" t="n">
        <f aca="false">1+beta*(F186-$C186)/4</f>
        <v>1.1</v>
      </c>
      <c r="G187" s="18" t="n">
        <f aca="false">1+beta*(G186-$C186)/4</f>
        <v>1.125</v>
      </c>
      <c r="H187" s="18" t="n">
        <f aca="false">1+beta*(H186-$C186)/4</f>
        <v>1.15</v>
      </c>
    </row>
    <row r="188" customFormat="false" ht="17.15" hidden="false" customHeight="false" outlineLevel="0" collapsed="false">
      <c r="A188" s="4" t="s">
        <v>551</v>
      </c>
      <c r="B188" s="0" t="s">
        <v>72</v>
      </c>
      <c r="C188" s="10" t="n">
        <f aca="false">hbp_25</f>
        <v>0</v>
      </c>
      <c r="D188" s="10" t="n">
        <f aca="false">hbp_26</f>
        <v>0</v>
      </c>
      <c r="E188" s="10" t="n">
        <f aca="false">hbp_27</f>
        <v>0</v>
      </c>
      <c r="F188" s="10" t="n">
        <f aca="false">hbp_28_hi</f>
        <v>0.15</v>
      </c>
      <c r="G188" s="10" t="n">
        <f aca="false">hbp_29_hi</f>
        <v>0.3</v>
      </c>
      <c r="H188" s="10" t="n">
        <f aca="false">hbp_30_hi</f>
        <v>0.4</v>
      </c>
      <c r="I188" s="4" t="s">
        <v>552</v>
      </c>
    </row>
    <row r="189" customFormat="false" ht="17.15" hidden="false" customHeight="false" outlineLevel="0" collapsed="false">
      <c r="A189" s="0" t="s">
        <v>553</v>
      </c>
      <c r="B189" s="4" t="s">
        <v>514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2271.143587625</v>
      </c>
      <c r="G189" s="14" t="n">
        <f aca="false">G185*G187*(1-G188)</f>
        <v>2410.20558804375</v>
      </c>
      <c r="H189" s="14" t="n">
        <f aca="false">H185*H187*(1-H188)</f>
        <v>2177.79290633953</v>
      </c>
    </row>
    <row r="190" customFormat="false" ht="17.15" hidden="false" customHeight="false" outlineLevel="0" collapsed="false">
      <c r="A190" s="4" t="s">
        <v>554</v>
      </c>
      <c r="B190" s="4" t="s">
        <v>514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MAX(0,hsA_28*8000/F184*F187*(1-hbp_28)-E189)+dlt*E189</f>
        <v>813.209798471154</v>
      </c>
      <c r="F190" s="14" t="n">
        <f aca="false">MAX(0,G189-F189)+dlt*F189</f>
        <v>366.17635918125</v>
      </c>
      <c r="G190" s="14" t="n">
        <f aca="false">MAX(0,H189-G189)+dlt*G189</f>
        <v>241.020558804375</v>
      </c>
      <c r="I190" s="4" t="s">
        <v>555</v>
      </c>
    </row>
    <row r="191" customFormat="false" ht="17.15" hidden="false" customHeight="false" outlineLevel="0" collapsed="false">
      <c r="A191" s="0" t="s">
        <v>556</v>
      </c>
      <c r="B191" s="0" t="s">
        <v>72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557</v>
      </c>
      <c r="B192" s="0" t="s">
        <v>72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558</v>
      </c>
      <c r="B193" s="0" t="s">
        <v>72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559</v>
      </c>
      <c r="B194" s="0" t="s">
        <v>72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560</v>
      </c>
      <c r="B195" s="4" t="s">
        <v>514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284.623429464904</v>
      </c>
      <c r="F195" s="14" t="n">
        <f aca="false">F190*F194</f>
        <v>128.161725713438</v>
      </c>
      <c r="G195" s="14" t="n">
        <f aca="false">G190*G194</f>
        <v>84.3571955815313</v>
      </c>
    </row>
    <row r="196" customFormat="false" ht="17.15" hidden="false" customHeight="false" outlineLevel="0" collapsed="false">
      <c r="A196" s="6" t="s">
        <v>561</v>
      </c>
    </row>
    <row r="197" customFormat="false" ht="17.15" hidden="false" customHeight="false" outlineLevel="0" collapsed="false">
      <c r="A197" s="4" t="s">
        <v>562</v>
      </c>
      <c r="B197" s="4" t="s">
        <v>236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  <c r="I197" s="8" t="s">
        <v>563</v>
      </c>
    </row>
    <row r="198" customFormat="false" ht="17.15" hidden="false" customHeight="false" outlineLevel="0" collapsed="false">
      <c r="A198" s="0" t="s">
        <v>564</v>
      </c>
      <c r="B198" s="4" t="s">
        <v>236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3797.67680643967</v>
      </c>
      <c r="F198" s="14" t="n">
        <f aca="false">$C199*F195</f>
        <v>1710.03776509277</v>
      </c>
      <c r="G198" s="14" t="n">
        <f aca="false">$C199*G195</f>
        <v>1125.56217075509</v>
      </c>
      <c r="I198" s="8" t="s">
        <v>565</v>
      </c>
    </row>
    <row r="199" customFormat="false" ht="17.15" hidden="false" customHeight="false" outlineLevel="0" collapsed="false">
      <c r="A199" s="4" t="s">
        <v>566</v>
      </c>
      <c r="B199" s="4" t="s">
        <v>567</v>
      </c>
      <c r="C199" s="18" t="n">
        <f aca="false">(C198+D198)/(C195+D195)</f>
        <v>13.3428116356386</v>
      </c>
      <c r="I199" s="4" t="s">
        <v>568</v>
      </c>
    </row>
    <row r="200" customFormat="false" ht="15" hidden="false" customHeight="false" outlineLevel="0" collapsed="false">
      <c r="A200" s="4" t="s">
        <v>467</v>
      </c>
      <c r="B200" s="4" t="s">
        <v>236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7526.48059843967</v>
      </c>
      <c r="F200" s="14" t="n">
        <f aca="false">F197+F198</f>
        <v>5886.29801213277</v>
      </c>
      <c r="G200" s="14" t="n">
        <f aca="false">G197+G198</f>
        <v>5802.97364743989</v>
      </c>
    </row>
    <row r="201" customFormat="false" ht="17.15" hidden="false" customHeight="false" outlineLevel="0" collapsed="false">
      <c r="A201" s="0" t="s">
        <v>569</v>
      </c>
      <c r="B201" s="0" t="s">
        <v>72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0.504575379789988</v>
      </c>
      <c r="F201" s="10" t="n">
        <f aca="false">F198/F200</f>
        <v>0.290511584966997</v>
      </c>
      <c r="G201" s="10" t="n">
        <f aca="false">G198/G200</f>
        <v>0.193962998824173</v>
      </c>
    </row>
    <row r="202" customFormat="false" ht="17.15" hidden="false" customHeight="false" outlineLevel="0" collapsed="false">
      <c r="A202" s="4" t="s">
        <v>570</v>
      </c>
      <c r="B202" s="4" t="s">
        <v>236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929.759909724404</v>
      </c>
      <c r="F202" s="14" t="n">
        <f aca="false">opex_fix+opex_var*F200</f>
        <v>815.043827500217</v>
      </c>
      <c r="G202" s="14" t="n">
        <f aca="false">opex_fix+opex_var*G200</f>
        <v>809.216034453768</v>
      </c>
      <c r="I202" s="4" t="s">
        <v>571</v>
      </c>
    </row>
    <row r="203" customFormat="false" ht="17.15" hidden="false" customHeight="false" outlineLevel="0" collapsed="false">
      <c r="A203" s="4" t="s">
        <v>537</v>
      </c>
      <c r="B203" s="0" t="s">
        <v>72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572</v>
      </c>
    </row>
    <row r="204" customFormat="false" ht="15" hidden="false" customHeight="false" outlineLevel="0" collapsed="false">
      <c r="A204" s="4" t="s">
        <v>472</v>
      </c>
      <c r="B204" s="4" t="s">
        <v>236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4480.26687996926</v>
      </c>
      <c r="F204" s="14" t="n">
        <f aca="false">F200*F203</f>
        <v>3503.92001739228</v>
      </c>
      <c r="G204" s="14" t="n">
        <f aca="false">G200*G203</f>
        <v>3454.31975780941</v>
      </c>
    </row>
    <row r="205" customFormat="false" ht="15" hidden="false" customHeight="false" outlineLevel="0" collapsed="false">
      <c r="A205" s="4" t="s">
        <v>475</v>
      </c>
      <c r="B205" s="4" t="s">
        <v>236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3550.50697024485</v>
      </c>
      <c r="F205" s="14" t="n">
        <f aca="false">F204-F202</f>
        <v>2688.87618989206</v>
      </c>
      <c r="G205" s="14" t="n">
        <f aca="false">G204-G202</f>
        <v>2645.10372335565</v>
      </c>
    </row>
    <row r="206" customFormat="false" ht="15" hidden="false" customHeight="false" outlineLevel="0" collapsed="false">
      <c r="A206" s="4" t="s">
        <v>478</v>
      </c>
      <c r="B206" s="0" t="s">
        <v>72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0.471735351444461</v>
      </c>
      <c r="F206" s="10" t="n">
        <f aca="false">F205/F200</f>
        <v>0.456802592113035</v>
      </c>
      <c r="G206" s="10" t="n">
        <f aca="false">G205/G200</f>
        <v>0.455818668851372</v>
      </c>
    </row>
    <row r="207" customFormat="false" ht="15" hidden="false" customHeight="false" outlineLevel="0" collapsed="false">
      <c r="A207" s="4" t="s">
        <v>538</v>
      </c>
      <c r="B207" s="4" t="s">
        <v>236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3022.42925984486</v>
      </c>
      <c r="F207" s="14" t="n">
        <f aca="false">F205*nioi</f>
        <v>2288.95144849398</v>
      </c>
      <c r="G207" s="14" t="n">
        <f aca="false">G205*nioi</f>
        <v>2251.6893941609</v>
      </c>
    </row>
    <row r="208" customFormat="false" ht="15" hidden="false" customHeight="false" outlineLevel="0" collapsed="false">
      <c r="A208" s="0" t="s">
        <v>539</v>
      </c>
      <c r="B208" s="0" t="s">
        <v>312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3151.94176597933</v>
      </c>
      <c r="F208" s="14" t="n">
        <f aca="false">F207*100/shares</f>
        <v>2387.03408766542</v>
      </c>
      <c r="G208" s="14" t="n">
        <f aca="false">G207*100/shares</f>
        <v>2348.175336892</v>
      </c>
    </row>
    <row r="209" customFormat="false" ht="17.15" hidden="false" customHeight="false" outlineLevel="0" collapsed="false">
      <c r="A209" s="4" t="s">
        <v>573</v>
      </c>
      <c r="B209" s="4" t="s">
        <v>236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10850.5051612562</v>
      </c>
      <c r="F209" s="14" t="n">
        <f aca="false">$C199*F190</f>
        <v>4885.82218597935</v>
      </c>
      <c r="G209" s="14" t="n">
        <f aca="false">$C199*G190</f>
        <v>3215.89191644312</v>
      </c>
      <c r="I209" s="4" t="s">
        <v>574</v>
      </c>
    </row>
    <row r="210" customFormat="false" ht="15" hidden="false" customHeight="false" outlineLevel="0" collapsed="false">
      <c r="A210" s="4" t="s">
        <v>575</v>
      </c>
      <c r="B210" s="0" t="s">
        <v>343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764.120081778605</v>
      </c>
      <c r="F210" s="14" t="n">
        <f aca="false">F209/fx*100</f>
        <v>344.071984928123</v>
      </c>
      <c r="G210" s="14" t="n">
        <f aca="false">G209/fx*100</f>
        <v>226.471261721347</v>
      </c>
    </row>
    <row r="220" customFormat="false" ht="17.15" hidden="false" customHeight="false" outlineLevel="0" collapsed="false">
      <c r="A220" s="1" t="s">
        <v>888</v>
      </c>
    </row>
    <row r="221" customFormat="false" ht="15" hidden="false" customHeight="false" outlineLevel="0" collapsed="false">
      <c r="A221" s="5" t="s">
        <v>24</v>
      </c>
      <c r="B221" s="5" t="s">
        <v>25</v>
      </c>
      <c r="C221" s="13" t="s">
        <v>503</v>
      </c>
      <c r="D221" s="13" t="s">
        <v>504</v>
      </c>
      <c r="E221" s="13" t="s">
        <v>505</v>
      </c>
      <c r="F221" s="13" t="s">
        <v>506</v>
      </c>
      <c r="G221" s="13" t="s">
        <v>507</v>
      </c>
      <c r="H221" s="13" t="s">
        <v>508</v>
      </c>
      <c r="I221" s="5" t="s">
        <v>416</v>
      </c>
    </row>
    <row r="222" customFormat="false" ht="17.15" hidden="false" customHeight="false" outlineLevel="0" collapsed="false">
      <c r="A222" s="6" t="s">
        <v>542</v>
      </c>
    </row>
    <row r="223" customFormat="false" ht="17.15" hidden="false" customHeight="false" outlineLevel="0" collapsed="false">
      <c r="A223" s="0" t="s">
        <v>543</v>
      </c>
      <c r="B223" s="0" t="s">
        <v>35</v>
      </c>
      <c r="C223" s="20" t="n">
        <f aca="false">hsA_25</f>
        <v>2.22511470588235</v>
      </c>
      <c r="D223" s="20" t="n">
        <f aca="false">hsA_26</f>
        <v>3.782695</v>
      </c>
      <c r="E223" s="20" t="n">
        <f aca="false">hsA_27</f>
        <v>5.86317725</v>
      </c>
      <c r="F223" s="20" t="n">
        <f aca="false">hsA_28</f>
        <v>8.5016070125</v>
      </c>
      <c r="G223" s="20" t="n">
        <f aca="false">hsA_29</f>
        <v>11.477169466875</v>
      </c>
      <c r="H223" s="20" t="n">
        <f aca="false">G223*(1+g_tail)</f>
        <v>12.6248864135625</v>
      </c>
      <c r="I223" s="8" t="s">
        <v>544</v>
      </c>
    </row>
    <row r="224" customFormat="false" ht="17.15" hidden="false" customHeight="false" outlineLevel="0" collapsed="false">
      <c r="A224" s="0" t="s">
        <v>545</v>
      </c>
      <c r="B224" s="0" t="s">
        <v>546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547</v>
      </c>
      <c r="B225" s="4" t="s">
        <v>512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548</v>
      </c>
    </row>
    <row r="226" customFormat="false" ht="15" hidden="false" customHeight="false" outlineLevel="0" collapsed="false">
      <c r="A226" s="4" t="s">
        <v>549</v>
      </c>
      <c r="B226" s="4" t="s">
        <v>99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550</v>
      </c>
      <c r="B227" s="0" t="s">
        <v>119</v>
      </c>
      <c r="C227" s="18" t="n">
        <f aca="false">1+beta*(C226-$C226)/4</f>
        <v>1</v>
      </c>
      <c r="D227" s="18" t="n">
        <f aca="false">1+beta*(D226-$C226)/4</f>
        <v>1.05</v>
      </c>
      <c r="E227" s="18" t="n">
        <f aca="false">1+beta*(E226-$C226)/4</f>
        <v>1.0625</v>
      </c>
      <c r="F227" s="18" t="n">
        <f aca="false">1+beta*(F226-$C226)/4</f>
        <v>1.1</v>
      </c>
      <c r="G227" s="18" t="n">
        <f aca="false">1+beta*(G226-$C226)/4</f>
        <v>1.125</v>
      </c>
      <c r="H227" s="18" t="n">
        <f aca="false">1+beta*(H226-$C226)/4</f>
        <v>1.15</v>
      </c>
    </row>
    <row r="228" customFormat="false" ht="17.15" hidden="false" customHeight="false" outlineLevel="0" collapsed="false">
      <c r="A228" s="4" t="s">
        <v>551</v>
      </c>
      <c r="B228" s="0" t="s">
        <v>72</v>
      </c>
      <c r="C228" s="10" t="n">
        <f aca="false">hbp_25</f>
        <v>0</v>
      </c>
      <c r="D228" s="10" t="n">
        <f aca="false">hbp_26</f>
        <v>0</v>
      </c>
      <c r="E228" s="10" t="n">
        <f aca="false">hbp_27</f>
        <v>0</v>
      </c>
      <c r="F228" s="10" t="n">
        <f aca="false">hbp_28_hi</f>
        <v>0.15</v>
      </c>
      <c r="G228" s="10" t="n">
        <f aca="false">hbp_29_hi</f>
        <v>0.3</v>
      </c>
      <c r="H228" s="10" t="n">
        <f aca="false">hbp_30_hi</f>
        <v>0.4</v>
      </c>
      <c r="I228" s="4" t="s">
        <v>552</v>
      </c>
    </row>
    <row r="229" customFormat="false" ht="17.15" hidden="false" customHeight="false" outlineLevel="0" collapsed="false">
      <c r="A229" s="0" t="s">
        <v>553</v>
      </c>
      <c r="B229" s="4" t="s">
        <v>514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2271.143587625</v>
      </c>
      <c r="G229" s="14" t="n">
        <f aca="false">G225*G227*(1-G228)</f>
        <v>2410.20558804375</v>
      </c>
      <c r="H229" s="14" t="n">
        <f aca="false">H225*H227*(1-H228)</f>
        <v>2177.79290633953</v>
      </c>
    </row>
    <row r="230" customFormat="false" ht="17.15" hidden="false" customHeight="false" outlineLevel="0" collapsed="false">
      <c r="A230" s="4" t="s">
        <v>554</v>
      </c>
      <c r="B230" s="4" t="s">
        <v>514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MAX(0,hsA_28*8000/F224*F227*(1-hbp_28)-E229)+dlt*E229</f>
        <v>813.209798471154</v>
      </c>
      <c r="F230" s="14" t="n">
        <f aca="false">MAX(0,G229-F229)+dlt*F229</f>
        <v>366.17635918125</v>
      </c>
      <c r="G230" s="14" t="n">
        <f aca="false">MAX(0,H229-G229)+dlt*G229</f>
        <v>241.020558804375</v>
      </c>
      <c r="I230" s="4" t="s">
        <v>555</v>
      </c>
    </row>
    <row r="231" customFormat="false" ht="17.15" hidden="false" customHeight="false" outlineLevel="0" collapsed="false">
      <c r="A231" s="0" t="s">
        <v>556</v>
      </c>
      <c r="B231" s="0" t="s">
        <v>72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557</v>
      </c>
      <c r="B232" s="0" t="s">
        <v>72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558</v>
      </c>
      <c r="B233" s="0" t="s">
        <v>72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559</v>
      </c>
      <c r="B234" s="0" t="s">
        <v>72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560</v>
      </c>
      <c r="B235" s="4" t="s">
        <v>514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300.887625434327</v>
      </c>
      <c r="F235" s="14" t="n">
        <f aca="false">F230*F234</f>
        <v>135.485252897063</v>
      </c>
      <c r="G235" s="14" t="n">
        <f aca="false">G230*G234</f>
        <v>89.1776067576188</v>
      </c>
    </row>
    <row r="236" customFormat="false" ht="17.15" hidden="false" customHeight="false" outlineLevel="0" collapsed="false">
      <c r="A236" s="6" t="s">
        <v>561</v>
      </c>
    </row>
    <row r="237" customFormat="false" ht="17.15" hidden="false" customHeight="false" outlineLevel="0" collapsed="false">
      <c r="A237" s="4" t="s">
        <v>562</v>
      </c>
      <c r="B237" s="4" t="s">
        <v>236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  <c r="I237" s="8" t="s">
        <v>563</v>
      </c>
    </row>
    <row r="238" customFormat="false" ht="17.15" hidden="false" customHeight="false" outlineLevel="0" collapsed="false">
      <c r="A238" s="0" t="s">
        <v>564</v>
      </c>
      <c r="B238" s="4" t="s">
        <v>236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3785.81210788023</v>
      </c>
      <c r="F238" s="14" t="n">
        <f aca="false">$C239*F235</f>
        <v>1704.69526660167</v>
      </c>
      <c r="G238" s="14" t="n">
        <f aca="false">$C239*G235</f>
        <v>1122.04569040498</v>
      </c>
      <c r="I238" s="8" t="s">
        <v>565</v>
      </c>
    </row>
    <row r="239" customFormat="false" ht="17.15" hidden="false" customHeight="false" outlineLevel="0" collapsed="false">
      <c r="A239" s="4" t="s">
        <v>566</v>
      </c>
      <c r="B239" s="4" t="s">
        <v>567</v>
      </c>
      <c r="C239" s="18" t="n">
        <f aca="false">(C238+D238)/(C235+D235)</f>
        <v>12.5821462495025</v>
      </c>
      <c r="I239" s="4" t="s">
        <v>568</v>
      </c>
    </row>
    <row r="240" customFormat="false" ht="15" hidden="false" customHeight="false" outlineLevel="0" collapsed="false">
      <c r="A240" s="4" t="s">
        <v>467</v>
      </c>
      <c r="B240" s="4" t="s">
        <v>236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7514.61589988023</v>
      </c>
      <c r="F240" s="14" t="n">
        <f aca="false">F237+F238</f>
        <v>5880.95551364168</v>
      </c>
      <c r="G240" s="14" t="n">
        <f aca="false">G237+G238</f>
        <v>5799.45716708978</v>
      </c>
    </row>
    <row r="241" customFormat="false" ht="17.15" hidden="false" customHeight="false" outlineLevel="0" collapsed="false">
      <c r="A241" s="0" t="s">
        <v>569</v>
      </c>
      <c r="B241" s="0" t="s">
        <v>72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0.503793162327907</v>
      </c>
      <c r="F241" s="10" t="n">
        <f aca="false">F238/F240</f>
        <v>0.289867056917435</v>
      </c>
      <c r="G241" s="10" t="n">
        <f aca="false">G238/G240</f>
        <v>0.193474261138139</v>
      </c>
    </row>
    <row r="242" customFormat="false" ht="17.15" hidden="false" customHeight="false" outlineLevel="0" collapsed="false">
      <c r="A242" s="4" t="s">
        <v>570</v>
      </c>
      <c r="B242" s="4" t="s">
        <v>236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928.930080321951</v>
      </c>
      <c r="F242" s="14" t="n">
        <f aca="false">opex_fix+opex_var*F240</f>
        <v>814.670167578874</v>
      </c>
      <c r="G242" s="14" t="n">
        <f aca="false">opex_fix+opex_var*G240</f>
        <v>808.970088147332</v>
      </c>
      <c r="I242" s="4" t="s">
        <v>571</v>
      </c>
    </row>
    <row r="243" customFormat="false" ht="17.15" hidden="false" customHeight="false" outlineLevel="0" collapsed="false">
      <c r="A243" s="4" t="s">
        <v>537</v>
      </c>
      <c r="B243" s="0" t="s">
        <v>72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572</v>
      </c>
    </row>
    <row r="244" customFormat="false" ht="15" hidden="false" customHeight="false" outlineLevel="0" collapsed="false">
      <c r="A244" s="4" t="s">
        <v>472</v>
      </c>
      <c r="B244" s="4" t="s">
        <v>236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4473.2042143181</v>
      </c>
      <c r="F244" s="14" t="n">
        <f aca="false">F240*F243</f>
        <v>3500.73980338217</v>
      </c>
      <c r="G244" s="14" t="n">
        <f aca="false">G240*G243</f>
        <v>3452.22651246843</v>
      </c>
    </row>
    <row r="245" customFormat="false" ht="15" hidden="false" customHeight="false" outlineLevel="0" collapsed="false">
      <c r="A245" s="4" t="s">
        <v>475</v>
      </c>
      <c r="B245" s="4" t="s">
        <v>236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3544.27413399615</v>
      </c>
      <c r="F245" s="14" t="n">
        <f aca="false">F244-F242</f>
        <v>2686.06963580329</v>
      </c>
      <c r="G245" s="14" t="n">
        <f aca="false">G244-G242</f>
        <v>2643.2564243211</v>
      </c>
    </row>
    <row r="246" customFormat="false" ht="15" hidden="false" customHeight="false" outlineLevel="0" collapsed="false">
      <c r="A246" s="4" t="s">
        <v>478</v>
      </c>
      <c r="B246" s="0" t="s">
        <v>72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0.471650737871066</v>
      </c>
      <c r="F246" s="10" t="n">
        <f aca="false">F245/F240</f>
        <v>0.456740342546818</v>
      </c>
      <c r="G246" s="10" t="n">
        <f aca="false">G245/G240</f>
        <v>0.455776523244418</v>
      </c>
    </row>
    <row r="247" customFormat="false" ht="15" hidden="false" customHeight="false" outlineLevel="0" collapsed="false">
      <c r="A247" s="4" t="s">
        <v>538</v>
      </c>
      <c r="B247" s="4" t="s">
        <v>236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3017.12345230589</v>
      </c>
      <c r="F247" s="14" t="n">
        <f aca="false">F245*nioi</f>
        <v>2286.56232173875</v>
      </c>
      <c r="G247" s="14" t="n">
        <f aca="false">G245*nioi</f>
        <v>2250.11684953545</v>
      </c>
    </row>
    <row r="248" customFormat="false" ht="15" hidden="false" customHeight="false" outlineLevel="0" collapsed="false">
      <c r="A248" s="0" t="s">
        <v>539</v>
      </c>
      <c r="B248" s="0" t="s">
        <v>312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3146.40860210797</v>
      </c>
      <c r="F248" s="14" t="n">
        <f aca="false">F247*100/shares</f>
        <v>2384.54258571232</v>
      </c>
      <c r="G248" s="14" t="n">
        <f aca="false">G247*100/shares</f>
        <v>2346.53540799451</v>
      </c>
    </row>
    <row r="249" customFormat="false" ht="17.15" hidden="false" customHeight="false" outlineLevel="0" collapsed="false">
      <c r="A249" s="4" t="s">
        <v>573</v>
      </c>
      <c r="B249" s="4" t="s">
        <v>236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10231.9246158925</v>
      </c>
      <c r="F249" s="14" t="n">
        <f aca="false">$C239*F230</f>
        <v>4607.28450432885</v>
      </c>
      <c r="G249" s="14" t="n">
        <f aca="false">$C239*G230</f>
        <v>3032.55592001346</v>
      </c>
      <c r="I249" s="4" t="s">
        <v>574</v>
      </c>
    </row>
    <row r="250" customFormat="false" ht="15" hidden="false" customHeight="false" outlineLevel="0" collapsed="false">
      <c r="A250" s="4" t="s">
        <v>575</v>
      </c>
      <c r="B250" s="0" t="s">
        <v>343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720.558071541726</v>
      </c>
      <c r="F250" s="14" t="n">
        <f aca="false">F249/fx*100</f>
        <v>324.456655234426</v>
      </c>
      <c r="G250" s="14" t="n">
        <f aca="false">G249/fx*100</f>
        <v>213.560276057286</v>
      </c>
    </row>
    <row r="260" customFormat="false" ht="17.15" hidden="false" customHeight="false" outlineLevel="0" collapsed="false">
      <c r="A260" s="1" t="s">
        <v>889</v>
      </c>
    </row>
    <row r="261" customFormat="false" ht="15" hidden="false" customHeight="false" outlineLevel="0" collapsed="false">
      <c r="A261" s="5" t="s">
        <v>24</v>
      </c>
      <c r="B261" s="5" t="s">
        <v>25</v>
      </c>
      <c r="C261" s="13" t="s">
        <v>503</v>
      </c>
      <c r="D261" s="13" t="s">
        <v>504</v>
      </c>
      <c r="E261" s="13" t="s">
        <v>505</v>
      </c>
      <c r="F261" s="13" t="s">
        <v>506</v>
      </c>
      <c r="G261" s="13" t="s">
        <v>507</v>
      </c>
      <c r="H261" s="13" t="s">
        <v>508</v>
      </c>
      <c r="I261" s="5" t="s">
        <v>416</v>
      </c>
    </row>
    <row r="262" customFormat="false" ht="17.15" hidden="false" customHeight="false" outlineLevel="0" collapsed="false">
      <c r="A262" s="6" t="s">
        <v>542</v>
      </c>
    </row>
    <row r="263" customFormat="false" ht="17.15" hidden="false" customHeight="false" outlineLevel="0" collapsed="false">
      <c r="A263" s="0" t="s">
        <v>543</v>
      </c>
      <c r="B263" s="0" t="s">
        <v>35</v>
      </c>
      <c r="C263" s="20" t="n">
        <f aca="false">hsA_25</f>
        <v>2.22511470588235</v>
      </c>
      <c r="D263" s="20" t="n">
        <f aca="false">hsA_26</f>
        <v>3.782695</v>
      </c>
      <c r="E263" s="20" t="n">
        <f aca="false">hsA_27</f>
        <v>5.86317725</v>
      </c>
      <c r="F263" s="20" t="n">
        <f aca="false">hsA_28</f>
        <v>8.5016070125</v>
      </c>
      <c r="G263" s="20" t="n">
        <f aca="false">hsA_29</f>
        <v>11.477169466875</v>
      </c>
      <c r="H263" s="20" t="n">
        <f aca="false">G263*(1+g_tail)</f>
        <v>12.6248864135625</v>
      </c>
      <c r="I263" s="8" t="s">
        <v>544</v>
      </c>
    </row>
    <row r="264" customFormat="false" ht="17.15" hidden="false" customHeight="false" outlineLevel="0" collapsed="false">
      <c r="A264" s="0" t="s">
        <v>545</v>
      </c>
      <c r="B264" s="0" t="s">
        <v>546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547</v>
      </c>
      <c r="B265" s="4" t="s">
        <v>512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548</v>
      </c>
    </row>
    <row r="266" customFormat="false" ht="15" hidden="false" customHeight="false" outlineLevel="0" collapsed="false">
      <c r="A266" s="4" t="s">
        <v>549</v>
      </c>
      <c r="B266" s="4" t="s">
        <v>99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550</v>
      </c>
      <c r="B267" s="0" t="s">
        <v>119</v>
      </c>
      <c r="C267" s="18" t="n">
        <f aca="false">1+beta*(C266-$C266)/4</f>
        <v>1</v>
      </c>
      <c r="D267" s="18" t="n">
        <f aca="false">1+beta*(D266-$C266)/4</f>
        <v>1.05</v>
      </c>
      <c r="E267" s="18" t="n">
        <f aca="false">1+beta*(E266-$C266)/4</f>
        <v>1.0625</v>
      </c>
      <c r="F267" s="18" t="n">
        <f aca="false">1+beta*(F266-$C266)/4</f>
        <v>1.1</v>
      </c>
      <c r="G267" s="18" t="n">
        <f aca="false">1+beta*(G266-$C266)/4</f>
        <v>1.125</v>
      </c>
      <c r="H267" s="18" t="n">
        <f aca="false">1+beta*(H266-$C266)/4</f>
        <v>1.15</v>
      </c>
    </row>
    <row r="268" customFormat="false" ht="15" hidden="false" customHeight="false" outlineLevel="0" collapsed="false">
      <c r="A268" s="4" t="s">
        <v>551</v>
      </c>
      <c r="B268" s="0" t="s">
        <v>72</v>
      </c>
      <c r="C268" s="10" t="n">
        <f aca="false">0</f>
        <v>0</v>
      </c>
      <c r="D268" s="10" t="n">
        <f aca="false">0</f>
        <v>0</v>
      </c>
      <c r="E268" s="10" t="n">
        <f aca="false">0</f>
        <v>0</v>
      </c>
      <c r="F268" s="10" t="n">
        <f aca="false">0</f>
        <v>0</v>
      </c>
      <c r="G268" s="10" t="n">
        <f aca="false">0</f>
        <v>0</v>
      </c>
      <c r="H268" s="10" t="n">
        <f aca="false">0</f>
        <v>0</v>
      </c>
    </row>
    <row r="269" customFormat="false" ht="17.15" hidden="false" customHeight="false" outlineLevel="0" collapsed="false">
      <c r="A269" s="0" t="s">
        <v>553</v>
      </c>
      <c r="B269" s="4" t="s">
        <v>514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2671.9336325</v>
      </c>
      <c r="G269" s="14" t="n">
        <f aca="false">G265*G267*(1-G268)</f>
        <v>3443.1508400625</v>
      </c>
      <c r="H269" s="14" t="n">
        <f aca="false">H265*H267*(1-H268)</f>
        <v>3629.65484389922</v>
      </c>
    </row>
    <row r="270" customFormat="false" ht="17.15" hidden="false" customHeight="false" outlineLevel="0" collapsed="false">
      <c r="A270" s="4" t="s">
        <v>554</v>
      </c>
      <c r="B270" s="4" t="s">
        <v>514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MAX(0,hsA_28*8000/F264*F267*(1-0)-E269)+dlt*E269</f>
        <v>946.806480096154</v>
      </c>
      <c r="F270" s="14" t="n">
        <f aca="false">MAX(0,G269-F269)+dlt*F269</f>
        <v>1038.4105708125</v>
      </c>
      <c r="G270" s="14" t="n">
        <f aca="false">MAX(0,H269-G269)+dlt*G269</f>
        <v>530.819087842968</v>
      </c>
      <c r="I270" s="4" t="s">
        <v>555</v>
      </c>
    </row>
    <row r="271" customFormat="false" ht="17.15" hidden="false" customHeight="false" outlineLevel="0" collapsed="false">
      <c r="A271" s="0" t="s">
        <v>556</v>
      </c>
      <c r="B271" s="0" t="s">
        <v>72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557</v>
      </c>
      <c r="B272" s="0" t="s">
        <v>72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558</v>
      </c>
      <c r="B273" s="0" t="s">
        <v>72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559</v>
      </c>
      <c r="B274" s="0" t="s">
        <v>72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560</v>
      </c>
      <c r="B275" s="4" t="s">
        <v>514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312.446138431731</v>
      </c>
      <c r="F275" s="14" t="n">
        <f aca="false">F270*F274</f>
        <v>342.675488368125</v>
      </c>
      <c r="G275" s="14" t="n">
        <f aca="false">G270*G274</f>
        <v>175.17029898818</v>
      </c>
    </row>
    <row r="276" customFormat="false" ht="17.15" hidden="false" customHeight="false" outlineLevel="0" collapsed="false">
      <c r="A276" s="6" t="s">
        <v>561</v>
      </c>
    </row>
    <row r="277" customFormat="false" ht="17.15" hidden="false" customHeight="false" outlineLevel="0" collapsed="false">
      <c r="A277" s="4" t="s">
        <v>562</v>
      </c>
      <c r="B277" s="4" t="s">
        <v>236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  <c r="I277" s="8" t="s">
        <v>563</v>
      </c>
    </row>
    <row r="278" customFormat="false" ht="17.15" hidden="false" customHeight="false" outlineLevel="0" collapsed="false">
      <c r="A278" s="0" t="s">
        <v>564</v>
      </c>
      <c r="B278" s="4" t="s">
        <v>236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4286.03259533926</v>
      </c>
      <c r="F278" s="14" t="n">
        <f aca="false">$C279*F275</f>
        <v>4700.70880101627</v>
      </c>
      <c r="G278" s="14" t="n">
        <f aca="false">$C279*G275</f>
        <v>2402.9281173616</v>
      </c>
      <c r="I278" s="8" t="s">
        <v>565</v>
      </c>
    </row>
    <row r="279" customFormat="false" ht="17.15" hidden="false" customHeight="false" outlineLevel="0" collapsed="false">
      <c r="A279" s="4" t="s">
        <v>566</v>
      </c>
      <c r="B279" s="4" t="s">
        <v>567</v>
      </c>
      <c r="C279" s="18" t="n">
        <f aca="false">(C278+D278)/(C275+D275)</f>
        <v>13.7176686415529</v>
      </c>
      <c r="I279" s="4" t="s">
        <v>568</v>
      </c>
    </row>
    <row r="280" customFormat="false" ht="15" hidden="false" customHeight="false" outlineLevel="0" collapsed="false">
      <c r="A280" s="4" t="s">
        <v>467</v>
      </c>
      <c r="B280" s="4" t="s">
        <v>236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8014.83638733926</v>
      </c>
      <c r="F280" s="14" t="n">
        <f aca="false">F277+F278</f>
        <v>8876.96904805627</v>
      </c>
      <c r="G280" s="14" t="n">
        <f aca="false">G277+G278</f>
        <v>7080.33959404641</v>
      </c>
    </row>
    <row r="281" customFormat="false" ht="17.15" hidden="false" customHeight="false" outlineLevel="0" collapsed="false">
      <c r="A281" s="0" t="s">
        <v>569</v>
      </c>
      <c r="B281" s="0" t="s">
        <v>72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0.534762331781314</v>
      </c>
      <c r="F281" s="10" t="n">
        <f aca="false">F278/F280</f>
        <v>0.529539843562432</v>
      </c>
      <c r="G281" s="10" t="n">
        <f aca="false">G278/G280</f>
        <v>0.339380348279077</v>
      </c>
    </row>
    <row r="282" customFormat="false" ht="17.15" hidden="false" customHeight="false" outlineLevel="0" collapsed="false">
      <c r="A282" s="4" t="s">
        <v>570</v>
      </c>
      <c r="B282" s="4" t="s">
        <v>236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963.916023380144</v>
      </c>
      <c r="F282" s="14" t="n">
        <f aca="false">opex_fix+opex_var*F280</f>
        <v>1024.21448162537</v>
      </c>
      <c r="G282" s="14" t="n">
        <f aca="false">opex_fix+opex_var*G280</f>
        <v>898.556342163797</v>
      </c>
      <c r="I282" s="4" t="s">
        <v>571</v>
      </c>
    </row>
    <row r="283" customFormat="false" ht="17.15" hidden="false" customHeight="false" outlineLevel="0" collapsed="false">
      <c r="A283" s="4" t="s">
        <v>537</v>
      </c>
      <c r="B283" s="0" t="s">
        <v>72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572</v>
      </c>
    </row>
    <row r="284" customFormat="false" ht="15" hidden="false" customHeight="false" outlineLevel="0" collapsed="false">
      <c r="A284" s="4" t="s">
        <v>472</v>
      </c>
      <c r="B284" s="4" t="s">
        <v>236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4770.96905318707</v>
      </c>
      <c r="F284" s="14" t="n">
        <f aca="false">F280*F283</f>
        <v>5284.16833078183</v>
      </c>
      <c r="G284" s="14" t="n">
        <f aca="false">G280*G283</f>
        <v>4214.69378247217</v>
      </c>
    </row>
    <row r="285" customFormat="false" ht="15" hidden="false" customHeight="false" outlineLevel="0" collapsed="false">
      <c r="A285" s="4" t="s">
        <v>475</v>
      </c>
      <c r="B285" s="4" t="s">
        <v>236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3807.05302980693</v>
      </c>
      <c r="F285" s="14" t="n">
        <f aca="false">F284-F282</f>
        <v>4259.95384915646</v>
      </c>
      <c r="G285" s="14" t="n">
        <f aca="false">G284-G282</f>
        <v>3316.13744030837</v>
      </c>
    </row>
    <row r="286" customFormat="false" ht="15" hidden="false" customHeight="false" outlineLevel="0" collapsed="false">
      <c r="A286" s="4" t="s">
        <v>478</v>
      </c>
      <c r="B286" s="0" t="s">
        <v>72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0.475000716898075</v>
      </c>
      <c r="F286" s="10" t="n">
        <f aca="false">F285/F280</f>
        <v>0.479888329687173</v>
      </c>
      <c r="G286" s="10" t="n">
        <f aca="false">G285/G280</f>
        <v>0.468358529454829</v>
      </c>
    </row>
    <row r="287" customFormat="false" ht="15" hidden="false" customHeight="false" outlineLevel="0" collapsed="false">
      <c r="A287" s="4" t="s">
        <v>538</v>
      </c>
      <c r="B287" s="4" t="s">
        <v>236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3240.81844297181</v>
      </c>
      <c r="F287" s="14" t="n">
        <f aca="false">F285*nioi</f>
        <v>3626.35794470537</v>
      </c>
      <c r="G287" s="14" t="n">
        <f aca="false">G285*nioi</f>
        <v>2822.91822358086</v>
      </c>
    </row>
    <row r="288" customFormat="false" ht="15" hidden="false" customHeight="false" outlineLevel="0" collapsed="false">
      <c r="A288" s="0" t="s">
        <v>539</v>
      </c>
      <c r="B288" s="0" t="s">
        <v>312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3379.68902765429</v>
      </c>
      <c r="F288" s="14" t="n">
        <f aca="false">F287*100/shares</f>
        <v>3781.74907719578</v>
      </c>
      <c r="G288" s="14" t="n">
        <f aca="false">G287*100/shares</f>
        <v>2943.88158858196</v>
      </c>
    </row>
    <row r="289" customFormat="false" ht="17.15" hidden="false" customHeight="false" outlineLevel="0" collapsed="false">
      <c r="A289" s="4" t="s">
        <v>573</v>
      </c>
      <c r="B289" s="4" t="s">
        <v>236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12987.9775616341</v>
      </c>
      <c r="F289" s="14" t="n">
        <f aca="false">$C279*F270</f>
        <v>14244.5721242917</v>
      </c>
      <c r="G289" s="14" t="n">
        <f aca="false">$C279*G270</f>
        <v>7281.60035564122</v>
      </c>
      <c r="I289" s="4" t="s">
        <v>574</v>
      </c>
    </row>
    <row r="290" customFormat="false" ht="15" hidden="false" customHeight="false" outlineLevel="0" collapsed="false">
      <c r="A290" s="4" t="s">
        <v>575</v>
      </c>
      <c r="B290" s="0" t="s">
        <v>343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914.646307157333</v>
      </c>
      <c r="F290" s="14" t="n">
        <f aca="false">F289/fx*100</f>
        <v>1003.13888199238</v>
      </c>
      <c r="G290" s="14" t="n">
        <f aca="false">G289/fx*100</f>
        <v>512.788757439523</v>
      </c>
    </row>
    <row r="300" customFormat="false" ht="17.15" hidden="false" customHeight="false" outlineLevel="0" collapsed="false">
      <c r="A300" s="1" t="s">
        <v>890</v>
      </c>
    </row>
    <row r="301" customFormat="false" ht="15" hidden="false" customHeight="false" outlineLevel="0" collapsed="false">
      <c r="A301" s="5" t="s">
        <v>24</v>
      </c>
      <c r="B301" s="5" t="s">
        <v>25</v>
      </c>
      <c r="C301" s="13" t="s">
        <v>503</v>
      </c>
      <c r="D301" s="13" t="s">
        <v>504</v>
      </c>
      <c r="E301" s="13" t="s">
        <v>505</v>
      </c>
      <c r="F301" s="13" t="s">
        <v>506</v>
      </c>
      <c r="G301" s="13" t="s">
        <v>507</v>
      </c>
      <c r="H301" s="13" t="s">
        <v>508</v>
      </c>
      <c r="I301" s="5" t="s">
        <v>416</v>
      </c>
    </row>
    <row r="302" customFormat="false" ht="17.15" hidden="false" customHeight="false" outlineLevel="0" collapsed="false">
      <c r="A302" s="6" t="s">
        <v>542</v>
      </c>
    </row>
    <row r="303" customFormat="false" ht="17.15" hidden="false" customHeight="false" outlineLevel="0" collapsed="false">
      <c r="A303" s="0" t="s">
        <v>543</v>
      </c>
      <c r="B303" s="0" t="s">
        <v>35</v>
      </c>
      <c r="C303" s="20" t="n">
        <f aca="false">hsA_25</f>
        <v>2.22511470588235</v>
      </c>
      <c r="D303" s="20" t="n">
        <f aca="false">hsA_26</f>
        <v>3.782695</v>
      </c>
      <c r="E303" s="20" t="n">
        <f aca="false">hsA_27</f>
        <v>5.86317725</v>
      </c>
      <c r="F303" s="20" t="n">
        <f aca="false">hsA_28</f>
        <v>8.5016070125</v>
      </c>
      <c r="G303" s="20" t="n">
        <f aca="false">hsA_29</f>
        <v>11.477169466875</v>
      </c>
      <c r="H303" s="20" t="n">
        <f aca="false">G303*(1+g_tail)</f>
        <v>12.6248864135625</v>
      </c>
      <c r="I303" s="8" t="s">
        <v>544</v>
      </c>
    </row>
    <row r="304" customFormat="false" ht="17.15" hidden="false" customHeight="false" outlineLevel="0" collapsed="false">
      <c r="A304" s="0" t="s">
        <v>545</v>
      </c>
      <c r="B304" s="0" t="s">
        <v>546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547</v>
      </c>
      <c r="B305" s="4" t="s">
        <v>512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548</v>
      </c>
    </row>
    <row r="306" customFormat="false" ht="15" hidden="false" customHeight="false" outlineLevel="0" collapsed="false">
      <c r="A306" s="4" t="s">
        <v>549</v>
      </c>
      <c r="B306" s="4" t="s">
        <v>99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550</v>
      </c>
      <c r="B307" s="0" t="s">
        <v>119</v>
      </c>
      <c r="C307" s="18" t="n">
        <f aca="false">1+beta*(C306-$C306)/4</f>
        <v>1</v>
      </c>
      <c r="D307" s="18" t="n">
        <f aca="false">1+beta*(D306-$C306)/4</f>
        <v>1.05</v>
      </c>
      <c r="E307" s="18" t="n">
        <f aca="false">1+beta*(E306-$C306)/4</f>
        <v>1.0625</v>
      </c>
      <c r="F307" s="18" t="n">
        <f aca="false">1+beta*(F306-$C306)/4</f>
        <v>1.1</v>
      </c>
      <c r="G307" s="18" t="n">
        <f aca="false">1+beta*(G306-$C306)/4</f>
        <v>1.125</v>
      </c>
      <c r="H307" s="18" t="n">
        <f aca="false">1+beta*(H306-$C306)/4</f>
        <v>1.15</v>
      </c>
    </row>
    <row r="308" customFormat="false" ht="15" hidden="false" customHeight="false" outlineLevel="0" collapsed="false">
      <c r="A308" s="4" t="s">
        <v>551</v>
      </c>
      <c r="B308" s="0" t="s">
        <v>72</v>
      </c>
      <c r="C308" s="10" t="n">
        <f aca="false">hbp_25</f>
        <v>0</v>
      </c>
      <c r="D308" s="10" t="n">
        <f aca="false">hbp_26</f>
        <v>0</v>
      </c>
      <c r="E308" s="10" t="n">
        <f aca="false">hbp_27</f>
        <v>0</v>
      </c>
      <c r="F308" s="10" t="n">
        <f aca="false">hbp_28</f>
        <v>0.05</v>
      </c>
      <c r="G308" s="10" t="n">
        <f aca="false">hbp_29</f>
        <v>0.15</v>
      </c>
      <c r="H308" s="10" t="n">
        <f aca="false">hbp_30</f>
        <v>0.25</v>
      </c>
    </row>
    <row r="309" customFormat="false" ht="17.15" hidden="false" customHeight="false" outlineLevel="0" collapsed="false">
      <c r="A309" s="0" t="s">
        <v>553</v>
      </c>
      <c r="B309" s="4" t="s">
        <v>514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1916.80794711538</v>
      </c>
      <c r="F309" s="14" t="n">
        <f aca="false">F305*F307*(1-F308)</f>
        <v>2538.336950875</v>
      </c>
      <c r="G309" s="14" t="n">
        <f aca="false">G305*G307*(1-G308)</f>
        <v>2926.67821405313</v>
      </c>
      <c r="H309" s="14" t="n">
        <f aca="false">H305*H307*(1-H308)</f>
        <v>2722.24113292441</v>
      </c>
    </row>
    <row r="310" customFormat="false" ht="17.15" hidden="false" customHeight="false" outlineLevel="0" collapsed="false">
      <c r="A310" s="4" t="s">
        <v>554</v>
      </c>
      <c r="B310" s="4" t="s">
        <v>514</v>
      </c>
      <c r="C310" s="14" t="n">
        <f aca="false">MAX(0,D309-C309)+dlt*C309</f>
        <v>656.408838235295</v>
      </c>
      <c r="D310" s="14" t="n">
        <f aca="false">MAX(0,E309-D309)+dlt*D309</f>
        <v>725.259022115385</v>
      </c>
      <c r="E310" s="14" t="n">
        <f aca="false">MAX(0,hsA_28*8000/F304*F307*(1-hbp_28)-E309)+dlt*E309</f>
        <v>813.209798471154</v>
      </c>
      <c r="F310" s="14" t="n">
        <f aca="false">MAX(0,G309-F309)+dlt*F309</f>
        <v>642.174958265625</v>
      </c>
      <c r="G310" s="14" t="n">
        <f aca="false">MAX(0,H309-G309)+dlt*G309</f>
        <v>292.667821405313</v>
      </c>
      <c r="I310" s="4" t="s">
        <v>555</v>
      </c>
    </row>
    <row r="311" customFormat="false" ht="17.15" hidden="false" customHeight="false" outlineLevel="0" collapsed="false">
      <c r="A311" s="0" t="s">
        <v>556</v>
      </c>
      <c r="B311" s="0" t="s">
        <v>72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557</v>
      </c>
      <c r="B312" s="0" t="s">
        <v>72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558</v>
      </c>
      <c r="B313" s="0" t="s">
        <v>72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559</v>
      </c>
      <c r="B314" s="0" t="s">
        <v>72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560</v>
      </c>
      <c r="B315" s="4" t="s">
        <v>514</v>
      </c>
      <c r="C315" s="14" t="n">
        <f aca="false">C310*C314</f>
        <v>270.440441352942</v>
      </c>
      <c r="D315" s="14" t="n">
        <f aca="false">D310*D314</f>
        <v>245.862808497115</v>
      </c>
      <c r="E315" s="14" t="n">
        <f aca="false">E310*E314</f>
        <v>268.359233495481</v>
      </c>
      <c r="F315" s="14" t="n">
        <f aca="false">F310*F314</f>
        <v>211.917736227656</v>
      </c>
      <c r="G315" s="14" t="n">
        <f aca="false">G310*G314</f>
        <v>96.5803810637532</v>
      </c>
    </row>
    <row r="316" customFormat="false" ht="17.15" hidden="false" customHeight="false" outlineLevel="0" collapsed="false">
      <c r="A316" s="6" t="s">
        <v>561</v>
      </c>
    </row>
    <row r="317" customFormat="false" ht="17.15" hidden="false" customHeight="false" outlineLevel="0" collapsed="false">
      <c r="A317" s="4" t="s">
        <v>562</v>
      </c>
      <c r="B317" s="4" t="s">
        <v>236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  <c r="I317" s="8" t="s">
        <v>563</v>
      </c>
    </row>
    <row r="318" customFormat="false" ht="17.15" hidden="false" customHeight="false" outlineLevel="0" collapsed="false">
      <c r="A318" s="0" t="s">
        <v>564</v>
      </c>
      <c r="B318" s="4" t="s">
        <v>236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3681.26304199214</v>
      </c>
      <c r="F318" s="14" t="n">
        <f aca="false">$C319*F315</f>
        <v>2907.01728483901</v>
      </c>
      <c r="G318" s="14" t="n">
        <f aca="false">$C319*G315</f>
        <v>1324.85766470748</v>
      </c>
      <c r="I318" s="8" t="s">
        <v>565</v>
      </c>
    </row>
    <row r="319" customFormat="false" ht="17.15" hidden="false" customHeight="false" outlineLevel="0" collapsed="false">
      <c r="A319" s="4" t="s">
        <v>566</v>
      </c>
      <c r="B319" s="4" t="s">
        <v>567</v>
      </c>
      <c r="C319" s="18" t="n">
        <f aca="false">(C318+D318)/(C315+D315)</f>
        <v>13.7176686415529</v>
      </c>
      <c r="I319" s="4" t="s">
        <v>568</v>
      </c>
    </row>
    <row r="320" customFormat="false" ht="15" hidden="false" customHeight="false" outlineLevel="0" collapsed="false">
      <c r="A320" s="4" t="s">
        <v>467</v>
      </c>
      <c r="B320" s="4" t="s">
        <v>236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7410.06683399214</v>
      </c>
      <c r="F320" s="14" t="n">
        <f aca="false">F317+F318</f>
        <v>7083.27753187901</v>
      </c>
      <c r="G320" s="14" t="n">
        <f aca="false">G317+G318</f>
        <v>6002.26914139228</v>
      </c>
    </row>
    <row r="321" customFormat="false" ht="17.15" hidden="false" customHeight="false" outlineLevel="0" collapsed="false">
      <c r="A321" s="0" t="s">
        <v>569</v>
      </c>
      <c r="B321" s="0" t="s">
        <v>72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0.496792151064699</v>
      </c>
      <c r="F321" s="10" t="n">
        <f aca="false">F318/F320</f>
        <v>0.410405673327874</v>
      </c>
      <c r="G321" s="10" t="n">
        <f aca="false">G318/G320</f>
        <v>0.220726134316624</v>
      </c>
    </row>
    <row r="322" customFormat="false" ht="17.15" hidden="false" customHeight="false" outlineLevel="0" collapsed="false">
      <c r="A322" s="4" t="s">
        <v>570</v>
      </c>
      <c r="B322" s="4" t="s">
        <v>236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921.617809518073</v>
      </c>
      <c r="F322" s="14" t="n">
        <f aca="false">opex_fix+opex_var*F320</f>
        <v>898.761824602635</v>
      </c>
      <c r="G322" s="14" t="n">
        <f aca="false">opex_fix+opex_var*G320</f>
        <v>823.154969339444</v>
      </c>
      <c r="I322" s="4" t="s">
        <v>571</v>
      </c>
    </row>
    <row r="323" customFormat="false" ht="17.15" hidden="false" customHeight="false" outlineLevel="0" collapsed="false">
      <c r="A323" s="4" t="s">
        <v>537</v>
      </c>
      <c r="B323" s="0" t="s">
        <v>72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572</v>
      </c>
    </row>
    <row r="324" customFormat="false" ht="15" hidden="false" customHeight="false" outlineLevel="0" collapsed="false">
      <c r="A324" s="4" t="s">
        <v>472</v>
      </c>
      <c r="B324" s="4" t="s">
        <v>236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4410.96958671178</v>
      </c>
      <c r="F324" s="14" t="n">
        <f aca="false">F320*F323</f>
        <v>4216.44264044034</v>
      </c>
      <c r="G324" s="14" t="n">
        <f aca="false">G320*G323</f>
        <v>3572.95382444968</v>
      </c>
    </row>
    <row r="325" customFormat="false" ht="15" hidden="false" customHeight="false" outlineLevel="0" collapsed="false">
      <c r="A325" s="4" t="s">
        <v>475</v>
      </c>
      <c r="B325" s="4" t="s">
        <v>236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3489.35177719371</v>
      </c>
      <c r="F325" s="14" t="n">
        <f aca="false">F324-F322</f>
        <v>3317.6808158377</v>
      </c>
      <c r="G325" s="14" t="n">
        <f aca="false">G324-G322</f>
        <v>2749.79885511024</v>
      </c>
    </row>
    <row r="326" customFormat="false" ht="15" hidden="false" customHeight="false" outlineLevel="0" collapsed="false">
      <c r="A326" s="4" t="s">
        <v>478</v>
      </c>
      <c r="B326" s="0" t="s">
        <v>72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0.47089342854332</v>
      </c>
      <c r="F326" s="10" t="n">
        <f aca="false">F325/F320</f>
        <v>0.468382157963759</v>
      </c>
      <c r="G326" s="10" t="n">
        <f aca="false">G325/G320</f>
        <v>0.458126550198713</v>
      </c>
    </row>
    <row r="327" customFormat="false" ht="15" hidden="false" customHeight="false" outlineLevel="0" collapsed="false">
      <c r="A327" s="4" t="s">
        <v>538</v>
      </c>
      <c r="B327" s="4" t="s">
        <v>236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2970.36986482936</v>
      </c>
      <c r="F327" s="14" t="n">
        <f aca="false">F325*nioi</f>
        <v>2824.23204816925</v>
      </c>
      <c r="G327" s="14" t="n">
        <f aca="false">G325*nioi</f>
        <v>2340.81290024898</v>
      </c>
    </row>
    <row r="328" customFormat="false" ht="15" hidden="false" customHeight="false" outlineLevel="0" collapsed="false">
      <c r="A328" s="0" t="s">
        <v>539</v>
      </c>
      <c r="B328" s="0" t="s">
        <v>312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3097.6516015606</v>
      </c>
      <c r="F328" s="14" t="n">
        <f aca="false">F327*100/shares</f>
        <v>2945.25171116791</v>
      </c>
      <c r="G328" s="14" t="n">
        <f aca="false">G327*100/shares</f>
        <v>2441.11782686245</v>
      </c>
    </row>
    <row r="329" customFormat="false" ht="17.15" hidden="false" customHeight="false" outlineLevel="0" collapsed="false">
      <c r="A329" s="4" t="s">
        <v>573</v>
      </c>
      <c r="B329" s="4" t="s">
        <v>236</v>
      </c>
      <c r="C329" s="14" t="n">
        <f aca="false">$C319*C310</f>
        <v>9004.3989362985</v>
      </c>
      <c r="D329" s="14" t="n">
        <f aca="false">$C319*D310</f>
        <v>9948.86294467556</v>
      </c>
      <c r="E329" s="14" t="n">
        <f aca="false">$C319*E310</f>
        <v>11155.3425514913</v>
      </c>
      <c r="F329" s="14" t="n">
        <f aca="false">$C319*F310</f>
        <v>8809.14328739094</v>
      </c>
      <c r="G329" s="14" t="n">
        <f aca="false">$C319*G310</f>
        <v>4014.72019608327</v>
      </c>
      <c r="I329" s="4" t="s">
        <v>574</v>
      </c>
    </row>
    <row r="330" customFormat="false" ht="15" hidden="false" customHeight="false" outlineLevel="0" collapsed="false">
      <c r="A330" s="4" t="s">
        <v>575</v>
      </c>
      <c r="B330" s="0" t="s">
        <v>343</v>
      </c>
      <c r="C330" s="14" t="n">
        <f aca="false">C329/fx*100</f>
        <v>634.112601147782</v>
      </c>
      <c r="D330" s="14" t="n">
        <f aca="false">D329/fx*100</f>
        <v>700.62415103349</v>
      </c>
      <c r="E330" s="14" t="n">
        <f aca="false">E329/fx*100</f>
        <v>785.58750362615</v>
      </c>
      <c r="F330" s="14" t="n">
        <f aca="false">F329/fx*100</f>
        <v>620.36220333739</v>
      </c>
      <c r="G330" s="14" t="n">
        <f aca="false">G329/fx*100</f>
        <v>282.726774372061</v>
      </c>
    </row>
    <row r="340" customFormat="false" ht="17.15" hidden="false" customHeight="false" outlineLevel="0" collapsed="false">
      <c r="A340" s="1" t="s">
        <v>891</v>
      </c>
    </row>
    <row r="341" customFormat="false" ht="15" hidden="false" customHeight="false" outlineLevel="0" collapsed="false">
      <c r="A341" s="5" t="s">
        <v>24</v>
      </c>
      <c r="B341" s="5" t="s">
        <v>25</v>
      </c>
      <c r="C341" s="13" t="s">
        <v>503</v>
      </c>
      <c r="D341" s="13" t="s">
        <v>504</v>
      </c>
      <c r="E341" s="13" t="s">
        <v>505</v>
      </c>
      <c r="F341" s="13" t="s">
        <v>506</v>
      </c>
      <c r="G341" s="13" t="s">
        <v>507</v>
      </c>
      <c r="H341" s="13" t="s">
        <v>508</v>
      </c>
      <c r="I341" s="5" t="s">
        <v>416</v>
      </c>
    </row>
    <row r="342" customFormat="false" ht="17.15" hidden="false" customHeight="false" outlineLevel="0" collapsed="false">
      <c r="A342" s="6" t="s">
        <v>542</v>
      </c>
    </row>
    <row r="343" customFormat="false" ht="17.15" hidden="false" customHeight="false" outlineLevel="0" collapsed="false">
      <c r="A343" s="0" t="s">
        <v>543</v>
      </c>
      <c r="B343" s="0" t="s">
        <v>35</v>
      </c>
      <c r="C343" s="20" t="n">
        <f aca="false">hsA_25</f>
        <v>2.22511470588235</v>
      </c>
      <c r="D343" s="20" t="n">
        <f aca="false">hsA_26</f>
        <v>3.782695</v>
      </c>
      <c r="E343" s="20" t="n">
        <f aca="false">hsA_27</f>
        <v>5.86317725</v>
      </c>
      <c r="F343" s="20" t="n">
        <f aca="false">hsA_28</f>
        <v>8.5016070125</v>
      </c>
      <c r="G343" s="20" t="n">
        <f aca="false">hsA_29</f>
        <v>11.477169466875</v>
      </c>
      <c r="H343" s="20" t="n">
        <f aca="false">G343*(1+g_tail)</f>
        <v>12.6248864135625</v>
      </c>
      <c r="I343" s="8" t="s">
        <v>544</v>
      </c>
    </row>
    <row r="344" customFormat="false" ht="17.15" hidden="false" customHeight="false" outlineLevel="0" collapsed="false">
      <c r="A344" s="0" t="s">
        <v>545</v>
      </c>
      <c r="B344" s="0" t="s">
        <v>546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547</v>
      </c>
      <c r="B345" s="4" t="s">
        <v>512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548</v>
      </c>
    </row>
    <row r="346" customFormat="false" ht="15" hidden="false" customHeight="false" outlineLevel="0" collapsed="false">
      <c r="A346" s="4" t="s">
        <v>549</v>
      </c>
      <c r="B346" s="4" t="s">
        <v>99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550</v>
      </c>
      <c r="B347" s="0" t="s">
        <v>119</v>
      </c>
      <c r="C347" s="18" t="n">
        <f aca="false">1+beta*(C346-$C346)/4</f>
        <v>1</v>
      </c>
      <c r="D347" s="18" t="n">
        <f aca="false">1+beta*(D346-$C346)/4</f>
        <v>1.05</v>
      </c>
      <c r="E347" s="18" t="n">
        <f aca="false">1+beta*(E346-$C346)/4</f>
        <v>1.0625</v>
      </c>
      <c r="F347" s="18" t="n">
        <f aca="false">1+beta*(F346-$C346)/4</f>
        <v>1.1</v>
      </c>
      <c r="G347" s="18" t="n">
        <f aca="false">1+beta*(G346-$C346)/4</f>
        <v>1.125</v>
      </c>
      <c r="H347" s="18" t="n">
        <f aca="false">1+beta*(H346-$C346)/4</f>
        <v>1.15</v>
      </c>
    </row>
    <row r="348" customFormat="false" ht="17.15" hidden="false" customHeight="false" outlineLevel="0" collapsed="false">
      <c r="A348" s="4" t="s">
        <v>551</v>
      </c>
      <c r="B348" s="0" t="s">
        <v>72</v>
      </c>
      <c r="C348" s="10" t="n">
        <f aca="false">hbp_25</f>
        <v>0</v>
      </c>
      <c r="D348" s="10" t="n">
        <f aca="false">hbp_26</f>
        <v>0</v>
      </c>
      <c r="E348" s="10" t="n">
        <f aca="false">hbp_27</f>
        <v>0</v>
      </c>
      <c r="F348" s="10" t="n">
        <f aca="false">hbp_28_hi</f>
        <v>0.15</v>
      </c>
      <c r="G348" s="10" t="n">
        <f aca="false">hbp_29_hi</f>
        <v>0.3</v>
      </c>
      <c r="H348" s="10" t="n">
        <f aca="false">hbp_30_hi</f>
        <v>0.4</v>
      </c>
      <c r="I348" s="4" t="s">
        <v>552</v>
      </c>
    </row>
    <row r="349" customFormat="false" ht="17.15" hidden="false" customHeight="false" outlineLevel="0" collapsed="false">
      <c r="A349" s="0" t="s">
        <v>553</v>
      </c>
      <c r="B349" s="4" t="s">
        <v>514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2649.66751889583</v>
      </c>
      <c r="G349" s="14" t="n">
        <f aca="false">G345*G347*(1-G348)</f>
        <v>2781.00644774279</v>
      </c>
      <c r="H349" s="14" t="n">
        <f aca="false">H345*H347*(1-H348)</f>
        <v>2488.90617867375</v>
      </c>
    </row>
    <row r="350" customFormat="false" ht="17.15" hidden="false" customHeight="false" outlineLevel="0" collapsed="false">
      <c r="A350" s="4" t="s">
        <v>554</v>
      </c>
      <c r="B350" s="4" t="s">
        <v>514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MAX(0,hsA_28*8000/F344*F347*(1-hbp_28)-E349)+dlt*E349</f>
        <v>1092.50536091667</v>
      </c>
      <c r="F350" s="14" t="n">
        <f aca="false">MAX(0,G349-F349)+dlt*F349</f>
        <v>396.305680736539</v>
      </c>
      <c r="G350" s="14" t="n">
        <f aca="false">MAX(0,H349-G349)+dlt*G349</f>
        <v>278.100644774279</v>
      </c>
      <c r="I350" s="4" t="s">
        <v>555</v>
      </c>
    </row>
    <row r="351" customFormat="false" ht="17.15" hidden="false" customHeight="false" outlineLevel="0" collapsed="false">
      <c r="A351" s="0" t="s">
        <v>556</v>
      </c>
      <c r="B351" s="0" t="s">
        <v>72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557</v>
      </c>
      <c r="B352" s="0" t="s">
        <v>72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558</v>
      </c>
      <c r="B353" s="0" t="s">
        <v>72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559</v>
      </c>
      <c r="B354" s="0" t="s">
        <v>72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560</v>
      </c>
      <c r="B355" s="4" t="s">
        <v>514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360.5267691025</v>
      </c>
      <c r="F355" s="14" t="n">
        <f aca="false">F350*F354</f>
        <v>130.780874643058</v>
      </c>
      <c r="G355" s="14" t="n">
        <f aca="false">G350*G354</f>
        <v>91.7732127755121</v>
      </c>
    </row>
    <row r="356" customFormat="false" ht="17.15" hidden="false" customHeight="false" outlineLevel="0" collapsed="false">
      <c r="A356" s="6" t="s">
        <v>561</v>
      </c>
    </row>
    <row r="357" customFormat="false" ht="17.15" hidden="false" customHeight="false" outlineLevel="0" collapsed="false">
      <c r="A357" s="4" t="s">
        <v>562</v>
      </c>
      <c r="B357" s="4" t="s">
        <v>236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  <c r="I357" s="8" t="s">
        <v>563</v>
      </c>
    </row>
    <row r="358" customFormat="false" ht="17.15" hidden="false" customHeight="false" outlineLevel="0" collapsed="false">
      <c r="A358" s="0" t="s">
        <v>564</v>
      </c>
      <c r="B358" s="4" t="s">
        <v>236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4681.30609837545</v>
      </c>
      <c r="F358" s="14" t="n">
        <f aca="false">$C359*F355</f>
        <v>1698.14104939143</v>
      </c>
      <c r="G358" s="14" t="n">
        <f aca="false">$C359*G355</f>
        <v>1191.64105817443</v>
      </c>
      <c r="I358" s="8" t="s">
        <v>565</v>
      </c>
    </row>
    <row r="359" customFormat="false" ht="17.15" hidden="false" customHeight="false" outlineLevel="0" collapsed="false">
      <c r="A359" s="4" t="s">
        <v>566</v>
      </c>
      <c r="B359" s="4" t="s">
        <v>567</v>
      </c>
      <c r="C359" s="18" t="n">
        <f aca="false">(C358+D358)/(C355+D355)</f>
        <v>12.9846283260163</v>
      </c>
      <c r="I359" s="4" t="s">
        <v>568</v>
      </c>
    </row>
    <row r="360" customFormat="false" ht="15" hidden="false" customHeight="false" outlineLevel="0" collapsed="false">
      <c r="A360" s="4" t="s">
        <v>467</v>
      </c>
      <c r="B360" s="4" t="s">
        <v>236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8410.10989037545</v>
      </c>
      <c r="F360" s="14" t="n">
        <f aca="false">F357+F358</f>
        <v>5874.40129643143</v>
      </c>
      <c r="G360" s="14" t="n">
        <f aca="false">G357+G358</f>
        <v>5869.05253485923</v>
      </c>
    </row>
    <row r="361" customFormat="false" ht="17.15" hidden="false" customHeight="false" outlineLevel="0" collapsed="false">
      <c r="A361" s="0" t="s">
        <v>569</v>
      </c>
      <c r="B361" s="0" t="s">
        <v>72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0.556628410258081</v>
      </c>
      <c r="F361" s="10" t="n">
        <f aca="false">F358/F360</f>
        <v>0.289074743739931</v>
      </c>
      <c r="G361" s="10" t="n">
        <f aca="false">G358/G360</f>
        <v>0.203038062974676</v>
      </c>
    </row>
    <row r="362" customFormat="false" ht="17.15" hidden="false" customHeight="false" outlineLevel="0" collapsed="false">
      <c r="A362" s="4" t="s">
        <v>570</v>
      </c>
      <c r="B362" s="4" t="s">
        <v>236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991.561864796764</v>
      </c>
      <c r="F362" s="14" t="n">
        <f aca="false">opex_fix+opex_var*F360</f>
        <v>814.211758785437</v>
      </c>
      <c r="G362" s="14" t="n">
        <f aca="false">opex_fix+opex_var*G360</f>
        <v>813.837660817664</v>
      </c>
      <c r="I362" s="4" t="s">
        <v>571</v>
      </c>
    </row>
    <row r="363" customFormat="false" ht="17.15" hidden="false" customHeight="false" outlineLevel="0" collapsed="false">
      <c r="A363" s="4" t="s">
        <v>537</v>
      </c>
      <c r="B363" s="0" t="s">
        <v>72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572</v>
      </c>
    </row>
    <row r="364" customFormat="false" ht="15" hidden="false" customHeight="false" outlineLevel="0" collapsed="false">
      <c r="A364" s="4" t="s">
        <v>472</v>
      </c>
      <c r="B364" s="4" t="s">
        <v>236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5006.26239660572</v>
      </c>
      <c r="F364" s="14" t="n">
        <f aca="false">F360*F363</f>
        <v>3496.83829298736</v>
      </c>
      <c r="G364" s="14" t="n">
        <f aca="false">G360*G363</f>
        <v>3493.65435077063</v>
      </c>
    </row>
    <row r="365" customFormat="false" ht="15" hidden="false" customHeight="false" outlineLevel="0" collapsed="false">
      <c r="A365" s="4" t="s">
        <v>475</v>
      </c>
      <c r="B365" s="4" t="s">
        <v>236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4014.70053180895</v>
      </c>
      <c r="F365" s="14" t="n">
        <f aca="false">F364-F362</f>
        <v>2682.62653420192</v>
      </c>
      <c r="G365" s="14" t="n">
        <f aca="false">G364-G362</f>
        <v>2679.81668995296</v>
      </c>
    </row>
    <row r="366" customFormat="false" ht="15" hidden="false" customHeight="false" outlineLevel="0" collapsed="false">
      <c r="A366" s="4" t="s">
        <v>478</v>
      </c>
      <c r="B366" s="0" t="s">
        <v>72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0.477366001650393</v>
      </c>
      <c r="F366" s="10" t="n">
        <f aca="false">F365/F360</f>
        <v>0.456663819652831</v>
      </c>
      <c r="G366" s="10" t="n">
        <f aca="false">G365/G360</f>
        <v>0.456601244244483</v>
      </c>
    </row>
    <row r="367" customFormat="false" ht="15" hidden="false" customHeight="false" outlineLevel="0" collapsed="false">
      <c r="A367" s="4" t="s">
        <v>538</v>
      </c>
      <c r="B367" s="4" t="s">
        <v>236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3417.58189986521</v>
      </c>
      <c r="F367" s="14" t="n">
        <f aca="false">F365*nioi</f>
        <v>2283.63132312029</v>
      </c>
      <c r="G367" s="14" t="n">
        <f aca="false">G365*nioi</f>
        <v>2281.23939556042</v>
      </c>
    </row>
    <row r="368" customFormat="false" ht="15" hidden="false" customHeight="false" outlineLevel="0" collapsed="false">
      <c r="A368" s="0" t="s">
        <v>539</v>
      </c>
      <c r="B368" s="0" t="s">
        <v>312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3564.02688127533</v>
      </c>
      <c r="F368" s="14" t="n">
        <f aca="false">F367*100/shares</f>
        <v>2381.48599243344</v>
      </c>
      <c r="G368" s="14" t="n">
        <f aca="false">G367*100/shares</f>
        <v>2378.9915696599</v>
      </c>
    </row>
    <row r="369" customFormat="false" ht="17.15" hidden="false" customHeight="false" outlineLevel="0" collapsed="false">
      <c r="A369" s="4" t="s">
        <v>573</v>
      </c>
      <c r="B369" s="4" t="s">
        <v>236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14185.7760556832</v>
      </c>
      <c r="F369" s="14" t="n">
        <f aca="false">$C359*F350</f>
        <v>5145.88196785282</v>
      </c>
      <c r="G369" s="14" t="n">
        <f aca="false">$C359*G350</f>
        <v>3611.03350961949</v>
      </c>
      <c r="I369" s="4" t="s">
        <v>574</v>
      </c>
    </row>
    <row r="370" customFormat="false" ht="15" hidden="false" customHeight="false" outlineLevel="0" collapsed="false">
      <c r="A370" s="4" t="s">
        <v>575</v>
      </c>
      <c r="B370" s="0" t="s">
        <v>343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998.998313780505</v>
      </c>
      <c r="F370" s="14" t="n">
        <f aca="false">F369/fx*100</f>
        <v>362.386054074143</v>
      </c>
      <c r="G370" s="14" t="n">
        <f aca="false">G369/fx*100</f>
        <v>254.298134480246</v>
      </c>
    </row>
    <row r="380" customFormat="false" ht="17.15" hidden="false" customHeight="false" outlineLevel="0" collapsed="false">
      <c r="A380" s="1" t="s">
        <v>892</v>
      </c>
    </row>
    <row r="381" customFormat="false" ht="15" hidden="false" customHeight="false" outlineLevel="0" collapsed="false">
      <c r="A381" s="5" t="s">
        <v>24</v>
      </c>
      <c r="B381" s="5" t="s">
        <v>25</v>
      </c>
      <c r="C381" s="13" t="s">
        <v>503</v>
      </c>
      <c r="D381" s="13" t="s">
        <v>504</v>
      </c>
      <c r="E381" s="13" t="s">
        <v>505</v>
      </c>
      <c r="F381" s="13" t="s">
        <v>506</v>
      </c>
      <c r="G381" s="13" t="s">
        <v>507</v>
      </c>
      <c r="H381" s="13" t="s">
        <v>508</v>
      </c>
      <c r="I381" s="5" t="s">
        <v>416</v>
      </c>
    </row>
    <row r="382" customFormat="false" ht="17.15" hidden="false" customHeight="false" outlineLevel="0" collapsed="false">
      <c r="A382" s="6" t="s">
        <v>542</v>
      </c>
    </row>
    <row r="383" customFormat="false" ht="17.15" hidden="false" customHeight="false" outlineLevel="0" collapsed="false">
      <c r="A383" s="0" t="s">
        <v>543</v>
      </c>
      <c r="B383" s="0" t="s">
        <v>35</v>
      </c>
      <c r="C383" s="20" t="n">
        <f aca="false">hsA_25</f>
        <v>2.22511470588235</v>
      </c>
      <c r="D383" s="20" t="n">
        <f aca="false">hsA_26</f>
        <v>3.782695</v>
      </c>
      <c r="E383" s="20" t="n">
        <f aca="false">hsA_27</f>
        <v>5.86317725</v>
      </c>
      <c r="F383" s="20" t="n">
        <f aca="false">hsA_28</f>
        <v>8.5016070125</v>
      </c>
      <c r="G383" s="20" t="n">
        <f aca="false">hsA_29</f>
        <v>11.477169466875</v>
      </c>
      <c r="H383" s="20" t="n">
        <f aca="false">G383*(1+g_tail)</f>
        <v>12.6248864135625</v>
      </c>
      <c r="I383" s="8" t="s">
        <v>544</v>
      </c>
    </row>
    <row r="384" customFormat="false" ht="17.15" hidden="false" customHeight="false" outlineLevel="0" collapsed="false">
      <c r="A384" s="0" t="s">
        <v>545</v>
      </c>
      <c r="B384" s="0" t="s">
        <v>546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547</v>
      </c>
      <c r="B385" s="4" t="s">
        <v>512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548</v>
      </c>
    </row>
    <row r="386" customFormat="false" ht="15" hidden="false" customHeight="false" outlineLevel="0" collapsed="false">
      <c r="A386" s="4" t="s">
        <v>549</v>
      </c>
      <c r="B386" s="4" t="s">
        <v>99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550</v>
      </c>
      <c r="B387" s="0" t="s">
        <v>119</v>
      </c>
      <c r="C387" s="18" t="n">
        <f aca="false">1+beta*(C386-$C386)/4</f>
        <v>1</v>
      </c>
      <c r="D387" s="18" t="n">
        <f aca="false">1+beta*(D386-$C386)/4</f>
        <v>1.05</v>
      </c>
      <c r="E387" s="18" t="n">
        <f aca="false">1+beta*(E386-$C386)/4</f>
        <v>1.0625</v>
      </c>
      <c r="F387" s="18" t="n">
        <f aca="false">1+beta*(F386-$C386)/4</f>
        <v>1.1</v>
      </c>
      <c r="G387" s="18" t="n">
        <f aca="false">1+beta*(G386-$C386)/4</f>
        <v>1.125</v>
      </c>
      <c r="H387" s="18" t="n">
        <f aca="false">1+beta*(H386-$C386)/4</f>
        <v>1.15</v>
      </c>
    </row>
    <row r="388" customFormat="false" ht="17.15" hidden="false" customHeight="false" outlineLevel="0" collapsed="false">
      <c r="A388" s="4" t="s">
        <v>551</v>
      </c>
      <c r="B388" s="0" t="s">
        <v>72</v>
      </c>
      <c r="C388" s="10" t="n">
        <f aca="false">hbp_25</f>
        <v>0</v>
      </c>
      <c r="D388" s="10" t="n">
        <f aca="false">hbp_26</f>
        <v>0</v>
      </c>
      <c r="E388" s="10" t="n">
        <f aca="false">hbp_27</f>
        <v>0</v>
      </c>
      <c r="F388" s="10" t="n">
        <f aca="false">hbp_28_hi</f>
        <v>0.15</v>
      </c>
      <c r="G388" s="10" t="n">
        <f aca="false">hbp_29_hi</f>
        <v>0.3</v>
      </c>
      <c r="H388" s="10" t="n">
        <f aca="false">hbp_30_hi</f>
        <v>0.4</v>
      </c>
      <c r="I388" s="4" t="s">
        <v>552</v>
      </c>
    </row>
    <row r="389" customFormat="false" ht="17.15" hidden="false" customHeight="false" outlineLevel="0" collapsed="false">
      <c r="A389" s="0" t="s">
        <v>553</v>
      </c>
      <c r="B389" s="4" t="s">
        <v>514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1987.25063917187</v>
      </c>
      <c r="G389" s="14" t="n">
        <f aca="false">G385*G387*(1-G388)</f>
        <v>2259.56773879102</v>
      </c>
      <c r="H389" s="14" t="n">
        <f aca="false">H385*H387*(1-H388)</f>
        <v>2177.79290633953</v>
      </c>
    </row>
    <row r="390" customFormat="false" ht="17.15" hidden="false" customHeight="false" outlineLevel="0" collapsed="false">
      <c r="A390" s="4" t="s">
        <v>554</v>
      </c>
      <c r="B390" s="4" t="s">
        <v>514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MAX(0,hsA_28*8000/F384*F387*(1-hbp_28)-E389)+dlt*E389</f>
        <v>619.141047640625</v>
      </c>
      <c r="F390" s="14" t="n">
        <f aca="false">MAX(0,G389-F389)+dlt*F389</f>
        <v>471.042163536328</v>
      </c>
      <c r="G390" s="14" t="n">
        <f aca="false">MAX(0,H389-G389)+dlt*G389</f>
        <v>225.956773879102</v>
      </c>
      <c r="I390" s="4" t="s">
        <v>555</v>
      </c>
    </row>
    <row r="391" customFormat="false" ht="17.15" hidden="false" customHeight="false" outlineLevel="0" collapsed="false">
      <c r="A391" s="0" t="s">
        <v>556</v>
      </c>
      <c r="B391" s="0" t="s">
        <v>72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557</v>
      </c>
      <c r="B392" s="0" t="s">
        <v>72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558</v>
      </c>
      <c r="B393" s="0" t="s">
        <v>72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559</v>
      </c>
      <c r="B394" s="0" t="s">
        <v>72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560</v>
      </c>
      <c r="B395" s="4" t="s">
        <v>514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204.316545721406</v>
      </c>
      <c r="F395" s="14" t="n">
        <f aca="false">F390*F394</f>
        <v>155.443913966988</v>
      </c>
      <c r="G395" s="14" t="n">
        <f aca="false">G390*G394</f>
        <v>74.5657353801035</v>
      </c>
    </row>
    <row r="396" customFormat="false" ht="17.15" hidden="false" customHeight="false" outlineLevel="0" collapsed="false">
      <c r="A396" s="6" t="s">
        <v>561</v>
      </c>
    </row>
    <row r="397" customFormat="false" ht="17.15" hidden="false" customHeight="false" outlineLevel="0" collapsed="false">
      <c r="A397" s="4" t="s">
        <v>562</v>
      </c>
      <c r="B397" s="4" t="s">
        <v>236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  <c r="I397" s="8" t="s">
        <v>563</v>
      </c>
    </row>
    <row r="398" customFormat="false" ht="17.15" hidden="false" customHeight="false" outlineLevel="0" collapsed="false">
      <c r="A398" s="0" t="s">
        <v>564</v>
      </c>
      <c r="B398" s="4" t="s">
        <v>236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3152.63658662992</v>
      </c>
      <c r="F398" s="14" t="n">
        <f aca="false">$C399*F395</f>
        <v>2398.52415579449</v>
      </c>
      <c r="G398" s="14" t="n">
        <f aca="false">$C399*G395</f>
        <v>1150.56107981005</v>
      </c>
      <c r="I398" s="8" t="s">
        <v>565</v>
      </c>
    </row>
    <row r="399" customFormat="false" ht="17.15" hidden="false" customHeight="false" outlineLevel="0" collapsed="false">
      <c r="A399" s="4" t="s">
        <v>566</v>
      </c>
      <c r="B399" s="4" t="s">
        <v>567</v>
      </c>
      <c r="C399" s="18" t="n">
        <f aca="false">(C398+D398)/(C395+D395)</f>
        <v>15.4301580202353</v>
      </c>
      <c r="I399" s="4" t="s">
        <v>568</v>
      </c>
    </row>
    <row r="400" customFormat="false" ht="15" hidden="false" customHeight="false" outlineLevel="0" collapsed="false">
      <c r="A400" s="4" t="s">
        <v>467</v>
      </c>
      <c r="B400" s="4" t="s">
        <v>236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6881.44037862992</v>
      </c>
      <c r="F400" s="14" t="n">
        <f aca="false">F397+F398</f>
        <v>6574.78440283449</v>
      </c>
      <c r="G400" s="14" t="n">
        <f aca="false">G397+G398</f>
        <v>5827.97255649485</v>
      </c>
    </row>
    <row r="401" customFormat="false" ht="17.15" hidden="false" customHeight="false" outlineLevel="0" collapsed="false">
      <c r="A401" s="0" t="s">
        <v>569</v>
      </c>
      <c r="B401" s="0" t="s">
        <v>72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0.45813614783619</v>
      </c>
      <c r="F401" s="10" t="n">
        <f aca="false">F398/F400</f>
        <v>0.364806510577054</v>
      </c>
      <c r="G401" s="10" t="n">
        <f aca="false">G398/G400</f>
        <v>0.19742046975287</v>
      </c>
    </row>
    <row r="402" customFormat="false" ht="17.15" hidden="false" customHeight="false" outlineLevel="0" collapsed="false">
      <c r="A402" s="4" t="s">
        <v>570</v>
      </c>
      <c r="B402" s="4" t="s">
        <v>236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884.645123412585</v>
      </c>
      <c r="F402" s="14" t="n">
        <f aca="false">opex_fix+opex_var*F400</f>
        <v>863.197284356388</v>
      </c>
      <c r="G402" s="14" t="n">
        <f aca="false">opex_fix+opex_var*G400</f>
        <v>810.96448424869</v>
      </c>
      <c r="I402" s="4" t="s">
        <v>571</v>
      </c>
    </row>
    <row r="403" customFormat="false" ht="17.15" hidden="false" customHeight="false" outlineLevel="0" collapsed="false">
      <c r="A403" s="4" t="s">
        <v>537</v>
      </c>
      <c r="B403" s="0" t="s">
        <v>72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572</v>
      </c>
    </row>
    <row r="404" customFormat="false" ht="15" hidden="false" customHeight="false" outlineLevel="0" collapsed="false">
      <c r="A404" s="4" t="s">
        <v>472</v>
      </c>
      <c r="B404" s="4" t="s">
        <v>236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4096.2956074384</v>
      </c>
      <c r="F404" s="14" t="n">
        <f aca="false">F400*F403</f>
        <v>3913.75336954493</v>
      </c>
      <c r="G404" s="14" t="n">
        <f aca="false">G400*G403</f>
        <v>3469.20078790168</v>
      </c>
    </row>
    <row r="405" customFormat="false" ht="15" hidden="false" customHeight="false" outlineLevel="0" collapsed="false">
      <c r="A405" s="4" t="s">
        <v>475</v>
      </c>
      <c r="B405" s="4" t="s">
        <v>236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3211.65048402582</v>
      </c>
      <c r="F405" s="14" t="n">
        <f aca="false">F404-F402</f>
        <v>3050.55608518855</v>
      </c>
      <c r="G405" s="14" t="n">
        <f aca="false">G404-G402</f>
        <v>2658.23630365299</v>
      </c>
    </row>
    <row r="406" customFormat="false" ht="15" hidden="false" customHeight="false" outlineLevel="0" collapsed="false">
      <c r="A406" s="4" t="s">
        <v>478</v>
      </c>
      <c r="B406" s="0" t="s">
        <v>72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0.466711953793785</v>
      </c>
      <c r="F406" s="10" t="n">
        <f aca="false">F405/F400</f>
        <v>0.46397811673846</v>
      </c>
      <c r="G406" s="10" t="n">
        <f aca="false">G405/G400</f>
        <v>0.45611681899404</v>
      </c>
    </row>
    <row r="407" customFormat="false" ht="15" hidden="false" customHeight="false" outlineLevel="0" collapsed="false">
      <c r="A407" s="4" t="s">
        <v>538</v>
      </c>
      <c r="B407" s="4" t="s">
        <v>236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2733.97193039311</v>
      </c>
      <c r="F407" s="14" t="n">
        <f aca="false">F405*nioi</f>
        <v>2596.83759191037</v>
      </c>
      <c r="G407" s="14" t="n">
        <f aca="false">G405*nioi</f>
        <v>2262.86872581145</v>
      </c>
    </row>
    <row r="408" customFormat="false" ht="15" hidden="false" customHeight="false" outlineLevel="0" collapsed="false">
      <c r="A408" s="0" t="s">
        <v>539</v>
      </c>
      <c r="B408" s="0" t="s">
        <v>312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2851.12390516743</v>
      </c>
      <c r="F408" s="14" t="n">
        <f aca="false">F407*100/shares</f>
        <v>2708.11329619924</v>
      </c>
      <c r="G408" s="14" t="n">
        <f aca="false">G407*100/shares</f>
        <v>2359.83370812776</v>
      </c>
    </row>
    <row r="409" customFormat="false" ht="17.15" hidden="false" customHeight="false" outlineLevel="0" collapsed="false">
      <c r="A409" s="4" t="s">
        <v>573</v>
      </c>
      <c r="B409" s="4" t="s">
        <v>236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9553.44420190886</v>
      </c>
      <c r="F409" s="14" t="n">
        <f aca="false">$C399*F390</f>
        <v>7268.25501755905</v>
      </c>
      <c r="G409" s="14" t="n">
        <f aca="false">$C399*G390</f>
        <v>3486.54872669711</v>
      </c>
      <c r="I409" s="4" t="s">
        <v>574</v>
      </c>
    </row>
    <row r="410" customFormat="false" ht="15" hidden="false" customHeight="false" outlineLevel="0" collapsed="false">
      <c r="A410" s="4" t="s">
        <v>575</v>
      </c>
      <c r="B410" s="0" t="s">
        <v>343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672.777760697807</v>
      </c>
      <c r="F410" s="14" t="n">
        <f aca="false">F409/fx*100</f>
        <v>511.848944898525</v>
      </c>
      <c r="G410" s="14" t="n">
        <f aca="false">G409/fx*100</f>
        <v>245.531600471627</v>
      </c>
    </row>
    <row r="420" customFormat="false" ht="17.15" hidden="false" customHeight="false" outlineLevel="0" collapsed="false">
      <c r="A420" s="1" t="s">
        <v>893</v>
      </c>
    </row>
    <row r="421" customFormat="false" ht="15" hidden="false" customHeight="false" outlineLevel="0" collapsed="false">
      <c r="A421" s="5" t="s">
        <v>24</v>
      </c>
      <c r="B421" s="5" t="s">
        <v>25</v>
      </c>
      <c r="C421" s="13" t="s">
        <v>503</v>
      </c>
      <c r="D421" s="13" t="s">
        <v>504</v>
      </c>
      <c r="E421" s="13" t="s">
        <v>505</v>
      </c>
      <c r="F421" s="13" t="s">
        <v>506</v>
      </c>
      <c r="G421" s="13" t="s">
        <v>507</v>
      </c>
      <c r="H421" s="13" t="s">
        <v>508</v>
      </c>
      <c r="I421" s="5" t="s">
        <v>416</v>
      </c>
    </row>
    <row r="422" customFormat="false" ht="17.15" hidden="false" customHeight="false" outlineLevel="0" collapsed="false">
      <c r="A422" s="6" t="s">
        <v>542</v>
      </c>
    </row>
    <row r="423" customFormat="false" ht="17.15" hidden="false" customHeight="false" outlineLevel="0" collapsed="false">
      <c r="A423" s="0" t="s">
        <v>543</v>
      </c>
      <c r="B423" s="0" t="s">
        <v>35</v>
      </c>
      <c r="C423" s="20" t="n">
        <f aca="false">hsA_25</f>
        <v>2.22511470588235</v>
      </c>
      <c r="D423" s="20" t="n">
        <f aca="false">hsA_26</f>
        <v>3.782695</v>
      </c>
      <c r="E423" s="20" t="n">
        <f aca="false">hsA_27</f>
        <v>5.86317725</v>
      </c>
      <c r="F423" s="20" t="n">
        <f aca="false">hsA_28</f>
        <v>8.5016070125</v>
      </c>
      <c r="G423" s="20" t="n">
        <f aca="false">hsA_29</f>
        <v>11.477169466875</v>
      </c>
      <c r="H423" s="20" t="n">
        <f aca="false">G423*(1+g_tail)</f>
        <v>12.6248864135625</v>
      </c>
      <c r="I423" s="8" t="s">
        <v>544</v>
      </c>
    </row>
    <row r="424" customFormat="false" ht="17.15" hidden="false" customHeight="false" outlineLevel="0" collapsed="false">
      <c r="A424" s="0" t="s">
        <v>545</v>
      </c>
      <c r="B424" s="0" t="s">
        <v>546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547</v>
      </c>
      <c r="B425" s="4" t="s">
        <v>512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548</v>
      </c>
    </row>
    <row r="426" customFormat="false" ht="15" hidden="false" customHeight="false" outlineLevel="0" collapsed="false">
      <c r="A426" s="4" t="s">
        <v>549</v>
      </c>
      <c r="B426" s="4" t="s">
        <v>99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550</v>
      </c>
      <c r="B427" s="0" t="s">
        <v>119</v>
      </c>
      <c r="C427" s="18" t="n">
        <f aca="false">1+beta*(C426-$C426)/4</f>
        <v>1</v>
      </c>
      <c r="D427" s="18" t="n">
        <f aca="false">1+beta*(D426-$C426)/4</f>
        <v>1.05</v>
      </c>
      <c r="E427" s="18" t="n">
        <f aca="false">1+beta*(E426-$C426)/4</f>
        <v>1.1</v>
      </c>
      <c r="F427" s="18" t="n">
        <f aca="false">1+beta*(F426-$C426)/4</f>
        <v>1.1</v>
      </c>
      <c r="G427" s="18" t="n">
        <f aca="false">1+beta*(G426-$C426)/4</f>
        <v>1.1</v>
      </c>
      <c r="H427" s="18" t="n">
        <f aca="false">1+beta*(H426-$C426)/4</f>
        <v>1.15</v>
      </c>
    </row>
    <row r="428" customFormat="false" ht="17.15" hidden="false" customHeight="false" outlineLevel="0" collapsed="false">
      <c r="A428" s="4" t="s">
        <v>551</v>
      </c>
      <c r="B428" s="0" t="s">
        <v>72</v>
      </c>
      <c r="C428" s="10" t="n">
        <f aca="false">hbp_25</f>
        <v>0</v>
      </c>
      <c r="D428" s="10" t="n">
        <f aca="false">hbp_26</f>
        <v>0</v>
      </c>
      <c r="E428" s="10" t="n">
        <f aca="false">hbp_27</f>
        <v>0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4" t="s">
        <v>552</v>
      </c>
    </row>
    <row r="429" customFormat="false" ht="17.15" hidden="false" customHeight="false" outlineLevel="0" collapsed="false">
      <c r="A429" s="0" t="s">
        <v>553</v>
      </c>
      <c r="B429" s="4" t="s">
        <v>514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2271.143587625</v>
      </c>
      <c r="G429" s="14" t="n">
        <f aca="false">G425*G427*(1-G428)</f>
        <v>2356.645463865</v>
      </c>
      <c r="H429" s="14" t="n">
        <f aca="false">H425*H427*(1-H428)</f>
        <v>2177.79290633953</v>
      </c>
    </row>
    <row r="430" customFormat="false" ht="17.15" hidden="false" customHeight="false" outlineLevel="0" collapsed="false">
      <c r="A430" s="4" t="s">
        <v>554</v>
      </c>
      <c r="B430" s="4" t="s">
        <v>514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MAX(0,hsA_28*8000/F424*F427*(1-hbp_28)-E429)+dlt*E429</f>
        <v>752.322957798077</v>
      </c>
      <c r="F430" s="14" t="n">
        <f aca="false">MAX(0,G429-F429)+dlt*F429</f>
        <v>312.6162350025</v>
      </c>
      <c r="G430" s="14" t="n">
        <f aca="false">MAX(0,H429-G429)+dlt*G429</f>
        <v>235.6645463865</v>
      </c>
      <c r="I430" s="4" t="s">
        <v>555</v>
      </c>
    </row>
    <row r="431" customFormat="false" ht="17.15" hidden="false" customHeight="false" outlineLevel="0" collapsed="false">
      <c r="A431" s="0" t="s">
        <v>556</v>
      </c>
      <c r="B431" s="0" t="s">
        <v>72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557</v>
      </c>
      <c r="B432" s="0" t="s">
        <v>72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558</v>
      </c>
      <c r="B433" s="0" t="s">
        <v>72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559</v>
      </c>
      <c r="B434" s="0" t="s">
        <v>72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560</v>
      </c>
      <c r="B435" s="4" t="s">
        <v>514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248.266576073365</v>
      </c>
      <c r="F435" s="14" t="n">
        <f aca="false">F430*F434</f>
        <v>103.163357550825</v>
      </c>
      <c r="G435" s="14" t="n">
        <f aca="false">G430*G434</f>
        <v>77.769300307545</v>
      </c>
    </row>
    <row r="436" customFormat="false" ht="17.15" hidden="false" customHeight="false" outlineLevel="0" collapsed="false">
      <c r="A436" s="6" t="s">
        <v>561</v>
      </c>
    </row>
    <row r="437" customFormat="false" ht="17.15" hidden="false" customHeight="false" outlineLevel="0" collapsed="false">
      <c r="A437" s="4" t="s">
        <v>562</v>
      </c>
      <c r="B437" s="4" t="s">
        <v>236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  <c r="I437" s="8" t="s">
        <v>563</v>
      </c>
    </row>
    <row r="438" customFormat="false" ht="17.15" hidden="false" customHeight="false" outlineLevel="0" collapsed="false">
      <c r="A438" s="0" t="s">
        <v>564</v>
      </c>
      <c r="B438" s="4" t="s">
        <v>236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3260.79503838499</v>
      </c>
      <c r="F438" s="14" t="n">
        <f aca="false">$C439*F435</f>
        <v>1354.97322984573</v>
      </c>
      <c r="G438" s="14" t="n">
        <f aca="false">$C439*G435</f>
        <v>1021.4413578837</v>
      </c>
      <c r="I438" s="8" t="s">
        <v>565</v>
      </c>
    </row>
    <row r="439" customFormat="false" ht="17.15" hidden="false" customHeight="false" outlineLevel="0" collapsed="false">
      <c r="A439" s="4" t="s">
        <v>566</v>
      </c>
      <c r="B439" s="4" t="s">
        <v>567</v>
      </c>
      <c r="C439" s="18" t="n">
        <f aca="false">(C438+D438)/(C435+D435)</f>
        <v>13.1342490397153</v>
      </c>
      <c r="I439" s="4" t="s">
        <v>568</v>
      </c>
    </row>
    <row r="440" customFormat="false" ht="15" hidden="false" customHeight="false" outlineLevel="0" collapsed="false">
      <c r="A440" s="4" t="s">
        <v>467</v>
      </c>
      <c r="B440" s="4" t="s">
        <v>236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6989.59883038499</v>
      </c>
      <c r="F440" s="14" t="n">
        <f aca="false">F437+F438</f>
        <v>5531.23347688573</v>
      </c>
      <c r="G440" s="14" t="n">
        <f aca="false">G437+G438</f>
        <v>5698.8528345685</v>
      </c>
    </row>
    <row r="441" customFormat="false" ht="17.15" hidden="false" customHeight="false" outlineLevel="0" collapsed="false">
      <c r="A441" s="0" t="s">
        <v>569</v>
      </c>
      <c r="B441" s="0" t="s">
        <v>72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0.466521057576259</v>
      </c>
      <c r="F441" s="10" t="n">
        <f aca="false">F438/F440</f>
        <v>0.244967643385147</v>
      </c>
      <c r="G441" s="10" t="n">
        <f aca="false">G438/G440</f>
        <v>0.179236310804127</v>
      </c>
    </row>
    <row r="442" customFormat="false" ht="17.15" hidden="false" customHeight="false" outlineLevel="0" collapsed="false">
      <c r="A442" s="4" t="s">
        <v>570</v>
      </c>
      <c r="B442" s="4" t="s">
        <v>236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892.20983843173</v>
      </c>
      <c r="F442" s="14" t="n">
        <f aca="false">opex_fix+opex_var*F440</f>
        <v>790.210243263717</v>
      </c>
      <c r="G442" s="14" t="n">
        <f aca="false">opex_fix+opex_var*G440</f>
        <v>801.933716112919</v>
      </c>
      <c r="I442" s="4" t="s">
        <v>571</v>
      </c>
    </row>
    <row r="443" customFormat="false" ht="17.15" hidden="false" customHeight="false" outlineLevel="0" collapsed="false">
      <c r="A443" s="4" t="s">
        <v>537</v>
      </c>
      <c r="B443" s="0" t="s">
        <v>72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572</v>
      </c>
    </row>
    <row r="444" customFormat="false" ht="15" hidden="false" customHeight="false" outlineLevel="0" collapsed="false">
      <c r="A444" s="4" t="s">
        <v>472</v>
      </c>
      <c r="B444" s="4" t="s">
        <v>236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4160.67878399073</v>
      </c>
      <c r="F444" s="14" t="n">
        <f aca="false">F440*F443</f>
        <v>3292.56175283383</v>
      </c>
      <c r="G444" s="14" t="n">
        <f aca="false">G440*G443</f>
        <v>3392.3400551686</v>
      </c>
    </row>
    <row r="445" customFormat="false" ht="15" hidden="false" customHeight="false" outlineLevel="0" collapsed="false">
      <c r="A445" s="4" t="s">
        <v>475</v>
      </c>
      <c r="B445" s="4" t="s">
        <v>236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3268.468945559</v>
      </c>
      <c r="F445" s="14" t="n">
        <f aca="false">F444-F442</f>
        <v>2502.35150957011</v>
      </c>
      <c r="G445" s="14" t="n">
        <f aca="false">G444-G442</f>
        <v>2590.40633905568</v>
      </c>
    </row>
    <row r="446" customFormat="false" ht="15" hidden="false" customHeight="false" outlineLevel="0" collapsed="false">
      <c r="A446" s="4" t="s">
        <v>478</v>
      </c>
      <c r="B446" s="0" t="s">
        <v>72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0.467618961384507</v>
      </c>
      <c r="F446" s="10" t="n">
        <f aca="false">F445/F440</f>
        <v>0.452403884237955</v>
      </c>
      <c r="G446" s="10" t="n">
        <f aca="false">G445/G440</f>
        <v>0.454548733622775</v>
      </c>
    </row>
    <row r="447" customFormat="false" ht="15" hidden="false" customHeight="false" outlineLevel="0" collapsed="false">
      <c r="A447" s="4" t="s">
        <v>538</v>
      </c>
      <c r="B447" s="4" t="s">
        <v>236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2782.33960917151</v>
      </c>
      <c r="F447" s="14" t="n">
        <f aca="false">F445*nioi</f>
        <v>2130.16915170852</v>
      </c>
      <c r="G447" s="14" t="n">
        <f aca="false">G445*nioi</f>
        <v>2205.12731834168</v>
      </c>
    </row>
    <row r="448" customFormat="false" ht="15" hidden="false" customHeight="false" outlineLevel="0" collapsed="false">
      <c r="A448" s="0" t="s">
        <v>539</v>
      </c>
      <c r="B448" s="0" t="s">
        <v>312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2901.5641615832</v>
      </c>
      <c r="F448" s="14" t="n">
        <f aca="false">F447*100/shares</f>
        <v>2221.44789526537</v>
      </c>
      <c r="G448" s="14" t="n">
        <f aca="false">G447*100/shares</f>
        <v>2299.61805436595</v>
      </c>
    </row>
    <row r="449" customFormat="false" ht="17.15" hidden="false" customHeight="false" outlineLevel="0" collapsed="false">
      <c r="A449" s="4" t="s">
        <v>573</v>
      </c>
      <c r="B449" s="4" t="s">
        <v>236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9881.19708601513</v>
      </c>
      <c r="F449" s="14" t="n">
        <f aca="false">$C439*F430</f>
        <v>4105.97948438099</v>
      </c>
      <c r="G449" s="14" t="n">
        <f aca="false">$C439*G430</f>
        <v>3095.27684207182</v>
      </c>
      <c r="I449" s="4" t="s">
        <v>574</v>
      </c>
    </row>
    <row r="450" customFormat="false" ht="15" hidden="false" customHeight="false" outlineLevel="0" collapsed="false">
      <c r="A450" s="4" t="s">
        <v>575</v>
      </c>
      <c r="B450" s="0" t="s">
        <v>343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695.858949719375</v>
      </c>
      <c r="F450" s="14" t="n">
        <f aca="false">F449/fx*100</f>
        <v>289.153484815563</v>
      </c>
      <c r="G450" s="14" t="n">
        <f aca="false">G449/fx*100</f>
        <v>217.977242399424</v>
      </c>
    </row>
    <row r="460" customFormat="false" ht="17.15" hidden="false" customHeight="false" outlineLevel="0" collapsed="false">
      <c r="A460" s="1" t="s">
        <v>894</v>
      </c>
    </row>
    <row r="461" customFormat="false" ht="15" hidden="false" customHeight="false" outlineLevel="0" collapsed="false">
      <c r="A461" s="5" t="s">
        <v>24</v>
      </c>
      <c r="B461" s="5" t="s">
        <v>25</v>
      </c>
      <c r="C461" s="13" t="s">
        <v>503</v>
      </c>
      <c r="D461" s="13" t="s">
        <v>504</v>
      </c>
      <c r="E461" s="13" t="s">
        <v>505</v>
      </c>
      <c r="F461" s="13" t="s">
        <v>506</v>
      </c>
      <c r="G461" s="13" t="s">
        <v>507</v>
      </c>
      <c r="H461" s="13" t="s">
        <v>508</v>
      </c>
      <c r="I461" s="5" t="s">
        <v>416</v>
      </c>
    </row>
    <row r="462" customFormat="false" ht="17.15" hidden="false" customHeight="false" outlineLevel="0" collapsed="false">
      <c r="A462" s="6" t="s">
        <v>542</v>
      </c>
    </row>
    <row r="463" customFormat="false" ht="17.15" hidden="false" customHeight="false" outlineLevel="0" collapsed="false">
      <c r="A463" s="0" t="s">
        <v>543</v>
      </c>
      <c r="B463" s="0" t="s">
        <v>35</v>
      </c>
      <c r="C463" s="20" t="n">
        <f aca="false">hsA_25</f>
        <v>2.22511470588235</v>
      </c>
      <c r="D463" s="20" t="n">
        <f aca="false">hsA_26</f>
        <v>3.782695</v>
      </c>
      <c r="E463" s="20" t="n">
        <f aca="false">hsA_27</f>
        <v>5.86317725</v>
      </c>
      <c r="F463" s="20" t="n">
        <f aca="false">hsA_28</f>
        <v>8.5016070125</v>
      </c>
      <c r="G463" s="20" t="n">
        <f aca="false">hsA_29</f>
        <v>11.477169466875</v>
      </c>
      <c r="H463" s="20" t="n">
        <f aca="false">G463*(1+g_tail)</f>
        <v>12.6248864135625</v>
      </c>
      <c r="I463" s="8" t="s">
        <v>544</v>
      </c>
    </row>
    <row r="464" customFormat="false" ht="17.15" hidden="false" customHeight="false" outlineLevel="0" collapsed="false">
      <c r="A464" s="0" t="s">
        <v>545</v>
      </c>
      <c r="B464" s="0" t="s">
        <v>546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547</v>
      </c>
      <c r="B465" s="4" t="s">
        <v>512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548</v>
      </c>
    </row>
    <row r="466" customFormat="false" ht="15" hidden="false" customHeight="false" outlineLevel="0" collapsed="false">
      <c r="A466" s="4" t="s">
        <v>549</v>
      </c>
      <c r="B466" s="4" t="s">
        <v>99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550</v>
      </c>
      <c r="B467" s="0" t="s">
        <v>119</v>
      </c>
      <c r="C467" s="18" t="n">
        <f aca="false">1+beta*(C466-$C466)/4</f>
        <v>1</v>
      </c>
      <c r="D467" s="18" t="n">
        <f aca="false">1+beta*(D466-$C466)/4</f>
        <v>1</v>
      </c>
      <c r="E467" s="18" t="n">
        <f aca="false">1+beta*(E466-$C466)/4</f>
        <v>1.05</v>
      </c>
      <c r="F467" s="18" t="n">
        <f aca="false">1+beta*(F466-$C466)/4</f>
        <v>1.1</v>
      </c>
      <c r="G467" s="18" t="n">
        <f aca="false">1+beta*(G466-$C466)/4</f>
        <v>1.1</v>
      </c>
      <c r="H467" s="18" t="n">
        <f aca="false">1+beta*(H466-$C466)/4</f>
        <v>1.1</v>
      </c>
    </row>
    <row r="468" customFormat="false" ht="17.15" hidden="false" customHeight="false" outlineLevel="0" collapsed="false">
      <c r="A468" s="4" t="s">
        <v>551</v>
      </c>
      <c r="B468" s="0" t="s">
        <v>72</v>
      </c>
      <c r="C468" s="10" t="n">
        <f aca="false">hbp_25</f>
        <v>0</v>
      </c>
      <c r="D468" s="10" t="n">
        <f aca="false">hbp_26</f>
        <v>0</v>
      </c>
      <c r="E468" s="10" t="n">
        <f aca="false">hbp_27</f>
        <v>0</v>
      </c>
      <c r="F468" s="10" t="n">
        <f aca="false">hbp_28_hi</f>
        <v>0.15</v>
      </c>
      <c r="G468" s="10" t="n">
        <f aca="false">hbp_29_hi</f>
        <v>0.3</v>
      </c>
      <c r="H468" s="10" t="n">
        <f aca="false">hbp_30_hi</f>
        <v>0.4</v>
      </c>
      <c r="I468" s="4" t="s">
        <v>552</v>
      </c>
    </row>
    <row r="469" customFormat="false" ht="17.15" hidden="false" customHeight="false" outlineLevel="0" collapsed="false">
      <c r="A469" s="0" t="s">
        <v>553</v>
      </c>
      <c r="B469" s="4" t="s">
        <v>514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2271.143587625</v>
      </c>
      <c r="G469" s="14" t="n">
        <f aca="false">G465*G467*(1-G468)</f>
        <v>2356.645463865</v>
      </c>
      <c r="H469" s="14" t="n">
        <f aca="false">H465*H467*(1-H468)</f>
        <v>2083.10625823781</v>
      </c>
    </row>
    <row r="470" customFormat="false" ht="17.15" hidden="false" customHeight="false" outlineLevel="0" collapsed="false">
      <c r="A470" s="4" t="s">
        <v>554</v>
      </c>
      <c r="B470" s="4" t="s">
        <v>514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MAX(0,hsA_28*8000/F464*F467*(1-hbp_28)-E469)+dlt*E469</f>
        <v>833.505412028846</v>
      </c>
      <c r="F470" s="14" t="n">
        <f aca="false">MAX(0,G469-F469)+dlt*F469</f>
        <v>312.6162350025</v>
      </c>
      <c r="G470" s="14" t="n">
        <f aca="false">MAX(0,H469-G469)+dlt*G469</f>
        <v>235.6645463865</v>
      </c>
      <c r="I470" s="4" t="s">
        <v>555</v>
      </c>
    </row>
    <row r="471" customFormat="false" ht="17.15" hidden="false" customHeight="false" outlineLevel="0" collapsed="false">
      <c r="A471" s="0" t="s">
        <v>556</v>
      </c>
      <c r="B471" s="0" t="s">
        <v>72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557</v>
      </c>
      <c r="B472" s="0" t="s">
        <v>72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558</v>
      </c>
      <c r="B473" s="0" t="s">
        <v>72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559</v>
      </c>
      <c r="B474" s="0" t="s">
        <v>72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560</v>
      </c>
      <c r="B475" s="4" t="s">
        <v>514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275.056785969519</v>
      </c>
      <c r="F475" s="14" t="n">
        <f aca="false">F470*F474</f>
        <v>103.163357550825</v>
      </c>
      <c r="G475" s="14" t="n">
        <f aca="false">G470*G474</f>
        <v>77.769300307545</v>
      </c>
    </row>
    <row r="476" customFormat="false" ht="17.15" hidden="false" customHeight="false" outlineLevel="0" collapsed="false">
      <c r="A476" s="6" t="s">
        <v>561</v>
      </c>
    </row>
    <row r="477" customFormat="false" ht="17.15" hidden="false" customHeight="false" outlineLevel="0" collapsed="false">
      <c r="A477" s="4" t="s">
        <v>562</v>
      </c>
      <c r="B477" s="4" t="s">
        <v>236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  <c r="I477" s="8" t="s">
        <v>563</v>
      </c>
    </row>
    <row r="478" customFormat="false" ht="17.15" hidden="false" customHeight="false" outlineLevel="0" collapsed="false">
      <c r="A478" s="0" t="s">
        <v>564</v>
      </c>
      <c r="B478" s="4" t="s">
        <v>236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3881.26983075686</v>
      </c>
      <c r="F478" s="14" t="n">
        <f aca="false">$C479*F475</f>
        <v>1455.71695637414</v>
      </c>
      <c r="G478" s="14" t="n">
        <f aca="false">$C479*G475</f>
        <v>1097.38662865127</v>
      </c>
      <c r="I478" s="8" t="s">
        <v>565</v>
      </c>
    </row>
    <row r="479" customFormat="false" ht="17.15" hidden="false" customHeight="false" outlineLevel="0" collapsed="false">
      <c r="A479" s="4" t="s">
        <v>566</v>
      </c>
      <c r="B479" s="4" t="s">
        <v>567</v>
      </c>
      <c r="C479" s="18" t="n">
        <f aca="false">(C478+D478)/(C475+D475)</f>
        <v>14.1107946749111</v>
      </c>
      <c r="I479" s="4" t="s">
        <v>568</v>
      </c>
    </row>
    <row r="480" customFormat="false" ht="15" hidden="false" customHeight="false" outlineLevel="0" collapsed="false">
      <c r="A480" s="4" t="s">
        <v>467</v>
      </c>
      <c r="B480" s="4" t="s">
        <v>236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7610.07362275686</v>
      </c>
      <c r="F480" s="14" t="n">
        <f aca="false">F477+F478</f>
        <v>5631.97720341414</v>
      </c>
      <c r="G480" s="14" t="n">
        <f aca="false">G477+G478</f>
        <v>5774.79810533607</v>
      </c>
    </row>
    <row r="481" customFormat="false" ht="17.15" hidden="false" customHeight="false" outlineLevel="0" collapsed="false">
      <c r="A481" s="0" t="s">
        <v>569</v>
      </c>
      <c r="B481" s="0" t="s">
        <v>72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0.510017382637464</v>
      </c>
      <c r="F481" s="10" t="n">
        <f aca="false">F478/F480</f>
        <v>0.25847351716759</v>
      </c>
      <c r="G481" s="10" t="n">
        <f aca="false">G478/G480</f>
        <v>0.190030302122122</v>
      </c>
    </row>
    <row r="482" customFormat="false" ht="17.15" hidden="false" customHeight="false" outlineLevel="0" collapsed="false">
      <c r="A482" s="4" t="s">
        <v>570</v>
      </c>
      <c r="B482" s="4" t="s">
        <v>236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935.606493105424</v>
      </c>
      <c r="F482" s="14" t="n">
        <f aca="false">opex_fix+opex_var*F480</f>
        <v>797.256364660498</v>
      </c>
      <c r="G482" s="14" t="n">
        <f aca="false">opex_fix+opex_var*G480</f>
        <v>807.245407627415</v>
      </c>
      <c r="I482" s="4" t="s">
        <v>571</v>
      </c>
    </row>
    <row r="483" customFormat="false" ht="17.15" hidden="false" customHeight="false" outlineLevel="0" collapsed="false">
      <c r="A483" s="4" t="s">
        <v>537</v>
      </c>
      <c r="B483" s="0" t="s">
        <v>72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572</v>
      </c>
    </row>
    <row r="484" customFormat="false" ht="15" hidden="false" customHeight="false" outlineLevel="0" collapsed="false">
      <c r="A484" s="4" t="s">
        <v>472</v>
      </c>
      <c r="B484" s="4" t="s">
        <v>236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4530.02706380902</v>
      </c>
      <c r="F484" s="14" t="n">
        <f aca="false">F480*F483</f>
        <v>3352.53118681118</v>
      </c>
      <c r="G484" s="14" t="n">
        <f aca="false">G480*G483</f>
        <v>3437.54778232075</v>
      </c>
    </row>
    <row r="485" customFormat="false" ht="15" hidden="false" customHeight="false" outlineLevel="0" collapsed="false">
      <c r="A485" s="4" t="s">
        <v>475</v>
      </c>
      <c r="B485" s="4" t="s">
        <v>236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3594.4205707036</v>
      </c>
      <c r="F485" s="14" t="n">
        <f aca="false">F484-F482</f>
        <v>2555.27482215068</v>
      </c>
      <c r="G485" s="14" t="n">
        <f aca="false">G484-G482</f>
        <v>2630.30237469333</v>
      </c>
    </row>
    <row r="486" customFormat="false" ht="15" hidden="false" customHeight="false" outlineLevel="0" collapsed="false">
      <c r="A486" s="4" t="s">
        <v>478</v>
      </c>
      <c r="B486" s="0" t="s">
        <v>72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0.472324020618538</v>
      </c>
      <c r="F486" s="10" t="n">
        <f aca="false">F485/F480</f>
        <v>0.453708303471409</v>
      </c>
      <c r="G486" s="10" t="n">
        <f aca="false">G485/G480</f>
        <v>0.455479538282535</v>
      </c>
    </row>
    <row r="487" customFormat="false" ht="15" hidden="false" customHeight="false" outlineLevel="0" collapsed="false">
      <c r="A487" s="4" t="s">
        <v>538</v>
      </c>
      <c r="B487" s="4" t="s">
        <v>236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3059.81145682235</v>
      </c>
      <c r="F487" s="14" t="n">
        <f aca="false">F485*nioi</f>
        <v>2175.22101889592</v>
      </c>
      <c r="G487" s="14" t="n">
        <f aca="false">G485*nioi</f>
        <v>2239.08949514449</v>
      </c>
    </row>
    <row r="488" customFormat="false" ht="15" hidden="false" customHeight="false" outlineLevel="0" collapsed="false">
      <c r="A488" s="0" t="s">
        <v>539</v>
      </c>
      <c r="B488" s="0" t="s">
        <v>312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3190.92580756563</v>
      </c>
      <c r="F488" s="14" t="n">
        <f aca="false">F487*100/shares</f>
        <v>2268.43025601403</v>
      </c>
      <c r="G488" s="14" t="n">
        <f aca="false">G487*100/shares</f>
        <v>2335.03552631493</v>
      </c>
    </row>
    <row r="489" customFormat="false" ht="17.15" hidden="false" customHeight="false" outlineLevel="0" collapsed="false">
      <c r="A489" s="4" t="s">
        <v>573</v>
      </c>
      <c r="B489" s="4" t="s">
        <v>236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11761.4237295662</v>
      </c>
      <c r="F489" s="14" t="n">
        <f aca="false">$C479*F470</f>
        <v>4411.26350416405</v>
      </c>
      <c r="G489" s="14" t="n">
        <f aca="false">$C479*G470</f>
        <v>3325.41402621597</v>
      </c>
      <c r="I489" s="4" t="s">
        <v>574</v>
      </c>
    </row>
    <row r="490" customFormat="false" ht="15" hidden="false" customHeight="false" outlineLevel="0" collapsed="false">
      <c r="A490" s="4" t="s">
        <v>575</v>
      </c>
      <c r="B490" s="0" t="s">
        <v>343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828.269276730017</v>
      </c>
      <c r="F490" s="14" t="n">
        <f aca="false">F489/fx*100</f>
        <v>310.652359448173</v>
      </c>
      <c r="G490" s="14" t="n">
        <f aca="false">G489/fx*100</f>
        <v>234.184086353238</v>
      </c>
    </row>
    <row r="500" customFormat="false" ht="17.15" hidden="false" customHeight="false" outlineLevel="0" collapsed="false">
      <c r="A500" s="1" t="s">
        <v>895</v>
      </c>
    </row>
    <row r="501" customFormat="false" ht="15" hidden="false" customHeight="false" outlineLevel="0" collapsed="false">
      <c r="A501" s="5" t="s">
        <v>24</v>
      </c>
      <c r="B501" s="5" t="s">
        <v>25</v>
      </c>
      <c r="C501" s="13" t="s">
        <v>503</v>
      </c>
      <c r="D501" s="13" t="s">
        <v>504</v>
      </c>
      <c r="E501" s="13" t="s">
        <v>505</v>
      </c>
      <c r="F501" s="13" t="s">
        <v>506</v>
      </c>
      <c r="G501" s="13" t="s">
        <v>507</v>
      </c>
      <c r="H501" s="13" t="s">
        <v>508</v>
      </c>
      <c r="I501" s="5" t="s">
        <v>416</v>
      </c>
    </row>
    <row r="502" customFormat="false" ht="17.15" hidden="false" customHeight="false" outlineLevel="0" collapsed="false">
      <c r="A502" s="6" t="s">
        <v>542</v>
      </c>
    </row>
    <row r="503" customFormat="false" ht="17.15" hidden="false" customHeight="false" outlineLevel="0" collapsed="false">
      <c r="A503" s="0" t="s">
        <v>543</v>
      </c>
      <c r="B503" s="0" t="s">
        <v>35</v>
      </c>
      <c r="C503" s="20" t="n">
        <f aca="false">hsA_25</f>
        <v>2.22511470588235</v>
      </c>
      <c r="D503" s="20" t="n">
        <f aca="false">hsA_26</f>
        <v>3.782695</v>
      </c>
      <c r="E503" s="20" t="n">
        <f aca="false">hsA_27</f>
        <v>5.86317725</v>
      </c>
      <c r="F503" s="20" t="n">
        <f aca="false">hsA_28</f>
        <v>8.5016070125</v>
      </c>
      <c r="G503" s="20" t="n">
        <f aca="false">hsA_29</f>
        <v>11.477169466875</v>
      </c>
      <c r="H503" s="20" t="n">
        <f aca="false">G503*(1+g_tail)</f>
        <v>12.6248864135625</v>
      </c>
      <c r="I503" s="8" t="s">
        <v>544</v>
      </c>
    </row>
    <row r="504" customFormat="false" ht="17.15" hidden="false" customHeight="false" outlineLevel="0" collapsed="false">
      <c r="A504" s="0" t="s">
        <v>545</v>
      </c>
      <c r="B504" s="0" t="s">
        <v>546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547</v>
      </c>
      <c r="B505" s="4" t="s">
        <v>512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548</v>
      </c>
    </row>
    <row r="506" customFormat="false" ht="15" hidden="false" customHeight="false" outlineLevel="0" collapsed="false">
      <c r="A506" s="4" t="s">
        <v>549</v>
      </c>
      <c r="B506" s="4" t="s">
        <v>99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550</v>
      </c>
      <c r="B507" s="0" t="s">
        <v>119</v>
      </c>
      <c r="C507" s="18" t="n">
        <f aca="false">1+beta_lo*(C506-$C506)/4</f>
        <v>1</v>
      </c>
      <c r="D507" s="18" t="n">
        <f aca="false">1+beta_lo*(D506-$C506)/4</f>
        <v>1</v>
      </c>
      <c r="E507" s="18" t="n">
        <f aca="false">1+beta_lo*(E506-$C506)/4</f>
        <v>1</v>
      </c>
      <c r="F507" s="18" t="n">
        <f aca="false">1+beta_lo*(F506-$C506)/4</f>
        <v>1</v>
      </c>
      <c r="G507" s="18" t="n">
        <f aca="false">1+beta_lo*(G506-$C506)/4</f>
        <v>1</v>
      </c>
      <c r="H507" s="18" t="n">
        <f aca="false">1+beta_lo*(H506-$C506)/4</f>
        <v>1</v>
      </c>
    </row>
    <row r="508" customFormat="false" ht="17.15" hidden="false" customHeight="false" outlineLevel="0" collapsed="false">
      <c r="A508" s="4" t="s">
        <v>551</v>
      </c>
      <c r="B508" s="0" t="s">
        <v>72</v>
      </c>
      <c r="C508" s="10" t="n">
        <f aca="false">hbp_25</f>
        <v>0</v>
      </c>
      <c r="D508" s="10" t="n">
        <f aca="false">hbp_26</f>
        <v>0</v>
      </c>
      <c r="E508" s="10" t="n">
        <f aca="false">hbp_27</f>
        <v>0</v>
      </c>
      <c r="F508" s="10" t="n">
        <f aca="false">hbp_28_hi</f>
        <v>0.15</v>
      </c>
      <c r="G508" s="10" t="n">
        <f aca="false">hbp_29_hi</f>
        <v>0.3</v>
      </c>
      <c r="H508" s="10" t="n">
        <f aca="false">hbp_30_hi</f>
        <v>0.4</v>
      </c>
      <c r="I508" s="4" t="s">
        <v>552</v>
      </c>
    </row>
    <row r="509" customFormat="false" ht="17.15" hidden="false" customHeight="false" outlineLevel="0" collapsed="false">
      <c r="A509" s="0" t="s">
        <v>553</v>
      </c>
      <c r="B509" s="4" t="s">
        <v>514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2064.67598875</v>
      </c>
      <c r="G509" s="14" t="n">
        <f aca="false">G505*G507*(1-G508)</f>
        <v>2142.40496715</v>
      </c>
      <c r="H509" s="14" t="n">
        <f aca="false">H505*H507*(1-H508)</f>
        <v>1893.73296203438</v>
      </c>
    </row>
    <row r="510" customFormat="false" ht="17.15" hidden="false" customHeight="false" outlineLevel="0" collapsed="false">
      <c r="A510" s="4" t="s">
        <v>554</v>
      </c>
      <c r="B510" s="4" t="s">
        <v>514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MAX(0,hsA_28*8000/F504*F507*(1-hbp_28)-E509)+dlt*E509</f>
        <v>683.929961634615</v>
      </c>
      <c r="F510" s="14" t="n">
        <f aca="false">MAX(0,G509-F509)+dlt*F509</f>
        <v>284.196577275</v>
      </c>
      <c r="G510" s="14" t="n">
        <f aca="false">MAX(0,H509-G509)+dlt*G509</f>
        <v>214.240496715</v>
      </c>
      <c r="I510" s="4" t="s">
        <v>555</v>
      </c>
    </row>
    <row r="511" customFormat="false" ht="17.15" hidden="false" customHeight="false" outlineLevel="0" collapsed="false">
      <c r="A511" s="0" t="s">
        <v>556</v>
      </c>
      <c r="B511" s="0" t="s">
        <v>72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557</v>
      </c>
      <c r="B512" s="0" t="s">
        <v>72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558</v>
      </c>
      <c r="B513" s="0" t="s">
        <v>72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559</v>
      </c>
      <c r="B514" s="0" t="s">
        <v>72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560</v>
      </c>
      <c r="B515" s="4" t="s">
        <v>514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225.696887339423</v>
      </c>
      <c r="F515" s="14" t="n">
        <f aca="false">F510*F514</f>
        <v>93.7848705007502</v>
      </c>
      <c r="G515" s="14" t="n">
        <f aca="false">G510*G514</f>
        <v>70.69936391595</v>
      </c>
    </row>
    <row r="516" customFormat="false" ht="17.15" hidden="false" customHeight="false" outlineLevel="0" collapsed="false">
      <c r="A516" s="6" t="s">
        <v>561</v>
      </c>
    </row>
    <row r="517" customFormat="false" ht="17.15" hidden="false" customHeight="false" outlineLevel="0" collapsed="false">
      <c r="A517" s="4" t="s">
        <v>562</v>
      </c>
      <c r="B517" s="4" t="s">
        <v>236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  <c r="I517" s="8" t="s">
        <v>563</v>
      </c>
    </row>
    <row r="518" customFormat="false" ht="17.15" hidden="false" customHeight="false" outlineLevel="0" collapsed="false">
      <c r="A518" s="0" t="s">
        <v>564</v>
      </c>
      <c r="B518" s="4" t="s">
        <v>236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3391.37741051987</v>
      </c>
      <c r="F518" s="14" t="n">
        <f aca="false">$C519*F515</f>
        <v>1409.23472633652</v>
      </c>
      <c r="G518" s="14" t="n">
        <f aca="false">$C519*G515</f>
        <v>1062.34617831522</v>
      </c>
      <c r="I518" s="8" t="s">
        <v>565</v>
      </c>
    </row>
    <row r="519" customFormat="false" ht="17.15" hidden="false" customHeight="false" outlineLevel="0" collapsed="false">
      <c r="A519" s="4" t="s">
        <v>566</v>
      </c>
      <c r="B519" s="4" t="s">
        <v>567</v>
      </c>
      <c r="C519" s="18" t="n">
        <f aca="false">(C518+D518)/(C515+D515)</f>
        <v>15.0262480377925</v>
      </c>
      <c r="I519" s="4" t="s">
        <v>568</v>
      </c>
    </row>
    <row r="520" customFormat="false" ht="15" hidden="false" customHeight="false" outlineLevel="0" collapsed="false">
      <c r="A520" s="4" t="s">
        <v>467</v>
      </c>
      <c r="B520" s="4" t="s">
        <v>236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7120.18120251987</v>
      </c>
      <c r="F520" s="14" t="n">
        <f aca="false">F517+F518</f>
        <v>5585.49497337652</v>
      </c>
      <c r="G520" s="14" t="n">
        <f aca="false">G517+G518</f>
        <v>5739.75765500002</v>
      </c>
    </row>
    <row r="521" customFormat="false" ht="17.15" hidden="false" customHeight="false" outlineLevel="0" collapsed="false">
      <c r="A521" s="0" t="s">
        <v>569</v>
      </c>
      <c r="B521" s="0" t="s">
        <v>72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0.476304930177851</v>
      </c>
      <c r="F521" s="10" t="n">
        <f aca="false">F518/F520</f>
        <v>0.252302568179488</v>
      </c>
      <c r="G521" s="10" t="n">
        <f aca="false">G518/G520</f>
        <v>0.185085545796483</v>
      </c>
    </row>
    <row r="522" customFormat="false" ht="17.15" hidden="false" customHeight="false" outlineLevel="0" collapsed="false">
      <c r="A522" s="4" t="s">
        <v>570</v>
      </c>
      <c r="B522" s="4" t="s">
        <v>236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901.342905849903</v>
      </c>
      <c r="F522" s="14" t="n">
        <f aca="false">opex_fix+opex_var*F520</f>
        <v>794.005348970248</v>
      </c>
      <c r="G522" s="14" t="n">
        <f aca="false">opex_fix+opex_var*G520</f>
        <v>804.794641953227</v>
      </c>
      <c r="I522" s="4" t="s">
        <v>571</v>
      </c>
    </row>
    <row r="523" customFormat="false" ht="17.15" hidden="false" customHeight="false" outlineLevel="0" collapsed="false">
      <c r="A523" s="4" t="s">
        <v>537</v>
      </c>
      <c r="B523" s="0" t="s">
        <v>72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572</v>
      </c>
    </row>
    <row r="524" customFormat="false" ht="15" hidden="false" customHeight="false" outlineLevel="0" collapsed="false">
      <c r="A524" s="4" t="s">
        <v>472</v>
      </c>
      <c r="B524" s="4" t="s">
        <v>236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4238.41018438854</v>
      </c>
      <c r="F524" s="14" t="n">
        <f aca="false">F520*F523</f>
        <v>3324.86184082391</v>
      </c>
      <c r="G524" s="14" t="n">
        <f aca="false">G520*G523</f>
        <v>3416.68935226881</v>
      </c>
    </row>
    <row r="525" customFormat="false" ht="15" hidden="false" customHeight="false" outlineLevel="0" collapsed="false">
      <c r="A525" s="4" t="s">
        <v>475</v>
      </c>
      <c r="B525" s="4" t="s">
        <v>236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3337.06727853864</v>
      </c>
      <c r="F525" s="14" t="n">
        <f aca="false">F524-F522</f>
        <v>2530.85649185367</v>
      </c>
      <c r="G525" s="14" t="n">
        <f aca="false">G524-G522</f>
        <v>2611.89471031559</v>
      </c>
    </row>
    <row r="526" customFormat="false" ht="15" hidden="false" customHeight="false" outlineLevel="0" collapsed="false">
      <c r="A526" s="4" t="s">
        <v>478</v>
      </c>
      <c r="B526" s="0" t="s">
        <v>72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0.468677296774081</v>
      </c>
      <c r="F526" s="10" t="n">
        <f aca="false">F525/F520</f>
        <v>0.453112303191945</v>
      </c>
      <c r="G526" s="10" t="n">
        <f aca="false">G525/G520</f>
        <v>0.455053134175501</v>
      </c>
    </row>
    <row r="527" customFormat="false" ht="15" hidden="false" customHeight="false" outlineLevel="0" collapsed="false">
      <c r="A527" s="4" t="s">
        <v>538</v>
      </c>
      <c r="B527" s="4" t="s">
        <v>236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2840.73510325498</v>
      </c>
      <c r="F527" s="14" t="n">
        <f aca="false">F525*nioi</f>
        <v>2154.43450120007</v>
      </c>
      <c r="G527" s="14" t="n">
        <f aca="false">G525*nioi</f>
        <v>2223.41965872762</v>
      </c>
    </row>
    <row r="528" customFormat="false" ht="15" hidden="false" customHeight="false" outlineLevel="0" collapsed="false">
      <c r="A528" s="0" t="s">
        <v>539</v>
      </c>
      <c r="B528" s="0" t="s">
        <v>312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2962.46192987576</v>
      </c>
      <c r="F528" s="14" t="n">
        <f aca="false">F527*100/shares</f>
        <v>2246.75302632158</v>
      </c>
      <c r="G528" s="14" t="n">
        <f aca="false">G527*100/shares</f>
        <v>2318.69423008524</v>
      </c>
    </row>
    <row r="529" customFormat="false" ht="17.15" hidden="false" customHeight="false" outlineLevel="0" collapsed="false">
      <c r="A529" s="4" t="s">
        <v>573</v>
      </c>
      <c r="B529" s="4" t="s">
        <v>236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10276.9012439996</v>
      </c>
      <c r="F529" s="14" t="n">
        <f aca="false">$C519*F510</f>
        <v>4270.40826162581</v>
      </c>
      <c r="G529" s="14" t="n">
        <f aca="false">$C519*G510</f>
        <v>3219.23084337945</v>
      </c>
      <c r="I529" s="4" t="s">
        <v>574</v>
      </c>
    </row>
    <row r="530" customFormat="false" ht="15" hidden="false" customHeight="false" outlineLevel="0" collapsed="false">
      <c r="A530" s="4" t="s">
        <v>575</v>
      </c>
      <c r="B530" s="0" t="s">
        <v>343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723.725439718282</v>
      </c>
      <c r="F530" s="14" t="n">
        <f aca="false">F529/fx*100</f>
        <v>300.732976170832</v>
      </c>
      <c r="G530" s="14" t="n">
        <f aca="false">G529/fx*100</f>
        <v>226.706397421088</v>
      </c>
    </row>
    <row r="540" customFormat="false" ht="17.15" hidden="false" customHeight="false" outlineLevel="0" collapsed="false">
      <c r="A540" s="1" t="s">
        <v>896</v>
      </c>
    </row>
    <row r="541" customFormat="false" ht="15" hidden="false" customHeight="false" outlineLevel="0" collapsed="false">
      <c r="A541" s="5" t="s">
        <v>24</v>
      </c>
      <c r="B541" s="5" t="s">
        <v>25</v>
      </c>
      <c r="C541" s="13" t="s">
        <v>503</v>
      </c>
      <c r="D541" s="13" t="s">
        <v>504</v>
      </c>
      <c r="E541" s="13" t="s">
        <v>505</v>
      </c>
      <c r="F541" s="13" t="s">
        <v>506</v>
      </c>
      <c r="G541" s="13" t="s">
        <v>507</v>
      </c>
      <c r="H541" s="13" t="s">
        <v>508</v>
      </c>
      <c r="I541" s="5" t="s">
        <v>416</v>
      </c>
    </row>
    <row r="542" customFormat="false" ht="17.15" hidden="false" customHeight="false" outlineLevel="0" collapsed="false">
      <c r="A542" s="6" t="s">
        <v>542</v>
      </c>
    </row>
    <row r="543" customFormat="false" ht="17.15" hidden="false" customHeight="false" outlineLevel="0" collapsed="false">
      <c r="A543" s="0" t="s">
        <v>543</v>
      </c>
      <c r="B543" s="0" t="s">
        <v>35</v>
      </c>
      <c r="C543" s="20" t="n">
        <f aca="false">hsA_25</f>
        <v>2.22511470588235</v>
      </c>
      <c r="D543" s="20" t="n">
        <f aca="false">hsA_26</f>
        <v>3.782695</v>
      </c>
      <c r="E543" s="20" t="n">
        <f aca="false">hsA_27</f>
        <v>5.86317725</v>
      </c>
      <c r="F543" s="20" t="n">
        <f aca="false">hsA_28</f>
        <v>8.5016070125</v>
      </c>
      <c r="G543" s="20" t="n">
        <f aca="false">hsA_29</f>
        <v>11.477169466875</v>
      </c>
      <c r="H543" s="20" t="n">
        <f aca="false">G543*(1+g_tail)</f>
        <v>12.6248864135625</v>
      </c>
      <c r="I543" s="8" t="s">
        <v>544</v>
      </c>
    </row>
    <row r="544" customFormat="false" ht="17.15" hidden="false" customHeight="false" outlineLevel="0" collapsed="false">
      <c r="A544" s="0" t="s">
        <v>545</v>
      </c>
      <c r="B544" s="0" t="s">
        <v>546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547</v>
      </c>
      <c r="B545" s="4" t="s">
        <v>512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548</v>
      </c>
    </row>
    <row r="546" customFormat="false" ht="15" hidden="false" customHeight="false" outlineLevel="0" collapsed="false">
      <c r="A546" s="4" t="s">
        <v>549</v>
      </c>
      <c r="B546" s="4" t="s">
        <v>99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550</v>
      </c>
      <c r="B547" s="0" t="s">
        <v>119</v>
      </c>
      <c r="C547" s="18" t="n">
        <f aca="false">1+beta_hi*(C546-$C546)/4</f>
        <v>1</v>
      </c>
      <c r="D547" s="18" t="n">
        <f aca="false">1+beta_hi*(D546-$C546)/4</f>
        <v>1.125</v>
      </c>
      <c r="E547" s="18" t="n">
        <f aca="false">1+beta_hi*(E546-$C546)/4</f>
        <v>1.15625</v>
      </c>
      <c r="F547" s="18" t="n">
        <f aca="false">1+beta_hi*(F546-$C546)/4</f>
        <v>1.25</v>
      </c>
      <c r="G547" s="18" t="n">
        <f aca="false">1+beta_hi*(G546-$C546)/4</f>
        <v>1.3125</v>
      </c>
      <c r="H547" s="18" t="n">
        <f aca="false">1+beta_hi*(H546-$C546)/4</f>
        <v>1.375</v>
      </c>
    </row>
    <row r="548" customFormat="false" ht="17.15" hidden="false" customHeight="false" outlineLevel="0" collapsed="false">
      <c r="A548" s="4" t="s">
        <v>551</v>
      </c>
      <c r="B548" s="0" t="s">
        <v>72</v>
      </c>
      <c r="C548" s="10" t="n">
        <f aca="false">hbp_25</f>
        <v>0</v>
      </c>
      <c r="D548" s="10" t="n">
        <f aca="false">hbp_26</f>
        <v>0</v>
      </c>
      <c r="E548" s="10" t="n">
        <f aca="false">hbp_27</f>
        <v>0</v>
      </c>
      <c r="F548" s="10" t="n">
        <f aca="false">hbp_28_hi</f>
        <v>0.15</v>
      </c>
      <c r="G548" s="10" t="n">
        <f aca="false">hbp_29_hi</f>
        <v>0.3</v>
      </c>
      <c r="H548" s="10" t="n">
        <f aca="false">hbp_30_hi</f>
        <v>0.4</v>
      </c>
      <c r="I548" s="4" t="s">
        <v>552</v>
      </c>
    </row>
    <row r="549" customFormat="false" ht="17.15" hidden="false" customHeight="false" outlineLevel="0" collapsed="false">
      <c r="A549" s="0" t="s">
        <v>553</v>
      </c>
      <c r="B549" s="4" t="s">
        <v>514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2580.8449859375</v>
      </c>
      <c r="G549" s="14" t="n">
        <f aca="false">G545*G547*(1-G548)</f>
        <v>2811.90651938438</v>
      </c>
      <c r="H549" s="14" t="n">
        <f aca="false">H545*H547*(1-H548)</f>
        <v>2603.88282279727</v>
      </c>
    </row>
    <row r="550" customFormat="false" ht="17.15" hidden="false" customHeight="false" outlineLevel="0" collapsed="false">
      <c r="A550" s="4" t="s">
        <v>554</v>
      </c>
      <c r="B550" s="4" t="s">
        <v>514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MAX(0,hsA_28*8000/F544*F547*(1-hbp_28)-E549)+dlt*E549</f>
        <v>1007.12955372596</v>
      </c>
      <c r="F550" s="14" t="n">
        <f aca="false">MAX(0,G549-F549)+dlt*F549</f>
        <v>489.146032040625</v>
      </c>
      <c r="G550" s="14" t="n">
        <f aca="false">MAX(0,H549-G549)+dlt*G549</f>
        <v>281.190651938438</v>
      </c>
      <c r="I550" s="4" t="s">
        <v>555</v>
      </c>
    </row>
    <row r="551" customFormat="false" ht="17.15" hidden="false" customHeight="false" outlineLevel="0" collapsed="false">
      <c r="A551" s="0" t="s">
        <v>556</v>
      </c>
      <c r="B551" s="0" t="s">
        <v>72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557</v>
      </c>
      <c r="B552" s="0" t="s">
        <v>72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558</v>
      </c>
      <c r="B553" s="0" t="s">
        <v>72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559</v>
      </c>
      <c r="B554" s="0" t="s">
        <v>72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560</v>
      </c>
      <c r="B555" s="4" t="s">
        <v>514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332.352752729567</v>
      </c>
      <c r="F555" s="14" t="n">
        <f aca="false">F550*F554</f>
        <v>161.418190573406</v>
      </c>
      <c r="G555" s="14" t="n">
        <f aca="false">G550*G554</f>
        <v>92.7929151396844</v>
      </c>
    </row>
    <row r="556" customFormat="false" ht="17.15" hidden="false" customHeight="false" outlineLevel="0" collapsed="false">
      <c r="A556" s="6" t="s">
        <v>561</v>
      </c>
    </row>
    <row r="557" customFormat="false" ht="17.15" hidden="false" customHeight="false" outlineLevel="0" collapsed="false">
      <c r="A557" s="4" t="s">
        <v>562</v>
      </c>
      <c r="B557" s="4" t="s">
        <v>236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  <c r="I557" s="8" t="s">
        <v>563</v>
      </c>
    </row>
    <row r="558" customFormat="false" ht="17.15" hidden="false" customHeight="false" outlineLevel="0" collapsed="false">
      <c r="A558" s="0" t="s">
        <v>564</v>
      </c>
      <c r="B558" s="4" t="s">
        <v>236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4032.36030668975</v>
      </c>
      <c r="F558" s="14" t="n">
        <f aca="false">$C559*F555</f>
        <v>1958.45016808245</v>
      </c>
      <c r="G558" s="14" t="n">
        <f aca="false">$C559*G555</f>
        <v>1125.83532008762</v>
      </c>
      <c r="I558" s="8" t="s">
        <v>565</v>
      </c>
    </row>
    <row r="559" customFormat="false" ht="17.15" hidden="false" customHeight="false" outlineLevel="0" collapsed="false">
      <c r="A559" s="4" t="s">
        <v>566</v>
      </c>
      <c r="B559" s="4" t="s">
        <v>567</v>
      </c>
      <c r="C559" s="18" t="n">
        <f aca="false">(C558+D558)/(C555+D555)</f>
        <v>12.1327724039369</v>
      </c>
      <c r="I559" s="4" t="s">
        <v>568</v>
      </c>
    </row>
    <row r="560" customFormat="false" ht="15" hidden="false" customHeight="false" outlineLevel="0" collapsed="false">
      <c r="A560" s="4" t="s">
        <v>467</v>
      </c>
      <c r="B560" s="4" t="s">
        <v>236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7761.16409868975</v>
      </c>
      <c r="F560" s="14" t="n">
        <f aca="false">F557+F558</f>
        <v>6134.71041512245</v>
      </c>
      <c r="G560" s="14" t="n">
        <f aca="false">G557+G558</f>
        <v>5803.24679677242</v>
      </c>
    </row>
    <row r="561" customFormat="false" ht="17.15" hidden="false" customHeight="false" outlineLevel="0" collapsed="false">
      <c r="A561" s="0" t="s">
        <v>569</v>
      </c>
      <c r="B561" s="0" t="s">
        <v>72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0.519556120114829</v>
      </c>
      <c r="F561" s="10" t="n">
        <f aca="false">F558/F560</f>
        <v>0.319240850106754</v>
      </c>
      <c r="G561" s="10" t="n">
        <f aca="false">G558/G560</f>
        <v>0.19400093766713</v>
      </c>
    </row>
    <row r="562" customFormat="false" ht="17.15" hidden="false" customHeight="false" outlineLevel="0" collapsed="false">
      <c r="A562" s="4" t="s">
        <v>570</v>
      </c>
      <c r="B562" s="4" t="s">
        <v>236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946.17391871103</v>
      </c>
      <c r="F562" s="14" t="n">
        <f aca="false">opex_fix+opex_var*F560</f>
        <v>832.418050275644</v>
      </c>
      <c r="G562" s="14" t="n">
        <f aca="false">opex_fix+opex_var*G560</f>
        <v>809.235138803218</v>
      </c>
      <c r="I562" s="4" t="s">
        <v>571</v>
      </c>
    </row>
    <row r="563" customFormat="false" ht="17.15" hidden="false" customHeight="false" outlineLevel="0" collapsed="false">
      <c r="A563" s="4" t="s">
        <v>537</v>
      </c>
      <c r="B563" s="0" t="s">
        <v>72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572</v>
      </c>
    </row>
    <row r="564" customFormat="false" ht="15" hidden="false" customHeight="false" outlineLevel="0" collapsed="false">
      <c r="A564" s="4" t="s">
        <v>472</v>
      </c>
      <c r="B564" s="4" t="s">
        <v>236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4619.96626531859</v>
      </c>
      <c r="F564" s="14" t="n">
        <f aca="false">F560*F563</f>
        <v>3651.79176795773</v>
      </c>
      <c r="G564" s="14" t="n">
        <f aca="false">G560*G563</f>
        <v>3454.48235464226</v>
      </c>
    </row>
    <row r="565" customFormat="false" ht="15" hidden="false" customHeight="false" outlineLevel="0" collapsed="false">
      <c r="A565" s="4" t="s">
        <v>475</v>
      </c>
      <c r="B565" s="4" t="s">
        <v>236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3673.79234660756</v>
      </c>
      <c r="F565" s="14" t="n">
        <f aca="false">F564-F562</f>
        <v>2819.37371768209</v>
      </c>
      <c r="G565" s="14" t="n">
        <f aca="false">G564-G562</f>
        <v>2645.24721583905</v>
      </c>
    </row>
    <row r="566" customFormat="false" ht="15" hidden="false" customHeight="false" outlineLevel="0" collapsed="false">
      <c r="A566" s="4" t="s">
        <v>478</v>
      </c>
      <c r="B566" s="0" t="s">
        <v>72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0.473355839393703</v>
      </c>
      <c r="F566" s="10" t="n">
        <f aca="false">F565/F560</f>
        <v>0.459577311217846</v>
      </c>
      <c r="G566" s="10" t="n">
        <f aca="false">G565/G560</f>
        <v>0.455821940454134</v>
      </c>
    </row>
    <row r="567" customFormat="false" ht="15" hidden="false" customHeight="false" outlineLevel="0" collapsed="false">
      <c r="A567" s="4" t="s">
        <v>538</v>
      </c>
      <c r="B567" s="4" t="s">
        <v>236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3127.37802686669</v>
      </c>
      <c r="F567" s="14" t="n">
        <f aca="false">F565*nioi</f>
        <v>2400.03968170559</v>
      </c>
      <c r="G567" s="14" t="n">
        <f aca="false">G565*nioi</f>
        <v>2251.81154457041</v>
      </c>
    </row>
    <row r="568" customFormat="false" ht="15" hidden="false" customHeight="false" outlineLevel="0" collapsed="false">
      <c r="A568" s="0" t="s">
        <v>539</v>
      </c>
      <c r="B568" s="0" t="s">
        <v>312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3261.38763670953</v>
      </c>
      <c r="F568" s="14" t="n">
        <f aca="false">F567*100/shares</f>
        <v>2502.88250358054</v>
      </c>
      <c r="G568" s="14" t="n">
        <f aca="false">G567*100/shares</f>
        <v>2348.30272150364</v>
      </c>
    </row>
    <row r="569" customFormat="false" ht="17.15" hidden="false" customHeight="false" outlineLevel="0" collapsed="false">
      <c r="A569" s="4" t="s">
        <v>573</v>
      </c>
      <c r="B569" s="4" t="s">
        <v>236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12219.2736566356</v>
      </c>
      <c r="F569" s="14" t="n">
        <f aca="false">$C559*F550</f>
        <v>5934.69747903772</v>
      </c>
      <c r="G569" s="14" t="n">
        <f aca="false">$C559*G550</f>
        <v>3411.6221820837</v>
      </c>
      <c r="I569" s="4" t="s">
        <v>574</v>
      </c>
    </row>
    <row r="570" customFormat="false" ht="15" hidden="false" customHeight="false" outlineLevel="0" collapsed="false">
      <c r="A570" s="4" t="s">
        <v>575</v>
      </c>
      <c r="B570" s="0" t="s">
        <v>343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860.512229340536</v>
      </c>
      <c r="F570" s="14" t="n">
        <f aca="false">F569/fx*100</f>
        <v>417.936442185755</v>
      </c>
      <c r="G570" s="14" t="n">
        <f aca="false">G569/fx*100</f>
        <v>240.255083245331</v>
      </c>
    </row>
    <row r="580" customFormat="false" ht="17.15" hidden="false" customHeight="false" outlineLevel="0" collapsed="false">
      <c r="A580" s="1" t="s">
        <v>897</v>
      </c>
    </row>
    <row r="581" customFormat="false" ht="15" hidden="false" customHeight="false" outlineLevel="0" collapsed="false">
      <c r="A581" s="5" t="s">
        <v>24</v>
      </c>
      <c r="B581" s="5" t="s">
        <v>25</v>
      </c>
      <c r="C581" s="13" t="s">
        <v>503</v>
      </c>
      <c r="D581" s="13" t="s">
        <v>504</v>
      </c>
      <c r="E581" s="13" t="s">
        <v>505</v>
      </c>
      <c r="F581" s="13" t="s">
        <v>506</v>
      </c>
      <c r="G581" s="13" t="s">
        <v>507</v>
      </c>
      <c r="H581" s="13" t="s">
        <v>508</v>
      </c>
      <c r="I581" s="5" t="s">
        <v>416</v>
      </c>
    </row>
    <row r="582" customFormat="false" ht="17.15" hidden="false" customHeight="false" outlineLevel="0" collapsed="false">
      <c r="A582" s="6" t="s">
        <v>542</v>
      </c>
    </row>
    <row r="583" customFormat="false" ht="17.15" hidden="false" customHeight="false" outlineLevel="0" collapsed="false">
      <c r="A583" s="0" t="s">
        <v>543</v>
      </c>
      <c r="B583" s="0" t="s">
        <v>35</v>
      </c>
      <c r="C583" s="20" t="n">
        <f aca="false">hsA_25</f>
        <v>2.22511470588235</v>
      </c>
      <c r="D583" s="20" t="n">
        <f aca="false">hsA_26</f>
        <v>3.782695</v>
      </c>
      <c r="E583" s="20" t="n">
        <f aca="false">hsA_27</f>
        <v>5.86317725</v>
      </c>
      <c r="F583" s="20" t="n">
        <f aca="false">hsA_28</f>
        <v>8.5016070125</v>
      </c>
      <c r="G583" s="20" t="n">
        <f aca="false">hsA_29</f>
        <v>11.477169466875</v>
      </c>
      <c r="H583" s="20" t="n">
        <f aca="false">G583*(1+g_tail)</f>
        <v>12.6248864135625</v>
      </c>
      <c r="I583" s="8" t="s">
        <v>544</v>
      </c>
    </row>
    <row r="584" customFormat="false" ht="17.15" hidden="false" customHeight="false" outlineLevel="0" collapsed="false">
      <c r="A584" s="0" t="s">
        <v>545</v>
      </c>
      <c r="B584" s="0" t="s">
        <v>546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547</v>
      </c>
      <c r="B585" s="4" t="s">
        <v>512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548</v>
      </c>
    </row>
    <row r="586" customFormat="false" ht="15" hidden="false" customHeight="false" outlineLevel="0" collapsed="false">
      <c r="A586" s="4" t="s">
        <v>549</v>
      </c>
      <c r="B586" s="4" t="s">
        <v>99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550</v>
      </c>
      <c r="B587" s="0" t="s">
        <v>119</v>
      </c>
      <c r="C587" s="18" t="n">
        <f aca="false">1+beta*(C586-$C586)/4</f>
        <v>1</v>
      </c>
      <c r="D587" s="18" t="n">
        <f aca="false">1+beta*(D586-$C586)/4</f>
        <v>1.05</v>
      </c>
      <c r="E587" s="18" t="n">
        <f aca="false">1+beta*(E586-$C586)/4</f>
        <v>1.0625</v>
      </c>
      <c r="F587" s="18" t="n">
        <f aca="false">1+beta*(F586-$C586)/4</f>
        <v>1.1</v>
      </c>
      <c r="G587" s="18" t="n">
        <f aca="false">1+beta*(G586-$C586)/4</f>
        <v>1.125</v>
      </c>
      <c r="H587" s="18" t="n">
        <f aca="false">1+beta*(H586-$C586)/4</f>
        <v>1.15</v>
      </c>
    </row>
    <row r="588" customFormat="false" ht="17.15" hidden="false" customHeight="false" outlineLevel="0" collapsed="false">
      <c r="A588" s="4" t="s">
        <v>551</v>
      </c>
      <c r="B588" s="0" t="s">
        <v>72</v>
      </c>
      <c r="C588" s="10" t="n">
        <f aca="false">hbp_25</f>
        <v>0</v>
      </c>
      <c r="D588" s="10" t="n">
        <f aca="false">hbp_26</f>
        <v>0</v>
      </c>
      <c r="E588" s="10" t="n">
        <f aca="false">hbp_27</f>
        <v>0</v>
      </c>
      <c r="F588" s="10" t="n">
        <f aca="false">hbp_28_hi</f>
        <v>0.15</v>
      </c>
      <c r="G588" s="10" t="n">
        <f aca="false">hbp_29_hi</f>
        <v>0.3</v>
      </c>
      <c r="H588" s="10" t="n">
        <f aca="false">hbp_30_hi</f>
        <v>0.4</v>
      </c>
      <c r="I588" s="4" t="s">
        <v>552</v>
      </c>
    </row>
    <row r="589" customFormat="false" ht="17.15" hidden="false" customHeight="false" outlineLevel="0" collapsed="false">
      <c r="A589" s="0" t="s">
        <v>553</v>
      </c>
      <c r="B589" s="4" t="s">
        <v>514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2271.143587625</v>
      </c>
      <c r="G589" s="14" t="n">
        <f aca="false">G585*G587*(1-G588)</f>
        <v>2410.20558804375</v>
      </c>
      <c r="H589" s="14" t="n">
        <f aca="false">H585*H587*(1-H588)</f>
        <v>2177.79290633953</v>
      </c>
    </row>
    <row r="590" customFormat="false" ht="17.15" hidden="false" customHeight="false" outlineLevel="0" collapsed="false">
      <c r="A590" s="4" t="s">
        <v>554</v>
      </c>
      <c r="B590" s="4" t="s">
        <v>514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MAX(0,hsA_28*8000/F584*F587*(1-hbp_28)-E589)+dlt_lo*E589</f>
        <v>717.369401115384</v>
      </c>
      <c r="F590" s="14" t="n">
        <f aca="false">MAX(0,G589-F589)+dlt_lo*F589</f>
        <v>252.6191798</v>
      </c>
      <c r="G590" s="14" t="n">
        <f aca="false">MAX(0,H589-G589)+dlt_lo*G589</f>
        <v>120.510279402188</v>
      </c>
      <c r="I590" s="4" t="s">
        <v>555</v>
      </c>
    </row>
    <row r="591" customFormat="false" ht="17.15" hidden="false" customHeight="false" outlineLevel="0" collapsed="false">
      <c r="A591" s="0" t="s">
        <v>556</v>
      </c>
      <c r="B591" s="0" t="s">
        <v>72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557</v>
      </c>
      <c r="B592" s="0" t="s">
        <v>72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558</v>
      </c>
      <c r="B593" s="0" t="s">
        <v>72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559</v>
      </c>
      <c r="B594" s="0" t="s">
        <v>72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560</v>
      </c>
      <c r="B595" s="4" t="s">
        <v>514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236.731902368077</v>
      </c>
      <c r="F595" s="14" t="n">
        <f aca="false">F590*F594</f>
        <v>83.3643293340001</v>
      </c>
      <c r="G595" s="14" t="n">
        <f aca="false">G590*G594</f>
        <v>39.7683922027219</v>
      </c>
    </row>
    <row r="596" customFormat="false" ht="17.15" hidden="false" customHeight="false" outlineLevel="0" collapsed="false">
      <c r="A596" s="6" t="s">
        <v>561</v>
      </c>
    </row>
    <row r="597" customFormat="false" ht="17.15" hidden="false" customHeight="false" outlineLevel="0" collapsed="false">
      <c r="A597" s="4" t="s">
        <v>562</v>
      </c>
      <c r="B597" s="4" t="s">
        <v>236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  <c r="I597" s="8" t="s">
        <v>563</v>
      </c>
    </row>
    <row r="598" customFormat="false" ht="17.15" hidden="false" customHeight="false" outlineLevel="0" collapsed="false">
      <c r="A598" s="0" t="s">
        <v>564</v>
      </c>
      <c r="B598" s="4" t="s">
        <v>236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3503.35722602174</v>
      </c>
      <c r="F598" s="14" t="n">
        <f aca="false">$C599*F595</f>
        <v>1233.69525882756</v>
      </c>
      <c r="G598" s="14" t="n">
        <f aca="false">$C599*G595</f>
        <v>588.526019505599</v>
      </c>
      <c r="I598" s="8" t="s">
        <v>565</v>
      </c>
    </row>
    <row r="599" customFormat="false" ht="17.15" hidden="false" customHeight="false" outlineLevel="0" collapsed="false">
      <c r="A599" s="4" t="s">
        <v>566</v>
      </c>
      <c r="B599" s="4" t="s">
        <v>567</v>
      </c>
      <c r="C599" s="18" t="n">
        <f aca="false">(C598+D598)/(C595+D595)</f>
        <v>14.7988386481794</v>
      </c>
      <c r="I599" s="4" t="s">
        <v>568</v>
      </c>
    </row>
    <row r="600" customFormat="false" ht="15" hidden="false" customHeight="false" outlineLevel="0" collapsed="false">
      <c r="A600" s="4" t="s">
        <v>467</v>
      </c>
      <c r="B600" s="4" t="s">
        <v>236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7232.16101802174</v>
      </c>
      <c r="F600" s="14" t="n">
        <f aca="false">F597+F598</f>
        <v>5409.95550586756</v>
      </c>
      <c r="G600" s="14" t="n">
        <f aca="false">G597+G598</f>
        <v>5265.9374961904</v>
      </c>
    </row>
    <row r="601" customFormat="false" ht="17.15" hidden="false" customHeight="false" outlineLevel="0" collapsed="false">
      <c r="A601" s="0" t="s">
        <v>569</v>
      </c>
      <c r="B601" s="0" t="s">
        <v>72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0.484413609886694</v>
      </c>
      <c r="F601" s="10" t="n">
        <f aca="false">F598/F600</f>
        <v>0.228041664573676</v>
      </c>
      <c r="G601" s="10" t="n">
        <f aca="false">G598/G600</f>
        <v>0.111760920051057</v>
      </c>
    </row>
    <row r="602" customFormat="false" ht="17.15" hidden="false" customHeight="false" outlineLevel="0" collapsed="false">
      <c r="A602" s="4" t="s">
        <v>570</v>
      </c>
      <c r="B602" s="4" t="s">
        <v>236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909.174891038506</v>
      </c>
      <c r="F602" s="14" t="n">
        <f aca="false">opex_fix+opex_var*F600</f>
        <v>781.727935372235</v>
      </c>
      <c r="G602" s="14" t="n">
        <f aca="false">opex_fix+opex_var*G600</f>
        <v>771.655165439292</v>
      </c>
      <c r="I602" s="4" t="s">
        <v>571</v>
      </c>
    </row>
    <row r="603" customFormat="false" ht="17.15" hidden="false" customHeight="false" outlineLevel="0" collapsed="false">
      <c r="A603" s="4" t="s">
        <v>537</v>
      </c>
      <c r="B603" s="0" t="s">
        <v>72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572</v>
      </c>
    </row>
    <row r="604" customFormat="false" ht="15" hidden="false" customHeight="false" outlineLevel="0" collapsed="false">
      <c r="A604" s="4" t="s">
        <v>472</v>
      </c>
      <c r="B604" s="4" t="s">
        <v>236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4305.06809336158</v>
      </c>
      <c r="F604" s="14" t="n">
        <f aca="false">F600*F603</f>
        <v>3220.36895704888</v>
      </c>
      <c r="G604" s="14" t="n">
        <f aca="false">G600*G603</f>
        <v>3134.63976258189</v>
      </c>
    </row>
    <row r="605" customFormat="false" ht="15" hidden="false" customHeight="false" outlineLevel="0" collapsed="false">
      <c r="A605" s="4" t="s">
        <v>475</v>
      </c>
      <c r="B605" s="4" t="s">
        <v>236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3395.89320232307</v>
      </c>
      <c r="F605" s="14" t="n">
        <f aca="false">F604-F602</f>
        <v>2438.64102167664</v>
      </c>
      <c r="G605" s="14" t="n">
        <f aca="false">G604-G602</f>
        <v>2362.98459714259</v>
      </c>
    </row>
    <row r="606" customFormat="false" ht="15" hidden="false" customHeight="false" outlineLevel="0" collapsed="false">
      <c r="A606" s="4" t="s">
        <v>478</v>
      </c>
      <c r="B606" s="0" t="s">
        <v>72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0.469554424170159</v>
      </c>
      <c r="F606" s="10" t="n">
        <f aca="false">F605/F600</f>
        <v>0.450769145704013</v>
      </c>
      <c r="G606" s="10" t="n">
        <f aca="false">G605/G600</f>
        <v>0.448730088204062</v>
      </c>
    </row>
    <row r="607" customFormat="false" ht="15" hidden="false" customHeight="false" outlineLevel="0" collapsed="false">
      <c r="A607" s="4" t="s">
        <v>538</v>
      </c>
      <c r="B607" s="4" t="s">
        <v>236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2890.81166831273</v>
      </c>
      <c r="F607" s="14" t="n">
        <f aca="false">F605*nioi</f>
        <v>2075.93451863161</v>
      </c>
      <c r="G607" s="14" t="n">
        <f aca="false">G605*nioi</f>
        <v>2011.53070443739</v>
      </c>
    </row>
    <row r="608" customFormat="false" ht="15" hidden="false" customHeight="false" outlineLevel="0" collapsed="false">
      <c r="A608" s="0" t="s">
        <v>539</v>
      </c>
      <c r="B608" s="0" t="s">
        <v>312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3014.6842991465</v>
      </c>
      <c r="F608" s="14" t="n">
        <f aca="false">F607*100/shares</f>
        <v>2164.88928281784</v>
      </c>
      <c r="G608" s="14" t="n">
        <f aca="false">G607*100/shares</f>
        <v>2097.72573509015</v>
      </c>
    </row>
    <row r="609" customFormat="false" ht="17.15" hidden="false" customHeight="false" outlineLevel="0" collapsed="false">
      <c r="A609" s="4" t="s">
        <v>573</v>
      </c>
      <c r="B609" s="4" t="s">
        <v>236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10616.2340182477</v>
      </c>
      <c r="F609" s="14" t="n">
        <f aca="false">$C599*F590</f>
        <v>3738.47048129564</v>
      </c>
      <c r="G609" s="14" t="n">
        <f aca="false">$C599*G590</f>
        <v>1783.41218032</v>
      </c>
      <c r="I609" s="4" t="s">
        <v>574</v>
      </c>
    </row>
    <row r="610" customFormat="false" ht="15" hidden="false" customHeight="false" outlineLevel="0" collapsed="false">
      <c r="A610" s="4" t="s">
        <v>575</v>
      </c>
      <c r="B610" s="0" t="s">
        <v>343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747.622113961105</v>
      </c>
      <c r="F610" s="14" t="n">
        <f aca="false">F609/fx*100</f>
        <v>263.272569105326</v>
      </c>
      <c r="G610" s="14" t="n">
        <f aca="false">G609/fx*100</f>
        <v>125.592407064788</v>
      </c>
    </row>
    <row r="620" customFormat="false" ht="17.15" hidden="false" customHeight="false" outlineLevel="0" collapsed="false">
      <c r="A620" s="1" t="s">
        <v>898</v>
      </c>
    </row>
    <row r="621" customFormat="false" ht="15" hidden="false" customHeight="false" outlineLevel="0" collapsed="false">
      <c r="A621" s="5" t="s">
        <v>24</v>
      </c>
      <c r="B621" s="5" t="s">
        <v>25</v>
      </c>
      <c r="C621" s="13" t="s">
        <v>503</v>
      </c>
      <c r="D621" s="13" t="s">
        <v>504</v>
      </c>
      <c r="E621" s="13" t="s">
        <v>505</v>
      </c>
      <c r="F621" s="13" t="s">
        <v>506</v>
      </c>
      <c r="G621" s="13" t="s">
        <v>507</v>
      </c>
      <c r="H621" s="13" t="s">
        <v>508</v>
      </c>
      <c r="I621" s="5" t="s">
        <v>416</v>
      </c>
    </row>
    <row r="622" customFormat="false" ht="17.15" hidden="false" customHeight="false" outlineLevel="0" collapsed="false">
      <c r="A622" s="6" t="s">
        <v>542</v>
      </c>
    </row>
    <row r="623" customFormat="false" ht="17.15" hidden="false" customHeight="false" outlineLevel="0" collapsed="false">
      <c r="A623" s="0" t="s">
        <v>543</v>
      </c>
      <c r="B623" s="0" t="s">
        <v>35</v>
      </c>
      <c r="C623" s="20" t="n">
        <f aca="false">hsA_25</f>
        <v>2.22511470588235</v>
      </c>
      <c r="D623" s="20" t="n">
        <f aca="false">hsA_26</f>
        <v>3.782695</v>
      </c>
      <c r="E623" s="20" t="n">
        <f aca="false">hsA_27</f>
        <v>5.86317725</v>
      </c>
      <c r="F623" s="20" t="n">
        <f aca="false">hsA_28</f>
        <v>8.5016070125</v>
      </c>
      <c r="G623" s="20" t="n">
        <f aca="false">hsA_29</f>
        <v>11.477169466875</v>
      </c>
      <c r="H623" s="20" t="n">
        <f aca="false">G623*(1+g_tail)</f>
        <v>12.6248864135625</v>
      </c>
      <c r="I623" s="8" t="s">
        <v>544</v>
      </c>
    </row>
    <row r="624" customFormat="false" ht="17.15" hidden="false" customHeight="false" outlineLevel="0" collapsed="false">
      <c r="A624" s="0" t="s">
        <v>545</v>
      </c>
      <c r="B624" s="0" t="s">
        <v>546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547</v>
      </c>
      <c r="B625" s="4" t="s">
        <v>512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548</v>
      </c>
    </row>
    <row r="626" customFormat="false" ht="15" hidden="false" customHeight="false" outlineLevel="0" collapsed="false">
      <c r="A626" s="4" t="s">
        <v>549</v>
      </c>
      <c r="B626" s="4" t="s">
        <v>99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550</v>
      </c>
      <c r="B627" s="0" t="s">
        <v>119</v>
      </c>
      <c r="C627" s="18" t="n">
        <f aca="false">1+beta*(C626-$C626)/4</f>
        <v>1</v>
      </c>
      <c r="D627" s="18" t="n">
        <f aca="false">1+beta*(D626-$C626)/4</f>
        <v>1.05</v>
      </c>
      <c r="E627" s="18" t="n">
        <f aca="false">1+beta*(E626-$C626)/4</f>
        <v>1.0625</v>
      </c>
      <c r="F627" s="18" t="n">
        <f aca="false">1+beta*(F626-$C626)/4</f>
        <v>1.1</v>
      </c>
      <c r="G627" s="18" t="n">
        <f aca="false">1+beta*(G626-$C626)/4</f>
        <v>1.125</v>
      </c>
      <c r="H627" s="18" t="n">
        <f aca="false">1+beta*(H626-$C626)/4</f>
        <v>1.15</v>
      </c>
    </row>
    <row r="628" customFormat="false" ht="17.15" hidden="false" customHeight="false" outlineLevel="0" collapsed="false">
      <c r="A628" s="4" t="s">
        <v>551</v>
      </c>
      <c r="B628" s="0" t="s">
        <v>72</v>
      </c>
      <c r="C628" s="10" t="n">
        <f aca="false">hbp_25</f>
        <v>0</v>
      </c>
      <c r="D628" s="10" t="n">
        <f aca="false">hbp_26</f>
        <v>0</v>
      </c>
      <c r="E628" s="10" t="n">
        <f aca="false">hbp_27</f>
        <v>0</v>
      </c>
      <c r="F628" s="10" t="n">
        <f aca="false">hbp_28_hi</f>
        <v>0.15</v>
      </c>
      <c r="G628" s="10" t="n">
        <f aca="false">hbp_29_hi</f>
        <v>0.3</v>
      </c>
      <c r="H628" s="10" t="n">
        <f aca="false">hbp_30_hi</f>
        <v>0.4</v>
      </c>
      <c r="I628" s="4" t="s">
        <v>552</v>
      </c>
    </row>
    <row r="629" customFormat="false" ht="17.15" hidden="false" customHeight="false" outlineLevel="0" collapsed="false">
      <c r="A629" s="0" t="s">
        <v>553</v>
      </c>
      <c r="B629" s="4" t="s">
        <v>514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2271.143587625</v>
      </c>
      <c r="G629" s="14" t="n">
        <f aca="false">G625*G627*(1-G628)</f>
        <v>2410.20558804375</v>
      </c>
      <c r="H629" s="14" t="n">
        <f aca="false">H625*H627*(1-H628)</f>
        <v>2177.79290633953</v>
      </c>
    </row>
    <row r="630" customFormat="false" ht="17.15" hidden="false" customHeight="false" outlineLevel="0" collapsed="false">
      <c r="A630" s="4" t="s">
        <v>554</v>
      </c>
      <c r="B630" s="4" t="s">
        <v>514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MAX(0,hsA_28*8000/F624*F627*(1-hbp_28)-E629)+dlt_hi*E629</f>
        <v>909.050195826923</v>
      </c>
      <c r="F630" s="14" t="n">
        <f aca="false">MAX(0,G629-F629)+dlt_hi*F629</f>
        <v>479.7335385625</v>
      </c>
      <c r="G630" s="14" t="n">
        <f aca="false">MAX(0,H629-G629)+dlt_hi*G629</f>
        <v>361.530838206563</v>
      </c>
      <c r="I630" s="4" t="s">
        <v>555</v>
      </c>
    </row>
    <row r="631" customFormat="false" ht="17.15" hidden="false" customHeight="false" outlineLevel="0" collapsed="false">
      <c r="A631" s="0" t="s">
        <v>556</v>
      </c>
      <c r="B631" s="0" t="s">
        <v>72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557</v>
      </c>
      <c r="B632" s="0" t="s">
        <v>72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558</v>
      </c>
      <c r="B633" s="0" t="s">
        <v>72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559</v>
      </c>
      <c r="B634" s="0" t="s">
        <v>72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560</v>
      </c>
      <c r="B635" s="4" t="s">
        <v>514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299.986564622885</v>
      </c>
      <c r="F635" s="14" t="n">
        <f aca="false">F630*F634</f>
        <v>158.312067725625</v>
      </c>
      <c r="G635" s="14" t="n">
        <f aca="false">G630*G634</f>
        <v>119.305176608166</v>
      </c>
    </row>
    <row r="636" customFormat="false" ht="17.15" hidden="false" customHeight="false" outlineLevel="0" collapsed="false">
      <c r="A636" s="6" t="s">
        <v>561</v>
      </c>
    </row>
    <row r="637" customFormat="false" ht="17.15" hidden="false" customHeight="false" outlineLevel="0" collapsed="false">
      <c r="A637" s="4" t="s">
        <v>562</v>
      </c>
      <c r="B637" s="4" t="s">
        <v>236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  <c r="I637" s="8" t="s">
        <v>563</v>
      </c>
    </row>
    <row r="638" customFormat="false" ht="17.15" hidden="false" customHeight="false" outlineLevel="0" collapsed="false">
      <c r="A638" s="0" t="s">
        <v>564</v>
      </c>
      <c r="B638" s="4" t="s">
        <v>236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3834.94387970053</v>
      </c>
      <c r="F638" s="14" t="n">
        <f aca="false">$C639*F635</f>
        <v>2023.81695317033</v>
      </c>
      <c r="G638" s="14" t="n">
        <f aca="false">$C639*G635</f>
        <v>1525.16382667083</v>
      </c>
      <c r="I638" s="8" t="s">
        <v>565</v>
      </c>
    </row>
    <row r="639" customFormat="false" ht="17.15" hidden="false" customHeight="false" outlineLevel="0" collapsed="false">
      <c r="A639" s="4" t="s">
        <v>566</v>
      </c>
      <c r="B639" s="4" t="s">
        <v>567</v>
      </c>
      <c r="C639" s="18" t="n">
        <f aca="false">(C638+D638)/(C635+D635)</f>
        <v>12.7837187792776</v>
      </c>
      <c r="I639" s="4" t="s">
        <v>568</v>
      </c>
    </row>
    <row r="640" customFormat="false" ht="15" hidden="false" customHeight="false" outlineLevel="0" collapsed="false">
      <c r="A640" s="4" t="s">
        <v>467</v>
      </c>
      <c r="B640" s="4" t="s">
        <v>236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7563.74767170053</v>
      </c>
      <c r="F640" s="14" t="n">
        <f aca="false">F637+F638</f>
        <v>6200.07720021034</v>
      </c>
      <c r="G640" s="14" t="n">
        <f aca="false">G637+G638</f>
        <v>6202.57530335563</v>
      </c>
    </row>
    <row r="641" customFormat="false" ht="17.15" hidden="false" customHeight="false" outlineLevel="0" collapsed="false">
      <c r="A641" s="0" t="s">
        <v>569</v>
      </c>
      <c r="B641" s="0" t="s">
        <v>72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0.507016368889304</v>
      </c>
      <c r="F641" s="10" t="n">
        <f aca="false">F638/F640</f>
        <v>0.326418024779059</v>
      </c>
      <c r="G641" s="10" t="n">
        <f aca="false">G638/G640</f>
        <v>0.245892029048919</v>
      </c>
    </row>
    <row r="642" customFormat="false" ht="17.15" hidden="false" customHeight="false" outlineLevel="0" collapsed="false">
      <c r="A642" s="4" t="s">
        <v>570</v>
      </c>
      <c r="B642" s="4" t="s">
        <v>236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932.36640773026</v>
      </c>
      <c r="F642" s="14" t="n">
        <f aca="false">opex_fix+opex_var*F640</f>
        <v>836.989871459136</v>
      </c>
      <c r="G642" s="14" t="n">
        <f aca="false">opex_fix+opex_var*G640</f>
        <v>837.164591400814</v>
      </c>
      <c r="I642" s="4" t="s">
        <v>571</v>
      </c>
    </row>
    <row r="643" customFormat="false" ht="17.15" hidden="false" customHeight="false" outlineLevel="0" collapsed="false">
      <c r="A643" s="4" t="s">
        <v>537</v>
      </c>
      <c r="B643" s="0" t="s">
        <v>72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572</v>
      </c>
    </row>
    <row r="644" customFormat="false" ht="15" hidden="false" customHeight="false" outlineLevel="0" collapsed="false">
      <c r="A644" s="4" t="s">
        <v>472</v>
      </c>
      <c r="B644" s="4" t="s">
        <v>236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4502.45074557022</v>
      </c>
      <c r="F644" s="14" t="n">
        <f aca="false">F640*F643</f>
        <v>3690.70246977234</v>
      </c>
      <c r="G644" s="14" t="n">
        <f aca="false">G640*G643</f>
        <v>3692.1895085866</v>
      </c>
    </row>
    <row r="645" customFormat="false" ht="15" hidden="false" customHeight="false" outlineLevel="0" collapsed="false">
      <c r="A645" s="4" t="s">
        <v>475</v>
      </c>
      <c r="B645" s="4" t="s">
        <v>236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3570.08433783996</v>
      </c>
      <c r="F645" s="14" t="n">
        <f aca="false">F644-F642</f>
        <v>2853.71259831321</v>
      </c>
      <c r="G645" s="14" t="n">
        <f aca="false">G644-G642</f>
        <v>2855.02491718578</v>
      </c>
    </row>
    <row r="646" customFormat="false" ht="15" hidden="false" customHeight="false" outlineLevel="0" collapsed="false">
      <c r="A646" s="4" t="s">
        <v>478</v>
      </c>
      <c r="B646" s="0" t="s">
        <v>72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0.47199939670083</v>
      </c>
      <c r="F646" s="10" t="n">
        <f aca="false">F645/F640</f>
        <v>0.460270494408746</v>
      </c>
      <c r="G646" s="10" t="n">
        <f aca="false">G645/G640</f>
        <v>0.460296695735592</v>
      </c>
    </row>
    <row r="647" customFormat="false" ht="15" hidden="false" customHeight="false" outlineLevel="0" collapsed="false">
      <c r="A647" s="4" t="s">
        <v>538</v>
      </c>
      <c r="B647" s="4" t="s">
        <v>236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3039.09482595868</v>
      </c>
      <c r="F647" s="14" t="n">
        <f aca="false">F645*nioi</f>
        <v>2429.27123608348</v>
      </c>
      <c r="G647" s="14" t="n">
        <f aca="false">G645*nioi</f>
        <v>2430.38836977508</v>
      </c>
    </row>
    <row r="648" customFormat="false" ht="15" hidden="false" customHeight="false" outlineLevel="0" collapsed="false">
      <c r="A648" s="0" t="s">
        <v>539</v>
      </c>
      <c r="B648" s="0" t="s">
        <v>312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3169.32145938877</v>
      </c>
      <c r="F648" s="14" t="n">
        <f aca="false">F647*100/shares</f>
        <v>2533.36664372313</v>
      </c>
      <c r="G648" s="14" t="n">
        <f aca="false">G647*100/shares</f>
        <v>2534.53164711544</v>
      </c>
    </row>
    <row r="649" customFormat="false" ht="17.15" hidden="false" customHeight="false" outlineLevel="0" collapsed="false">
      <c r="A649" s="4" t="s">
        <v>573</v>
      </c>
      <c r="B649" s="4" t="s">
        <v>236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11621.0420596986</v>
      </c>
      <c r="F649" s="14" t="n">
        <f aca="false">$C639*F630</f>
        <v>6132.77864597071</v>
      </c>
      <c r="G649" s="14" t="n">
        <f aca="false">$C639*G630</f>
        <v>4621.70856566919</v>
      </c>
      <c r="I649" s="4" t="s">
        <v>574</v>
      </c>
    </row>
    <row r="650" customFormat="false" ht="15" hidden="false" customHeight="false" outlineLevel="0" collapsed="false">
      <c r="A650" s="4" t="s">
        <v>575</v>
      </c>
      <c r="B650" s="0" t="s">
        <v>343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818.383243640745</v>
      </c>
      <c r="F650" s="14" t="n">
        <f aca="false">F649/fx*100</f>
        <v>431.885820138782</v>
      </c>
      <c r="G650" s="14" t="n">
        <f aca="false">G649/fx*100</f>
        <v>325.472434202056</v>
      </c>
    </row>
    <row r="660" customFormat="false" ht="17.15" hidden="false" customHeight="false" outlineLevel="0" collapsed="false">
      <c r="A660" s="1" t="s">
        <v>899</v>
      </c>
    </row>
    <row r="661" customFormat="false" ht="15" hidden="false" customHeight="false" outlineLevel="0" collapsed="false">
      <c r="A661" s="5" t="s">
        <v>24</v>
      </c>
      <c r="B661" s="5" t="s">
        <v>25</v>
      </c>
      <c r="C661" s="13" t="s">
        <v>503</v>
      </c>
      <c r="D661" s="13" t="s">
        <v>504</v>
      </c>
      <c r="E661" s="13" t="s">
        <v>505</v>
      </c>
      <c r="F661" s="13" t="s">
        <v>506</v>
      </c>
      <c r="G661" s="13" t="s">
        <v>507</v>
      </c>
      <c r="H661" s="13" t="s">
        <v>508</v>
      </c>
      <c r="I661" s="5" t="s">
        <v>416</v>
      </c>
    </row>
    <row r="662" customFormat="false" ht="17.15" hidden="false" customHeight="false" outlineLevel="0" collapsed="false">
      <c r="A662" s="6" t="s">
        <v>542</v>
      </c>
    </row>
    <row r="663" customFormat="false" ht="17.15" hidden="false" customHeight="false" outlineLevel="0" collapsed="false">
      <c r="A663" s="0" t="s">
        <v>543</v>
      </c>
      <c r="B663" s="0" t="s">
        <v>35</v>
      </c>
      <c r="C663" s="20" t="n">
        <f aca="false">hsA_25</f>
        <v>2.22511470588235</v>
      </c>
      <c r="D663" s="20" t="n">
        <f aca="false">hsA_26</f>
        <v>3.782695</v>
      </c>
      <c r="E663" s="20" t="n">
        <f aca="false">hsA_27</f>
        <v>5.86317725</v>
      </c>
      <c r="F663" s="20" t="n">
        <f aca="false">hsA_28</f>
        <v>8.5016070125</v>
      </c>
      <c r="G663" s="20" t="n">
        <f aca="false">hsA_29</f>
        <v>11.477169466875</v>
      </c>
      <c r="H663" s="20" t="n">
        <f aca="false">G663*(1+g_tail)</f>
        <v>12.6248864135625</v>
      </c>
      <c r="I663" s="8" t="s">
        <v>544</v>
      </c>
    </row>
    <row r="664" customFormat="false" ht="17.15" hidden="false" customHeight="false" outlineLevel="0" collapsed="false">
      <c r="A664" s="0" t="s">
        <v>545</v>
      </c>
      <c r="B664" s="0" t="s">
        <v>546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547</v>
      </c>
      <c r="B665" s="4" t="s">
        <v>512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548</v>
      </c>
    </row>
    <row r="666" customFormat="false" ht="15" hidden="false" customHeight="false" outlineLevel="0" collapsed="false">
      <c r="A666" s="4" t="s">
        <v>549</v>
      </c>
      <c r="B666" s="4" t="s">
        <v>99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550</v>
      </c>
      <c r="B667" s="0" t="s">
        <v>119</v>
      </c>
      <c r="C667" s="18" t="n">
        <f aca="false">1+beta*(C666-$C666)/4</f>
        <v>1</v>
      </c>
      <c r="D667" s="18" t="n">
        <f aca="false">1+beta*(D666-$C666)/4</f>
        <v>1.05</v>
      </c>
      <c r="E667" s="18" t="n">
        <f aca="false">1+beta*(E666-$C666)/4</f>
        <v>1.0625</v>
      </c>
      <c r="F667" s="18" t="n">
        <f aca="false">1+beta*(F666-$C666)/4</f>
        <v>1.1</v>
      </c>
      <c r="G667" s="18" t="n">
        <f aca="false">1+beta*(G666-$C666)/4</f>
        <v>1.125</v>
      </c>
      <c r="H667" s="18" t="n">
        <f aca="false">1+beta*(H666-$C666)/4</f>
        <v>1.15</v>
      </c>
    </row>
    <row r="668" customFormat="false" ht="17.15" hidden="false" customHeight="false" outlineLevel="0" collapsed="false">
      <c r="A668" s="4" t="s">
        <v>551</v>
      </c>
      <c r="B668" s="0" t="s">
        <v>72</v>
      </c>
      <c r="C668" s="10" t="n">
        <f aca="false">hbp_25</f>
        <v>0</v>
      </c>
      <c r="D668" s="10" t="n">
        <f aca="false">hbp_26</f>
        <v>0</v>
      </c>
      <c r="E668" s="10" t="n">
        <f aca="false">hbp_27</f>
        <v>0</v>
      </c>
      <c r="F668" s="10" t="n">
        <f aca="false">hbp_28_hi</f>
        <v>0.15</v>
      </c>
      <c r="G668" s="10" t="n">
        <f aca="false">hbp_29_hi</f>
        <v>0.3</v>
      </c>
      <c r="H668" s="10" t="n">
        <f aca="false">hbp_30_hi</f>
        <v>0.4</v>
      </c>
      <c r="I668" s="4" t="s">
        <v>552</v>
      </c>
    </row>
    <row r="669" customFormat="false" ht="17.15" hidden="false" customHeight="false" outlineLevel="0" collapsed="false">
      <c r="A669" s="0" t="s">
        <v>553</v>
      </c>
      <c r="B669" s="4" t="s">
        <v>514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2271.143587625</v>
      </c>
      <c r="G669" s="14" t="n">
        <f aca="false">G665*G667*(1-G668)</f>
        <v>2410.20558804375</v>
      </c>
      <c r="H669" s="14" t="n">
        <f aca="false">H665*H667*(1-H668)</f>
        <v>2177.79290633953</v>
      </c>
    </row>
    <row r="670" customFormat="false" ht="17.15" hidden="false" customHeight="false" outlineLevel="0" collapsed="false">
      <c r="A670" s="4" t="s">
        <v>554</v>
      </c>
      <c r="B670" s="4" t="s">
        <v>514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MAX(0,hsA_28*8000/F664*F667*(1-hbp_28)-E669)+dlt*E669</f>
        <v>813.209798471154</v>
      </c>
      <c r="F670" s="14" t="n">
        <f aca="false">MAX(0,G669-F669)+dlt*F669</f>
        <v>366.17635918125</v>
      </c>
      <c r="G670" s="14" t="n">
        <f aca="false">MAX(0,H669-G669)+dlt*G669</f>
        <v>241.020558804375</v>
      </c>
      <c r="I670" s="4" t="s">
        <v>555</v>
      </c>
    </row>
    <row r="671" customFormat="false" ht="17.15" hidden="false" customHeight="false" outlineLevel="0" collapsed="false">
      <c r="A671" s="0" t="s">
        <v>556</v>
      </c>
      <c r="B671" s="0" t="s">
        <v>72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557</v>
      </c>
      <c r="B672" s="0" t="s">
        <v>72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558</v>
      </c>
      <c r="B673" s="0" t="s">
        <v>72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559</v>
      </c>
      <c r="B674" s="0" t="s">
        <v>72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560</v>
      </c>
      <c r="B675" s="4" t="s">
        <v>514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268.359233495481</v>
      </c>
      <c r="F675" s="14" t="n">
        <f aca="false">F670*F674</f>
        <v>120.838198529813</v>
      </c>
      <c r="G675" s="14" t="n">
        <f aca="false">G670*G674</f>
        <v>79.5367844054438</v>
      </c>
    </row>
    <row r="676" customFormat="false" ht="17.15" hidden="false" customHeight="false" outlineLevel="0" collapsed="false">
      <c r="A676" s="6" t="s">
        <v>561</v>
      </c>
    </row>
    <row r="677" customFormat="false" ht="17.15" hidden="false" customHeight="false" outlineLevel="0" collapsed="false">
      <c r="A677" s="4" t="s">
        <v>562</v>
      </c>
      <c r="B677" s="4" t="s">
        <v>236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  <c r="I677" s="8" t="s">
        <v>563</v>
      </c>
    </row>
    <row r="678" customFormat="false" ht="17.15" hidden="false" customHeight="false" outlineLevel="0" collapsed="false">
      <c r="A678" s="0" t="s">
        <v>564</v>
      </c>
      <c r="B678" s="4" t="s">
        <v>236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3159.20548337491</v>
      </c>
      <c r="F678" s="14" t="n">
        <f aca="false">$C679*F675</f>
        <v>1422.54356007825</v>
      </c>
      <c r="G678" s="14" t="n">
        <f aca="false">$C679*G675</f>
        <v>936.330910439561</v>
      </c>
      <c r="I678" s="8" t="s">
        <v>565</v>
      </c>
    </row>
    <row r="679" customFormat="false" ht="17.15" hidden="false" customHeight="false" outlineLevel="0" collapsed="false">
      <c r="A679" s="4" t="s">
        <v>566</v>
      </c>
      <c r="B679" s="4" t="s">
        <v>567</v>
      </c>
      <c r="C679" s="18" t="n">
        <f aca="false">(C678+D678)/(C675+D675)</f>
        <v>11.7723002939942</v>
      </c>
      <c r="I679" s="4" t="s">
        <v>568</v>
      </c>
    </row>
    <row r="680" customFormat="false" ht="15" hidden="false" customHeight="false" outlineLevel="0" collapsed="false">
      <c r="A680" s="4" t="s">
        <v>467</v>
      </c>
      <c r="B680" s="4" t="s">
        <v>236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6888.00927537491</v>
      </c>
      <c r="F680" s="14" t="n">
        <f aca="false">F677+F678</f>
        <v>5598.80380711825</v>
      </c>
      <c r="G680" s="14" t="n">
        <f aca="false">G677+G678</f>
        <v>5613.74238712436</v>
      </c>
    </row>
    <row r="681" customFormat="false" ht="17.15" hidden="false" customHeight="false" outlineLevel="0" collapsed="false">
      <c r="A681" s="0" t="s">
        <v>569</v>
      </c>
      <c r="B681" s="0" t="s">
        <v>72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0.45865290783932</v>
      </c>
      <c r="F681" s="10" t="n">
        <f aca="false">F678/F680</f>
        <v>0.254079908688646</v>
      </c>
      <c r="G681" s="10" t="n">
        <f aca="false">G678/G680</f>
        <v>0.166792639538844</v>
      </c>
    </row>
    <row r="682" customFormat="false" ht="17.15" hidden="false" customHeight="false" outlineLevel="0" collapsed="false">
      <c r="A682" s="4" t="s">
        <v>570</v>
      </c>
      <c r="B682" s="4" t="s">
        <v>236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885.104558908006</v>
      </c>
      <c r="F682" s="14" t="n">
        <f aca="false">opex_fix+opex_var*F680</f>
        <v>794.93618269484</v>
      </c>
      <c r="G682" s="14" t="n">
        <f aca="false">opex_fix+opex_var*G680</f>
        <v>795.981002574408</v>
      </c>
      <c r="I682" s="4" t="s">
        <v>571</v>
      </c>
    </row>
    <row r="683" customFormat="false" ht="17.15" hidden="false" customHeight="false" outlineLevel="0" collapsed="false">
      <c r="A683" s="4" t="s">
        <v>537</v>
      </c>
      <c r="B683" s="0" t="s">
        <v>72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572</v>
      </c>
    </row>
    <row r="684" customFormat="false" ht="15" hidden="false" customHeight="false" outlineLevel="0" collapsed="false">
      <c r="A684" s="4" t="s">
        <v>472</v>
      </c>
      <c r="B684" s="4" t="s">
        <v>236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4148.18770188874</v>
      </c>
      <c r="F684" s="14" t="n">
        <f aca="false">F680*F683</f>
        <v>3371.78539828717</v>
      </c>
      <c r="G684" s="14" t="n">
        <f aca="false">G680*G683</f>
        <v>3380.78190676846</v>
      </c>
    </row>
    <row r="685" customFormat="false" ht="15" hidden="false" customHeight="false" outlineLevel="0" collapsed="false">
      <c r="A685" s="4" t="s">
        <v>475</v>
      </c>
      <c r="B685" s="4" t="s">
        <v>236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3263.08314298073</v>
      </c>
      <c r="F685" s="14" t="n">
        <f aca="false">F684-F682</f>
        <v>2576.84921559233</v>
      </c>
      <c r="G685" s="14" t="n">
        <f aca="false">G684-G682</f>
        <v>2584.80090419405</v>
      </c>
    </row>
    <row r="686" customFormat="false" ht="15" hidden="false" customHeight="false" outlineLevel="0" collapsed="false">
      <c r="A686" s="4" t="s">
        <v>478</v>
      </c>
      <c r="B686" s="0" t="s">
        <v>72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0.473733848565865</v>
      </c>
      <c r="F686" s="10" t="n">
        <f aca="false">F685/F680</f>
        <v>0.460249957734929</v>
      </c>
      <c r="G686" s="10" t="n">
        <f aca="false">G685/G680</f>
        <v>0.460441667241897</v>
      </c>
    </row>
    <row r="687" customFormat="false" ht="15" hidden="false" customHeight="false" outlineLevel="0" collapsed="false">
      <c r="A687" s="4" t="s">
        <v>538</v>
      </c>
      <c r="B687" s="4" t="s">
        <v>236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2777.75485340657</v>
      </c>
      <c r="F687" s="14" t="n">
        <f aca="false">F685*nioi</f>
        <v>2193.58658712264</v>
      </c>
      <c r="G687" s="14" t="n">
        <f aca="false">G685*nioi</f>
        <v>2200.3555968715</v>
      </c>
    </row>
    <row r="688" customFormat="false" ht="15" hidden="false" customHeight="false" outlineLevel="0" collapsed="false">
      <c r="A688" s="0" t="s">
        <v>539</v>
      </c>
      <c r="B688" s="0" t="s">
        <v>312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2896.78294689132</v>
      </c>
      <c r="F688" s="14" t="n">
        <f aca="false">F687*100/shares</f>
        <v>2287.5827974213</v>
      </c>
      <c r="G688" s="14" t="n">
        <f aca="false">G687*100/shares</f>
        <v>2294.64186240099</v>
      </c>
    </row>
    <row r="689" customFormat="false" ht="17.15" hidden="false" customHeight="false" outlineLevel="0" collapsed="false">
      <c r="A689" s="4" t="s">
        <v>573</v>
      </c>
      <c r="B689" s="4" t="s">
        <v>236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9573.34994962095</v>
      </c>
      <c r="F689" s="14" t="n">
        <f aca="false">$C679*F670</f>
        <v>4310.73806084317</v>
      </c>
      <c r="G689" s="14" t="n">
        <f aca="false">$C679*G670</f>
        <v>2837.3663952714</v>
      </c>
      <c r="I689" s="4" t="s">
        <v>574</v>
      </c>
    </row>
    <row r="690" customFormat="false" ht="15" hidden="false" customHeight="false" outlineLevel="0" collapsed="false">
      <c r="A690" s="4" t="s">
        <v>575</v>
      </c>
      <c r="B690" s="0" t="s">
        <v>343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674.179573916968</v>
      </c>
      <c r="F690" s="14" t="n">
        <f aca="false">F689/fx*100</f>
        <v>303.573102876279</v>
      </c>
      <c r="G690" s="14" t="n">
        <f aca="false">G689/fx*100</f>
        <v>199.814534878267</v>
      </c>
    </row>
    <row r="700" customFormat="false" ht="17.15" hidden="false" customHeight="false" outlineLevel="0" collapsed="false">
      <c r="A700" s="1" t="s">
        <v>900</v>
      </c>
    </row>
    <row r="701" customFormat="false" ht="15" hidden="false" customHeight="false" outlineLevel="0" collapsed="false">
      <c r="A701" s="5" t="s">
        <v>24</v>
      </c>
      <c r="B701" s="5" t="s">
        <v>25</v>
      </c>
      <c r="C701" s="13" t="s">
        <v>503</v>
      </c>
      <c r="D701" s="13" t="s">
        <v>504</v>
      </c>
      <c r="E701" s="13" t="s">
        <v>505</v>
      </c>
      <c r="F701" s="13" t="s">
        <v>506</v>
      </c>
      <c r="G701" s="13" t="s">
        <v>507</v>
      </c>
      <c r="H701" s="13" t="s">
        <v>508</v>
      </c>
      <c r="I701" s="5" t="s">
        <v>416</v>
      </c>
    </row>
    <row r="702" customFormat="false" ht="17.15" hidden="false" customHeight="false" outlineLevel="0" collapsed="false">
      <c r="A702" s="6" t="s">
        <v>542</v>
      </c>
    </row>
    <row r="703" customFormat="false" ht="17.15" hidden="false" customHeight="false" outlineLevel="0" collapsed="false">
      <c r="A703" s="0" t="s">
        <v>543</v>
      </c>
      <c r="B703" s="0" t="s">
        <v>35</v>
      </c>
      <c r="C703" s="20" t="n">
        <f aca="false">hsA_25</f>
        <v>2.22511470588235</v>
      </c>
      <c r="D703" s="20" t="n">
        <f aca="false">hsA_26</f>
        <v>3.782695</v>
      </c>
      <c r="E703" s="20" t="n">
        <f aca="false">hsA_27</f>
        <v>5.86317725</v>
      </c>
      <c r="F703" s="20" t="n">
        <f aca="false">hsA_28</f>
        <v>8.5016070125</v>
      </c>
      <c r="G703" s="20" t="n">
        <f aca="false">hsA_29</f>
        <v>11.477169466875</v>
      </c>
      <c r="H703" s="20" t="n">
        <f aca="false">G703*(1+g_tail)</f>
        <v>12.6248864135625</v>
      </c>
      <c r="I703" s="8" t="s">
        <v>544</v>
      </c>
    </row>
    <row r="704" customFormat="false" ht="17.15" hidden="false" customHeight="false" outlineLevel="0" collapsed="false">
      <c r="A704" s="0" t="s">
        <v>545</v>
      </c>
      <c r="B704" s="0" t="s">
        <v>546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547</v>
      </c>
      <c r="B705" s="4" t="s">
        <v>512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548</v>
      </c>
    </row>
    <row r="706" customFormat="false" ht="15" hidden="false" customHeight="false" outlineLevel="0" collapsed="false">
      <c r="A706" s="4" t="s">
        <v>549</v>
      </c>
      <c r="B706" s="4" t="s">
        <v>99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550</v>
      </c>
      <c r="B707" s="0" t="s">
        <v>119</v>
      </c>
      <c r="C707" s="18" t="n">
        <f aca="false">1+beta*(C706-$C706)/4</f>
        <v>1</v>
      </c>
      <c r="D707" s="18" t="n">
        <f aca="false">1+beta*(D706-$C706)/4</f>
        <v>1.05</v>
      </c>
      <c r="E707" s="18" t="n">
        <f aca="false">1+beta*(E706-$C706)/4</f>
        <v>1.0625</v>
      </c>
      <c r="F707" s="18" t="n">
        <f aca="false">1+beta*(F706-$C706)/4</f>
        <v>1.1</v>
      </c>
      <c r="G707" s="18" t="n">
        <f aca="false">1+beta*(G706-$C706)/4</f>
        <v>1.125</v>
      </c>
      <c r="H707" s="18" t="n">
        <f aca="false">1+beta*(H706-$C706)/4</f>
        <v>1.15</v>
      </c>
    </row>
    <row r="708" customFormat="false" ht="17.15" hidden="false" customHeight="false" outlineLevel="0" collapsed="false">
      <c r="A708" s="4" t="s">
        <v>551</v>
      </c>
      <c r="B708" s="0" t="s">
        <v>72</v>
      </c>
      <c r="C708" s="10" t="n">
        <f aca="false">hbp_25</f>
        <v>0</v>
      </c>
      <c r="D708" s="10" t="n">
        <f aca="false">hbp_26</f>
        <v>0</v>
      </c>
      <c r="E708" s="10" t="n">
        <f aca="false">hbp_27</f>
        <v>0</v>
      </c>
      <c r="F708" s="10" t="n">
        <f aca="false">hbp_28_hi</f>
        <v>0.15</v>
      </c>
      <c r="G708" s="10" t="n">
        <f aca="false">hbp_29_hi</f>
        <v>0.3</v>
      </c>
      <c r="H708" s="10" t="n">
        <f aca="false">hbp_30_hi</f>
        <v>0.4</v>
      </c>
      <c r="I708" s="4" t="s">
        <v>552</v>
      </c>
    </row>
    <row r="709" customFormat="false" ht="17.15" hidden="false" customHeight="false" outlineLevel="0" collapsed="false">
      <c r="A709" s="0" t="s">
        <v>553</v>
      </c>
      <c r="B709" s="4" t="s">
        <v>514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2271.143587625</v>
      </c>
      <c r="G709" s="14" t="n">
        <f aca="false">G705*G707*(1-G708)</f>
        <v>2410.20558804375</v>
      </c>
      <c r="H709" s="14" t="n">
        <f aca="false">H705*H707*(1-H708)</f>
        <v>2177.79290633953</v>
      </c>
    </row>
    <row r="710" customFormat="false" ht="17.15" hidden="false" customHeight="false" outlineLevel="0" collapsed="false">
      <c r="A710" s="4" t="s">
        <v>554</v>
      </c>
      <c r="B710" s="4" t="s">
        <v>514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MAX(0,hsA_28*8000/F704*F707*(1-hbp_28)-E709)+dlt*E709</f>
        <v>813.209798471154</v>
      </c>
      <c r="F710" s="14" t="n">
        <f aca="false">MAX(0,G709-F709)+dlt*F709</f>
        <v>366.17635918125</v>
      </c>
      <c r="G710" s="14" t="n">
        <f aca="false">MAX(0,H709-G709)+dlt*G709</f>
        <v>241.020558804375</v>
      </c>
      <c r="I710" s="4" t="s">
        <v>555</v>
      </c>
    </row>
    <row r="711" customFormat="false" ht="17.15" hidden="false" customHeight="false" outlineLevel="0" collapsed="false">
      <c r="A711" s="0" t="s">
        <v>556</v>
      </c>
      <c r="B711" s="0" t="s">
        <v>72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557</v>
      </c>
      <c r="B712" s="0" t="s">
        <v>72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558</v>
      </c>
      <c r="B713" s="0" t="s">
        <v>72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559</v>
      </c>
      <c r="B714" s="0" t="s">
        <v>72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560</v>
      </c>
      <c r="B715" s="4" t="s">
        <v>514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268.359233495481</v>
      </c>
      <c r="F715" s="14" t="n">
        <f aca="false">F710*F714</f>
        <v>120.838198529813</v>
      </c>
      <c r="G715" s="14" t="n">
        <f aca="false">G710*G714</f>
        <v>79.5367844054438</v>
      </c>
    </row>
    <row r="716" customFormat="false" ht="17.15" hidden="false" customHeight="false" outlineLevel="0" collapsed="false">
      <c r="A716" s="6" t="s">
        <v>561</v>
      </c>
    </row>
    <row r="717" customFormat="false" ht="17.15" hidden="false" customHeight="false" outlineLevel="0" collapsed="false">
      <c r="A717" s="4" t="s">
        <v>562</v>
      </c>
      <c r="B717" s="4" t="s">
        <v>236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  <c r="I717" s="8" t="s">
        <v>563</v>
      </c>
    </row>
    <row r="718" customFormat="false" ht="17.15" hidden="false" customHeight="false" outlineLevel="0" collapsed="false">
      <c r="A718" s="0" t="s">
        <v>564</v>
      </c>
      <c r="B718" s="4" t="s">
        <v>236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4203.32060060937</v>
      </c>
      <c r="F718" s="14" t="n">
        <f aca="false">$C719*F715</f>
        <v>1892.69317327007</v>
      </c>
      <c r="G718" s="14" t="n">
        <f aca="false">$C719*G715</f>
        <v>1245.78759613747</v>
      </c>
      <c r="I718" s="8" t="s">
        <v>565</v>
      </c>
    </row>
    <row r="719" customFormat="false" ht="17.15" hidden="false" customHeight="false" outlineLevel="0" collapsed="false">
      <c r="A719" s="4" t="s">
        <v>566</v>
      </c>
      <c r="B719" s="4" t="s">
        <v>567</v>
      </c>
      <c r="C719" s="18" t="n">
        <f aca="false">(C718+D718)/(C715+D715)</f>
        <v>15.6630369891117</v>
      </c>
      <c r="I719" s="4" t="s">
        <v>568</v>
      </c>
    </row>
    <row r="720" customFormat="false" ht="15" hidden="false" customHeight="false" outlineLevel="0" collapsed="false">
      <c r="A720" s="4" t="s">
        <v>467</v>
      </c>
      <c r="B720" s="4" t="s">
        <v>236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7932.12439260937</v>
      </c>
      <c r="F720" s="14" t="n">
        <f aca="false">F717+F718</f>
        <v>6068.95342031007</v>
      </c>
      <c r="G720" s="14" t="n">
        <f aca="false">G717+G718</f>
        <v>5923.19907282227</v>
      </c>
    </row>
    <row r="721" customFormat="false" ht="17.15" hidden="false" customHeight="false" outlineLevel="0" collapsed="false">
      <c r="A721" s="0" t="s">
        <v>569</v>
      </c>
      <c r="B721" s="0" t="s">
        <v>72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0.529911079625245</v>
      </c>
      <c r="F721" s="10" t="n">
        <f aca="false">F718/F720</f>
        <v>0.311864837673012</v>
      </c>
      <c r="G721" s="10" t="n">
        <f aca="false">G718/G720</f>
        <v>0.210323438537391</v>
      </c>
    </row>
    <row r="722" customFormat="false" ht="17.15" hidden="false" customHeight="false" outlineLevel="0" collapsed="false">
      <c r="A722" s="4" t="s">
        <v>570</v>
      </c>
      <c r="B722" s="4" t="s">
        <v>236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958.131060128141</v>
      </c>
      <c r="F722" s="14" t="n">
        <f aca="false">opex_fix+opex_var*F720</f>
        <v>827.818937416693</v>
      </c>
      <c r="G722" s="14" t="n">
        <f aca="false">opex_fix+opex_var*G720</f>
        <v>817.624726204762</v>
      </c>
      <c r="I722" s="4" t="s">
        <v>571</v>
      </c>
    </row>
    <row r="723" customFormat="false" ht="17.15" hidden="false" customHeight="false" outlineLevel="0" collapsed="false">
      <c r="A723" s="4" t="s">
        <v>537</v>
      </c>
      <c r="B723" s="0" t="s">
        <v>72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572</v>
      </c>
    </row>
    <row r="724" customFormat="false" ht="15" hidden="false" customHeight="false" outlineLevel="0" collapsed="false">
      <c r="A724" s="4" t="s">
        <v>472</v>
      </c>
      <c r="B724" s="4" t="s">
        <v>236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4679.46903373996</v>
      </c>
      <c r="F724" s="14" t="n">
        <f aca="false">F720*F723</f>
        <v>3580.31193056074</v>
      </c>
      <c r="G724" s="14" t="n">
        <f aca="false">G720*G723</f>
        <v>3494.3257657147</v>
      </c>
    </row>
    <row r="725" customFormat="false" ht="15" hidden="false" customHeight="false" outlineLevel="0" collapsed="false">
      <c r="A725" s="4" t="s">
        <v>475</v>
      </c>
      <c r="B725" s="4" t="s">
        <v>236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3721.33797361182</v>
      </c>
      <c r="F725" s="14" t="n">
        <f aca="false">F724-F722</f>
        <v>2752.49299314405</v>
      </c>
      <c r="G725" s="14" t="n">
        <f aca="false">G724-G722</f>
        <v>2676.70103950994</v>
      </c>
    </row>
    <row r="726" customFormat="false" ht="15" hidden="false" customHeight="false" outlineLevel="0" collapsed="false">
      <c r="A726" s="4" t="s">
        <v>478</v>
      </c>
      <c r="B726" s="0" t="s">
        <v>72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0.469147707400947</v>
      </c>
      <c r="F726" s="10" t="n">
        <f aca="false">F725/F720</f>
        <v>0.45353668128885</v>
      </c>
      <c r="G726" s="10" t="n">
        <f aca="false">G725/G720</f>
        <v>0.451901245695353</v>
      </c>
    </row>
    <row r="727" customFormat="false" ht="15" hidden="false" customHeight="false" outlineLevel="0" collapsed="false">
      <c r="A727" s="4" t="s">
        <v>538</v>
      </c>
      <c r="B727" s="4" t="s">
        <v>236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3167.8520480247</v>
      </c>
      <c r="F727" s="14" t="n">
        <f aca="false">F725*nioi</f>
        <v>2343.10633093133</v>
      </c>
      <c r="G727" s="14" t="n">
        <f aca="false">G725*nioi</f>
        <v>2278.58714529268</v>
      </c>
    </row>
    <row r="728" customFormat="false" ht="15" hidden="false" customHeight="false" outlineLevel="0" collapsed="false">
      <c r="A728" s="0" t="s">
        <v>539</v>
      </c>
      <c r="B728" s="0" t="s">
        <v>312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3303.59598858725</v>
      </c>
      <c r="F728" s="14" t="n">
        <f aca="false">F727*100/shares</f>
        <v>2443.50953212123</v>
      </c>
      <c r="G728" s="14" t="n">
        <f aca="false">G727*100/shares</f>
        <v>2376.22566922882</v>
      </c>
    </row>
    <row r="729" customFormat="false" ht="17.15" hidden="false" customHeight="false" outlineLevel="0" collapsed="false">
      <c r="A729" s="4" t="s">
        <v>573</v>
      </c>
      <c r="B729" s="4" t="s">
        <v>236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12737.3351533617</v>
      </c>
      <c r="F729" s="14" t="n">
        <f aca="false">$C719*F710</f>
        <v>5735.43385839416</v>
      </c>
      <c r="G729" s="14" t="n">
        <f aca="false">$C719*G710</f>
        <v>3775.11392768929</v>
      </c>
      <c r="I729" s="4" t="s">
        <v>574</v>
      </c>
    </row>
    <row r="730" customFormat="false" ht="15" hidden="false" customHeight="false" outlineLevel="0" collapsed="false">
      <c r="A730" s="4" t="s">
        <v>575</v>
      </c>
      <c r="B730" s="0" t="s">
        <v>343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896.995433335332</v>
      </c>
      <c r="F730" s="14" t="n">
        <f aca="false">F729/fx*100</f>
        <v>403.903792844659</v>
      </c>
      <c r="G730" s="14" t="n">
        <f aca="false">G729/fx*100</f>
        <v>265.853093499246</v>
      </c>
    </row>
    <row r="740" customFormat="false" ht="17.15" hidden="false" customHeight="false" outlineLevel="0" collapsed="false">
      <c r="A740" s="1" t="s">
        <v>901</v>
      </c>
    </row>
    <row r="741" customFormat="false" ht="15" hidden="false" customHeight="false" outlineLevel="0" collapsed="false">
      <c r="A741" s="5" t="s">
        <v>24</v>
      </c>
      <c r="B741" s="5" t="s">
        <v>25</v>
      </c>
      <c r="C741" s="13" t="s">
        <v>503</v>
      </c>
      <c r="D741" s="13" t="s">
        <v>504</v>
      </c>
      <c r="E741" s="13" t="s">
        <v>505</v>
      </c>
      <c r="F741" s="13" t="s">
        <v>506</v>
      </c>
      <c r="G741" s="13" t="s">
        <v>507</v>
      </c>
      <c r="H741" s="13" t="s">
        <v>508</v>
      </c>
      <c r="I741" s="5" t="s">
        <v>416</v>
      </c>
    </row>
    <row r="742" customFormat="false" ht="17.15" hidden="false" customHeight="false" outlineLevel="0" collapsed="false">
      <c r="A742" s="6" t="s">
        <v>542</v>
      </c>
    </row>
    <row r="743" customFormat="false" ht="17.15" hidden="false" customHeight="false" outlineLevel="0" collapsed="false">
      <c r="A743" s="0" t="s">
        <v>543</v>
      </c>
      <c r="B743" s="0" t="s">
        <v>35</v>
      </c>
      <c r="C743" s="20" t="n">
        <f aca="false">hsA_25</f>
        <v>2.22511470588235</v>
      </c>
      <c r="D743" s="20" t="n">
        <f aca="false">hsA_26</f>
        <v>3.782695</v>
      </c>
      <c r="E743" s="20" t="n">
        <f aca="false">hsA_27</f>
        <v>5.86317725</v>
      </c>
      <c r="F743" s="20" t="n">
        <f aca="false">hsA_28</f>
        <v>8.5016070125</v>
      </c>
      <c r="G743" s="20" t="n">
        <f aca="false">hsA_29</f>
        <v>11.477169466875</v>
      </c>
      <c r="H743" s="20" t="n">
        <f aca="false">G743*(1+g_tail)</f>
        <v>12.6248864135625</v>
      </c>
      <c r="I743" s="8" t="s">
        <v>544</v>
      </c>
    </row>
    <row r="744" customFormat="false" ht="17.15" hidden="false" customHeight="false" outlineLevel="0" collapsed="false">
      <c r="A744" s="0" t="s">
        <v>545</v>
      </c>
      <c r="B744" s="0" t="s">
        <v>546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547</v>
      </c>
      <c r="B745" s="4" t="s">
        <v>512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548</v>
      </c>
    </row>
    <row r="746" customFormat="false" ht="15" hidden="false" customHeight="false" outlineLevel="0" collapsed="false">
      <c r="A746" s="4" t="s">
        <v>549</v>
      </c>
      <c r="B746" s="4" t="s">
        <v>99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550</v>
      </c>
      <c r="B747" s="0" t="s">
        <v>119</v>
      </c>
      <c r="C747" s="18" t="n">
        <f aca="false">1+beta*(C746-$C746)/4</f>
        <v>1</v>
      </c>
      <c r="D747" s="18" t="n">
        <f aca="false">1+beta*(D746-$C746)/4</f>
        <v>1.05</v>
      </c>
      <c r="E747" s="18" t="n">
        <f aca="false">1+beta*(E746-$C746)/4</f>
        <v>1.0625</v>
      </c>
      <c r="F747" s="18" t="n">
        <f aca="false">1+beta*(F746-$C746)/4</f>
        <v>1.1</v>
      </c>
      <c r="G747" s="18" t="n">
        <f aca="false">1+beta*(G746-$C746)/4</f>
        <v>1.125</v>
      </c>
      <c r="H747" s="18" t="n">
        <f aca="false">1+beta*(H746-$C746)/4</f>
        <v>1.15</v>
      </c>
    </row>
    <row r="748" customFormat="false" ht="17.15" hidden="false" customHeight="false" outlineLevel="0" collapsed="false">
      <c r="A748" s="4" t="s">
        <v>551</v>
      </c>
      <c r="B748" s="0" t="s">
        <v>72</v>
      </c>
      <c r="C748" s="10" t="n">
        <f aca="false">hbp_25</f>
        <v>0</v>
      </c>
      <c r="D748" s="10" t="n">
        <f aca="false">hbp_26</f>
        <v>0</v>
      </c>
      <c r="E748" s="10" t="n">
        <f aca="false">hbp_27</f>
        <v>0</v>
      </c>
      <c r="F748" s="10" t="n">
        <f aca="false">hbp_28_hi</f>
        <v>0.15</v>
      </c>
      <c r="G748" s="10" t="n">
        <f aca="false">hbp_29_hi</f>
        <v>0.3</v>
      </c>
      <c r="H748" s="10" t="n">
        <f aca="false">hbp_30_hi</f>
        <v>0.4</v>
      </c>
      <c r="I748" s="4" t="s">
        <v>552</v>
      </c>
    </row>
    <row r="749" customFormat="false" ht="17.15" hidden="false" customHeight="false" outlineLevel="0" collapsed="false">
      <c r="A749" s="0" t="s">
        <v>553</v>
      </c>
      <c r="B749" s="4" t="s">
        <v>514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2271.143587625</v>
      </c>
      <c r="G749" s="14" t="n">
        <f aca="false">G745*G747*(1-G748)</f>
        <v>2410.20558804375</v>
      </c>
      <c r="H749" s="14" t="n">
        <f aca="false">H745*H747*(1-H748)</f>
        <v>2177.79290633953</v>
      </c>
    </row>
    <row r="750" customFormat="false" ht="17.15" hidden="false" customHeight="false" outlineLevel="0" collapsed="false">
      <c r="A750" s="4" t="s">
        <v>554</v>
      </c>
      <c r="B750" s="4" t="s">
        <v>514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MAX(0,hsA_28*8000/F744*F747*(1-hbp_28)-E749)+dlt*E749</f>
        <v>813.209798471154</v>
      </c>
      <c r="F750" s="14" t="n">
        <f aca="false">MAX(0,G749-F749)+dlt*F749</f>
        <v>366.17635918125</v>
      </c>
      <c r="G750" s="14" t="n">
        <f aca="false">MAX(0,H749-G749)+dlt*G749</f>
        <v>241.020558804375</v>
      </c>
      <c r="I750" s="4" t="s">
        <v>555</v>
      </c>
    </row>
    <row r="751" customFormat="false" ht="17.15" hidden="false" customHeight="false" outlineLevel="0" collapsed="false">
      <c r="A751" s="0" t="s">
        <v>556</v>
      </c>
      <c r="B751" s="0" t="s">
        <v>72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557</v>
      </c>
      <c r="B752" s="0" t="s">
        <v>72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558</v>
      </c>
      <c r="B753" s="0" t="s">
        <v>72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559</v>
      </c>
      <c r="B754" s="0" t="s">
        <v>72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560</v>
      </c>
      <c r="B755" s="4" t="s">
        <v>514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268.359233495481</v>
      </c>
      <c r="F755" s="14" t="n">
        <f aca="false">F750*F754</f>
        <v>120.838198529813</v>
      </c>
      <c r="G755" s="14" t="n">
        <f aca="false">G750*G754</f>
        <v>79.5367844054438</v>
      </c>
    </row>
    <row r="756" customFormat="false" ht="17.15" hidden="false" customHeight="false" outlineLevel="0" collapsed="false">
      <c r="A756" s="6" t="s">
        <v>561</v>
      </c>
    </row>
    <row r="757" customFormat="false" ht="17.15" hidden="false" customHeight="false" outlineLevel="0" collapsed="false">
      <c r="A757" s="4" t="s">
        <v>562</v>
      </c>
      <c r="B757" s="4" t="s">
        <v>236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  <c r="I757" s="8" t="s">
        <v>563</v>
      </c>
    </row>
    <row r="758" customFormat="false" ht="17.15" hidden="false" customHeight="false" outlineLevel="0" collapsed="false">
      <c r="A758" s="0" t="s">
        <v>564</v>
      </c>
      <c r="B758" s="4" t="s">
        <v>236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3681.26304199214</v>
      </c>
      <c r="F758" s="14" t="n">
        <f aca="false">$C759*F755</f>
        <v>1657.61836667416</v>
      </c>
      <c r="G758" s="14" t="n">
        <f aca="false">$C759*G755</f>
        <v>1091.05925328851</v>
      </c>
      <c r="I758" s="8" t="s">
        <v>565</v>
      </c>
    </row>
    <row r="759" customFormat="false" ht="17.15" hidden="false" customHeight="false" outlineLevel="0" collapsed="false">
      <c r="A759" s="4" t="s">
        <v>566</v>
      </c>
      <c r="B759" s="4" t="s">
        <v>567</v>
      </c>
      <c r="C759" s="18" t="n">
        <f aca="false">(C758+D758)/(C755+D755)</f>
        <v>13.7176686415529</v>
      </c>
      <c r="I759" s="4" t="s">
        <v>568</v>
      </c>
    </row>
    <row r="760" customFormat="false" ht="15" hidden="false" customHeight="false" outlineLevel="0" collapsed="false">
      <c r="A760" s="4" t="s">
        <v>467</v>
      </c>
      <c r="B760" s="4" t="s">
        <v>236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7410.06683399214</v>
      </c>
      <c r="F760" s="14" t="n">
        <f aca="false">F757+F758</f>
        <v>5833.87861371416</v>
      </c>
      <c r="G760" s="14" t="n">
        <f aca="false">G757+G758</f>
        <v>5768.47072997331</v>
      </c>
    </row>
    <row r="761" customFormat="false" ht="17.15" hidden="false" customHeight="false" outlineLevel="0" collapsed="false">
      <c r="A761" s="0" t="s">
        <v>569</v>
      </c>
      <c r="B761" s="0" t="s">
        <v>72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0.496792151064699</v>
      </c>
      <c r="F761" s="10" t="n">
        <f aca="false">F758/F760</f>
        <v>0.284136588440059</v>
      </c>
      <c r="G761" s="10" t="n">
        <f aca="false">G758/G760</f>
        <v>0.189141854810722</v>
      </c>
    </row>
    <row r="762" customFormat="false" ht="17.15" hidden="false" customHeight="false" outlineLevel="0" collapsed="false">
      <c r="A762" s="4" t="s">
        <v>570</v>
      </c>
      <c r="B762" s="4" t="s">
        <v>236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921.617809518073</v>
      </c>
      <c r="F762" s="14" t="n">
        <f aca="false">opex_fix+opex_var*F760</f>
        <v>811.377560055767</v>
      </c>
      <c r="G762" s="14" t="n">
        <f aca="false">opex_fix+opex_var*G760</f>
        <v>806.802864389585</v>
      </c>
      <c r="I762" s="4" t="s">
        <v>571</v>
      </c>
    </row>
    <row r="763" customFormat="false" ht="17.15" hidden="false" customHeight="false" outlineLevel="0" collapsed="false">
      <c r="A763" s="4" t="s">
        <v>537</v>
      </c>
      <c r="B763" s="0" t="s">
        <v>72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572</v>
      </c>
    </row>
    <row r="764" customFormat="false" ht="15" hidden="false" customHeight="false" outlineLevel="0" collapsed="false">
      <c r="A764" s="4" t="s">
        <v>472</v>
      </c>
      <c r="B764" s="4" t="s">
        <v>236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4144.44776854994</v>
      </c>
      <c r="F764" s="14" t="n">
        <f aca="false">F760*F763</f>
        <v>3262.88625248107</v>
      </c>
      <c r="G764" s="14" t="n">
        <f aca="false">G760*G763</f>
        <v>3226.30364615803</v>
      </c>
    </row>
    <row r="765" customFormat="false" ht="15" hidden="false" customHeight="false" outlineLevel="0" collapsed="false">
      <c r="A765" s="4" t="s">
        <v>475</v>
      </c>
      <c r="B765" s="4" t="s">
        <v>236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3222.82995903186</v>
      </c>
      <c r="F765" s="14" t="n">
        <f aca="false">F764-F762</f>
        <v>2451.5086924253</v>
      </c>
      <c r="G765" s="14" t="n">
        <f aca="false">G764-G762</f>
        <v>2419.50078176844</v>
      </c>
    </row>
    <row r="766" customFormat="false" ht="15" hidden="false" customHeight="false" outlineLevel="0" collapsed="false">
      <c r="A766" s="4" t="s">
        <v>478</v>
      </c>
      <c r="B766" s="0" t="s">
        <v>72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0.434925896248034</v>
      </c>
      <c r="F766" s="10" t="n">
        <f aca="false">F765/F760</f>
        <v>0.42021935229546</v>
      </c>
      <c r="G766" s="10" t="n">
        <f aca="false">G765/G760</f>
        <v>0.419435391982935</v>
      </c>
    </row>
    <row r="767" customFormat="false" ht="15" hidden="false" customHeight="false" outlineLevel="0" collapsed="false">
      <c r="A767" s="4" t="s">
        <v>538</v>
      </c>
      <c r="B767" s="4" t="s">
        <v>236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2743.48864804813</v>
      </c>
      <c r="F767" s="14" t="n">
        <f aca="false">F765*nioi</f>
        <v>2086.88834153711</v>
      </c>
      <c r="G767" s="14" t="n">
        <f aca="false">G765*nioi</f>
        <v>2059.64106487309</v>
      </c>
    </row>
    <row r="768" customFormat="false" ht="15" hidden="false" customHeight="false" outlineLevel="0" collapsed="false">
      <c r="A768" s="0" t="s">
        <v>539</v>
      </c>
      <c r="B768" s="0" t="s">
        <v>312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2861.04841862103</v>
      </c>
      <c r="F768" s="14" t="n">
        <f aca="false">F767*100/shares</f>
        <v>2176.31248215344</v>
      </c>
      <c r="G768" s="14" t="n">
        <f aca="false">G767*100/shares</f>
        <v>2147.897646952</v>
      </c>
    </row>
    <row r="769" customFormat="false" ht="17.15" hidden="false" customHeight="false" outlineLevel="0" collapsed="false">
      <c r="A769" s="4" t="s">
        <v>573</v>
      </c>
      <c r="B769" s="4" t="s">
        <v>236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11155.3425514913</v>
      </c>
      <c r="F769" s="14" t="n">
        <f aca="false">$C759*F750</f>
        <v>5023.08595961866</v>
      </c>
      <c r="G769" s="14" t="n">
        <f aca="false">$C759*G750</f>
        <v>3306.24016148034</v>
      </c>
      <c r="I769" s="4" t="s">
        <v>574</v>
      </c>
    </row>
    <row r="770" customFormat="false" ht="15" hidden="false" customHeight="false" outlineLevel="0" collapsed="false">
      <c r="A770" s="4" t="s">
        <v>575</v>
      </c>
      <c r="B770" s="0" t="s">
        <v>343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785.58750362615</v>
      </c>
      <c r="F770" s="14" t="n">
        <f aca="false">F769/fx*100</f>
        <v>353.738447860469</v>
      </c>
      <c r="G770" s="14" t="n">
        <f aca="false">G769/fx*100</f>
        <v>232.833814188756</v>
      </c>
    </row>
    <row r="780" customFormat="false" ht="17.15" hidden="false" customHeight="false" outlineLevel="0" collapsed="false">
      <c r="A780" s="1" t="s">
        <v>902</v>
      </c>
    </row>
    <row r="781" customFormat="false" ht="15" hidden="false" customHeight="false" outlineLevel="0" collapsed="false">
      <c r="A781" s="5" t="s">
        <v>24</v>
      </c>
      <c r="B781" s="5" t="s">
        <v>25</v>
      </c>
      <c r="C781" s="13" t="s">
        <v>503</v>
      </c>
      <c r="D781" s="13" t="s">
        <v>504</v>
      </c>
      <c r="E781" s="13" t="s">
        <v>505</v>
      </c>
      <c r="F781" s="13" t="s">
        <v>506</v>
      </c>
      <c r="G781" s="13" t="s">
        <v>507</v>
      </c>
      <c r="H781" s="13" t="s">
        <v>508</v>
      </c>
      <c r="I781" s="5" t="s">
        <v>416</v>
      </c>
    </row>
    <row r="782" customFormat="false" ht="17.15" hidden="false" customHeight="false" outlineLevel="0" collapsed="false">
      <c r="A782" s="6" t="s">
        <v>542</v>
      </c>
    </row>
    <row r="783" customFormat="false" ht="17.15" hidden="false" customHeight="false" outlineLevel="0" collapsed="false">
      <c r="A783" s="0" t="s">
        <v>543</v>
      </c>
      <c r="B783" s="0" t="s">
        <v>35</v>
      </c>
      <c r="C783" s="20" t="n">
        <f aca="false">hsA_25</f>
        <v>2.22511470588235</v>
      </c>
      <c r="D783" s="20" t="n">
        <f aca="false">hsA_26</f>
        <v>3.782695</v>
      </c>
      <c r="E783" s="20" t="n">
        <f aca="false">hsA_27</f>
        <v>5.86317725</v>
      </c>
      <c r="F783" s="20" t="n">
        <f aca="false">hsA_28</f>
        <v>8.5016070125</v>
      </c>
      <c r="G783" s="20" t="n">
        <f aca="false">hsA_29</f>
        <v>11.477169466875</v>
      </c>
      <c r="H783" s="20" t="n">
        <f aca="false">G783*(1+g_tail)</f>
        <v>12.6248864135625</v>
      </c>
      <c r="I783" s="8" t="s">
        <v>544</v>
      </c>
    </row>
    <row r="784" customFormat="false" ht="17.15" hidden="false" customHeight="false" outlineLevel="0" collapsed="false">
      <c r="A784" s="0" t="s">
        <v>545</v>
      </c>
      <c r="B784" s="0" t="s">
        <v>546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547</v>
      </c>
      <c r="B785" s="4" t="s">
        <v>512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548</v>
      </c>
    </row>
    <row r="786" customFormat="false" ht="15" hidden="false" customHeight="false" outlineLevel="0" collapsed="false">
      <c r="A786" s="4" t="s">
        <v>549</v>
      </c>
      <c r="B786" s="4" t="s">
        <v>99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550</v>
      </c>
      <c r="B787" s="0" t="s">
        <v>119</v>
      </c>
      <c r="C787" s="18" t="n">
        <f aca="false">1+beta*(C786-$C786)/4</f>
        <v>1</v>
      </c>
      <c r="D787" s="18" t="n">
        <f aca="false">1+beta*(D786-$C786)/4</f>
        <v>1.05</v>
      </c>
      <c r="E787" s="18" t="n">
        <f aca="false">1+beta*(E786-$C786)/4</f>
        <v>1.0625</v>
      </c>
      <c r="F787" s="18" t="n">
        <f aca="false">1+beta*(F786-$C786)/4</f>
        <v>1.1</v>
      </c>
      <c r="G787" s="18" t="n">
        <f aca="false">1+beta*(G786-$C786)/4</f>
        <v>1.125</v>
      </c>
      <c r="H787" s="18" t="n">
        <f aca="false">1+beta*(H786-$C786)/4</f>
        <v>1.15</v>
      </c>
    </row>
    <row r="788" customFormat="false" ht="17.15" hidden="false" customHeight="false" outlineLevel="0" collapsed="false">
      <c r="A788" s="4" t="s">
        <v>551</v>
      </c>
      <c r="B788" s="0" t="s">
        <v>72</v>
      </c>
      <c r="C788" s="10" t="n">
        <f aca="false">hbp_25</f>
        <v>0</v>
      </c>
      <c r="D788" s="10" t="n">
        <f aca="false">hbp_26</f>
        <v>0</v>
      </c>
      <c r="E788" s="10" t="n">
        <f aca="false">hbp_27</f>
        <v>0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4" t="s">
        <v>552</v>
      </c>
    </row>
    <row r="789" customFormat="false" ht="17.15" hidden="false" customHeight="false" outlineLevel="0" collapsed="false">
      <c r="A789" s="0" t="s">
        <v>553</v>
      </c>
      <c r="B789" s="4" t="s">
        <v>514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2271.143587625</v>
      </c>
      <c r="G789" s="14" t="n">
        <f aca="false">G785*G787*(1-G788)</f>
        <v>2410.20558804375</v>
      </c>
      <c r="H789" s="14" t="n">
        <f aca="false">H785*H787*(1-H788)</f>
        <v>2177.79290633953</v>
      </c>
    </row>
    <row r="790" customFormat="false" ht="17.15" hidden="false" customHeight="false" outlineLevel="0" collapsed="false">
      <c r="A790" s="4" t="s">
        <v>554</v>
      </c>
      <c r="B790" s="4" t="s">
        <v>514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MAX(0,hsA_28*8000/F784*F787*(1-hbp_28)-E789)+dlt*E789</f>
        <v>813.209798471154</v>
      </c>
      <c r="F790" s="14" t="n">
        <f aca="false">MAX(0,G789-F789)+dlt*F789</f>
        <v>366.17635918125</v>
      </c>
      <c r="G790" s="14" t="n">
        <f aca="false">MAX(0,H789-G789)+dlt*G789</f>
        <v>241.020558804375</v>
      </c>
      <c r="I790" s="4" t="s">
        <v>555</v>
      </c>
    </row>
    <row r="791" customFormat="false" ht="17.15" hidden="false" customHeight="false" outlineLevel="0" collapsed="false">
      <c r="A791" s="0" t="s">
        <v>556</v>
      </c>
      <c r="B791" s="0" t="s">
        <v>72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557</v>
      </c>
      <c r="B792" s="0" t="s">
        <v>72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558</v>
      </c>
      <c r="B793" s="0" t="s">
        <v>72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559</v>
      </c>
      <c r="B794" s="0" t="s">
        <v>72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560</v>
      </c>
      <c r="B795" s="4" t="s">
        <v>514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268.359233495481</v>
      </c>
      <c r="F795" s="14" t="n">
        <f aca="false">F790*F794</f>
        <v>120.838198529813</v>
      </c>
      <c r="G795" s="14" t="n">
        <f aca="false">G790*G794</f>
        <v>79.5367844054438</v>
      </c>
    </row>
    <row r="796" customFormat="false" ht="17.15" hidden="false" customHeight="false" outlineLevel="0" collapsed="false">
      <c r="A796" s="6" t="s">
        <v>561</v>
      </c>
    </row>
    <row r="797" customFormat="false" ht="17.15" hidden="false" customHeight="false" outlineLevel="0" collapsed="false">
      <c r="A797" s="4" t="s">
        <v>562</v>
      </c>
      <c r="B797" s="4" t="s">
        <v>236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  <c r="I797" s="8" t="s">
        <v>563</v>
      </c>
    </row>
    <row r="798" customFormat="false" ht="17.15" hidden="false" customHeight="false" outlineLevel="0" collapsed="false">
      <c r="A798" s="0" t="s">
        <v>564</v>
      </c>
      <c r="B798" s="4" t="s">
        <v>236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3681.26304199214</v>
      </c>
      <c r="F798" s="14" t="n">
        <f aca="false">$C799*F795</f>
        <v>1657.61836667416</v>
      </c>
      <c r="G798" s="14" t="n">
        <f aca="false">$C799*G795</f>
        <v>1091.05925328851</v>
      </c>
      <c r="I798" s="8" t="s">
        <v>565</v>
      </c>
    </row>
    <row r="799" customFormat="false" ht="17.15" hidden="false" customHeight="false" outlineLevel="0" collapsed="false">
      <c r="A799" s="4" t="s">
        <v>566</v>
      </c>
      <c r="B799" s="4" t="s">
        <v>567</v>
      </c>
      <c r="C799" s="18" t="n">
        <f aca="false">(C798+D798)/(C795+D795)</f>
        <v>13.7176686415529</v>
      </c>
      <c r="I799" s="4" t="s">
        <v>568</v>
      </c>
    </row>
    <row r="800" customFormat="false" ht="15" hidden="false" customHeight="false" outlineLevel="0" collapsed="false">
      <c r="A800" s="4" t="s">
        <v>467</v>
      </c>
      <c r="B800" s="4" t="s">
        <v>236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7410.06683399214</v>
      </c>
      <c r="F800" s="14" t="n">
        <f aca="false">F797+F798</f>
        <v>5833.87861371416</v>
      </c>
      <c r="G800" s="14" t="n">
        <f aca="false">G797+G798</f>
        <v>5768.47072997331</v>
      </c>
    </row>
    <row r="801" customFormat="false" ht="17.15" hidden="false" customHeight="false" outlineLevel="0" collapsed="false">
      <c r="A801" s="0" t="s">
        <v>569</v>
      </c>
      <c r="B801" s="0" t="s">
        <v>72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0.496792151064699</v>
      </c>
      <c r="F801" s="10" t="n">
        <f aca="false">F798/F800</f>
        <v>0.284136588440059</v>
      </c>
      <c r="G801" s="10" t="n">
        <f aca="false">G798/G800</f>
        <v>0.189141854810722</v>
      </c>
    </row>
    <row r="802" customFormat="false" ht="17.15" hidden="false" customHeight="false" outlineLevel="0" collapsed="false">
      <c r="A802" s="4" t="s">
        <v>570</v>
      </c>
      <c r="B802" s="4" t="s">
        <v>236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921.617809518073</v>
      </c>
      <c r="F802" s="14" t="n">
        <f aca="false">opex_fix+opex_var*F800</f>
        <v>811.377560055767</v>
      </c>
      <c r="G802" s="14" t="n">
        <f aca="false">opex_fix+opex_var*G800</f>
        <v>806.802864389585</v>
      </c>
      <c r="I802" s="4" t="s">
        <v>571</v>
      </c>
    </row>
    <row r="803" customFormat="false" ht="17.15" hidden="false" customHeight="false" outlineLevel="0" collapsed="false">
      <c r="A803" s="4" t="s">
        <v>537</v>
      </c>
      <c r="B803" s="0" t="s">
        <v>72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572</v>
      </c>
    </row>
    <row r="804" customFormat="false" ht="15" hidden="false" customHeight="false" outlineLevel="0" collapsed="false">
      <c r="A804" s="4" t="s">
        <v>472</v>
      </c>
      <c r="B804" s="4" t="s">
        <v>236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4588.65079881967</v>
      </c>
      <c r="F804" s="14" t="n">
        <f aca="false">F800*F803</f>
        <v>3612.60328155697</v>
      </c>
      <c r="G804" s="14" t="n">
        <f aca="false">G800*G803</f>
        <v>3572.09974161591</v>
      </c>
    </row>
    <row r="805" customFormat="false" ht="15" hidden="false" customHeight="false" outlineLevel="0" collapsed="false">
      <c r="A805" s="4" t="s">
        <v>475</v>
      </c>
      <c r="B805" s="4" t="s">
        <v>236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3667.0329893016</v>
      </c>
      <c r="F805" s="14" t="n">
        <f aca="false">F804-F802</f>
        <v>2801.22572150121</v>
      </c>
      <c r="G805" s="14" t="n">
        <f aca="false">G804-G802</f>
        <v>2765.29687722633</v>
      </c>
    </row>
    <row r="806" customFormat="false" ht="15" hidden="false" customHeight="false" outlineLevel="0" collapsed="false">
      <c r="A806" s="4" t="s">
        <v>478</v>
      </c>
      <c r="B806" s="0" t="s">
        <v>72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0.494871783406845</v>
      </c>
      <c r="F806" s="10" t="n">
        <f aca="false">F805/F800</f>
        <v>0.48016523945427</v>
      </c>
      <c r="G806" s="10" t="n">
        <f aca="false">G805/G800</f>
        <v>0.479381279141746</v>
      </c>
    </row>
    <row r="807" customFormat="false" ht="15" hidden="false" customHeight="false" outlineLevel="0" collapsed="false">
      <c r="A807" s="4" t="s">
        <v>538</v>
      </c>
      <c r="B807" s="4" t="s">
        <v>236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3121.62400935018</v>
      </c>
      <c r="F807" s="14" t="n">
        <f aca="false">F805*nioi</f>
        <v>2384.59089224416</v>
      </c>
      <c r="G807" s="14" t="n">
        <f aca="false">G805*nioi</f>
        <v>2354.00585435552</v>
      </c>
    </row>
    <row r="808" customFormat="false" ht="15" hidden="false" customHeight="false" outlineLevel="0" collapsed="false">
      <c r="A808" s="0" t="s">
        <v>539</v>
      </c>
      <c r="B808" s="0" t="s">
        <v>312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3255.38705685365</v>
      </c>
      <c r="F808" s="14" t="n">
        <f aca="false">F807*100/shares</f>
        <v>2486.77172627163</v>
      </c>
      <c r="G808" s="14" t="n">
        <f aca="false">G807*100/shares</f>
        <v>2454.87610521739</v>
      </c>
    </row>
    <row r="809" customFormat="false" ht="17.15" hidden="false" customHeight="false" outlineLevel="0" collapsed="false">
      <c r="A809" s="4" t="s">
        <v>573</v>
      </c>
      <c r="B809" s="4" t="s">
        <v>236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11155.3425514913</v>
      </c>
      <c r="F809" s="14" t="n">
        <f aca="false">$C799*F790</f>
        <v>5023.08595961866</v>
      </c>
      <c r="G809" s="14" t="n">
        <f aca="false">$C799*G790</f>
        <v>3306.24016148034</v>
      </c>
      <c r="I809" s="4" t="s">
        <v>574</v>
      </c>
    </row>
    <row r="810" customFormat="false" ht="15" hidden="false" customHeight="false" outlineLevel="0" collapsed="false">
      <c r="A810" s="4" t="s">
        <v>575</v>
      </c>
      <c r="B810" s="0" t="s">
        <v>343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785.58750362615</v>
      </c>
      <c r="F810" s="14" t="n">
        <f aca="false">F809/fx*100</f>
        <v>353.738447860469</v>
      </c>
      <c r="G810" s="14" t="n">
        <f aca="false">G809/fx*100</f>
        <v>232.833814188756</v>
      </c>
    </row>
    <row r="820" customFormat="false" ht="17.15" hidden="false" customHeight="false" outlineLevel="0" collapsed="false">
      <c r="A820" s="1" t="s">
        <v>903</v>
      </c>
    </row>
    <row r="821" customFormat="false" ht="15" hidden="false" customHeight="false" outlineLevel="0" collapsed="false">
      <c r="A821" s="5" t="s">
        <v>24</v>
      </c>
      <c r="B821" s="5" t="s">
        <v>25</v>
      </c>
      <c r="C821" s="13" t="s">
        <v>503</v>
      </c>
      <c r="D821" s="13" t="s">
        <v>504</v>
      </c>
      <c r="E821" s="13" t="s">
        <v>505</v>
      </c>
      <c r="F821" s="13" t="s">
        <v>506</v>
      </c>
      <c r="G821" s="13" t="s">
        <v>507</v>
      </c>
      <c r="H821" s="13" t="s">
        <v>508</v>
      </c>
      <c r="I821" s="5" t="s">
        <v>416</v>
      </c>
    </row>
    <row r="822" customFormat="false" ht="17.15" hidden="false" customHeight="false" outlineLevel="0" collapsed="false">
      <c r="A822" s="6" t="s">
        <v>542</v>
      </c>
    </row>
    <row r="823" customFormat="false" ht="17.15" hidden="false" customHeight="false" outlineLevel="0" collapsed="false">
      <c r="A823" s="0" t="s">
        <v>543</v>
      </c>
      <c r="B823" s="0" t="s">
        <v>35</v>
      </c>
      <c r="C823" s="20" t="n">
        <f aca="false">hsA_25</f>
        <v>2.22511470588235</v>
      </c>
      <c r="D823" s="20" t="n">
        <f aca="false">hsA_26</f>
        <v>3.782695</v>
      </c>
      <c r="E823" s="20" t="n">
        <f aca="false">hsA_27</f>
        <v>5.86317725</v>
      </c>
      <c r="F823" s="20" t="n">
        <f aca="false">hsA_28</f>
        <v>8.5016070125</v>
      </c>
      <c r="G823" s="20" t="n">
        <f aca="false">hsA_29</f>
        <v>11.477169466875</v>
      </c>
      <c r="H823" s="20" t="n">
        <f aca="false">G823*(1+g_tail)</f>
        <v>12.6248864135625</v>
      </c>
      <c r="I823" s="8" t="s">
        <v>544</v>
      </c>
    </row>
    <row r="824" customFormat="false" ht="17.15" hidden="false" customHeight="false" outlineLevel="0" collapsed="false">
      <c r="A824" s="0" t="s">
        <v>545</v>
      </c>
      <c r="B824" s="0" t="s">
        <v>546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547</v>
      </c>
      <c r="B825" s="4" t="s">
        <v>512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548</v>
      </c>
    </row>
    <row r="826" customFormat="false" ht="15" hidden="false" customHeight="false" outlineLevel="0" collapsed="false">
      <c r="A826" s="4" t="s">
        <v>549</v>
      </c>
      <c r="B826" s="4" t="s">
        <v>99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550</v>
      </c>
      <c r="B827" s="0" t="s">
        <v>119</v>
      </c>
      <c r="C827" s="18" t="n">
        <f aca="false">1+beta*(C826-$C826)/4</f>
        <v>1</v>
      </c>
      <c r="D827" s="18" t="n">
        <f aca="false">1+beta*(D826-$C826)/4</f>
        <v>1.05</v>
      </c>
      <c r="E827" s="18" t="n">
        <f aca="false">1+beta*(E826-$C826)/4</f>
        <v>1.0625</v>
      </c>
      <c r="F827" s="18" t="n">
        <f aca="false">1+beta*(F826-$C826)/4</f>
        <v>1.1</v>
      </c>
      <c r="G827" s="18" t="n">
        <f aca="false">1+beta*(G826-$C826)/4</f>
        <v>1.125</v>
      </c>
      <c r="H827" s="18" t="n">
        <f aca="false">1+beta*(H826-$C826)/4</f>
        <v>1.15</v>
      </c>
    </row>
    <row r="828" customFormat="false" ht="17.15" hidden="false" customHeight="false" outlineLevel="0" collapsed="false">
      <c r="A828" s="4" t="s">
        <v>551</v>
      </c>
      <c r="B828" s="0" t="s">
        <v>72</v>
      </c>
      <c r="C828" s="10" t="n">
        <f aca="false">hbp_25</f>
        <v>0</v>
      </c>
      <c r="D828" s="10" t="n">
        <f aca="false">hbp_26</f>
        <v>0</v>
      </c>
      <c r="E828" s="10" t="n">
        <f aca="false">hbp_27</f>
        <v>0</v>
      </c>
      <c r="F828" s="10" t="n">
        <f aca="false">hbp_28_hi</f>
        <v>0.15</v>
      </c>
      <c r="G828" s="10" t="n">
        <f aca="false">hbp_29_hi</f>
        <v>0.3</v>
      </c>
      <c r="H828" s="10" t="n">
        <f aca="false">hbp_30_hi</f>
        <v>0.4</v>
      </c>
      <c r="I828" s="4" t="s">
        <v>552</v>
      </c>
    </row>
    <row r="829" customFormat="false" ht="17.15" hidden="false" customHeight="false" outlineLevel="0" collapsed="false">
      <c r="A829" s="0" t="s">
        <v>553</v>
      </c>
      <c r="B829" s="4" t="s">
        <v>514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2271.143587625</v>
      </c>
      <c r="G829" s="14" t="n">
        <f aca="false">G825*G827*(1-G828)</f>
        <v>2410.20558804375</v>
      </c>
      <c r="H829" s="14" t="n">
        <f aca="false">H825*H827*(1-H828)</f>
        <v>2177.79290633953</v>
      </c>
    </row>
    <row r="830" customFormat="false" ht="17.15" hidden="false" customHeight="false" outlineLevel="0" collapsed="false">
      <c r="A830" s="4" t="s">
        <v>554</v>
      </c>
      <c r="B830" s="4" t="s">
        <v>514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MAX(0,hsA_28*8000/F824*F827*(1-hbp_28)-E829)+dlt*E829</f>
        <v>813.209798471154</v>
      </c>
      <c r="F830" s="14" t="n">
        <f aca="false">MAX(0,G829-F829)+dlt*F829</f>
        <v>366.17635918125</v>
      </c>
      <c r="G830" s="14" t="n">
        <f aca="false">MAX(0,H829-G829)+dlt*G829</f>
        <v>241.020558804375</v>
      </c>
      <c r="I830" s="4" t="s">
        <v>555</v>
      </c>
    </row>
    <row r="831" customFormat="false" ht="17.15" hidden="false" customHeight="false" outlineLevel="0" collapsed="false">
      <c r="A831" s="0" t="s">
        <v>556</v>
      </c>
      <c r="B831" s="0" t="s">
        <v>72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557</v>
      </c>
      <c r="B832" s="0" t="s">
        <v>72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558</v>
      </c>
      <c r="B833" s="0" t="s">
        <v>72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559</v>
      </c>
      <c r="B834" s="0" t="s">
        <v>72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560</v>
      </c>
      <c r="B835" s="4" t="s">
        <v>514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268.359233495481</v>
      </c>
      <c r="F835" s="14" t="n">
        <f aca="false">F830*F834</f>
        <v>120.838198529813</v>
      </c>
      <c r="G835" s="14" t="n">
        <f aca="false">G830*G834</f>
        <v>79.5367844054438</v>
      </c>
    </row>
    <row r="836" customFormat="false" ht="17.15" hidden="false" customHeight="false" outlineLevel="0" collapsed="false">
      <c r="A836" s="6" t="s">
        <v>561</v>
      </c>
    </row>
    <row r="837" customFormat="false" ht="17.15" hidden="false" customHeight="false" outlineLevel="0" collapsed="false">
      <c r="A837" s="4" t="s">
        <v>562</v>
      </c>
      <c r="B837" s="4" t="s">
        <v>236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  <c r="I837" s="8" t="s">
        <v>563</v>
      </c>
    </row>
    <row r="838" customFormat="false" ht="17.15" hidden="false" customHeight="false" outlineLevel="0" collapsed="false">
      <c r="A838" s="0" t="s">
        <v>564</v>
      </c>
      <c r="B838" s="4" t="s">
        <v>236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3146.3561571949</v>
      </c>
      <c r="F838" s="14" t="n">
        <f aca="false">$C839*F835</f>
        <v>1416.75769831493</v>
      </c>
      <c r="G838" s="14" t="n">
        <f aca="false">$C839*G835</f>
        <v>932.522604413256</v>
      </c>
      <c r="I838" s="8" t="s">
        <v>565</v>
      </c>
    </row>
    <row r="839" customFormat="false" ht="17.15" hidden="false" customHeight="false" outlineLevel="0" collapsed="false">
      <c r="A839" s="4" t="s">
        <v>566</v>
      </c>
      <c r="B839" s="4" t="s">
        <v>567</v>
      </c>
      <c r="C839" s="18" t="n">
        <f aca="false">(C838+D838)/(C835+D835)</f>
        <v>11.7244192279595</v>
      </c>
      <c r="I839" s="4" t="s">
        <v>568</v>
      </c>
    </row>
    <row r="840" customFormat="false" ht="15" hidden="false" customHeight="false" outlineLevel="0" collapsed="false">
      <c r="A840" s="4" t="s">
        <v>467</v>
      </c>
      <c r="B840" s="4" t="s">
        <v>236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7491.6753171949</v>
      </c>
      <c r="F840" s="14" t="n">
        <f aca="false">F837+F838</f>
        <v>6283.51515751493</v>
      </c>
      <c r="G840" s="14" t="n">
        <f aca="false">G837+G838</f>
        <v>6383.29095871726</v>
      </c>
    </row>
    <row r="841" customFormat="false" ht="17.15" hidden="false" customHeight="false" outlineLevel="0" collapsed="false">
      <c r="A841" s="0" t="s">
        <v>569</v>
      </c>
      <c r="B841" s="0" t="s">
        <v>72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0.419980314679866</v>
      </c>
      <c r="F841" s="10" t="n">
        <f aca="false">F838/F840</f>
        <v>0.225472154168439</v>
      </c>
      <c r="G841" s="10" t="n">
        <f aca="false">G838/G840</f>
        <v>0.146088061854641</v>
      </c>
    </row>
    <row r="842" customFormat="false" ht="17.15" hidden="false" customHeight="false" outlineLevel="0" collapsed="false">
      <c r="A842" s="4" t="s">
        <v>570</v>
      </c>
      <c r="B842" s="4" t="s">
        <v>236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927.325592021946</v>
      </c>
      <c r="F842" s="14" t="n">
        <f aca="false">opex_fix+opex_var*F840</f>
        <v>842.825609291424</v>
      </c>
      <c r="G842" s="14" t="n">
        <f aca="false">opex_fix+opex_var*G840</f>
        <v>849.804032980511</v>
      </c>
      <c r="I842" s="4" t="s">
        <v>571</v>
      </c>
    </row>
    <row r="843" customFormat="false" ht="17.15" hidden="false" customHeight="false" outlineLevel="0" collapsed="false">
      <c r="A843" s="4" t="s">
        <v>537</v>
      </c>
      <c r="B843" s="0" t="s">
        <v>72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572</v>
      </c>
    </row>
    <row r="844" customFormat="false" ht="15" hidden="false" customHeight="false" outlineLevel="0" collapsed="false">
      <c r="A844" s="4" t="s">
        <v>472</v>
      </c>
      <c r="B844" s="4" t="s">
        <v>236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4459.54843835907</v>
      </c>
      <c r="F844" s="14" t="n">
        <f aca="false">F840*F843</f>
        <v>3740.37034730883</v>
      </c>
      <c r="G844" s="14" t="n">
        <f aca="false">G840*G843</f>
        <v>3799.76360710702</v>
      </c>
    </row>
    <row r="845" customFormat="false" ht="15" hidden="false" customHeight="false" outlineLevel="0" collapsed="false">
      <c r="A845" s="4" t="s">
        <v>475</v>
      </c>
      <c r="B845" s="4" t="s">
        <v>236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3532.22284633713</v>
      </c>
      <c r="F845" s="14" t="n">
        <f aca="false">F844-F842</f>
        <v>2897.5447380174</v>
      </c>
      <c r="G845" s="14" t="n">
        <f aca="false">G844-G842</f>
        <v>2949.95957412651</v>
      </c>
    </row>
    <row r="846" customFormat="false" ht="15" hidden="false" customHeight="false" outlineLevel="0" collapsed="false">
      <c r="A846" s="4" t="s">
        <v>478</v>
      </c>
      <c r="B846" s="0" t="s">
        <v>72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0.471486376115362</v>
      </c>
      <c r="F846" s="10" t="n">
        <f aca="false">F845/F840</f>
        <v>0.461134359571332</v>
      </c>
      <c r="G846" s="10" t="n">
        <f aca="false">G845/G840</f>
        <v>0.462137726950694</v>
      </c>
    </row>
    <row r="847" customFormat="false" ht="15" hidden="false" customHeight="false" outlineLevel="0" collapsed="false">
      <c r="A847" s="4" t="s">
        <v>538</v>
      </c>
      <c r="B847" s="4" t="s">
        <v>236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3006.86458934781</v>
      </c>
      <c r="F847" s="14" t="n">
        <f aca="false">F845*nioi</f>
        <v>2466.58408821244</v>
      </c>
      <c r="G847" s="14" t="n">
        <f aca="false">G845*nioi</f>
        <v>2511.20310618192</v>
      </c>
    </row>
    <row r="848" customFormat="false" ht="15" hidden="false" customHeight="false" outlineLevel="0" collapsed="false">
      <c r="A848" s="0" t="s">
        <v>539</v>
      </c>
      <c r="B848" s="0" t="s">
        <v>312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3135.71014207827</v>
      </c>
      <c r="F848" s="14" t="n">
        <f aca="false">F847*100/shares</f>
        <v>2572.27836900173</v>
      </c>
      <c r="G848" s="14" t="n">
        <f aca="false">G847*100/shares</f>
        <v>2618.80933274121</v>
      </c>
    </row>
    <row r="849" customFormat="false" ht="17.15" hidden="false" customHeight="false" outlineLevel="0" collapsed="false">
      <c r="A849" s="4" t="s">
        <v>573</v>
      </c>
      <c r="B849" s="4" t="s">
        <v>236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9534.41259756029</v>
      </c>
      <c r="F849" s="14" t="n">
        <f aca="false">$C839*F830</f>
        <v>4293.20514640887</v>
      </c>
      <c r="G849" s="14" t="n">
        <f aca="false">$C839*G830</f>
        <v>2825.82607397956</v>
      </c>
      <c r="I849" s="4" t="s">
        <v>574</v>
      </c>
    </row>
    <row r="850" customFormat="false" ht="15" hidden="false" customHeight="false" outlineLevel="0" collapsed="false">
      <c r="A850" s="4" t="s">
        <v>575</v>
      </c>
      <c r="B850" s="0" t="s">
        <v>343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671.437506870443</v>
      </c>
      <c r="F850" s="14" t="n">
        <f aca="false">F849/fx*100</f>
        <v>302.338390592174</v>
      </c>
      <c r="G850" s="14" t="n">
        <f aca="false">G849/fx*100</f>
        <v>199.001836195744</v>
      </c>
    </row>
    <row r="860" customFormat="false" ht="17.15" hidden="false" customHeight="false" outlineLevel="0" collapsed="false">
      <c r="A860" s="1" t="s">
        <v>904</v>
      </c>
    </row>
    <row r="861" customFormat="false" ht="15" hidden="false" customHeight="false" outlineLevel="0" collapsed="false">
      <c r="A861" s="5" t="s">
        <v>24</v>
      </c>
      <c r="B861" s="5" t="s">
        <v>25</v>
      </c>
      <c r="C861" s="13" t="s">
        <v>503</v>
      </c>
      <c r="D861" s="13" t="s">
        <v>504</v>
      </c>
      <c r="E861" s="13" t="s">
        <v>505</v>
      </c>
      <c r="F861" s="13" t="s">
        <v>506</v>
      </c>
      <c r="G861" s="13" t="s">
        <v>507</v>
      </c>
      <c r="H861" s="13" t="s">
        <v>508</v>
      </c>
      <c r="I861" s="5" t="s">
        <v>416</v>
      </c>
    </row>
    <row r="862" customFormat="false" ht="17.15" hidden="false" customHeight="false" outlineLevel="0" collapsed="false">
      <c r="A862" s="6" t="s">
        <v>542</v>
      </c>
    </row>
    <row r="863" customFormat="false" ht="17.15" hidden="false" customHeight="false" outlineLevel="0" collapsed="false">
      <c r="A863" s="0" t="s">
        <v>543</v>
      </c>
      <c r="B863" s="0" t="s">
        <v>35</v>
      </c>
      <c r="C863" s="20" t="n">
        <f aca="false">hsA_25</f>
        <v>2.22511470588235</v>
      </c>
      <c r="D863" s="20" t="n">
        <f aca="false">hsA_26</f>
        <v>3.782695</v>
      </c>
      <c r="E863" s="20" t="n">
        <f aca="false">hsA_27</f>
        <v>5.86317725</v>
      </c>
      <c r="F863" s="20" t="n">
        <f aca="false">hsA_28</f>
        <v>8.5016070125</v>
      </c>
      <c r="G863" s="20" t="n">
        <f aca="false">hsA_29</f>
        <v>11.477169466875</v>
      </c>
      <c r="H863" s="20" t="n">
        <f aca="false">G863*(1+g_tail)</f>
        <v>12.6248864135625</v>
      </c>
      <c r="I863" s="8" t="s">
        <v>544</v>
      </c>
    </row>
    <row r="864" customFormat="false" ht="17.15" hidden="false" customHeight="false" outlineLevel="0" collapsed="false">
      <c r="A864" s="0" t="s">
        <v>545</v>
      </c>
      <c r="B864" s="0" t="s">
        <v>546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547</v>
      </c>
      <c r="B865" s="4" t="s">
        <v>512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548</v>
      </c>
    </row>
    <row r="866" customFormat="false" ht="15" hidden="false" customHeight="false" outlineLevel="0" collapsed="false">
      <c r="A866" s="4" t="s">
        <v>549</v>
      </c>
      <c r="B866" s="4" t="s">
        <v>99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550</v>
      </c>
      <c r="B867" s="0" t="s">
        <v>119</v>
      </c>
      <c r="C867" s="18" t="n">
        <f aca="false">1+beta*(C866-$C866)/4</f>
        <v>1</v>
      </c>
      <c r="D867" s="18" t="n">
        <f aca="false">1+beta*(D866-$C866)/4</f>
        <v>1.05</v>
      </c>
      <c r="E867" s="18" t="n">
        <f aca="false">1+beta*(E866-$C866)/4</f>
        <v>1.0625</v>
      </c>
      <c r="F867" s="18" t="n">
        <f aca="false">1+beta*(F866-$C866)/4</f>
        <v>1.1</v>
      </c>
      <c r="G867" s="18" t="n">
        <f aca="false">1+beta*(G866-$C866)/4</f>
        <v>1.125</v>
      </c>
      <c r="H867" s="18" t="n">
        <f aca="false">1+beta*(H866-$C866)/4</f>
        <v>1.15</v>
      </c>
    </row>
    <row r="868" customFormat="false" ht="17.15" hidden="false" customHeight="false" outlineLevel="0" collapsed="false">
      <c r="A868" s="4" t="s">
        <v>551</v>
      </c>
      <c r="B868" s="0" t="s">
        <v>72</v>
      </c>
      <c r="C868" s="10" t="n">
        <f aca="false">hbp_25</f>
        <v>0</v>
      </c>
      <c r="D868" s="10" t="n">
        <f aca="false">hbp_26</f>
        <v>0</v>
      </c>
      <c r="E868" s="10" t="n">
        <f aca="false">hbp_27</f>
        <v>0</v>
      </c>
      <c r="F868" s="10" t="n">
        <f aca="false">hbp_28_hi</f>
        <v>0.15</v>
      </c>
      <c r="G868" s="10" t="n">
        <f aca="false">hbp_29_hi</f>
        <v>0.3</v>
      </c>
      <c r="H868" s="10" t="n">
        <f aca="false">hbp_30_hi</f>
        <v>0.4</v>
      </c>
      <c r="I868" s="4" t="s">
        <v>552</v>
      </c>
    </row>
    <row r="869" customFormat="false" ht="17.15" hidden="false" customHeight="false" outlineLevel="0" collapsed="false">
      <c r="A869" s="0" t="s">
        <v>553</v>
      </c>
      <c r="B869" s="4" t="s">
        <v>514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2271.143587625</v>
      </c>
      <c r="G869" s="14" t="n">
        <f aca="false">G865*G867*(1-G868)</f>
        <v>2410.20558804375</v>
      </c>
      <c r="H869" s="14" t="n">
        <f aca="false">H865*H867*(1-H868)</f>
        <v>2177.79290633953</v>
      </c>
    </row>
    <row r="870" customFormat="false" ht="17.15" hidden="false" customHeight="false" outlineLevel="0" collapsed="false">
      <c r="A870" s="4" t="s">
        <v>554</v>
      </c>
      <c r="B870" s="4" t="s">
        <v>514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MAX(0,hsA_28*8000/F864*F867*(1-hbp_28)-E869)+dlt*E869</f>
        <v>813.209798471154</v>
      </c>
      <c r="F870" s="14" t="n">
        <f aca="false">MAX(0,G869-F869)+dlt*F869</f>
        <v>366.17635918125</v>
      </c>
      <c r="G870" s="14" t="n">
        <f aca="false">MAX(0,H869-G869)+dlt*G869</f>
        <v>241.020558804375</v>
      </c>
      <c r="I870" s="4" t="s">
        <v>555</v>
      </c>
    </row>
    <row r="871" customFormat="false" ht="17.15" hidden="false" customHeight="false" outlineLevel="0" collapsed="false">
      <c r="A871" s="0" t="s">
        <v>556</v>
      </c>
      <c r="B871" s="0" t="s">
        <v>72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557</v>
      </c>
      <c r="B872" s="0" t="s">
        <v>72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558</v>
      </c>
      <c r="B873" s="0" t="s">
        <v>72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559</v>
      </c>
      <c r="B874" s="0" t="s">
        <v>72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560</v>
      </c>
      <c r="B875" s="4" t="s">
        <v>514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268.359233495481</v>
      </c>
      <c r="F875" s="14" t="n">
        <f aca="false">F870*F874</f>
        <v>120.838198529813</v>
      </c>
      <c r="G875" s="14" t="n">
        <f aca="false">G870*G874</f>
        <v>79.5367844054438</v>
      </c>
    </row>
    <row r="876" customFormat="false" ht="17.15" hidden="false" customHeight="false" outlineLevel="0" collapsed="false">
      <c r="A876" s="6" t="s">
        <v>561</v>
      </c>
    </row>
    <row r="877" customFormat="false" ht="17.15" hidden="false" customHeight="false" outlineLevel="0" collapsed="false">
      <c r="A877" s="4" t="s">
        <v>562</v>
      </c>
      <c r="B877" s="4" t="s">
        <v>236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  <c r="I877" s="8" t="s">
        <v>563</v>
      </c>
    </row>
    <row r="878" customFormat="false" ht="17.15" hidden="false" customHeight="false" outlineLevel="0" collapsed="false">
      <c r="A878" s="0" t="s">
        <v>564</v>
      </c>
      <c r="B878" s="4" t="s">
        <v>236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4216.16992678939</v>
      </c>
      <c r="F878" s="14" t="n">
        <f aca="false">$C879*F875</f>
        <v>1898.47903503339</v>
      </c>
      <c r="G878" s="14" t="n">
        <f aca="false">$C879*G875</f>
        <v>1249.59590216377</v>
      </c>
      <c r="I878" s="8" t="s">
        <v>565</v>
      </c>
    </row>
    <row r="879" customFormat="false" ht="17.15" hidden="false" customHeight="false" outlineLevel="0" collapsed="false">
      <c r="A879" s="4" t="s">
        <v>566</v>
      </c>
      <c r="B879" s="4" t="s">
        <v>567</v>
      </c>
      <c r="C879" s="18" t="n">
        <f aca="false">(C878+D878)/(C875+D875)</f>
        <v>15.7109180551464</v>
      </c>
      <c r="I879" s="4" t="s">
        <v>568</v>
      </c>
    </row>
    <row r="880" customFormat="false" ht="15" hidden="false" customHeight="false" outlineLevel="0" collapsed="false">
      <c r="A880" s="4" t="s">
        <v>467</v>
      </c>
      <c r="B880" s="4" t="s">
        <v>236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7328.45835078939</v>
      </c>
      <c r="F880" s="14" t="n">
        <f aca="false">F877+F878</f>
        <v>5384.24206991339</v>
      </c>
      <c r="G880" s="14" t="n">
        <f aca="false">G877+G878</f>
        <v>5153.65050122937</v>
      </c>
    </row>
    <row r="881" customFormat="false" ht="17.15" hidden="false" customHeight="false" outlineLevel="0" collapsed="false">
      <c r="A881" s="0" t="s">
        <v>569</v>
      </c>
      <c r="B881" s="0" t="s">
        <v>72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0.575314714906613</v>
      </c>
      <c r="F881" s="10" t="n">
        <f aca="false">F878/F880</f>
        <v>0.352599123587311</v>
      </c>
      <c r="G881" s="10" t="n">
        <f aca="false">G878/G880</f>
        <v>0.242468111073051</v>
      </c>
    </row>
    <row r="882" customFormat="false" ht="17.15" hidden="false" customHeight="false" outlineLevel="0" collapsed="false">
      <c r="A882" s="4" t="s">
        <v>570</v>
      </c>
      <c r="B882" s="4" t="s">
        <v>236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915.910027014201</v>
      </c>
      <c r="F882" s="14" t="n">
        <f aca="false">opex_fix+opex_var*F880</f>
        <v>779.929510820109</v>
      </c>
      <c r="G882" s="14" t="n">
        <f aca="false">opex_fix+opex_var*G880</f>
        <v>763.801695798659</v>
      </c>
      <c r="I882" s="4" t="s">
        <v>571</v>
      </c>
    </row>
    <row r="883" customFormat="false" ht="17.15" hidden="false" customHeight="false" outlineLevel="0" collapsed="false">
      <c r="A883" s="4" t="s">
        <v>537</v>
      </c>
      <c r="B883" s="0" t="s">
        <v>72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572</v>
      </c>
    </row>
    <row r="884" customFormat="false" ht="15" hidden="false" customHeight="false" outlineLevel="0" collapsed="false">
      <c r="A884" s="4" t="s">
        <v>472</v>
      </c>
      <c r="B884" s="4" t="s">
        <v>236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4362.39073506449</v>
      </c>
      <c r="F884" s="14" t="n">
        <f aca="false">F880*F883</f>
        <v>3205.06259254439</v>
      </c>
      <c r="G884" s="14" t="n">
        <f aca="false">G880*G883</f>
        <v>3067.79899975849</v>
      </c>
    </row>
    <row r="885" customFormat="false" ht="15" hidden="false" customHeight="false" outlineLevel="0" collapsed="false">
      <c r="A885" s="4" t="s">
        <v>475</v>
      </c>
      <c r="B885" s="4" t="s">
        <v>236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3446.48070805028</v>
      </c>
      <c r="F885" s="14" t="n">
        <f aca="false">F884-F882</f>
        <v>2425.13308172428</v>
      </c>
      <c r="G885" s="14" t="n">
        <f aca="false">G884-G882</f>
        <v>2303.99730395983</v>
      </c>
    </row>
    <row r="886" customFormat="false" ht="15" hidden="false" customHeight="false" outlineLevel="0" collapsed="false">
      <c r="A886" s="4" t="s">
        <v>478</v>
      </c>
      <c r="B886" s="0" t="s">
        <v>72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0.47028727504183</v>
      </c>
      <c r="F886" s="10" t="n">
        <f aca="false">F885/F880</f>
        <v>0.4504130851166</v>
      </c>
      <c r="G886" s="10" t="n">
        <f aca="false">G885/G880</f>
        <v>0.447061224545636</v>
      </c>
    </row>
    <row r="887" customFormat="false" ht="15" hidden="false" customHeight="false" outlineLevel="0" collapsed="false">
      <c r="A887" s="4" t="s">
        <v>538</v>
      </c>
      <c r="B887" s="4" t="s">
        <v>236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2933.87514031092</v>
      </c>
      <c r="F887" s="14" t="n">
        <f aca="false">F885*nioi</f>
        <v>2064.43565571024</v>
      </c>
      <c r="G887" s="14" t="n">
        <f aca="false">G885*nioi</f>
        <v>1961.31677094317</v>
      </c>
    </row>
    <row r="888" customFormat="false" ht="15" hidden="false" customHeight="false" outlineLevel="0" collapsed="false">
      <c r="A888" s="0" t="s">
        <v>539</v>
      </c>
      <c r="B888" s="0" t="s">
        <v>312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3059.59306104293</v>
      </c>
      <c r="F888" s="14" t="n">
        <f aca="false">F887*100/shares</f>
        <v>2152.89768824698</v>
      </c>
      <c r="G888" s="14" t="n">
        <f aca="false">G887*100/shares</f>
        <v>2045.36011108125</v>
      </c>
    </row>
    <row r="889" customFormat="false" ht="17.15" hidden="false" customHeight="false" outlineLevel="0" collapsed="false">
      <c r="A889" s="4" t="s">
        <v>573</v>
      </c>
      <c r="B889" s="4" t="s">
        <v>236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12776.2725054224</v>
      </c>
      <c r="F889" s="14" t="n">
        <f aca="false">$C879*F870</f>
        <v>5752.96677282846</v>
      </c>
      <c r="G889" s="14" t="n">
        <f aca="false">$C879*G870</f>
        <v>3786.65424898112</v>
      </c>
      <c r="I889" s="4" t="s">
        <v>574</v>
      </c>
    </row>
    <row r="890" customFormat="false" ht="15" hidden="false" customHeight="false" outlineLevel="0" collapsed="false">
      <c r="A890" s="4" t="s">
        <v>575</v>
      </c>
      <c r="B890" s="0" t="s">
        <v>343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899.737500381857</v>
      </c>
      <c r="F890" s="14" t="n">
        <f aca="false">F889/fx*100</f>
        <v>405.138505128765</v>
      </c>
      <c r="G890" s="14" t="n">
        <f aca="false">G889/fx*100</f>
        <v>266.665792181769</v>
      </c>
    </row>
    <row r="900" customFormat="false" ht="17.15" hidden="false" customHeight="false" outlineLevel="0" collapsed="false">
      <c r="A900" s="1" t="s">
        <v>905</v>
      </c>
    </row>
    <row r="901" customFormat="false" ht="15" hidden="false" customHeight="false" outlineLevel="0" collapsed="false">
      <c r="A901" s="5" t="s">
        <v>24</v>
      </c>
      <c r="B901" s="5" t="s">
        <v>25</v>
      </c>
      <c r="C901" s="13" t="s">
        <v>503</v>
      </c>
      <c r="D901" s="13" t="s">
        <v>504</v>
      </c>
      <c r="E901" s="13" t="s">
        <v>505</v>
      </c>
      <c r="F901" s="13" t="s">
        <v>506</v>
      </c>
      <c r="G901" s="13" t="s">
        <v>507</v>
      </c>
      <c r="H901" s="13" t="s">
        <v>508</v>
      </c>
      <c r="I901" s="5" t="s">
        <v>416</v>
      </c>
    </row>
    <row r="902" customFormat="false" ht="17.15" hidden="false" customHeight="false" outlineLevel="0" collapsed="false">
      <c r="A902" s="6" t="s">
        <v>542</v>
      </c>
    </row>
    <row r="903" customFormat="false" ht="17.15" hidden="false" customHeight="false" outlineLevel="0" collapsed="false">
      <c r="A903" s="0" t="s">
        <v>543</v>
      </c>
      <c r="B903" s="0" t="s">
        <v>35</v>
      </c>
      <c r="C903" s="20" t="n">
        <f aca="false">hsA_25</f>
        <v>2.22511470588235</v>
      </c>
      <c r="D903" s="20" t="n">
        <f aca="false">hsA_26</f>
        <v>3.782695</v>
      </c>
      <c r="E903" s="20" t="n">
        <f aca="false">hsA_27</f>
        <v>5.86317725</v>
      </c>
      <c r="F903" s="20" t="n">
        <f aca="false">hsA_28</f>
        <v>8.5016070125</v>
      </c>
      <c r="G903" s="20" t="n">
        <f aca="false">hsA_29</f>
        <v>11.477169466875</v>
      </c>
      <c r="H903" s="20" t="n">
        <f aca="false">G903*(1+g_tail)</f>
        <v>12.6248864135625</v>
      </c>
      <c r="I903" s="8" t="s">
        <v>544</v>
      </c>
    </row>
    <row r="904" customFormat="false" ht="17.15" hidden="false" customHeight="false" outlineLevel="0" collapsed="false">
      <c r="A904" s="0" t="s">
        <v>545</v>
      </c>
      <c r="B904" s="0" t="s">
        <v>546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547</v>
      </c>
      <c r="B905" s="4" t="s">
        <v>512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548</v>
      </c>
    </row>
    <row r="906" customFormat="false" ht="15" hidden="false" customHeight="false" outlineLevel="0" collapsed="false">
      <c r="A906" s="4" t="s">
        <v>549</v>
      </c>
      <c r="B906" s="4" t="s">
        <v>99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550</v>
      </c>
      <c r="B907" s="0" t="s">
        <v>119</v>
      </c>
      <c r="C907" s="18" t="n">
        <f aca="false">1+beta*(C906-$C906)/4</f>
        <v>1</v>
      </c>
      <c r="D907" s="18" t="n">
        <f aca="false">1+beta*(D906-$C906)/4</f>
        <v>1.05</v>
      </c>
      <c r="E907" s="18" t="n">
        <f aca="false">1+beta*(E906-$C906)/4</f>
        <v>1.0625</v>
      </c>
      <c r="F907" s="18" t="n">
        <f aca="false">1+beta*(F906-$C906)/4</f>
        <v>1.1</v>
      </c>
      <c r="G907" s="18" t="n">
        <f aca="false">1+beta*(G906-$C906)/4</f>
        <v>1.125</v>
      </c>
      <c r="H907" s="18" t="n">
        <f aca="false">1+beta*(H906-$C906)/4</f>
        <v>1.15</v>
      </c>
    </row>
    <row r="908" customFormat="false" ht="17.15" hidden="false" customHeight="false" outlineLevel="0" collapsed="false">
      <c r="A908" s="4" t="s">
        <v>551</v>
      </c>
      <c r="B908" s="0" t="s">
        <v>72</v>
      </c>
      <c r="C908" s="10" t="n">
        <f aca="false">hbp_25</f>
        <v>0</v>
      </c>
      <c r="D908" s="10" t="n">
        <f aca="false">hbp_26</f>
        <v>0</v>
      </c>
      <c r="E908" s="10" t="n">
        <f aca="false">hbp_27</f>
        <v>0</v>
      </c>
      <c r="F908" s="10" t="n">
        <f aca="false">hbp_28_hi</f>
        <v>0.15</v>
      </c>
      <c r="G908" s="10" t="n">
        <f aca="false">hbp_29_hi</f>
        <v>0.3</v>
      </c>
      <c r="H908" s="10" t="n">
        <f aca="false">hbp_30_hi</f>
        <v>0.4</v>
      </c>
      <c r="I908" s="4" t="s">
        <v>552</v>
      </c>
    </row>
    <row r="909" customFormat="false" ht="17.15" hidden="false" customHeight="false" outlineLevel="0" collapsed="false">
      <c r="A909" s="0" t="s">
        <v>553</v>
      </c>
      <c r="B909" s="4" t="s">
        <v>514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2271.143587625</v>
      </c>
      <c r="G909" s="14" t="n">
        <f aca="false">G905*G907*(1-G908)</f>
        <v>2410.20558804375</v>
      </c>
      <c r="H909" s="14" t="n">
        <f aca="false">H905*H907*(1-H908)</f>
        <v>2177.79290633953</v>
      </c>
    </row>
    <row r="910" customFormat="false" ht="17.15" hidden="false" customHeight="false" outlineLevel="0" collapsed="false">
      <c r="A910" s="4" t="s">
        <v>554</v>
      </c>
      <c r="B910" s="4" t="s">
        <v>514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MAX(0,hsA_28*8000/F904*F907*(1-hbp_28)-E909)+dlt*E909</f>
        <v>813.209798471154</v>
      </c>
      <c r="F910" s="14" t="n">
        <f aca="false">MAX(0,G909-F909)+dlt*F909</f>
        <v>366.17635918125</v>
      </c>
      <c r="G910" s="14" t="n">
        <f aca="false">MAX(0,H909-G909)+dlt*G909</f>
        <v>241.020558804375</v>
      </c>
      <c r="I910" s="4" t="s">
        <v>555</v>
      </c>
    </row>
    <row r="911" customFormat="false" ht="17.15" hidden="false" customHeight="false" outlineLevel="0" collapsed="false">
      <c r="A911" s="0" t="s">
        <v>556</v>
      </c>
      <c r="B911" s="0" t="s">
        <v>72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557</v>
      </c>
      <c r="B912" s="0" t="s">
        <v>72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558</v>
      </c>
      <c r="B913" s="0" t="s">
        <v>72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559</v>
      </c>
      <c r="B914" s="0" t="s">
        <v>72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560</v>
      </c>
      <c r="B915" s="4" t="s">
        <v>514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268.359233495481</v>
      </c>
      <c r="F915" s="14" t="n">
        <f aca="false">F910*F914</f>
        <v>120.838198529813</v>
      </c>
      <c r="G915" s="14" t="n">
        <f aca="false">G910*G914</f>
        <v>79.5367844054438</v>
      </c>
    </row>
    <row r="916" customFormat="false" ht="17.15" hidden="false" customHeight="false" outlineLevel="0" collapsed="false">
      <c r="A916" s="6" t="s">
        <v>561</v>
      </c>
    </row>
    <row r="917" customFormat="false" ht="17.15" hidden="false" customHeight="false" outlineLevel="0" collapsed="false">
      <c r="A917" s="4" t="s">
        <v>562</v>
      </c>
      <c r="B917" s="4" t="s">
        <v>236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  <c r="I917" s="8" t="s">
        <v>563</v>
      </c>
    </row>
    <row r="918" customFormat="false" ht="17.15" hidden="false" customHeight="false" outlineLevel="0" collapsed="false">
      <c r="A918" s="0" t="s">
        <v>564</v>
      </c>
      <c r="B918" s="4" t="s">
        <v>236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3681.26304199214</v>
      </c>
      <c r="F918" s="14" t="n">
        <f aca="false">$C919*F915</f>
        <v>1657.61836667416</v>
      </c>
      <c r="G918" s="14" t="n">
        <f aca="false">$C919*G915</f>
        <v>1091.05925328851</v>
      </c>
      <c r="I918" s="8" t="s">
        <v>565</v>
      </c>
    </row>
    <row r="919" customFormat="false" ht="17.15" hidden="false" customHeight="false" outlineLevel="0" collapsed="false">
      <c r="A919" s="4" t="s">
        <v>566</v>
      </c>
      <c r="B919" s="4" t="s">
        <v>567</v>
      </c>
      <c r="C919" s="18" t="n">
        <f aca="false">(C918+D918)/(C915+D915)</f>
        <v>13.7176686415529</v>
      </c>
      <c r="I919" s="4" t="s">
        <v>568</v>
      </c>
    </row>
    <row r="920" customFormat="false" ht="15" hidden="false" customHeight="false" outlineLevel="0" collapsed="false">
      <c r="A920" s="4" t="s">
        <v>467</v>
      </c>
      <c r="B920" s="4" t="s">
        <v>236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7243.60237899214</v>
      </c>
      <c r="F920" s="14" t="n">
        <f aca="false">F917+F918</f>
        <v>5469.32145726416</v>
      </c>
      <c r="G920" s="14" t="n">
        <f aca="false">G917+G918</f>
        <v>5169.58156021981</v>
      </c>
    </row>
    <row r="921" customFormat="false" ht="17.15" hidden="false" customHeight="false" outlineLevel="0" collapsed="false">
      <c r="A921" s="0" t="s">
        <v>569</v>
      </c>
      <c r="B921" s="0" t="s">
        <v>72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0.508208878591752</v>
      </c>
      <c r="F921" s="10" t="n">
        <f aca="false">F918/F920</f>
        <v>0.303075688570576</v>
      </c>
      <c r="G921" s="10" t="n">
        <f aca="false">G918/G920</f>
        <v>0.211053687920173</v>
      </c>
    </row>
    <row r="922" customFormat="false" ht="17.15" hidden="false" customHeight="false" outlineLevel="0" collapsed="false">
      <c r="A922" s="4" t="s">
        <v>570</v>
      </c>
      <c r="B922" s="4" t="s">
        <v>236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909.975111768073</v>
      </c>
      <c r="F922" s="14" t="n">
        <f aca="false">opex_fix+opex_var*F920</f>
        <v>785.880051983266</v>
      </c>
      <c r="G922" s="14" t="n">
        <f aca="false">opex_fix+opex_var*G920</f>
        <v>764.91593069441</v>
      </c>
      <c r="I922" s="4" t="s">
        <v>571</v>
      </c>
    </row>
    <row r="923" customFormat="false" ht="17.15" hidden="false" customHeight="false" outlineLevel="0" collapsed="false">
      <c r="A923" s="4" t="s">
        <v>537</v>
      </c>
      <c r="B923" s="0" t="s">
        <v>72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572</v>
      </c>
    </row>
    <row r="924" customFormat="false" ht="15" hidden="false" customHeight="false" outlineLevel="0" collapsed="false">
      <c r="A924" s="4" t="s">
        <v>472</v>
      </c>
      <c r="B924" s="4" t="s">
        <v>236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4311.87876003998</v>
      </c>
      <c r="F924" s="14" t="n">
        <f aca="false">F920*F923</f>
        <v>3255.70755951537</v>
      </c>
      <c r="G924" s="14" t="n">
        <f aca="false">G920*G923</f>
        <v>3077.28223631563</v>
      </c>
    </row>
    <row r="925" customFormat="false" ht="15" hidden="false" customHeight="false" outlineLevel="0" collapsed="false">
      <c r="A925" s="4" t="s">
        <v>475</v>
      </c>
      <c r="B925" s="4" t="s">
        <v>236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3401.90364827191</v>
      </c>
      <c r="F925" s="14" t="n">
        <f aca="false">F924-F922</f>
        <v>2469.82750753211</v>
      </c>
      <c r="G925" s="14" t="n">
        <f aca="false">G924-G922</f>
        <v>2312.36630562122</v>
      </c>
    </row>
    <row r="926" customFormat="false" ht="15" hidden="false" customHeight="false" outlineLevel="0" collapsed="false">
      <c r="A926" s="4" t="s">
        <v>478</v>
      </c>
      <c r="B926" s="0" t="s">
        <v>72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0.469642516289698</v>
      </c>
      <c r="F926" s="10" t="n">
        <f aca="false">F925/F920</f>
        <v>0.45157841367173</v>
      </c>
      <c r="G926" s="10" t="n">
        <f aca="false">G925/G920</f>
        <v>0.447302412909972</v>
      </c>
    </row>
    <row r="927" customFormat="false" ht="15" hidden="false" customHeight="false" outlineLevel="0" collapsed="false">
      <c r="A927" s="4" t="s">
        <v>538</v>
      </c>
      <c r="B927" s="4" t="s">
        <v>236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2895.92816233815</v>
      </c>
      <c r="F927" s="14" t="n">
        <f aca="false">F925*nioi</f>
        <v>2102.48254350559</v>
      </c>
      <c r="G927" s="14" t="n">
        <f aca="false">G925*nioi</f>
        <v>1968.44102550993</v>
      </c>
    </row>
    <row r="928" customFormat="false" ht="15" hidden="false" customHeight="false" outlineLevel="0" collapsed="false">
      <c r="A928" s="0" t="s">
        <v>539</v>
      </c>
      <c r="B928" s="0" t="s">
        <v>312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3020.0200373318</v>
      </c>
      <c r="F928" s="14" t="n">
        <f aca="false">F927*100/shares</f>
        <v>2192.57490296328</v>
      </c>
      <c r="G928" s="14" t="n">
        <f aca="false">G927*100/shares</f>
        <v>2052.78964328529</v>
      </c>
    </row>
    <row r="929" customFormat="false" ht="17.15" hidden="false" customHeight="false" outlineLevel="0" collapsed="false">
      <c r="A929" s="4" t="s">
        <v>573</v>
      </c>
      <c r="B929" s="4" t="s">
        <v>236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11155.3425514913</v>
      </c>
      <c r="F929" s="14" t="n">
        <f aca="false">$C919*F910</f>
        <v>5023.08595961866</v>
      </c>
      <c r="G929" s="14" t="n">
        <f aca="false">$C919*G910</f>
        <v>3306.24016148034</v>
      </c>
      <c r="I929" s="4" t="s">
        <v>574</v>
      </c>
    </row>
    <row r="930" customFormat="false" ht="15" hidden="false" customHeight="false" outlineLevel="0" collapsed="false">
      <c r="A930" s="4" t="s">
        <v>575</v>
      </c>
      <c r="B930" s="0" t="s">
        <v>343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785.58750362615</v>
      </c>
      <c r="F930" s="14" t="n">
        <f aca="false">F929/fx*100</f>
        <v>353.738447860469</v>
      </c>
      <c r="G930" s="14" t="n">
        <f aca="false">G929/fx*100</f>
        <v>232.833814188756</v>
      </c>
    </row>
    <row r="940" customFormat="false" ht="17.15" hidden="false" customHeight="false" outlineLevel="0" collapsed="false">
      <c r="A940" s="1" t="s">
        <v>906</v>
      </c>
    </row>
    <row r="941" customFormat="false" ht="15" hidden="false" customHeight="false" outlineLevel="0" collapsed="false">
      <c r="A941" s="5" t="s">
        <v>24</v>
      </c>
      <c r="B941" s="5" t="s">
        <v>25</v>
      </c>
      <c r="C941" s="13" t="s">
        <v>503</v>
      </c>
      <c r="D941" s="13" t="s">
        <v>504</v>
      </c>
      <c r="E941" s="13" t="s">
        <v>505</v>
      </c>
      <c r="F941" s="13" t="s">
        <v>506</v>
      </c>
      <c r="G941" s="13" t="s">
        <v>507</v>
      </c>
      <c r="H941" s="13" t="s">
        <v>508</v>
      </c>
      <c r="I941" s="5" t="s">
        <v>416</v>
      </c>
    </row>
    <row r="942" customFormat="false" ht="17.15" hidden="false" customHeight="false" outlineLevel="0" collapsed="false">
      <c r="A942" s="6" t="s">
        <v>542</v>
      </c>
    </row>
    <row r="943" customFormat="false" ht="17.15" hidden="false" customHeight="false" outlineLevel="0" collapsed="false">
      <c r="A943" s="0" t="s">
        <v>543</v>
      </c>
      <c r="B943" s="0" t="s">
        <v>35</v>
      </c>
      <c r="C943" s="20" t="n">
        <f aca="false">hsA_25</f>
        <v>2.22511470588235</v>
      </c>
      <c r="D943" s="20" t="n">
        <f aca="false">hsA_26</f>
        <v>3.782695</v>
      </c>
      <c r="E943" s="20" t="n">
        <f aca="false">hsA_27</f>
        <v>5.86317725</v>
      </c>
      <c r="F943" s="20" t="n">
        <f aca="false">hsA_28</f>
        <v>8.5016070125</v>
      </c>
      <c r="G943" s="20" t="n">
        <f aca="false">hsA_29</f>
        <v>11.477169466875</v>
      </c>
      <c r="H943" s="20" t="n">
        <f aca="false">G943*(1+g_tail)</f>
        <v>12.6248864135625</v>
      </c>
      <c r="I943" s="8" t="s">
        <v>544</v>
      </c>
    </row>
    <row r="944" customFormat="false" ht="17.15" hidden="false" customHeight="false" outlineLevel="0" collapsed="false">
      <c r="A944" s="0" t="s">
        <v>545</v>
      </c>
      <c r="B944" s="0" t="s">
        <v>546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547</v>
      </c>
      <c r="B945" s="4" t="s">
        <v>512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548</v>
      </c>
    </row>
    <row r="946" customFormat="false" ht="15" hidden="false" customHeight="false" outlineLevel="0" collapsed="false">
      <c r="A946" s="4" t="s">
        <v>549</v>
      </c>
      <c r="B946" s="4" t="s">
        <v>99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550</v>
      </c>
      <c r="B947" s="0" t="s">
        <v>119</v>
      </c>
      <c r="C947" s="18" t="n">
        <f aca="false">1+beta*(C946-$C946)/4</f>
        <v>1</v>
      </c>
      <c r="D947" s="18" t="n">
        <f aca="false">1+beta*(D946-$C946)/4</f>
        <v>1.05</v>
      </c>
      <c r="E947" s="18" t="n">
        <f aca="false">1+beta*(E946-$C946)/4</f>
        <v>1.0625</v>
      </c>
      <c r="F947" s="18" t="n">
        <f aca="false">1+beta*(F946-$C946)/4</f>
        <v>1.1</v>
      </c>
      <c r="G947" s="18" t="n">
        <f aca="false">1+beta*(G946-$C946)/4</f>
        <v>1.125</v>
      </c>
      <c r="H947" s="18" t="n">
        <f aca="false">1+beta*(H946-$C946)/4</f>
        <v>1.15</v>
      </c>
    </row>
    <row r="948" customFormat="false" ht="17.15" hidden="false" customHeight="false" outlineLevel="0" collapsed="false">
      <c r="A948" s="4" t="s">
        <v>551</v>
      </c>
      <c r="B948" s="0" t="s">
        <v>72</v>
      </c>
      <c r="C948" s="10" t="n">
        <f aca="false">hbp_25</f>
        <v>0</v>
      </c>
      <c r="D948" s="10" t="n">
        <f aca="false">hbp_26</f>
        <v>0</v>
      </c>
      <c r="E948" s="10" t="n">
        <f aca="false">hbp_27</f>
        <v>0</v>
      </c>
      <c r="F948" s="10" t="n">
        <f aca="false">hbp_28_hi</f>
        <v>0.15</v>
      </c>
      <c r="G948" s="10" t="n">
        <f aca="false">hbp_29_hi</f>
        <v>0.3</v>
      </c>
      <c r="H948" s="10" t="n">
        <f aca="false">hbp_30_hi</f>
        <v>0.4</v>
      </c>
      <c r="I948" s="4" t="s">
        <v>552</v>
      </c>
    </row>
    <row r="949" customFormat="false" ht="17.15" hidden="false" customHeight="false" outlineLevel="0" collapsed="false">
      <c r="A949" s="0" t="s">
        <v>553</v>
      </c>
      <c r="B949" s="4" t="s">
        <v>514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2271.143587625</v>
      </c>
      <c r="G949" s="14" t="n">
        <f aca="false">G945*G947*(1-G948)</f>
        <v>2410.20558804375</v>
      </c>
      <c r="H949" s="14" t="n">
        <f aca="false">H945*H947*(1-H948)</f>
        <v>2177.79290633953</v>
      </c>
    </row>
    <row r="950" customFormat="false" ht="17.15" hidden="false" customHeight="false" outlineLevel="0" collapsed="false">
      <c r="A950" s="4" t="s">
        <v>554</v>
      </c>
      <c r="B950" s="4" t="s">
        <v>514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MAX(0,hsA_28*8000/F944*F947*(1-hbp_28)-E949)+dlt*E949</f>
        <v>813.209798471154</v>
      </c>
      <c r="F950" s="14" t="n">
        <f aca="false">MAX(0,G949-F949)+dlt*F949</f>
        <v>366.17635918125</v>
      </c>
      <c r="G950" s="14" t="n">
        <f aca="false">MAX(0,H949-G949)+dlt*G949</f>
        <v>241.020558804375</v>
      </c>
      <c r="I950" s="4" t="s">
        <v>555</v>
      </c>
    </row>
    <row r="951" customFormat="false" ht="17.15" hidden="false" customHeight="false" outlineLevel="0" collapsed="false">
      <c r="A951" s="0" t="s">
        <v>556</v>
      </c>
      <c r="B951" s="0" t="s">
        <v>72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557</v>
      </c>
      <c r="B952" s="0" t="s">
        <v>72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558</v>
      </c>
      <c r="B953" s="0" t="s">
        <v>72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559</v>
      </c>
      <c r="B954" s="0" t="s">
        <v>72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560</v>
      </c>
      <c r="B955" s="4" t="s">
        <v>514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268.359233495481</v>
      </c>
      <c r="F955" s="14" t="n">
        <f aca="false">F950*F954</f>
        <v>120.838198529813</v>
      </c>
      <c r="G955" s="14" t="n">
        <f aca="false">G950*G954</f>
        <v>79.5367844054438</v>
      </c>
    </row>
    <row r="956" customFormat="false" ht="17.15" hidden="false" customHeight="false" outlineLevel="0" collapsed="false">
      <c r="A956" s="6" t="s">
        <v>561</v>
      </c>
    </row>
    <row r="957" customFormat="false" ht="17.15" hidden="false" customHeight="false" outlineLevel="0" collapsed="false">
      <c r="A957" s="4" t="s">
        <v>562</v>
      </c>
      <c r="B957" s="4" t="s">
        <v>236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  <c r="I957" s="8" t="s">
        <v>563</v>
      </c>
    </row>
    <row r="958" customFormat="false" ht="17.15" hidden="false" customHeight="false" outlineLevel="0" collapsed="false">
      <c r="A958" s="0" t="s">
        <v>564</v>
      </c>
      <c r="B958" s="4" t="s">
        <v>236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3681.26304199214</v>
      </c>
      <c r="F958" s="14" t="n">
        <f aca="false">$C959*F955</f>
        <v>1657.61836667416</v>
      </c>
      <c r="G958" s="14" t="n">
        <f aca="false">$C959*G955</f>
        <v>1091.05925328851</v>
      </c>
      <c r="I958" s="8" t="s">
        <v>565</v>
      </c>
    </row>
    <row r="959" customFormat="false" ht="17.15" hidden="false" customHeight="false" outlineLevel="0" collapsed="false">
      <c r="A959" s="4" t="s">
        <v>566</v>
      </c>
      <c r="B959" s="4" t="s">
        <v>567</v>
      </c>
      <c r="C959" s="18" t="n">
        <f aca="false">(C958+D958)/(C955+D955)</f>
        <v>13.7176686415529</v>
      </c>
      <c r="I959" s="4" t="s">
        <v>568</v>
      </c>
    </row>
    <row r="960" customFormat="false" ht="15" hidden="false" customHeight="false" outlineLevel="0" collapsed="false">
      <c r="A960" s="4" t="s">
        <v>467</v>
      </c>
      <c r="B960" s="4" t="s">
        <v>236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7576.53128899214</v>
      </c>
      <c r="F960" s="14" t="n">
        <f aca="false">F957+F958</f>
        <v>6215.08221566416</v>
      </c>
      <c r="G960" s="14" t="n">
        <f aca="false">G957+G958</f>
        <v>6423.29195660681</v>
      </c>
    </row>
    <row r="961" customFormat="false" ht="17.15" hidden="false" customHeight="false" outlineLevel="0" collapsed="false">
      <c r="A961" s="0" t="s">
        <v>569</v>
      </c>
      <c r="B961" s="0" t="s">
        <v>72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0.485877098843452</v>
      </c>
      <c r="F961" s="10" t="n">
        <f aca="false">F958/F960</f>
        <v>0.266709000646265</v>
      </c>
      <c r="G961" s="10" t="n">
        <f aca="false">G958/G960</f>
        <v>0.16985982587422</v>
      </c>
    </row>
    <row r="962" customFormat="false" ht="17.15" hidden="false" customHeight="false" outlineLevel="0" collapsed="false">
      <c r="A962" s="4" t="s">
        <v>570</v>
      </c>
      <c r="B962" s="4" t="s">
        <v>236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933.260507268073</v>
      </c>
      <c r="F962" s="14" t="n">
        <f aca="false">opex_fix+opex_var*F960</f>
        <v>838.039337903266</v>
      </c>
      <c r="G962" s="14" t="n">
        <f aca="false">opex_fix+opex_var*G960</f>
        <v>852.60174452876</v>
      </c>
      <c r="I962" s="4" t="s">
        <v>571</v>
      </c>
    </row>
    <row r="963" customFormat="false" ht="17.15" hidden="false" customHeight="false" outlineLevel="0" collapsed="false">
      <c r="A963" s="4" t="s">
        <v>537</v>
      </c>
      <c r="B963" s="0" t="s">
        <v>72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572</v>
      </c>
    </row>
    <row r="964" customFormat="false" ht="15" hidden="false" customHeight="false" outlineLevel="0" collapsed="false">
      <c r="A964" s="4" t="s">
        <v>472</v>
      </c>
      <c r="B964" s="4" t="s">
        <v>236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4510.06041338358</v>
      </c>
      <c r="F964" s="14" t="n">
        <f aca="false">F960*F963</f>
        <v>3699.63446300503</v>
      </c>
      <c r="G964" s="14" t="n">
        <f aca="false">G960*G963</f>
        <v>3823.57488831161</v>
      </c>
    </row>
    <row r="965" customFormat="false" ht="15" hidden="false" customHeight="false" outlineLevel="0" collapsed="false">
      <c r="A965" s="4" t="s">
        <v>475</v>
      </c>
      <c r="B965" s="4" t="s">
        <v>236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3576.7999061155</v>
      </c>
      <c r="F965" s="14" t="n">
        <f aca="false">F964-F962</f>
        <v>2861.59512510176</v>
      </c>
      <c r="G965" s="14" t="n">
        <f aca="false">G964-G962</f>
        <v>2970.97314378285</v>
      </c>
    </row>
    <row r="966" customFormat="false" ht="15" hidden="false" customHeight="false" outlineLevel="0" collapsed="false">
      <c r="A966" s="4" t="s">
        <v>478</v>
      </c>
      <c r="B966" s="0" t="s">
        <v>72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0.472089373050197</v>
      </c>
      <c r="F966" s="10" t="n">
        <f aca="false">F965/F960</f>
        <v>0.460427557641884</v>
      </c>
      <c r="G966" s="10" t="n">
        <f aca="false">G965/G960</f>
        <v>0.462531232248752</v>
      </c>
    </row>
    <row r="967" customFormat="false" ht="15" hidden="false" customHeight="false" outlineLevel="0" collapsed="false">
      <c r="A967" s="4" t="s">
        <v>538</v>
      </c>
      <c r="B967" s="4" t="s">
        <v>236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3044.81156732057</v>
      </c>
      <c r="F967" s="14" t="n">
        <f aca="false">F965*nioi</f>
        <v>2435.9813706662</v>
      </c>
      <c r="G967" s="14" t="n">
        <f aca="false">G965*nioi</f>
        <v>2529.09126365221</v>
      </c>
    </row>
    <row r="968" customFormat="false" ht="15" hidden="false" customHeight="false" outlineLevel="0" collapsed="false">
      <c r="A968" s="0" t="s">
        <v>539</v>
      </c>
      <c r="B968" s="0" t="s">
        <v>312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3175.2831657894</v>
      </c>
      <c r="F968" s="14" t="n">
        <f aca="false">F967*100/shares</f>
        <v>2540.3643107083</v>
      </c>
      <c r="G968" s="14" t="n">
        <f aca="false">G967*100/shares</f>
        <v>2637.46400611806</v>
      </c>
    </row>
    <row r="969" customFormat="false" ht="17.15" hidden="false" customHeight="false" outlineLevel="0" collapsed="false">
      <c r="A969" s="4" t="s">
        <v>573</v>
      </c>
      <c r="B969" s="4" t="s">
        <v>236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11155.3425514913</v>
      </c>
      <c r="F969" s="14" t="n">
        <f aca="false">$C959*F950</f>
        <v>5023.08595961866</v>
      </c>
      <c r="G969" s="14" t="n">
        <f aca="false">$C959*G950</f>
        <v>3306.24016148034</v>
      </c>
      <c r="I969" s="4" t="s">
        <v>574</v>
      </c>
    </row>
    <row r="970" customFormat="false" ht="15" hidden="false" customHeight="false" outlineLevel="0" collapsed="false">
      <c r="A970" s="4" t="s">
        <v>575</v>
      </c>
      <c r="B970" s="0" t="s">
        <v>343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785.58750362615</v>
      </c>
      <c r="F970" s="14" t="n">
        <f aca="false">F969/fx*100</f>
        <v>353.738447860469</v>
      </c>
      <c r="G970" s="14" t="n">
        <f aca="false">G969/fx*100</f>
        <v>232.833814188756</v>
      </c>
    </row>
    <row r="980" customFormat="false" ht="17.15" hidden="false" customHeight="false" outlineLevel="0" collapsed="false">
      <c r="A980" s="1" t="s">
        <v>907</v>
      </c>
    </row>
    <row r="981" customFormat="false" ht="15" hidden="false" customHeight="false" outlineLevel="0" collapsed="false">
      <c r="A981" s="5" t="s">
        <v>24</v>
      </c>
      <c r="B981" s="5" t="s">
        <v>25</v>
      </c>
      <c r="C981" s="13" t="s">
        <v>503</v>
      </c>
      <c r="D981" s="13" t="s">
        <v>504</v>
      </c>
      <c r="E981" s="13" t="s">
        <v>505</v>
      </c>
      <c r="F981" s="13" t="s">
        <v>506</v>
      </c>
      <c r="G981" s="13" t="s">
        <v>507</v>
      </c>
      <c r="H981" s="13" t="s">
        <v>508</v>
      </c>
      <c r="I981" s="5" t="s">
        <v>416</v>
      </c>
    </row>
    <row r="982" customFormat="false" ht="17.15" hidden="false" customHeight="false" outlineLevel="0" collapsed="false">
      <c r="A982" s="6" t="s">
        <v>542</v>
      </c>
    </row>
    <row r="983" customFormat="false" ht="17.15" hidden="false" customHeight="false" outlineLevel="0" collapsed="false">
      <c r="A983" s="0" t="s">
        <v>543</v>
      </c>
      <c r="B983" s="0" t="s">
        <v>35</v>
      </c>
      <c r="C983" s="20" t="n">
        <f aca="false">hsA_25</f>
        <v>2.22511470588235</v>
      </c>
      <c r="D983" s="20" t="n">
        <f aca="false">hsA_26</f>
        <v>3.782695</v>
      </c>
      <c r="E983" s="20" t="n">
        <f aca="false">hsA_27</f>
        <v>5.86317725</v>
      </c>
      <c r="F983" s="20" t="n">
        <f aca="false">hsA_28</f>
        <v>8.5016070125</v>
      </c>
      <c r="G983" s="20" t="n">
        <f aca="false">hsA_29</f>
        <v>11.477169466875</v>
      </c>
      <c r="H983" s="20" t="n">
        <f aca="false">G983*(1+g_tail)</f>
        <v>12.6248864135625</v>
      </c>
      <c r="I983" s="8" t="s">
        <v>544</v>
      </c>
    </row>
    <row r="984" customFormat="false" ht="17.15" hidden="false" customHeight="false" outlineLevel="0" collapsed="false">
      <c r="A984" s="0" t="s">
        <v>545</v>
      </c>
      <c r="B984" s="0" t="s">
        <v>546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547</v>
      </c>
      <c r="B985" s="4" t="s">
        <v>512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548</v>
      </c>
    </row>
    <row r="986" customFormat="false" ht="15" hidden="false" customHeight="false" outlineLevel="0" collapsed="false">
      <c r="A986" s="4" t="s">
        <v>549</v>
      </c>
      <c r="B986" s="4" t="s">
        <v>99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550</v>
      </c>
      <c r="B987" s="0" t="s">
        <v>119</v>
      </c>
      <c r="C987" s="18" t="n">
        <f aca="false">1+beta*(C986-$C986)/4</f>
        <v>1</v>
      </c>
      <c r="D987" s="18" t="n">
        <f aca="false">1+beta*(D986-$C986)/4</f>
        <v>1.05</v>
      </c>
      <c r="E987" s="18" t="n">
        <f aca="false">1+beta*(E986-$C986)/4</f>
        <v>1.0625</v>
      </c>
      <c r="F987" s="18" t="n">
        <f aca="false">1+beta*(F986-$C986)/4</f>
        <v>1.1</v>
      </c>
      <c r="G987" s="18" t="n">
        <f aca="false">1+beta*(G986-$C986)/4</f>
        <v>1.125</v>
      </c>
      <c r="H987" s="18" t="n">
        <f aca="false">1+beta*(H986-$C986)/4</f>
        <v>1.15</v>
      </c>
    </row>
    <row r="988" customFormat="false" ht="17.15" hidden="false" customHeight="false" outlineLevel="0" collapsed="false">
      <c r="A988" s="4" t="s">
        <v>551</v>
      </c>
      <c r="B988" s="0" t="s">
        <v>72</v>
      </c>
      <c r="C988" s="10" t="n">
        <f aca="false">hbp_25</f>
        <v>0</v>
      </c>
      <c r="D988" s="10" t="n">
        <f aca="false">hbp_26</f>
        <v>0</v>
      </c>
      <c r="E988" s="10" t="n">
        <f aca="false">hbp_27</f>
        <v>0</v>
      </c>
      <c r="F988" s="10" t="n">
        <f aca="false">hbp_28_hi</f>
        <v>0.15</v>
      </c>
      <c r="G988" s="10" t="n">
        <f aca="false">hbp_29_hi</f>
        <v>0.3</v>
      </c>
      <c r="H988" s="10" t="n">
        <f aca="false">hbp_30_hi</f>
        <v>0.4</v>
      </c>
      <c r="I988" s="4" t="s">
        <v>552</v>
      </c>
    </row>
    <row r="989" customFormat="false" ht="17.15" hidden="false" customHeight="false" outlineLevel="0" collapsed="false">
      <c r="A989" s="0" t="s">
        <v>553</v>
      </c>
      <c r="B989" s="4" t="s">
        <v>514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2271.143587625</v>
      </c>
      <c r="G989" s="14" t="n">
        <f aca="false">G985*G987*(1-G988)</f>
        <v>2410.20558804375</v>
      </c>
      <c r="H989" s="14" t="n">
        <f aca="false">H985*H987*(1-H988)</f>
        <v>2177.79290633953</v>
      </c>
    </row>
    <row r="990" customFormat="false" ht="17.15" hidden="false" customHeight="false" outlineLevel="0" collapsed="false">
      <c r="A990" s="4" t="s">
        <v>554</v>
      </c>
      <c r="B990" s="4" t="s">
        <v>514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MAX(0,hsA_28*8000/F984*F987*(1-hbp_28)-E989)+dlt*E989</f>
        <v>813.209798471154</v>
      </c>
      <c r="F990" s="14" t="n">
        <f aca="false">MAX(0,G989-F989)+dlt*F989</f>
        <v>366.17635918125</v>
      </c>
      <c r="G990" s="14" t="n">
        <f aca="false">MAX(0,H989-G989)+dlt*G989</f>
        <v>241.020558804375</v>
      </c>
      <c r="I990" s="4" t="s">
        <v>555</v>
      </c>
    </row>
    <row r="991" customFormat="false" ht="17.15" hidden="false" customHeight="false" outlineLevel="0" collapsed="false">
      <c r="A991" s="0" t="s">
        <v>556</v>
      </c>
      <c r="B991" s="0" t="s">
        <v>72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557</v>
      </c>
      <c r="B992" s="0" t="s">
        <v>72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558</v>
      </c>
      <c r="B993" s="0" t="s">
        <v>72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559</v>
      </c>
      <c r="B994" s="0" t="s">
        <v>72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560</v>
      </c>
      <c r="B995" s="4" t="s">
        <v>514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268.359233495481</v>
      </c>
      <c r="F995" s="14" t="n">
        <f aca="false">F990*F994</f>
        <v>120.838198529813</v>
      </c>
      <c r="G995" s="14" t="n">
        <f aca="false">G990*G994</f>
        <v>79.5367844054438</v>
      </c>
    </row>
    <row r="996" customFormat="false" ht="17.15" hidden="false" customHeight="false" outlineLevel="0" collapsed="false">
      <c r="A996" s="6" t="s">
        <v>561</v>
      </c>
    </row>
    <row r="997" customFormat="false" ht="17.15" hidden="false" customHeight="false" outlineLevel="0" collapsed="false">
      <c r="A997" s="4" t="s">
        <v>562</v>
      </c>
      <c r="B997" s="4" t="s">
        <v>236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  <c r="I997" s="8" t="s">
        <v>563</v>
      </c>
    </row>
    <row r="998" customFormat="false" ht="17.15" hidden="false" customHeight="false" outlineLevel="0" collapsed="false">
      <c r="A998" s="0" t="s">
        <v>564</v>
      </c>
      <c r="B998" s="4" t="s">
        <v>236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3681.26304199214</v>
      </c>
      <c r="F998" s="14" t="n">
        <f aca="false">$C999*F995</f>
        <v>1657.61836667416</v>
      </c>
      <c r="G998" s="14" t="n">
        <f aca="false">$C999*G995</f>
        <v>1091.05925328851</v>
      </c>
      <c r="I998" s="8" t="s">
        <v>565</v>
      </c>
    </row>
    <row r="999" customFormat="false" ht="17.15" hidden="false" customHeight="false" outlineLevel="0" collapsed="false">
      <c r="A999" s="4" t="s">
        <v>566</v>
      </c>
      <c r="B999" s="4" t="s">
        <v>567</v>
      </c>
      <c r="C999" s="18" t="n">
        <f aca="false">(C998+D998)/(C995+D995)</f>
        <v>13.7176686415529</v>
      </c>
      <c r="I999" s="4" t="s">
        <v>568</v>
      </c>
    </row>
    <row r="1000" customFormat="false" ht="15" hidden="false" customHeight="false" outlineLevel="0" collapsed="false">
      <c r="A1000" s="4" t="s">
        <v>467</v>
      </c>
      <c r="B1000" s="4" t="s">
        <v>236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7410.06683399214</v>
      </c>
      <c r="F1000" s="14" t="n">
        <f aca="false">F997+F998</f>
        <v>5833.87861371416</v>
      </c>
      <c r="G1000" s="14" t="n">
        <f aca="false">G997+G998</f>
        <v>5768.47072997331</v>
      </c>
    </row>
    <row r="1001" customFormat="false" ht="17.15" hidden="false" customHeight="false" outlineLevel="0" collapsed="false">
      <c r="A1001" s="0" t="s">
        <v>569</v>
      </c>
      <c r="B1001" s="0" t="s">
        <v>72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0.496792151064699</v>
      </c>
      <c r="F1001" s="10" t="n">
        <f aca="false">F998/F1000</f>
        <v>0.284136588440059</v>
      </c>
      <c r="G1001" s="10" t="n">
        <f aca="false">G998/G1000</f>
        <v>0.189141854810722</v>
      </c>
    </row>
    <row r="1002" customFormat="false" ht="17.15" hidden="false" customHeight="false" outlineLevel="0" collapsed="false">
      <c r="A1002" s="4" t="s">
        <v>570</v>
      </c>
      <c r="B1002" s="4" t="s">
        <v>236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875.650685710844</v>
      </c>
      <c r="F1002" s="14" t="n">
        <f aca="false">(1-phi_lo)*opex25+phi_lo*opex25/a25_rev*F1000</f>
        <v>809.50653603346</v>
      </c>
      <c r="G1002" s="14" t="n">
        <f aca="false">(1-phi_lo)*opex25+phi_lo*opex25/a25_rev*G1000</f>
        <v>806.761718633751</v>
      </c>
      <c r="I1002" s="4" t="s">
        <v>571</v>
      </c>
    </row>
    <row r="1003" customFormat="false" ht="17.15" hidden="false" customHeight="false" outlineLevel="0" collapsed="false">
      <c r="A1003" s="4" t="s">
        <v>537</v>
      </c>
      <c r="B1003" s="0" t="s">
        <v>72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572</v>
      </c>
    </row>
    <row r="1004" customFormat="false" ht="15" hidden="false" customHeight="false" outlineLevel="0" collapsed="false">
      <c r="A1004" s="4" t="s">
        <v>472</v>
      </c>
      <c r="B1004" s="4" t="s">
        <v>236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4362.22637481154</v>
      </c>
      <c r="F1004" s="14" t="n">
        <f aca="false">F1000*F1003</f>
        <v>3434.34137995251</v>
      </c>
      <c r="G1004" s="14" t="n">
        <f aca="false">G1000*G1003</f>
        <v>3395.83646468426</v>
      </c>
    </row>
    <row r="1005" customFormat="false" ht="15" hidden="false" customHeight="false" outlineLevel="0" collapsed="false">
      <c r="A1005" s="4" t="s">
        <v>475</v>
      </c>
      <c r="B1005" s="4" t="s">
        <v>236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3486.57568910069</v>
      </c>
      <c r="F1005" s="14" t="n">
        <f aca="false">F1004-F1002</f>
        <v>2624.83484391905</v>
      </c>
      <c r="G1005" s="14" t="n">
        <f aca="false">G1004-G1002</f>
        <v>2589.07474605051</v>
      </c>
    </row>
    <row r="1006" customFormat="false" ht="15" hidden="false" customHeight="false" outlineLevel="0" collapsed="false">
      <c r="A1006" s="4" t="s">
        <v>478</v>
      </c>
      <c r="B1006" s="0" t="s">
        <v>72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0.470518791154049</v>
      </c>
      <c r="F1006" s="10" t="n">
        <f aca="false">F1005/F1000</f>
        <v>0.449929629620445</v>
      </c>
      <c r="G1006" s="10" t="n">
        <f aca="false">G1005/G1000</f>
        <v>0.44883208518291</v>
      </c>
    </row>
    <row r="1007" customFormat="false" ht="15" hidden="false" customHeight="false" outlineLevel="0" collapsed="false">
      <c r="A1007" s="4" t="s">
        <v>538</v>
      </c>
      <c r="B1007" s="4" t="s">
        <v>236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2968.00667276959</v>
      </c>
      <c r="F1007" s="14" t="n">
        <f aca="false">F1005*nioi</f>
        <v>2234.43516686692</v>
      </c>
      <c r="G1007" s="14" t="n">
        <f aca="false">G1005*nioi</f>
        <v>2203.9937772179</v>
      </c>
    </row>
    <row r="1008" customFormat="false" ht="15" hidden="false" customHeight="false" outlineLevel="0" collapsed="false">
      <c r="A1008" s="0" t="s">
        <v>539</v>
      </c>
      <c r="B1008" s="0" t="s">
        <v>312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3095.18714561678</v>
      </c>
      <c r="F1008" s="14" t="n">
        <f aca="false">F1007*100/shares</f>
        <v>2330.18175789575</v>
      </c>
      <c r="G1008" s="14" t="n">
        <f aca="false">G1007*100/shares</f>
        <v>2298.43594047532</v>
      </c>
    </row>
    <row r="1009" customFormat="false" ht="17.15" hidden="false" customHeight="false" outlineLevel="0" collapsed="false">
      <c r="A1009" s="4" t="s">
        <v>573</v>
      </c>
      <c r="B1009" s="4" t="s">
        <v>236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11155.3425514913</v>
      </c>
      <c r="F1009" s="14" t="n">
        <f aca="false">$C999*F990</f>
        <v>5023.08595961866</v>
      </c>
      <c r="G1009" s="14" t="n">
        <f aca="false">$C999*G990</f>
        <v>3306.24016148034</v>
      </c>
      <c r="I1009" s="4" t="s">
        <v>574</v>
      </c>
    </row>
    <row r="1010" customFormat="false" ht="15" hidden="false" customHeight="false" outlineLevel="0" collapsed="false">
      <c r="A1010" s="4" t="s">
        <v>575</v>
      </c>
      <c r="B1010" s="0" t="s">
        <v>343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785.58750362615</v>
      </c>
      <c r="F1010" s="14" t="n">
        <f aca="false">F1009/fx*100</f>
        <v>353.738447860469</v>
      </c>
      <c r="G1010" s="14" t="n">
        <f aca="false">G1009/fx*100</f>
        <v>232.833814188756</v>
      </c>
    </row>
    <row r="1020" customFormat="false" ht="17.15" hidden="false" customHeight="false" outlineLevel="0" collapsed="false">
      <c r="A1020" s="1" t="s">
        <v>908</v>
      </c>
    </row>
    <row r="1021" customFormat="false" ht="15" hidden="false" customHeight="false" outlineLevel="0" collapsed="false">
      <c r="A1021" s="5" t="s">
        <v>24</v>
      </c>
      <c r="B1021" s="5" t="s">
        <v>25</v>
      </c>
      <c r="C1021" s="13" t="s">
        <v>503</v>
      </c>
      <c r="D1021" s="13" t="s">
        <v>504</v>
      </c>
      <c r="E1021" s="13" t="s">
        <v>505</v>
      </c>
      <c r="F1021" s="13" t="s">
        <v>506</v>
      </c>
      <c r="G1021" s="13" t="s">
        <v>507</v>
      </c>
      <c r="H1021" s="13" t="s">
        <v>508</v>
      </c>
      <c r="I1021" s="5" t="s">
        <v>416</v>
      </c>
    </row>
    <row r="1022" customFormat="false" ht="17.15" hidden="false" customHeight="false" outlineLevel="0" collapsed="false">
      <c r="A1022" s="6" t="s">
        <v>542</v>
      </c>
    </row>
    <row r="1023" customFormat="false" ht="17.15" hidden="false" customHeight="false" outlineLevel="0" collapsed="false">
      <c r="A1023" s="0" t="s">
        <v>543</v>
      </c>
      <c r="B1023" s="0" t="s">
        <v>35</v>
      </c>
      <c r="C1023" s="20" t="n">
        <f aca="false">hsA_25</f>
        <v>2.22511470588235</v>
      </c>
      <c r="D1023" s="20" t="n">
        <f aca="false">hsA_26</f>
        <v>3.782695</v>
      </c>
      <c r="E1023" s="20" t="n">
        <f aca="false">hsA_27</f>
        <v>5.86317725</v>
      </c>
      <c r="F1023" s="20" t="n">
        <f aca="false">hsA_28</f>
        <v>8.5016070125</v>
      </c>
      <c r="G1023" s="20" t="n">
        <f aca="false">hsA_29</f>
        <v>11.477169466875</v>
      </c>
      <c r="H1023" s="20" t="n">
        <f aca="false">G1023*(1+g_tail)</f>
        <v>12.6248864135625</v>
      </c>
      <c r="I1023" s="8" t="s">
        <v>544</v>
      </c>
    </row>
    <row r="1024" customFormat="false" ht="17.15" hidden="false" customHeight="false" outlineLevel="0" collapsed="false">
      <c r="A1024" s="0" t="s">
        <v>545</v>
      </c>
      <c r="B1024" s="0" t="s">
        <v>546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547</v>
      </c>
      <c r="B1025" s="4" t="s">
        <v>512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548</v>
      </c>
    </row>
    <row r="1026" customFormat="false" ht="15" hidden="false" customHeight="false" outlineLevel="0" collapsed="false">
      <c r="A1026" s="4" t="s">
        <v>549</v>
      </c>
      <c r="B1026" s="4" t="s">
        <v>99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550</v>
      </c>
      <c r="B1027" s="0" t="s">
        <v>119</v>
      </c>
      <c r="C1027" s="18" t="n">
        <f aca="false">1+beta*(C1026-$C1026)/4</f>
        <v>1</v>
      </c>
      <c r="D1027" s="18" t="n">
        <f aca="false">1+beta*(D1026-$C1026)/4</f>
        <v>1.05</v>
      </c>
      <c r="E1027" s="18" t="n">
        <f aca="false">1+beta*(E1026-$C1026)/4</f>
        <v>1.0625</v>
      </c>
      <c r="F1027" s="18" t="n">
        <f aca="false">1+beta*(F1026-$C1026)/4</f>
        <v>1.1</v>
      </c>
      <c r="G1027" s="18" t="n">
        <f aca="false">1+beta*(G1026-$C1026)/4</f>
        <v>1.125</v>
      </c>
      <c r="H1027" s="18" t="n">
        <f aca="false">1+beta*(H1026-$C1026)/4</f>
        <v>1.15</v>
      </c>
    </row>
    <row r="1028" customFormat="false" ht="17.15" hidden="false" customHeight="false" outlineLevel="0" collapsed="false">
      <c r="A1028" s="4" t="s">
        <v>551</v>
      </c>
      <c r="B1028" s="0" t="s">
        <v>72</v>
      </c>
      <c r="C1028" s="10" t="n">
        <f aca="false">hbp_25</f>
        <v>0</v>
      </c>
      <c r="D1028" s="10" t="n">
        <f aca="false">hbp_26</f>
        <v>0</v>
      </c>
      <c r="E1028" s="10" t="n">
        <f aca="false">hbp_27</f>
        <v>0</v>
      </c>
      <c r="F1028" s="10" t="n">
        <f aca="false">hbp_28_hi</f>
        <v>0.15</v>
      </c>
      <c r="G1028" s="10" t="n">
        <f aca="false">hbp_29_hi</f>
        <v>0.3</v>
      </c>
      <c r="H1028" s="10" t="n">
        <f aca="false">hbp_30_hi</f>
        <v>0.4</v>
      </c>
      <c r="I1028" s="4" t="s">
        <v>552</v>
      </c>
    </row>
    <row r="1029" customFormat="false" ht="17.15" hidden="false" customHeight="false" outlineLevel="0" collapsed="false">
      <c r="A1029" s="0" t="s">
        <v>553</v>
      </c>
      <c r="B1029" s="4" t="s">
        <v>514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2271.143587625</v>
      </c>
      <c r="G1029" s="14" t="n">
        <f aca="false">G1025*G1027*(1-G1028)</f>
        <v>2410.20558804375</v>
      </c>
      <c r="H1029" s="14" t="n">
        <f aca="false">H1025*H1027*(1-H1028)</f>
        <v>2177.79290633953</v>
      </c>
    </row>
    <row r="1030" customFormat="false" ht="17.15" hidden="false" customHeight="false" outlineLevel="0" collapsed="false">
      <c r="A1030" s="4" t="s">
        <v>554</v>
      </c>
      <c r="B1030" s="4" t="s">
        <v>514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MAX(0,hsA_28*8000/F1024*F1027*(1-hbp_28)-E1029)+dlt*E1029</f>
        <v>813.209798471154</v>
      </c>
      <c r="F1030" s="14" t="n">
        <f aca="false">MAX(0,G1029-F1029)+dlt*F1029</f>
        <v>366.17635918125</v>
      </c>
      <c r="G1030" s="14" t="n">
        <f aca="false">MAX(0,H1029-G1029)+dlt*G1029</f>
        <v>241.020558804375</v>
      </c>
      <c r="I1030" s="4" t="s">
        <v>555</v>
      </c>
    </row>
    <row r="1031" customFormat="false" ht="17.15" hidden="false" customHeight="false" outlineLevel="0" collapsed="false">
      <c r="A1031" s="0" t="s">
        <v>556</v>
      </c>
      <c r="B1031" s="0" t="s">
        <v>72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557</v>
      </c>
      <c r="B1032" s="0" t="s">
        <v>72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558</v>
      </c>
      <c r="B1033" s="0" t="s">
        <v>72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559</v>
      </c>
      <c r="B1034" s="0" t="s">
        <v>72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560</v>
      </c>
      <c r="B1035" s="4" t="s">
        <v>514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268.359233495481</v>
      </c>
      <c r="F1035" s="14" t="n">
        <f aca="false">F1030*F1034</f>
        <v>120.838198529813</v>
      </c>
      <c r="G1035" s="14" t="n">
        <f aca="false">G1030*G1034</f>
        <v>79.5367844054438</v>
      </c>
    </row>
    <row r="1036" customFormat="false" ht="17.15" hidden="false" customHeight="false" outlineLevel="0" collapsed="false">
      <c r="A1036" s="6" t="s">
        <v>561</v>
      </c>
    </row>
    <row r="1037" customFormat="false" ht="17.15" hidden="false" customHeight="false" outlineLevel="0" collapsed="false">
      <c r="A1037" s="4" t="s">
        <v>562</v>
      </c>
      <c r="B1037" s="4" t="s">
        <v>236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  <c r="I1037" s="8" t="s">
        <v>563</v>
      </c>
    </row>
    <row r="1038" customFormat="false" ht="17.15" hidden="false" customHeight="false" outlineLevel="0" collapsed="false">
      <c r="A1038" s="0" t="s">
        <v>564</v>
      </c>
      <c r="B1038" s="4" t="s">
        <v>236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3681.26304199214</v>
      </c>
      <c r="F1038" s="14" t="n">
        <f aca="false">$C1039*F1035</f>
        <v>1657.61836667416</v>
      </c>
      <c r="G1038" s="14" t="n">
        <f aca="false">$C1039*G1035</f>
        <v>1091.05925328851</v>
      </c>
      <c r="I1038" s="8" t="s">
        <v>565</v>
      </c>
    </row>
    <row r="1039" customFormat="false" ht="17.15" hidden="false" customHeight="false" outlineLevel="0" collapsed="false">
      <c r="A1039" s="4" t="s">
        <v>566</v>
      </c>
      <c r="B1039" s="4" t="s">
        <v>567</v>
      </c>
      <c r="C1039" s="18" t="n">
        <f aca="false">(C1038+D1038)/(C1035+D1035)</f>
        <v>13.7176686415529</v>
      </c>
      <c r="I1039" s="4" t="s">
        <v>568</v>
      </c>
    </row>
    <row r="1040" customFormat="false" ht="15" hidden="false" customHeight="false" outlineLevel="0" collapsed="false">
      <c r="A1040" s="4" t="s">
        <v>467</v>
      </c>
      <c r="B1040" s="4" t="s">
        <v>236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7410.06683399214</v>
      </c>
      <c r="F1040" s="14" t="n">
        <f aca="false">F1037+F1038</f>
        <v>5833.87861371416</v>
      </c>
      <c r="G1040" s="14" t="n">
        <f aca="false">G1037+G1038</f>
        <v>5768.47072997331</v>
      </c>
    </row>
    <row r="1041" customFormat="false" ht="17.15" hidden="false" customHeight="false" outlineLevel="0" collapsed="false">
      <c r="A1041" s="0" t="s">
        <v>569</v>
      </c>
      <c r="B1041" s="0" t="s">
        <v>72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0.496792151064699</v>
      </c>
      <c r="F1041" s="10" t="n">
        <f aca="false">F1038/F1040</f>
        <v>0.284136588440059</v>
      </c>
      <c r="G1041" s="10" t="n">
        <f aca="false">G1038/G1040</f>
        <v>0.189141854810722</v>
      </c>
    </row>
    <row r="1042" customFormat="false" ht="17.15" hidden="false" customHeight="false" outlineLevel="0" collapsed="false">
      <c r="A1042" s="4" t="s">
        <v>570</v>
      </c>
      <c r="B1042" s="4" t="s">
        <v>236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967.584933325303</v>
      </c>
      <c r="F1042" s="14" t="n">
        <f aca="false">(1-phi_hi)*opex25+phi_hi*opex25/a25_rev*F1040</f>
        <v>813.248584078073</v>
      </c>
      <c r="G1042" s="14" t="n">
        <f aca="false">(1-phi_hi)*opex25+phi_hi*opex25/a25_rev*G1040</f>
        <v>806.844010145419</v>
      </c>
      <c r="I1042" s="4" t="s">
        <v>571</v>
      </c>
    </row>
    <row r="1043" customFormat="false" ht="17.15" hidden="false" customHeight="false" outlineLevel="0" collapsed="false">
      <c r="A1043" s="4" t="s">
        <v>537</v>
      </c>
      <c r="B1043" s="0" t="s">
        <v>72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572</v>
      </c>
    </row>
    <row r="1044" customFormat="false" ht="15" hidden="false" customHeight="false" outlineLevel="0" collapsed="false">
      <c r="A1044" s="4" t="s">
        <v>472</v>
      </c>
      <c r="B1044" s="4" t="s">
        <v>236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4459.71279861202</v>
      </c>
      <c r="F1044" s="14" t="n">
        <f aca="false">F1040*F1043</f>
        <v>3511.09155990071</v>
      </c>
      <c r="G1044" s="14" t="n">
        <f aca="false">G1040*G1043</f>
        <v>3471.72614218126</v>
      </c>
    </row>
    <row r="1045" customFormat="false" ht="15" hidden="false" customHeight="false" outlineLevel="0" collapsed="false">
      <c r="A1045" s="4" t="s">
        <v>475</v>
      </c>
      <c r="B1045" s="4" t="s">
        <v>236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3492.12786528672</v>
      </c>
      <c r="F1045" s="14" t="n">
        <f aca="false">F1044-F1042</f>
        <v>2697.84297582264</v>
      </c>
      <c r="G1045" s="14" t="n">
        <f aca="false">G1044-G1042</f>
        <v>2664.88213203584</v>
      </c>
    </row>
    <row r="1046" customFormat="false" ht="15" hidden="false" customHeight="false" outlineLevel="0" collapsed="false">
      <c r="A1046" s="4" t="s">
        <v>478</v>
      </c>
      <c r="B1046" s="0" t="s">
        <v>72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0.471268065932592</v>
      </c>
      <c r="F1046" s="10" t="n">
        <f aca="false">F1045/F1040</f>
        <v>0.462444139561047</v>
      </c>
      <c r="G1046" s="10" t="n">
        <f aca="false">G1045/G1040</f>
        <v>0.461973763373532</v>
      </c>
    </row>
    <row r="1047" customFormat="false" ht="15" hidden="false" customHeight="false" outlineLevel="0" collapsed="false">
      <c r="A1047" s="4" t="s">
        <v>538</v>
      </c>
      <c r="B1047" s="4" t="s">
        <v>236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2972.73305688913</v>
      </c>
      <c r="F1047" s="14" t="n">
        <f aca="false">F1045*nioi</f>
        <v>2296.58457705575</v>
      </c>
      <c r="G1047" s="14" t="n">
        <f aca="false">G1045*nioi</f>
        <v>2268.5260999072</v>
      </c>
    </row>
    <row r="1048" customFormat="false" ht="15" hidden="false" customHeight="false" outlineLevel="0" collapsed="false">
      <c r="A1048" s="0" t="s">
        <v>539</v>
      </c>
      <c r="B1048" s="0" t="s">
        <v>312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3100.11605750442</v>
      </c>
      <c r="F1048" s="14" t="n">
        <f aca="false">F1047*100/shares</f>
        <v>2394.99429935295</v>
      </c>
      <c r="G1048" s="14" t="n">
        <f aca="false">G1047*100/shares</f>
        <v>2365.73350334714</v>
      </c>
    </row>
    <row r="1049" customFormat="false" ht="17.15" hidden="false" customHeight="false" outlineLevel="0" collapsed="false">
      <c r="A1049" s="4" t="s">
        <v>573</v>
      </c>
      <c r="B1049" s="4" t="s">
        <v>236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11155.3425514913</v>
      </c>
      <c r="F1049" s="14" t="n">
        <f aca="false">$C1039*F1030</f>
        <v>5023.08595961866</v>
      </c>
      <c r="G1049" s="14" t="n">
        <f aca="false">$C1039*G1030</f>
        <v>3306.24016148034</v>
      </c>
      <c r="I1049" s="4" t="s">
        <v>574</v>
      </c>
    </row>
    <row r="1050" customFormat="false" ht="15" hidden="false" customHeight="false" outlineLevel="0" collapsed="false">
      <c r="A1050" s="4" t="s">
        <v>575</v>
      </c>
      <c r="B1050" s="0" t="s">
        <v>343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785.58750362615</v>
      </c>
      <c r="F1050" s="14" t="n">
        <f aca="false">F1049/fx*100</f>
        <v>353.738447860469</v>
      </c>
      <c r="G1050" s="14" t="n">
        <f aca="false">G1049/fx*100</f>
        <v>232.833814188756</v>
      </c>
    </row>
    <row r="1060" customFormat="false" ht="17.15" hidden="false" customHeight="false" outlineLevel="0" collapsed="false">
      <c r="A1060" s="1" t="s">
        <v>909</v>
      </c>
    </row>
    <row r="1061" customFormat="false" ht="15" hidden="false" customHeight="false" outlineLevel="0" collapsed="false">
      <c r="A1061" s="5" t="s">
        <v>24</v>
      </c>
      <c r="B1061" s="5" t="s">
        <v>25</v>
      </c>
      <c r="C1061" s="13" t="s">
        <v>503</v>
      </c>
      <c r="D1061" s="13" t="s">
        <v>504</v>
      </c>
      <c r="E1061" s="13" t="s">
        <v>505</v>
      </c>
      <c r="F1061" s="13" t="s">
        <v>506</v>
      </c>
      <c r="G1061" s="13" t="s">
        <v>507</v>
      </c>
      <c r="H1061" s="13" t="s">
        <v>508</v>
      </c>
      <c r="I1061" s="5" t="s">
        <v>416</v>
      </c>
    </row>
    <row r="1062" customFormat="false" ht="17.15" hidden="false" customHeight="false" outlineLevel="0" collapsed="false">
      <c r="A1062" s="6" t="s">
        <v>542</v>
      </c>
    </row>
    <row r="1063" customFormat="false" ht="17.15" hidden="false" customHeight="false" outlineLevel="0" collapsed="false">
      <c r="A1063" s="0" t="s">
        <v>543</v>
      </c>
      <c r="B1063" s="0" t="s">
        <v>35</v>
      </c>
      <c r="C1063" s="20" t="n">
        <f aca="false">hsA_25</f>
        <v>2.22511470588235</v>
      </c>
      <c r="D1063" s="20" t="n">
        <f aca="false">hsA_26</f>
        <v>3.782695</v>
      </c>
      <c r="E1063" s="20" t="n">
        <f aca="false">hsA_27</f>
        <v>5.86317725</v>
      </c>
      <c r="F1063" s="20" t="n">
        <f aca="false">hsA_28</f>
        <v>8.5016070125</v>
      </c>
      <c r="G1063" s="20" t="n">
        <f aca="false">hsA_29</f>
        <v>11.477169466875</v>
      </c>
      <c r="H1063" s="20" t="n">
        <f aca="false">G1063*(1+g_tail)</f>
        <v>12.6248864135625</v>
      </c>
      <c r="I1063" s="8" t="s">
        <v>544</v>
      </c>
    </row>
    <row r="1064" customFormat="false" ht="17.15" hidden="false" customHeight="false" outlineLevel="0" collapsed="false">
      <c r="A1064" s="0" t="s">
        <v>545</v>
      </c>
      <c r="B1064" s="0" t="s">
        <v>546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547</v>
      </c>
      <c r="B1065" s="4" t="s">
        <v>512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548</v>
      </c>
    </row>
    <row r="1066" customFormat="false" ht="15" hidden="false" customHeight="false" outlineLevel="0" collapsed="false">
      <c r="A1066" s="4" t="s">
        <v>549</v>
      </c>
      <c r="B1066" s="4" t="s">
        <v>99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550</v>
      </c>
      <c r="B1067" s="0" t="s">
        <v>119</v>
      </c>
      <c r="C1067" s="18" t="n">
        <f aca="false">1+beta*(C1066-$C1066)/4</f>
        <v>1</v>
      </c>
      <c r="D1067" s="18" t="n">
        <f aca="false">1+beta*(D1066-$C1066)/4</f>
        <v>1.05</v>
      </c>
      <c r="E1067" s="18" t="n">
        <f aca="false">1+beta*(E1066-$C1066)/4</f>
        <v>1.0625</v>
      </c>
      <c r="F1067" s="18" t="n">
        <f aca="false">1+beta*(F1066-$C1066)/4</f>
        <v>1.1</v>
      </c>
      <c r="G1067" s="18" t="n">
        <f aca="false">1+beta*(G1066-$C1066)/4</f>
        <v>1.125</v>
      </c>
      <c r="H1067" s="18" t="n">
        <f aca="false">1+beta*(H1066-$C1066)/4</f>
        <v>1.15</v>
      </c>
    </row>
    <row r="1068" customFormat="false" ht="17.15" hidden="false" customHeight="false" outlineLevel="0" collapsed="false">
      <c r="A1068" s="4" t="s">
        <v>551</v>
      </c>
      <c r="B1068" s="0" t="s">
        <v>72</v>
      </c>
      <c r="C1068" s="10" t="n">
        <f aca="false">hbp_25</f>
        <v>0</v>
      </c>
      <c r="D1068" s="10" t="n">
        <f aca="false">hbp_26</f>
        <v>0</v>
      </c>
      <c r="E1068" s="10" t="n">
        <f aca="false">hbp_27</f>
        <v>0</v>
      </c>
      <c r="F1068" s="10" t="n">
        <f aca="false">hbp_28_hi</f>
        <v>0.15</v>
      </c>
      <c r="G1068" s="10" t="n">
        <f aca="false">hbp_29_hi</f>
        <v>0.3</v>
      </c>
      <c r="H1068" s="10" t="n">
        <f aca="false">hbp_30_hi</f>
        <v>0.4</v>
      </c>
      <c r="I1068" s="4" t="s">
        <v>552</v>
      </c>
    </row>
    <row r="1069" customFormat="false" ht="17.15" hidden="false" customHeight="false" outlineLevel="0" collapsed="false">
      <c r="A1069" s="0" t="s">
        <v>553</v>
      </c>
      <c r="B1069" s="4" t="s">
        <v>514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2271.143587625</v>
      </c>
      <c r="G1069" s="14" t="n">
        <f aca="false">G1065*G1067*(1-G1068)</f>
        <v>2410.20558804375</v>
      </c>
      <c r="H1069" s="14" t="n">
        <f aca="false">H1065*H1067*(1-H1068)</f>
        <v>2177.79290633953</v>
      </c>
    </row>
    <row r="1070" customFormat="false" ht="17.15" hidden="false" customHeight="false" outlineLevel="0" collapsed="false">
      <c r="A1070" s="4" t="s">
        <v>554</v>
      </c>
      <c r="B1070" s="4" t="s">
        <v>514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MAX(0,hsA_28*8000/F1064*F1067*(1-hbp_28)-E1069)+dlt*E1069</f>
        <v>813.209798471154</v>
      </c>
      <c r="F1070" s="14" t="n">
        <f aca="false">MAX(0,G1069-F1069)+dlt*F1069</f>
        <v>366.17635918125</v>
      </c>
      <c r="G1070" s="14" t="n">
        <f aca="false">MAX(0,H1069-G1069)+dlt*G1069</f>
        <v>241.020558804375</v>
      </c>
      <c r="I1070" s="4" t="s">
        <v>555</v>
      </c>
    </row>
    <row r="1071" customFormat="false" ht="17.15" hidden="false" customHeight="false" outlineLevel="0" collapsed="false">
      <c r="A1071" s="0" t="s">
        <v>556</v>
      </c>
      <c r="B1071" s="0" t="s">
        <v>72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557</v>
      </c>
      <c r="B1072" s="0" t="s">
        <v>72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558</v>
      </c>
      <c r="B1073" s="0" t="s">
        <v>72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559</v>
      </c>
      <c r="B1074" s="0" t="s">
        <v>72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560</v>
      </c>
      <c r="B1075" s="4" t="s">
        <v>514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268.359233495481</v>
      </c>
      <c r="F1075" s="14" t="n">
        <f aca="false">F1070*F1074</f>
        <v>120.838198529813</v>
      </c>
      <c r="G1075" s="14" t="n">
        <f aca="false">G1070*G1074</f>
        <v>79.5367844054438</v>
      </c>
    </row>
    <row r="1076" customFormat="false" ht="17.15" hidden="false" customHeight="false" outlineLevel="0" collapsed="false">
      <c r="A1076" s="6" t="s">
        <v>561</v>
      </c>
    </row>
    <row r="1077" customFormat="false" ht="17.15" hidden="false" customHeight="false" outlineLevel="0" collapsed="false">
      <c r="A1077" s="4" t="s">
        <v>562</v>
      </c>
      <c r="B1077" s="4" t="s">
        <v>236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  <c r="I1077" s="8" t="s">
        <v>563</v>
      </c>
    </row>
    <row r="1078" customFormat="false" ht="17.15" hidden="false" customHeight="false" outlineLevel="0" collapsed="false">
      <c r="A1078" s="0" t="s">
        <v>564</v>
      </c>
      <c r="B1078" s="4" t="s">
        <v>236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3681.26304199214</v>
      </c>
      <c r="F1078" s="14" t="n">
        <f aca="false">$C1079*F1075</f>
        <v>1657.61836667416</v>
      </c>
      <c r="G1078" s="14" t="n">
        <f aca="false">$C1079*G1075</f>
        <v>1091.05925328851</v>
      </c>
      <c r="I1078" s="8" t="s">
        <v>565</v>
      </c>
    </row>
    <row r="1079" customFormat="false" ht="17.15" hidden="false" customHeight="false" outlineLevel="0" collapsed="false">
      <c r="A1079" s="4" t="s">
        <v>566</v>
      </c>
      <c r="B1079" s="4" t="s">
        <v>567</v>
      </c>
      <c r="C1079" s="18" t="n">
        <f aca="false">(C1078+D1078)/(C1075+D1075)</f>
        <v>13.7176686415529</v>
      </c>
      <c r="I1079" s="4" t="s">
        <v>568</v>
      </c>
    </row>
    <row r="1080" customFormat="false" ht="15" hidden="false" customHeight="false" outlineLevel="0" collapsed="false">
      <c r="A1080" s="4" t="s">
        <v>467</v>
      </c>
      <c r="B1080" s="4" t="s">
        <v>236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7410.06683399214</v>
      </c>
      <c r="F1080" s="14" t="n">
        <f aca="false">F1077+F1078</f>
        <v>5833.87861371416</v>
      </c>
      <c r="G1080" s="14" t="n">
        <f aca="false">G1077+G1078</f>
        <v>5768.47072997331</v>
      </c>
    </row>
    <row r="1081" customFormat="false" ht="17.15" hidden="false" customHeight="false" outlineLevel="0" collapsed="false">
      <c r="A1081" s="0" t="s">
        <v>569</v>
      </c>
      <c r="B1081" s="0" t="s">
        <v>72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0.496792151064699</v>
      </c>
      <c r="F1081" s="10" t="n">
        <f aca="false">F1078/F1080</f>
        <v>0.284136588440059</v>
      </c>
      <c r="G1081" s="10" t="n">
        <f aca="false">G1078/G1080</f>
        <v>0.189141854810722</v>
      </c>
    </row>
    <row r="1082" customFormat="false" ht="17.15" hidden="false" customHeight="false" outlineLevel="0" collapsed="false">
      <c r="A1082" s="4" t="s">
        <v>570</v>
      </c>
      <c r="B1082" s="4" t="s">
        <v>236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921.617809518073</v>
      </c>
      <c r="F1082" s="14" t="n">
        <f aca="false">opex_fix+opex_var*F1080</f>
        <v>811.377560055767</v>
      </c>
      <c r="G1082" s="14" t="n">
        <f aca="false">opex_fix+opex_var*G1080</f>
        <v>806.802864389585</v>
      </c>
      <c r="I1082" s="4" t="s">
        <v>571</v>
      </c>
    </row>
    <row r="1083" customFormat="false" ht="17.15" hidden="false" customHeight="false" outlineLevel="0" collapsed="false">
      <c r="A1083" s="4" t="s">
        <v>537</v>
      </c>
      <c r="B1083" s="0" t="s">
        <v>72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572</v>
      </c>
    </row>
    <row r="1084" customFormat="false" ht="15" hidden="false" customHeight="false" outlineLevel="0" collapsed="false">
      <c r="A1084" s="4" t="s">
        <v>472</v>
      </c>
      <c r="B1084" s="4" t="s">
        <v>236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4410.96958671178</v>
      </c>
      <c r="F1084" s="14" t="n">
        <f aca="false">F1080*F1083</f>
        <v>3472.71646992661</v>
      </c>
      <c r="G1084" s="14" t="n">
        <f aca="false">G1080*G1083</f>
        <v>3433.78130343276</v>
      </c>
    </row>
    <row r="1085" customFormat="false" ht="15" hidden="false" customHeight="false" outlineLevel="0" collapsed="false">
      <c r="A1085" s="4" t="s">
        <v>475</v>
      </c>
      <c r="B1085" s="4" t="s">
        <v>236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3489.35177719371</v>
      </c>
      <c r="F1085" s="14" t="n">
        <f aca="false">F1084-F1082</f>
        <v>2661.33890987084</v>
      </c>
      <c r="G1085" s="14" t="n">
        <f aca="false">G1084-G1082</f>
        <v>2626.97843904317</v>
      </c>
    </row>
    <row r="1086" customFormat="false" ht="15" hidden="false" customHeight="false" outlineLevel="0" collapsed="false">
      <c r="A1086" s="4" t="s">
        <v>478</v>
      </c>
      <c r="B1086" s="0" t="s">
        <v>72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0.47089342854332</v>
      </c>
      <c r="F1086" s="10" t="n">
        <f aca="false">F1085/F1080</f>
        <v>0.456186884590746</v>
      </c>
      <c r="G1086" s="10" t="n">
        <f aca="false">G1085/G1080</f>
        <v>0.455402924278221</v>
      </c>
    </row>
    <row r="1087" customFormat="false" ht="15" hidden="false" customHeight="false" outlineLevel="0" collapsed="false">
      <c r="A1087" s="4" t="s">
        <v>538</v>
      </c>
      <c r="B1087" s="4" t="s">
        <v>236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2512.33327957947</v>
      </c>
      <c r="F1087" s="14" t="n">
        <f aca="false">F1085*nioi_lo</f>
        <v>1916.16401510701</v>
      </c>
      <c r="G1087" s="14" t="n">
        <f aca="false">G1085*nioi_lo</f>
        <v>1891.42447611109</v>
      </c>
    </row>
    <row r="1088" customFormat="false" ht="15" hidden="false" customHeight="false" outlineLevel="0" collapsed="false">
      <c r="A1088" s="0" t="s">
        <v>539</v>
      </c>
      <c r="B1088" s="0" t="s">
        <v>312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2619.98793459696</v>
      </c>
      <c r="F1088" s="14" t="n">
        <f aca="false">F1087*100/shares</f>
        <v>1998.27253855809</v>
      </c>
      <c r="G1088" s="14" t="n">
        <f aca="false">G1087*100/shares</f>
        <v>1972.47289875566</v>
      </c>
    </row>
    <row r="1089" customFormat="false" ht="17.15" hidden="false" customHeight="false" outlineLevel="0" collapsed="false">
      <c r="A1089" s="4" t="s">
        <v>573</v>
      </c>
      <c r="B1089" s="4" t="s">
        <v>236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11155.3425514913</v>
      </c>
      <c r="F1089" s="14" t="n">
        <f aca="false">$C1079*F1070</f>
        <v>5023.08595961866</v>
      </c>
      <c r="G1089" s="14" t="n">
        <f aca="false">$C1079*G1070</f>
        <v>3306.24016148034</v>
      </c>
      <c r="I1089" s="4" t="s">
        <v>574</v>
      </c>
    </row>
    <row r="1090" customFormat="false" ht="15" hidden="false" customHeight="false" outlineLevel="0" collapsed="false">
      <c r="A1090" s="4" t="s">
        <v>575</v>
      </c>
      <c r="B1090" s="0" t="s">
        <v>343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785.58750362615</v>
      </c>
      <c r="F1090" s="14" t="n">
        <f aca="false">F1089/fx*100</f>
        <v>353.738447860469</v>
      </c>
      <c r="G1090" s="14" t="n">
        <f aca="false">G1089/fx*100</f>
        <v>232.833814188756</v>
      </c>
    </row>
    <row r="1100" customFormat="false" ht="17.15" hidden="false" customHeight="false" outlineLevel="0" collapsed="false">
      <c r="A1100" s="1" t="s">
        <v>910</v>
      </c>
    </row>
    <row r="1101" customFormat="false" ht="15" hidden="false" customHeight="false" outlineLevel="0" collapsed="false">
      <c r="A1101" s="5" t="s">
        <v>24</v>
      </c>
      <c r="B1101" s="5" t="s">
        <v>25</v>
      </c>
      <c r="C1101" s="13" t="s">
        <v>503</v>
      </c>
      <c r="D1101" s="13" t="s">
        <v>504</v>
      </c>
      <c r="E1101" s="13" t="s">
        <v>505</v>
      </c>
      <c r="F1101" s="13" t="s">
        <v>506</v>
      </c>
      <c r="G1101" s="13" t="s">
        <v>507</v>
      </c>
      <c r="H1101" s="13" t="s">
        <v>508</v>
      </c>
      <c r="I1101" s="5" t="s">
        <v>416</v>
      </c>
    </row>
    <row r="1102" customFormat="false" ht="17.15" hidden="false" customHeight="false" outlineLevel="0" collapsed="false">
      <c r="A1102" s="6" t="s">
        <v>542</v>
      </c>
    </row>
    <row r="1103" customFormat="false" ht="17.15" hidden="false" customHeight="false" outlineLevel="0" collapsed="false">
      <c r="A1103" s="0" t="s">
        <v>543</v>
      </c>
      <c r="B1103" s="0" t="s">
        <v>35</v>
      </c>
      <c r="C1103" s="20" t="n">
        <f aca="false">hsA_25</f>
        <v>2.22511470588235</v>
      </c>
      <c r="D1103" s="20" t="n">
        <f aca="false">hsA_26</f>
        <v>3.782695</v>
      </c>
      <c r="E1103" s="20" t="n">
        <f aca="false">hsA_27</f>
        <v>5.86317725</v>
      </c>
      <c r="F1103" s="20" t="n">
        <f aca="false">hsA_28</f>
        <v>8.5016070125</v>
      </c>
      <c r="G1103" s="20" t="n">
        <f aca="false">hsA_29</f>
        <v>11.477169466875</v>
      </c>
      <c r="H1103" s="20" t="n">
        <f aca="false">G1103*(1+g_tail)</f>
        <v>12.6248864135625</v>
      </c>
      <c r="I1103" s="8" t="s">
        <v>544</v>
      </c>
    </row>
    <row r="1104" customFormat="false" ht="17.15" hidden="false" customHeight="false" outlineLevel="0" collapsed="false">
      <c r="A1104" s="0" t="s">
        <v>545</v>
      </c>
      <c r="B1104" s="0" t="s">
        <v>546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547</v>
      </c>
      <c r="B1105" s="4" t="s">
        <v>512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548</v>
      </c>
    </row>
    <row r="1106" customFormat="false" ht="15" hidden="false" customHeight="false" outlineLevel="0" collapsed="false">
      <c r="A1106" s="4" t="s">
        <v>549</v>
      </c>
      <c r="B1106" s="4" t="s">
        <v>99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550</v>
      </c>
      <c r="B1107" s="0" t="s">
        <v>119</v>
      </c>
      <c r="C1107" s="18" t="n">
        <f aca="false">1+beta*(C1106-$C1106)/4</f>
        <v>1</v>
      </c>
      <c r="D1107" s="18" t="n">
        <f aca="false">1+beta*(D1106-$C1106)/4</f>
        <v>1.05</v>
      </c>
      <c r="E1107" s="18" t="n">
        <f aca="false">1+beta*(E1106-$C1106)/4</f>
        <v>1.0625</v>
      </c>
      <c r="F1107" s="18" t="n">
        <f aca="false">1+beta*(F1106-$C1106)/4</f>
        <v>1.1</v>
      </c>
      <c r="G1107" s="18" t="n">
        <f aca="false">1+beta*(G1106-$C1106)/4</f>
        <v>1.125</v>
      </c>
      <c r="H1107" s="18" t="n">
        <f aca="false">1+beta*(H1106-$C1106)/4</f>
        <v>1.15</v>
      </c>
    </row>
    <row r="1108" customFormat="false" ht="17.15" hidden="false" customHeight="false" outlineLevel="0" collapsed="false">
      <c r="A1108" s="4" t="s">
        <v>551</v>
      </c>
      <c r="B1108" s="0" t="s">
        <v>72</v>
      </c>
      <c r="C1108" s="10" t="n">
        <f aca="false">hbp_25</f>
        <v>0</v>
      </c>
      <c r="D1108" s="10" t="n">
        <f aca="false">hbp_26</f>
        <v>0</v>
      </c>
      <c r="E1108" s="10" t="n">
        <f aca="false">hbp_27</f>
        <v>0</v>
      </c>
      <c r="F1108" s="10" t="n">
        <f aca="false">hbp_28_hi</f>
        <v>0.15</v>
      </c>
      <c r="G1108" s="10" t="n">
        <f aca="false">hbp_29_hi</f>
        <v>0.3</v>
      </c>
      <c r="H1108" s="10" t="n">
        <f aca="false">hbp_30_hi</f>
        <v>0.4</v>
      </c>
      <c r="I1108" s="4" t="s">
        <v>552</v>
      </c>
    </row>
    <row r="1109" customFormat="false" ht="17.15" hidden="false" customHeight="false" outlineLevel="0" collapsed="false">
      <c r="A1109" s="0" t="s">
        <v>553</v>
      </c>
      <c r="B1109" s="4" t="s">
        <v>514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2271.143587625</v>
      </c>
      <c r="G1109" s="14" t="n">
        <f aca="false">G1105*G1107*(1-G1108)</f>
        <v>2410.20558804375</v>
      </c>
      <c r="H1109" s="14" t="n">
        <f aca="false">H1105*H1107*(1-H1108)</f>
        <v>2177.79290633953</v>
      </c>
    </row>
    <row r="1110" customFormat="false" ht="17.15" hidden="false" customHeight="false" outlineLevel="0" collapsed="false">
      <c r="A1110" s="4" t="s">
        <v>554</v>
      </c>
      <c r="B1110" s="4" t="s">
        <v>514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MAX(0,hsA_28*8000/F1104*F1107*(1-hbp_28)-E1109)+dlt*E1109</f>
        <v>813.209798471154</v>
      </c>
      <c r="F1110" s="14" t="n">
        <f aca="false">MAX(0,G1109-F1109)+dlt*F1109</f>
        <v>366.17635918125</v>
      </c>
      <c r="G1110" s="14" t="n">
        <f aca="false">MAX(0,H1109-G1109)+dlt*G1109</f>
        <v>241.020558804375</v>
      </c>
      <c r="I1110" s="4" t="s">
        <v>555</v>
      </c>
    </row>
    <row r="1111" customFormat="false" ht="17.15" hidden="false" customHeight="false" outlineLevel="0" collapsed="false">
      <c r="A1111" s="0" t="s">
        <v>556</v>
      </c>
      <c r="B1111" s="0" t="s">
        <v>72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557</v>
      </c>
      <c r="B1112" s="0" t="s">
        <v>72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558</v>
      </c>
      <c r="B1113" s="0" t="s">
        <v>72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559</v>
      </c>
      <c r="B1114" s="0" t="s">
        <v>72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560</v>
      </c>
      <c r="B1115" s="4" t="s">
        <v>514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268.359233495481</v>
      </c>
      <c r="F1115" s="14" t="n">
        <f aca="false">F1110*F1114</f>
        <v>120.838198529813</v>
      </c>
      <c r="G1115" s="14" t="n">
        <f aca="false">G1110*G1114</f>
        <v>79.5367844054438</v>
      </c>
    </row>
    <row r="1116" customFormat="false" ht="17.15" hidden="false" customHeight="false" outlineLevel="0" collapsed="false">
      <c r="A1116" s="6" t="s">
        <v>561</v>
      </c>
    </row>
    <row r="1117" customFormat="false" ht="17.15" hidden="false" customHeight="false" outlineLevel="0" collapsed="false">
      <c r="A1117" s="4" t="s">
        <v>562</v>
      </c>
      <c r="B1117" s="4" t="s">
        <v>236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  <c r="I1117" s="8" t="s">
        <v>563</v>
      </c>
    </row>
    <row r="1118" customFormat="false" ht="17.15" hidden="false" customHeight="false" outlineLevel="0" collapsed="false">
      <c r="A1118" s="0" t="s">
        <v>564</v>
      </c>
      <c r="B1118" s="4" t="s">
        <v>236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3681.26304199214</v>
      </c>
      <c r="F1118" s="14" t="n">
        <f aca="false">$C1119*F1115</f>
        <v>1657.61836667416</v>
      </c>
      <c r="G1118" s="14" t="n">
        <f aca="false">$C1119*G1115</f>
        <v>1091.05925328851</v>
      </c>
      <c r="I1118" s="8" t="s">
        <v>565</v>
      </c>
    </row>
    <row r="1119" customFormat="false" ht="17.15" hidden="false" customHeight="false" outlineLevel="0" collapsed="false">
      <c r="A1119" s="4" t="s">
        <v>566</v>
      </c>
      <c r="B1119" s="4" t="s">
        <v>567</v>
      </c>
      <c r="C1119" s="18" t="n">
        <f aca="false">(C1118+D1118)/(C1115+D1115)</f>
        <v>13.7176686415529</v>
      </c>
      <c r="I1119" s="4" t="s">
        <v>568</v>
      </c>
    </row>
    <row r="1120" customFormat="false" ht="15" hidden="false" customHeight="false" outlineLevel="0" collapsed="false">
      <c r="A1120" s="4" t="s">
        <v>467</v>
      </c>
      <c r="B1120" s="4" t="s">
        <v>236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7410.06683399214</v>
      </c>
      <c r="F1120" s="14" t="n">
        <f aca="false">F1117+F1118</f>
        <v>5833.87861371416</v>
      </c>
      <c r="G1120" s="14" t="n">
        <f aca="false">G1117+G1118</f>
        <v>5768.47072997331</v>
      </c>
    </row>
    <row r="1121" customFormat="false" ht="17.15" hidden="false" customHeight="false" outlineLevel="0" collapsed="false">
      <c r="A1121" s="0" t="s">
        <v>569</v>
      </c>
      <c r="B1121" s="0" t="s">
        <v>72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0.496792151064699</v>
      </c>
      <c r="F1121" s="10" t="n">
        <f aca="false">F1118/F1120</f>
        <v>0.284136588440059</v>
      </c>
      <c r="G1121" s="10" t="n">
        <f aca="false">G1118/G1120</f>
        <v>0.189141854810722</v>
      </c>
    </row>
    <row r="1122" customFormat="false" ht="17.15" hidden="false" customHeight="false" outlineLevel="0" collapsed="false">
      <c r="A1122" s="4" t="s">
        <v>570</v>
      </c>
      <c r="B1122" s="4" t="s">
        <v>236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921.617809518073</v>
      </c>
      <c r="F1122" s="14" t="n">
        <f aca="false">opex_fix+opex_var*F1120</f>
        <v>811.377560055767</v>
      </c>
      <c r="G1122" s="14" t="n">
        <f aca="false">opex_fix+opex_var*G1120</f>
        <v>806.802864389585</v>
      </c>
      <c r="I1122" s="4" t="s">
        <v>571</v>
      </c>
    </row>
    <row r="1123" customFormat="false" ht="17.15" hidden="false" customHeight="false" outlineLevel="0" collapsed="false">
      <c r="A1123" s="4" t="s">
        <v>537</v>
      </c>
      <c r="B1123" s="0" t="s">
        <v>72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572</v>
      </c>
    </row>
    <row r="1124" customFormat="false" ht="15" hidden="false" customHeight="false" outlineLevel="0" collapsed="false">
      <c r="A1124" s="4" t="s">
        <v>472</v>
      </c>
      <c r="B1124" s="4" t="s">
        <v>236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4410.96958671178</v>
      </c>
      <c r="F1124" s="14" t="n">
        <f aca="false">F1120*F1123</f>
        <v>3472.71646992661</v>
      </c>
      <c r="G1124" s="14" t="n">
        <f aca="false">G1120*G1123</f>
        <v>3433.78130343276</v>
      </c>
    </row>
    <row r="1125" customFormat="false" ht="15" hidden="false" customHeight="false" outlineLevel="0" collapsed="false">
      <c r="A1125" s="4" t="s">
        <v>475</v>
      </c>
      <c r="B1125" s="4" t="s">
        <v>236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3489.35177719371</v>
      </c>
      <c r="F1125" s="14" t="n">
        <f aca="false">F1124-F1122</f>
        <v>2661.33890987084</v>
      </c>
      <c r="G1125" s="14" t="n">
        <f aca="false">G1124-G1122</f>
        <v>2626.97843904317</v>
      </c>
    </row>
    <row r="1126" customFormat="false" ht="15" hidden="false" customHeight="false" outlineLevel="0" collapsed="false">
      <c r="A1126" s="4" t="s">
        <v>478</v>
      </c>
      <c r="B1126" s="0" t="s">
        <v>72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0.47089342854332</v>
      </c>
      <c r="F1126" s="10" t="n">
        <f aca="false">F1125/F1120</f>
        <v>0.456186884590746</v>
      </c>
      <c r="G1126" s="10" t="n">
        <f aca="false">G1125/G1120</f>
        <v>0.455402924278221</v>
      </c>
    </row>
    <row r="1127" customFormat="false" ht="15" hidden="false" customHeight="false" outlineLevel="0" collapsed="false">
      <c r="A1127" s="4" t="s">
        <v>538</v>
      </c>
      <c r="B1127" s="4" t="s">
        <v>236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3314.88418833402</v>
      </c>
      <c r="F1127" s="14" t="n">
        <f aca="false">F1125*nioi_hi</f>
        <v>2528.2719643773</v>
      </c>
      <c r="G1127" s="14" t="n">
        <f aca="false">G1125*nioi_hi</f>
        <v>2495.62951709102</v>
      </c>
    </row>
    <row r="1128" customFormat="false" ht="15" hidden="false" customHeight="false" outlineLevel="0" collapsed="false">
      <c r="A1128" s="0" t="s">
        <v>539</v>
      </c>
      <c r="B1128" s="0" t="s">
        <v>312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3456.92852481544</v>
      </c>
      <c r="F1128" s="14" t="n">
        <f aca="false">F1127*100/shares</f>
        <v>2636.60959948637</v>
      </c>
      <c r="G1128" s="14" t="n">
        <f aca="false">G1127*100/shares</f>
        <v>2602.56840808038</v>
      </c>
    </row>
    <row r="1129" customFormat="false" ht="17.15" hidden="false" customHeight="false" outlineLevel="0" collapsed="false">
      <c r="A1129" s="4" t="s">
        <v>573</v>
      </c>
      <c r="B1129" s="4" t="s">
        <v>236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11155.3425514913</v>
      </c>
      <c r="F1129" s="14" t="n">
        <f aca="false">$C1119*F1110</f>
        <v>5023.08595961866</v>
      </c>
      <c r="G1129" s="14" t="n">
        <f aca="false">$C1119*G1110</f>
        <v>3306.24016148034</v>
      </c>
      <c r="I1129" s="4" t="s">
        <v>574</v>
      </c>
    </row>
    <row r="1130" customFormat="false" ht="15" hidden="false" customHeight="false" outlineLevel="0" collapsed="false">
      <c r="A1130" s="4" t="s">
        <v>575</v>
      </c>
      <c r="B1130" s="0" t="s">
        <v>343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785.58750362615</v>
      </c>
      <c r="F1130" s="14" t="n">
        <f aca="false">F1129/fx*100</f>
        <v>353.738447860469</v>
      </c>
      <c r="G1130" s="14" t="n">
        <f aca="false">G1129/fx*100</f>
        <v>232.833814188756</v>
      </c>
    </row>
    <row r="1133" customFormat="false" ht="17.15" hidden="false" customHeight="false" outlineLevel="0" collapsed="false">
      <c r="A1133" s="1" t="s">
        <v>911</v>
      </c>
    </row>
    <row r="1134" customFormat="false" ht="17.15" hidden="false" customHeight="false" outlineLevel="0" collapsed="false">
      <c r="A1134" s="5" t="s">
        <v>825</v>
      </c>
      <c r="B1134" s="5" t="s">
        <v>826</v>
      </c>
      <c r="C1134" s="13" t="s">
        <v>912</v>
      </c>
      <c r="D1134" s="13" t="s">
        <v>786</v>
      </c>
      <c r="E1134" s="5" t="s">
        <v>913</v>
      </c>
      <c r="F1134" s="5" t="s">
        <v>829</v>
      </c>
    </row>
    <row r="1135" customFormat="false" ht="17.15" hidden="false" customHeight="false" outlineLevel="0" collapsed="false">
      <c r="A1135" s="4" t="s">
        <v>27</v>
      </c>
      <c r="B1135" s="0" t="s">
        <v>914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35" s="14" t="n">
        <f aca="false">tp_comp_adj</f>
        <v>45916.2473902281</v>
      </c>
      <c r="E1135" s="14" t="n">
        <f aca="false">tp_w_dcf*C1135+(1-tp_w_dcf)*D1135</f>
        <v>36848.0931174305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915</v>
      </c>
      <c r="B1136" s="0" t="s">
        <v>916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24376.3347077947</v>
      </c>
      <c r="D1136" s="14" t="n">
        <f aca="false">tp_comp_adj</f>
        <v>45916.2473902281</v>
      </c>
      <c r="E1136" s="14" t="n">
        <f aca="false">tp_w_dcf*C1136+(1-tp_w_dcf)*D1136</f>
        <v>35146.2910490114</v>
      </c>
      <c r="F1136" s="10" t="n">
        <f aca="false">E1136/E$1135-1</f>
        <v>-0.0461842642167577</v>
      </c>
    </row>
    <row r="1137" customFormat="false" ht="17.15" hidden="false" customHeight="false" outlineLevel="0" collapsed="false">
      <c r="A1137" s="4" t="s">
        <v>917</v>
      </c>
      <c r="B1137" s="0" t="s">
        <v>918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32538.4609054787</v>
      </c>
      <c r="D1137" s="14" t="n">
        <f aca="false">tp_comp_adj</f>
        <v>45916.2473902281</v>
      </c>
      <c r="E1137" s="14" t="n">
        <f aca="false">tp_w_dcf*C1137+(1-tp_w_dcf)*D1137</f>
        <v>39227.3541478534</v>
      </c>
      <c r="F1137" s="10" t="n">
        <f aca="false">E1137/E$1135-1</f>
        <v>0.0645694479451209</v>
      </c>
    </row>
    <row r="1138" customFormat="false" ht="17.15" hidden="false" customHeight="false" outlineLevel="0" collapsed="false">
      <c r="A1138" s="4" t="s">
        <v>919</v>
      </c>
      <c r="B1138" s="0" t="s">
        <v>920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30672.1082062277</v>
      </c>
      <c r="D1138" s="14" t="n">
        <f aca="false">tp_comp_adj</f>
        <v>45916.2473902281</v>
      </c>
      <c r="E1138" s="14" t="n">
        <f aca="false">tp_w_dcf*C1138+(1-tp_w_dcf)*D1138</f>
        <v>38294.1777982279</v>
      </c>
      <c r="F1138" s="10" t="n">
        <f aca="false">E1138/E$1135-1</f>
        <v>0.0392444915993058</v>
      </c>
    </row>
    <row r="1139" customFormat="false" ht="17.15" hidden="false" customHeight="false" outlineLevel="0" collapsed="false">
      <c r="A1139" s="4" t="s">
        <v>921</v>
      </c>
      <c r="B1139" s="0" t="s">
        <v>922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25785.7729890259</v>
      </c>
      <c r="D1139" s="14" t="n">
        <f aca="false">tp_comp_adj</f>
        <v>45916.2473902281</v>
      </c>
      <c r="E1139" s="14" t="n">
        <f aca="false">tp_w_dcf*C1139+(1-tp_w_dcf)*D1139</f>
        <v>35851.010189627</v>
      </c>
      <c r="F1139" s="10" t="n">
        <f aca="false">E1139/E$1135-1</f>
        <v>-0.0270592815922895</v>
      </c>
    </row>
    <row r="1140" customFormat="false" ht="17.15" hidden="false" customHeight="false" outlineLevel="0" collapsed="false">
      <c r="A1140" s="0" t="s">
        <v>923</v>
      </c>
      <c r="B1140" s="0" t="s">
        <v>924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0" s="14" t="n">
        <f aca="false">tp_comp_adj</f>
        <v>45916.2473902281</v>
      </c>
      <c r="E1140" s="14" t="n">
        <f aca="false">0.4*C1140+(1-0.4)*D1140</f>
        <v>38661.72397199</v>
      </c>
      <c r="F1140" s="10" t="n">
        <f aca="false">E1140/E$1135-1</f>
        <v>0.0492191237353774</v>
      </c>
    </row>
    <row r="1141" customFormat="false" ht="17.15" hidden="false" customHeight="false" outlineLevel="0" collapsed="false">
      <c r="A1141" s="0" t="s">
        <v>925</v>
      </c>
      <c r="B1141" s="0" t="s">
        <v>926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27779.9388446329</v>
      </c>
      <c r="D1141" s="14" t="n">
        <f aca="false">tp_comp_adj</f>
        <v>45916.2473902281</v>
      </c>
      <c r="E1141" s="14" t="n">
        <f aca="false">0.8*C1141+(1-0.8)*D1141</f>
        <v>31407.2005537519</v>
      </c>
      <c r="F1141" s="10" t="n">
        <f aca="false">E1141/E$1135-1</f>
        <v>-0.147657371206132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927</v>
      </c>
    </row>
    <row r="2" customFormat="false" ht="17.15" hidden="false" customHeight="false" outlineLevel="0" collapsed="false">
      <c r="A2" s="4" t="s">
        <v>928</v>
      </c>
      <c r="B2" s="0" t="s">
        <v>929</v>
      </c>
    </row>
    <row r="3" customFormat="false" ht="17.15" hidden="false" customHeight="false" outlineLevel="0" collapsed="false">
      <c r="A3" s="0" t="s">
        <v>930</v>
      </c>
      <c r="B3" s="0" t="s">
        <v>931</v>
      </c>
    </row>
    <row r="4" customFormat="false" ht="17.15" hidden="false" customHeight="false" outlineLevel="0" collapsed="false">
      <c r="A4" s="0" t="s">
        <v>932</v>
      </c>
      <c r="B4" s="0" t="s">
        <v>933</v>
      </c>
    </row>
    <row r="5" customFormat="false" ht="17.15" hidden="false" customHeight="false" outlineLevel="0" collapsed="false">
      <c r="A5" s="0" t="s">
        <v>934</v>
      </c>
      <c r="B5" s="0" t="s">
        <v>935</v>
      </c>
    </row>
    <row r="6" customFormat="false" ht="17.15" hidden="false" customHeight="false" outlineLevel="0" collapsed="false">
      <c r="A6" s="0" t="s">
        <v>936</v>
      </c>
      <c r="B6" s="0" t="s">
        <v>937</v>
      </c>
    </row>
    <row r="7" customFormat="false" ht="17.15" hidden="false" customHeight="false" outlineLevel="0" collapsed="false">
      <c r="A7" s="0" t="s">
        <v>938</v>
      </c>
      <c r="B7" s="0" t="s">
        <v>939</v>
      </c>
    </row>
    <row r="8" customFormat="false" ht="17.15" hidden="false" customHeight="false" outlineLevel="0" collapsed="false">
      <c r="A8" s="0" t="s">
        <v>940</v>
      </c>
      <c r="B8" s="0" t="s">
        <v>941</v>
      </c>
    </row>
    <row r="9" customFormat="false" ht="17.15" hidden="false" customHeight="false" outlineLevel="0" collapsed="false">
      <c r="A9" s="0" t="s">
        <v>942</v>
      </c>
      <c r="B9" s="0" t="s">
        <v>943</v>
      </c>
    </row>
    <row r="10" customFormat="false" ht="17.15" hidden="false" customHeight="false" outlineLevel="0" collapsed="false">
      <c r="A10" s="0" t="s">
        <v>944</v>
      </c>
      <c r="B10" s="0" t="s">
        <v>945</v>
      </c>
    </row>
    <row r="11" customFormat="false" ht="17.15" hidden="false" customHeight="false" outlineLevel="0" collapsed="false">
      <c r="A11" s="0" t="s">
        <v>946</v>
      </c>
      <c r="B11" s="0" t="s">
        <v>947</v>
      </c>
    </row>
    <row r="12" customFormat="false" ht="17.15" hidden="false" customHeight="false" outlineLevel="0" collapsed="false">
      <c r="A12" s="0" t="s">
        <v>948</v>
      </c>
      <c r="B12" s="0" t="s">
        <v>949</v>
      </c>
    </row>
    <row r="13" customFormat="false" ht="17.15" hidden="false" customHeight="false" outlineLevel="0" collapsed="false">
      <c r="A13" s="0" t="s">
        <v>950</v>
      </c>
      <c r="B13" s="0" t="s">
        <v>951</v>
      </c>
    </row>
    <row r="14" customFormat="false" ht="17.15" hidden="false" customHeight="false" outlineLevel="0" collapsed="false">
      <c r="A14" s="0" t="s">
        <v>952</v>
      </c>
      <c r="B14" s="0" t="s">
        <v>953</v>
      </c>
    </row>
    <row r="15" customFormat="false" ht="17.15" hidden="false" customHeight="false" outlineLevel="0" collapsed="false">
      <c r="A15" s="0" t="s">
        <v>954</v>
      </c>
      <c r="B15" s="0" t="s">
        <v>955</v>
      </c>
    </row>
    <row r="16" customFormat="false" ht="17.15" hidden="false" customHeight="false" outlineLevel="0" collapsed="false">
      <c r="A16" s="0" t="s">
        <v>956</v>
      </c>
      <c r="B16" s="0" t="s">
        <v>957</v>
      </c>
    </row>
    <row r="17" customFormat="false" ht="17.15" hidden="false" customHeight="false" outlineLevel="0" collapsed="false">
      <c r="A17" s="0" t="s">
        <v>958</v>
      </c>
      <c r="B17" s="0" t="s">
        <v>959</v>
      </c>
    </row>
    <row r="18" customFormat="false" ht="17.15" hidden="false" customHeight="false" outlineLevel="0" collapsed="false">
      <c r="A18" s="0" t="s">
        <v>960</v>
      </c>
      <c r="B18" s="0" t="s">
        <v>961</v>
      </c>
    </row>
    <row r="19" customFormat="false" ht="17.15" hidden="false" customHeight="false" outlineLevel="0" collapsed="false">
      <c r="A19" s="0" t="s">
        <v>962</v>
      </c>
      <c r="B19" s="0" t="s">
        <v>963</v>
      </c>
    </row>
    <row r="20" customFormat="false" ht="17.15" hidden="false" customHeight="false" outlineLevel="0" collapsed="false">
      <c r="A20" s="0" t="s">
        <v>964</v>
      </c>
      <c r="B20" s="0" t="s">
        <v>965</v>
      </c>
    </row>
    <row r="21" customFormat="false" ht="17.15" hidden="false" customHeight="false" outlineLevel="0" collapsed="false">
      <c r="A21" s="4" t="s">
        <v>966</v>
      </c>
    </row>
    <row r="22" customFormat="false" ht="15" hidden="false" customHeight="false" outlineLevel="0" collapsed="false">
      <c r="A22" s="0" t="s">
        <v>967</v>
      </c>
      <c r="B22" s="4" t="s">
        <v>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2026-10-30T19:29:25Z</dcterms:created>
  <dc:creator>openpyxl</dc:creator>
  <dc:description/>
  <dc:language>en-US</dc:language>
  <cp:lastModifiedBy/>
  <dcterms:modified xsi:type="dcterms:W3CDTF">2026-10-30T19:29:26Z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