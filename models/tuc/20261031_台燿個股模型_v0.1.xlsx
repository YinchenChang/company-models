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In!$E$34</definedName>
    <definedName function="false" hidden="false" name="ai_26" vbProcedure="false">In!$E$35</definedName>
    <definedName function="false" hidden="false" name="b_eps26u" vbProcedure="false">In!$E$60</definedName>
    <definedName function="false" hidden="false" name="b_eps27u" vbProcedure="false">In!$E$61</definedName>
    <definedName function="false" hidden="false" name="b_eps28u" vbProcedure="false">In!$E$62</definedName>
    <definedName function="false" hidden="false" name="cap_26" vbProcedure="false">In!$E$26</definedName>
    <definedName function="false" hidden="false" name="cap_27" vbProcedure="false">In!$E$27</definedName>
    <definedName function="false" hidden="false" name="cap_28" vbProcedure="false">In!$E$28</definedName>
    <definedName function="false" hidden="false" name="cap_29" vbProcedure="false">In!$E$29</definedName>
    <definedName function="false" hidden="false" name="cons_feps" vbProcedure="false">In!$E$78</definedName>
    <definedName function="false" hidden="false" name="cons_tp" vbProcedure="false">In!$E$77</definedName>
    <definedName function="false" hidden="false" name="c_eps26f" vbProcedure="false">In!$E$55</definedName>
    <definedName function="false" hidden="false" name="c_eps27f" vbProcedure="false">In!$E$56</definedName>
    <definedName function="false" hidden="false" name="c_eps28f" vbProcedure="false">In!$E$59</definedName>
    <definedName function="false" hidden="false" name="c_rev26f" vbProcedure="false">In!$E$57</definedName>
    <definedName function="false" hidden="false" name="c_rev27f" vbProcedure="false">In!$E$58</definedName>
    <definedName function="false" hidden="false" name="d_ai" vbProcedure="false">In!$E$40</definedName>
    <definedName function="false" hidden="false" name="fade_gA" vbProcedure="false">In!$E$73</definedName>
    <definedName function="false" hidden="false" name="fade_gB" vbProcedure="false">In!$E$74</definedName>
    <definedName function="false" hidden="false" name="fade_gC" vbProcedure="false">In!$E$75</definedName>
    <definedName function="false" hidden="false" name="fx" vbProcedure="false">In!$E$17</definedName>
    <definedName function="false" hidden="false" name="gw28_A" vbProcedure="false">In!$E$7</definedName>
    <definedName function="false" hidden="false" name="gw28_B" vbProcedure="false">In!$E$8</definedName>
    <definedName function="false" hidden="false" name="gw28_C" vbProcedure="false">In!$E$9</definedName>
    <definedName function="false" hidden="false" name="gw29_A" vbProcedure="false">In!$E$10</definedName>
    <definedName function="false" hidden="false" name="gw29_B" vbProcedure="false">In!$E$11</definedName>
    <definedName function="false" hidden="false" name="gw29_C" vbProcedure="false">In!$E$12</definedName>
    <definedName function="false" hidden="false" name="gw_26" vbProcedure="false">In!$E$5</definedName>
    <definedName function="false" hidden="false" name="gw_27" vbProcedure="false">In!$E$6</definedName>
    <definedName function="false" hidden="false" name="g_nai27" vbProcedure="false">In!$E$36</definedName>
    <definedName function="false" hidden="false" name="g_nai28" vbProcedure="false">In!$E$37</definedName>
    <definedName function="false" hidden="false" name="g_nai29" vbProcedure="false">In!$E$38</definedName>
    <definedName function="false" hidden="false" name="mf" vbProcedure="false">In!$E$53</definedName>
    <definedName function="false" hidden="false" name="mix_27" vbProcedure="false">In!$E$30</definedName>
    <definedName function="false" hidden="false" name="mix_28" vbProcedure="false">In!$E$31</definedName>
    <definedName function="false" hidden="false" name="mix_29" vbProcedure="false">In!$E$32</definedName>
    <definedName function="false" hidden="false" name="nim10_f" vbProcedure="false">In!$E$76</definedName>
    <definedName function="false" hidden="false" name="nir_f" vbProcedure="false">In!$E$51</definedName>
    <definedName function="false" hidden="false" name="nop_f" vbProcedure="false">In!$E$50</definedName>
    <definedName function="false" hidden="false" name="pgw_26" vbProcedure="false">In!$E$13</definedName>
    <definedName function="false" hidden="false" name="pgw_27" vbProcedure="false">In!$E$14</definedName>
    <definedName function="false" hidden="false" name="pgw_28" vbProcedure="false">In!$E$15</definedName>
    <definedName function="false" hidden="false" name="pgw_29" vbProcedure="false">In!$E$16</definedName>
    <definedName function="false" hidden="false" name="phi" vbProcedure="false">In!$E$49</definedName>
    <definedName function="false" hidden="false" name="pp_27" vbProcedure="false">In!$E$22</definedName>
    <definedName function="false" hidden="false" name="pp_28" vbProcedure="false">In!$E$23</definedName>
    <definedName function="false" hidden="false" name="pp_29" vbProcedure="false">In!$E$24</definedName>
    <definedName function="false" hidden="false" name="px" vbProcedure="false">In!$E$64</definedName>
    <definedName function="false" hidden="false" name="q4g" vbProcedure="false">In!$E$42</definedName>
    <definedName function="false" hidden="false" name="q4_gm" vbProcedure="false">In!$E$43</definedName>
    <definedName function="false" hidden="false" name="q4_nop" vbProcedure="false">In!$E$45</definedName>
    <definedName function="false" hidden="false" name="q4_opx" vbProcedure="false">In!$E$44</definedName>
    <definedName function="false" hidden="false" name="q_nir" vbProcedure="false">In!$E$46</definedName>
    <definedName function="false" hidden="false" name="q_sh" vbProcedure="false">In!$E$47</definedName>
    <definedName function="false" hidden="false" name="rel_27" vbProcedure="false">In!$E$19</definedName>
    <definedName function="false" hidden="false" name="rel_28" vbProcedure="false">In!$E$20</definedName>
    <definedName function="false" hidden="false" name="rel_29" vbProcedure="false">In!$E$21</definedName>
    <definedName function="false" hidden="false" name="rm_factor" vbProcedure="false">Val!$B$80</definedName>
    <definedName function="false" hidden="false" name="sh_g" vbProcedure="false">In!$E$52</definedName>
    <definedName function="false" hidden="false" name="tp_comp" vbProcedure="false">Val!$B$33</definedName>
    <definedName function="false" hidden="false" name="tp_comp_adj" vbProcedure="false">Val!$B$81</definedName>
    <definedName function="false" hidden="false" name="tp_dcf" vbProcedure="false">Val!$B$24</definedName>
    <definedName function="false" hidden="false" name="tp_final" vbProcedure="false">Val!$B$37</definedName>
    <definedName function="false" hidden="false" name="tp_g" vbProcedure="false">In!$E$70</definedName>
    <definedName function="false" hidden="false" name="tp_r" vbProcedure="false">In!$E$69</definedName>
    <definedName function="false" hidden="false" name="tp_roe" vbProcedure="false">In!$E$71</definedName>
    <definedName function="false" hidden="false" name="tp_wA" vbProcedure="false">In!$E$66</definedName>
    <definedName function="false" hidden="false" name="tp_wB" vbProcedure="false">In!$E$67</definedName>
    <definedName function="false" hidden="false" name="tp_wC" vbProcedure="false">In!$E$68</definedName>
    <definedName function="false" hidden="false" name="tp_w_dcf" vbProcedure="false">In!$E$72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<sst xmlns="http://schemas.openxmlformats.org/spreadsheetml/2006/main" count="1644" uniqueCount="812">
  <si>
    <r>
      <rPr>
        <b val="true"/>
        <sz val="11"/>
        <rFont val="Noto Sans CJK SC"/>
        <family val="2"/>
      </rPr>
      <t xml:space="preserve">台燿（</t>
    </r>
    <r>
      <rPr>
        <b val="true"/>
        <sz val="11"/>
        <rFont val="Cambria"/>
        <family val="0"/>
        <charset val="1"/>
      </rPr>
      <t xml:space="preserve">6274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次產業；高速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</si>
  <si>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2026-10-31</t>
    </r>
    <r>
      <rPr>
        <sz val="11"/>
        <rFont val="Noto Sans CJK SC"/>
        <family val="2"/>
      </rPr>
      <t xml:space="preserve">，初版）。樣板 </t>
    </r>
    <r>
      <rPr>
        <sz val="11"/>
        <rFont val="Cambria"/>
        <family val="0"/>
        <charset val="1"/>
      </rPr>
      <t xml:space="preserve">emc/</t>
    </r>
    <r>
      <rPr>
        <sz val="11"/>
        <rFont val="Noto Sans CJK SC"/>
        <family val="2"/>
      </rPr>
      <t xml:space="preserve">（台光電）；行業變數讀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快照 </t>
    </r>
    <r>
      <rPr>
        <sz val="11"/>
        <rFont val="Cambria"/>
        <family val="0"/>
        <charset val="1"/>
      </rPr>
      <t xml:space="preserve">v0.10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siliconomics_snapshot_v0.10.json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</si>
  <si>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模型命題：台燿的高速材料（</t>
    </r>
    <r>
      <rPr>
        <sz val="11"/>
        <rFont val="Cambria"/>
        <family val="0"/>
        <charset val="1"/>
      </rPr>
      <t xml:space="preserve">ELL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SLL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M7 </t>
    </r>
    <r>
      <rPr>
        <sz val="11"/>
        <rFont val="Noto Sans CJK SC"/>
        <family val="2"/>
      </rPr>
      <t xml:space="preserve">以上）營收＝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市場（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：部署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台燿有效份額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年均售價指數，但受月產能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每張營收限制（全產全銷）；其他等級（</t>
    </r>
    <r>
      <rPr>
        <sz val="11"/>
        <rFont val="Cambria"/>
        <family val="0"/>
        <charset val="1"/>
      </rPr>
      <t xml:space="preserve">VLL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LL</t>
    </r>
    <r>
      <rPr>
        <sz val="11"/>
        <rFont val="Noto Sans CJK SC"/>
        <family val="2"/>
      </rPr>
      <t xml:space="preserve">、非低損耗、特殊應用）另依成長率推。份額相對台光電一致（兩家合計 </t>
    </r>
    <r>
      <rPr>
        <sz val="11"/>
        <rFont val="Cambria"/>
        <family val="0"/>
        <charset val="1"/>
      </rPr>
      <t xml:space="preserve">&lt; 100%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</si>
  <si>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核心問題：泰國、常熟、中山新產能（月產能約 </t>
    </r>
    <r>
      <rPr>
        <sz val="11"/>
        <rFont val="Cambria"/>
        <family val="0"/>
        <charset val="1"/>
      </rPr>
      <t xml:space="preserve">235 </t>
    </r>
    <r>
      <rPr>
        <sz val="11"/>
        <rFont val="Noto Sans CJK SC"/>
        <family val="2"/>
      </rPr>
      <t xml:space="preserve">萬 → </t>
    </r>
    <r>
      <rPr>
        <sz val="11"/>
        <rFont val="Cambria"/>
        <family val="0"/>
        <charset val="1"/>
      </rPr>
      <t xml:space="preserve">310 </t>
    </r>
    <r>
      <rPr>
        <sz val="11"/>
        <rFont val="Noto Sans CJK SC"/>
        <family val="2"/>
      </rPr>
      <t xml:space="preserve">萬 → </t>
    </r>
    <r>
      <rPr>
        <sz val="11"/>
        <rFont val="Cambria"/>
        <family val="0"/>
        <charset val="1"/>
      </rPr>
      <t xml:space="preserve">430 </t>
    </r>
    <r>
      <rPr>
        <sz val="11"/>
        <rFont val="Noto Sans CJK SC"/>
        <family val="2"/>
      </rPr>
      <t xml:space="preserve">萬 → </t>
    </r>
    <r>
      <rPr>
        <sz val="11"/>
        <rFont val="Cambria"/>
        <family val="0"/>
        <charset val="1"/>
      </rPr>
      <t xml:space="preserve">530 </t>
    </r>
    <r>
      <rPr>
        <sz val="11"/>
        <rFont val="Noto Sans CJK SC"/>
        <family val="2"/>
      </rPr>
      <t xml:space="preserve">萬張）開出時，台燿在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伺服器與交換器的 </t>
    </r>
    <r>
      <rPr>
        <sz val="11"/>
        <rFont val="Cambria"/>
        <family val="0"/>
        <charset val="1"/>
      </rPr>
      <t xml:space="preserve">M7 </t>
    </r>
    <r>
      <rPr>
        <sz val="11"/>
        <rFont val="Noto Sans CJK SC"/>
        <family val="2"/>
      </rPr>
      <t xml:space="preserve">以上份額與單價能撐多久；份額與價格回落時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還剩多少；現價隱含的路徑合不合理。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</si>
  <si>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為收斂法。金額：十億新台幣；口徑：歸屬母公司淨利。</t>
    </r>
  </si>
  <si>
    <r>
      <rPr>
        <sz val="11"/>
        <rFont val="Noto Sans CJK SC"/>
        <family val="2"/>
      </rPr>
      <t xml:space="preserve">驅動因子：</t>
    </r>
    <r>
      <rPr>
        <sz val="11"/>
        <rFont val="Cambria"/>
        <family val="0"/>
        <charset val="1"/>
      </rPr>
      <t xml:space="preserve">Siliconomics SIF_DeployGW_A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× SIF_CCLperGW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SIF_CCLMkt_*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台燿有效份額（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ELL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SLL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，待併入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年均售價指數（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，待併入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）；產能上限＝月產能 </t>
    </r>
    <r>
      <rPr>
        <sz val="11"/>
        <rFont val="Cambria"/>
        <family val="0"/>
        <charset val="1"/>
      </rPr>
      <t xml:space="preserve">× 12 × </t>
    </r>
    <r>
      <rPr>
        <sz val="11"/>
        <rFont val="Noto Sans CJK SC"/>
        <family val="2"/>
      </rPr>
      <t xml:space="preserve">每張營收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</si>
  <si>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目標價（台光電、聯茂、金像電前瞻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× </t>
    </r>
    <r>
      <rPr>
        <sz val="11"/>
        <rFont val="Noto Sans CJK SC"/>
        <family val="2"/>
      </rPr>
      <t xml:space="preserve">相對倍數係數）。本版未做先驗，無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</si>
  <si>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高速材料（</t>
    </r>
    <r>
      <rPr>
        <sz val="11"/>
        <rFont val="Cambria"/>
        <family val="0"/>
        <charset val="1"/>
      </rPr>
      <t xml:space="preserve">M7 </t>
    </r>
    <r>
      <rPr>
        <sz val="11"/>
        <rFont val="Noto Sans CJK SC"/>
        <family val="2"/>
      </rPr>
      <t xml:space="preserve">以上）當作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相關的代理，口徑未經公司確認；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份額相對值、價格指數、組合指數皆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官方營運部門以單一部門處理（財報附註原文未取得）；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未找到）；</t>
    </r>
    <r>
      <rPr>
        <sz val="11"/>
        <rFont val="Cambria"/>
        <family val="0"/>
        <charset val="1"/>
      </rPr>
      <t xml:space="preserve">(5) 10 </t>
    </r>
    <r>
      <rPr>
        <sz val="11"/>
        <rFont val="Noto Sans CJK SC"/>
        <family val="2"/>
      </rPr>
      <t xml:space="preserve">月營收與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法說未納入。</t>
    </r>
  </si>
  <si>
    <r>
      <rPr>
        <sz val="11"/>
        <color theme="1"/>
        <rFont val="Noto Sans CJK SC"/>
        <family val="2"/>
      </rPr>
      <t xml:space="preserve">相對倍數調整：加權目標價中的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tools/relative_multiple.py</t>
    </r>
    <r>
      <rPr>
        <sz val="11"/>
        <color theme="1"/>
        <rFont val="Noto Sans CJK SC"/>
        <family val="2"/>
      </rPr>
      <t xml:space="preserve">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目標價（市場主流同業法）」不調整。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</si>
  <si>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頁版面（個股模型原則第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節）：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頁最後一節「情境驅動對照」把情境專屬輸入三情境並排（只引用上方各列，純展示）。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</si>
  <si>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NT$1,828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1,343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相對倍數調整後 </t>
    </r>
    <r>
      <rPr>
        <sz val="11"/>
        <color theme="1"/>
        <rFont val="Calibri"/>
        <family val="2"/>
        <charset val="1"/>
      </rPr>
      <t xml:space="preserve">2,312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44.5%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、投資建議買進；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單獨（市場主流同業法 </t>
    </r>
    <r>
      <rPr>
        <sz val="11"/>
        <color theme="1"/>
        <rFont val="Calibri"/>
        <family val="2"/>
        <charset val="1"/>
      </rPr>
      <t xml:space="preserve">2,486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+96.5%</t>
    </r>
    <r>
      <rPr>
        <sz val="11"/>
        <color theme="1"/>
        <rFont val="Noto Sans CJK SC"/>
        <family val="2"/>
      </rPr>
      <t xml:space="preserve">。上檔主因是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90.44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53.85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，早於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EPS 12.88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67.9%</t>
    </r>
    <r>
      <rPr>
        <sz val="11"/>
        <color theme="1"/>
        <rFont val="Noto Sans CJK SC"/>
        <family val="2"/>
      </rPr>
      <t xml:space="preserve">；現價只隱含 </t>
    </r>
    <r>
      <rPr>
        <sz val="11"/>
        <color theme="1"/>
        <rFont val="Calibri"/>
        <family val="2"/>
        <charset val="1"/>
      </rPr>
      <t xml:space="preserve">13.4 </t>
    </r>
    <r>
      <rPr>
        <sz val="11"/>
        <color theme="1"/>
        <rFont val="Noto Sans CJK SC"/>
        <family val="2"/>
      </rPr>
      <t xml:space="preserve">倍情境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，同業前瞻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27.5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取近三年平均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</si>
  <si>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：目標價最敏感的是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市場與價格：市場係數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年售價指數 </t>
    </r>
    <r>
      <rPr>
        <sz val="11"/>
        <color theme="1"/>
        <rFont val="Calibri"/>
        <family val="2"/>
        <charset val="1"/>
      </rPr>
      <t xml:space="preserve">0.85 −10.5%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0.90 −9.8%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年份額相對值 </t>
    </r>
    <r>
      <rPr>
        <sz val="11"/>
        <color theme="1"/>
        <rFont val="Calibri"/>
        <family val="2"/>
        <charset val="1"/>
      </rPr>
      <t xml:space="preserve">0.90 −10.0%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+10.6%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</si>
  <si>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三情境需求面都超過產能（</t>
    </r>
    <r>
      <rPr>
        <sz val="11"/>
        <color theme="1"/>
        <rFont val="Calibri"/>
        <family val="2"/>
        <charset val="1"/>
      </rPr>
      <t xml:space="preserve">117%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EPS 73.78 </t>
    </r>
    <r>
      <rPr>
        <sz val="11"/>
        <color theme="1"/>
        <rFont val="Noto Sans CJK SC"/>
        <family val="2"/>
      </rPr>
      <t xml:space="preserve">由月產能 </t>
    </r>
    <r>
      <rPr>
        <sz val="11"/>
        <color theme="1"/>
        <rFont val="Calibri"/>
        <family val="2"/>
        <charset val="1"/>
      </rPr>
      <t xml:space="preserve">310 </t>
    </r>
    <r>
      <rPr>
        <sz val="11"/>
        <color theme="1"/>
        <rFont val="Noto Sans CJK SC"/>
        <family val="2"/>
      </rPr>
      <t xml:space="preserve">萬張與組合、價格指數決定，比 </t>
    </r>
    <r>
      <rPr>
        <sz val="11"/>
        <color theme="1"/>
        <rFont val="Calibri"/>
        <family val="2"/>
        <charset val="1"/>
      </rPr>
      <t xml:space="preserve">FactSet 08-04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70.47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4.7%</t>
    </r>
    <r>
      <rPr>
        <sz val="11"/>
        <color theme="1"/>
        <rFont val="Noto Sans CJK SC"/>
        <family val="2"/>
      </rPr>
      <t xml:space="preserve">；常熟、泰國各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開出是關鍵時點。台光電＋台燿需求面份額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年合計 </t>
    </r>
    <r>
      <rPr>
        <sz val="11"/>
        <color theme="1"/>
        <rFont val="Calibri"/>
        <family val="2"/>
        <charset val="1"/>
      </rPr>
      <t xml:space="preserve">50–56%</t>
    </r>
    <r>
      <rPr>
        <sz val="11"/>
        <color theme="1"/>
        <rFont val="Noto Sans CJK SC"/>
        <family val="2"/>
      </rPr>
      <t xml:space="preserve">，低於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。下一個檢驗點：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2026-11-10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法說（日期未找到）。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</si>
  <si>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金額為美元；產能：百萬張／月；比例：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</si>
  <si>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給低／高區間。公司原文＝台燿財報（公開資訊觀測站，經 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轉載）、月營收公告與法說（經富果轉述）；券商估計皆為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。行業變數（部署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金額、匯率）讀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）；本頁不另訂行業路徑。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</si>
  <si>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</si>
  <si>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</si>
  <si>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</si>
  <si>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</si>
  <si>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</si>
  <si>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</si>
  <si>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</si>
  <si>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</si>
  <si>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</si>
  <si>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金額（讀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快照；情境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讀同字母上游）</t>
    </r>
  </si>
  <si>
    <t xml:space="preserve">gw_26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</si>
  <si>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電力；三情境相同）</t>
    </r>
  </si>
  <si>
    <t xml:space="preserve">GW</t>
  </si>
  <si>
    <t xml:space="preserve">Derived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</si>
  <si>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SIF_DeployGW_A[2026]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</si>
  <si>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推導；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量經 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）</t>
    </r>
  </si>
  <si>
    <t xml:space="preserve">gw_27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</si>
  <si>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2027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</si>
  <si>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SIF_DeployGW_A[2027]</t>
    </r>
  </si>
  <si>
    <r>
      <rPr>
        <sz val="11"/>
        <color theme="1"/>
        <rFont val="Noto Sans CJK SC"/>
        <family val="2"/>
      </rPr>
      <t xml:space="preserve">同上；顆數情境係數從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</si>
  <si>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t xml:space="preserve">gw28_A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</si>
  <si>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：部署 </t>
    </r>
    <r>
      <rPr>
        <sz val="11"/>
        <color theme="1"/>
        <rFont val="Calibri"/>
        <family val="2"/>
        <charset val="1"/>
      </rPr>
      <t xml:space="preserve">GW 2028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</si>
  <si>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SIF_DeployGW_A[2028]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</si>
  <si>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＝顆數基準；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 SIF_UnitsCoef_*</t>
    </r>
    <r>
      <rPr>
        <sz val="11"/>
        <color theme="1"/>
        <rFont val="Noto Sans CJK SC"/>
        <family val="2"/>
      </rPr>
      <t xml:space="preserve">；與台光電、台積電模型同一套）</t>
    </r>
  </si>
  <si>
    <t xml:space="preserve">gw28_B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</si>
  <si>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：部署 </t>
    </r>
    <r>
      <rPr>
        <sz val="11"/>
        <color theme="1"/>
        <rFont val="Calibri"/>
        <family val="2"/>
        <charset val="1"/>
      </rPr>
      <t xml:space="preserve">GW 2028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</si>
  <si>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SIF_DeployGW_B[2028]</t>
    </r>
  </si>
  <si>
    <t xml:space="preserve">gw28_C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</si>
  <si>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：部署 </t>
    </r>
    <r>
      <rPr>
        <sz val="11"/>
        <color theme="1"/>
        <rFont val="Calibri"/>
        <family val="2"/>
        <charset val="1"/>
      </rPr>
      <t xml:space="preserve">GW 2028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</si>
  <si>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SIF_DeployGW_C[2028]</t>
    </r>
  </si>
  <si>
    <t xml:space="preserve">gw29_A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</si>
  <si>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：部署 </t>
    </r>
    <r>
      <rPr>
        <sz val="11"/>
        <color theme="1"/>
        <rFont val="Calibri"/>
        <family val="2"/>
        <charset val="1"/>
      </rPr>
      <t xml:space="preserve">GW 2029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</si>
  <si>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SIF_DeployGW_A[2029]</t>
    </r>
  </si>
  <si>
    <t xml:space="preserve">gw29_B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</si>
  <si>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：部署 </t>
    </r>
    <r>
      <rPr>
        <sz val="11"/>
        <color theme="1"/>
        <rFont val="Calibri"/>
        <family val="2"/>
        <charset val="1"/>
      </rPr>
      <t xml:space="preserve">GW 2029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</si>
  <si>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SIF_DeployGW_B[2029]</t>
    </r>
  </si>
  <si>
    <t xml:space="preserve">gw29_C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</si>
  <si>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：部署 </t>
    </r>
    <r>
      <rPr>
        <sz val="11"/>
        <color theme="1"/>
        <rFont val="Calibri"/>
        <family val="2"/>
        <charset val="1"/>
      </rPr>
      <t xml:space="preserve">GW 2029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</si>
  <si>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SIF_DeployGW_C[2029]</t>
    </r>
  </si>
  <si>
    <t xml:space="preserve">pgw_26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</si>
  <si>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（加速器／運算板＋交換器板＋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／中板，不含價格指數）</t>
    </r>
  </si>
  <si>
    <t xml:space="preserve">US$M/GW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</si>
  <si>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SIF_CCLperGW[2026]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</si>
  <si>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年三項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）；元件與指數見 </t>
    </r>
    <r>
      <rPr>
        <sz val="11"/>
        <color theme="1"/>
        <rFont val="Calibri"/>
        <family val="2"/>
        <charset val="1"/>
      </rPr>
      <t xml:space="preserve">Siliconomics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（原在台光電模型）</t>
    </r>
  </si>
  <si>
    <t xml:space="preserve">pgw_27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</si>
  <si>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（加速器／運算板＋交換器板＋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／中板，不含價格指數）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</si>
  <si>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SIF_CCLperGW[2027]</t>
    </r>
  </si>
  <si>
    <t xml:space="preserve">pgw_28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</si>
  <si>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（加速器／運算板＋交換器板＋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／中板，不含價格指數）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</si>
  <si>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SIF_CCLperGW[2028]</t>
    </r>
  </si>
  <si>
    <t xml:space="preserve">pgw_29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</si>
  <si>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（加速器／運算板＋交換器板＋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／中板，不含價格指數）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</si>
  <si>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SIF_CCLperGW[2029]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</si>
  <si>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</si>
  <si>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</si>
  <si>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</si>
  <si>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SIF_fx_twd</t>
    </r>
    <r>
      <rPr>
        <sz val="11"/>
        <color theme="1"/>
        <rFont val="Noto Sans CJK SC"/>
        <family val="2"/>
      </rPr>
      <t xml:space="preserve">（與台光電、台達電模型相同）</t>
    </r>
  </si>
  <si>
    <r>
      <rPr>
        <sz val="11"/>
        <color theme="1"/>
        <rFont val="Noto Sans CJK SC"/>
        <family val="2"/>
      </rPr>
      <t xml:space="preserve">低／高只用於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</si>
  <si>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台燿份額與價格（公司變數；份額相對台光電一致：同一市場兩家合計不得超過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，見 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頁）</t>
    </r>
  </si>
  <si>
    <t xml:space="preserve">rel_27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</si>
  <si>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</si>
  <si>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t xml:space="preserve">x</t>
  </si>
  <si>
    <t xml:space="preserve">Assumed</t>
  </si>
  <si>
    <r>
      <rPr>
        <sz val="11"/>
        <color theme="1"/>
        <rFont val="Noto Sans CJK SC"/>
        <family val="2"/>
      </rPr>
      <t xml:space="preserve">泰國廠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起量產、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滿載（公司，富果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）；常熟、泰國各 </t>
    </r>
    <r>
      <rPr>
        <sz val="11"/>
        <color theme="1"/>
        <rFont val="Calibri"/>
        <family val="2"/>
        <charset val="1"/>
      </rPr>
      <t xml:space="preserve">+60 </t>
    </r>
    <r>
      <rPr>
        <sz val="11"/>
        <color theme="1"/>
        <rFont val="Noto Sans CJK SC"/>
        <family val="2"/>
      </rPr>
      <t xml:space="preserve">萬張／月 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開出（富果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專案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年貢獻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（日系外資，旺得富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</si>
  <si>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無台燿、台光電）：本列放公司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；台光電模型同期相對值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（份額流失給台燿等追趕者）</t>
    </r>
  </si>
  <si>
    <t xml:space="preserve">rel_28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</si>
  <si>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</si>
  <si>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同上</t>
  </si>
  <si>
    <r>
      <rPr>
        <sz val="11"/>
        <color theme="1"/>
        <rFont val="Noto Sans CJK SC"/>
        <family val="2"/>
      </rPr>
      <t xml:space="preserve">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</si>
  <si>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rel_29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</si>
  <si>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</si>
  <si>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</si>
  <si>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</si>
  <si>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 25.2% → 2Q26 29.7% → 3Q26 36.9%</t>
    </r>
    <r>
      <rPr>
        <sz val="11"/>
        <color theme="1"/>
        <rFont val="Noto Sans CJK SC"/>
        <family val="2"/>
      </rPr>
      <t xml:space="preserve">（財報），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年均價低於年底水準；美系外資預期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第二波季漲 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</si>
  <si>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價格屬行業變數，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尚無價格路徑：待併入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；台光電模型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0.93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年均為基期，台光電漲價較早）</t>
    </r>
  </si>
  <si>
    <t xml:space="preserve">pp_28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</si>
  <si>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</t>
    </r>
  </si>
  <si>
    <r>
      <rPr>
        <sz val="11"/>
        <color theme="1"/>
        <rFont val="Noto Sans CJK SC"/>
        <family val="2"/>
      </rPr>
      <t xml:space="preserve">新產能到位後回落（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</si>
  <si>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pp_29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</si>
  <si>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</si>
  <si>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產能（全產全銷：營收上限＝平均月產能 </t>
    </r>
    <r>
      <rPr>
        <b val="true"/>
        <sz val="11"/>
        <rFont val="Cambria"/>
        <family val="0"/>
        <charset val="1"/>
      </rPr>
      <t xml:space="preserve">× 12 × </t>
    </r>
    <r>
      <rPr>
        <b val="true"/>
        <sz val="11"/>
        <rFont val="Noto Sans CJK SC"/>
        <family val="2"/>
      </rPr>
      <t xml:space="preserve">每張營收）</t>
    </r>
  </si>
  <si>
    <t xml:space="preserve">cap_26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</si>
  <si>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</si>
  <si>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百萬張／月</t>
  </si>
  <si>
    <r>
      <rPr>
        <sz val="11"/>
        <color theme="1"/>
        <rFont val="Noto Sans CJK SC"/>
        <family val="2"/>
      </rPr>
      <t xml:space="preserve">集團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月產能逾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萬張（官方資料，理財周刊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）；泰國廠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起量產、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滿載（富果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</si>
  <si>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260 </t>
    </r>
    <r>
      <rPr>
        <sz val="11"/>
        <color theme="1"/>
        <rFont val="Noto Sans CJK SC"/>
        <family val="2"/>
      </rPr>
      <t xml:space="preserve">萬張（理財周刊，非公司指引）；年均＝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萬 → </t>
    </r>
    <r>
      <rPr>
        <sz val="11"/>
        <color theme="1"/>
        <rFont val="Calibri"/>
        <family val="2"/>
        <charset val="1"/>
      </rPr>
      <t xml:space="preserve">260 </t>
    </r>
    <r>
      <rPr>
        <sz val="11"/>
        <color theme="1"/>
        <rFont val="Noto Sans CJK SC"/>
        <family val="2"/>
      </rPr>
      <t xml:space="preserve">萬的時間加權</t>
    </r>
  </si>
  <si>
    <t xml:space="preserve">cap_27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</si>
  <si>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</si>
  <si>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常熟、泰國各 </t>
    </r>
    <r>
      <rPr>
        <sz val="11"/>
        <color theme="1"/>
        <rFont val="Calibri"/>
        <family val="2"/>
        <charset val="1"/>
      </rPr>
      <t xml:space="preserve">+60 </t>
    </r>
    <r>
      <rPr>
        <sz val="11"/>
        <color theme="1"/>
        <rFont val="Noto Sans CJK SC"/>
        <family val="2"/>
      </rPr>
      <t xml:space="preserve">萬張／月，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投產（董事會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）；市場估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年底趨近 </t>
    </r>
    <r>
      <rPr>
        <sz val="11"/>
        <color theme="1"/>
        <rFont val="Calibri"/>
        <family val="2"/>
        <charset val="1"/>
      </rPr>
      <t xml:space="preserve">380 </t>
    </r>
    <r>
      <rPr>
        <sz val="11"/>
        <color theme="1"/>
        <rFont val="Noto Sans CJK SC"/>
        <family val="2"/>
      </rPr>
      <t xml:space="preserve">萬（理財周刊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</si>
  <si>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260 </t>
    </r>
    <r>
      <rPr>
        <sz val="11"/>
        <color theme="1"/>
        <rFont val="Noto Sans CJK SC"/>
        <family val="2"/>
      </rPr>
      <t xml:space="preserve">萬 ＋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；低值反映設備交期延遲（泰國一期曾延兩個月）</t>
    </r>
  </si>
  <si>
    <t xml:space="preserve">cap_28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</si>
  <si>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</si>
  <si>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萬張／月：中山 </t>
    </r>
    <r>
      <rPr>
        <sz val="11"/>
        <color theme="1"/>
        <rFont val="Calibri"/>
        <family val="2"/>
        <charset val="1"/>
      </rPr>
      <t xml:space="preserve">+120 </t>
    </r>
    <r>
      <rPr>
        <sz val="11"/>
        <color theme="1"/>
        <rFont val="Noto Sans CJK SC"/>
        <family val="2"/>
      </rPr>
      <t xml:space="preserve">萬、泰國二期 </t>
    </r>
    <r>
      <rPr>
        <sz val="11"/>
        <color theme="1"/>
        <rFont val="Calibri"/>
        <family val="2"/>
        <charset val="1"/>
      </rPr>
      <t xml:space="preserve">+75 </t>
    </r>
    <r>
      <rPr>
        <sz val="11"/>
        <color theme="1"/>
        <rFont val="Noto Sans CJK SC"/>
        <family val="2"/>
      </rPr>
      <t xml:space="preserve">萬（董事會，富果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）；可轉債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億元籌資</t>
    </r>
  </si>
  <si>
    <r>
      <rPr>
        <sz val="11"/>
        <color theme="1"/>
        <rFont val="Calibri"/>
        <family val="2"/>
        <charset val="1"/>
      </rPr>
      <t xml:space="preserve">380 </t>
    </r>
    <r>
      <rPr>
        <sz val="11"/>
        <color theme="1"/>
        <rFont val="Noto Sans CJK SC"/>
        <family val="2"/>
      </rPr>
      <t xml:space="preserve">萬 ＋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萬於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線性開出的年均（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時程）</t>
    </r>
  </si>
  <si>
    <t xml:space="preserve">cap_29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</si>
  <si>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</si>
  <si>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同上；全部開出為 </t>
    </r>
    <r>
      <rPr>
        <sz val="11"/>
        <color theme="1"/>
        <rFont val="Calibri"/>
        <family val="2"/>
        <charset val="1"/>
      </rPr>
      <t xml:space="preserve">575 </t>
    </r>
    <r>
      <rPr>
        <sz val="11"/>
        <color theme="1"/>
        <rFont val="Noto Sans CJK SC"/>
        <family val="2"/>
      </rPr>
      <t xml:space="preserve">萬張／月</t>
    </r>
  </si>
  <si>
    <t xml:space="preserve">低值＝新廠延後一年</t>
  </si>
  <si>
    <t xml:space="preserve">mix_27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</si>
  <si>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</si>
  <si>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）占營收：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10% → 4Q25 36% → 1Q26 38% → 2Q26 39%</t>
    </r>
    <r>
      <rPr>
        <sz val="11"/>
        <color theme="1"/>
        <rFont val="Noto Sans CJK SC"/>
        <family val="2"/>
      </rPr>
      <t xml:space="preserve">（公司，富果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</si>
  <si>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專案用 </t>
    </r>
    <r>
      <rPr>
        <sz val="11"/>
        <color theme="1"/>
        <rFont val="Calibri"/>
        <family val="2"/>
        <charset val="1"/>
      </rPr>
      <t xml:space="preserve">Low Dk2 </t>
    </r>
    <r>
      <rPr>
        <sz val="11"/>
        <color theme="1"/>
        <rFont val="Noto Sans CJK SC"/>
        <family val="2"/>
      </rPr>
      <t xml:space="preserve">玻纖布、</t>
    </r>
    <r>
      <rPr>
        <sz val="11"/>
        <color theme="1"/>
        <rFont val="Calibri"/>
        <family val="2"/>
        <charset val="1"/>
      </rPr>
      <t xml:space="preserve">HVLP4 </t>
    </r>
    <r>
      <rPr>
        <sz val="11"/>
        <color theme="1"/>
        <rFont val="Noto Sans CJK SC"/>
        <family val="2"/>
      </rPr>
      <t xml:space="preserve">銅箔（理財周刊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）；台光電模型組合指數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較早量產）</t>
    </r>
  </si>
  <si>
    <t xml:space="preserve">mix_28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</si>
  <si>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</si>
  <si>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</si>
  <si>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mix_29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</si>
  <si>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</si>
  <si>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營收結構錨點（公司揭露的損耗等級組合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</si>
  <si>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</si>
  <si>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年高速材料（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</si>
  <si>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%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</si>
  <si>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 4Q25 36%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）；全年比例未揭露，前三季低於 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</si>
  <si>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欄的子列拆分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</si>
  <si>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</si>
  <si>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年高速材料（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相關的代理）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</si>
  <si>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</si>
  <si>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39%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毛利率跳升至 </t>
    </r>
    <r>
      <rPr>
        <sz val="11"/>
        <color theme="1"/>
        <rFont val="Calibri"/>
        <family val="2"/>
        <charset val="1"/>
      </rPr>
      <t xml:space="preserve">36.9%</t>
    </r>
    <r>
      <rPr>
        <sz val="11"/>
        <color theme="1"/>
        <rFont val="Noto Sans CJK SC"/>
        <family val="2"/>
      </rPr>
      <t xml:space="preserve">，高階占比續升（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</si>
  <si>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的一般伺服器與 </t>
    </r>
    <r>
      <rPr>
        <sz val="11"/>
        <color theme="1"/>
        <rFont val="Calibri"/>
        <family val="2"/>
        <charset val="1"/>
      </rPr>
      <t xml:space="preserve">400G </t>
    </r>
    <r>
      <rPr>
        <sz val="11"/>
        <color theme="1"/>
        <rFont val="Noto Sans CJK SC"/>
        <family val="2"/>
      </rPr>
      <t xml:space="preserve">以下網通列入其他等級（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對應）</t>
    </r>
  </si>
  <si>
    <t xml:space="preserve">g_nai27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</si>
  <si>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</t>
    </r>
  </si>
  <si>
    <r>
      <rPr>
        <sz val="11"/>
        <color theme="1"/>
        <rFont val="Noto Sans CJK SC"/>
        <family val="2"/>
      </rPr>
      <t xml:space="preserve">特殊應用（厚銅、電源）占營收 </t>
    </r>
    <r>
      <rPr>
        <sz val="11"/>
        <color theme="1"/>
        <rFont val="Calibri"/>
        <family val="2"/>
        <charset val="1"/>
      </rPr>
      <t xml:space="preserve">3Q25 8% → 2Q26 14%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年年增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（公司，富果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</si>
  <si>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非低損耗占比 </t>
    </r>
    <r>
      <rPr>
        <sz val="11"/>
        <color theme="1"/>
        <rFont val="Calibri"/>
        <family val="2"/>
        <charset val="1"/>
      </rPr>
      <t xml:space="preserve">18% → 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→ 2Q26</t>
    </r>
    <r>
      <rPr>
        <sz val="11"/>
        <color theme="1"/>
        <rFont val="Noto Sans CJK SC"/>
        <family val="2"/>
      </rPr>
      <t xml:space="preserve">）持續下降（公司）</t>
    </r>
  </si>
  <si>
    <t xml:space="preserve">g_nai28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</si>
  <si>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</t>
    </r>
  </si>
  <si>
    <t xml:space="preserve">g_nai29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</si>
  <si>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</si>
  <si>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</si>
  <si>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</si>
  <si>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t xml:space="preserve">高速材料毛利率高於其他等級的幅度</t>
  </si>
  <si>
    <t xml:space="preserve">pt</t>
  </si>
  <si>
    <r>
      <rPr>
        <sz val="11"/>
        <color theme="1"/>
        <rFont val="Noto Sans CJK SC"/>
        <family val="2"/>
      </rPr>
      <t xml:space="preserve">等級別毛利率未揭露：未找到；毛利率隨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以上占比與漲價上升：</t>
    </r>
    <r>
      <rPr>
        <sz val="11"/>
        <color theme="1"/>
        <rFont val="Calibri"/>
        <family val="2"/>
        <charset val="1"/>
      </rPr>
      <t xml:space="preserve">FY2025 22.7% → 3Q26 36.9%</t>
    </r>
    <r>
      <rPr>
        <sz val="11"/>
        <color theme="1"/>
        <rFont val="Noto Sans CJK SC"/>
        <family val="2"/>
      </rPr>
      <t xml:space="preserve">（財報）</t>
    </r>
  </si>
  <si>
    <r>
      <rPr>
        <sz val="11"/>
        <color theme="1"/>
        <rFont val="Noto Sans CJK SC"/>
        <family val="2"/>
      </rPr>
      <t xml:space="preserve">與台光電模型同值（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</si>
  <si>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財報實績＋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財報已公布，法說日期未找到）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</si>
  <si>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</si>
  <si>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</si>
  <si>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指引：未找到；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61.26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183.8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2.4%</t>
    </r>
    <r>
      <rPr>
        <sz val="11"/>
        <color theme="1"/>
        <rFont val="Noto Sans CJK SC"/>
        <family val="2"/>
      </rPr>
      <t xml:space="preserve">，月營收公告）</t>
    </r>
  </si>
  <si>
    <r>
      <rPr>
        <sz val="11"/>
        <color theme="1"/>
        <rFont val="Noto Sans CJK SC"/>
        <family val="2"/>
      </rPr>
      <t xml:space="preserve">泰國廠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滿載（公司，富果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</si>
  <si>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</si>
  <si>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</si>
  <si>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36.93%</t>
    </r>
    <r>
      <rPr>
        <sz val="11"/>
        <color theme="1"/>
        <rFont val="Noto Sans CJK SC"/>
        <family val="2"/>
      </rPr>
      <t xml:space="preserve">（財報；</t>
    </r>
    <r>
      <rPr>
        <sz val="11"/>
        <color theme="1"/>
        <rFont val="Calibri"/>
        <family val="2"/>
        <charset val="1"/>
      </rPr>
      <t xml:space="preserve">nstock 36.93%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</si>
  <si>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銅箔、玻纖布漲價壓縮毛利（公司，富果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</si>
  <si>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</si>
  <si>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</si>
  <si>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3Q26 1.060 ÷ 17.949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（財報）</t>
    </r>
  </si>
  <si>
    <r>
      <rPr>
        <sz val="11"/>
        <color theme="1"/>
        <rFont val="Calibri"/>
        <family val="2"/>
        <charset val="1"/>
      </rPr>
      <t xml:space="preserve">2Q26 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8.4%</t>
    </r>
  </si>
  <si>
    <t xml:space="preserve">q4_nop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</si>
  <si>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</t>
    </r>
  </si>
  <si>
    <t xml:space="preserve">NT$B</t>
  </si>
  <si>
    <r>
      <rPr>
        <sz val="11"/>
        <color theme="1"/>
        <rFont val="Calibri"/>
        <family val="2"/>
        <charset val="1"/>
      </rPr>
      <t xml:space="preserve">3Q26 0.026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0.069</t>
    </r>
    <r>
      <rPr>
        <sz val="11"/>
        <color theme="1"/>
        <rFont val="Noto Sans CJK SC"/>
        <family val="2"/>
      </rPr>
      <t xml:space="preserve">（財報，稅前 − 營業利益）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</si>
  <si>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</si>
  <si>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</si>
  <si>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3Q26 3.857 ÷ 5.594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0.683</t>
    </r>
    <r>
      <rPr>
        <sz val="11"/>
        <color theme="1"/>
        <rFont val="Noto Sans CJK SC"/>
        <family val="2"/>
      </rPr>
      <t xml:space="preserve">（財報）</t>
    </r>
  </si>
  <si>
    <r>
      <rPr>
        <sz val="11"/>
        <color theme="1"/>
        <rFont val="Calibri"/>
        <family val="2"/>
        <charset val="1"/>
      </rPr>
      <t xml:space="preserve">FY2025 0.754</t>
    </r>
    <r>
      <rPr>
        <sz val="11"/>
        <color theme="1"/>
        <rFont val="Noto Sans CJK SC"/>
        <family val="2"/>
      </rPr>
      <t xml:space="preserve">（財報）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</si>
  <si>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</si>
  <si>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</si>
  <si>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</si>
  <si>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稅後淨利 </t>
    </r>
    <r>
      <rPr>
        <sz val="11"/>
        <color theme="1"/>
        <rFont val="Calibri"/>
        <family val="2"/>
        <charset val="1"/>
      </rPr>
      <t xml:space="preserve">38.57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12.88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</si>
  <si>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288.78 </t>
    </r>
    <r>
      <rPr>
        <sz val="11"/>
        <color theme="1"/>
        <rFont val="Noto Sans CJK SC"/>
        <family val="2"/>
      </rPr>
      <t xml:space="preserve">百萬股；可轉債轉換使加權股數上升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</si>
  <si>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</si>
  <si>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</si>
  <si>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</si>
  <si>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</si>
  <si>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t xml:space="preserve">與台光電模型同值</t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</si>
  <si>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</si>
  <si>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</si>
  <si>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0.175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0.115</t>
    </r>
    <r>
      <rPr>
        <sz val="11"/>
        <color theme="1"/>
        <rFont val="Noto Sans CJK SC"/>
        <family val="2"/>
      </rPr>
      <t xml:space="preserve">（財報）</t>
    </r>
  </si>
  <si>
    <t xml:space="preserve">nir_f</t>
  </si>
  <si>
    <r>
      <rPr>
        <sz val="11"/>
        <color theme="1"/>
        <rFont val="Noto Sans CJK SC"/>
        <family val="2"/>
      </rPr>
      <t xml:space="preserve">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</si>
  <si>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0.680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0.689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0.754</t>
    </r>
    <r>
      <rPr>
        <sz val="11"/>
        <color theme="1"/>
        <rFont val="Noto Sans CJK SC"/>
        <family val="2"/>
      </rPr>
      <t xml:space="preserve">（財報）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</si>
  <si>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</si>
  <si>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</si>
  <si>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董事會通過可轉債面額上限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億元、轉換價不低於 </t>
    </r>
    <r>
      <rPr>
        <sz val="11"/>
        <color theme="1"/>
        <rFont val="Calibri"/>
        <family val="2"/>
        <charset val="1"/>
      </rPr>
      <t xml:space="preserve">110%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）：全數轉換約稀釋 </t>
    </r>
    <r>
      <rPr>
        <sz val="11"/>
        <color theme="1"/>
        <rFont val="Calibri"/>
        <family val="2"/>
        <charset val="1"/>
      </rPr>
      <t xml:space="preserve">2.5%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</si>
  <si>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</si>
  <si>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</si>
  <si>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</si>
  <si>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</si>
  <si>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</si>
  <si>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c_eps26f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</si>
  <si>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</si>
  <si>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</si>
  <si>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https://www.moneyweekly.com.tw/_Article?AID=247880</t>
    </r>
    <r>
      <rPr>
        <sz val="11"/>
        <color theme="1"/>
        <rFont val="Noto Sans CJK SC"/>
        <family val="2"/>
      </rPr>
      <t xml:space="preserve">（理財周刊轉引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</si>
  <si>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營收中位數約 </t>
    </r>
    <r>
      <rPr>
        <sz val="11"/>
        <color theme="1"/>
        <rFont val="Calibri"/>
        <family val="2"/>
        <charset val="1"/>
      </rPr>
      <t xml:space="preserve">588.9 </t>
    </r>
    <r>
      <rPr>
        <sz val="11"/>
        <color theme="1"/>
        <rFont val="Noto Sans CJK SC"/>
        <family val="2"/>
      </rPr>
      <t xml:space="preserve">億</t>
    </r>
  </si>
  <si>
    <t xml:space="preserve">c_eps27f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</si>
  <si>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</si>
  <si>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https://www.moneyweekly.com.tw/_Article?AID=247880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</si>
  <si>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53.91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100.07</t>
    </r>
    <r>
      <rPr>
        <sz val="11"/>
        <color theme="1"/>
        <rFont val="Noto Sans CJK SC"/>
        <family val="2"/>
      </rPr>
      <t xml:space="preserve">；營收中位數約 </t>
    </r>
    <r>
      <rPr>
        <sz val="11"/>
        <color theme="1"/>
        <rFont val="Calibri"/>
        <family val="2"/>
        <charset val="1"/>
      </rPr>
      <t xml:space="preserve">1,007 </t>
    </r>
    <r>
      <rPr>
        <sz val="11"/>
        <color theme="1"/>
        <rFont val="Noto Sans CJK SC"/>
        <family val="2"/>
      </rPr>
      <t xml:space="preserve">億</t>
    </r>
  </si>
  <si>
    <t xml:space="preserve">c_rev26f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</si>
  <si>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營收中位數（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</si>
  <si>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c_rev27f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</si>
  <si>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營收中位數（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</si>
  <si>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c_eps28f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</si>
  <si>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2026-04-20</t>
    </r>
    <r>
      <rPr>
        <sz val="11"/>
        <color theme="1"/>
        <rFont val="Noto Sans CJK SC"/>
        <family val="2"/>
      </rPr>
      <t xml:space="preserve">，單一預估）</t>
    </r>
  </si>
  <si>
    <t xml:space="preserve">https://news.cnyes.com/news/id/6426189</t>
  </si>
  <si>
    <t xml:space="preserve">期間早、只有一家，僅供量級參考</t>
  </si>
  <si>
    <t xml:space="preserve">b_eps26u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</si>
  <si>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</si>
  <si>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https://money.udn.com/money/story/5607/9638268</t>
    </r>
    <r>
      <rPr>
        <sz val="11"/>
        <color theme="1"/>
        <rFont val="Noto Sans CJK SC"/>
        <family val="2"/>
      </rPr>
      <t xml:space="preserve">（經濟日報，未具名美系券商）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</si>
  <si>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毛利率估 </t>
    </r>
    <r>
      <rPr>
        <sz val="11"/>
        <color theme="1"/>
        <rFont val="Calibri"/>
        <family val="2"/>
        <charset val="1"/>
      </rPr>
      <t xml:space="preserve">32.3%</t>
    </r>
  </si>
  <si>
    <t xml:space="preserve">b_eps27u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</si>
  <si>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</si>
  <si>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https://money.udn.com/money/story/5607/9638268</t>
  </si>
  <si>
    <t xml:space="preserve">b_eps28u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</si>
  <si>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</si>
  <si>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</si>
  <si>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</si>
  <si>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</si>
  <si>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 6274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10-30 13:30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8.99%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</si>
  <si>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（前收 </t>
    </r>
    <r>
      <rPr>
        <sz val="11"/>
        <color theme="1"/>
        <rFont val="Calibri"/>
        <family val="2"/>
        <charset val="1"/>
      </rPr>
      <t xml:space="preserve">1,390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</si>
  <si>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</si>
  <si>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</si>
  <si>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</si>
  <si>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</si>
  <si>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</si>
  <si>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</si>
  <si>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</si>
  <si>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</si>
  <si>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</si>
  <si>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</si>
  <si>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</si>
  <si>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</si>
  <si>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</si>
  <si>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</si>
  <si>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</si>
  <si>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</si>
  <si>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</si>
  <si>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（同時移動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</si>
  <si>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</si>
  <si>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</si>
  <si>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7.03%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20.10%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20.69%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</si>
  <si>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30.74%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</si>
  <si>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</si>
  <si>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</si>
  <si>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</si>
  <si>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</si>
  <si>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</si>
  <si>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</si>
  <si>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</si>
  <si>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</si>
  <si>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</si>
  <si>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</si>
  <si>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</si>
  <si>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</si>
  <si>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</si>
  <si>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</si>
  <si>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年財報數字未取得）；依工作單以最後一年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</si>
  <si>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</si>
  <si>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</si>
  <si>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</si>
  <si>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Analyst price target 2,213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</si>
  <si>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2026-04-20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900</t>
    </r>
    <r>
      <rPr>
        <sz val="11"/>
        <color theme="1"/>
        <rFont val="Noto Sans CJK SC"/>
        <family val="2"/>
      </rPr>
      <t xml:space="preserve">（較舊）；日系外資 </t>
    </r>
    <r>
      <rPr>
        <sz val="11"/>
        <color theme="1"/>
        <rFont val="Calibri"/>
        <family val="2"/>
        <charset val="1"/>
      </rPr>
      <t xml:space="preserve">2,115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</si>
  <si>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</si>
  <si>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</si>
  <si>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）：價格 </t>
    </r>
    <r>
      <rPr>
        <sz val="11"/>
        <color theme="1"/>
        <rFont val="Calibri"/>
        <family val="2"/>
        <charset val="1"/>
      </rPr>
      <t xml:space="preserve">1,420 ÷ Forward PE 26.37</t>
    </r>
  </si>
  <si>
    <t xml:space="preserve">賣方共識，只作對帳與差距拆解，不作校準</t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</si>
  <si>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</si>
  <si>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</si>
  <si>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</si>
  <si>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</si>
  <si>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</si>
  <si>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scn_gw28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</si>
  <si>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</si>
  <si>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gw28_A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</si>
  <si>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scn_gw29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</si>
  <si>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</si>
  <si>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gw29_A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</si>
  <si>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</si>
  <si>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</si>
  <si>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</si>
  <si>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</si>
  <si>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</si>
  <si>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</si>
  <si>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為新台幣；股數為十億股）。藍字＝輸入；黑字＝公式。實績取自台燿合併財報（公開資訊觀測站，經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損益表、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轉載）與月營收公告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</si>
  <si>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假設（營收＝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、毛利率、營業費用率、業外、稅後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法說（日期未找到）後更新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</si>
  <si>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</si>
  <si>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</si>
  <si>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</si>
  <si>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</si>
  <si>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</si>
  <si>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</si>
  <si>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</si>
  <si>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損益表（季，千元；公開資訊觀測站轉載）：</t>
    </r>
    <r>
      <rPr>
        <sz val="11"/>
        <color theme="1"/>
        <rFont val="Calibri"/>
        <family val="2"/>
        <charset val="1"/>
      </rPr>
      <t xml:space="preserve">https://histock.tw/stock/6274/</t>
    </r>
    <r>
      <rPr>
        <sz val="11"/>
        <color theme="1"/>
        <rFont val="Noto Sans CJK SC"/>
        <family val="2"/>
      </rPr>
      <t xml:space="preserve">損益表</t>
    </r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</si>
  <si>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FY2025 303.44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423.04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https://histock.tw/stock/6274/</t>
    </r>
    <r>
      <rPr>
        <sz val="11"/>
        <color theme="1"/>
        <rFont val="Noto Sans CJK SC"/>
        <family val="2"/>
      </rPr>
      <t xml:space="preserve">每月營收）；財報季營收合計 </t>
    </r>
    <r>
      <rPr>
        <sz val="11"/>
        <color theme="1"/>
        <rFont val="Calibri"/>
        <family val="2"/>
        <charset val="1"/>
      </rPr>
      <t xml:space="preserve">303.40 </t>
    </r>
    <r>
      <rPr>
        <sz val="11"/>
        <color theme="1"/>
        <rFont val="Noto Sans CJK SC"/>
        <family val="2"/>
      </rPr>
      <t xml:space="preserve">億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</si>
  <si>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</si>
  <si>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</si>
  <si>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67.78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27.83%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 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68.98 </t>
    </r>
    <r>
      <rPr>
        <sz val="11"/>
        <color theme="1"/>
        <rFont val="Noto Sans CJK SC"/>
        <family val="2"/>
      </rPr>
      <t xml:space="preserve">億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</si>
  <si>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</si>
  <si>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3Q26 36.93%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</si>
  <si>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</si>
  <si>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</si>
  <si>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nstock 3Q26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36.93%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31.02%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12.88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243.56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12.4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</si>
  <si>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</si>
  <si>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t xml:space="preserve">Verified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</si>
  <si>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51.85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21.29%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</si>
  <si>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</si>
  <si>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3Q26 31.02%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）</t>
    </r>
  </si>
  <si>
    <t xml:space="preserve">業外收益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</si>
  <si>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</si>
  <si>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</si>
  <si>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t xml:space="preserve">稅後淨利（歸屬母公司）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</si>
  <si>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</si>
  <si>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36.02 </t>
    </r>
    <r>
      <rPr>
        <sz val="11"/>
        <color theme="1"/>
        <rFont val="Noto Sans CJK SC"/>
        <family val="2"/>
      </rPr>
      <t xml:space="preserve">億（理財周刊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季稅後淨利 </t>
    </r>
    <r>
      <rPr>
        <sz val="11"/>
        <color theme="1"/>
        <rFont val="Calibri"/>
        <family val="2"/>
        <charset val="1"/>
      </rPr>
      <t xml:space="preserve">1Q 12.60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23.42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</si>
  <si>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稅後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</si>
  <si>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</si>
  <si>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（加權平均；可轉債轉換使股數上升）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</si>
  <si>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</si>
  <si>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</si>
  <si>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股數換算（低估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股數較少的效果，差約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</si>
  <si>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</si>
  <si>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https://histock.tw/stock/6274/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</si>
  <si>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1Q26 4.36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12.88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2.43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3.58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</si>
  <si>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Noto Sans CJK SC"/>
        <family val="2"/>
      </rPr>
      <t xml:space="preserve">高速材料營收（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以上；＝營收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</si>
  <si>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</si>
  <si>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公司損耗等級組合（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</si>
  <si>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各季金額未揭露：未找到</t>
  </si>
  <si>
    <t xml:space="preserve">其他等級營收（＝營收 − 高速材料）</t>
  </si>
  <si>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）、非低損耗、特殊應用（厚銅、電源）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</si>
  <si>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</si>
  <si>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</si>
  <si>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</si>
  <si>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</si>
  <si>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FactSet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</si>
  <si>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07-20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</si>
  <si>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營收季增（實績）</t>
    </r>
  </si>
  <si>
    <r>
      <rPr>
        <sz val="11"/>
        <color theme="1"/>
        <rFont val="Noto Sans CJK SC"/>
        <family val="2"/>
      </rPr>
      <t xml:space="preserve">季報合計 −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；四捨五入差）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</si>
  <si>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）、台燿份額與產能；份額相對台光電一致（同一市場兩家合計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）。台光電數值讀 </t>
    </r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（唯讀）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</si>
  <si>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</si>
  <si>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</si>
  <si>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</si>
  <si>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</si>
  <si>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</si>
  <si>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Siliconomics SIF_DeployGW_A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</si>
  <si>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金額（不含價格指數）</t>
    </r>
  </si>
  <si>
    <t xml:space="preserve">Siliconomics SIF_CCLperGW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</si>
  <si>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</si>
  <si>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US$B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</si>
  <si>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SIF_CCLMkt_A</t>
    </r>
  </si>
  <si>
    <t xml:space="preserve">台燿有效份額（需求面）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</si>
  <si>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 </t>
    </r>
    <r>
      <rPr>
        <sz val="11"/>
        <color theme="1"/>
        <rFont val="Noto Sans CJK SC"/>
        <family val="2"/>
      </rPr>
      <t xml:space="preserve">占比校準；之後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</t>
    </r>
  </si>
  <si>
    <t xml:space="preserve">台燿高速材料營收（需求面）</t>
  </si>
  <si>
    <t xml:space="preserve">含台燿價格指數</t>
  </si>
  <si>
    <r>
      <rPr>
        <sz val="11"/>
        <color theme="1"/>
        <rFont val="Noto Sans CJK SC"/>
        <family val="2"/>
      </rPr>
      <t xml:space="preserve">台燿高速材料營收（實際＝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</si>
  <si>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台燿實際份額（實際營收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價格指數）</t>
    </r>
  </si>
  <si>
    <t xml:space="preserve">產能受限時低於需求面份額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</si>
  <si>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台燿高速材料營收</t>
    </r>
  </si>
  <si>
    <t xml:space="preserve">平均月產能</t>
  </si>
  <si>
    <t xml:space="preserve">公司擴產計畫</t>
  </si>
  <si>
    <t xml:space="preserve">每張營收（含組合與價格指數）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</si>
  <si>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／張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</si>
  <si>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</si>
  <si>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</si>
  <si>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</si>
  <si>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t xml:space="preserve">台光電有效份額（需求面；台光電成品）</t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</si>
  <si>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Units!C11:F11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</si>
  <si>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相關營收（實際；台光電成品）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</si>
  <si>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Units!C13:F13</t>
    </r>
  </si>
  <si>
    <t xml:space="preserve">份額一致性：台光電＋台燿 需求面份額合計</t>
  </si>
  <si>
    <r>
      <rPr>
        <sz val="11"/>
        <color theme="1"/>
        <rFont val="Noto Sans CJK SC"/>
        <family val="2"/>
      </rPr>
      <t xml:space="preserve">同一市場兩家合計須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</si>
  <si>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r>
      <rPr>
        <sz val="11"/>
        <color theme="1"/>
        <rFont val="Noto Sans CJK SC"/>
        <family val="2"/>
      </rPr>
      <t xml:space="preserve">份額一致性：台光電＋台燿 實際營收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市場（不含價格指數）</t>
    </r>
  </si>
  <si>
    <t xml:space="preserve">台燿營收除以台燿價格指數；台光電營收含台光電價格指數（口徑近似）</t>
  </si>
  <si>
    <r>
      <rPr>
        <sz val="11"/>
        <color theme="1"/>
        <rFont val="Noto Sans CJK SC"/>
        <family val="2"/>
      </rPr>
      <t xml:space="preserve">其他廠商（斗山、生益、松下、聯茂等）＝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兩家需求面份額</t>
    </r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</si>
  <si>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金額與市場讀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列示；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見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頁）；絕對水準只影響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校準出的份額。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尚無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份額表，台燿份額相對值放本模型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頁（待併入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）；台光電份額讀台光電成品，兩家需求面份額合計 </t>
    </r>
    <r>
      <rPr>
        <b val="true"/>
        <sz val="11"/>
        <rFont val="Cambria"/>
        <family val="0"/>
        <charset val="1"/>
      </rPr>
      <t xml:space="preserve">2026–29 </t>
    </r>
    <r>
      <rPr>
        <b val="true"/>
        <sz val="11"/>
        <rFont val="Noto Sans CJK SC"/>
        <family val="2"/>
      </rPr>
      <t xml:space="preserve">年皆低於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</si>
  <si>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台燿損益（十億新台幣；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。三情境各一個完整推導區塊（本頁下方），頂端為摘要；最下方延伸到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</si>
  <si>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</si>
  <si>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</si>
  <si>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</si>
  <si>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</si>
  <si>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</si>
  <si>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</si>
  <si>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</si>
  <si>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高速材料營收（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</si>
  <si>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  其他等級營收</t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</si>
  <si>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</si>
  <si>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</si>
  <si>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</si>
  <si>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</si>
  <si>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模型營收、高速材料、毛利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</si>
  <si>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</si>
  <si>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：高速材料差（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</si>
  <si>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</si>
  <si>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</si>
  <si>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</si>
  <si>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）與台燿份額（需求面；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</si>
  <si>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</si>
  <si>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</si>
  <si>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Siliconomics SIF_CCLMkt_A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核對）；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mf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用，基準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</si>
  <si>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</si>
  <si>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Noto Sans CJK SC"/>
        <family val="2"/>
      </rPr>
      <t xml:space="preserve">台燿年均售價指數（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</si>
  <si>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台燿有效份額（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高速材料營收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</si>
  <si>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</si>
  <si>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</si>
  <si>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台燿有效份額</t>
  </si>
  <si>
    <r>
      <rPr>
        <sz val="11"/>
        <color theme="1"/>
        <rFont val="Noto Sans CJK SC"/>
        <family val="2"/>
      </rPr>
      <t xml:space="preserve">高速材料營收（需求面）＝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</si>
  <si>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</si>
  <si>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每張營收（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（月產能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</si>
  <si>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：全產全銷，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營收全部由產能吸收；含膠片與所有等級</t>
    </r>
  </si>
  <si>
    <r>
      <rPr>
        <sz val="11"/>
        <color theme="1"/>
        <rFont val="Noto Sans CJK SC"/>
        <family val="2"/>
      </rPr>
      <t xml:space="preserve">每張營收組合指數（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</si>
  <si>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月產能 </t>
    </r>
    <r>
      <rPr>
        <sz val="11"/>
        <color theme="1"/>
        <rFont val="Calibri"/>
        <family val="2"/>
        <charset val="1"/>
      </rPr>
      <t xml:space="preserve">× 12 × </t>
    </r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</si>
  <si>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其他等級營收（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</t>
    </r>
  </si>
  <si>
    <r>
      <rPr>
        <sz val="11"/>
        <color theme="1"/>
        <rFont val="Noto Sans CJK SC"/>
        <family val="2"/>
      </rPr>
      <t xml:space="preserve">高速材料營收（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其他等級）</t>
    </r>
  </si>
  <si>
    <r>
      <rPr>
        <sz val="11"/>
        <color theme="1"/>
        <rFont val="Noto Sans CJK SC"/>
        <family val="2"/>
      </rPr>
      <t xml:space="preserve">產能不足時，其他等級照成長率出貨、高速材料取剩餘產能（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</si>
  <si>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</si>
  <si>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t xml:space="preserve">營收（單一應報導部門：銅箔基板與膠片）</t>
  </si>
  <si>
    <r>
      <rPr>
        <sz val="11"/>
        <color theme="1"/>
        <rFont val="Noto Sans CJK SC"/>
        <family val="2"/>
      </rPr>
      <t xml:space="preserve">官方分部（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）；子列＝高速材料＋其他等級</t>
    </r>
  </si>
  <si>
    <t xml:space="preserve">營收年增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</si>
  <si>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</si>
  <si>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子列（高速材料＋其他等級）合計 − 單一部門營收；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單一部門營收＝財報（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</si>
  <si>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</si>
  <si>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產能上限（高速材料需求面＋其他等級）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</si>
  <si>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</si>
  <si>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</si>
  <si>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其他等級毛利率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高速材料占比（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</si>
  <si>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毛利率等於錨點；高速材料毛利率＝其他＋差距</t>
    </r>
  </si>
  <si>
    <r>
      <rPr>
        <sz val="11"/>
        <color theme="1"/>
        <rFont val="Noto Sans CJK SC"/>
        <family val="2"/>
      </rPr>
      <t xml:space="preserve">高速材料毛利率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</si>
  <si>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：每張成本不變，價格升降全部落在毛利（組合升級的毛利效果未另計）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</si>
  <si>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</si>
  <si>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淨利率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</si>
  <si>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</si>
  <si>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</si>
  <si>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</si>
  <si>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t xml:space="preserve">Siliconomics SIF_DeployGW_B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</si>
  <si>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Siliconomics SIF_CCLMkt_B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核對）；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mf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用，基準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</si>
  <si>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）</t>
    </r>
  </si>
  <si>
    <t xml:space="preserve">Siliconomics SIF_DeployGW_C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</si>
  <si>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Siliconomics SIF_CCLMkt_C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核對）；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mf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用，基準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</si>
  <si>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</si>
  <si>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</si>
  <si>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</si>
  <si>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</si>
  <si>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</si>
  <si>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</si>
  <si>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</si>
  <si>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</si>
  <si>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</si>
  <si>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</si>
  <si>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</si>
  <si>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</si>
  <si>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</si>
  <si>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</si>
  <si>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</si>
  <si>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</si>
  <si>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</si>
  <si>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</si>
  <si>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</si>
  <si>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</si>
  <si>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</si>
  <si>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</si>
  <si>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加權）、現價隱含倍數與十年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分位檢查（新台幣）。本版未做先驗，無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</si>
  <si>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不如預期（讀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同字母情境）。現價＝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</si>
  <si>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</si>
  <si>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</si>
  <si>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</si>
  <si>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</si>
  <si>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</si>
  <si>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</si>
  <si>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</si>
  <si>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</si>
  <si>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</si>
  <si>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</si>
  <si>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</si>
  <si>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</si>
  <si>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</si>
  <si>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</si>
  <si>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</si>
  <si>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</si>
  <si>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</si>
  <si>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</si>
  <si>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</si>
  <si>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</si>
  <si>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</si>
  <si>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</si>
  <si>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</si>
  <si>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</si>
  <si>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</si>
  <si>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</si>
  <si>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</si>
  <si>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台光電（</t>
    </r>
    <r>
      <rPr>
        <sz val="11"/>
        <color theme="1"/>
        <rFont val="Calibri"/>
        <family val="2"/>
        <charset val="1"/>
      </rPr>
      <t xml:space="preserve">Elite Material</t>
    </r>
    <r>
      <rPr>
        <sz val="11"/>
        <color theme="1"/>
        <rFont val="Noto Sans CJK SC"/>
        <family val="2"/>
      </rPr>
      <t xml:space="preserve">）</t>
    </r>
  </si>
  <si>
    <t xml:space="preserve">2383.TW</t>
  </si>
  <si>
    <t xml:space="preserve">2026-09-04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</si>
  <si>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；較新資料未找到）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</si>
  <si>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</si>
  <si>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聯茂（</t>
    </r>
    <r>
      <rPr>
        <sz val="11"/>
        <color theme="1"/>
        <rFont val="Calibri"/>
        <family val="2"/>
        <charset val="1"/>
      </rPr>
      <t xml:space="preserve">ITEQ</t>
    </r>
    <r>
      <rPr>
        <sz val="11"/>
        <color theme="1"/>
        <rFont val="Noto Sans CJK SC"/>
        <family val="2"/>
      </rPr>
      <t xml:space="preserve">）</t>
    </r>
  </si>
  <si>
    <t xml:space="preserve">6213.TW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</si>
  <si>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</si>
  <si>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</si>
  <si>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金像電（</t>
    </r>
    <r>
      <rPr>
        <sz val="11"/>
        <color theme="1"/>
        <rFont val="Calibri"/>
        <family val="2"/>
        <charset val="1"/>
      </rPr>
      <t xml:space="preserve">Gold Circuit</t>
    </r>
    <r>
      <rPr>
        <sz val="11"/>
        <color theme="1"/>
        <rFont val="Noto Sans CJK SC"/>
        <family val="2"/>
      </rPr>
      <t xml:space="preserve">）</t>
    </r>
  </si>
  <si>
    <t xml:space="preserve">2368.TW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</si>
  <si>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</si>
  <si>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同業：台光電、聯茂（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）、金像電（下游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）。生益科技（</t>
    </r>
    <r>
      <rPr>
        <sz val="11"/>
        <color theme="1"/>
        <rFont val="Calibri"/>
        <family val="2"/>
        <charset val="1"/>
      </rPr>
      <t xml:space="preserve">600183.SS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股，依規則不列；斗山電子材料、松下非單獨上市，未列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</si>
  <si>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</si>
  <si>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</si>
  <si>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</si>
  <si>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</si>
  <si>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</si>
  <si>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</si>
  <si>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</si>
  <si>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目標價（相對倍數調整後，見第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</si>
  <si>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</si>
  <si>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（未作相對倍數調整）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</si>
  <si>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</si>
  <si>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Analyst price target 2,213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</si>
  <si>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</si>
  <si>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</si>
  <si>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</si>
  <si>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</si>
  <si>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</si>
  <si>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</si>
  <si>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</si>
  <si>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</si>
  <si>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</si>
  <si>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</si>
  <si>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</si>
  <si>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</si>
  <si>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</si>
  <si>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未找到，共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</si>
  <si>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</si>
  <si>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，再投資率約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取三年平均使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31%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：台光電、聯茂、金像電前瞻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中位數（只有三家；金像電為下游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，倍數較低），再乘相對倍數係數（第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同字母顆數情境）。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</si>
  <si>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Yahoo Finance 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〔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〕；</t>
    </r>
    <r>
      <rPr>
        <b val="true"/>
        <sz val="11"/>
        <rFont val="Cambria"/>
        <family val="0"/>
        <charset val="1"/>
      </rPr>
      <t xml:space="preserve">2016–2017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未找到）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</si>
  <si>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</si>
  <si>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</si>
  <si>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</si>
  <si>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</si>
  <si>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</si>
  <si>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</si>
  <si>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</si>
  <si>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</si>
  <si>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</si>
  <si>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</si>
  <si>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</si>
  <si>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14.58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17.79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40.96</t>
    </r>
    <r>
      <rPr>
        <sz val="11"/>
        <color theme="1"/>
        <rFont val="Noto Sans CJK SC"/>
        <family val="2"/>
      </rPr>
      <t xml:space="preserve">（與上列同量級，只作核對）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</si>
  <si>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</si>
  <si>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</si>
  <si>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</si>
  <si>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</si>
  <si>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</si>
  <si>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</si>
  <si>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</si>
  <si>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</si>
  <si>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</si>
  <si>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</si>
  <si>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</si>
  <si>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</si>
  <si>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</si>
  <si>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</si>
  <si>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</si>
  <si>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</si>
  <si>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</si>
  <si>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</si>
  <si>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</si>
  <si>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</si>
  <si>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</si>
  <si>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</si>
  <si>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</si>
  <si>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</si>
  <si>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</si>
  <si>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</si>
  <si>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</si>
  <si>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</si>
  <si>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台燿</t>
  </si>
  <si>
    <t xml:space="preserve">6274.TWO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</si>
  <si>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</si>
  <si>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6274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</si>
  <si>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</si>
  <si>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2383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</si>
  <si>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6213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</si>
  <si>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2368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</si>
  <si>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</si>
  <si>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</si>
  <si>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</si>
  <si>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</si>
  <si>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</si>
  <si>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</si>
  <si>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</si>
  <si>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</si>
  <si>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</si>
  <si>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</si>
  <si>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</si>
  <si>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</si>
  <si>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</si>
  <si>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</si>
  <si>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市場。只作事後對照，不為對上數字而調參數。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共識（最新）：未找到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</si>
  <si>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</si>
  <si>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</si>
  <si>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</si>
  <si>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</si>
  <si>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</si>
  <si>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</si>
  <si>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</si>
  <si>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</si>
  <si>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</si>
  <si>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</si>
  <si>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</si>
  <si>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實際營收 </t>
    </r>
    <r>
      <rPr>
        <sz val="11"/>
        <color theme="1"/>
        <rFont val="Calibri"/>
        <family val="2"/>
        <charset val="1"/>
      </rPr>
      <t xml:space="preserve">179.5 </t>
    </r>
    <r>
      <rPr>
        <sz val="11"/>
        <color theme="1"/>
        <rFont val="Noto Sans CJK SC"/>
        <family val="2"/>
      </rPr>
      <t xml:space="preserve">億，共識在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</si>
  <si>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</si>
  <si>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07-20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</si>
  <si>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2026-07-20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</si>
  <si>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）</t>
    </r>
  </si>
  <si>
    <t xml:space="preserve">FactSet</t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</si>
  <si>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</si>
  <si>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53.91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100.07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</si>
  <si>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07-20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</si>
  <si>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07-20</t>
    </r>
    <r>
      <rPr>
        <sz val="11"/>
        <color theme="1"/>
        <rFont val="Noto Sans CJK SC"/>
        <family val="2"/>
      </rPr>
      <t xml:space="preserve">）</t>
    </r>
  </si>
  <si>
    <t xml:space="preserve">單一券商、偏樂觀端</t>
  </si>
  <si>
    <r>
      <rPr>
        <sz val="11"/>
        <color theme="1"/>
        <rFont val="Calibri"/>
        <family val="2"/>
        <charset val="1"/>
      </rPr>
      <t xml:space="preserve">FY2028 EPS vs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04-20</t>
    </r>
    <r>
      <rPr>
        <sz val="11"/>
        <color theme="1"/>
        <rFont val="Noto Sans CJK SC"/>
        <family val="2"/>
      </rPr>
      <t xml:space="preserve">，單一預估）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</si>
  <si>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2026-04-20</t>
    </r>
  </si>
  <si>
    <t xml:space="preserve">期間早，只作量級參考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</si>
  <si>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市場與份額（機制檢查）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</si>
  <si>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vs Siliconomics SIF_CCLMkt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</si>
  <si>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</si>
  <si>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下一欄為本模型（</t>
    </r>
    <r>
      <rPr>
        <sz val="11"/>
        <color theme="1"/>
        <rFont val="Calibri"/>
        <family val="2"/>
        <charset val="1"/>
      </rPr>
      <t xml:space="preserve">÷ mf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</si>
  <si>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vs Siliconomics SIF_CCLMkt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</si>
  <si>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vs Siliconomics SIF_CCLMkt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</si>
  <si>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CY2029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vs Siliconomics SIF_CCLMkt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</si>
  <si>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台燿有效份額（需求面）</t>
    </r>
  </si>
  <si>
    <r>
      <rPr>
        <sz val="11"/>
        <color theme="1"/>
        <rFont val="Noto Sans CJK SC"/>
        <family val="2"/>
      </rPr>
      <t xml:space="preserve">台光電同期 </t>
    </r>
    <r>
      <rPr>
        <sz val="11"/>
        <color theme="1"/>
        <rFont val="Calibri"/>
        <family val="2"/>
        <charset val="1"/>
      </rPr>
      <t xml:space="preserve">45.9%</t>
    </r>
    <r>
      <rPr>
        <sz val="11"/>
        <color theme="1"/>
        <rFont val="Noto Sans CJK SC"/>
        <family val="2"/>
      </rPr>
      <t xml:space="preserve">（台光電成品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</si>
  <si>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</si>
  <si>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</si>
  <si>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；校準）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</si>
  <si>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303.4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210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NT$1,200</t>
    </r>
    <r>
      <rPr>
        <sz val="11"/>
        <color theme="1"/>
        <rFont val="Noto Sans CJK SC"/>
        <family val="2"/>
      </rPr>
      <t xml:space="preserve">；台光電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NT$2,858</t>
    </r>
  </si>
  <si>
    <r>
      <rPr>
        <sz val="11"/>
        <color theme="1"/>
        <rFont val="Noto Sans CJK SC"/>
        <family val="2"/>
      </rPr>
      <t xml:space="preserve">其他等級毛利率（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</si>
  <si>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</si>
  <si>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高速材料毛利率＝此值＋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</si>
  <si>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</si>
  <si>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12.88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</si>
  <si>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節）與情境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；由 </t>
    </r>
    <r>
      <rPr>
        <sz val="11"/>
        <color theme="1"/>
        <rFont val="Calibri"/>
        <family val="2"/>
        <charset val="1"/>
      </rPr>
      <t xml:space="preserve">tuc/sens_tuc.py </t>
    </r>
    <r>
      <rPr>
        <sz val="11"/>
        <color theme="1"/>
        <rFont val="Noto Sans CJK SC"/>
        <family val="2"/>
      </rPr>
      <t xml:space="preserve">產生 </t>
    </r>
    <r>
      <rPr>
        <sz val="11"/>
        <color theme="1"/>
        <rFont val="Calibri"/>
        <family val="2"/>
        <charset val="1"/>
      </rPr>
      <t xml:space="preserve">tuc/sens.json</t>
    </r>
    <r>
      <rPr>
        <sz val="11"/>
        <color theme="1"/>
        <rFont val="Noto Sans CJK SC"/>
        <family val="2"/>
      </rPr>
      <t xml:space="preserve">，建置時寫入（數值）</t>
    </r>
  </si>
  <si>
    <r>
      <rPr>
        <sz val="11"/>
        <color theme="1"/>
        <rFont val="Noto Sans CJK SC"/>
        <family val="2"/>
      </rPr>
      <t xml:space="preserve">相對基準＝案例目標價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ai_25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年高速材料占比）只影響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欄的子列拆分，對目標價結構上恆為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，仍列案例以示涵蓋。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案例同時移動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fade_g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為公式）。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</si>
  <si>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</si>
  <si>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</si>
  <si>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</si>
  <si>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</si>
  <si>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</si>
  <si>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</si>
  <si>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</si>
  <si>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頁基準欄</t>
    </r>
  </si>
  <si>
    <t xml:space="preserve">本活頁簿重算值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</si>
  <si>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美元）：低</t>
    </r>
  </si>
  <si>
    <t xml:space="preserve">32 → 30.5</t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</si>
  <si>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</si>
  <si>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sens_tuc.py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</si>
  <si>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美元）：高</t>
    </r>
  </si>
  <si>
    <t xml:space="preserve">32 → 33</t>
  </si>
  <si>
    <t xml:space="preserve">高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</si>
  <si>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（相對值）：低</t>
    </r>
  </si>
  <si>
    <t xml:space="preserve">1.1 → 0.95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</si>
  <si>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（相對值）：高</t>
    </r>
  </si>
  <si>
    <t xml:space="preserve">1.1 → 1.25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</si>
  <si>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（相對值）：低</t>
    </r>
  </si>
  <si>
    <t xml:space="preserve">1.15 → 0.95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</si>
  <si>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（相對值）：高</t>
    </r>
  </si>
  <si>
    <t xml:space="preserve">1.15 → 1.35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</si>
  <si>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（相對值）：低</t>
    </r>
  </si>
  <si>
    <t xml:space="preserve">1.15 → 0.9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</si>
  <si>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（相對值）：高</t>
    </r>
  </si>
  <si>
    <t xml:space="preserve">1.15 → 1.4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</si>
  <si>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年中漲價的全年效果）：低</t>
    </r>
  </si>
  <si>
    <t xml:space="preserve">1.05 → 0.97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</si>
  <si>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年中漲價的全年效果）：高</t>
    </r>
  </si>
  <si>
    <t xml:space="preserve">1.05 → 1.12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</si>
  <si>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年中漲價的全年效果）：低</t>
    </r>
  </si>
  <si>
    <t xml:space="preserve">1.0 → 0.9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</si>
  <si>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年中漲價的全年效果）：高</t>
    </r>
  </si>
  <si>
    <t xml:space="preserve">1.0 → 1.08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</si>
  <si>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年中漲價的全年效果）：低</t>
    </r>
  </si>
  <si>
    <t xml:space="preserve">0.95 → 0.85</t>
  </si>
  <si>
    <r>
      <rPr>
        <sz val="11"/>
        <color theme="1"/>
        <rFont val="Noto Sans CJK SC"/>
        <family val="2"/>
      </rPr>
      <t xml:space="preserve">台燿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年均售價指數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年中漲價的全年效果）：高</t>
    </r>
  </si>
  <si>
    <t xml:space="preserve">0.95 → 1.03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</si>
  <si>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：低</t>
    </r>
  </si>
  <si>
    <t xml:space="preserve">2.35 → 2.25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</si>
  <si>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：高</t>
    </r>
  </si>
  <si>
    <t xml:space="preserve">2.35 → 2.45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</si>
  <si>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：低</t>
    </r>
  </si>
  <si>
    <t xml:space="preserve">3.1 → 2.75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</si>
  <si>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：高</t>
    </r>
  </si>
  <si>
    <t xml:space="preserve">3.1 → 3.3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</si>
  <si>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：低</t>
    </r>
  </si>
  <si>
    <t xml:space="preserve">4.3 → 3.8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</si>
  <si>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：高</t>
    </r>
  </si>
  <si>
    <t xml:space="preserve">4.3 → 4.7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</si>
  <si>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：低</t>
    </r>
  </si>
  <si>
    <t xml:space="preserve">5.3 → 4.3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</si>
  <si>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：高</t>
    </r>
  </si>
  <si>
    <t xml:space="preserve">5.3 → 5.75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</si>
  <si>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）：低</t>
    </r>
  </si>
  <si>
    <t xml:space="preserve">1.2 → 1.08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</si>
  <si>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）：高</t>
    </r>
  </si>
  <si>
    <t xml:space="preserve">1.2 → 1.35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</si>
  <si>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）：低</t>
    </r>
  </si>
  <si>
    <t xml:space="preserve">1.32 → 1.12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</si>
  <si>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）：高</t>
    </r>
  </si>
  <si>
    <t xml:space="preserve">1.32 → 1.55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</si>
  <si>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）：低</t>
    </r>
  </si>
  <si>
    <t xml:space="preserve">1.42 → 1.15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</si>
  <si>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M8 → M8+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）：高</t>
    </r>
  </si>
  <si>
    <t xml:space="preserve">1.42 → 1.7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</si>
  <si>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年高速材料（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營收：低</t>
    </r>
  </si>
  <si>
    <t xml:space="preserve">0.32 → 0.28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</si>
  <si>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年高速材料（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營收：高</t>
    </r>
  </si>
  <si>
    <t xml:space="preserve">0.32 → 0.36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</si>
  <si>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年高速材料（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相關的代理）：低</t>
    </r>
  </si>
  <si>
    <t xml:space="preserve">0.42 → 0.38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</si>
  <si>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年高速材料（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相關的代理）：高</t>
    </r>
  </si>
  <si>
    <t xml:space="preserve">0.42 → 0.48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</si>
  <si>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、非低損耗、特殊應用）：低</t>
    </r>
  </si>
  <si>
    <t xml:space="preserve">0.1 → 0.0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</si>
  <si>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、非低損耗、特殊應用）：高</t>
    </r>
  </si>
  <si>
    <t xml:space="preserve">0.1 → 0.18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</si>
  <si>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、非低損耗、特殊應用）：低</t>
    </r>
  </si>
  <si>
    <t xml:space="preserve">0.07 → 0.0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</si>
  <si>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、非低損耗、特殊應用）：高</t>
    </r>
  </si>
  <si>
    <t xml:space="preserve">0.07 → 0.14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</si>
  <si>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、非低損耗、特殊應用）：低</t>
    </r>
  </si>
  <si>
    <t xml:space="preserve">0.05 → 0.0</t>
  </si>
  <si>
    <r>
      <rPr>
        <sz val="11"/>
        <color theme="1"/>
        <rFont val="Noto Sans CJK SC"/>
        <family val="2"/>
      </rPr>
      <t xml:space="preserve">其他等級營收年增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</t>
    </r>
    <r>
      <rPr>
        <sz val="11"/>
        <color theme="1"/>
        <rFont val="Noto Sans CJK SC"/>
        <family val="2"/>
      </rPr>
      <t xml:space="preserve">、非低損耗、特殊應用）：高</t>
    </r>
  </si>
  <si>
    <t xml:space="preserve">0.05 → 0.1</t>
  </si>
  <si>
    <t xml:space="preserve">高速材料毛利率高於其他等級的幅度：低</t>
  </si>
  <si>
    <t xml:space="preserve">0.08 → 0.05</t>
  </si>
  <si>
    <t xml:space="preserve">高速材料毛利率高於其他等級的幅度：高</t>
  </si>
  <si>
    <t xml:space="preserve">0.08 → 0.12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</si>
  <si>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營收季增：低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</si>
  <si>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營收季增：高</t>
    </r>
  </si>
  <si>
    <t xml:space="preserve">0.05 → 0.12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</si>
  <si>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毛利率：低</t>
    </r>
  </si>
  <si>
    <t xml:space="preserve">0.36 → 0.34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</si>
  <si>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毛利率：高</t>
    </r>
  </si>
  <si>
    <t xml:space="preserve">0.36 → 0.38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</si>
  <si>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營收：低</t>
    </r>
  </si>
  <si>
    <t xml:space="preserve">0.06 → 0.055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</si>
  <si>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營收：高</t>
    </r>
  </si>
  <si>
    <t xml:space="preserve">0.06 → 0.065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</si>
  <si>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業外收益：低</t>
    </r>
  </si>
  <si>
    <t xml:space="preserve">0.03 → -0.1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</si>
  <si>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業外收益：高</t>
    </r>
  </si>
  <si>
    <t xml:space="preserve">0.03 → 0.15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</si>
  <si>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稅前：低</t>
    </r>
  </si>
  <si>
    <t xml:space="preserve">0.69 → 0.66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</si>
  <si>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稅前：高</t>
    </r>
  </si>
  <si>
    <t xml:space="preserve">0.69 → 0.75</t>
  </si>
  <si>
    <t xml:space="preserve">營業費用成長對營收成長的彈性：低</t>
  </si>
  <si>
    <t xml:space="preserve">0.6 → 0.45</t>
  </si>
  <si>
    <t xml:space="preserve">營業費用成長對營收成長的彈性：高</t>
  </si>
  <si>
    <t xml:space="preserve">0.6 → 1.0</t>
  </si>
  <si>
    <t xml:space="preserve">業外收益（每年）：低</t>
  </si>
  <si>
    <t xml:space="preserve">0.15 → -0.3</t>
  </si>
  <si>
    <t xml:space="preserve">業外收益（每年）：高</t>
  </si>
  <si>
    <t xml:space="preserve">0.15 → 0.5</t>
  </si>
  <si>
    <r>
      <rPr>
        <sz val="11"/>
        <color theme="1"/>
        <rFont val="Noto Sans CJK SC"/>
        <family val="2"/>
      </rPr>
      <t xml:space="preserve">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稅前：低</t>
    </r>
  </si>
  <si>
    <t xml:space="preserve">0.7 → 0.66</t>
  </si>
  <si>
    <r>
      <rPr>
        <sz val="11"/>
        <color theme="1"/>
        <rFont val="Noto Sans CJK SC"/>
        <family val="2"/>
      </rPr>
      <t xml:space="preserve">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稅前：高</t>
    </r>
  </si>
  <si>
    <t xml:space="preserve">0.7 → 0.76</t>
  </si>
  <si>
    <t xml:space="preserve">股數年變動：低</t>
  </si>
  <si>
    <t xml:space="preserve">0.01 → 0.0</t>
  </si>
  <si>
    <t xml:space="preserve">股數年變動：高</t>
  </si>
  <si>
    <t xml:space="preserve">0.01 → 0.025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</si>
  <si>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起）：低</t>
    </r>
  </si>
  <si>
    <t xml:space="preserve">1.0 → 0.8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</si>
  <si>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起）：高</t>
    </r>
  </si>
  <si>
    <t xml:space="preserve">1.0 → 1.2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</si>
  <si>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）：低</t>
    </r>
  </si>
  <si>
    <t xml:space="preserve">0.1 → 0.09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</si>
  <si>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）：高</t>
    </r>
  </si>
  <si>
    <t xml:space="preserve">0.1 → 0.11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</si>
  <si>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營收年增收斂目標）：低</t>
    </r>
  </si>
  <si>
    <t xml:space="preserve">0.04 → 0.03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</si>
  <si>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營收年增收斂目標）：高</t>
    </r>
  </si>
  <si>
    <t xml:space="preserve">0.04 → 0.05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</si>
  <si>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：低</t>
    </r>
  </si>
  <si>
    <t xml:space="preserve">0.5 → 0.3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</si>
  <si>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：高</t>
    </r>
  </si>
  <si>
    <t xml:space="preserve">0.5 → 0.7</t>
  </si>
  <si>
    <r>
      <rPr>
        <sz val="11"/>
        <color theme="1"/>
        <rFont val="Noto Sans CJK SC"/>
        <family val="2"/>
      </rPr>
      <t xml:space="preserve">讀法：產能受限的年度（情境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FY2027–28</t>
    </r>
    <r>
      <rPr>
        <sz val="11"/>
        <color theme="1"/>
        <rFont val="Noto Sans CJK SC"/>
        <family val="2"/>
      </rPr>
      <t xml:space="preserve">），需求面輸入（份額相對值、市場係數）往上調時營收被產能上限截斷，只有產能、組合與價格指數會改變營收；價格指數同時改變產能上限營收與高速材料毛利率（成本不變），所以對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</si>
  <si>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來源（公司原文＝台燿財報、月營收與法說，經 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nstock</t>
    </r>
    <r>
      <rPr>
        <b val="true"/>
        <sz val="11"/>
        <rFont val="Noto Sans CJK SC"/>
        <family val="2"/>
      </rPr>
      <t xml:space="preserve">、富果轉述；券商皆為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</si>
  <si>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損益表（季；公開資訊觀測站轉載；</t>
    </r>
    <r>
      <rPr>
        <sz val="11"/>
        <color theme="1"/>
        <rFont val="Calibri"/>
        <family val="2"/>
        <charset val="1"/>
      </rPr>
      <t xml:space="preserve">1Q25–3Q26 </t>
    </r>
    <r>
      <rPr>
        <sz val="11"/>
        <color theme="1"/>
        <rFont val="Noto Sans CJK SC"/>
        <family val="2"/>
      </rPr>
      <t xml:space="preserve">營收、毛利、營業利益、稅前、稅後）</t>
    </r>
  </si>
  <si>
    <r>
      <rPr>
        <sz val="11"/>
        <color theme="1"/>
        <rFont val="Calibri"/>
        <family val="2"/>
        <charset val="1"/>
      </rPr>
      <t xml:space="preserve">https://histock.tw/stock/6274/</t>
    </r>
    <r>
      <rPr>
        <sz val="11"/>
        <color theme="1"/>
        <rFont val="Noto Sans CJK SC"/>
        <family val="2"/>
      </rPr>
      <t xml:space="preserve">損益表</t>
    </r>
  </si>
  <si>
    <r>
      <rPr>
        <sz val="11"/>
        <color theme="1"/>
        <rFont val="Noto Sans CJK SC"/>
        <family val="2"/>
      </rPr>
      <t xml:space="preserve">財報：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每股盈餘（</t>
    </r>
    <r>
      <rPr>
        <sz val="11"/>
        <color theme="1"/>
        <rFont val="Calibri"/>
        <family val="2"/>
        <charset val="1"/>
      </rPr>
      <t xml:space="preserve">2018–2026 </t>
    </r>
    <r>
      <rPr>
        <sz val="11"/>
        <color theme="1"/>
        <rFont val="Noto Sans CJK SC"/>
        <family val="2"/>
      </rPr>
      <t xml:space="preserve">各季）</t>
    </r>
  </si>
  <si>
    <r>
      <rPr>
        <sz val="11"/>
        <color theme="1"/>
        <rFont val="Calibri"/>
        <family val="2"/>
        <charset val="1"/>
      </rPr>
      <t xml:space="preserve">https://histock.tw/stock/6274/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</si>
  <si>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Noto Sans CJK SC"/>
        <family val="2"/>
      </rPr>
      <t xml:space="preserve">財報：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EPS 12.88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36.93%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31.02%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收盤）</t>
    </r>
  </si>
  <si>
    <t xml:space="preserve">https://www.nstock.tw/6274?status=6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</si>
  <si>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</si>
  <si>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https://histock.tw/stock/6274/</t>
    </r>
    <r>
      <rPr>
        <sz val="11"/>
        <color theme="1"/>
        <rFont val="Noto Sans CJK SC"/>
        <family val="2"/>
      </rPr>
      <t xml:space="preserve">每月營收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</si>
  <si>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143.01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29.72%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8.02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EPS 12.4</t>
    </r>
    <r>
      <rPr>
        <sz val="11"/>
        <color theme="1"/>
        <rFont val="Noto Sans CJK SC"/>
        <family val="2"/>
      </rPr>
      <t xml:space="preserve">；可轉債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億元）</t>
    </r>
  </si>
  <si>
    <t xml:space="preserve">https://uanalyze.com.tw/articles/1773952452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</si>
  <si>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；損耗等級組合、泰國廠、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擴產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</si>
  <si>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https://blog.fugle.tw/post/earnings-call-6274-2026-07-30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</si>
  <si>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SLL 36%</t>
    </r>
    <r>
      <rPr>
        <sz val="11"/>
        <color theme="1"/>
        <rFont val="Noto Sans CJK SC"/>
        <family val="2"/>
      </rPr>
      <t xml:space="preserve">、常熟與泰國各 </t>
    </r>
    <r>
      <rPr>
        <sz val="11"/>
        <color theme="1"/>
        <rFont val="Calibri"/>
        <family val="2"/>
        <charset val="1"/>
      </rPr>
      <t xml:space="preserve">+60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</si>
  <si>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https://blog.fugle.tw/post/earnings-call-6274-2026-03-12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</si>
  <si>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（集團月產能逾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萬張、市場估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380 </t>
    </r>
    <r>
      <rPr>
        <sz val="11"/>
        <color theme="1"/>
        <rFont val="Noto Sans CJK SC"/>
        <family val="2"/>
      </rPr>
      <t xml:space="preserve">萬張；</t>
    </r>
    <r>
      <rPr>
        <sz val="11"/>
        <color theme="1"/>
        <rFont val="Calibri"/>
        <family val="2"/>
        <charset val="1"/>
      </rPr>
      <t xml:space="preserve">FactSet 08-04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</si>
  <si>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2026–28 EPS 38.8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93.5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</si>
  <si>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（日系外資目標價 </t>
    </r>
    <r>
      <rPr>
        <sz val="11"/>
        <color theme="1"/>
        <rFont val="Calibri"/>
        <family val="2"/>
        <charset val="1"/>
      </rPr>
      <t xml:space="preserve">2,115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專案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年貢獻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</si>
  <si>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https://wantrich.chinatimes.com/news/20260630900220-420101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</si>
  <si>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2026-04-20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2026–28 EPS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900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</si>
  <si>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2,213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 26.37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；同業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</si>
  <si>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https://stockanalysis.com/quote/tpex/6274/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</si>
  <si>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</si>
  <si>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https://finance.yahoo.com/quote/6274.TWO/history/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</si>
  <si>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市場、匯率）；台光電成品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頁（份額一致性檢查）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</si>
  <si>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</si>
  <si>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法說（日期未找到）；財報附註的營運部門原文；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最新共識；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前瞻倍數歷史（已有 </t>
    </r>
    <r>
      <rPr>
        <sz val="11"/>
        <color theme="1"/>
        <rFont val="Calibri"/>
        <family val="2"/>
        <charset val="1"/>
      </rPr>
      <t xml:space="preserve">6274.TWO</t>
    </r>
    <r>
      <rPr>
        <sz val="11"/>
        <color theme="1"/>
        <rFont val="Noto Sans CJK SC"/>
        <family val="2"/>
      </rPr>
      <t xml:space="preserve">）</t>
    </r>
  </si>
  <si>
    <t xml:space="preserve">未找到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</si>
</sst>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0"/>
    <numFmt numFmtId="172" formatCode="#,##0.0"/>
    <numFmt numFmtId="173" formatCode="0.0000"/>
    <numFmt numFmtId="174" formatCode="0.00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">
        <v>4</v>
      </c>
    </row>
    <row r="6" customFormat="false" ht="17.15" hidden="false" customHeight="false" outlineLevel="0" collapsed="false">
      <c r="A6" s="2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/>
    </row>
    <row r="11" customFormat="false" ht="17.15" hidden="false" customHeight="false" outlineLevel="0" collapsed="false">
      <c r="A11" s="3" t="s">
        <v>8</v>
      </c>
    </row>
    <row r="13" customFormat="false" ht="17.15" hidden="false" customHeight="false" outlineLevel="0" collapsed="false">
      <c r="A13" s="0" t="s">
        <v>9</v>
      </c>
    </row>
    <row r="15" customFormat="false" ht="17.15" hidden="false" customHeight="false" outlineLevel="0" collapsed="false">
      <c r="A15" s="0" t="str">
        <f aca="false">"投資建議："&amp;Val!B43&amp;"（依上檔空間固定規則；加權目標價上檔空間 "&amp;TEXT(Val!B40,"+0.0%;−0.0%")&amp;"）"</f>
        <v>投資建議：買進（依上檔空間固定規則；加權目標價上檔空間 +44.5%）</v>
      </c>
    </row>
    <row r="16" customFormat="false" ht="17.15" hidden="false" customHeight="false" outlineLevel="0" collapsed="false">
      <c r="A16" s="3" t="s">
        <v>10</v>
      </c>
    </row>
    <row r="17" customFormat="false" ht="17.15" hidden="false" customHeight="false" outlineLevel="0" collapsed="false">
      <c r="A17" s="3" t="s">
        <v>11</v>
      </c>
    </row>
    <row r="18" customFormat="false" ht="17.15" hidden="false" customHeight="false" outlineLevel="0" collapsed="false">
      <c r="A18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3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5" t="s">
        <v>24</v>
      </c>
    </row>
    <row r="5" customFormat="false" ht="17.15" hidden="false" customHeight="false" outlineLevel="0" collapsed="false">
      <c r="A5" s="0" t="s">
        <v>25</v>
      </c>
      <c r="B5" s="3" t="s">
        <v>26</v>
      </c>
      <c r="C5" s="0" t="s">
        <v>27</v>
      </c>
      <c r="E5" s="6" t="n">
        <v>23.3995380420639</v>
      </c>
      <c r="G5" s="7" t="s">
        <v>28</v>
      </c>
      <c r="H5" s="7" t="s">
        <v>29</v>
      </c>
      <c r="I5" s="7" t="s">
        <v>30</v>
      </c>
    </row>
    <row r="6" customFormat="false" ht="17.15" hidden="false" customHeight="false" outlineLevel="0" collapsed="false">
      <c r="A6" s="0" t="s">
        <v>31</v>
      </c>
      <c r="B6" s="3" t="s">
        <v>32</v>
      </c>
      <c r="C6" s="0" t="s">
        <v>27</v>
      </c>
      <c r="E6" s="6" t="n">
        <v>41.6467658260637</v>
      </c>
      <c r="G6" s="7" t="s">
        <v>28</v>
      </c>
      <c r="H6" s="7" t="s">
        <v>33</v>
      </c>
      <c r="I6" s="3" t="s">
        <v>34</v>
      </c>
    </row>
    <row r="7" customFormat="false" ht="17.15" hidden="false" customHeight="false" outlineLevel="0" collapsed="false">
      <c r="A7" s="0" t="s">
        <v>35</v>
      </c>
      <c r="B7" s="3" t="s">
        <v>36</v>
      </c>
      <c r="C7" s="0" t="s">
        <v>27</v>
      </c>
      <c r="E7" s="6" t="n">
        <v>52.792138191248</v>
      </c>
      <c r="G7" s="7" t="s">
        <v>28</v>
      </c>
      <c r="H7" s="7" t="s">
        <v>37</v>
      </c>
      <c r="I7" s="7" t="s">
        <v>38</v>
      </c>
    </row>
    <row r="8" customFormat="false" ht="17.15" hidden="false" customHeight="false" outlineLevel="0" collapsed="false">
      <c r="A8" s="0" t="s">
        <v>39</v>
      </c>
      <c r="B8" s="3" t="s">
        <v>40</v>
      </c>
      <c r="C8" s="0" t="s">
        <v>27</v>
      </c>
      <c r="E8" s="6" t="n">
        <v>42.2337105529984</v>
      </c>
      <c r="G8" s="7" t="s">
        <v>28</v>
      </c>
      <c r="H8" s="7" t="s">
        <v>41</v>
      </c>
      <c r="I8" s="7" t="s">
        <v>38</v>
      </c>
    </row>
    <row r="9" customFormat="false" ht="17.15" hidden="false" customHeight="false" outlineLevel="0" collapsed="false">
      <c r="A9" s="0" t="s">
        <v>42</v>
      </c>
      <c r="B9" s="3" t="s">
        <v>43</v>
      </c>
      <c r="C9" s="0" t="s">
        <v>27</v>
      </c>
      <c r="E9" s="6" t="n">
        <v>31.6752829147488</v>
      </c>
      <c r="G9" s="7" t="s">
        <v>28</v>
      </c>
      <c r="H9" s="7" t="s">
        <v>44</v>
      </c>
      <c r="I9" s="7" t="s">
        <v>38</v>
      </c>
    </row>
    <row r="10" customFormat="false" ht="17.15" hidden="false" customHeight="false" outlineLevel="0" collapsed="false">
      <c r="A10" s="0" t="s">
        <v>45</v>
      </c>
      <c r="B10" s="3" t="s">
        <v>46</v>
      </c>
      <c r="C10" s="0" t="s">
        <v>27</v>
      </c>
      <c r="E10" s="6" t="n">
        <v>60.1385917361115</v>
      </c>
      <c r="G10" s="7" t="s">
        <v>28</v>
      </c>
      <c r="H10" s="7" t="s">
        <v>47</v>
      </c>
      <c r="I10" s="7" t="s">
        <v>38</v>
      </c>
    </row>
    <row r="11" customFormat="false" ht="17.15" hidden="false" customHeight="false" outlineLevel="0" collapsed="false">
      <c r="A11" s="0" t="s">
        <v>48</v>
      </c>
      <c r="B11" s="3" t="s">
        <v>49</v>
      </c>
      <c r="C11" s="0" t="s">
        <v>27</v>
      </c>
      <c r="E11" s="6" t="n">
        <v>51.1178029756948</v>
      </c>
      <c r="G11" s="7" t="s">
        <v>28</v>
      </c>
      <c r="H11" s="7" t="s">
        <v>50</v>
      </c>
      <c r="I11" s="7" t="s">
        <v>38</v>
      </c>
    </row>
    <row r="12" customFormat="false" ht="17.15" hidden="false" customHeight="false" outlineLevel="0" collapsed="false">
      <c r="A12" s="0" t="s">
        <v>51</v>
      </c>
      <c r="B12" s="3" t="s">
        <v>52</v>
      </c>
      <c r="C12" s="0" t="s">
        <v>27</v>
      </c>
      <c r="E12" s="6" t="n">
        <v>36.0831550416669</v>
      </c>
      <c r="G12" s="7" t="s">
        <v>28</v>
      </c>
      <c r="H12" s="7" t="s">
        <v>53</v>
      </c>
      <c r="I12" s="7" t="s">
        <v>38</v>
      </c>
    </row>
    <row r="13" customFormat="false" ht="17.15" hidden="false" customHeight="false" outlineLevel="0" collapsed="false">
      <c r="A13" s="0" t="s">
        <v>54</v>
      </c>
      <c r="B13" s="3" t="s">
        <v>55</v>
      </c>
      <c r="C13" s="0" t="s">
        <v>56</v>
      </c>
      <c r="E13" s="6" t="n">
        <v>350</v>
      </c>
      <c r="G13" s="7" t="s">
        <v>28</v>
      </c>
      <c r="H13" s="7" t="s">
        <v>57</v>
      </c>
      <c r="I13" s="7" t="s">
        <v>58</v>
      </c>
    </row>
    <row r="14" customFormat="false" ht="17.15" hidden="false" customHeight="false" outlineLevel="0" collapsed="false">
      <c r="A14" s="0" t="s">
        <v>59</v>
      </c>
      <c r="B14" s="3" t="s">
        <v>60</v>
      </c>
      <c r="C14" s="0" t="s">
        <v>56</v>
      </c>
      <c r="E14" s="6" t="n">
        <v>527.5</v>
      </c>
      <c r="G14" s="7" t="s">
        <v>28</v>
      </c>
      <c r="H14" s="7" t="s">
        <v>61</v>
      </c>
      <c r="I14" s="7" t="s">
        <v>58</v>
      </c>
    </row>
    <row r="15" customFormat="false" ht="17.15" hidden="false" customHeight="false" outlineLevel="0" collapsed="false">
      <c r="A15" s="0" t="s">
        <v>62</v>
      </c>
      <c r="B15" s="3" t="s">
        <v>63</v>
      </c>
      <c r="C15" s="0" t="s">
        <v>56</v>
      </c>
      <c r="E15" s="6" t="n">
        <v>609</v>
      </c>
      <c r="G15" s="7" t="s">
        <v>28</v>
      </c>
      <c r="H15" s="7" t="s">
        <v>64</v>
      </c>
      <c r="I15" s="7" t="s">
        <v>58</v>
      </c>
    </row>
    <row r="16" customFormat="false" ht="17.15" hidden="false" customHeight="false" outlineLevel="0" collapsed="false">
      <c r="A16" s="0" t="s">
        <v>65</v>
      </c>
      <c r="B16" s="3" t="s">
        <v>66</v>
      </c>
      <c r="C16" s="0" t="s">
        <v>56</v>
      </c>
      <c r="E16" s="6" t="n">
        <v>662.5</v>
      </c>
      <c r="G16" s="7" t="s">
        <v>28</v>
      </c>
      <c r="H16" s="7" t="s">
        <v>67</v>
      </c>
      <c r="I16" s="7" t="s">
        <v>58</v>
      </c>
    </row>
    <row r="17" customFormat="false" ht="17.15" hidden="false" customHeight="false" outlineLevel="0" collapsed="false">
      <c r="A17" s="0" t="s">
        <v>68</v>
      </c>
      <c r="B17" s="3" t="s">
        <v>69</v>
      </c>
      <c r="C17" s="0" t="s">
        <v>70</v>
      </c>
      <c r="D17" s="6" t="n">
        <v>30.5</v>
      </c>
      <c r="E17" s="6" t="n">
        <v>32</v>
      </c>
      <c r="F17" s="6" t="n">
        <v>33</v>
      </c>
      <c r="G17" s="7" t="s">
        <v>28</v>
      </c>
      <c r="H17" s="7" t="s">
        <v>71</v>
      </c>
      <c r="I17" s="3" t="s">
        <v>72</v>
      </c>
    </row>
    <row r="18" customFormat="false" ht="17.15" hidden="false" customHeight="false" outlineLevel="0" collapsed="false">
      <c r="A18" s="5" t="s">
        <v>73</v>
      </c>
    </row>
    <row r="19" customFormat="false" ht="17.15" hidden="false" customHeight="false" outlineLevel="0" collapsed="false">
      <c r="A19" s="0" t="s">
        <v>74</v>
      </c>
      <c r="B19" s="3" t="s">
        <v>75</v>
      </c>
      <c r="C19" s="0" t="s">
        <v>76</v>
      </c>
      <c r="D19" s="6" t="n">
        <v>0.95</v>
      </c>
      <c r="E19" s="6" t="n">
        <v>1.1</v>
      </c>
      <c r="F19" s="6" t="n">
        <v>1.25</v>
      </c>
      <c r="G19" s="7" t="s">
        <v>77</v>
      </c>
      <c r="H19" s="3" t="s">
        <v>78</v>
      </c>
      <c r="I19" s="7" t="s">
        <v>79</v>
      </c>
    </row>
    <row r="20" customFormat="false" ht="17.15" hidden="false" customHeight="false" outlineLevel="0" collapsed="false">
      <c r="A20" s="0" t="s">
        <v>80</v>
      </c>
      <c r="B20" s="3" t="s">
        <v>81</v>
      </c>
      <c r="C20" s="0" t="s">
        <v>76</v>
      </c>
      <c r="D20" s="6" t="n">
        <v>0.95</v>
      </c>
      <c r="E20" s="6" t="n">
        <v>1.15</v>
      </c>
      <c r="F20" s="6" t="n">
        <v>1.35</v>
      </c>
      <c r="G20" s="7" t="s">
        <v>77</v>
      </c>
      <c r="H20" s="3" t="s">
        <v>82</v>
      </c>
      <c r="I20" s="3" t="s">
        <v>83</v>
      </c>
    </row>
    <row r="21" customFormat="false" ht="17.15" hidden="false" customHeight="false" outlineLevel="0" collapsed="false">
      <c r="A21" s="0" t="s">
        <v>84</v>
      </c>
      <c r="B21" s="3" t="s">
        <v>85</v>
      </c>
      <c r="C21" s="0" t="s">
        <v>76</v>
      </c>
      <c r="D21" s="6" t="n">
        <v>0.9</v>
      </c>
      <c r="E21" s="6" t="n">
        <v>1.15</v>
      </c>
      <c r="F21" s="6" t="n">
        <v>1.4</v>
      </c>
      <c r="G21" s="7" t="s">
        <v>77</v>
      </c>
      <c r="H21" s="3" t="s">
        <v>82</v>
      </c>
      <c r="I21" s="3" t="s">
        <v>83</v>
      </c>
    </row>
    <row r="22" customFormat="false" ht="17.15" hidden="false" customHeight="false" outlineLevel="0" collapsed="false">
      <c r="A22" s="0" t="s">
        <v>86</v>
      </c>
      <c r="B22" s="3" t="s">
        <v>87</v>
      </c>
      <c r="C22" s="0" t="s">
        <v>76</v>
      </c>
      <c r="D22" s="6" t="n">
        <v>0.97</v>
      </c>
      <c r="E22" s="6" t="n">
        <v>1.05</v>
      </c>
      <c r="F22" s="6" t="n">
        <v>1.12</v>
      </c>
      <c r="G22" s="7" t="s">
        <v>77</v>
      </c>
      <c r="H22" s="3" t="s">
        <v>88</v>
      </c>
      <c r="I22" s="3" t="s">
        <v>89</v>
      </c>
    </row>
    <row r="23" customFormat="false" ht="17.15" hidden="false" customHeight="false" outlineLevel="0" collapsed="false">
      <c r="A23" s="0" t="s">
        <v>90</v>
      </c>
      <c r="B23" s="3" t="s">
        <v>91</v>
      </c>
      <c r="C23" s="0" t="s">
        <v>76</v>
      </c>
      <c r="D23" s="6" t="n">
        <v>0.9</v>
      </c>
      <c r="E23" s="6" t="n">
        <v>1</v>
      </c>
      <c r="F23" s="6" t="n">
        <v>1.08</v>
      </c>
      <c r="G23" s="7" t="s">
        <v>77</v>
      </c>
      <c r="H23" s="3" t="s">
        <v>82</v>
      </c>
      <c r="I23" s="3" t="s">
        <v>92</v>
      </c>
    </row>
    <row r="24" customFormat="false" ht="17.15" hidden="false" customHeight="false" outlineLevel="0" collapsed="false">
      <c r="A24" s="0" t="s">
        <v>93</v>
      </c>
      <c r="B24" s="3" t="s">
        <v>94</v>
      </c>
      <c r="C24" s="0" t="s">
        <v>76</v>
      </c>
      <c r="D24" s="6" t="n">
        <v>0.85</v>
      </c>
      <c r="E24" s="6" t="n">
        <v>0.95</v>
      </c>
      <c r="F24" s="6" t="n">
        <v>1.03</v>
      </c>
      <c r="G24" s="7" t="s">
        <v>77</v>
      </c>
      <c r="H24" s="3" t="s">
        <v>82</v>
      </c>
      <c r="I24" s="3" t="s">
        <v>92</v>
      </c>
    </row>
    <row r="25" customFormat="false" ht="17.15" hidden="false" customHeight="false" outlineLevel="0" collapsed="false">
      <c r="A25" s="5" t="s">
        <v>95</v>
      </c>
    </row>
    <row r="26" customFormat="false" ht="17.15" hidden="false" customHeight="false" outlineLevel="0" collapsed="false">
      <c r="A26" s="0" t="s">
        <v>96</v>
      </c>
      <c r="B26" s="3" t="s">
        <v>97</v>
      </c>
      <c r="C26" s="3" t="s">
        <v>98</v>
      </c>
      <c r="D26" s="6" t="n">
        <v>2.25</v>
      </c>
      <c r="E26" s="6" t="n">
        <v>2.35</v>
      </c>
      <c r="F26" s="6" t="n">
        <v>2.45</v>
      </c>
      <c r="G26" s="7" t="s">
        <v>28</v>
      </c>
      <c r="H26" s="3" t="s">
        <v>99</v>
      </c>
      <c r="I26" s="3" t="s">
        <v>100</v>
      </c>
    </row>
    <row r="27" customFormat="false" ht="17.15" hidden="false" customHeight="false" outlineLevel="0" collapsed="false">
      <c r="A27" s="0" t="s">
        <v>101</v>
      </c>
      <c r="B27" s="3" t="s">
        <v>102</v>
      </c>
      <c r="C27" s="3" t="s">
        <v>98</v>
      </c>
      <c r="D27" s="6" t="n">
        <v>2.75</v>
      </c>
      <c r="E27" s="6" t="n">
        <v>3.1</v>
      </c>
      <c r="F27" s="6" t="n">
        <v>3.3</v>
      </c>
      <c r="G27" s="7" t="s">
        <v>28</v>
      </c>
      <c r="H27" s="3" t="s">
        <v>103</v>
      </c>
      <c r="I27" s="7" t="s">
        <v>104</v>
      </c>
    </row>
    <row r="28" customFormat="false" ht="17.15" hidden="false" customHeight="false" outlineLevel="0" collapsed="false">
      <c r="A28" s="0" t="s">
        <v>105</v>
      </c>
      <c r="B28" s="3" t="s">
        <v>106</v>
      </c>
      <c r="C28" s="3" t="s">
        <v>98</v>
      </c>
      <c r="D28" s="6" t="n">
        <v>3.8</v>
      </c>
      <c r="E28" s="6" t="n">
        <v>4.3</v>
      </c>
      <c r="F28" s="6" t="n">
        <v>4.7</v>
      </c>
      <c r="G28" s="7" t="s">
        <v>28</v>
      </c>
      <c r="H28" s="7" t="s">
        <v>107</v>
      </c>
      <c r="I28" s="7" t="s">
        <v>108</v>
      </c>
    </row>
    <row r="29" customFormat="false" ht="17.15" hidden="false" customHeight="false" outlineLevel="0" collapsed="false">
      <c r="A29" s="0" t="s">
        <v>109</v>
      </c>
      <c r="B29" s="3" t="s">
        <v>110</v>
      </c>
      <c r="C29" s="3" t="s">
        <v>98</v>
      </c>
      <c r="D29" s="6" t="n">
        <v>4.3</v>
      </c>
      <c r="E29" s="6" t="n">
        <v>5.3</v>
      </c>
      <c r="F29" s="6" t="n">
        <v>5.75</v>
      </c>
      <c r="G29" s="7" t="s">
        <v>77</v>
      </c>
      <c r="H29" s="3" t="s">
        <v>111</v>
      </c>
      <c r="I29" s="3" t="s">
        <v>112</v>
      </c>
    </row>
    <row r="30" customFormat="false" ht="17.15" hidden="false" customHeight="false" outlineLevel="0" collapsed="false">
      <c r="A30" s="0" t="s">
        <v>113</v>
      </c>
      <c r="B30" s="3" t="s">
        <v>114</v>
      </c>
      <c r="C30" s="0" t="s">
        <v>76</v>
      </c>
      <c r="D30" s="6" t="n">
        <v>1.08</v>
      </c>
      <c r="E30" s="6" t="n">
        <v>1.2</v>
      </c>
      <c r="F30" s="6" t="n">
        <v>1.35</v>
      </c>
      <c r="G30" s="7" t="s">
        <v>77</v>
      </c>
      <c r="H30" s="7" t="s">
        <v>115</v>
      </c>
      <c r="I30" s="7" t="s">
        <v>116</v>
      </c>
    </row>
    <row r="31" customFormat="false" ht="17.15" hidden="false" customHeight="false" outlineLevel="0" collapsed="false">
      <c r="A31" s="0" t="s">
        <v>117</v>
      </c>
      <c r="B31" s="3" t="s">
        <v>118</v>
      </c>
      <c r="C31" s="0" t="s">
        <v>76</v>
      </c>
      <c r="D31" s="6" t="n">
        <v>1.12</v>
      </c>
      <c r="E31" s="6" t="n">
        <v>1.32</v>
      </c>
      <c r="F31" s="6" t="n">
        <v>1.55</v>
      </c>
      <c r="G31" s="7" t="s">
        <v>77</v>
      </c>
      <c r="H31" s="3" t="s">
        <v>82</v>
      </c>
      <c r="I31" s="7" t="s">
        <v>119</v>
      </c>
    </row>
    <row r="32" customFormat="false" ht="17.15" hidden="false" customHeight="false" outlineLevel="0" collapsed="false">
      <c r="A32" s="0" t="s">
        <v>120</v>
      </c>
      <c r="B32" s="3" t="s">
        <v>121</v>
      </c>
      <c r="C32" s="0" t="s">
        <v>76</v>
      </c>
      <c r="D32" s="6" t="n">
        <v>1.15</v>
      </c>
      <c r="E32" s="6" t="n">
        <v>1.42</v>
      </c>
      <c r="F32" s="6" t="n">
        <v>1.7</v>
      </c>
      <c r="G32" s="7" t="s">
        <v>77</v>
      </c>
      <c r="H32" s="3" t="s">
        <v>82</v>
      </c>
      <c r="I32" s="7" t="s">
        <v>119</v>
      </c>
    </row>
    <row r="33" customFormat="false" ht="17.15" hidden="false" customHeight="false" outlineLevel="0" collapsed="false">
      <c r="A33" s="5" t="s">
        <v>122</v>
      </c>
    </row>
    <row r="34" customFormat="false" ht="17.15" hidden="false" customHeight="false" outlineLevel="0" collapsed="false">
      <c r="A34" s="0" t="s">
        <v>123</v>
      </c>
      <c r="B34" s="0" t="s">
        <v>124</v>
      </c>
      <c r="C34" s="0" t="s">
        <v>125</v>
      </c>
      <c r="D34" s="6" t="n">
        <v>0.28</v>
      </c>
      <c r="E34" s="6" t="n">
        <v>0.32</v>
      </c>
      <c r="F34" s="6" t="n">
        <v>0.36</v>
      </c>
      <c r="G34" s="7" t="s">
        <v>77</v>
      </c>
      <c r="H34" s="3" t="s">
        <v>126</v>
      </c>
      <c r="I34" s="3" t="s">
        <v>127</v>
      </c>
    </row>
    <row r="35" customFormat="false" ht="17.15" hidden="false" customHeight="false" outlineLevel="0" collapsed="false">
      <c r="A35" s="0" t="s">
        <v>128</v>
      </c>
      <c r="B35" s="0" t="s">
        <v>129</v>
      </c>
      <c r="C35" s="0" t="s">
        <v>125</v>
      </c>
      <c r="D35" s="6" t="n">
        <v>0.38</v>
      </c>
      <c r="E35" s="6" t="n">
        <v>0.42</v>
      </c>
      <c r="F35" s="6" t="n">
        <v>0.48</v>
      </c>
      <c r="G35" s="7" t="s">
        <v>130</v>
      </c>
      <c r="H35" s="3" t="s">
        <v>131</v>
      </c>
      <c r="I35" s="3" t="s">
        <v>132</v>
      </c>
    </row>
    <row r="36" customFormat="false" ht="17.15" hidden="false" customHeight="false" outlineLevel="0" collapsed="false">
      <c r="A36" s="0" t="s">
        <v>133</v>
      </c>
      <c r="B36" s="3" t="s">
        <v>134</v>
      </c>
      <c r="C36" s="0" t="s">
        <v>125</v>
      </c>
      <c r="D36" s="6" t="n">
        <v>0</v>
      </c>
      <c r="E36" s="6" t="n">
        <v>0.1</v>
      </c>
      <c r="F36" s="6" t="n">
        <v>0.18</v>
      </c>
      <c r="G36" s="7" t="s">
        <v>77</v>
      </c>
      <c r="H36" s="3" t="s">
        <v>135</v>
      </c>
      <c r="I36" s="3" t="s">
        <v>136</v>
      </c>
    </row>
    <row r="37" customFormat="false" ht="17.15" hidden="false" customHeight="false" outlineLevel="0" collapsed="false">
      <c r="A37" s="0" t="s">
        <v>137</v>
      </c>
      <c r="B37" s="3" t="s">
        <v>138</v>
      </c>
      <c r="C37" s="0" t="s">
        <v>125</v>
      </c>
      <c r="D37" s="6" t="n">
        <v>0</v>
      </c>
      <c r="E37" s="6" t="n">
        <v>0.07</v>
      </c>
      <c r="F37" s="6" t="n">
        <v>0.14</v>
      </c>
      <c r="G37" s="7" t="s">
        <v>77</v>
      </c>
      <c r="H37" s="3" t="s">
        <v>82</v>
      </c>
      <c r="I37" s="7" t="s">
        <v>119</v>
      </c>
    </row>
    <row r="38" customFormat="false" ht="17.15" hidden="false" customHeight="false" outlineLevel="0" collapsed="false">
      <c r="A38" s="0" t="s">
        <v>139</v>
      </c>
      <c r="B38" s="3" t="s">
        <v>140</v>
      </c>
      <c r="C38" s="0" t="s">
        <v>125</v>
      </c>
      <c r="D38" s="6" t="n">
        <v>0</v>
      </c>
      <c r="E38" s="6" t="n">
        <v>0.05</v>
      </c>
      <c r="F38" s="6" t="n">
        <v>0.1</v>
      </c>
      <c r="G38" s="7" t="s">
        <v>77</v>
      </c>
      <c r="H38" s="3" t="s">
        <v>82</v>
      </c>
      <c r="I38" s="7" t="s">
        <v>119</v>
      </c>
    </row>
    <row r="39" customFormat="false" ht="17.15" hidden="false" customHeight="false" outlineLevel="0" collapsed="false">
      <c r="A39" s="5" t="s">
        <v>141</v>
      </c>
    </row>
    <row r="40" customFormat="false" ht="17.15" hidden="false" customHeight="false" outlineLevel="0" collapsed="false">
      <c r="A40" s="0" t="s">
        <v>142</v>
      </c>
      <c r="B40" s="3" t="s">
        <v>143</v>
      </c>
      <c r="C40" s="0" t="s">
        <v>144</v>
      </c>
      <c r="D40" s="6" t="n">
        <v>0.05</v>
      </c>
      <c r="E40" s="6" t="n">
        <v>0.08</v>
      </c>
      <c r="F40" s="6" t="n">
        <v>0.12</v>
      </c>
      <c r="G40" s="7" t="s">
        <v>77</v>
      </c>
      <c r="H40" s="3" t="s">
        <v>145</v>
      </c>
      <c r="I40" s="3" t="s">
        <v>146</v>
      </c>
    </row>
    <row r="41" customFormat="false" ht="17.15" hidden="false" customHeight="false" outlineLevel="0" collapsed="false">
      <c r="A41" s="5" t="s">
        <v>147</v>
      </c>
    </row>
    <row r="42" customFormat="false" ht="17.15" hidden="false" customHeight="false" outlineLevel="0" collapsed="false">
      <c r="A42" s="0" t="s">
        <v>148</v>
      </c>
      <c r="B42" s="0" t="s">
        <v>149</v>
      </c>
      <c r="C42" s="0" t="s">
        <v>125</v>
      </c>
      <c r="D42" s="6" t="n">
        <v>0</v>
      </c>
      <c r="E42" s="6" t="n">
        <v>0.05</v>
      </c>
      <c r="F42" s="6" t="n">
        <v>0.12</v>
      </c>
      <c r="G42" s="7" t="s">
        <v>77</v>
      </c>
      <c r="H42" s="3" t="s">
        <v>150</v>
      </c>
      <c r="I42" s="3" t="s">
        <v>151</v>
      </c>
    </row>
    <row r="43" customFormat="false" ht="17.15" hidden="false" customHeight="false" outlineLevel="0" collapsed="false">
      <c r="A43" s="0" t="s">
        <v>152</v>
      </c>
      <c r="B43" s="0" t="s">
        <v>153</v>
      </c>
      <c r="C43" s="0" t="s">
        <v>125</v>
      </c>
      <c r="D43" s="6" t="n">
        <v>0.34</v>
      </c>
      <c r="E43" s="6" t="n">
        <v>0.36</v>
      </c>
      <c r="F43" s="6" t="n">
        <v>0.38</v>
      </c>
      <c r="G43" s="7" t="s">
        <v>77</v>
      </c>
      <c r="H43" s="7" t="s">
        <v>154</v>
      </c>
      <c r="I43" s="3" t="s">
        <v>155</v>
      </c>
    </row>
    <row r="44" customFormat="false" ht="17.15" hidden="false" customHeight="false" outlineLevel="0" collapsed="false">
      <c r="A44" s="0" t="s">
        <v>156</v>
      </c>
      <c r="B44" s="0" t="s">
        <v>157</v>
      </c>
      <c r="C44" s="0" t="s">
        <v>125</v>
      </c>
      <c r="D44" s="6" t="n">
        <v>0.055</v>
      </c>
      <c r="E44" s="6" t="n">
        <v>0.06</v>
      </c>
      <c r="F44" s="6" t="n">
        <v>0.065</v>
      </c>
      <c r="G44" s="7" t="s">
        <v>77</v>
      </c>
      <c r="H44" s="7" t="s">
        <v>158</v>
      </c>
      <c r="I44" s="7" t="s">
        <v>159</v>
      </c>
    </row>
    <row r="45" customFormat="false" ht="17.15" hidden="false" customHeight="false" outlineLevel="0" collapsed="false">
      <c r="A45" s="0" t="s">
        <v>160</v>
      </c>
      <c r="B45" s="0" t="s">
        <v>161</v>
      </c>
      <c r="C45" s="0" t="s">
        <v>162</v>
      </c>
      <c r="D45" s="6" t="n">
        <v>-0.1</v>
      </c>
      <c r="E45" s="6" t="n">
        <v>0.03</v>
      </c>
      <c r="F45" s="6" t="n">
        <v>0.15</v>
      </c>
      <c r="G45" s="7" t="s">
        <v>77</v>
      </c>
      <c r="H45" s="7" t="s">
        <v>163</v>
      </c>
      <c r="I45" s="7" t="s">
        <v>119</v>
      </c>
    </row>
    <row r="46" customFormat="false" ht="17.15" hidden="false" customHeight="false" outlineLevel="0" collapsed="false">
      <c r="A46" s="0" t="s">
        <v>164</v>
      </c>
      <c r="B46" s="0" t="s">
        <v>165</v>
      </c>
      <c r="C46" s="0" t="s">
        <v>125</v>
      </c>
      <c r="D46" s="6" t="n">
        <v>0.66</v>
      </c>
      <c r="E46" s="6" t="n">
        <v>0.69</v>
      </c>
      <c r="F46" s="6" t="n">
        <v>0.75</v>
      </c>
      <c r="G46" s="7" t="s">
        <v>28</v>
      </c>
      <c r="H46" s="7" t="s">
        <v>166</v>
      </c>
      <c r="I46" s="7" t="s">
        <v>167</v>
      </c>
    </row>
    <row r="47" customFormat="false" ht="17.15" hidden="false" customHeight="false" outlineLevel="0" collapsed="false">
      <c r="A47" s="0" t="s">
        <v>168</v>
      </c>
      <c r="B47" s="3" t="s">
        <v>169</v>
      </c>
      <c r="C47" s="3" t="s">
        <v>170</v>
      </c>
      <c r="E47" s="0" t="n">
        <f aca="false">3.856631/12.88</f>
        <v>0.299427872670807</v>
      </c>
      <c r="G47" s="0" t="s">
        <v>28</v>
      </c>
      <c r="H47" s="0" t="s">
        <v>171</v>
      </c>
      <c r="I47" s="0" t="s">
        <v>172</v>
      </c>
    </row>
    <row r="48" customFormat="false" ht="17.15" hidden="false" customHeight="false" outlineLevel="0" collapsed="false">
      <c r="A48" s="5" t="s">
        <v>173</v>
      </c>
    </row>
    <row r="49" customFormat="false" ht="17.15" hidden="false" customHeight="false" outlineLevel="0" collapsed="false">
      <c r="A49" s="0" t="s">
        <v>174</v>
      </c>
      <c r="B49" s="3" t="s">
        <v>175</v>
      </c>
      <c r="C49" s="0" t="s">
        <v>76</v>
      </c>
      <c r="D49" s="6" t="n">
        <v>0.45</v>
      </c>
      <c r="E49" s="6" t="n">
        <v>0.6</v>
      </c>
      <c r="F49" s="6" t="n">
        <v>1</v>
      </c>
      <c r="G49" s="7" t="s">
        <v>28</v>
      </c>
      <c r="H49" s="7" t="s">
        <v>176</v>
      </c>
      <c r="I49" s="3" t="s">
        <v>177</v>
      </c>
    </row>
    <row r="50" customFormat="false" ht="17.15" hidden="false" customHeight="false" outlineLevel="0" collapsed="false">
      <c r="A50" s="0" t="s">
        <v>178</v>
      </c>
      <c r="B50" s="3" t="s">
        <v>179</v>
      </c>
      <c r="C50" s="0" t="s">
        <v>162</v>
      </c>
      <c r="D50" s="6" t="n">
        <v>-0.3</v>
      </c>
      <c r="E50" s="6" t="n">
        <v>0.15</v>
      </c>
      <c r="F50" s="6" t="n">
        <v>0.5</v>
      </c>
      <c r="G50" s="7" t="s">
        <v>77</v>
      </c>
      <c r="H50" s="7" t="s">
        <v>180</v>
      </c>
      <c r="I50" s="7" t="s">
        <v>119</v>
      </c>
    </row>
    <row r="51" customFormat="false" ht="17.15" hidden="false" customHeight="false" outlineLevel="0" collapsed="false">
      <c r="A51" s="0" t="s">
        <v>181</v>
      </c>
      <c r="B51" s="3" t="s">
        <v>182</v>
      </c>
      <c r="C51" s="0" t="s">
        <v>125</v>
      </c>
      <c r="D51" s="6" t="n">
        <v>0.66</v>
      </c>
      <c r="E51" s="6" t="n">
        <v>0.7</v>
      </c>
      <c r="F51" s="6" t="n">
        <v>0.76</v>
      </c>
      <c r="G51" s="7" t="s">
        <v>28</v>
      </c>
      <c r="H51" s="7" t="s">
        <v>183</v>
      </c>
      <c r="I51" s="7" t="s">
        <v>119</v>
      </c>
    </row>
    <row r="52" customFormat="false" ht="17.15" hidden="false" customHeight="false" outlineLevel="0" collapsed="false">
      <c r="A52" s="0" t="s">
        <v>184</v>
      </c>
      <c r="B52" s="3" t="s">
        <v>185</v>
      </c>
      <c r="C52" s="0" t="s">
        <v>125</v>
      </c>
      <c r="D52" s="6" t="n">
        <v>0</v>
      </c>
      <c r="E52" s="6" t="n">
        <v>0.01</v>
      </c>
      <c r="F52" s="6" t="n">
        <v>0.025</v>
      </c>
      <c r="G52" s="7" t="s">
        <v>77</v>
      </c>
      <c r="H52" s="3" t="s">
        <v>186</v>
      </c>
      <c r="I52" s="7" t="s">
        <v>119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76</v>
      </c>
      <c r="D53" s="6" t="n">
        <v>0.8</v>
      </c>
      <c r="E53" s="6" t="n">
        <v>1</v>
      </c>
      <c r="F53" s="6" t="n">
        <v>1.2</v>
      </c>
      <c r="G53" s="7" t="s">
        <v>77</v>
      </c>
      <c r="H53" s="7" t="s">
        <v>189</v>
      </c>
      <c r="I53" s="7" t="s">
        <v>190</v>
      </c>
    </row>
    <row r="54" customFormat="false" ht="17.15" hidden="false" customHeight="false" outlineLevel="0" collapsed="false">
      <c r="A54" s="5" t="s">
        <v>191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0" t="s">
        <v>194</v>
      </c>
      <c r="E55" s="6" t="n">
        <v>36.05</v>
      </c>
      <c r="G55" s="7" t="s">
        <v>130</v>
      </c>
      <c r="H55" s="7" t="s">
        <v>195</v>
      </c>
      <c r="I55" s="3" t="s">
        <v>196</v>
      </c>
    </row>
    <row r="56" customFormat="false" ht="17.15" hidden="false" customHeight="false" outlineLevel="0" collapsed="false">
      <c r="A56" s="0" t="s">
        <v>197</v>
      </c>
      <c r="B56" s="0" t="s">
        <v>198</v>
      </c>
      <c r="C56" s="0" t="s">
        <v>194</v>
      </c>
      <c r="E56" s="6" t="n">
        <v>70.47</v>
      </c>
      <c r="G56" s="7" t="s">
        <v>130</v>
      </c>
      <c r="H56" s="7" t="s">
        <v>199</v>
      </c>
      <c r="I56" s="3" t="s">
        <v>200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0" t="s">
        <v>162</v>
      </c>
      <c r="E57" s="6" t="n">
        <v>58.89</v>
      </c>
      <c r="G57" s="7" t="s">
        <v>130</v>
      </c>
      <c r="H57" s="7" t="s">
        <v>199</v>
      </c>
      <c r="I57" s="7" t="s">
        <v>119</v>
      </c>
    </row>
    <row r="58" customFormat="false" ht="17.15" hidden="false" customHeight="false" outlineLevel="0" collapsed="false">
      <c r="A58" s="0" t="s">
        <v>203</v>
      </c>
      <c r="B58" s="0" t="s">
        <v>204</v>
      </c>
      <c r="C58" s="0" t="s">
        <v>162</v>
      </c>
      <c r="E58" s="6" t="n">
        <v>100.7</v>
      </c>
      <c r="G58" s="7" t="s">
        <v>130</v>
      </c>
      <c r="H58" s="7" t="s">
        <v>199</v>
      </c>
      <c r="I58" s="7" t="s">
        <v>119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0" t="s">
        <v>194</v>
      </c>
      <c r="E59" s="6" t="n">
        <v>81.76</v>
      </c>
      <c r="G59" s="7" t="s">
        <v>130</v>
      </c>
      <c r="H59" s="7" t="s">
        <v>207</v>
      </c>
      <c r="I59" s="3" t="s">
        <v>208</v>
      </c>
    </row>
    <row r="60" customFormat="false" ht="17.15" hidden="false" customHeight="false" outlineLevel="0" collapsed="false">
      <c r="A60" s="0" t="s">
        <v>209</v>
      </c>
      <c r="B60" s="3" t="s">
        <v>210</v>
      </c>
      <c r="C60" s="0" t="s">
        <v>194</v>
      </c>
      <c r="E60" s="6" t="n">
        <v>38.8</v>
      </c>
      <c r="G60" s="7" t="s">
        <v>130</v>
      </c>
      <c r="H60" s="7" t="s">
        <v>211</v>
      </c>
      <c r="I60" s="7" t="s">
        <v>212</v>
      </c>
    </row>
    <row r="61" customFormat="false" ht="17.15" hidden="false" customHeight="false" outlineLevel="0" collapsed="false">
      <c r="A61" s="0" t="s">
        <v>213</v>
      </c>
      <c r="B61" s="3" t="s">
        <v>214</v>
      </c>
      <c r="C61" s="0" t="s">
        <v>194</v>
      </c>
      <c r="E61" s="6" t="n">
        <v>93.5</v>
      </c>
      <c r="G61" s="7" t="s">
        <v>130</v>
      </c>
      <c r="H61" s="7" t="s">
        <v>215</v>
      </c>
      <c r="I61" s="7" t="s">
        <v>119</v>
      </c>
    </row>
    <row r="62" customFormat="false" ht="17.15" hidden="false" customHeight="false" outlineLevel="0" collapsed="false">
      <c r="A62" s="0" t="s">
        <v>216</v>
      </c>
      <c r="B62" s="3" t="s">
        <v>217</v>
      </c>
      <c r="C62" s="0" t="s">
        <v>194</v>
      </c>
      <c r="E62" s="6" t="n">
        <v>168.7</v>
      </c>
      <c r="G62" s="7" t="s">
        <v>130</v>
      </c>
      <c r="H62" s="7" t="s">
        <v>215</v>
      </c>
      <c r="I62" s="7" t="s">
        <v>119</v>
      </c>
    </row>
    <row r="63" customFormat="false" ht="17.15" hidden="false" customHeight="false" outlineLevel="0" collapsed="false">
      <c r="A63" s="5" t="s">
        <v>218</v>
      </c>
    </row>
    <row r="64" customFormat="false" ht="17.15" hidden="false" customHeight="false" outlineLevel="0" collapsed="false">
      <c r="A64" s="0" t="s">
        <v>219</v>
      </c>
      <c r="B64" s="3" t="s">
        <v>220</v>
      </c>
      <c r="C64" s="0" t="s">
        <v>194</v>
      </c>
      <c r="E64" s="6" t="n">
        <v>1265</v>
      </c>
      <c r="G64" s="7" t="s">
        <v>130</v>
      </c>
      <c r="H64" s="7" t="s">
        <v>221</v>
      </c>
      <c r="I64" s="7" t="s">
        <v>222</v>
      </c>
    </row>
    <row r="65" customFormat="false" ht="17.15" hidden="false" customHeight="false" outlineLevel="0" collapsed="false">
      <c r="A65" s="5" t="s">
        <v>223</v>
      </c>
    </row>
    <row r="66" customFormat="false" ht="17.15" hidden="false" customHeight="false" outlineLevel="0" collapsed="false">
      <c r="A66" s="0" t="s">
        <v>224</v>
      </c>
      <c r="B66" s="3" t="s">
        <v>225</v>
      </c>
      <c r="C66" s="3" t="s">
        <v>226</v>
      </c>
      <c r="E66" s="8" t="n">
        <v>0.3</v>
      </c>
      <c r="G66" s="7" t="s">
        <v>77</v>
      </c>
      <c r="H66" s="7" t="s">
        <v>227</v>
      </c>
      <c r="I66" s="3" t="s">
        <v>228</v>
      </c>
    </row>
    <row r="67" customFormat="false" ht="17.15" hidden="false" customHeight="false" outlineLevel="0" collapsed="false">
      <c r="A67" s="0" t="s">
        <v>229</v>
      </c>
      <c r="B67" s="3" t="s">
        <v>230</v>
      </c>
      <c r="C67" s="3" t="s">
        <v>226</v>
      </c>
      <c r="E67" s="8" t="n">
        <v>0.5</v>
      </c>
      <c r="G67" s="7" t="s">
        <v>77</v>
      </c>
      <c r="H67" s="7" t="s">
        <v>227</v>
      </c>
      <c r="I67" s="3" t="s">
        <v>228</v>
      </c>
    </row>
    <row r="68" customFormat="false" ht="17.15" hidden="false" customHeight="false" outlineLevel="0" collapsed="false">
      <c r="A68" s="0" t="s">
        <v>231</v>
      </c>
      <c r="B68" s="3" t="s">
        <v>232</v>
      </c>
      <c r="C68" s="3" t="s">
        <v>226</v>
      </c>
      <c r="E68" s="8" t="n">
        <v>0.2</v>
      </c>
      <c r="G68" s="7" t="s">
        <v>77</v>
      </c>
      <c r="H68" s="7" t="s">
        <v>227</v>
      </c>
      <c r="I68" s="3" t="s">
        <v>228</v>
      </c>
    </row>
    <row r="69" customFormat="false" ht="17.15" hidden="false" customHeight="false" outlineLevel="0" collapsed="false">
      <c r="A69" s="0" t="s">
        <v>233</v>
      </c>
      <c r="B69" s="3" t="s">
        <v>234</v>
      </c>
      <c r="C69" s="0" t="s">
        <v>125</v>
      </c>
      <c r="D69" s="6" t="n">
        <v>0.09</v>
      </c>
      <c r="E69" s="8" t="n">
        <v>0.1</v>
      </c>
      <c r="F69" s="6" t="n">
        <v>0.11</v>
      </c>
      <c r="G69" s="7" t="s">
        <v>77</v>
      </c>
      <c r="H69" s="7" t="s">
        <v>235</v>
      </c>
      <c r="I69" s="7" t="s">
        <v>236</v>
      </c>
    </row>
    <row r="70" customFormat="false" ht="17.15" hidden="false" customHeight="false" outlineLevel="0" collapsed="false">
      <c r="A70" s="0" t="s">
        <v>237</v>
      </c>
      <c r="B70" s="3" t="s">
        <v>238</v>
      </c>
      <c r="C70" s="0" t="s">
        <v>125</v>
      </c>
      <c r="D70" s="6" t="n">
        <v>0.03</v>
      </c>
      <c r="E70" s="8" t="n">
        <v>0.04</v>
      </c>
      <c r="F70" s="6" t="n">
        <v>0.05</v>
      </c>
      <c r="G70" s="7" t="s">
        <v>77</v>
      </c>
      <c r="H70" s="7" t="s">
        <v>239</v>
      </c>
      <c r="I70" s="7" t="s">
        <v>240</v>
      </c>
    </row>
    <row r="71" customFormat="false" ht="17.15" hidden="false" customHeight="false" outlineLevel="0" collapsed="false">
      <c r="A71" s="0" t="s">
        <v>241</v>
      </c>
      <c r="B71" s="0" t="s">
        <v>242</v>
      </c>
      <c r="C71" s="0" t="s">
        <v>125</v>
      </c>
      <c r="E71" s="9" t="n">
        <f aca="false">AVERAGE(0.0703,0.201,0.2069)</f>
        <v>0.1594</v>
      </c>
      <c r="G71" s="7" t="s">
        <v>28</v>
      </c>
      <c r="H71" s="7" t="s">
        <v>243</v>
      </c>
      <c r="I71" s="3" t="s">
        <v>244</v>
      </c>
    </row>
    <row r="72" customFormat="false" ht="17.15" hidden="false" customHeight="false" outlineLevel="0" collapsed="false">
      <c r="A72" s="0" t="s">
        <v>245</v>
      </c>
      <c r="B72" s="3" t="s">
        <v>246</v>
      </c>
      <c r="C72" s="0" t="s">
        <v>125</v>
      </c>
      <c r="D72" s="6" t="n">
        <v>0.3</v>
      </c>
      <c r="E72" s="8" t="n">
        <v>0.5</v>
      </c>
      <c r="F72" s="6" t="n">
        <v>0.7</v>
      </c>
      <c r="G72" s="7" t="s">
        <v>77</v>
      </c>
      <c r="H72" s="7" t="s">
        <v>247</v>
      </c>
      <c r="I72" s="7" t="s">
        <v>248</v>
      </c>
    </row>
    <row r="73" customFormat="false" ht="17.15" hidden="false" customHeight="false" outlineLevel="0" collapsed="false">
      <c r="A73" s="0" t="s">
        <v>249</v>
      </c>
      <c r="B73" s="3" t="s">
        <v>250</v>
      </c>
      <c r="C73" s="0" t="s">
        <v>125</v>
      </c>
      <c r="E73" s="9" t="n">
        <f aca="false">tp_g+0.02</f>
        <v>0.06</v>
      </c>
      <c r="G73" s="7" t="s">
        <v>77</v>
      </c>
      <c r="H73" s="3" t="s">
        <v>251</v>
      </c>
      <c r="I73" s="7" t="s">
        <v>252</v>
      </c>
    </row>
    <row r="74" customFormat="false" ht="17.15" hidden="false" customHeight="false" outlineLevel="0" collapsed="false">
      <c r="A74" s="0" t="s">
        <v>253</v>
      </c>
      <c r="B74" s="3" t="s">
        <v>254</v>
      </c>
      <c r="C74" s="0" t="s">
        <v>125</v>
      </c>
      <c r="E74" s="9" t="n">
        <f aca="false">tp_g</f>
        <v>0.04</v>
      </c>
      <c r="G74" s="7" t="s">
        <v>77</v>
      </c>
      <c r="H74" s="3" t="s">
        <v>82</v>
      </c>
      <c r="I74" s="7" t="s">
        <v>119</v>
      </c>
    </row>
    <row r="75" customFormat="false" ht="17.15" hidden="false" customHeight="false" outlineLevel="0" collapsed="false">
      <c r="A75" s="0" t="s">
        <v>255</v>
      </c>
      <c r="B75" s="3" t="s">
        <v>256</v>
      </c>
      <c r="C75" s="0" t="s">
        <v>125</v>
      </c>
      <c r="E75" s="9" t="n">
        <f aca="false">tp_g-0.02</f>
        <v>0.02</v>
      </c>
      <c r="G75" s="7" t="s">
        <v>77</v>
      </c>
      <c r="H75" s="3" t="s">
        <v>82</v>
      </c>
      <c r="I75" s="7" t="s">
        <v>119</v>
      </c>
    </row>
    <row r="76" customFormat="false" ht="17.15" hidden="false" customHeight="false" outlineLevel="0" collapsed="false">
      <c r="A76" s="0" t="s">
        <v>257</v>
      </c>
      <c r="B76" s="3" t="s">
        <v>258</v>
      </c>
      <c r="C76" s="0" t="s">
        <v>76</v>
      </c>
      <c r="E76" s="8" t="n">
        <v>0.8</v>
      </c>
      <c r="G76" s="7" t="s">
        <v>77</v>
      </c>
      <c r="H76" s="3" t="s">
        <v>259</v>
      </c>
      <c r="I76" s="3" t="s">
        <v>260</v>
      </c>
    </row>
    <row r="77" customFormat="false" ht="17.15" hidden="false" customHeight="false" outlineLevel="0" collapsed="false">
      <c r="A77" s="0" t="s">
        <v>261</v>
      </c>
      <c r="B77" s="3" t="s">
        <v>262</v>
      </c>
      <c r="C77" s="0" t="s">
        <v>194</v>
      </c>
      <c r="E77" s="6" t="n">
        <v>2213</v>
      </c>
      <c r="G77" s="7" t="s">
        <v>130</v>
      </c>
      <c r="H77" s="7" t="s">
        <v>263</v>
      </c>
      <c r="I77" s="7" t="s">
        <v>264</v>
      </c>
    </row>
    <row r="78" customFormat="false" ht="17.15" hidden="false" customHeight="false" outlineLevel="0" collapsed="false">
      <c r="A78" s="0" t="s">
        <v>265</v>
      </c>
      <c r="B78" s="3" t="s">
        <v>266</v>
      </c>
      <c r="C78" s="0" t="s">
        <v>194</v>
      </c>
      <c r="E78" s="0" t="n">
        <f aca="false">1420/26.37</f>
        <v>53.8490709139173</v>
      </c>
      <c r="G78" s="0" t="s">
        <v>130</v>
      </c>
      <c r="H78" s="0" t="s">
        <v>267</v>
      </c>
      <c r="I78" s="3" t="s">
        <v>268</v>
      </c>
    </row>
    <row r="80" customFormat="false" ht="17.15" hidden="false" customHeight="false" outlineLevel="0" collapsed="false">
      <c r="A80" s="1" t="s">
        <v>269</v>
      </c>
    </row>
    <row r="81" customFormat="false" ht="17.15" hidden="false" customHeight="false" outlineLevel="0" collapsed="false">
      <c r="A81" s="1" t="s">
        <v>15</v>
      </c>
      <c r="B81" s="1" t="s">
        <v>16</v>
      </c>
      <c r="C81" s="1" t="s">
        <v>17</v>
      </c>
      <c r="D81" s="1" t="s">
        <v>270</v>
      </c>
      <c r="E81" s="1" t="s">
        <v>271</v>
      </c>
      <c r="F81" s="1" t="s">
        <v>272</v>
      </c>
      <c r="G81" s="1" t="s">
        <v>21</v>
      </c>
      <c r="H81" s="1" t="s">
        <v>273</v>
      </c>
    </row>
    <row r="82" customFormat="false" ht="17.15" hidden="false" customHeight="false" outlineLevel="0" collapsed="false">
      <c r="A82" s="0" t="s">
        <v>274</v>
      </c>
      <c r="B82" s="3" t="s">
        <v>275</v>
      </c>
      <c r="C82" s="0" t="s">
        <v>27</v>
      </c>
      <c r="D82" s="0" t="n">
        <f aca="false">E7</f>
        <v>52.792138191248</v>
      </c>
      <c r="E82" s="0" t="n">
        <f aca="false">E8</f>
        <v>42.2337105529984</v>
      </c>
      <c r="F82" s="0" t="n">
        <f aca="false">E9</f>
        <v>31.6752829147488</v>
      </c>
      <c r="G82" s="0" t="s">
        <v>28</v>
      </c>
      <c r="H82" s="3" t="s">
        <v>276</v>
      </c>
    </row>
    <row r="83" customFormat="false" ht="17.15" hidden="false" customHeight="false" outlineLevel="0" collapsed="false">
      <c r="A83" s="0" t="s">
        <v>277</v>
      </c>
      <c r="B83" s="3" t="s">
        <v>278</v>
      </c>
      <c r="C83" s="0" t="s">
        <v>27</v>
      </c>
      <c r="D83" s="0" t="n">
        <f aca="false">E10</f>
        <v>60.1385917361115</v>
      </c>
      <c r="E83" s="0" t="n">
        <f aca="false">E11</f>
        <v>51.1178029756948</v>
      </c>
      <c r="F83" s="0" t="n">
        <f aca="false">E12</f>
        <v>36.0831550416669</v>
      </c>
      <c r="G83" s="0" t="s">
        <v>28</v>
      </c>
      <c r="H83" s="3" t="s">
        <v>279</v>
      </c>
    </row>
    <row r="84" customFormat="false" ht="17.15" hidden="false" customHeight="false" outlineLevel="0" collapsed="false">
      <c r="A84" s="0" t="s">
        <v>280</v>
      </c>
      <c r="B84" s="3" t="s">
        <v>281</v>
      </c>
      <c r="C84" s="0" t="s">
        <v>125</v>
      </c>
      <c r="D84" s="0" t="n">
        <f aca="false">E73</f>
        <v>0.06</v>
      </c>
      <c r="E84" s="0" t="n">
        <f aca="false">E74</f>
        <v>0.04</v>
      </c>
      <c r="F84" s="0" t="n">
        <f aca="false">E75</f>
        <v>0.02</v>
      </c>
      <c r="G84" s="0" t="s">
        <v>28</v>
      </c>
      <c r="H84" s="3" t="s">
        <v>282</v>
      </c>
    </row>
    <row r="85" customFormat="false" ht="17.15" hidden="false" customHeight="false" outlineLevel="0" collapsed="false">
      <c r="A85" s="0" t="s">
        <v>283</v>
      </c>
      <c r="B85" s="3" t="s">
        <v>284</v>
      </c>
      <c r="C85" s="3" t="s">
        <v>226</v>
      </c>
      <c r="D85" s="0" t="n">
        <f aca="false">E66</f>
        <v>0.3</v>
      </c>
      <c r="E85" s="0" t="n">
        <f aca="false">E67</f>
        <v>0.5</v>
      </c>
      <c r="F85" s="0" t="n">
        <f aca="false">E68</f>
        <v>0.2</v>
      </c>
      <c r="G85" s="0" t="s">
        <v>28</v>
      </c>
      <c r="H85" s="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286</v>
      </c>
    </row>
    <row r="2" customFormat="false" ht="17.15" hidden="false" customHeight="false" outlineLevel="0" collapsed="false">
      <c r="A2" s="0" t="s">
        <v>287</v>
      </c>
    </row>
    <row r="3" customFormat="false" ht="17.15" hidden="false" customHeight="false" outlineLevel="0" collapsed="false">
      <c r="A3" s="4" t="s">
        <v>16</v>
      </c>
      <c r="B3" s="10" t="s">
        <v>288</v>
      </c>
      <c r="C3" s="10" t="s">
        <v>289</v>
      </c>
      <c r="D3" s="10" t="s">
        <v>290</v>
      </c>
      <c r="E3" s="10" t="s">
        <v>291</v>
      </c>
      <c r="F3" s="10" t="s">
        <v>292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3" t="s">
        <v>293</v>
      </c>
      <c r="B4" s="11" t="n">
        <f aca="false">6.372144+6.780435+8.062873+9.124783</f>
        <v>30.340235</v>
      </c>
      <c r="C4" s="11" t="n">
        <f aca="false">10.053966+14.301042</f>
        <v>24.355008</v>
      </c>
      <c r="D4" s="12" t="n">
        <v>17.948807</v>
      </c>
      <c r="E4" s="11" t="n">
        <f aca="false">D4*(1+q4g)</f>
        <v>18.84624735</v>
      </c>
      <c r="F4" s="11" t="n">
        <f aca="false">SUM(C4:E4)</f>
        <v>61.15006235</v>
      </c>
      <c r="G4" s="7" t="s">
        <v>294</v>
      </c>
      <c r="H4" s="7" t="s">
        <v>295</v>
      </c>
      <c r="I4" s="3" t="s">
        <v>296</v>
      </c>
    </row>
    <row r="5" customFormat="false" ht="17.15" hidden="false" customHeight="false" outlineLevel="0" collapsed="false">
      <c r="A5" s="3" t="s">
        <v>297</v>
      </c>
      <c r="B5" s="11" t="n">
        <f aca="false">1.533022+1.435244+1.914793+2.014734</f>
        <v>6.897793</v>
      </c>
      <c r="C5" s="11" t="n">
        <f aca="false">2.528558+4.249571</f>
        <v>6.778129</v>
      </c>
      <c r="D5" s="12" t="n">
        <v>6.628111</v>
      </c>
      <c r="E5" s="11" t="n">
        <f aca="false">E4*q4_gm</f>
        <v>6.784649046</v>
      </c>
      <c r="F5" s="11" t="n">
        <f aca="false">SUM(C5:E5)</f>
        <v>20.190889046</v>
      </c>
      <c r="G5" s="7" t="s">
        <v>298</v>
      </c>
      <c r="H5" s="7" t="s">
        <v>295</v>
      </c>
      <c r="I5" s="7" t="s">
        <v>299</v>
      </c>
    </row>
    <row r="6" customFormat="false" ht="17.15" hidden="false" customHeight="false" outlineLevel="0" collapsed="false">
      <c r="A6" s="3" t="s">
        <v>300</v>
      </c>
      <c r="B6" s="13" t="n">
        <f aca="false">B5/B4</f>
        <v>0.227348041305547</v>
      </c>
      <c r="C6" s="13" t="n">
        <f aca="false">C5/C4</f>
        <v>0.278305348945071</v>
      </c>
      <c r="D6" s="13" t="n">
        <f aca="false">D5/D4</f>
        <v>0.369278637850415</v>
      </c>
      <c r="E6" s="13" t="n">
        <f aca="false">E5/E4</f>
        <v>0.36</v>
      </c>
      <c r="F6" s="13" t="n">
        <f aca="false">F5/F4</f>
        <v>0.33018591102058</v>
      </c>
      <c r="G6" s="7" t="s">
        <v>28</v>
      </c>
      <c r="H6" s="7" t="s">
        <v>119</v>
      </c>
      <c r="I6" s="7" t="s">
        <v>301</v>
      </c>
    </row>
    <row r="7" customFormat="false" ht="17.15" hidden="false" customHeight="false" outlineLevel="0" collapsed="false">
      <c r="A7" s="3" t="s">
        <v>302</v>
      </c>
      <c r="B7" s="11" t="n">
        <f aca="false">B5-B8</f>
        <v>2.554134</v>
      </c>
      <c r="C7" s="11" t="n">
        <f aca="false">C5-C8</f>
        <v>1.592657</v>
      </c>
      <c r="D7" s="11" t="n">
        <f aca="false">D5-D8</f>
        <v>1.060103</v>
      </c>
      <c r="E7" s="11" t="n">
        <f aca="false">E4*q4_opx</f>
        <v>1.130774841</v>
      </c>
      <c r="F7" s="11" t="n">
        <f aca="false">SUM(C7:E7)</f>
        <v>3.783534841</v>
      </c>
      <c r="G7" s="7" t="s">
        <v>303</v>
      </c>
      <c r="H7" s="7" t="s">
        <v>295</v>
      </c>
      <c r="I7" s="7" t="s">
        <v>304</v>
      </c>
    </row>
    <row r="8" customFormat="false" ht="17.15" hidden="false" customHeight="false" outlineLevel="0" collapsed="false">
      <c r="A8" s="3" t="s">
        <v>305</v>
      </c>
      <c r="B8" s="11" t="n">
        <f aca="false">0.935418+0.852572+1.265539+1.29013</f>
        <v>4.343659</v>
      </c>
      <c r="C8" s="11" t="n">
        <f aca="false">1.827536+3.357936</f>
        <v>5.185472</v>
      </c>
      <c r="D8" s="12" t="n">
        <v>5.568008</v>
      </c>
      <c r="E8" s="11" t="n">
        <f aca="false">E5-E7</f>
        <v>5.653874205</v>
      </c>
      <c r="F8" s="11" t="n">
        <f aca="false">SUM(C8:E8)</f>
        <v>16.407354205</v>
      </c>
      <c r="G8" s="7" t="s">
        <v>306</v>
      </c>
      <c r="H8" s="7" t="s">
        <v>295</v>
      </c>
      <c r="I8" s="7" t="s">
        <v>307</v>
      </c>
    </row>
    <row r="9" customFormat="false" ht="17.15" hidden="false" customHeight="false" outlineLevel="0" collapsed="false">
      <c r="A9" s="3" t="s">
        <v>308</v>
      </c>
      <c r="B9" s="13" t="n">
        <f aca="false">B8/B4</f>
        <v>0.143164975485523</v>
      </c>
      <c r="C9" s="13" t="n">
        <f aca="false">C8/C4</f>
        <v>0.212911939918065</v>
      </c>
      <c r="D9" s="13" t="n">
        <f aca="false">D8/D4</f>
        <v>0.310216049456658</v>
      </c>
      <c r="E9" s="13" t="n">
        <f aca="false">E8/E4</f>
        <v>0.3</v>
      </c>
      <c r="F9" s="13" t="n">
        <f aca="false">F8/F4</f>
        <v>0.268312959536991</v>
      </c>
      <c r="G9" s="7" t="s">
        <v>28</v>
      </c>
      <c r="H9" s="7" t="s">
        <v>119</v>
      </c>
      <c r="I9" s="7" t="s">
        <v>309</v>
      </c>
    </row>
    <row r="10" customFormat="false" ht="17.15" hidden="false" customHeight="false" outlineLevel="0" collapsed="false">
      <c r="A10" s="3" t="s">
        <v>310</v>
      </c>
      <c r="B10" s="11" t="n">
        <f aca="false">B11-B8</f>
        <v>0.174952999999999</v>
      </c>
      <c r="C10" s="11" t="n">
        <f aca="false">C11-C8</f>
        <v>0.115316</v>
      </c>
      <c r="D10" s="11" t="n">
        <f aca="false">D11-D8</f>
        <v>0.0261490000000002</v>
      </c>
      <c r="E10" s="11" t="n">
        <f aca="false">q4_nop</f>
        <v>0.03</v>
      </c>
      <c r="F10" s="11" t="n">
        <f aca="false">SUM(C10:E10)</f>
        <v>0.171465</v>
      </c>
      <c r="G10" s="7" t="s">
        <v>311</v>
      </c>
      <c r="H10" s="7" t="s">
        <v>295</v>
      </c>
      <c r="I10" s="7" t="s">
        <v>304</v>
      </c>
    </row>
    <row r="11" customFormat="false" ht="17.15" hidden="false" customHeight="false" outlineLevel="0" collapsed="false">
      <c r="A11" s="3" t="s">
        <v>312</v>
      </c>
      <c r="B11" s="11" t="n">
        <f aca="false">0.934823+0.839586+1.317663+1.42654</f>
        <v>4.518612</v>
      </c>
      <c r="C11" s="11" t="n">
        <f aca="false">1.873851+3.426937</f>
        <v>5.300788</v>
      </c>
      <c r="D11" s="12" t="n">
        <v>5.594157</v>
      </c>
      <c r="E11" s="11" t="n">
        <f aca="false">E8+E10</f>
        <v>5.683874205</v>
      </c>
      <c r="F11" s="11" t="n">
        <f aca="false">SUM(C11:E11)</f>
        <v>16.578819205</v>
      </c>
      <c r="G11" s="7" t="s">
        <v>306</v>
      </c>
      <c r="H11" s="7" t="s">
        <v>295</v>
      </c>
      <c r="I11" s="7" t="s">
        <v>304</v>
      </c>
    </row>
    <row r="12" customFormat="false" ht="17.15" hidden="false" customHeight="false" outlineLevel="0" collapsed="false">
      <c r="A12" s="3" t="s">
        <v>313</v>
      </c>
      <c r="B12" s="11" t="n">
        <f aca="false">0.671947+0.651731+1.002514+1.082957</f>
        <v>3.409149</v>
      </c>
      <c r="C12" s="12" t="n">
        <v>3.602</v>
      </c>
      <c r="D12" s="12" t="n">
        <v>3.856631</v>
      </c>
      <c r="E12" s="11" t="n">
        <f aca="false">E11*q_nir</f>
        <v>3.92187320145</v>
      </c>
      <c r="F12" s="11" t="n">
        <f aca="false">SUM(C12:E12)</f>
        <v>11.38050420145</v>
      </c>
      <c r="G12" s="7" t="s">
        <v>314</v>
      </c>
      <c r="H12" s="7" t="s">
        <v>295</v>
      </c>
      <c r="I12" s="7" t="s">
        <v>315</v>
      </c>
    </row>
    <row r="13" customFormat="false" ht="17.15" hidden="false" customHeight="false" outlineLevel="0" collapsed="false">
      <c r="A13" s="3" t="s">
        <v>316</v>
      </c>
      <c r="B13" s="13" t="n">
        <f aca="false">B12/B11</f>
        <v>0.754468186248343</v>
      </c>
      <c r="C13" s="13" t="n">
        <f aca="false">C12/C11</f>
        <v>0.679521610749194</v>
      </c>
      <c r="D13" s="13" t="n">
        <f aca="false">D12/D11</f>
        <v>0.689403425752978</v>
      </c>
      <c r="E13" s="13" t="n">
        <f aca="false">E12/E11</f>
        <v>0.69</v>
      </c>
      <c r="F13" s="13" t="n">
        <f aca="false">F12/F11</f>
        <v>0.686448417147692</v>
      </c>
      <c r="G13" s="7" t="s">
        <v>28</v>
      </c>
      <c r="H13" s="7" t="s">
        <v>119</v>
      </c>
      <c r="I13" s="7" t="s">
        <v>119</v>
      </c>
    </row>
    <row r="14" customFormat="false" ht="17.15" hidden="false" customHeight="false" outlineLevel="0" collapsed="false">
      <c r="A14" s="3" t="s">
        <v>317</v>
      </c>
      <c r="B14" s="11" t="n">
        <f aca="false">B12/12.13</f>
        <v>0.281051030502885</v>
      </c>
      <c r="C14" s="11" t="n">
        <f aca="false">C12/12.4</f>
        <v>0.290483870967742</v>
      </c>
      <c r="D14" s="11" t="n">
        <f aca="false">q_sh</f>
        <v>0.299427872670807</v>
      </c>
      <c r="E14" s="11" t="n">
        <f aca="false">q_sh</f>
        <v>0.299427872670807</v>
      </c>
      <c r="F14" s="11" t="n">
        <f aca="false">q_sh</f>
        <v>0.299427872670807</v>
      </c>
      <c r="G14" s="7" t="s">
        <v>28</v>
      </c>
      <c r="H14" s="7" t="s">
        <v>295</v>
      </c>
      <c r="I14" s="3" t="s">
        <v>318</v>
      </c>
    </row>
    <row r="15" customFormat="false" ht="17.15" hidden="false" customHeight="false" outlineLevel="0" collapsed="false">
      <c r="A15" s="0" t="s">
        <v>319</v>
      </c>
      <c r="B15" s="14" t="n">
        <f aca="false">B12/B14</f>
        <v>12.13</v>
      </c>
      <c r="C15" s="14" t="n">
        <f aca="false">C12/C14</f>
        <v>12.4</v>
      </c>
      <c r="D15" s="14" t="n">
        <f aca="false">D12/D14</f>
        <v>12.88</v>
      </c>
      <c r="E15" s="14" t="n">
        <f aca="false">E12/E14</f>
        <v>13.0978895400353</v>
      </c>
      <c r="F15" s="14" t="n">
        <f aca="false">F12/F14</f>
        <v>38.0074977654528</v>
      </c>
      <c r="G15" s="7" t="s">
        <v>28</v>
      </c>
      <c r="H15" s="3" t="s">
        <v>320</v>
      </c>
      <c r="I15" s="7" t="s">
        <v>321</v>
      </c>
    </row>
    <row r="16" customFormat="false" ht="17.15" hidden="false" customHeight="false" outlineLevel="0" collapsed="false">
      <c r="A16" s="3" t="s">
        <v>322</v>
      </c>
      <c r="B16" s="15" t="n">
        <v>12.13</v>
      </c>
      <c r="C16" s="15" t="n">
        <v>12.4</v>
      </c>
      <c r="D16" s="15" t="n">
        <v>12.88</v>
      </c>
      <c r="G16" s="7" t="s">
        <v>306</v>
      </c>
      <c r="H16" s="7" t="s">
        <v>323</v>
      </c>
      <c r="I16" s="7" t="s">
        <v>324</v>
      </c>
    </row>
    <row r="17" customFormat="false" ht="17.15" hidden="false" customHeight="false" outlineLevel="0" collapsed="false">
      <c r="A17" s="3" t="s">
        <v>325</v>
      </c>
      <c r="B17" s="11" t="n">
        <f aca="false">B4*ai_25</f>
        <v>9.7088752</v>
      </c>
      <c r="F17" s="11" t="n">
        <f aca="false">F4*ai_26</f>
        <v>25.683026187</v>
      </c>
      <c r="G17" s="7" t="s">
        <v>326</v>
      </c>
      <c r="H17" s="3" t="s">
        <v>327</v>
      </c>
      <c r="I17" s="3" t="s">
        <v>328</v>
      </c>
    </row>
    <row r="18" customFormat="false" ht="17.15" hidden="false" customHeight="false" outlineLevel="0" collapsed="false">
      <c r="A18" s="3" t="s">
        <v>329</v>
      </c>
      <c r="B18" s="11" t="n">
        <f aca="false">B4-B17</f>
        <v>20.6313598</v>
      </c>
      <c r="F18" s="11" t="n">
        <f aca="false">F4-F17</f>
        <v>35.467036163</v>
      </c>
      <c r="G18" s="7" t="s">
        <v>28</v>
      </c>
      <c r="H18" s="7" t="s">
        <v>119</v>
      </c>
      <c r="I18" s="7" t="s">
        <v>330</v>
      </c>
    </row>
    <row r="23" customFormat="false" ht="17.15" hidden="false" customHeight="false" outlineLevel="0" collapsed="false">
      <c r="A23" s="5" t="s">
        <v>331</v>
      </c>
    </row>
    <row r="24" customFormat="false" ht="17.15" hidden="false" customHeight="false" outlineLevel="0" collapsed="false">
      <c r="A24" s="0" t="s">
        <v>332</v>
      </c>
      <c r="B24" s="13" t="n">
        <f aca="false">F4/B4-1</f>
        <v>1.01547754491684</v>
      </c>
    </row>
    <row r="25" customFormat="false" ht="17.15" hidden="false" customHeight="false" outlineLevel="0" collapsed="false">
      <c r="A25" s="0" t="s">
        <v>333</v>
      </c>
      <c r="B25" s="13" t="n">
        <f aca="false">F7/B7-1</f>
        <v>0.481337643600532</v>
      </c>
    </row>
    <row r="26" customFormat="false" ht="17.15" hidden="false" customHeight="false" outlineLevel="0" collapsed="false">
      <c r="A26" s="3" t="s">
        <v>334</v>
      </c>
      <c r="B26" s="14" t="n">
        <f aca="false">B25/B24</f>
        <v>0.474001267689233</v>
      </c>
    </row>
    <row r="27" customFormat="false" ht="17.15" hidden="false" customHeight="false" outlineLevel="0" collapsed="false">
      <c r="A27" s="0" t="s">
        <v>335</v>
      </c>
      <c r="B27" s="13" t="n">
        <f aca="false">F4/c_rev26f-1</f>
        <v>0.0383776931567328</v>
      </c>
    </row>
    <row r="28" customFormat="false" ht="17.15" hidden="false" customHeight="false" outlineLevel="0" collapsed="false">
      <c r="A28" s="0" t="s">
        <v>336</v>
      </c>
      <c r="B28" s="13" t="n">
        <f aca="false">F15/b_eps26u-1</f>
        <v>-0.0204253153233812</v>
      </c>
    </row>
    <row r="29" customFormat="false" ht="17.15" hidden="false" customHeight="false" outlineLevel="0" collapsed="false">
      <c r="A29" s="0" t="s">
        <v>337</v>
      </c>
      <c r="B29" s="13" t="n">
        <f aca="false">D4/14.301042-1</f>
        <v>0.255069875327965</v>
      </c>
    </row>
    <row r="30" customFormat="false" ht="17.15" hidden="false" customHeight="false" outlineLevel="0" collapsed="false">
      <c r="A30" s="3" t="s">
        <v>338</v>
      </c>
      <c r="B30" s="14" t="n">
        <f aca="false">B15-B16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339</v>
      </c>
    </row>
    <row r="3" customFormat="false" ht="15" hidden="false" customHeight="false" outlineLevel="0" collapsed="false">
      <c r="A3" s="4" t="s">
        <v>16</v>
      </c>
      <c r="B3" s="4" t="s">
        <v>17</v>
      </c>
      <c r="C3" s="10" t="s">
        <v>340</v>
      </c>
      <c r="D3" s="10" t="s">
        <v>341</v>
      </c>
      <c r="E3" s="10" t="s">
        <v>342</v>
      </c>
      <c r="F3" s="10" t="s">
        <v>343</v>
      </c>
      <c r="G3" s="4" t="s">
        <v>273</v>
      </c>
    </row>
    <row r="4" customFormat="false" ht="17.15" hidden="false" customHeight="false" outlineLevel="0" collapsed="false">
      <c r="A4" s="3" t="s">
        <v>344</v>
      </c>
      <c r="B4" s="0" t="s">
        <v>27</v>
      </c>
      <c r="C4" s="16" t="n">
        <f aca="false">PL!D63</f>
        <v>23.3995380420639</v>
      </c>
      <c r="D4" s="16" t="n">
        <f aca="false">PL!E63</f>
        <v>41.6467658260637</v>
      </c>
      <c r="E4" s="16" t="n">
        <f aca="false">PL!F63</f>
        <v>52.792138191248</v>
      </c>
      <c r="F4" s="16" t="n">
        <f aca="false">PL!G63</f>
        <v>60.1385917361115</v>
      </c>
      <c r="G4" s="7" t="s">
        <v>345</v>
      </c>
    </row>
    <row r="5" customFormat="false" ht="17.15" hidden="false" customHeight="false" outlineLevel="0" collapsed="false">
      <c r="A5" s="3" t="s">
        <v>346</v>
      </c>
      <c r="B5" s="0" t="s">
        <v>56</v>
      </c>
      <c r="C5" s="17" t="n">
        <f aca="false">PL!D64</f>
        <v>350</v>
      </c>
      <c r="D5" s="17" t="n">
        <f aca="false">PL!E64</f>
        <v>527.5</v>
      </c>
      <c r="E5" s="17" t="n">
        <f aca="false">PL!F64</f>
        <v>609</v>
      </c>
      <c r="F5" s="17" t="n">
        <f aca="false">PL!G64</f>
        <v>662.5</v>
      </c>
      <c r="G5" s="7" t="s">
        <v>347</v>
      </c>
    </row>
    <row r="6" customFormat="false" ht="17.15" hidden="false" customHeight="false" outlineLevel="0" collapsed="false">
      <c r="A6" s="0" t="s">
        <v>348</v>
      </c>
      <c r="B6" s="0" t="s">
        <v>349</v>
      </c>
      <c r="C6" s="18" t="n">
        <f aca="false">PL!D65</f>
        <v>8.18983831472237</v>
      </c>
      <c r="D6" s="18" t="n">
        <f aca="false">PL!E65</f>
        <v>21.9686689732486</v>
      </c>
      <c r="E6" s="18" t="n">
        <f aca="false">PL!F65</f>
        <v>32.15041215847</v>
      </c>
      <c r="F6" s="18" t="n">
        <f aca="false">PL!G65</f>
        <v>39.8418170251739</v>
      </c>
      <c r="G6" s="3" t="s">
        <v>350</v>
      </c>
    </row>
    <row r="7" customFormat="false" ht="17.15" hidden="false" customHeight="false" outlineLevel="0" collapsed="false">
      <c r="A7" s="3" t="s">
        <v>351</v>
      </c>
      <c r="B7" s="0" t="s">
        <v>125</v>
      </c>
      <c r="C7" s="13" t="n">
        <f aca="false">PL!D70</f>
        <v>0.097998829464188</v>
      </c>
      <c r="D7" s="13" t="n">
        <f aca="false">PL!E70</f>
        <v>0.107798712410607</v>
      </c>
      <c r="E7" s="13" t="n">
        <f aca="false">PL!F70</f>
        <v>0.112698653883816</v>
      </c>
      <c r="F7" s="13" t="n">
        <f aca="false">PL!G70</f>
        <v>0.112698653883816</v>
      </c>
      <c r="G7" s="7" t="s">
        <v>352</v>
      </c>
    </row>
    <row r="8" customFormat="false" ht="15" hidden="false" customHeight="false" outlineLevel="0" collapsed="false">
      <c r="A8" s="3" t="s">
        <v>353</v>
      </c>
      <c r="B8" s="0" t="s">
        <v>349</v>
      </c>
      <c r="C8" s="18" t="n">
        <f aca="false">PL!D71/fx</f>
        <v>0.80259456834375</v>
      </c>
      <c r="D8" s="18" t="n">
        <f aca="false">PL!E71/fx</f>
        <v>2.4866039401256</v>
      </c>
      <c r="E8" s="18" t="n">
        <f aca="false">PL!F71/fx</f>
        <v>3.62330817206945</v>
      </c>
      <c r="F8" s="18" t="n">
        <f aca="false">PL!G71/fx</f>
        <v>4.26561318967128</v>
      </c>
      <c r="G8" s="3" t="s">
        <v>354</v>
      </c>
    </row>
    <row r="9" customFormat="false" ht="17.15" hidden="false" customHeight="false" outlineLevel="0" collapsed="false">
      <c r="A9" s="3" t="s">
        <v>355</v>
      </c>
      <c r="B9" s="0" t="s">
        <v>349</v>
      </c>
      <c r="C9" s="18" t="n">
        <f aca="false">PL!D78/fx</f>
        <v>0.80259456834375</v>
      </c>
      <c r="D9" s="18" t="n">
        <f aca="false">PL!E78/fx</f>
        <v>1.95704594491682</v>
      </c>
      <c r="E9" s="18" t="n">
        <f aca="false">PL!F78/fx</f>
        <v>3.31100671839827</v>
      </c>
      <c r="F9" s="18" t="n">
        <f aca="false">PL!G78/fx</f>
        <v>4.26561318967128</v>
      </c>
    </row>
    <row r="10" customFormat="false" ht="17.15" hidden="false" customHeight="false" outlineLevel="0" collapsed="false">
      <c r="A10" s="3" t="s">
        <v>356</v>
      </c>
      <c r="B10" s="0" t="s">
        <v>125</v>
      </c>
      <c r="C10" s="13" t="n">
        <f aca="false">PL!D78/PL!D66/PL!D67</f>
        <v>0.097998829464188</v>
      </c>
      <c r="D10" s="13" t="n">
        <f aca="false">PL!E78/PL!E66/PL!E67</f>
        <v>0.0848414295441745</v>
      </c>
      <c r="E10" s="13" t="n">
        <f aca="false">PL!F78/PL!F66/PL!F67</f>
        <v>0.102984891829015</v>
      </c>
      <c r="F10" s="13" t="n">
        <f aca="false">PL!G78/PL!G66/PL!G67</f>
        <v>0.112698653883816</v>
      </c>
      <c r="G10" s="3" t="s">
        <v>357</v>
      </c>
    </row>
    <row r="11" customFormat="false" ht="17.15" hidden="false" customHeight="false" outlineLevel="0" collapsed="false">
      <c r="A11" s="3" t="s">
        <v>358</v>
      </c>
      <c r="B11" s="0" t="s">
        <v>56</v>
      </c>
      <c r="C11" s="17" t="n">
        <f aca="false">PL!D85</f>
        <v>34.2995903124658</v>
      </c>
      <c r="D11" s="17" t="n">
        <f aca="false">PL!E85</f>
        <v>46.9915467887797</v>
      </c>
      <c r="E11" s="17" t="n">
        <f aca="false">PL!F85</f>
        <v>62.7177991238699</v>
      </c>
      <c r="F11" s="17" t="n">
        <f aca="false">PL!G85</f>
        <v>70.9297152881268</v>
      </c>
    </row>
    <row r="12" customFormat="false" ht="15" hidden="false" customHeight="false" outlineLevel="0" collapsed="false">
      <c r="A12" s="3" t="s">
        <v>359</v>
      </c>
      <c r="B12" s="3" t="s">
        <v>98</v>
      </c>
      <c r="C12" s="14" t="n">
        <f aca="false">PL!D73</f>
        <v>2.35</v>
      </c>
      <c r="D12" s="14" t="n">
        <f aca="false">PL!E73</f>
        <v>3.1</v>
      </c>
      <c r="E12" s="14" t="n">
        <f aca="false">PL!F73</f>
        <v>4.3</v>
      </c>
      <c r="F12" s="14" t="n">
        <f aca="false">PL!G73</f>
        <v>5.3</v>
      </c>
      <c r="G12" s="3" t="s">
        <v>360</v>
      </c>
    </row>
    <row r="13" customFormat="false" ht="17.15" hidden="false" customHeight="false" outlineLevel="0" collapsed="false">
      <c r="A13" s="3" t="s">
        <v>361</v>
      </c>
      <c r="B13" s="0" t="s">
        <v>362</v>
      </c>
      <c r="C13" s="17" t="n">
        <f aca="false">PL!$D$74*PL!D75*PL!D67</f>
        <v>2168.44192730496</v>
      </c>
      <c r="D13" s="17" t="n">
        <f aca="false">PL!$D$74*PL!E75*PL!E67</f>
        <v>2732.23682840426</v>
      </c>
      <c r="E13" s="17" t="n">
        <f aca="false">PL!$D$74*PL!F75*PL!F67</f>
        <v>2862.34334404255</v>
      </c>
      <c r="F13" s="17" t="n">
        <f aca="false">PL!$D$74*PL!G75*PL!G67</f>
        <v>2925.2281599344</v>
      </c>
      <c r="G13" s="7" t="s">
        <v>363</v>
      </c>
    </row>
    <row r="14" customFormat="false" ht="17.15" hidden="false" customHeight="false" outlineLevel="0" collapsed="false">
      <c r="A14" s="3" t="s">
        <v>364</v>
      </c>
      <c r="B14" s="0" t="s">
        <v>125</v>
      </c>
      <c r="C14" s="13" t="n">
        <f aca="false">PL!D84</f>
        <v>1</v>
      </c>
      <c r="D14" s="13" t="n">
        <f aca="false">PL!E84</f>
        <v>1.16672557612271</v>
      </c>
      <c r="E14" s="13" t="n">
        <f aca="false">PL!F84</f>
        <v>1.06766320347601</v>
      </c>
      <c r="F14" s="13" t="n">
        <f aca="false">PL!G84</f>
        <v>0.969292551387512</v>
      </c>
      <c r="G14" s="3" t="s">
        <v>365</v>
      </c>
    </row>
    <row r="15" customFormat="false" ht="17.15" hidden="false" customHeight="false" outlineLevel="0" collapsed="false">
      <c r="A15" s="3" t="s">
        <v>366</v>
      </c>
      <c r="B15" s="0" t="s">
        <v>125</v>
      </c>
      <c r="C15" s="19" t="n">
        <v>0.459306165741139</v>
      </c>
      <c r="D15" s="19" t="n">
        <v>0.436340857454082</v>
      </c>
      <c r="E15" s="19" t="n">
        <v>0.413375549167025</v>
      </c>
      <c r="F15" s="19" t="n">
        <v>0.390410240879968</v>
      </c>
      <c r="G15" s="7" t="s">
        <v>367</v>
      </c>
    </row>
    <row r="16" customFormat="false" ht="17.15" hidden="false" customHeight="false" outlineLevel="0" collapsed="false">
      <c r="A16" s="3" t="s">
        <v>368</v>
      </c>
      <c r="B16" s="0" t="s">
        <v>349</v>
      </c>
      <c r="C16" s="20" t="n">
        <v>3.761643234375</v>
      </c>
      <c r="D16" s="20" t="n">
        <v>7.51342689104167</v>
      </c>
      <c r="E16" s="20" t="n">
        <v>11.9352845958583</v>
      </c>
      <c r="F16" s="20" t="n">
        <v>14.4334791036356</v>
      </c>
      <c r="G16" s="7" t="s">
        <v>369</v>
      </c>
    </row>
    <row r="17" customFormat="false" ht="17.15" hidden="false" customHeight="false" outlineLevel="0" collapsed="false">
      <c r="A17" s="3" t="s">
        <v>370</v>
      </c>
      <c r="B17" s="0" t="s">
        <v>125</v>
      </c>
      <c r="C17" s="13" t="n">
        <f aca="false">C15+C7</f>
        <v>0.557304995205327</v>
      </c>
      <c r="D17" s="13" t="n">
        <f aca="false">D15+D7</f>
        <v>0.544139569864689</v>
      </c>
      <c r="E17" s="13" t="n">
        <f aca="false">E15+E7</f>
        <v>0.526074203050841</v>
      </c>
      <c r="F17" s="13" t="n">
        <f aca="false">F15+F7</f>
        <v>0.503108894763784</v>
      </c>
      <c r="G17" s="3" t="s">
        <v>371</v>
      </c>
    </row>
    <row r="18" customFormat="false" ht="17.15" hidden="false" customHeight="false" outlineLevel="0" collapsed="false">
      <c r="A18" s="3" t="s">
        <v>372</v>
      </c>
      <c r="B18" s="0" t="s">
        <v>125</v>
      </c>
      <c r="C18" s="13" t="n">
        <f aca="false">(C16+C9/PL!D67)/C6</f>
        <v>0.557304995205327</v>
      </c>
      <c r="D18" s="13" t="n">
        <f aca="false">(D16+D9/PL!E67)/D6</f>
        <v>0.426847897946553</v>
      </c>
      <c r="E18" s="13" t="n">
        <f aca="false">(E16+E9/PL!F67)/E6</f>
        <v>0.474217600667366</v>
      </c>
      <c r="F18" s="13" t="n">
        <f aca="false">(F16+F9/PL!G67)/F6</f>
        <v>0.474968253548808</v>
      </c>
      <c r="G18" s="3" t="s">
        <v>373</v>
      </c>
    </row>
    <row r="19" customFormat="false" ht="17.15" hidden="false" customHeight="false" outlineLevel="0" collapsed="false">
      <c r="A19" s="3" t="s">
        <v>374</v>
      </c>
      <c r="B19" s="0" t="s">
        <v>125</v>
      </c>
      <c r="C19" s="13" t="n">
        <f aca="false">1-C17</f>
        <v>0.442695004794673</v>
      </c>
      <c r="D19" s="13" t="n">
        <f aca="false">1-D17</f>
        <v>0.455860430135311</v>
      </c>
      <c r="E19" s="13" t="n">
        <f aca="false">1-E17</f>
        <v>0.473925796949159</v>
      </c>
      <c r="F19" s="13" t="n">
        <f aca="false">1-F17</f>
        <v>0.496891105236216</v>
      </c>
    </row>
    <row r="21" customFormat="false" ht="17.15" hidden="false" customHeight="false" outlineLevel="0" collapsed="false">
      <c r="A21" s="1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376</v>
      </c>
    </row>
    <row r="3" customFormat="false" ht="17.15" hidden="false" customHeight="false" outlineLevel="0" collapsed="false">
      <c r="A3" s="4" t="s">
        <v>377</v>
      </c>
      <c r="B3" s="4" t="s">
        <v>17</v>
      </c>
      <c r="C3" s="10" t="s">
        <v>288</v>
      </c>
      <c r="D3" s="10" t="s">
        <v>378</v>
      </c>
      <c r="E3" s="10" t="s">
        <v>379</v>
      </c>
      <c r="F3" s="10" t="s">
        <v>380</v>
      </c>
      <c r="G3" s="10" t="s">
        <v>381</v>
      </c>
      <c r="H3" s="4" t="s">
        <v>273</v>
      </c>
    </row>
    <row r="4" customFormat="false" ht="17.15" hidden="false" customHeight="false" outlineLevel="0" collapsed="false">
      <c r="A4" s="1" t="s">
        <v>382</v>
      </c>
    </row>
    <row r="5" customFormat="false" ht="15" hidden="false" customHeight="false" outlineLevel="0" collapsed="false">
      <c r="A5" s="3" t="s">
        <v>293</v>
      </c>
      <c r="B5" s="0" t="s">
        <v>162</v>
      </c>
      <c r="C5" s="21" t="n">
        <f aca="false">C80</f>
        <v>30.340235</v>
      </c>
      <c r="D5" s="21" t="n">
        <f aca="false">D80</f>
        <v>61.15006235</v>
      </c>
      <c r="E5" s="21" t="n">
        <f aca="false">E80</f>
        <v>101.639210016638</v>
      </c>
      <c r="F5" s="21" t="n">
        <f aca="false">F80</f>
        <v>147.696916552596</v>
      </c>
      <c r="G5" s="21" t="n">
        <f aca="false">G80</f>
        <v>180.331558711525</v>
      </c>
    </row>
    <row r="6" customFormat="false" ht="15" hidden="false" customHeight="false" outlineLevel="0" collapsed="false">
      <c r="A6" s="3" t="s">
        <v>383</v>
      </c>
      <c r="B6" s="0" t="s">
        <v>125</v>
      </c>
      <c r="D6" s="13" t="n">
        <f aca="false">D81</f>
        <v>1.01547754491684</v>
      </c>
      <c r="E6" s="13" t="n">
        <f aca="false">E81</f>
        <v>0.662127659574468</v>
      </c>
      <c r="F6" s="13" t="n">
        <f aca="false">F81</f>
        <v>0.453149001536098</v>
      </c>
      <c r="G6" s="13" t="n">
        <f aca="false">G81</f>
        <v>0.220956827811009</v>
      </c>
    </row>
    <row r="7" customFormat="false" ht="17.15" hidden="false" customHeight="false" outlineLevel="0" collapsed="false">
      <c r="A7" s="3" t="s">
        <v>384</v>
      </c>
      <c r="B7" s="0" t="s">
        <v>162</v>
      </c>
      <c r="C7" s="21" t="n">
        <f aca="false">C78</f>
        <v>9.7088752</v>
      </c>
      <c r="D7" s="21" t="n">
        <f aca="false">D78</f>
        <v>25.683026187</v>
      </c>
      <c r="E7" s="21" t="n">
        <f aca="false">E78</f>
        <v>62.6254702373383</v>
      </c>
      <c r="F7" s="21" t="n">
        <f aca="false">F78</f>
        <v>105.952214988745</v>
      </c>
      <c r="G7" s="21" t="n">
        <f aca="false">G78</f>
        <v>136.499622069481</v>
      </c>
    </row>
    <row r="8" customFormat="false" ht="15" hidden="false" customHeight="false" outlineLevel="0" collapsed="false">
      <c r="A8" s="3" t="s">
        <v>385</v>
      </c>
      <c r="B8" s="0" t="s">
        <v>162</v>
      </c>
      <c r="C8" s="21" t="n">
        <f aca="false">C77</f>
        <v>20.6313598</v>
      </c>
      <c r="D8" s="21" t="n">
        <f aca="false">D77</f>
        <v>35.467036163</v>
      </c>
      <c r="E8" s="21" t="n">
        <f aca="false">E77</f>
        <v>39.0137397793</v>
      </c>
      <c r="F8" s="21" t="n">
        <f aca="false">F77</f>
        <v>41.744701563851</v>
      </c>
      <c r="G8" s="21" t="n">
        <f aca="false">G77</f>
        <v>43.8319366420436</v>
      </c>
    </row>
    <row r="9" customFormat="false" ht="17.15" hidden="false" customHeight="false" outlineLevel="0" collapsed="false">
      <c r="A9" s="3" t="s">
        <v>386</v>
      </c>
      <c r="B9" s="0" t="s">
        <v>125</v>
      </c>
      <c r="D9" s="13" t="n">
        <f aca="false">D84</f>
        <v>1</v>
      </c>
      <c r="E9" s="13" t="n">
        <f aca="false">E84</f>
        <v>1.16672557612271</v>
      </c>
      <c r="F9" s="13" t="n">
        <f aca="false">F84</f>
        <v>1.06766320347601</v>
      </c>
      <c r="G9" s="13" t="n">
        <f aca="false">G84</f>
        <v>0.969292551387512</v>
      </c>
    </row>
    <row r="10" customFormat="false" ht="15" hidden="false" customHeight="false" outlineLevel="0" collapsed="false">
      <c r="A10" s="3" t="s">
        <v>300</v>
      </c>
      <c r="B10" s="0" t="s">
        <v>125</v>
      </c>
      <c r="C10" s="13" t="n">
        <f aca="false">C90</f>
        <v>0.227348041305547</v>
      </c>
      <c r="D10" s="13" t="n">
        <f aca="false">D90</f>
        <v>0.33018591102058</v>
      </c>
      <c r="E10" s="13" t="n">
        <f aca="false">E90</f>
        <v>0.364169685530452</v>
      </c>
      <c r="F10" s="13" t="n">
        <f aca="false">F90</f>
        <v>0.353974903268642</v>
      </c>
      <c r="G10" s="13" t="n">
        <f aca="false">G90</f>
        <v>0.332304806546473</v>
      </c>
    </row>
    <row r="11" customFormat="false" ht="15" hidden="false" customHeight="false" outlineLevel="0" collapsed="false">
      <c r="A11" s="3" t="s">
        <v>308</v>
      </c>
      <c r="B11" s="0" t="s">
        <v>125</v>
      </c>
      <c r="C11" s="13" t="n">
        <f aca="false">C93</f>
        <v>0.143164975485523</v>
      </c>
      <c r="D11" s="13" t="n">
        <f aca="false">D93</f>
        <v>0.268312959536991</v>
      </c>
      <c r="E11" s="13" t="n">
        <f aca="false">E93</f>
        <v>0.312155854631447</v>
      </c>
      <c r="F11" s="13" t="n">
        <f aca="false">F93</f>
        <v>0.308449055505031</v>
      </c>
      <c r="G11" s="13" t="n">
        <f aca="false">G93</f>
        <v>0.290074487887945</v>
      </c>
    </row>
    <row r="12" customFormat="false" ht="15" hidden="false" customHeight="false" outlineLevel="0" collapsed="false">
      <c r="A12" s="3" t="s">
        <v>313</v>
      </c>
      <c r="B12" s="0" t="s">
        <v>162</v>
      </c>
      <c r="C12" s="21" t="n">
        <f aca="false">C95</f>
        <v>3.409149</v>
      </c>
      <c r="D12" s="21" t="n">
        <f aca="false">D95</f>
        <v>11.38050420145</v>
      </c>
      <c r="E12" s="21" t="n">
        <f aca="false">E95</f>
        <v>22.3140921267662</v>
      </c>
      <c r="F12" s="21" t="n">
        <f aca="false">F95</f>
        <v>31.9948820881574</v>
      </c>
      <c r="G12" s="21" t="n">
        <f aca="false">G95</f>
        <v>36.7217091802963</v>
      </c>
    </row>
    <row r="13" customFormat="false" ht="15" hidden="false" customHeight="false" outlineLevel="0" collapsed="false">
      <c r="A13" s="0" t="s">
        <v>319</v>
      </c>
      <c r="B13" s="0" t="s">
        <v>194</v>
      </c>
      <c r="C13" s="14" t="n">
        <f aca="false">C98</f>
        <v>12.13</v>
      </c>
      <c r="D13" s="14" t="n">
        <f aca="false">D98</f>
        <v>38.0074977654528</v>
      </c>
      <c r="E13" s="14" t="n">
        <f aca="false">E98</f>
        <v>73.78458232524</v>
      </c>
      <c r="F13" s="14" t="n">
        <f aca="false">F98</f>
        <v>104.747952261422</v>
      </c>
      <c r="G13" s="14" t="n">
        <f aca="false">G98</f>
        <v>119.032770154449</v>
      </c>
    </row>
    <row r="14" customFormat="false" ht="17.15" hidden="false" customHeight="false" outlineLevel="0" collapsed="false">
      <c r="A14" s="0" t="s">
        <v>387</v>
      </c>
      <c r="B14" s="0" t="s">
        <v>125</v>
      </c>
      <c r="D14" s="13" t="n">
        <f aca="false">D99</f>
        <v>2.13334688915522</v>
      </c>
      <c r="E14" s="13" t="n">
        <f aca="false">E99</f>
        <v>0.941316494460392</v>
      </c>
      <c r="F14" s="13" t="n">
        <f aca="false">F99</f>
        <v>0.41964552702483</v>
      </c>
      <c r="G14" s="13" t="n">
        <f aca="false">G99</f>
        <v>0.136373242479962</v>
      </c>
    </row>
    <row r="16" customFormat="false" ht="17.15" hidden="false" customHeight="false" outlineLevel="0" collapsed="false">
      <c r="A16" s="1" t="s">
        <v>388</v>
      </c>
    </row>
    <row r="17" customFormat="false" ht="15" hidden="false" customHeight="false" outlineLevel="0" collapsed="false">
      <c r="A17" s="3" t="s">
        <v>293</v>
      </c>
      <c r="B17" s="0" t="s">
        <v>162</v>
      </c>
      <c r="C17" s="21" t="n">
        <f aca="false">C122</f>
        <v>30.340235</v>
      </c>
      <c r="D17" s="21" t="n">
        <f aca="false">D122</f>
        <v>61.15006235</v>
      </c>
      <c r="E17" s="21" t="n">
        <f aca="false">E122</f>
        <v>101.639210016638</v>
      </c>
      <c r="F17" s="21" t="n">
        <f aca="false">F122</f>
        <v>134.501390768829</v>
      </c>
      <c r="G17" s="21" t="n">
        <f aca="false">G122</f>
        <v>159.856615401103</v>
      </c>
    </row>
    <row r="18" customFormat="false" ht="15" hidden="false" customHeight="false" outlineLevel="0" collapsed="false">
      <c r="A18" s="3" t="s">
        <v>383</v>
      </c>
      <c r="B18" s="0" t="s">
        <v>125</v>
      </c>
      <c r="D18" s="13" t="n">
        <f aca="false">D123</f>
        <v>1.01547754491684</v>
      </c>
      <c r="E18" s="13" t="n">
        <f aca="false">E123</f>
        <v>0.662127659574468</v>
      </c>
      <c r="F18" s="13" t="n">
        <f aca="false">F123</f>
        <v>0.323321882832532</v>
      </c>
      <c r="G18" s="13" t="n">
        <f aca="false">G123</f>
        <v>0.188512732004774</v>
      </c>
    </row>
    <row r="19" customFormat="false" ht="17.15" hidden="false" customHeight="false" outlineLevel="0" collapsed="false">
      <c r="A19" s="3" t="s">
        <v>384</v>
      </c>
      <c r="B19" s="0" t="s">
        <v>162</v>
      </c>
      <c r="C19" s="21" t="n">
        <f aca="false">C120</f>
        <v>9.7088752</v>
      </c>
      <c r="D19" s="21" t="n">
        <f aca="false">D120</f>
        <v>25.683026187</v>
      </c>
      <c r="E19" s="21" t="n">
        <f aca="false">E120</f>
        <v>62.6254702373383</v>
      </c>
      <c r="F19" s="21" t="n">
        <f aca="false">F120</f>
        <v>92.7566892049779</v>
      </c>
      <c r="G19" s="21" t="n">
        <f aca="false">G120</f>
        <v>116.024678759059</v>
      </c>
    </row>
    <row r="20" customFormat="false" ht="15" hidden="false" customHeight="false" outlineLevel="0" collapsed="false">
      <c r="A20" s="3" t="s">
        <v>385</v>
      </c>
      <c r="B20" s="0" t="s">
        <v>162</v>
      </c>
      <c r="C20" s="21" t="n">
        <f aca="false">C119</f>
        <v>20.6313598</v>
      </c>
      <c r="D20" s="21" t="n">
        <f aca="false">D119</f>
        <v>35.467036163</v>
      </c>
      <c r="E20" s="21" t="n">
        <f aca="false">E119</f>
        <v>39.0137397793</v>
      </c>
      <c r="F20" s="21" t="n">
        <f aca="false">F119</f>
        <v>41.744701563851</v>
      </c>
      <c r="G20" s="21" t="n">
        <f aca="false">G119</f>
        <v>43.8319366420436</v>
      </c>
    </row>
    <row r="21" customFormat="false" ht="17.15" hidden="false" customHeight="false" outlineLevel="0" collapsed="false">
      <c r="A21" s="3" t="s">
        <v>386</v>
      </c>
      <c r="B21" s="0" t="s">
        <v>125</v>
      </c>
      <c r="D21" s="13" t="n">
        <f aca="false">D126</f>
        <v>1</v>
      </c>
      <c r="E21" s="13" t="n">
        <f aca="false">E126</f>
        <v>1.16672557612271</v>
      </c>
      <c r="F21" s="13" t="n">
        <f aca="false">F126</f>
        <v>0.910658082160654</v>
      </c>
      <c r="G21" s="13" t="n">
        <f aca="false">G126</f>
        <v>0.859238547625355</v>
      </c>
    </row>
    <row r="22" customFormat="false" ht="15" hidden="false" customHeight="false" outlineLevel="0" collapsed="false">
      <c r="A22" s="3" t="s">
        <v>300</v>
      </c>
      <c r="B22" s="0" t="s">
        <v>125</v>
      </c>
      <c r="C22" s="13" t="n">
        <f aca="false">C132</f>
        <v>0.227348041305547</v>
      </c>
      <c r="D22" s="13" t="n">
        <f aca="false">D132</f>
        <v>0.33018591102058</v>
      </c>
      <c r="E22" s="13" t="n">
        <f aca="false">E132</f>
        <v>0.364169685530452</v>
      </c>
      <c r="F22" s="13" t="n">
        <f aca="false">F132</f>
        <v>0.351756605494305</v>
      </c>
      <c r="G22" s="13" t="n">
        <f aca="false">G132</f>
        <v>0.330835713420405</v>
      </c>
    </row>
    <row r="23" customFormat="false" ht="15" hidden="false" customHeight="false" outlineLevel="0" collapsed="false">
      <c r="A23" s="3" t="s">
        <v>308</v>
      </c>
      <c r="B23" s="0" t="s">
        <v>125</v>
      </c>
      <c r="C23" s="13" t="n">
        <f aca="false">C135</f>
        <v>0.143164975485523</v>
      </c>
      <c r="D23" s="13" t="n">
        <f aca="false">D135</f>
        <v>0.268312959536991</v>
      </c>
      <c r="E23" s="13" t="n">
        <f aca="false">E135</f>
        <v>0.312155854631447</v>
      </c>
      <c r="F23" s="13" t="n">
        <f aca="false">F135</f>
        <v>0.304826106158926</v>
      </c>
      <c r="G23" s="13" t="n">
        <f aca="false">G135</f>
        <v>0.286882715766186</v>
      </c>
    </row>
    <row r="24" customFormat="false" ht="15" hidden="false" customHeight="false" outlineLevel="0" collapsed="false">
      <c r="A24" s="3" t="s">
        <v>313</v>
      </c>
      <c r="B24" s="0" t="s">
        <v>162</v>
      </c>
      <c r="C24" s="21" t="n">
        <f aca="false">C137</f>
        <v>3.409149</v>
      </c>
      <c r="D24" s="21" t="n">
        <f aca="false">D137</f>
        <v>11.38050420145</v>
      </c>
      <c r="E24" s="21" t="n">
        <f aca="false">E137</f>
        <v>22.3140921267662</v>
      </c>
      <c r="F24" s="21" t="n">
        <f aca="false">F137</f>
        <v>28.8046746547156</v>
      </c>
      <c r="G24" s="21" t="n">
        <f aca="false">G137</f>
        <v>32.2070699716213</v>
      </c>
    </row>
    <row r="25" customFormat="false" ht="15" hidden="false" customHeight="false" outlineLevel="0" collapsed="false">
      <c r="A25" s="0" t="s">
        <v>319</v>
      </c>
      <c r="B25" s="0" t="s">
        <v>194</v>
      </c>
      <c r="C25" s="14" t="n">
        <f aca="false">C140</f>
        <v>12.13</v>
      </c>
      <c r="D25" s="14" t="n">
        <f aca="false">D140</f>
        <v>38.0074977654528</v>
      </c>
      <c r="E25" s="14" t="n">
        <f aca="false">E140</f>
        <v>73.78458232524</v>
      </c>
      <c r="F25" s="14" t="n">
        <f aca="false">F140</f>
        <v>94.3035413390302</v>
      </c>
      <c r="G25" s="14" t="n">
        <f aca="false">G140</f>
        <v>104.398647090678</v>
      </c>
    </row>
    <row r="26" customFormat="false" ht="17.15" hidden="false" customHeight="false" outlineLevel="0" collapsed="false">
      <c r="A26" s="0" t="s">
        <v>387</v>
      </c>
      <c r="B26" s="0" t="s">
        <v>125</v>
      </c>
      <c r="D26" s="13" t="n">
        <f aca="false">D141</f>
        <v>2.13334688915522</v>
      </c>
      <c r="E26" s="13" t="n">
        <f aca="false">E141</f>
        <v>0.941316494460392</v>
      </c>
      <c r="F26" s="13" t="n">
        <f aca="false">F141</f>
        <v>0.278092771784534</v>
      </c>
      <c r="G26" s="13" t="n">
        <f aca="false">G141</f>
        <v>0.107049063145513</v>
      </c>
    </row>
    <row r="28" customFormat="false" ht="17.15" hidden="false" customHeight="false" outlineLevel="0" collapsed="false">
      <c r="A28" s="1" t="s">
        <v>389</v>
      </c>
    </row>
    <row r="29" customFormat="false" ht="15" hidden="false" customHeight="false" outlineLevel="0" collapsed="false">
      <c r="A29" s="3" t="s">
        <v>293</v>
      </c>
      <c r="B29" s="0" t="s">
        <v>162</v>
      </c>
      <c r="C29" s="21" t="n">
        <f aca="false">C164</f>
        <v>30.340235</v>
      </c>
      <c r="D29" s="21" t="n">
        <f aca="false">D164</f>
        <v>61.15006235</v>
      </c>
      <c r="E29" s="21" t="n">
        <f aca="false">E164</f>
        <v>101.639210016638</v>
      </c>
      <c r="F29" s="21" t="n">
        <f aca="false">F164</f>
        <v>111.312218467584</v>
      </c>
      <c r="G29" s="21" t="n">
        <f aca="false">G164</f>
        <v>125.731709883732</v>
      </c>
    </row>
    <row r="30" customFormat="false" ht="15" hidden="false" customHeight="false" outlineLevel="0" collapsed="false">
      <c r="A30" s="3" t="s">
        <v>383</v>
      </c>
      <c r="B30" s="0" t="s">
        <v>125</v>
      </c>
      <c r="D30" s="13" t="n">
        <f aca="false">D165</f>
        <v>1.01547754491684</v>
      </c>
      <c r="E30" s="13" t="n">
        <f aca="false">E165</f>
        <v>0.662127659574468</v>
      </c>
      <c r="F30" s="13" t="n">
        <f aca="false">F165</f>
        <v>0.0951700475570665</v>
      </c>
      <c r="G30" s="13" t="n">
        <f aca="false">G165</f>
        <v>0.129540957988785</v>
      </c>
    </row>
    <row r="31" customFormat="false" ht="17.15" hidden="false" customHeight="false" outlineLevel="0" collapsed="false">
      <c r="A31" s="3" t="s">
        <v>384</v>
      </c>
      <c r="B31" s="0" t="s">
        <v>162</v>
      </c>
      <c r="C31" s="21" t="n">
        <f aca="false">C162</f>
        <v>9.7088752</v>
      </c>
      <c r="D31" s="21" t="n">
        <f aca="false">D162</f>
        <v>25.683026187</v>
      </c>
      <c r="E31" s="21" t="n">
        <f aca="false">E162</f>
        <v>62.6254702373383</v>
      </c>
      <c r="F31" s="21" t="n">
        <f aca="false">F162</f>
        <v>69.5675169037334</v>
      </c>
      <c r="G31" s="21" t="n">
        <f aca="false">G162</f>
        <v>81.8997732416887</v>
      </c>
    </row>
    <row r="32" customFormat="false" ht="15" hidden="false" customHeight="false" outlineLevel="0" collapsed="false">
      <c r="A32" s="3" t="s">
        <v>385</v>
      </c>
      <c r="B32" s="0" t="s">
        <v>162</v>
      </c>
      <c r="C32" s="21" t="n">
        <f aca="false">C161</f>
        <v>20.6313598</v>
      </c>
      <c r="D32" s="21" t="n">
        <f aca="false">D161</f>
        <v>35.467036163</v>
      </c>
      <c r="E32" s="21" t="n">
        <f aca="false">E161</f>
        <v>39.0137397793</v>
      </c>
      <c r="F32" s="21" t="n">
        <f aca="false">F161</f>
        <v>41.744701563851</v>
      </c>
      <c r="G32" s="21" t="n">
        <f aca="false">G161</f>
        <v>43.8319366420436</v>
      </c>
    </row>
    <row r="33" customFormat="false" ht="17.15" hidden="false" customHeight="false" outlineLevel="0" collapsed="false">
      <c r="A33" s="3" t="s">
        <v>386</v>
      </c>
      <c r="B33" s="0" t="s">
        <v>125</v>
      </c>
      <c r="D33" s="13" t="n">
        <f aca="false">D168</f>
        <v>1</v>
      </c>
      <c r="E33" s="13" t="n">
        <f aca="false">E168</f>
        <v>1.16672557612271</v>
      </c>
      <c r="F33" s="13" t="n">
        <f aca="false">F168</f>
        <v>0.753652960845296</v>
      </c>
      <c r="G33" s="13" t="n">
        <f aca="false">G168</f>
        <v>0.67581520802176</v>
      </c>
    </row>
    <row r="34" customFormat="false" ht="15" hidden="false" customHeight="false" outlineLevel="0" collapsed="false">
      <c r="A34" s="3" t="s">
        <v>300</v>
      </c>
      <c r="B34" s="0" t="s">
        <v>125</v>
      </c>
      <c r="C34" s="13" t="n">
        <f aca="false">C174</f>
        <v>0.227348041305547</v>
      </c>
      <c r="D34" s="13" t="n">
        <f aca="false">D174</f>
        <v>0.33018591102058</v>
      </c>
      <c r="E34" s="13" t="n">
        <f aca="false">E174</f>
        <v>0.364169685530452</v>
      </c>
      <c r="F34" s="13" t="n">
        <f aca="false">F174</f>
        <v>0.346584028288536</v>
      </c>
      <c r="G34" s="13" t="n">
        <f aca="false">G174</f>
        <v>0.32732395209993</v>
      </c>
    </row>
    <row r="35" customFormat="false" ht="15" hidden="false" customHeight="false" outlineLevel="0" collapsed="false">
      <c r="A35" s="3" t="s">
        <v>308</v>
      </c>
      <c r="B35" s="0" t="s">
        <v>125</v>
      </c>
      <c r="C35" s="13" t="n">
        <f aca="false">C177</f>
        <v>0.143164975485523</v>
      </c>
      <c r="D35" s="13" t="n">
        <f aca="false">D177</f>
        <v>0.268312959536991</v>
      </c>
      <c r="E35" s="13" t="n">
        <f aca="false">E177</f>
        <v>0.312155854631447</v>
      </c>
      <c r="F35" s="13" t="n">
        <f aca="false">F177</f>
        <v>0.296378193790209</v>
      </c>
      <c r="G35" s="13" t="n">
        <f aca="false">G177</f>
        <v>0.279421252110021</v>
      </c>
    </row>
    <row r="36" customFormat="false" ht="15" hidden="false" customHeight="false" outlineLevel="0" collapsed="false">
      <c r="A36" s="3" t="s">
        <v>313</v>
      </c>
      <c r="B36" s="0" t="s">
        <v>162</v>
      </c>
      <c r="C36" s="21" t="n">
        <f aca="false">C179</f>
        <v>3.409149</v>
      </c>
      <c r="D36" s="21" t="n">
        <f aca="false">D179</f>
        <v>11.38050420145</v>
      </c>
      <c r="E36" s="21" t="n">
        <f aca="false">E179</f>
        <v>22.3140921267662</v>
      </c>
      <c r="F36" s="21" t="n">
        <f aca="false">F179</f>
        <v>23.1983599793427</v>
      </c>
      <c r="G36" s="21" t="n">
        <f aca="false">G179</f>
        <v>24.6974782639524</v>
      </c>
    </row>
    <row r="37" customFormat="false" ht="15" hidden="false" customHeight="false" outlineLevel="0" collapsed="false">
      <c r="A37" s="0" t="s">
        <v>319</v>
      </c>
      <c r="B37" s="0" t="s">
        <v>194</v>
      </c>
      <c r="C37" s="14" t="n">
        <f aca="false">C182</f>
        <v>12.13</v>
      </c>
      <c r="D37" s="14" t="n">
        <f aca="false">D182</f>
        <v>38.0074977654528</v>
      </c>
      <c r="E37" s="14" t="n">
        <f aca="false">E182</f>
        <v>73.78458232524</v>
      </c>
      <c r="F37" s="14" t="n">
        <f aca="false">F182</f>
        <v>75.9490438803307</v>
      </c>
      <c r="G37" s="14" t="n">
        <f aca="false">G182</f>
        <v>80.0564385266944</v>
      </c>
    </row>
    <row r="38" customFormat="false" ht="17.15" hidden="false" customHeight="false" outlineLevel="0" collapsed="false">
      <c r="A38" s="0" t="s">
        <v>387</v>
      </c>
      <c r="B38" s="0" t="s">
        <v>125</v>
      </c>
      <c r="D38" s="13" t="n">
        <f aca="false">D183</f>
        <v>2.13334688915522</v>
      </c>
      <c r="E38" s="13" t="n">
        <f aca="false">E183</f>
        <v>0.941316494460392</v>
      </c>
      <c r="F38" s="13" t="n">
        <f aca="false">F183</f>
        <v>0.0293348757542578</v>
      </c>
      <c r="G38" s="13" t="n">
        <f aca="false">G183</f>
        <v>0.0540809263225945</v>
      </c>
    </row>
    <row r="40" customFormat="false" ht="17.15" hidden="false" customHeight="false" outlineLevel="0" collapsed="false">
      <c r="A40" s="1" t="s">
        <v>390</v>
      </c>
    </row>
    <row r="41" customFormat="false" ht="17.15" hidden="false" customHeight="false" outlineLevel="0" collapsed="false">
      <c r="A41" s="3" t="s">
        <v>391</v>
      </c>
      <c r="D41" s="22" t="n">
        <f aca="false">D80-a26_rev</f>
        <v>0</v>
      </c>
    </row>
    <row r="42" customFormat="false" ht="17.15" hidden="false" customHeight="false" outlineLevel="0" collapsed="false">
      <c r="A42" s="3" t="s">
        <v>392</v>
      </c>
      <c r="D42" s="22" t="n">
        <f aca="false">D78-a26_ai</f>
        <v>0</v>
      </c>
    </row>
    <row r="43" customFormat="false" ht="17.15" hidden="false" customHeight="false" outlineLevel="0" collapsed="false">
      <c r="A43" s="3" t="s">
        <v>393</v>
      </c>
      <c r="D43" s="22" t="n">
        <f aca="false">D88*D78+D87*D77-a26_gp</f>
        <v>0</v>
      </c>
    </row>
    <row r="44" customFormat="false" ht="17.15" hidden="false" customHeight="false" outlineLevel="0" collapsed="false">
      <c r="A44" s="3" t="s">
        <v>394</v>
      </c>
      <c r="D44" s="22" t="n">
        <f aca="false">D76-D80</f>
        <v>0</v>
      </c>
    </row>
    <row r="60" customFormat="false" ht="17.15" hidden="false" customHeight="false" outlineLevel="0" collapsed="false">
      <c r="A60" s="1" t="s">
        <v>395</v>
      </c>
    </row>
    <row r="61" customFormat="false" ht="17.15" hidden="false" customHeight="false" outlineLevel="0" collapsed="false">
      <c r="A61" s="4" t="s">
        <v>16</v>
      </c>
      <c r="B61" s="4" t="s">
        <v>17</v>
      </c>
      <c r="C61" s="10" t="s">
        <v>288</v>
      </c>
      <c r="D61" s="10" t="s">
        <v>378</v>
      </c>
      <c r="E61" s="10" t="s">
        <v>379</v>
      </c>
      <c r="F61" s="10" t="s">
        <v>380</v>
      </c>
      <c r="G61" s="10" t="s">
        <v>381</v>
      </c>
      <c r="H61" s="4" t="s">
        <v>273</v>
      </c>
    </row>
    <row r="62" customFormat="false" ht="17.15" hidden="false" customHeight="false" outlineLevel="0" collapsed="false">
      <c r="A62" s="5" t="s">
        <v>396</v>
      </c>
    </row>
    <row r="63" customFormat="false" ht="17.15" hidden="false" customHeight="false" outlineLevel="0" collapsed="false">
      <c r="A63" s="3" t="s">
        <v>397</v>
      </c>
      <c r="B63" s="0" t="s">
        <v>27</v>
      </c>
      <c r="D63" s="16" t="n">
        <f aca="false">gw_26</f>
        <v>23.3995380420639</v>
      </c>
      <c r="E63" s="16" t="n">
        <f aca="false">gw_27</f>
        <v>41.6467658260637</v>
      </c>
      <c r="F63" s="16" t="n">
        <f aca="false">gw28_A</f>
        <v>52.792138191248</v>
      </c>
      <c r="G63" s="16" t="n">
        <f aca="false">gw29_A</f>
        <v>60.1385917361115</v>
      </c>
      <c r="H63" s="7" t="s">
        <v>345</v>
      </c>
    </row>
    <row r="64" customFormat="false" ht="17.15" hidden="false" customHeight="false" outlineLevel="0" collapsed="false">
      <c r="A64" s="3" t="s">
        <v>346</v>
      </c>
      <c r="B64" s="0" t="s">
        <v>56</v>
      </c>
      <c r="D64" s="17" t="n">
        <f aca="false">pgw_26</f>
        <v>350</v>
      </c>
      <c r="E64" s="17" t="n">
        <f aca="false">pgw_27</f>
        <v>527.5</v>
      </c>
      <c r="F64" s="17" t="n">
        <f aca="false">pgw_28</f>
        <v>609</v>
      </c>
      <c r="G64" s="17" t="n">
        <f aca="false">pgw_29</f>
        <v>662.5</v>
      </c>
      <c r="H64" s="7" t="s">
        <v>347</v>
      </c>
    </row>
    <row r="65" customFormat="false" ht="17.15" hidden="false" customHeight="false" outlineLevel="0" collapsed="false">
      <c r="A65" s="0" t="s">
        <v>398</v>
      </c>
      <c r="B65" s="0" t="s">
        <v>349</v>
      </c>
      <c r="D65" s="18" t="n">
        <f aca="false">D63*D64/1000</f>
        <v>8.18983831472237</v>
      </c>
      <c r="E65" s="18" t="n">
        <f aca="false">E63*E64/1000*mf</f>
        <v>21.9686689732486</v>
      </c>
      <c r="F65" s="18" t="n">
        <f aca="false">F63*F64/1000*mf</f>
        <v>32.15041215847</v>
      </c>
      <c r="G65" s="18" t="n">
        <f aca="false">G63*G64/1000*mf</f>
        <v>39.8418170251739</v>
      </c>
      <c r="H65" s="3" t="s">
        <v>399</v>
      </c>
    </row>
    <row r="66" customFormat="false" ht="17.15" hidden="false" customHeight="false" outlineLevel="0" collapsed="false">
      <c r="A66" s="0" t="s">
        <v>400</v>
      </c>
      <c r="B66" s="0" t="s">
        <v>162</v>
      </c>
      <c r="D66" s="21" t="n">
        <f aca="false">D65*fx</f>
        <v>262.074826071116</v>
      </c>
      <c r="E66" s="21" t="n">
        <f aca="false">E65*fx</f>
        <v>702.997407143955</v>
      </c>
      <c r="F66" s="21" t="n">
        <f aca="false">F65*fx</f>
        <v>1028.81318907104</v>
      </c>
      <c r="G66" s="21" t="n">
        <f aca="false">G65*fx</f>
        <v>1274.93814480556</v>
      </c>
    </row>
    <row r="67" customFormat="false" ht="17.15" hidden="false" customHeight="false" outlineLevel="0" collapsed="false">
      <c r="A67" s="3" t="s">
        <v>401</v>
      </c>
      <c r="B67" s="0" t="s">
        <v>76</v>
      </c>
      <c r="D67" s="14" t="n">
        <f aca="false">1</f>
        <v>1</v>
      </c>
      <c r="E67" s="14" t="n">
        <f aca="false">pp_27</f>
        <v>1.05</v>
      </c>
      <c r="F67" s="14" t="n">
        <f aca="false">pp_28</f>
        <v>1</v>
      </c>
      <c r="G67" s="14" t="n">
        <f aca="false">pp_29</f>
        <v>0.95</v>
      </c>
    </row>
    <row r="68" customFormat="false" ht="17.15" hidden="false" customHeight="false" outlineLevel="0" collapsed="false">
      <c r="A68" s="3" t="s">
        <v>402</v>
      </c>
      <c r="B68" s="0" t="s">
        <v>125</v>
      </c>
      <c r="D68" s="13" t="n">
        <f aca="false">a26_ai/D66</f>
        <v>0.097998829464188</v>
      </c>
      <c r="H68" s="7" t="s">
        <v>403</v>
      </c>
    </row>
    <row r="69" customFormat="false" ht="17.15" hidden="false" customHeight="false" outlineLevel="0" collapsed="false">
      <c r="A69" s="3" t="s">
        <v>404</v>
      </c>
      <c r="B69" s="0" t="s">
        <v>76</v>
      </c>
      <c r="D69" s="14" t="n">
        <f aca="false">1</f>
        <v>1</v>
      </c>
      <c r="E69" s="14" t="n">
        <f aca="false">rel_27</f>
        <v>1.1</v>
      </c>
      <c r="F69" s="14" t="n">
        <f aca="false">rel_28</f>
        <v>1.15</v>
      </c>
      <c r="G69" s="14" t="n">
        <f aca="false">rel_29</f>
        <v>1.15</v>
      </c>
    </row>
    <row r="70" customFormat="false" ht="15" hidden="false" customHeight="false" outlineLevel="0" collapsed="false">
      <c r="A70" s="3" t="s">
        <v>405</v>
      </c>
      <c r="B70" s="0" t="s">
        <v>125</v>
      </c>
      <c r="D70" s="13" t="n">
        <f aca="false">$D$68*D69</f>
        <v>0.097998829464188</v>
      </c>
      <c r="E70" s="13" t="n">
        <f aca="false">$D$68*E69</f>
        <v>0.107798712410607</v>
      </c>
      <c r="F70" s="13" t="n">
        <f aca="false">$D$68*F69</f>
        <v>0.112698653883816</v>
      </c>
      <c r="G70" s="13" t="n">
        <f aca="false">$D$68*G69</f>
        <v>0.112698653883816</v>
      </c>
    </row>
    <row r="71" customFormat="false" ht="17.15" hidden="false" customHeight="false" outlineLevel="0" collapsed="false">
      <c r="A71" s="3" t="s">
        <v>406</v>
      </c>
      <c r="B71" s="0" t="s">
        <v>162</v>
      </c>
      <c r="D71" s="21" t="n">
        <f aca="false">D66*D70*D67</f>
        <v>25.683026187</v>
      </c>
      <c r="E71" s="21" t="n">
        <f aca="false">E66*E70*E67</f>
        <v>79.5713260840192</v>
      </c>
      <c r="F71" s="21" t="n">
        <f aca="false">F66*F70*F67</f>
        <v>115.945861506222</v>
      </c>
      <c r="G71" s="21" t="n">
        <f aca="false">G66*G70*G67</f>
        <v>136.499622069481</v>
      </c>
    </row>
    <row r="72" customFormat="false" ht="17.15" hidden="false" customHeight="false" outlineLevel="0" collapsed="false">
      <c r="A72" s="5" t="s">
        <v>407</v>
      </c>
    </row>
    <row r="73" customFormat="false" ht="15" hidden="false" customHeight="false" outlineLevel="0" collapsed="false">
      <c r="A73" s="3" t="s">
        <v>359</v>
      </c>
      <c r="B73" s="3" t="s">
        <v>98</v>
      </c>
      <c r="D73" s="14" t="n">
        <f aca="false">cap_26</f>
        <v>2.35</v>
      </c>
      <c r="E73" s="14" t="n">
        <f aca="false">cap_27</f>
        <v>3.1</v>
      </c>
      <c r="F73" s="14" t="n">
        <f aca="false">cap_28</f>
        <v>4.3</v>
      </c>
      <c r="G73" s="14" t="n">
        <f aca="false">cap_29</f>
        <v>5.3</v>
      </c>
    </row>
    <row r="74" customFormat="false" ht="17.15" hidden="false" customHeight="false" outlineLevel="0" collapsed="false">
      <c r="A74" s="3" t="s">
        <v>408</v>
      </c>
      <c r="B74" s="0" t="s">
        <v>362</v>
      </c>
      <c r="D74" s="17" t="n">
        <f aca="false">a26_rev/(D73*12)*1000</f>
        <v>2168.44192730496</v>
      </c>
      <c r="H74" s="7" t="s">
        <v>409</v>
      </c>
    </row>
    <row r="75" customFormat="false" ht="17.15" hidden="false" customHeight="false" outlineLevel="0" collapsed="false">
      <c r="A75" s="3" t="s">
        <v>410</v>
      </c>
      <c r="B75" s="0" t="s">
        <v>76</v>
      </c>
      <c r="D75" s="14" t="n">
        <f aca="false">1</f>
        <v>1</v>
      </c>
      <c r="E75" s="14" t="n">
        <f aca="false">mix_27</f>
        <v>1.2</v>
      </c>
      <c r="F75" s="14" t="n">
        <f aca="false">mix_28</f>
        <v>1.32</v>
      </c>
      <c r="G75" s="14" t="n">
        <f aca="false">mix_29</f>
        <v>1.42</v>
      </c>
    </row>
    <row r="76" customFormat="false" ht="17.15" hidden="false" customHeight="false" outlineLevel="0" collapsed="false">
      <c r="A76" s="3" t="s">
        <v>411</v>
      </c>
      <c r="B76" s="0" t="s">
        <v>162</v>
      </c>
      <c r="D76" s="21" t="n">
        <f aca="false">D73*12*$D$74*D75*D67/1000</f>
        <v>61.15006235</v>
      </c>
      <c r="E76" s="21" t="n">
        <f aca="false">E73*12*$D$74*E75*E67/1000</f>
        <v>101.639210016638</v>
      </c>
      <c r="F76" s="21" t="n">
        <f aca="false">F73*12*$D$74*F75*F67/1000</f>
        <v>147.696916552596</v>
      </c>
      <c r="G76" s="21" t="n">
        <f aca="false">G73*12*$D$74*G75*G67/1000</f>
        <v>186.044510971828</v>
      </c>
    </row>
    <row r="77" customFormat="false" ht="17.15" hidden="false" customHeight="false" outlineLevel="0" collapsed="false">
      <c r="A77" s="3" t="s">
        <v>412</v>
      </c>
      <c r="B77" s="0" t="s">
        <v>162</v>
      </c>
      <c r="C77" s="21" t="n">
        <f aca="false">a25_nai</f>
        <v>20.6313598</v>
      </c>
      <c r="D77" s="21" t="n">
        <f aca="false">a26_nai</f>
        <v>35.467036163</v>
      </c>
      <c r="E77" s="21" t="n">
        <f aca="false">D77*(1+g_nai27)</f>
        <v>39.0137397793</v>
      </c>
      <c r="F77" s="21" t="n">
        <f aca="false">E77*(1+g_nai28)</f>
        <v>41.744701563851</v>
      </c>
      <c r="G77" s="21" t="n">
        <f aca="false">F77*(1+g_nai29)</f>
        <v>43.8319366420436</v>
      </c>
    </row>
    <row r="78" customFormat="false" ht="17.15" hidden="false" customHeight="false" outlineLevel="0" collapsed="false">
      <c r="A78" s="3" t="s">
        <v>413</v>
      </c>
      <c r="B78" s="0" t="s">
        <v>162</v>
      </c>
      <c r="C78" s="21" t="n">
        <f aca="false">a25_ai</f>
        <v>9.7088752</v>
      </c>
      <c r="D78" s="21" t="n">
        <f aca="false">D71</f>
        <v>25.683026187</v>
      </c>
      <c r="E78" s="21" t="n">
        <f aca="false">MIN(E71,E76-E77)</f>
        <v>62.6254702373383</v>
      </c>
      <c r="F78" s="21" t="n">
        <f aca="false">MIN(F71,F76-F77)</f>
        <v>105.952214988745</v>
      </c>
      <c r="G78" s="21" t="n">
        <f aca="false">MIN(G71,G76-G77)</f>
        <v>136.499622069481</v>
      </c>
      <c r="H78" s="3" t="s">
        <v>414</v>
      </c>
    </row>
    <row r="79" customFormat="false" ht="15" hidden="false" customHeight="false" outlineLevel="0" collapsed="false">
      <c r="A79" s="3" t="s">
        <v>415</v>
      </c>
      <c r="E79" s="0" t="str">
        <f aca="false">IF(E71&gt;E76-E77+0.0001,"受限","未受限")</f>
        <v>受限</v>
      </c>
      <c r="F79" s="0" t="str">
        <f aca="false">IF(F71&gt;F76-F77+0.0001,"受限","未受限")</f>
        <v>受限</v>
      </c>
      <c r="G79" s="0" t="str">
        <f aca="false">IF(G71&gt;G76-G77+0.0001,"受限","未受限")</f>
        <v>未受限</v>
      </c>
    </row>
    <row r="80" customFormat="false" ht="17.15" hidden="false" customHeight="false" outlineLevel="0" collapsed="false">
      <c r="A80" s="3" t="s">
        <v>416</v>
      </c>
      <c r="B80" s="0" t="s">
        <v>162</v>
      </c>
      <c r="C80" s="21" t="n">
        <f aca="false">C78+C77</f>
        <v>30.340235</v>
      </c>
      <c r="D80" s="21" t="n">
        <f aca="false">D78+D77</f>
        <v>61.15006235</v>
      </c>
      <c r="E80" s="21" t="n">
        <f aca="false">E78+E77</f>
        <v>101.639210016638</v>
      </c>
      <c r="F80" s="21" t="n">
        <f aca="false">F78+F77</f>
        <v>147.696916552596</v>
      </c>
      <c r="G80" s="21" t="n">
        <f aca="false">G78+G77</f>
        <v>180.331558711525</v>
      </c>
      <c r="H80" s="3" t="s">
        <v>417</v>
      </c>
    </row>
    <row r="81" customFormat="false" ht="15" hidden="false" customHeight="false" outlineLevel="0" collapsed="false">
      <c r="A81" s="3" t="s">
        <v>418</v>
      </c>
      <c r="B81" s="0" t="s">
        <v>125</v>
      </c>
      <c r="D81" s="13" t="n">
        <f aca="false">D80/C80-1</f>
        <v>1.01547754491684</v>
      </c>
      <c r="E81" s="13" t="n">
        <f aca="false">E80/D80-1</f>
        <v>0.662127659574468</v>
      </c>
      <c r="F81" s="13" t="n">
        <f aca="false">F80/E80-1</f>
        <v>0.453149001536098</v>
      </c>
      <c r="G81" s="13" t="n">
        <f aca="false">G80/F80-1</f>
        <v>0.220956827811009</v>
      </c>
    </row>
    <row r="82" customFormat="false" ht="17.15" hidden="false" customHeight="false" outlineLevel="0" collapsed="false">
      <c r="A82" s="3" t="s">
        <v>419</v>
      </c>
      <c r="B82" s="0" t="s">
        <v>162</v>
      </c>
      <c r="C82" s="23" t="n">
        <f aca="false">C78+C77-C80</f>
        <v>0</v>
      </c>
      <c r="D82" s="23" t="n">
        <f aca="false">D78+D77-D80</f>
        <v>0</v>
      </c>
      <c r="E82" s="23" t="n">
        <f aca="false">E78+E77-E80</f>
        <v>0</v>
      </c>
      <c r="F82" s="23" t="n">
        <f aca="false">F78+F77-F80</f>
        <v>0</v>
      </c>
      <c r="G82" s="23" t="n">
        <f aca="false">G78+G77-G80</f>
        <v>0</v>
      </c>
      <c r="H82" s="3" t="s">
        <v>420</v>
      </c>
    </row>
    <row r="83" customFormat="false" ht="17.15" hidden="false" customHeight="false" outlineLevel="0" collapsed="false">
      <c r="A83" s="3" t="s">
        <v>421</v>
      </c>
      <c r="B83" s="0" t="s">
        <v>125</v>
      </c>
      <c r="C83" s="13" t="n">
        <f aca="false">C78/C80</f>
        <v>0.32</v>
      </c>
      <c r="D83" s="13" t="n">
        <f aca="false">D78/D80</f>
        <v>0.42</v>
      </c>
      <c r="E83" s="13" t="n">
        <f aca="false">E78/E80</f>
        <v>0.616154633896569</v>
      </c>
      <c r="F83" s="13" t="n">
        <f aca="false">F78/F80</f>
        <v>0.717362403100775</v>
      </c>
      <c r="G83" s="13" t="n">
        <f aca="false">G78/G80</f>
        <v>0.756936961255011</v>
      </c>
    </row>
    <row r="84" customFormat="false" ht="17.15" hidden="false" customHeight="false" outlineLevel="0" collapsed="false">
      <c r="A84" s="3" t="s">
        <v>422</v>
      </c>
      <c r="B84" s="0" t="s">
        <v>125</v>
      </c>
      <c r="D84" s="13" t="n">
        <f aca="false">(D71+D77)/D76</f>
        <v>1</v>
      </c>
      <c r="E84" s="13" t="n">
        <f aca="false">(E71+E77)/E76</f>
        <v>1.16672557612271</v>
      </c>
      <c r="F84" s="13" t="n">
        <f aca="false">(F71+F77)/F76</f>
        <v>1.06766320347601</v>
      </c>
      <c r="G84" s="13" t="n">
        <f aca="false">(G71+G77)/G76</f>
        <v>0.969292551387512</v>
      </c>
      <c r="H84" s="3" t="s">
        <v>423</v>
      </c>
    </row>
    <row r="85" customFormat="false" ht="17.15" hidden="false" customHeight="false" outlineLevel="0" collapsed="false">
      <c r="A85" s="3" t="s">
        <v>358</v>
      </c>
      <c r="B85" s="0" t="s">
        <v>56</v>
      </c>
      <c r="D85" s="17" t="n">
        <f aca="false">D78/fx/D63*1000</f>
        <v>34.2995903124658</v>
      </c>
      <c r="E85" s="17" t="n">
        <f aca="false">E78/fx/E63*1000</f>
        <v>46.9915467887797</v>
      </c>
      <c r="F85" s="17" t="n">
        <f aca="false">F78/fx/F63*1000</f>
        <v>62.7177991238699</v>
      </c>
      <c r="G85" s="17" t="n">
        <f aca="false">G78/fx/G63*1000</f>
        <v>70.9297152881268</v>
      </c>
    </row>
    <row r="86" customFormat="false" ht="17.15" hidden="false" customHeight="false" outlineLevel="0" collapsed="false">
      <c r="A86" s="5" t="s">
        <v>424</v>
      </c>
    </row>
    <row r="87" customFormat="false" ht="17.15" hidden="false" customHeight="false" outlineLevel="0" collapsed="false">
      <c r="A87" s="3" t="s">
        <v>425</v>
      </c>
      <c r="B87" s="0" t="s">
        <v>125</v>
      </c>
      <c r="D87" s="13" t="n">
        <f aca="false">a26_gp/D80-d_ai*D83</f>
        <v>0.29658591102058</v>
      </c>
      <c r="H87" s="7" t="s">
        <v>426</v>
      </c>
    </row>
    <row r="88" customFormat="false" ht="17.15" hidden="false" customHeight="false" outlineLevel="0" collapsed="false">
      <c r="A88" s="3" t="s">
        <v>427</v>
      </c>
      <c r="B88" s="0" t="s">
        <v>125</v>
      </c>
      <c r="D88" s="13" t="n">
        <f aca="false">D87+d_ai</f>
        <v>0.37658591102058</v>
      </c>
      <c r="E88" s="13" t="n">
        <f aca="false">1-(1-$D$88)/E67</f>
        <v>0.406272296210076</v>
      </c>
      <c r="F88" s="13" t="n">
        <f aca="false">1-(1-$D$88)/F67</f>
        <v>0.37658591102058</v>
      </c>
      <c r="G88" s="13" t="n">
        <f aca="false">1-(1-$D$88)/G67</f>
        <v>0.343774643179557</v>
      </c>
      <c r="H88" s="7" t="s">
        <v>428</v>
      </c>
    </row>
    <row r="89" customFormat="false" ht="15" hidden="false" customHeight="false" outlineLevel="0" collapsed="false">
      <c r="A89" s="3" t="s">
        <v>297</v>
      </c>
      <c r="B89" s="0" t="s">
        <v>162</v>
      </c>
      <c r="C89" s="21" t="n">
        <f aca="false">a25_gp</f>
        <v>6.897793</v>
      </c>
      <c r="D89" s="21" t="n">
        <f aca="false">a26_gp</f>
        <v>20.190889046</v>
      </c>
      <c r="E89" s="21" t="n">
        <f aca="false">E78*E88+E77*$D$87</f>
        <v>37.0139191493227</v>
      </c>
      <c r="F89" s="21" t="n">
        <f aca="false">F78*F88+F77*$D$87</f>
        <v>52.2810017497817</v>
      </c>
      <c r="G89" s="21" t="n">
        <f aca="false">G78*G88+G77*$D$87</f>
        <v>59.9250437318571</v>
      </c>
    </row>
    <row r="90" customFormat="false" ht="15" hidden="false" customHeight="false" outlineLevel="0" collapsed="false">
      <c r="A90" s="3" t="s">
        <v>300</v>
      </c>
      <c r="B90" s="0" t="s">
        <v>125</v>
      </c>
      <c r="C90" s="13" t="n">
        <f aca="false">C89/C80</f>
        <v>0.227348041305547</v>
      </c>
      <c r="D90" s="13" t="n">
        <f aca="false">D89/D80</f>
        <v>0.33018591102058</v>
      </c>
      <c r="E90" s="13" t="n">
        <f aca="false">E89/E80</f>
        <v>0.364169685530452</v>
      </c>
      <c r="F90" s="13" t="n">
        <f aca="false">F89/F80</f>
        <v>0.353974903268642</v>
      </c>
      <c r="G90" s="13" t="n">
        <f aca="false">G89/G80</f>
        <v>0.332304806546473</v>
      </c>
    </row>
    <row r="91" customFormat="false" ht="15" hidden="false" customHeight="false" outlineLevel="0" collapsed="false">
      <c r="A91" s="3" t="s">
        <v>302</v>
      </c>
      <c r="B91" s="0" t="s">
        <v>162</v>
      </c>
      <c r="C91" s="21" t="n">
        <f aca="false">a25_opx</f>
        <v>2.554134</v>
      </c>
      <c r="D91" s="21" t="n">
        <f aca="false">a26_opx</f>
        <v>3.783534841</v>
      </c>
      <c r="E91" s="21" t="n">
        <f aca="false">D91*(1+MAX(0,phi*E81))</f>
        <v>5.28664468251387</v>
      </c>
      <c r="F91" s="21" t="n">
        <f aca="false">E91*(1+MAX(0,phi*F81))</f>
        <v>6.72402733812824</v>
      </c>
      <c r="G91" s="21" t="n">
        <f aca="false">F91*(1+MAX(0,phi*G81))</f>
        <v>7.61545918857663</v>
      </c>
    </row>
    <row r="92" customFormat="false" ht="15" hidden="false" customHeight="false" outlineLevel="0" collapsed="false">
      <c r="A92" s="3" t="s">
        <v>305</v>
      </c>
      <c r="B92" s="0" t="s">
        <v>162</v>
      </c>
      <c r="C92" s="21" t="n">
        <f aca="false">C89-C91</f>
        <v>4.343659</v>
      </c>
      <c r="D92" s="21" t="n">
        <f aca="false">D89-D91</f>
        <v>16.407354205</v>
      </c>
      <c r="E92" s="21" t="n">
        <f aca="false">E89-E91</f>
        <v>31.7272744668088</v>
      </c>
      <c r="F92" s="21" t="n">
        <f aca="false">F89-F91</f>
        <v>45.5569744116535</v>
      </c>
      <c r="G92" s="21" t="n">
        <f aca="false">G89-G91</f>
        <v>52.3095845432805</v>
      </c>
    </row>
    <row r="93" customFormat="false" ht="15" hidden="false" customHeight="false" outlineLevel="0" collapsed="false">
      <c r="A93" s="3" t="s">
        <v>308</v>
      </c>
      <c r="B93" s="0" t="s">
        <v>125</v>
      </c>
      <c r="C93" s="13" t="n">
        <f aca="false">C92/C80</f>
        <v>0.143164975485523</v>
      </c>
      <c r="D93" s="13" t="n">
        <f aca="false">D92/D80</f>
        <v>0.268312959536991</v>
      </c>
      <c r="E93" s="13" t="n">
        <f aca="false">E92/E80</f>
        <v>0.312155854631447</v>
      </c>
      <c r="F93" s="13" t="n">
        <f aca="false">F92/F80</f>
        <v>0.308449055505031</v>
      </c>
      <c r="G93" s="13" t="n">
        <f aca="false">G92/G80</f>
        <v>0.290074487887945</v>
      </c>
    </row>
    <row r="94" customFormat="false" ht="17.15" hidden="false" customHeight="false" outlineLevel="0" collapsed="false">
      <c r="A94" s="3" t="s">
        <v>310</v>
      </c>
      <c r="B94" s="0" t="s">
        <v>162</v>
      </c>
      <c r="E94" s="18" t="n">
        <f aca="false">nop_f</f>
        <v>0.15</v>
      </c>
      <c r="F94" s="18" t="n">
        <f aca="false">nop_f</f>
        <v>0.15</v>
      </c>
      <c r="G94" s="18" t="n">
        <f aca="false">nop_f</f>
        <v>0.15</v>
      </c>
      <c r="H94" s="7" t="s">
        <v>429</v>
      </c>
    </row>
    <row r="95" customFormat="false" ht="15" hidden="false" customHeight="false" outlineLevel="0" collapsed="false">
      <c r="A95" s="3" t="s">
        <v>313</v>
      </c>
      <c r="B95" s="0" t="s">
        <v>162</v>
      </c>
      <c r="C95" s="21" t="n">
        <f aca="false">a25_ni</f>
        <v>3.409149</v>
      </c>
      <c r="D95" s="21" t="n">
        <f aca="false">a26_ni</f>
        <v>11.38050420145</v>
      </c>
      <c r="E95" s="21" t="n">
        <f aca="false">(E92+E94)*nir_f</f>
        <v>22.3140921267662</v>
      </c>
      <c r="F95" s="21" t="n">
        <f aca="false">(F92+F94)*nir_f</f>
        <v>31.9948820881574</v>
      </c>
      <c r="G95" s="21" t="n">
        <f aca="false">(G92+G94)*nir_f</f>
        <v>36.7217091802963</v>
      </c>
    </row>
    <row r="96" customFormat="false" ht="15" hidden="false" customHeight="false" outlineLevel="0" collapsed="false">
      <c r="A96" s="3" t="s">
        <v>430</v>
      </c>
      <c r="B96" s="0" t="s">
        <v>125</v>
      </c>
      <c r="C96" s="13" t="n">
        <f aca="false">C95/C80</f>
        <v>0.112363961584345</v>
      </c>
      <c r="D96" s="13" t="n">
        <f aca="false">D95/D80</f>
        <v>0.186107810263745</v>
      </c>
      <c r="E96" s="13" t="n">
        <f aca="false">E95/E80</f>
        <v>0.219542164122619</v>
      </c>
      <c r="F96" s="13" t="n">
        <f aca="false">F95/F80</f>
        <v>0.216625254168823</v>
      </c>
      <c r="G96" s="13" t="n">
        <f aca="false">G95/G80</f>
        <v>0.203634402334645</v>
      </c>
    </row>
    <row r="97" customFormat="false" ht="15" hidden="false" customHeight="false" outlineLevel="0" collapsed="false">
      <c r="A97" s="3" t="s">
        <v>431</v>
      </c>
      <c r="B97" s="3" t="s">
        <v>170</v>
      </c>
      <c r="C97" s="22" t="n">
        <f aca="false">a25_sh</f>
        <v>0.281051030502885</v>
      </c>
      <c r="D97" s="22" t="n">
        <f aca="false">a26_sh</f>
        <v>0.299427872670807</v>
      </c>
      <c r="E97" s="22" t="n">
        <f aca="false">D97*(1+sh_g)</f>
        <v>0.302422151397516</v>
      </c>
      <c r="F97" s="22" t="n">
        <f aca="false">E97*(1+sh_g)</f>
        <v>0.305446372911491</v>
      </c>
      <c r="G97" s="22" t="n">
        <f aca="false">F97*(1+sh_g)</f>
        <v>0.308500836640606</v>
      </c>
    </row>
    <row r="98" customFormat="false" ht="15" hidden="false" customHeight="false" outlineLevel="0" collapsed="false">
      <c r="A98" s="0" t="s">
        <v>319</v>
      </c>
      <c r="B98" s="0" t="s">
        <v>194</v>
      </c>
      <c r="C98" s="18" t="n">
        <f aca="false">C95/C97</f>
        <v>12.13</v>
      </c>
      <c r="D98" s="18" t="n">
        <f aca="false">D95/D97</f>
        <v>38.0074977654528</v>
      </c>
      <c r="E98" s="18" t="n">
        <f aca="false">E95/E97</f>
        <v>73.78458232524</v>
      </c>
      <c r="F98" s="18" t="n">
        <f aca="false">F95/F97</f>
        <v>104.747952261422</v>
      </c>
      <c r="G98" s="18" t="n">
        <f aca="false">G95/G97</f>
        <v>119.032770154449</v>
      </c>
    </row>
    <row r="99" customFormat="false" ht="17.15" hidden="false" customHeight="false" outlineLevel="0" collapsed="false">
      <c r="A99" s="0" t="s">
        <v>432</v>
      </c>
      <c r="B99" s="0" t="s">
        <v>125</v>
      </c>
      <c r="D99" s="13" t="n">
        <f aca="false">D98/C98-1</f>
        <v>2.13334688915522</v>
      </c>
      <c r="E99" s="13" t="n">
        <f aca="false">E98/D98-1</f>
        <v>0.941316494460392</v>
      </c>
      <c r="F99" s="13" t="n">
        <f aca="false">F98/E98-1</f>
        <v>0.41964552702483</v>
      </c>
      <c r="G99" s="13" t="n">
        <f aca="false">G98/F98-1</f>
        <v>0.136373242479962</v>
      </c>
    </row>
    <row r="102" customFormat="false" ht="17.15" hidden="false" customHeight="false" outlineLevel="0" collapsed="false">
      <c r="A102" s="1" t="s">
        <v>433</v>
      </c>
    </row>
    <row r="103" customFormat="false" ht="17.15" hidden="false" customHeight="false" outlineLevel="0" collapsed="false">
      <c r="A103" s="4" t="s">
        <v>16</v>
      </c>
      <c r="B103" s="4" t="s">
        <v>17</v>
      </c>
      <c r="C103" s="10" t="s">
        <v>288</v>
      </c>
      <c r="D103" s="10" t="s">
        <v>378</v>
      </c>
      <c r="E103" s="10" t="s">
        <v>379</v>
      </c>
      <c r="F103" s="10" t="s">
        <v>380</v>
      </c>
      <c r="G103" s="10" t="s">
        <v>381</v>
      </c>
      <c r="H103" s="4" t="s">
        <v>273</v>
      </c>
    </row>
    <row r="104" customFormat="false" ht="17.15" hidden="false" customHeight="false" outlineLevel="0" collapsed="false">
      <c r="A104" s="5" t="s">
        <v>396</v>
      </c>
    </row>
    <row r="105" customFormat="false" ht="17.15" hidden="false" customHeight="false" outlineLevel="0" collapsed="false">
      <c r="A105" s="3" t="s">
        <v>397</v>
      </c>
      <c r="B105" s="0" t="s">
        <v>27</v>
      </c>
      <c r="D105" s="16" t="n">
        <f aca="false">gw_26</f>
        <v>23.3995380420639</v>
      </c>
      <c r="E105" s="16" t="n">
        <f aca="false">gw_27</f>
        <v>41.6467658260637</v>
      </c>
      <c r="F105" s="16" t="n">
        <f aca="false">gw28_B</f>
        <v>42.2337105529984</v>
      </c>
      <c r="G105" s="16" t="n">
        <f aca="false">gw29_B</f>
        <v>51.1178029756948</v>
      </c>
      <c r="H105" s="7" t="s">
        <v>434</v>
      </c>
    </row>
    <row r="106" customFormat="false" ht="17.15" hidden="false" customHeight="false" outlineLevel="0" collapsed="false">
      <c r="A106" s="3" t="s">
        <v>346</v>
      </c>
      <c r="B106" s="0" t="s">
        <v>56</v>
      </c>
      <c r="D106" s="17" t="n">
        <f aca="false">pgw_26</f>
        <v>350</v>
      </c>
      <c r="E106" s="17" t="n">
        <f aca="false">pgw_27</f>
        <v>527.5</v>
      </c>
      <c r="F106" s="17" t="n">
        <f aca="false">pgw_28</f>
        <v>609</v>
      </c>
      <c r="G106" s="17" t="n">
        <f aca="false">pgw_29</f>
        <v>662.5</v>
      </c>
      <c r="H106" s="7" t="s">
        <v>347</v>
      </c>
    </row>
    <row r="107" customFormat="false" ht="17.15" hidden="false" customHeight="false" outlineLevel="0" collapsed="false">
      <c r="A107" s="0" t="s">
        <v>398</v>
      </c>
      <c r="B107" s="0" t="s">
        <v>349</v>
      </c>
      <c r="D107" s="18" t="n">
        <f aca="false">D105*D106/1000</f>
        <v>8.18983831472237</v>
      </c>
      <c r="E107" s="18" t="n">
        <f aca="false">E105*E106/1000*mf</f>
        <v>21.9686689732486</v>
      </c>
      <c r="F107" s="18" t="n">
        <f aca="false">F105*F106/1000*mf</f>
        <v>25.720329726776</v>
      </c>
      <c r="G107" s="18" t="n">
        <f aca="false">G105*G106/1000*mf</f>
        <v>33.8655444713978</v>
      </c>
      <c r="H107" s="3" t="s">
        <v>435</v>
      </c>
    </row>
    <row r="108" customFormat="false" ht="17.15" hidden="false" customHeight="false" outlineLevel="0" collapsed="false">
      <c r="A108" s="0" t="s">
        <v>400</v>
      </c>
      <c r="B108" s="0" t="s">
        <v>162</v>
      </c>
      <c r="D108" s="21" t="n">
        <f aca="false">D107*fx</f>
        <v>262.074826071116</v>
      </c>
      <c r="E108" s="21" t="n">
        <f aca="false">E107*fx</f>
        <v>702.997407143955</v>
      </c>
      <c r="F108" s="21" t="n">
        <f aca="false">F107*fx</f>
        <v>823.050551256833</v>
      </c>
      <c r="G108" s="21" t="n">
        <f aca="false">G107*fx</f>
        <v>1083.69742308473</v>
      </c>
    </row>
    <row r="109" customFormat="false" ht="17.15" hidden="false" customHeight="false" outlineLevel="0" collapsed="false">
      <c r="A109" s="3" t="s">
        <v>401</v>
      </c>
      <c r="B109" s="0" t="s">
        <v>76</v>
      </c>
      <c r="D109" s="14" t="n">
        <f aca="false">1</f>
        <v>1</v>
      </c>
      <c r="E109" s="14" t="n">
        <f aca="false">pp_27</f>
        <v>1.05</v>
      </c>
      <c r="F109" s="14" t="n">
        <f aca="false">pp_28</f>
        <v>1</v>
      </c>
      <c r="G109" s="14" t="n">
        <f aca="false">pp_29</f>
        <v>0.95</v>
      </c>
    </row>
    <row r="110" customFormat="false" ht="17.15" hidden="false" customHeight="false" outlineLevel="0" collapsed="false">
      <c r="A110" s="3" t="s">
        <v>402</v>
      </c>
      <c r="B110" s="0" t="s">
        <v>125</v>
      </c>
      <c r="D110" s="13" t="n">
        <f aca="false">a26_ai/D108</f>
        <v>0.097998829464188</v>
      </c>
      <c r="H110" s="7" t="s">
        <v>403</v>
      </c>
    </row>
    <row r="111" customFormat="false" ht="17.15" hidden="false" customHeight="false" outlineLevel="0" collapsed="false">
      <c r="A111" s="3" t="s">
        <v>404</v>
      </c>
      <c r="B111" s="0" t="s">
        <v>76</v>
      </c>
      <c r="D111" s="14" t="n">
        <f aca="false">1</f>
        <v>1</v>
      </c>
      <c r="E111" s="14" t="n">
        <f aca="false">rel_27</f>
        <v>1.1</v>
      </c>
      <c r="F111" s="14" t="n">
        <f aca="false">rel_28</f>
        <v>1.15</v>
      </c>
      <c r="G111" s="14" t="n">
        <f aca="false">rel_29</f>
        <v>1.15</v>
      </c>
    </row>
    <row r="112" customFormat="false" ht="15" hidden="false" customHeight="false" outlineLevel="0" collapsed="false">
      <c r="A112" s="3" t="s">
        <v>405</v>
      </c>
      <c r="B112" s="0" t="s">
        <v>125</v>
      </c>
      <c r="D112" s="13" t="n">
        <f aca="false">$D$110*D111</f>
        <v>0.097998829464188</v>
      </c>
      <c r="E112" s="13" t="n">
        <f aca="false">$D$110*E111</f>
        <v>0.107798712410607</v>
      </c>
      <c r="F112" s="13" t="n">
        <f aca="false">$D$110*F111</f>
        <v>0.112698653883816</v>
      </c>
      <c r="G112" s="13" t="n">
        <f aca="false">$D$110*G111</f>
        <v>0.112698653883816</v>
      </c>
    </row>
    <row r="113" customFormat="false" ht="17.15" hidden="false" customHeight="false" outlineLevel="0" collapsed="false">
      <c r="A113" s="3" t="s">
        <v>406</v>
      </c>
      <c r="B113" s="0" t="s">
        <v>162</v>
      </c>
      <c r="D113" s="21" t="n">
        <f aca="false">D108*D112*D109</f>
        <v>25.683026187</v>
      </c>
      <c r="E113" s="21" t="n">
        <f aca="false">E108*E112*E109</f>
        <v>79.5713260840192</v>
      </c>
      <c r="F113" s="21" t="n">
        <f aca="false">F108*F112*F109</f>
        <v>92.7566892049779</v>
      </c>
      <c r="G113" s="21" t="n">
        <f aca="false">G108*G112*G109</f>
        <v>116.024678759059</v>
      </c>
    </row>
    <row r="114" customFormat="false" ht="17.15" hidden="false" customHeight="false" outlineLevel="0" collapsed="false">
      <c r="A114" s="5" t="s">
        <v>407</v>
      </c>
    </row>
    <row r="115" customFormat="false" ht="15" hidden="false" customHeight="false" outlineLevel="0" collapsed="false">
      <c r="A115" s="3" t="s">
        <v>359</v>
      </c>
      <c r="B115" s="3" t="s">
        <v>98</v>
      </c>
      <c r="D115" s="14" t="n">
        <f aca="false">cap_26</f>
        <v>2.35</v>
      </c>
      <c r="E115" s="14" t="n">
        <f aca="false">cap_27</f>
        <v>3.1</v>
      </c>
      <c r="F115" s="14" t="n">
        <f aca="false">cap_28</f>
        <v>4.3</v>
      </c>
      <c r="G115" s="14" t="n">
        <f aca="false">cap_29</f>
        <v>5.3</v>
      </c>
    </row>
    <row r="116" customFormat="false" ht="17.15" hidden="false" customHeight="false" outlineLevel="0" collapsed="false">
      <c r="A116" s="3" t="s">
        <v>408</v>
      </c>
      <c r="B116" s="0" t="s">
        <v>362</v>
      </c>
      <c r="D116" s="17" t="n">
        <f aca="false">a26_rev/(D115*12)*1000</f>
        <v>2168.44192730496</v>
      </c>
      <c r="H116" s="7" t="s">
        <v>409</v>
      </c>
    </row>
    <row r="117" customFormat="false" ht="17.15" hidden="false" customHeight="false" outlineLevel="0" collapsed="false">
      <c r="A117" s="3" t="s">
        <v>410</v>
      </c>
      <c r="B117" s="0" t="s">
        <v>76</v>
      </c>
      <c r="D117" s="14" t="n">
        <f aca="false">1</f>
        <v>1</v>
      </c>
      <c r="E117" s="14" t="n">
        <f aca="false">mix_27</f>
        <v>1.2</v>
      </c>
      <c r="F117" s="14" t="n">
        <f aca="false">mix_28</f>
        <v>1.32</v>
      </c>
      <c r="G117" s="14" t="n">
        <f aca="false">mix_29</f>
        <v>1.42</v>
      </c>
    </row>
    <row r="118" customFormat="false" ht="17.15" hidden="false" customHeight="false" outlineLevel="0" collapsed="false">
      <c r="A118" s="3" t="s">
        <v>411</v>
      </c>
      <c r="B118" s="0" t="s">
        <v>162</v>
      </c>
      <c r="D118" s="21" t="n">
        <f aca="false">D115*12*$D$116*D117*D109/1000</f>
        <v>61.15006235</v>
      </c>
      <c r="E118" s="21" t="n">
        <f aca="false">E115*12*$D$116*E117*E109/1000</f>
        <v>101.639210016638</v>
      </c>
      <c r="F118" s="21" t="n">
        <f aca="false">F115*12*$D$116*F117*F109/1000</f>
        <v>147.696916552596</v>
      </c>
      <c r="G118" s="21" t="n">
        <f aca="false">G115*12*$D$116*G117*G109/1000</f>
        <v>186.044510971828</v>
      </c>
    </row>
    <row r="119" customFormat="false" ht="17.15" hidden="false" customHeight="false" outlineLevel="0" collapsed="false">
      <c r="A119" s="3" t="s">
        <v>412</v>
      </c>
      <c r="B119" s="0" t="s">
        <v>162</v>
      </c>
      <c r="C119" s="21" t="n">
        <f aca="false">a25_nai</f>
        <v>20.6313598</v>
      </c>
      <c r="D119" s="21" t="n">
        <f aca="false">a26_nai</f>
        <v>35.467036163</v>
      </c>
      <c r="E119" s="21" t="n">
        <f aca="false">D119*(1+g_nai27)</f>
        <v>39.0137397793</v>
      </c>
      <c r="F119" s="21" t="n">
        <f aca="false">E119*(1+g_nai28)</f>
        <v>41.744701563851</v>
      </c>
      <c r="G119" s="21" t="n">
        <f aca="false">F119*(1+g_nai29)</f>
        <v>43.8319366420436</v>
      </c>
    </row>
    <row r="120" customFormat="false" ht="17.15" hidden="false" customHeight="false" outlineLevel="0" collapsed="false">
      <c r="A120" s="3" t="s">
        <v>413</v>
      </c>
      <c r="B120" s="0" t="s">
        <v>162</v>
      </c>
      <c r="C120" s="21" t="n">
        <f aca="false">a25_ai</f>
        <v>9.7088752</v>
      </c>
      <c r="D120" s="21" t="n">
        <f aca="false">D113</f>
        <v>25.683026187</v>
      </c>
      <c r="E120" s="21" t="n">
        <f aca="false">MIN(E113,E118-E119)</f>
        <v>62.6254702373383</v>
      </c>
      <c r="F120" s="21" t="n">
        <f aca="false">MIN(F113,F118-F119)</f>
        <v>92.7566892049779</v>
      </c>
      <c r="G120" s="21" t="n">
        <f aca="false">MIN(G113,G118-G119)</f>
        <v>116.024678759059</v>
      </c>
      <c r="H120" s="3" t="s">
        <v>414</v>
      </c>
    </row>
    <row r="121" customFormat="false" ht="15" hidden="false" customHeight="false" outlineLevel="0" collapsed="false">
      <c r="A121" s="3" t="s">
        <v>415</v>
      </c>
      <c r="E121" s="0" t="str">
        <f aca="false">IF(E113&gt;E118-E119+0.0001,"受限","未受限")</f>
        <v>受限</v>
      </c>
      <c r="F121" s="0" t="str">
        <f aca="false">IF(F113&gt;F118-F119+0.0001,"受限","未受限")</f>
        <v>未受限</v>
      </c>
      <c r="G121" s="0" t="str">
        <f aca="false">IF(G113&gt;G118-G119+0.0001,"受限","未受限")</f>
        <v>未受限</v>
      </c>
    </row>
    <row r="122" customFormat="false" ht="17.15" hidden="false" customHeight="false" outlineLevel="0" collapsed="false">
      <c r="A122" s="3" t="s">
        <v>416</v>
      </c>
      <c r="B122" s="0" t="s">
        <v>162</v>
      </c>
      <c r="C122" s="21" t="n">
        <f aca="false">C120+C119</f>
        <v>30.340235</v>
      </c>
      <c r="D122" s="21" t="n">
        <f aca="false">D120+D119</f>
        <v>61.15006235</v>
      </c>
      <c r="E122" s="21" t="n">
        <f aca="false">E120+E119</f>
        <v>101.639210016638</v>
      </c>
      <c r="F122" s="21" t="n">
        <f aca="false">F120+F119</f>
        <v>134.501390768829</v>
      </c>
      <c r="G122" s="21" t="n">
        <f aca="false">G120+G119</f>
        <v>159.856615401103</v>
      </c>
      <c r="H122" s="3" t="s">
        <v>417</v>
      </c>
    </row>
    <row r="123" customFormat="false" ht="15" hidden="false" customHeight="false" outlineLevel="0" collapsed="false">
      <c r="A123" s="3" t="s">
        <v>418</v>
      </c>
      <c r="B123" s="0" t="s">
        <v>125</v>
      </c>
      <c r="D123" s="13" t="n">
        <f aca="false">D122/C122-1</f>
        <v>1.01547754491684</v>
      </c>
      <c r="E123" s="13" t="n">
        <f aca="false">E122/D122-1</f>
        <v>0.662127659574468</v>
      </c>
      <c r="F123" s="13" t="n">
        <f aca="false">F122/E122-1</f>
        <v>0.323321882832532</v>
      </c>
      <c r="G123" s="13" t="n">
        <f aca="false">G122/F122-1</f>
        <v>0.188512732004774</v>
      </c>
    </row>
    <row r="124" customFormat="false" ht="17.15" hidden="false" customHeight="false" outlineLevel="0" collapsed="false">
      <c r="A124" s="3" t="s">
        <v>419</v>
      </c>
      <c r="B124" s="0" t="s">
        <v>162</v>
      </c>
      <c r="C124" s="23" t="n">
        <f aca="false">C120+C119-C122</f>
        <v>0</v>
      </c>
      <c r="D124" s="23" t="n">
        <f aca="false">D120+D119-D122</f>
        <v>0</v>
      </c>
      <c r="E124" s="23" t="n">
        <f aca="false">E120+E119-E122</f>
        <v>0</v>
      </c>
      <c r="F124" s="23" t="n">
        <f aca="false">F120+F119-F122</f>
        <v>0</v>
      </c>
      <c r="G124" s="23" t="n">
        <f aca="false">G120+G119-G122</f>
        <v>0</v>
      </c>
      <c r="H124" s="3" t="s">
        <v>420</v>
      </c>
    </row>
    <row r="125" customFormat="false" ht="17.15" hidden="false" customHeight="false" outlineLevel="0" collapsed="false">
      <c r="A125" s="3" t="s">
        <v>421</v>
      </c>
      <c r="B125" s="0" t="s">
        <v>125</v>
      </c>
      <c r="C125" s="13" t="n">
        <f aca="false">C120/C122</f>
        <v>0.32</v>
      </c>
      <c r="D125" s="13" t="n">
        <f aca="false">D120/D122</f>
        <v>0.42</v>
      </c>
      <c r="E125" s="13" t="n">
        <f aca="false">E120/E122</f>
        <v>0.616154633896569</v>
      </c>
      <c r="F125" s="13" t="n">
        <f aca="false">F120/F122</f>
        <v>0.68963368092157</v>
      </c>
      <c r="G125" s="13" t="n">
        <f aca="false">G120/G122</f>
        <v>0.725804674820225</v>
      </c>
    </row>
    <row r="126" customFormat="false" ht="17.15" hidden="false" customHeight="false" outlineLevel="0" collapsed="false">
      <c r="A126" s="3" t="s">
        <v>422</v>
      </c>
      <c r="B126" s="0" t="s">
        <v>125</v>
      </c>
      <c r="D126" s="13" t="n">
        <f aca="false">(D113+D119)/D118</f>
        <v>1</v>
      </c>
      <c r="E126" s="13" t="n">
        <f aca="false">(E113+E119)/E118</f>
        <v>1.16672557612271</v>
      </c>
      <c r="F126" s="13" t="n">
        <f aca="false">(F113+F119)/F118</f>
        <v>0.910658082160654</v>
      </c>
      <c r="G126" s="13" t="n">
        <f aca="false">(G113+G119)/G118</f>
        <v>0.859238547625355</v>
      </c>
      <c r="H126" s="3" t="s">
        <v>423</v>
      </c>
    </row>
    <row r="127" customFormat="false" ht="17.15" hidden="false" customHeight="false" outlineLevel="0" collapsed="false">
      <c r="A127" s="3" t="s">
        <v>358</v>
      </c>
      <c r="B127" s="0" t="s">
        <v>56</v>
      </c>
      <c r="D127" s="17" t="n">
        <f aca="false">D120/fx/D105*1000</f>
        <v>34.2995903124658</v>
      </c>
      <c r="E127" s="17" t="n">
        <f aca="false">E120/fx/E105*1000</f>
        <v>46.9915467887797</v>
      </c>
      <c r="F127" s="17" t="n">
        <f aca="false">F120/fx/F105*1000</f>
        <v>68.6334802152441</v>
      </c>
      <c r="G127" s="17" t="n">
        <f aca="false">G120/fx/G105*1000</f>
        <v>70.9297152881268</v>
      </c>
    </row>
    <row r="128" customFormat="false" ht="17.15" hidden="false" customHeight="false" outlineLevel="0" collapsed="false">
      <c r="A128" s="5" t="s">
        <v>424</v>
      </c>
    </row>
    <row r="129" customFormat="false" ht="17.15" hidden="false" customHeight="false" outlineLevel="0" collapsed="false">
      <c r="A129" s="3" t="s">
        <v>425</v>
      </c>
      <c r="B129" s="0" t="s">
        <v>125</v>
      </c>
      <c r="D129" s="13" t="n">
        <f aca="false">a26_gp/D122-d_ai*D125</f>
        <v>0.29658591102058</v>
      </c>
      <c r="H129" s="7" t="s">
        <v>426</v>
      </c>
    </row>
    <row r="130" customFormat="false" ht="17.15" hidden="false" customHeight="false" outlineLevel="0" collapsed="false">
      <c r="A130" s="3" t="s">
        <v>427</v>
      </c>
      <c r="B130" s="0" t="s">
        <v>125</v>
      </c>
      <c r="D130" s="13" t="n">
        <f aca="false">D129+d_ai</f>
        <v>0.37658591102058</v>
      </c>
      <c r="E130" s="13" t="n">
        <f aca="false">1-(1-$D$130)/E109</f>
        <v>0.406272296210076</v>
      </c>
      <c r="F130" s="13" t="n">
        <f aca="false">1-(1-$D$130)/F109</f>
        <v>0.37658591102058</v>
      </c>
      <c r="G130" s="13" t="n">
        <f aca="false">1-(1-$D$130)/G109</f>
        <v>0.343774643179557</v>
      </c>
      <c r="H130" s="7" t="s">
        <v>428</v>
      </c>
    </row>
    <row r="131" customFormat="false" ht="15" hidden="false" customHeight="false" outlineLevel="0" collapsed="false">
      <c r="A131" s="3" t="s">
        <v>297</v>
      </c>
      <c r="B131" s="0" t="s">
        <v>162</v>
      </c>
      <c r="C131" s="21" t="n">
        <f aca="false">a25_gp</f>
        <v>6.897793</v>
      </c>
      <c r="D131" s="21" t="n">
        <f aca="false">a26_gp</f>
        <v>20.190889046</v>
      </c>
      <c r="E131" s="21" t="n">
        <f aca="false">E120*E130+E119*$D$129</f>
        <v>37.0139191493227</v>
      </c>
      <c r="F131" s="21" t="n">
        <f aca="false">F120*F130+F119*$D$129</f>
        <v>47.3117526511063</v>
      </c>
      <c r="G131" s="21" t="n">
        <f aca="false">G120*G130+G119*$D$129</f>
        <v>52.8862774011951</v>
      </c>
    </row>
    <row r="132" customFormat="false" ht="15" hidden="false" customHeight="false" outlineLevel="0" collapsed="false">
      <c r="A132" s="3" t="s">
        <v>300</v>
      </c>
      <c r="B132" s="0" t="s">
        <v>125</v>
      </c>
      <c r="C132" s="13" t="n">
        <f aca="false">C131/C122</f>
        <v>0.227348041305547</v>
      </c>
      <c r="D132" s="13" t="n">
        <f aca="false">D131/D122</f>
        <v>0.33018591102058</v>
      </c>
      <c r="E132" s="13" t="n">
        <f aca="false">E131/E122</f>
        <v>0.364169685530452</v>
      </c>
      <c r="F132" s="13" t="n">
        <f aca="false">F131/F122</f>
        <v>0.351756605494305</v>
      </c>
      <c r="G132" s="13" t="n">
        <f aca="false">G131/G122</f>
        <v>0.330835713420405</v>
      </c>
    </row>
    <row r="133" customFormat="false" ht="15" hidden="false" customHeight="false" outlineLevel="0" collapsed="false">
      <c r="A133" s="3" t="s">
        <v>302</v>
      </c>
      <c r="B133" s="0" t="s">
        <v>162</v>
      </c>
      <c r="C133" s="21" t="n">
        <f aca="false">a25_opx</f>
        <v>2.554134</v>
      </c>
      <c r="D133" s="21" t="n">
        <f aca="false">a26_opx</f>
        <v>3.783534841</v>
      </c>
      <c r="E133" s="21" t="n">
        <f aca="false">D133*(1+MAX(0,phi*E123))</f>
        <v>5.28664468251387</v>
      </c>
      <c r="F133" s="21" t="n">
        <f aca="false">E133*(1+MAX(0,phi*F123))</f>
        <v>6.31221743008406</v>
      </c>
      <c r="G133" s="21" t="n">
        <f aca="false">F133*(1+MAX(0,phi*G123))</f>
        <v>7.02617744173604</v>
      </c>
    </row>
    <row r="134" customFormat="false" ht="15" hidden="false" customHeight="false" outlineLevel="0" collapsed="false">
      <c r="A134" s="3" t="s">
        <v>305</v>
      </c>
      <c r="B134" s="0" t="s">
        <v>162</v>
      </c>
      <c r="C134" s="21" t="n">
        <f aca="false">C131-C133</f>
        <v>4.343659</v>
      </c>
      <c r="D134" s="21" t="n">
        <f aca="false">D131-D133</f>
        <v>16.407354205</v>
      </c>
      <c r="E134" s="21" t="n">
        <f aca="false">E131-E133</f>
        <v>31.7272744668088</v>
      </c>
      <c r="F134" s="21" t="n">
        <f aca="false">F131-F133</f>
        <v>40.9995352210223</v>
      </c>
      <c r="G134" s="21" t="n">
        <f aca="false">G131-G133</f>
        <v>45.8600999594591</v>
      </c>
    </row>
    <row r="135" customFormat="false" ht="15" hidden="false" customHeight="false" outlineLevel="0" collapsed="false">
      <c r="A135" s="3" t="s">
        <v>308</v>
      </c>
      <c r="B135" s="0" t="s">
        <v>125</v>
      </c>
      <c r="C135" s="13" t="n">
        <f aca="false">C134/C122</f>
        <v>0.143164975485523</v>
      </c>
      <c r="D135" s="13" t="n">
        <f aca="false">D134/D122</f>
        <v>0.268312959536991</v>
      </c>
      <c r="E135" s="13" t="n">
        <f aca="false">E134/E122</f>
        <v>0.312155854631447</v>
      </c>
      <c r="F135" s="13" t="n">
        <f aca="false">F134/F122</f>
        <v>0.304826106158926</v>
      </c>
      <c r="G135" s="13" t="n">
        <f aca="false">G134/G122</f>
        <v>0.286882715766186</v>
      </c>
    </row>
    <row r="136" customFormat="false" ht="17.15" hidden="false" customHeight="false" outlineLevel="0" collapsed="false">
      <c r="A136" s="3" t="s">
        <v>310</v>
      </c>
      <c r="B136" s="0" t="s">
        <v>162</v>
      </c>
      <c r="E136" s="18" t="n">
        <f aca="false">nop_f</f>
        <v>0.15</v>
      </c>
      <c r="F136" s="18" t="n">
        <f aca="false">nop_f</f>
        <v>0.15</v>
      </c>
      <c r="G136" s="18" t="n">
        <f aca="false">nop_f</f>
        <v>0.15</v>
      </c>
      <c r="H136" s="7" t="s">
        <v>429</v>
      </c>
    </row>
    <row r="137" customFormat="false" ht="15" hidden="false" customHeight="false" outlineLevel="0" collapsed="false">
      <c r="A137" s="3" t="s">
        <v>313</v>
      </c>
      <c r="B137" s="0" t="s">
        <v>162</v>
      </c>
      <c r="C137" s="21" t="n">
        <f aca="false">a25_ni</f>
        <v>3.409149</v>
      </c>
      <c r="D137" s="21" t="n">
        <f aca="false">a26_ni</f>
        <v>11.38050420145</v>
      </c>
      <c r="E137" s="21" t="n">
        <f aca="false">(E134+E136)*nir_f</f>
        <v>22.3140921267662</v>
      </c>
      <c r="F137" s="21" t="n">
        <f aca="false">(F134+F136)*nir_f</f>
        <v>28.8046746547156</v>
      </c>
      <c r="G137" s="21" t="n">
        <f aca="false">(G134+G136)*nir_f</f>
        <v>32.2070699716213</v>
      </c>
    </row>
    <row r="138" customFormat="false" ht="15" hidden="false" customHeight="false" outlineLevel="0" collapsed="false">
      <c r="A138" s="3" t="s">
        <v>430</v>
      </c>
      <c r="B138" s="0" t="s">
        <v>125</v>
      </c>
      <c r="C138" s="13" t="n">
        <f aca="false">C137/C122</f>
        <v>0.112363961584345</v>
      </c>
      <c r="D138" s="13" t="n">
        <f aca="false">D137/D122</f>
        <v>0.186107810263745</v>
      </c>
      <c r="E138" s="13" t="n">
        <f aca="false">E137/E122</f>
        <v>0.219542164122619</v>
      </c>
      <c r="F138" s="13" t="n">
        <f aca="false">F137/F122</f>
        <v>0.214158935383969</v>
      </c>
      <c r="G138" s="13" t="n">
        <f aca="false">G137/G122</f>
        <v>0.201474739664726</v>
      </c>
    </row>
    <row r="139" customFormat="false" ht="15" hidden="false" customHeight="false" outlineLevel="0" collapsed="false">
      <c r="A139" s="3" t="s">
        <v>431</v>
      </c>
      <c r="B139" s="3" t="s">
        <v>170</v>
      </c>
      <c r="C139" s="22" t="n">
        <f aca="false">a25_sh</f>
        <v>0.281051030502885</v>
      </c>
      <c r="D139" s="22" t="n">
        <f aca="false">a26_sh</f>
        <v>0.299427872670807</v>
      </c>
      <c r="E139" s="22" t="n">
        <f aca="false">D139*(1+sh_g)</f>
        <v>0.302422151397516</v>
      </c>
      <c r="F139" s="22" t="n">
        <f aca="false">E139*(1+sh_g)</f>
        <v>0.305446372911491</v>
      </c>
      <c r="G139" s="22" t="n">
        <f aca="false">F139*(1+sh_g)</f>
        <v>0.308500836640606</v>
      </c>
    </row>
    <row r="140" customFormat="false" ht="15" hidden="false" customHeight="false" outlineLevel="0" collapsed="false">
      <c r="A140" s="0" t="s">
        <v>319</v>
      </c>
      <c r="B140" s="0" t="s">
        <v>194</v>
      </c>
      <c r="C140" s="18" t="n">
        <f aca="false">C137/C139</f>
        <v>12.13</v>
      </c>
      <c r="D140" s="18" t="n">
        <f aca="false">D137/D139</f>
        <v>38.0074977654528</v>
      </c>
      <c r="E140" s="18" t="n">
        <f aca="false">E137/E139</f>
        <v>73.78458232524</v>
      </c>
      <c r="F140" s="18" t="n">
        <f aca="false">F137/F139</f>
        <v>94.3035413390302</v>
      </c>
      <c r="G140" s="18" t="n">
        <f aca="false">G137/G139</f>
        <v>104.398647090678</v>
      </c>
    </row>
    <row r="141" customFormat="false" ht="17.15" hidden="false" customHeight="false" outlineLevel="0" collapsed="false">
      <c r="A141" s="0" t="s">
        <v>432</v>
      </c>
      <c r="B141" s="0" t="s">
        <v>125</v>
      </c>
      <c r="D141" s="13" t="n">
        <f aca="false">D140/C140-1</f>
        <v>2.13334688915522</v>
      </c>
      <c r="E141" s="13" t="n">
        <f aca="false">E140/D140-1</f>
        <v>0.941316494460392</v>
      </c>
      <c r="F141" s="13" t="n">
        <f aca="false">F140/E140-1</f>
        <v>0.278092771784534</v>
      </c>
      <c r="G141" s="13" t="n">
        <f aca="false">G140/F140-1</f>
        <v>0.107049063145513</v>
      </c>
    </row>
    <row r="144" customFormat="false" ht="17.15" hidden="false" customHeight="false" outlineLevel="0" collapsed="false">
      <c r="A144" s="1" t="s">
        <v>436</v>
      </c>
    </row>
    <row r="145" customFormat="false" ht="17.15" hidden="false" customHeight="false" outlineLevel="0" collapsed="false">
      <c r="A145" s="4" t="s">
        <v>16</v>
      </c>
      <c r="B145" s="4" t="s">
        <v>17</v>
      </c>
      <c r="C145" s="10" t="s">
        <v>288</v>
      </c>
      <c r="D145" s="10" t="s">
        <v>378</v>
      </c>
      <c r="E145" s="10" t="s">
        <v>379</v>
      </c>
      <c r="F145" s="10" t="s">
        <v>380</v>
      </c>
      <c r="G145" s="10" t="s">
        <v>381</v>
      </c>
      <c r="H145" s="4" t="s">
        <v>273</v>
      </c>
    </row>
    <row r="146" customFormat="false" ht="17.15" hidden="false" customHeight="false" outlineLevel="0" collapsed="false">
      <c r="A146" s="5" t="s">
        <v>396</v>
      </c>
    </row>
    <row r="147" customFormat="false" ht="17.15" hidden="false" customHeight="false" outlineLevel="0" collapsed="false">
      <c r="A147" s="3" t="s">
        <v>397</v>
      </c>
      <c r="B147" s="0" t="s">
        <v>27</v>
      </c>
      <c r="D147" s="16" t="n">
        <f aca="false">gw_26</f>
        <v>23.3995380420639</v>
      </c>
      <c r="E147" s="16" t="n">
        <f aca="false">gw_27</f>
        <v>41.6467658260637</v>
      </c>
      <c r="F147" s="16" t="n">
        <f aca="false">gw28_C</f>
        <v>31.6752829147488</v>
      </c>
      <c r="G147" s="16" t="n">
        <f aca="false">gw29_C</f>
        <v>36.0831550416669</v>
      </c>
      <c r="H147" s="7" t="s">
        <v>437</v>
      </c>
    </row>
    <row r="148" customFormat="false" ht="17.15" hidden="false" customHeight="false" outlineLevel="0" collapsed="false">
      <c r="A148" s="3" t="s">
        <v>346</v>
      </c>
      <c r="B148" s="0" t="s">
        <v>56</v>
      </c>
      <c r="D148" s="17" t="n">
        <f aca="false">pgw_26</f>
        <v>350</v>
      </c>
      <c r="E148" s="17" t="n">
        <f aca="false">pgw_27</f>
        <v>527.5</v>
      </c>
      <c r="F148" s="17" t="n">
        <f aca="false">pgw_28</f>
        <v>609</v>
      </c>
      <c r="G148" s="17" t="n">
        <f aca="false">pgw_29</f>
        <v>662.5</v>
      </c>
      <c r="H148" s="7" t="s">
        <v>347</v>
      </c>
    </row>
    <row r="149" customFormat="false" ht="17.15" hidden="false" customHeight="false" outlineLevel="0" collapsed="false">
      <c r="A149" s="0" t="s">
        <v>398</v>
      </c>
      <c r="B149" s="0" t="s">
        <v>349</v>
      </c>
      <c r="D149" s="18" t="n">
        <f aca="false">D147*D148/1000</f>
        <v>8.18983831472237</v>
      </c>
      <c r="E149" s="18" t="n">
        <f aca="false">E147*E148/1000*mf</f>
        <v>21.9686689732486</v>
      </c>
      <c r="F149" s="18" t="n">
        <f aca="false">F147*F148/1000*mf</f>
        <v>19.290247295082</v>
      </c>
      <c r="G149" s="18" t="n">
        <f aca="false">G147*G148/1000*mf</f>
        <v>23.9050902151043</v>
      </c>
      <c r="H149" s="3" t="s">
        <v>438</v>
      </c>
    </row>
    <row r="150" customFormat="false" ht="17.15" hidden="false" customHeight="false" outlineLevel="0" collapsed="false">
      <c r="A150" s="0" t="s">
        <v>400</v>
      </c>
      <c r="B150" s="0" t="s">
        <v>162</v>
      </c>
      <c r="D150" s="21" t="n">
        <f aca="false">D149*fx</f>
        <v>262.074826071116</v>
      </c>
      <c r="E150" s="21" t="n">
        <f aca="false">E149*fx</f>
        <v>702.997407143955</v>
      </c>
      <c r="F150" s="21" t="n">
        <f aca="false">F149*fx</f>
        <v>617.287913442625</v>
      </c>
      <c r="G150" s="21" t="n">
        <f aca="false">G149*fx</f>
        <v>764.962886883338</v>
      </c>
    </row>
    <row r="151" customFormat="false" ht="17.15" hidden="false" customHeight="false" outlineLevel="0" collapsed="false">
      <c r="A151" s="3" t="s">
        <v>401</v>
      </c>
      <c r="B151" s="0" t="s">
        <v>76</v>
      </c>
      <c r="D151" s="14" t="n">
        <f aca="false">1</f>
        <v>1</v>
      </c>
      <c r="E151" s="14" t="n">
        <f aca="false">pp_27</f>
        <v>1.05</v>
      </c>
      <c r="F151" s="14" t="n">
        <f aca="false">pp_28</f>
        <v>1</v>
      </c>
      <c r="G151" s="14" t="n">
        <f aca="false">pp_29</f>
        <v>0.95</v>
      </c>
    </row>
    <row r="152" customFormat="false" ht="17.15" hidden="false" customHeight="false" outlineLevel="0" collapsed="false">
      <c r="A152" s="3" t="s">
        <v>402</v>
      </c>
      <c r="B152" s="0" t="s">
        <v>125</v>
      </c>
      <c r="D152" s="13" t="n">
        <f aca="false">a26_ai/D150</f>
        <v>0.097998829464188</v>
      </c>
      <c r="H152" s="7" t="s">
        <v>403</v>
      </c>
    </row>
    <row r="153" customFormat="false" ht="17.15" hidden="false" customHeight="false" outlineLevel="0" collapsed="false">
      <c r="A153" s="3" t="s">
        <v>404</v>
      </c>
      <c r="B153" s="0" t="s">
        <v>76</v>
      </c>
      <c r="D153" s="14" t="n">
        <f aca="false">1</f>
        <v>1</v>
      </c>
      <c r="E153" s="14" t="n">
        <f aca="false">rel_27</f>
        <v>1.1</v>
      </c>
      <c r="F153" s="14" t="n">
        <f aca="false">rel_28</f>
        <v>1.15</v>
      </c>
      <c r="G153" s="14" t="n">
        <f aca="false">rel_29</f>
        <v>1.15</v>
      </c>
    </row>
    <row r="154" customFormat="false" ht="15" hidden="false" customHeight="false" outlineLevel="0" collapsed="false">
      <c r="A154" s="3" t="s">
        <v>405</v>
      </c>
      <c r="B154" s="0" t="s">
        <v>125</v>
      </c>
      <c r="D154" s="13" t="n">
        <f aca="false">$D$152*D153</f>
        <v>0.097998829464188</v>
      </c>
      <c r="E154" s="13" t="n">
        <f aca="false">$D$152*E153</f>
        <v>0.107798712410607</v>
      </c>
      <c r="F154" s="13" t="n">
        <f aca="false">$D$152*F153</f>
        <v>0.112698653883816</v>
      </c>
      <c r="G154" s="13" t="n">
        <f aca="false">$D$152*G153</f>
        <v>0.112698653883816</v>
      </c>
    </row>
    <row r="155" customFormat="false" ht="17.15" hidden="false" customHeight="false" outlineLevel="0" collapsed="false">
      <c r="A155" s="3" t="s">
        <v>406</v>
      </c>
      <c r="B155" s="0" t="s">
        <v>162</v>
      </c>
      <c r="D155" s="21" t="n">
        <f aca="false">D150*D154*D151</f>
        <v>25.683026187</v>
      </c>
      <c r="E155" s="21" t="n">
        <f aca="false">E150*E154*E151</f>
        <v>79.5713260840192</v>
      </c>
      <c r="F155" s="21" t="n">
        <f aca="false">F150*F154*F151</f>
        <v>69.5675169037334</v>
      </c>
      <c r="G155" s="21" t="n">
        <f aca="false">G150*G154*G151</f>
        <v>81.8997732416887</v>
      </c>
    </row>
    <row r="156" customFormat="false" ht="17.15" hidden="false" customHeight="false" outlineLevel="0" collapsed="false">
      <c r="A156" s="5" t="s">
        <v>407</v>
      </c>
    </row>
    <row r="157" customFormat="false" ht="15" hidden="false" customHeight="false" outlineLevel="0" collapsed="false">
      <c r="A157" s="3" t="s">
        <v>359</v>
      </c>
      <c r="B157" s="3" t="s">
        <v>98</v>
      </c>
      <c r="D157" s="14" t="n">
        <f aca="false">cap_26</f>
        <v>2.35</v>
      </c>
      <c r="E157" s="14" t="n">
        <f aca="false">cap_27</f>
        <v>3.1</v>
      </c>
      <c r="F157" s="14" t="n">
        <f aca="false">cap_28</f>
        <v>4.3</v>
      </c>
      <c r="G157" s="14" t="n">
        <f aca="false">cap_29</f>
        <v>5.3</v>
      </c>
    </row>
    <row r="158" customFormat="false" ht="17.15" hidden="false" customHeight="false" outlineLevel="0" collapsed="false">
      <c r="A158" s="3" t="s">
        <v>408</v>
      </c>
      <c r="B158" s="0" t="s">
        <v>362</v>
      </c>
      <c r="D158" s="17" t="n">
        <f aca="false">a26_rev/(D157*12)*1000</f>
        <v>2168.44192730496</v>
      </c>
      <c r="H158" s="7" t="s">
        <v>409</v>
      </c>
    </row>
    <row r="159" customFormat="false" ht="17.15" hidden="false" customHeight="false" outlineLevel="0" collapsed="false">
      <c r="A159" s="3" t="s">
        <v>410</v>
      </c>
      <c r="B159" s="0" t="s">
        <v>76</v>
      </c>
      <c r="D159" s="14" t="n">
        <f aca="false">1</f>
        <v>1</v>
      </c>
      <c r="E159" s="14" t="n">
        <f aca="false">mix_27</f>
        <v>1.2</v>
      </c>
      <c r="F159" s="14" t="n">
        <f aca="false">mix_28</f>
        <v>1.32</v>
      </c>
      <c r="G159" s="14" t="n">
        <f aca="false">mix_29</f>
        <v>1.42</v>
      </c>
    </row>
    <row r="160" customFormat="false" ht="17.15" hidden="false" customHeight="false" outlineLevel="0" collapsed="false">
      <c r="A160" s="3" t="s">
        <v>411</v>
      </c>
      <c r="B160" s="0" t="s">
        <v>162</v>
      </c>
      <c r="D160" s="21" t="n">
        <f aca="false">D157*12*$D$158*D159*D151/1000</f>
        <v>61.15006235</v>
      </c>
      <c r="E160" s="21" t="n">
        <f aca="false">E157*12*$D$158*E159*E151/1000</f>
        <v>101.639210016638</v>
      </c>
      <c r="F160" s="21" t="n">
        <f aca="false">F157*12*$D$158*F159*F151/1000</f>
        <v>147.696916552596</v>
      </c>
      <c r="G160" s="21" t="n">
        <f aca="false">G157*12*$D$158*G159*G151/1000</f>
        <v>186.044510971828</v>
      </c>
    </row>
    <row r="161" customFormat="false" ht="17.15" hidden="false" customHeight="false" outlineLevel="0" collapsed="false">
      <c r="A161" s="3" t="s">
        <v>412</v>
      </c>
      <c r="B161" s="0" t="s">
        <v>162</v>
      </c>
      <c r="C161" s="21" t="n">
        <f aca="false">a25_nai</f>
        <v>20.6313598</v>
      </c>
      <c r="D161" s="21" t="n">
        <f aca="false">a26_nai</f>
        <v>35.467036163</v>
      </c>
      <c r="E161" s="21" t="n">
        <f aca="false">D161*(1+g_nai27)</f>
        <v>39.0137397793</v>
      </c>
      <c r="F161" s="21" t="n">
        <f aca="false">E161*(1+g_nai28)</f>
        <v>41.744701563851</v>
      </c>
      <c r="G161" s="21" t="n">
        <f aca="false">F161*(1+g_nai29)</f>
        <v>43.8319366420436</v>
      </c>
    </row>
    <row r="162" customFormat="false" ht="17.15" hidden="false" customHeight="false" outlineLevel="0" collapsed="false">
      <c r="A162" s="3" t="s">
        <v>413</v>
      </c>
      <c r="B162" s="0" t="s">
        <v>162</v>
      </c>
      <c r="C162" s="21" t="n">
        <f aca="false">a25_ai</f>
        <v>9.7088752</v>
      </c>
      <c r="D162" s="21" t="n">
        <f aca="false">D155</f>
        <v>25.683026187</v>
      </c>
      <c r="E162" s="21" t="n">
        <f aca="false">MIN(E155,E160-E161)</f>
        <v>62.6254702373383</v>
      </c>
      <c r="F162" s="21" t="n">
        <f aca="false">MIN(F155,F160-F161)</f>
        <v>69.5675169037334</v>
      </c>
      <c r="G162" s="21" t="n">
        <f aca="false">MIN(G155,G160-G161)</f>
        <v>81.8997732416887</v>
      </c>
      <c r="H162" s="3" t="s">
        <v>414</v>
      </c>
    </row>
    <row r="163" customFormat="false" ht="15" hidden="false" customHeight="false" outlineLevel="0" collapsed="false">
      <c r="A163" s="3" t="s">
        <v>415</v>
      </c>
      <c r="E163" s="0" t="str">
        <f aca="false">IF(E155&gt;E160-E161+0.0001,"受限","未受限")</f>
        <v>受限</v>
      </c>
      <c r="F163" s="0" t="str">
        <f aca="false">IF(F155&gt;F160-F161+0.0001,"受限","未受限")</f>
        <v>未受限</v>
      </c>
      <c r="G163" s="0" t="str">
        <f aca="false">IF(G155&gt;G160-G161+0.0001,"受限","未受限")</f>
        <v>未受限</v>
      </c>
    </row>
    <row r="164" customFormat="false" ht="17.15" hidden="false" customHeight="false" outlineLevel="0" collapsed="false">
      <c r="A164" s="3" t="s">
        <v>416</v>
      </c>
      <c r="B164" s="0" t="s">
        <v>162</v>
      </c>
      <c r="C164" s="21" t="n">
        <f aca="false">C162+C161</f>
        <v>30.340235</v>
      </c>
      <c r="D164" s="21" t="n">
        <f aca="false">D162+D161</f>
        <v>61.15006235</v>
      </c>
      <c r="E164" s="21" t="n">
        <f aca="false">E162+E161</f>
        <v>101.639210016638</v>
      </c>
      <c r="F164" s="21" t="n">
        <f aca="false">F162+F161</f>
        <v>111.312218467584</v>
      </c>
      <c r="G164" s="21" t="n">
        <f aca="false">G162+G161</f>
        <v>125.731709883732</v>
      </c>
      <c r="H164" s="3" t="s">
        <v>417</v>
      </c>
    </row>
    <row r="165" customFormat="false" ht="15" hidden="false" customHeight="false" outlineLevel="0" collapsed="false">
      <c r="A165" s="3" t="s">
        <v>418</v>
      </c>
      <c r="B165" s="0" t="s">
        <v>125</v>
      </c>
      <c r="D165" s="13" t="n">
        <f aca="false">D164/C164-1</f>
        <v>1.01547754491684</v>
      </c>
      <c r="E165" s="13" t="n">
        <f aca="false">E164/D164-1</f>
        <v>0.662127659574468</v>
      </c>
      <c r="F165" s="13" t="n">
        <f aca="false">F164/E164-1</f>
        <v>0.0951700475570665</v>
      </c>
      <c r="G165" s="13" t="n">
        <f aca="false">G164/F164-1</f>
        <v>0.129540957988785</v>
      </c>
    </row>
    <row r="166" customFormat="false" ht="17.15" hidden="false" customHeight="false" outlineLevel="0" collapsed="false">
      <c r="A166" s="3" t="s">
        <v>419</v>
      </c>
      <c r="B166" s="0" t="s">
        <v>162</v>
      </c>
      <c r="C166" s="23" t="n">
        <f aca="false">C162+C161-C164</f>
        <v>0</v>
      </c>
      <c r="D166" s="23" t="n">
        <f aca="false">D162+D161-D164</f>
        <v>0</v>
      </c>
      <c r="E166" s="23" t="n">
        <f aca="false">E162+E161-E164</f>
        <v>0</v>
      </c>
      <c r="F166" s="23" t="n">
        <f aca="false">F162+F161-F164</f>
        <v>0</v>
      </c>
      <c r="G166" s="23" t="n">
        <f aca="false">G162+G161-G164</f>
        <v>0</v>
      </c>
      <c r="H166" s="3" t="s">
        <v>420</v>
      </c>
    </row>
    <row r="167" customFormat="false" ht="17.15" hidden="false" customHeight="false" outlineLevel="0" collapsed="false">
      <c r="A167" s="3" t="s">
        <v>421</v>
      </c>
      <c r="B167" s="0" t="s">
        <v>125</v>
      </c>
      <c r="C167" s="13" t="n">
        <f aca="false">C162/C164</f>
        <v>0.32</v>
      </c>
      <c r="D167" s="13" t="n">
        <f aca="false">D162/D164</f>
        <v>0.42</v>
      </c>
      <c r="E167" s="13" t="n">
        <f aca="false">E162/E164</f>
        <v>0.616154633896569</v>
      </c>
      <c r="F167" s="13" t="n">
        <f aca="false">F162/F164</f>
        <v>0.624976465849456</v>
      </c>
      <c r="G167" s="13" t="n">
        <f aca="false">G162/G164</f>
        <v>0.651385186103202</v>
      </c>
    </row>
    <row r="168" customFormat="false" ht="17.15" hidden="false" customHeight="false" outlineLevel="0" collapsed="false">
      <c r="A168" s="3" t="s">
        <v>422</v>
      </c>
      <c r="B168" s="0" t="s">
        <v>125</v>
      </c>
      <c r="D168" s="13" t="n">
        <f aca="false">(D155+D161)/D160</f>
        <v>1</v>
      </c>
      <c r="E168" s="13" t="n">
        <f aca="false">(E155+E161)/E160</f>
        <v>1.16672557612271</v>
      </c>
      <c r="F168" s="13" t="n">
        <f aca="false">(F155+F161)/F160</f>
        <v>0.753652960845296</v>
      </c>
      <c r="G168" s="13" t="n">
        <f aca="false">(G155+G161)/G160</f>
        <v>0.67581520802176</v>
      </c>
      <c r="H168" s="3" t="s">
        <v>423</v>
      </c>
    </row>
    <row r="169" customFormat="false" ht="17.15" hidden="false" customHeight="false" outlineLevel="0" collapsed="false">
      <c r="A169" s="3" t="s">
        <v>358</v>
      </c>
      <c r="B169" s="0" t="s">
        <v>56</v>
      </c>
      <c r="D169" s="17" t="n">
        <f aca="false">D162/fx/D147*1000</f>
        <v>34.2995903124658</v>
      </c>
      <c r="E169" s="17" t="n">
        <f aca="false">E162/fx/E147*1000</f>
        <v>46.9915467887797</v>
      </c>
      <c r="F169" s="17" t="n">
        <f aca="false">F162/fx/F147*1000</f>
        <v>68.6334802152441</v>
      </c>
      <c r="G169" s="17" t="n">
        <f aca="false">G162/fx/G147*1000</f>
        <v>70.9297152881268</v>
      </c>
    </row>
    <row r="170" customFormat="false" ht="17.15" hidden="false" customHeight="false" outlineLevel="0" collapsed="false">
      <c r="A170" s="5" t="s">
        <v>424</v>
      </c>
    </row>
    <row r="171" customFormat="false" ht="17.15" hidden="false" customHeight="false" outlineLevel="0" collapsed="false">
      <c r="A171" s="3" t="s">
        <v>425</v>
      </c>
      <c r="B171" s="0" t="s">
        <v>125</v>
      </c>
      <c r="D171" s="13" t="n">
        <f aca="false">a26_gp/D164-d_ai*D167</f>
        <v>0.29658591102058</v>
      </c>
      <c r="H171" s="7" t="s">
        <v>426</v>
      </c>
    </row>
    <row r="172" customFormat="false" ht="17.15" hidden="false" customHeight="false" outlineLevel="0" collapsed="false">
      <c r="A172" s="3" t="s">
        <v>427</v>
      </c>
      <c r="B172" s="0" t="s">
        <v>125</v>
      </c>
      <c r="D172" s="13" t="n">
        <f aca="false">D171+d_ai</f>
        <v>0.37658591102058</v>
      </c>
      <c r="E172" s="13" t="n">
        <f aca="false">1-(1-$D$172)/E151</f>
        <v>0.406272296210076</v>
      </c>
      <c r="F172" s="13" t="n">
        <f aca="false">1-(1-$D$172)/F151</f>
        <v>0.37658591102058</v>
      </c>
      <c r="G172" s="13" t="n">
        <f aca="false">1-(1-$D$172)/G151</f>
        <v>0.343774643179557</v>
      </c>
      <c r="H172" s="7" t="s">
        <v>428</v>
      </c>
    </row>
    <row r="173" customFormat="false" ht="15" hidden="false" customHeight="false" outlineLevel="0" collapsed="false">
      <c r="A173" s="3" t="s">
        <v>297</v>
      </c>
      <c r="B173" s="0" t="s">
        <v>162</v>
      </c>
      <c r="C173" s="21" t="n">
        <f aca="false">a25_gp</f>
        <v>6.897793</v>
      </c>
      <c r="D173" s="21" t="n">
        <f aca="false">a26_gp</f>
        <v>20.190889046</v>
      </c>
      <c r="E173" s="21" t="n">
        <f aca="false">E162*E172+E161*$D$171</f>
        <v>37.0139191493227</v>
      </c>
      <c r="F173" s="21" t="n">
        <f aca="false">F162*F172+F161*$D$171</f>
        <v>38.579037074229</v>
      </c>
      <c r="G173" s="21" t="n">
        <f aca="false">G162*G172+G161*$D$171</f>
        <v>41.155000183425</v>
      </c>
    </row>
    <row r="174" customFormat="false" ht="15" hidden="false" customHeight="false" outlineLevel="0" collapsed="false">
      <c r="A174" s="3" t="s">
        <v>300</v>
      </c>
      <c r="B174" s="0" t="s">
        <v>125</v>
      </c>
      <c r="C174" s="13" t="n">
        <f aca="false">C173/C164</f>
        <v>0.227348041305547</v>
      </c>
      <c r="D174" s="13" t="n">
        <f aca="false">D173/D164</f>
        <v>0.33018591102058</v>
      </c>
      <c r="E174" s="13" t="n">
        <f aca="false">E173/E164</f>
        <v>0.364169685530452</v>
      </c>
      <c r="F174" s="13" t="n">
        <f aca="false">F173/F164</f>
        <v>0.346584028288536</v>
      </c>
      <c r="G174" s="13" t="n">
        <f aca="false">G173/G164</f>
        <v>0.32732395209993</v>
      </c>
    </row>
    <row r="175" customFormat="false" ht="15" hidden="false" customHeight="false" outlineLevel="0" collapsed="false">
      <c r="A175" s="3" t="s">
        <v>302</v>
      </c>
      <c r="B175" s="0" t="s">
        <v>162</v>
      </c>
      <c r="C175" s="21" t="n">
        <f aca="false">a25_opx</f>
        <v>2.554134</v>
      </c>
      <c r="D175" s="21" t="n">
        <f aca="false">a26_opx</f>
        <v>3.783534841</v>
      </c>
      <c r="E175" s="21" t="n">
        <f aca="false">D175*(1+MAX(0,phi*E165))</f>
        <v>5.28664468251387</v>
      </c>
      <c r="F175" s="21" t="n">
        <f aca="false">E175*(1+MAX(0,phi*F165))</f>
        <v>5.58852281802517</v>
      </c>
      <c r="G175" s="21" t="n">
        <f aca="false">F175*(1+MAX(0,phi*G165))</f>
        <v>6.02288837777866</v>
      </c>
    </row>
    <row r="176" customFormat="false" ht="15" hidden="false" customHeight="false" outlineLevel="0" collapsed="false">
      <c r="A176" s="3" t="s">
        <v>305</v>
      </c>
      <c r="B176" s="0" t="s">
        <v>162</v>
      </c>
      <c r="C176" s="21" t="n">
        <f aca="false">C173-C175</f>
        <v>4.343659</v>
      </c>
      <c r="D176" s="21" t="n">
        <f aca="false">D173-D175</f>
        <v>16.407354205</v>
      </c>
      <c r="E176" s="21" t="n">
        <f aca="false">E173-E175</f>
        <v>31.7272744668088</v>
      </c>
      <c r="F176" s="21" t="n">
        <f aca="false">F173-F175</f>
        <v>32.9905142562038</v>
      </c>
      <c r="G176" s="21" t="n">
        <f aca="false">G173-G175</f>
        <v>35.1321118056463</v>
      </c>
    </row>
    <row r="177" customFormat="false" ht="15" hidden="false" customHeight="false" outlineLevel="0" collapsed="false">
      <c r="A177" s="3" t="s">
        <v>308</v>
      </c>
      <c r="B177" s="0" t="s">
        <v>125</v>
      </c>
      <c r="C177" s="13" t="n">
        <f aca="false">C176/C164</f>
        <v>0.143164975485523</v>
      </c>
      <c r="D177" s="13" t="n">
        <f aca="false">D176/D164</f>
        <v>0.268312959536991</v>
      </c>
      <c r="E177" s="13" t="n">
        <f aca="false">E176/E164</f>
        <v>0.312155854631447</v>
      </c>
      <c r="F177" s="13" t="n">
        <f aca="false">F176/F164</f>
        <v>0.296378193790209</v>
      </c>
      <c r="G177" s="13" t="n">
        <f aca="false">G176/G164</f>
        <v>0.279421252110021</v>
      </c>
    </row>
    <row r="178" customFormat="false" ht="17.15" hidden="false" customHeight="false" outlineLevel="0" collapsed="false">
      <c r="A178" s="3" t="s">
        <v>310</v>
      </c>
      <c r="B178" s="0" t="s">
        <v>162</v>
      </c>
      <c r="E178" s="18" t="n">
        <f aca="false">nop_f</f>
        <v>0.15</v>
      </c>
      <c r="F178" s="18" t="n">
        <f aca="false">nop_f</f>
        <v>0.15</v>
      </c>
      <c r="G178" s="18" t="n">
        <f aca="false">nop_f</f>
        <v>0.15</v>
      </c>
      <c r="H178" s="7" t="s">
        <v>429</v>
      </c>
    </row>
    <row r="179" customFormat="false" ht="15" hidden="false" customHeight="false" outlineLevel="0" collapsed="false">
      <c r="A179" s="3" t="s">
        <v>313</v>
      </c>
      <c r="B179" s="0" t="s">
        <v>162</v>
      </c>
      <c r="C179" s="21" t="n">
        <f aca="false">a25_ni</f>
        <v>3.409149</v>
      </c>
      <c r="D179" s="21" t="n">
        <f aca="false">a26_ni</f>
        <v>11.38050420145</v>
      </c>
      <c r="E179" s="21" t="n">
        <f aca="false">(E176+E178)*nir_f</f>
        <v>22.3140921267662</v>
      </c>
      <c r="F179" s="21" t="n">
        <f aca="false">(F176+F178)*nir_f</f>
        <v>23.1983599793427</v>
      </c>
      <c r="G179" s="21" t="n">
        <f aca="false">(G176+G178)*nir_f</f>
        <v>24.6974782639524</v>
      </c>
    </row>
    <row r="180" customFormat="false" ht="15" hidden="false" customHeight="false" outlineLevel="0" collapsed="false">
      <c r="A180" s="3" t="s">
        <v>430</v>
      </c>
      <c r="B180" s="0" t="s">
        <v>125</v>
      </c>
      <c r="C180" s="13" t="n">
        <f aca="false">C179/C164</f>
        <v>0.112363961584345</v>
      </c>
      <c r="D180" s="13" t="n">
        <f aca="false">D179/D164</f>
        <v>0.186107810263745</v>
      </c>
      <c r="E180" s="13" t="n">
        <f aca="false">E179/E164</f>
        <v>0.219542164122619</v>
      </c>
      <c r="F180" s="13" t="n">
        <f aca="false">F179/F164</f>
        <v>0.208408028325285</v>
      </c>
      <c r="G180" s="13" t="n">
        <f aca="false">G179/G164</f>
        <v>0.196429988002159</v>
      </c>
    </row>
    <row r="181" customFormat="false" ht="15" hidden="false" customHeight="false" outlineLevel="0" collapsed="false">
      <c r="A181" s="3" t="s">
        <v>431</v>
      </c>
      <c r="B181" s="3" t="s">
        <v>170</v>
      </c>
      <c r="C181" s="22" t="n">
        <f aca="false">a25_sh</f>
        <v>0.281051030502885</v>
      </c>
      <c r="D181" s="22" t="n">
        <f aca="false">a26_sh</f>
        <v>0.299427872670807</v>
      </c>
      <c r="E181" s="22" t="n">
        <f aca="false">D181*(1+sh_g)</f>
        <v>0.302422151397516</v>
      </c>
      <c r="F181" s="22" t="n">
        <f aca="false">E181*(1+sh_g)</f>
        <v>0.305446372911491</v>
      </c>
      <c r="G181" s="22" t="n">
        <f aca="false">F181*(1+sh_g)</f>
        <v>0.308500836640606</v>
      </c>
    </row>
    <row r="182" customFormat="false" ht="15" hidden="false" customHeight="false" outlineLevel="0" collapsed="false">
      <c r="A182" s="0" t="s">
        <v>319</v>
      </c>
      <c r="B182" s="0" t="s">
        <v>194</v>
      </c>
      <c r="C182" s="18" t="n">
        <f aca="false">C179/C181</f>
        <v>12.13</v>
      </c>
      <c r="D182" s="18" t="n">
        <f aca="false">D179/D181</f>
        <v>38.0074977654528</v>
      </c>
      <c r="E182" s="18" t="n">
        <f aca="false">E179/E181</f>
        <v>73.78458232524</v>
      </c>
      <c r="F182" s="18" t="n">
        <f aca="false">F179/F181</f>
        <v>75.9490438803307</v>
      </c>
      <c r="G182" s="18" t="n">
        <f aca="false">G179/G181</f>
        <v>80.0564385266944</v>
      </c>
    </row>
    <row r="183" customFormat="false" ht="17.15" hidden="false" customHeight="false" outlineLevel="0" collapsed="false">
      <c r="A183" s="0" t="s">
        <v>432</v>
      </c>
      <c r="B183" s="0" t="s">
        <v>125</v>
      </c>
      <c r="D183" s="13" t="n">
        <f aca="false">D182/C182-1</f>
        <v>2.13334688915522</v>
      </c>
      <c r="E183" s="13" t="n">
        <f aca="false">E182/D182-1</f>
        <v>0.941316494460392</v>
      </c>
      <c r="F183" s="13" t="n">
        <f aca="false">F182/E182-1</f>
        <v>0.0293348757542578</v>
      </c>
      <c r="G183" s="13" t="n">
        <f aca="false">G182/F182-1</f>
        <v>0.0540809263225945</v>
      </c>
    </row>
    <row r="186" customFormat="false" ht="17.15" hidden="false" customHeight="false" outlineLevel="0" collapsed="false">
      <c r="A186" s="1" t="s">
        <v>439</v>
      </c>
    </row>
    <row r="187" customFormat="false" ht="17.15" hidden="false" customHeight="false" outlineLevel="0" collapsed="false">
      <c r="A187" s="1" t="s">
        <v>440</v>
      </c>
    </row>
    <row r="188" customFormat="false" ht="17.15" hidden="false" customHeight="false" outlineLevel="0" collapsed="false">
      <c r="A188" s="4" t="s">
        <v>16</v>
      </c>
      <c r="B188" s="4" t="s">
        <v>17</v>
      </c>
      <c r="C188" s="10" t="s">
        <v>288</v>
      </c>
      <c r="D188" s="10" t="s">
        <v>378</v>
      </c>
      <c r="E188" s="10" t="s">
        <v>379</v>
      </c>
      <c r="F188" s="10" t="s">
        <v>380</v>
      </c>
      <c r="G188" s="10" t="s">
        <v>381</v>
      </c>
      <c r="H188" s="10" t="s">
        <v>441</v>
      </c>
      <c r="I188" s="10" t="s">
        <v>442</v>
      </c>
      <c r="J188" s="10" t="s">
        <v>443</v>
      </c>
      <c r="K188" s="4" t="s">
        <v>273</v>
      </c>
    </row>
    <row r="189" customFormat="false" ht="17.15" hidden="false" customHeight="false" outlineLevel="0" collapsed="false">
      <c r="A189" s="3" t="s">
        <v>444</v>
      </c>
      <c r="B189" s="0" t="s">
        <v>162</v>
      </c>
      <c r="C189" s="21" t="n">
        <f aca="false">C80</f>
        <v>30.340235</v>
      </c>
      <c r="D189" s="21" t="n">
        <f aca="false">D80</f>
        <v>61.15006235</v>
      </c>
      <c r="E189" s="21" t="n">
        <f aca="false">E80</f>
        <v>101.639210016638</v>
      </c>
      <c r="F189" s="21" t="n">
        <f aca="false">F80</f>
        <v>147.696916552596</v>
      </c>
      <c r="G189" s="21" t="n">
        <f aca="false">G80</f>
        <v>180.331558711525</v>
      </c>
      <c r="H189" s="24" t="n">
        <f aca="false">G189*(1+H190)</f>
        <v>210.501849330497</v>
      </c>
      <c r="I189" s="24" t="n">
        <f aca="false">H189*(1+I190)</f>
        <v>234.425863595857</v>
      </c>
      <c r="J189" s="24" t="n">
        <f aca="false">I189*(1+J190)</f>
        <v>248.491415411608</v>
      </c>
      <c r="K189" s="7" t="s">
        <v>445</v>
      </c>
    </row>
    <row r="190" customFormat="false" ht="15" hidden="false" customHeight="false" outlineLevel="0" collapsed="false">
      <c r="A190" s="3" t="s">
        <v>383</v>
      </c>
      <c r="B190" s="0" t="s">
        <v>125</v>
      </c>
      <c r="C190" s="13"/>
      <c r="D190" s="13" t="n">
        <f aca="false">D189/C189-1</f>
        <v>1.01547754491684</v>
      </c>
      <c r="E190" s="13" t="n">
        <f aca="false">E189/D189-1</f>
        <v>0.662127659574468</v>
      </c>
      <c r="F190" s="13" t="n">
        <f aca="false">F189/E189-1</f>
        <v>0.453149001536098</v>
      </c>
      <c r="G190" s="13" t="n">
        <f aca="false">G189/F189-1</f>
        <v>0.220956827811009</v>
      </c>
      <c r="H190" s="25" t="n">
        <f aca="false">$G$190+($C$196-$G$190)*1/3</f>
        <v>0.167304551874006</v>
      </c>
      <c r="I190" s="25" t="n">
        <f aca="false">$G$190+($C$196-$G$190)*2/3</f>
        <v>0.113652275937003</v>
      </c>
      <c r="J190" s="25" t="n">
        <f aca="false">$G$190+($C$196-$G$190)*3/3</f>
        <v>0.06</v>
      </c>
    </row>
    <row r="191" customFormat="false" ht="15" hidden="false" customHeight="false" outlineLevel="0" collapsed="false">
      <c r="A191" s="3" t="s">
        <v>446</v>
      </c>
      <c r="B191" s="0" t="s">
        <v>162</v>
      </c>
      <c r="C191" s="21" t="n">
        <f aca="false">C95</f>
        <v>3.409149</v>
      </c>
      <c r="D191" s="21" t="n">
        <f aca="false">D95</f>
        <v>11.38050420145</v>
      </c>
      <c r="E191" s="21" t="n">
        <f aca="false">E95</f>
        <v>22.3140921267662</v>
      </c>
      <c r="F191" s="21" t="n">
        <f aca="false">F95</f>
        <v>31.9948820881574</v>
      </c>
      <c r="G191" s="21" t="n">
        <f aca="false">G95</f>
        <v>36.7217091802963</v>
      </c>
      <c r="H191" s="24" t="n">
        <f aca="false">H189*H192</f>
        <v>42.8654182787534</v>
      </c>
      <c r="I191" s="24" t="n">
        <f aca="false">I189*I192</f>
        <v>47.7371706251253</v>
      </c>
      <c r="J191" s="24" t="n">
        <f aca="false">J189*J192</f>
        <v>50.6014008626329</v>
      </c>
    </row>
    <row r="192" customFormat="false" ht="15" hidden="false" customHeight="false" outlineLevel="0" collapsed="false">
      <c r="A192" s="3" t="s">
        <v>447</v>
      </c>
      <c r="B192" s="0" t="s">
        <v>125</v>
      </c>
      <c r="C192" s="13" t="n">
        <f aca="false">C191/C189</f>
        <v>0.112363961584345</v>
      </c>
      <c r="D192" s="13" t="n">
        <f aca="false">D191/D189</f>
        <v>0.186107810263745</v>
      </c>
      <c r="E192" s="13" t="n">
        <f aca="false">E191/E189</f>
        <v>0.219542164122619</v>
      </c>
      <c r="F192" s="13" t="n">
        <f aca="false">F191/F189</f>
        <v>0.216625254168823</v>
      </c>
      <c r="G192" s="13" t="n">
        <f aca="false">G191/G189</f>
        <v>0.203634402334645</v>
      </c>
      <c r="H192" s="25" t="n">
        <f aca="false">$G$192+($C$197-$G$192)*1/3</f>
        <v>0.203634402334645</v>
      </c>
      <c r="I192" s="25" t="n">
        <f aca="false">$G$192+($C$197-$G$192)*2/3</f>
        <v>0.203634402334645</v>
      </c>
      <c r="J192" s="25" t="n">
        <f aca="false">$G$192+($C$197-$G$192)*3/3</f>
        <v>0.203634402334645</v>
      </c>
    </row>
    <row r="193" customFormat="false" ht="17.15" hidden="false" customHeight="false" outlineLevel="0" collapsed="false">
      <c r="A193" s="3" t="s">
        <v>448</v>
      </c>
      <c r="B193" s="3" t="s">
        <v>170</v>
      </c>
      <c r="C193" s="22" t="n">
        <f aca="false">C97</f>
        <v>0.281051030502885</v>
      </c>
      <c r="D193" s="22" t="n">
        <f aca="false">D97</f>
        <v>0.299427872670807</v>
      </c>
      <c r="E193" s="22" t="n">
        <f aca="false">E97</f>
        <v>0.302422151397516</v>
      </c>
      <c r="F193" s="22" t="n">
        <f aca="false">F97</f>
        <v>0.305446372911491</v>
      </c>
      <c r="G193" s="22" t="n">
        <f aca="false">G97</f>
        <v>0.308500836640606</v>
      </c>
      <c r="H193" s="26" t="n">
        <f aca="false">G193*(1+sh_g)</f>
        <v>0.311585845007012</v>
      </c>
      <c r="I193" s="26" t="n">
        <f aca="false">H193*(1+sh_g)</f>
        <v>0.314701703457082</v>
      </c>
      <c r="J193" s="26" t="n">
        <f aca="false">I193*(1+sh_g)</f>
        <v>0.317848720491653</v>
      </c>
      <c r="K193" s="7" t="s">
        <v>449</v>
      </c>
    </row>
    <row r="194" customFormat="false" ht="17.15" hidden="false" customHeight="false" outlineLevel="0" collapsed="false">
      <c r="A194" s="0" t="s">
        <v>450</v>
      </c>
      <c r="B194" s="0" t="s">
        <v>194</v>
      </c>
      <c r="C194" s="14" t="n">
        <f aca="false">C98</f>
        <v>12.13</v>
      </c>
      <c r="D194" s="14" t="n">
        <f aca="false">D98</f>
        <v>38.0074977654528</v>
      </c>
      <c r="E194" s="14" t="n">
        <f aca="false">E98</f>
        <v>73.78458232524</v>
      </c>
      <c r="F194" s="14" t="n">
        <f aca="false">F98</f>
        <v>104.747952261422</v>
      </c>
      <c r="G194" s="14" t="n">
        <f aca="false">G98</f>
        <v>119.032770154449</v>
      </c>
      <c r="H194" s="27" t="n">
        <f aca="false">H191/H193</f>
        <v>137.571776656891</v>
      </c>
      <c r="I194" s="27" t="n">
        <f aca="false">I191/I193</f>
        <v>151.690219978856</v>
      </c>
      <c r="J194" s="27" t="n">
        <f aca="false">J191/J193</f>
        <v>159.199636809492</v>
      </c>
    </row>
    <row r="195" customFormat="false" ht="17.15" hidden="false" customHeight="false" outlineLevel="0" collapsed="false">
      <c r="A195" s="0" t="s">
        <v>387</v>
      </c>
      <c r="B195" s="0" t="s">
        <v>125</v>
      </c>
      <c r="C195" s="13"/>
      <c r="D195" s="13" t="n">
        <f aca="false">D194/C194-1</f>
        <v>2.13334688915522</v>
      </c>
      <c r="E195" s="13" t="n">
        <f aca="false">E194/D194-1</f>
        <v>0.941316494460392</v>
      </c>
      <c r="F195" s="13" t="n">
        <f aca="false">F194/E194-1</f>
        <v>0.41964552702483</v>
      </c>
      <c r="G195" s="13" t="n">
        <f aca="false">G194/F194-1</f>
        <v>0.136373242479962</v>
      </c>
      <c r="H195" s="25" t="n">
        <f aca="false">H194/G194-1</f>
        <v>0.155747081063373</v>
      </c>
      <c r="I195" s="25" t="n">
        <f aca="false">I194/H194-1</f>
        <v>0.102626015779211</v>
      </c>
      <c r="J195" s="25" t="n">
        <f aca="false">J194/I194-1</f>
        <v>0.0495049504950496</v>
      </c>
    </row>
    <row r="196" customFormat="false" ht="17.15" hidden="false" customHeight="false" outlineLevel="0" collapsed="false">
      <c r="A196" s="3" t="s">
        <v>451</v>
      </c>
      <c r="B196" s="0" t="s">
        <v>125</v>
      </c>
      <c r="C196" s="13" t="n">
        <f aca="false">fade_gA</f>
        <v>0.06</v>
      </c>
      <c r="K196" s="7" t="s">
        <v>452</v>
      </c>
    </row>
    <row r="197" customFormat="false" ht="17.15" hidden="false" customHeight="false" outlineLevel="0" collapsed="false">
      <c r="A197" s="3" t="s">
        <v>453</v>
      </c>
      <c r="B197" s="0" t="s">
        <v>125</v>
      </c>
      <c r="C197" s="13" t="n">
        <f aca="false">G192</f>
        <v>0.203634402334645</v>
      </c>
      <c r="K197" s="3" t="s">
        <v>454</v>
      </c>
    </row>
    <row r="199" customFormat="false" ht="17.15" hidden="false" customHeight="false" outlineLevel="0" collapsed="false">
      <c r="A199" s="1" t="s">
        <v>455</v>
      </c>
    </row>
    <row r="200" customFormat="false" ht="17.15" hidden="false" customHeight="false" outlineLevel="0" collapsed="false">
      <c r="A200" s="4" t="s">
        <v>16</v>
      </c>
      <c r="B200" s="4" t="s">
        <v>17</v>
      </c>
      <c r="C200" s="10" t="s">
        <v>288</v>
      </c>
      <c r="D200" s="10" t="s">
        <v>378</v>
      </c>
      <c r="E200" s="10" t="s">
        <v>379</v>
      </c>
      <c r="F200" s="10" t="s">
        <v>380</v>
      </c>
      <c r="G200" s="10" t="s">
        <v>381</v>
      </c>
      <c r="H200" s="10" t="s">
        <v>441</v>
      </c>
      <c r="I200" s="10" t="s">
        <v>442</v>
      </c>
      <c r="J200" s="10" t="s">
        <v>443</v>
      </c>
      <c r="K200" s="4" t="s">
        <v>273</v>
      </c>
    </row>
    <row r="201" customFormat="false" ht="17.15" hidden="false" customHeight="false" outlineLevel="0" collapsed="false">
      <c r="A201" s="3" t="s">
        <v>444</v>
      </c>
      <c r="B201" s="0" t="s">
        <v>162</v>
      </c>
      <c r="C201" s="21" t="n">
        <f aca="false">C122</f>
        <v>30.340235</v>
      </c>
      <c r="D201" s="21" t="n">
        <f aca="false">D122</f>
        <v>61.15006235</v>
      </c>
      <c r="E201" s="21" t="n">
        <f aca="false">E122</f>
        <v>101.639210016638</v>
      </c>
      <c r="F201" s="21" t="n">
        <f aca="false">F122</f>
        <v>134.501390768829</v>
      </c>
      <c r="G201" s="21" t="n">
        <f aca="false">G122</f>
        <v>159.856615401103</v>
      </c>
      <c r="H201" s="24" t="n">
        <f aca="false">G201*(1+H202)</f>
        <v>182.078041805316</v>
      </c>
      <c r="I201" s="24" t="n">
        <f aca="false">H201*(1+I202)</f>
        <v>198.374799286391</v>
      </c>
      <c r="J201" s="24" t="n">
        <f aca="false">I201*(1+J202)</f>
        <v>206.309791257847</v>
      </c>
      <c r="K201" s="7" t="s">
        <v>445</v>
      </c>
    </row>
    <row r="202" customFormat="false" ht="15" hidden="false" customHeight="false" outlineLevel="0" collapsed="false">
      <c r="A202" s="3" t="s">
        <v>383</v>
      </c>
      <c r="B202" s="0" t="s">
        <v>125</v>
      </c>
      <c r="C202" s="13"/>
      <c r="D202" s="13" t="n">
        <f aca="false">D201/C201-1</f>
        <v>1.01547754491684</v>
      </c>
      <c r="E202" s="13" t="n">
        <f aca="false">E201/D201-1</f>
        <v>0.662127659574468</v>
      </c>
      <c r="F202" s="13" t="n">
        <f aca="false">F201/E201-1</f>
        <v>0.323321882832532</v>
      </c>
      <c r="G202" s="13" t="n">
        <f aca="false">G201/F201-1</f>
        <v>0.188512732004774</v>
      </c>
      <c r="H202" s="25" t="n">
        <f aca="false">$G$202+($C$208-$G$202)*1/3</f>
        <v>0.139008488003182</v>
      </c>
      <c r="I202" s="25" t="n">
        <f aca="false">$G$202+($C$208-$G$202)*2/3</f>
        <v>0.0895042440015912</v>
      </c>
      <c r="J202" s="25" t="n">
        <f aca="false">$G$202+($C$208-$G$202)*3/3</f>
        <v>0.04</v>
      </c>
    </row>
    <row r="203" customFormat="false" ht="15" hidden="false" customHeight="false" outlineLevel="0" collapsed="false">
      <c r="A203" s="3" t="s">
        <v>446</v>
      </c>
      <c r="B203" s="0" t="s">
        <v>162</v>
      </c>
      <c r="C203" s="21" t="n">
        <f aca="false">C137</f>
        <v>3.409149</v>
      </c>
      <c r="D203" s="21" t="n">
        <f aca="false">D137</f>
        <v>11.38050420145</v>
      </c>
      <c r="E203" s="21" t="n">
        <f aca="false">E137</f>
        <v>22.3140921267662</v>
      </c>
      <c r="F203" s="21" t="n">
        <f aca="false">F137</f>
        <v>28.8046746547156</v>
      </c>
      <c r="G203" s="21" t="n">
        <f aca="false">G137</f>
        <v>32.2070699716213</v>
      </c>
      <c r="H203" s="24" t="n">
        <f aca="false">H201*H204</f>
        <v>35.4613218690095</v>
      </c>
      <c r="I203" s="24" t="n">
        <f aca="false">I201*I204</f>
        <v>37.3030103061167</v>
      </c>
      <c r="J203" s="24" t="n">
        <f aca="false">J201*J204</f>
        <v>37.4095903355627</v>
      </c>
    </row>
    <row r="204" customFormat="false" ht="15" hidden="false" customHeight="false" outlineLevel="0" collapsed="false">
      <c r="A204" s="3" t="s">
        <v>447</v>
      </c>
      <c r="B204" s="0" t="s">
        <v>125</v>
      </c>
      <c r="C204" s="13" t="n">
        <f aca="false">C203/C201</f>
        <v>0.112363961584345</v>
      </c>
      <c r="D204" s="13" t="n">
        <f aca="false">D203/D201</f>
        <v>0.186107810263745</v>
      </c>
      <c r="E204" s="13" t="n">
        <f aca="false">E203/E201</f>
        <v>0.219542164122619</v>
      </c>
      <c r="F204" s="13" t="n">
        <f aca="false">F203/F201</f>
        <v>0.214158935383969</v>
      </c>
      <c r="G204" s="13" t="n">
        <f aca="false">G203/G201</f>
        <v>0.201474739664726</v>
      </c>
      <c r="H204" s="25" t="n">
        <f aca="false">$G$204+($C$209-$G$204)*1/3</f>
        <v>0.194758915009235</v>
      </c>
      <c r="I204" s="25" t="n">
        <f aca="false">$G$204+($C$209-$G$204)*2/3</f>
        <v>0.188043090353744</v>
      </c>
      <c r="J204" s="25" t="n">
        <f aca="false">$G$204+($C$209-$G$204)*3/3</f>
        <v>0.181327265698253</v>
      </c>
    </row>
    <row r="205" customFormat="false" ht="17.15" hidden="false" customHeight="false" outlineLevel="0" collapsed="false">
      <c r="A205" s="3" t="s">
        <v>448</v>
      </c>
      <c r="B205" s="3" t="s">
        <v>170</v>
      </c>
      <c r="C205" s="22" t="n">
        <f aca="false">C139</f>
        <v>0.281051030502885</v>
      </c>
      <c r="D205" s="22" t="n">
        <f aca="false">D139</f>
        <v>0.299427872670807</v>
      </c>
      <c r="E205" s="22" t="n">
        <f aca="false">E139</f>
        <v>0.302422151397516</v>
      </c>
      <c r="F205" s="22" t="n">
        <f aca="false">F139</f>
        <v>0.305446372911491</v>
      </c>
      <c r="G205" s="22" t="n">
        <f aca="false">G139</f>
        <v>0.308500836640606</v>
      </c>
      <c r="H205" s="26" t="n">
        <f aca="false">G205*(1+sh_g)</f>
        <v>0.311585845007012</v>
      </c>
      <c r="I205" s="26" t="n">
        <f aca="false">H205*(1+sh_g)</f>
        <v>0.314701703457082</v>
      </c>
      <c r="J205" s="26" t="n">
        <f aca="false">I205*(1+sh_g)</f>
        <v>0.317848720491653</v>
      </c>
      <c r="K205" s="7" t="s">
        <v>449</v>
      </c>
    </row>
    <row r="206" customFormat="false" ht="17.15" hidden="false" customHeight="false" outlineLevel="0" collapsed="false">
      <c r="A206" s="0" t="s">
        <v>450</v>
      </c>
      <c r="B206" s="0" t="s">
        <v>194</v>
      </c>
      <c r="C206" s="14" t="n">
        <f aca="false">C140</f>
        <v>12.13</v>
      </c>
      <c r="D206" s="14" t="n">
        <f aca="false">D140</f>
        <v>38.0074977654528</v>
      </c>
      <c r="E206" s="14" t="n">
        <f aca="false">E140</f>
        <v>73.78458232524</v>
      </c>
      <c r="F206" s="14" t="n">
        <f aca="false">F140</f>
        <v>94.3035413390302</v>
      </c>
      <c r="G206" s="14" t="n">
        <f aca="false">G140</f>
        <v>104.398647090678</v>
      </c>
      <c r="H206" s="27" t="n">
        <f aca="false">H203/H205</f>
        <v>113.809155445465</v>
      </c>
      <c r="I206" s="27" t="n">
        <f aca="false">I203/I205</f>
        <v>118.534503932877</v>
      </c>
      <c r="J206" s="27" t="n">
        <f aca="false">J203/J205</f>
        <v>117.696211825856</v>
      </c>
    </row>
    <row r="207" customFormat="false" ht="17.15" hidden="false" customHeight="false" outlineLevel="0" collapsed="false">
      <c r="A207" s="0" t="s">
        <v>387</v>
      </c>
      <c r="B207" s="0" t="s">
        <v>125</v>
      </c>
      <c r="C207" s="13"/>
      <c r="D207" s="13" t="n">
        <f aca="false">D206/C206-1</f>
        <v>2.13334688915522</v>
      </c>
      <c r="E207" s="13" t="n">
        <f aca="false">E206/D206-1</f>
        <v>0.941316494460392</v>
      </c>
      <c r="F207" s="13" t="n">
        <f aca="false">F206/E206-1</f>
        <v>0.278092771784534</v>
      </c>
      <c r="G207" s="13" t="n">
        <f aca="false">G206/F206-1</f>
        <v>0.107049063145513</v>
      </c>
      <c r="H207" s="25" t="n">
        <f aca="false">H206/G206-1</f>
        <v>0.0901401370327488</v>
      </c>
      <c r="I207" s="25" t="n">
        <f aca="false">I206/H206-1</f>
        <v>0.0415199328113538</v>
      </c>
      <c r="J207" s="25" t="n">
        <f aca="false">J206/I206-1</f>
        <v>-0.00707213578500698</v>
      </c>
    </row>
    <row r="208" customFormat="false" ht="17.15" hidden="false" customHeight="false" outlineLevel="0" collapsed="false">
      <c r="A208" s="3" t="s">
        <v>451</v>
      </c>
      <c r="B208" s="0" t="s">
        <v>125</v>
      </c>
      <c r="C208" s="13" t="n">
        <f aca="false">fade_gB</f>
        <v>0.04</v>
      </c>
      <c r="K208" s="7" t="s">
        <v>456</v>
      </c>
    </row>
    <row r="209" customFormat="false" ht="17.15" hidden="false" customHeight="false" outlineLevel="0" collapsed="false">
      <c r="A209" s="3" t="s">
        <v>453</v>
      </c>
      <c r="B209" s="0" t="s">
        <v>125</v>
      </c>
      <c r="C209" s="13" t="n">
        <f aca="false">G204*(1+nim10_f)/2</f>
        <v>0.181327265698253</v>
      </c>
      <c r="K209" s="3" t="s">
        <v>457</v>
      </c>
    </row>
    <row r="211" customFormat="false" ht="17.15" hidden="false" customHeight="false" outlineLevel="0" collapsed="false">
      <c r="A211" s="1" t="s">
        <v>458</v>
      </c>
    </row>
    <row r="212" customFormat="false" ht="17.15" hidden="false" customHeight="false" outlineLevel="0" collapsed="false">
      <c r="A212" s="4" t="s">
        <v>16</v>
      </c>
      <c r="B212" s="4" t="s">
        <v>17</v>
      </c>
      <c r="C212" s="10" t="s">
        <v>288</v>
      </c>
      <c r="D212" s="10" t="s">
        <v>378</v>
      </c>
      <c r="E212" s="10" t="s">
        <v>379</v>
      </c>
      <c r="F212" s="10" t="s">
        <v>380</v>
      </c>
      <c r="G212" s="10" t="s">
        <v>381</v>
      </c>
      <c r="H212" s="10" t="s">
        <v>441</v>
      </c>
      <c r="I212" s="10" t="s">
        <v>442</v>
      </c>
      <c r="J212" s="10" t="s">
        <v>443</v>
      </c>
      <c r="K212" s="4" t="s">
        <v>273</v>
      </c>
    </row>
    <row r="213" customFormat="false" ht="17.15" hidden="false" customHeight="false" outlineLevel="0" collapsed="false">
      <c r="A213" s="3" t="s">
        <v>444</v>
      </c>
      <c r="B213" s="0" t="s">
        <v>162</v>
      </c>
      <c r="C213" s="21" t="n">
        <f aca="false">C164</f>
        <v>30.340235</v>
      </c>
      <c r="D213" s="21" t="n">
        <f aca="false">D164</f>
        <v>61.15006235</v>
      </c>
      <c r="E213" s="21" t="n">
        <f aca="false">E164</f>
        <v>101.639210016638</v>
      </c>
      <c r="F213" s="21" t="n">
        <f aca="false">F164</f>
        <v>111.312218467584</v>
      </c>
      <c r="G213" s="21" t="n">
        <f aca="false">G164</f>
        <v>125.731709883732</v>
      </c>
      <c r="H213" s="24" t="n">
        <f aca="false">G213*(1+H214)</f>
        <v>137.428192048228</v>
      </c>
      <c r="I213" s="24" t="n">
        <f aca="false">H213*(1+I214)</f>
        <v>145.194761159736</v>
      </c>
      <c r="J213" s="24" t="n">
        <f aca="false">I213*(1+J214)</f>
        <v>148.098656382931</v>
      </c>
      <c r="K213" s="7" t="s">
        <v>445</v>
      </c>
    </row>
    <row r="214" customFormat="false" ht="15" hidden="false" customHeight="false" outlineLevel="0" collapsed="false">
      <c r="A214" s="3" t="s">
        <v>383</v>
      </c>
      <c r="B214" s="0" t="s">
        <v>125</v>
      </c>
      <c r="C214" s="13"/>
      <c r="D214" s="13" t="n">
        <f aca="false">D213/C213-1</f>
        <v>1.01547754491684</v>
      </c>
      <c r="E214" s="13" t="n">
        <f aca="false">E213/D213-1</f>
        <v>0.662127659574468</v>
      </c>
      <c r="F214" s="13" t="n">
        <f aca="false">F213/E213-1</f>
        <v>0.0951700475570665</v>
      </c>
      <c r="G214" s="13" t="n">
        <f aca="false">G213/F213-1</f>
        <v>0.129540957988785</v>
      </c>
      <c r="H214" s="25" t="n">
        <f aca="false">$G$214+($C$220-$G$214)*1/3</f>
        <v>0.0930273053258565</v>
      </c>
      <c r="I214" s="25" t="n">
        <f aca="false">$G$214+($C$220-$G$214)*2/3</f>
        <v>0.0565136526629283</v>
      </c>
      <c r="J214" s="25" t="n">
        <f aca="false">$G$214+($C$220-$G$214)*3/3</f>
        <v>0.02</v>
      </c>
    </row>
    <row r="215" customFormat="false" ht="15" hidden="false" customHeight="false" outlineLevel="0" collapsed="false">
      <c r="A215" s="3" t="s">
        <v>446</v>
      </c>
      <c r="B215" s="0" t="s">
        <v>162</v>
      </c>
      <c r="C215" s="21" t="n">
        <f aca="false">C179</f>
        <v>3.409149</v>
      </c>
      <c r="D215" s="21" t="n">
        <f aca="false">D179</f>
        <v>11.38050420145</v>
      </c>
      <c r="E215" s="21" t="n">
        <f aca="false">E179</f>
        <v>22.3140921267662</v>
      </c>
      <c r="F215" s="21" t="n">
        <f aca="false">F179</f>
        <v>23.1983599793427</v>
      </c>
      <c r="G215" s="21" t="n">
        <f aca="false">G179</f>
        <v>24.6974782639524</v>
      </c>
      <c r="H215" s="24" t="n">
        <f aca="false">H213*H216</f>
        <v>25.1953502408457</v>
      </c>
      <c r="I215" s="24" t="n">
        <f aca="false">I213*I216</f>
        <v>24.7178578335722</v>
      </c>
      <c r="J215" s="24" t="n">
        <f aca="false">J213*J216</f>
        <v>23.2728138371479</v>
      </c>
    </row>
    <row r="216" customFormat="false" ht="15" hidden="false" customHeight="false" outlineLevel="0" collapsed="false">
      <c r="A216" s="3" t="s">
        <v>447</v>
      </c>
      <c r="B216" s="0" t="s">
        <v>125</v>
      </c>
      <c r="C216" s="13" t="n">
        <f aca="false">C215/C213</f>
        <v>0.112363961584345</v>
      </c>
      <c r="D216" s="13" t="n">
        <f aca="false">D215/D213</f>
        <v>0.186107810263745</v>
      </c>
      <c r="E216" s="13" t="n">
        <f aca="false">E215/E213</f>
        <v>0.219542164122619</v>
      </c>
      <c r="F216" s="13" t="n">
        <f aca="false">F215/F213</f>
        <v>0.208408028325285</v>
      </c>
      <c r="G216" s="13" t="n">
        <f aca="false">G215/G213</f>
        <v>0.196429988002159</v>
      </c>
      <c r="H216" s="25" t="n">
        <f aca="false">$G$216+($C$221-$G$216)*1/3</f>
        <v>0.183334655468682</v>
      </c>
      <c r="I216" s="25" t="n">
        <f aca="false">$G$216+($C$221-$G$216)*2/3</f>
        <v>0.170239322935204</v>
      </c>
      <c r="J216" s="25" t="n">
        <f aca="false">$G$216+($C$221-$G$216)*3/3</f>
        <v>0.157143990401727</v>
      </c>
    </row>
    <row r="217" customFormat="false" ht="17.15" hidden="false" customHeight="false" outlineLevel="0" collapsed="false">
      <c r="A217" s="3" t="s">
        <v>448</v>
      </c>
      <c r="B217" s="3" t="s">
        <v>170</v>
      </c>
      <c r="C217" s="22" t="n">
        <f aca="false">C181</f>
        <v>0.281051030502885</v>
      </c>
      <c r="D217" s="22" t="n">
        <f aca="false">D181</f>
        <v>0.299427872670807</v>
      </c>
      <c r="E217" s="22" t="n">
        <f aca="false">E181</f>
        <v>0.302422151397516</v>
      </c>
      <c r="F217" s="22" t="n">
        <f aca="false">F181</f>
        <v>0.305446372911491</v>
      </c>
      <c r="G217" s="22" t="n">
        <f aca="false">G181</f>
        <v>0.308500836640606</v>
      </c>
      <c r="H217" s="26" t="n">
        <f aca="false">G217*(1+sh_g)</f>
        <v>0.311585845007012</v>
      </c>
      <c r="I217" s="26" t="n">
        <f aca="false">H217*(1+sh_g)</f>
        <v>0.314701703457082</v>
      </c>
      <c r="J217" s="26" t="n">
        <f aca="false">I217*(1+sh_g)</f>
        <v>0.317848720491653</v>
      </c>
      <c r="K217" s="7" t="s">
        <v>449</v>
      </c>
    </row>
    <row r="218" customFormat="false" ht="17.15" hidden="false" customHeight="false" outlineLevel="0" collapsed="false">
      <c r="A218" s="0" t="s">
        <v>450</v>
      </c>
      <c r="B218" s="0" t="s">
        <v>194</v>
      </c>
      <c r="C218" s="14" t="n">
        <f aca="false">C182</f>
        <v>12.13</v>
      </c>
      <c r="D218" s="14" t="n">
        <f aca="false">D182</f>
        <v>38.0074977654528</v>
      </c>
      <c r="E218" s="14" t="n">
        <f aca="false">E182</f>
        <v>73.78458232524</v>
      </c>
      <c r="F218" s="14" t="n">
        <f aca="false">F182</f>
        <v>75.9490438803307</v>
      </c>
      <c r="G218" s="14" t="n">
        <f aca="false">G182</f>
        <v>80.0564385266944</v>
      </c>
      <c r="H218" s="27" t="n">
        <f aca="false">H215/H217</f>
        <v>80.8616650742872</v>
      </c>
      <c r="I218" s="27" t="n">
        <f aca="false">I215/I217</f>
        <v>78.5437687881569</v>
      </c>
      <c r="J218" s="27" t="n">
        <f aca="false">J215/J217</f>
        <v>73.219781414093</v>
      </c>
    </row>
    <row r="219" customFormat="false" ht="17.15" hidden="false" customHeight="false" outlineLevel="0" collapsed="false">
      <c r="A219" s="0" t="s">
        <v>387</v>
      </c>
      <c r="B219" s="0" t="s">
        <v>125</v>
      </c>
      <c r="C219" s="13"/>
      <c r="D219" s="13" t="n">
        <f aca="false">D218/C218-1</f>
        <v>2.13334688915522</v>
      </c>
      <c r="E219" s="13" t="n">
        <f aca="false">E218/D218-1</f>
        <v>0.941316494460392</v>
      </c>
      <c r="F219" s="13" t="n">
        <f aca="false">F218/E218-1</f>
        <v>0.0293348757542578</v>
      </c>
      <c r="G219" s="13" t="n">
        <f aca="false">G218/F218-1</f>
        <v>0.0540809263225945</v>
      </c>
      <c r="H219" s="25" t="n">
        <f aca="false">H218/G218-1</f>
        <v>0.0100582359446861</v>
      </c>
      <c r="I219" s="25" t="n">
        <f aca="false">I218/H218-1</f>
        <v>-0.0286649586550167</v>
      </c>
      <c r="J219" s="25" t="n">
        <f aca="false">J218/I218-1</f>
        <v>-0.0677837014470678</v>
      </c>
    </row>
    <row r="220" customFormat="false" ht="17.15" hidden="false" customHeight="false" outlineLevel="0" collapsed="false">
      <c r="A220" s="3" t="s">
        <v>451</v>
      </c>
      <c r="B220" s="0" t="s">
        <v>125</v>
      </c>
      <c r="C220" s="13" t="n">
        <f aca="false">fade_gC</f>
        <v>0.02</v>
      </c>
      <c r="K220" s="7" t="s">
        <v>459</v>
      </c>
    </row>
    <row r="221" customFormat="false" ht="17.15" hidden="false" customHeight="false" outlineLevel="0" collapsed="false">
      <c r="A221" s="3" t="s">
        <v>453</v>
      </c>
      <c r="B221" s="0" t="s">
        <v>125</v>
      </c>
      <c r="C221" s="13" t="n">
        <f aca="false">G216*nim10_f</f>
        <v>0.157143990401727</v>
      </c>
      <c r="K221" s="3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461</v>
      </c>
    </row>
    <row r="2" customFormat="false" ht="17.15" hidden="false" customHeight="false" outlineLevel="0" collapsed="false">
      <c r="A2" s="3" t="s">
        <v>462</v>
      </c>
    </row>
    <row r="4" customFormat="false" ht="17.15" hidden="false" customHeight="false" outlineLevel="0" collapsed="false">
      <c r="A4" s="5" t="s">
        <v>463</v>
      </c>
    </row>
    <row r="5" customFormat="false" ht="17.15" hidden="false" customHeight="false" outlineLevel="0" collapsed="false">
      <c r="A5" s="5" t="s">
        <v>464</v>
      </c>
    </row>
    <row r="6" customFormat="false" ht="17.15" hidden="false" customHeight="false" outlineLevel="0" collapsed="false">
      <c r="A6" s="4" t="s">
        <v>16</v>
      </c>
      <c r="B6" s="10" t="s">
        <v>465</v>
      </c>
      <c r="C6" s="10" t="s">
        <v>466</v>
      </c>
      <c r="D6" s="10" t="s">
        <v>467</v>
      </c>
      <c r="E6" s="4" t="s">
        <v>273</v>
      </c>
    </row>
    <row r="7" customFormat="false" ht="17.15" hidden="false" customHeight="false" outlineLevel="0" collapsed="false">
      <c r="A7" s="3" t="s">
        <v>468</v>
      </c>
      <c r="E7" s="0" t="s">
        <v>469</v>
      </c>
    </row>
    <row r="8" customFormat="false" ht="15" hidden="false" customHeight="false" outlineLevel="0" collapsed="false">
      <c r="A8" s="0" t="s">
        <v>470</v>
      </c>
      <c r="B8" s="14" t="n">
        <f aca="false">PL!E194</f>
        <v>73.78458232524</v>
      </c>
      <c r="C8" s="14" t="n">
        <f aca="false">PL!E206</f>
        <v>73.78458232524</v>
      </c>
      <c r="D8" s="14" t="n">
        <f aca="false">PL!E218</f>
        <v>73.78458232524</v>
      </c>
    </row>
    <row r="9" customFormat="false" ht="15" hidden="false" customHeight="false" outlineLevel="0" collapsed="false">
      <c r="A9" s="0" t="s">
        <v>471</v>
      </c>
      <c r="B9" s="14" t="n">
        <f aca="false">PL!F194</f>
        <v>104.747952261422</v>
      </c>
      <c r="C9" s="14" t="n">
        <f aca="false">PL!F206</f>
        <v>94.3035413390302</v>
      </c>
      <c r="D9" s="14" t="n">
        <f aca="false">PL!F218</f>
        <v>75.9490438803307</v>
      </c>
    </row>
    <row r="10" customFormat="false" ht="15" hidden="false" customHeight="false" outlineLevel="0" collapsed="false">
      <c r="A10" s="0" t="s">
        <v>472</v>
      </c>
      <c r="B10" s="14" t="n">
        <f aca="false">PL!G194</f>
        <v>119.032770154449</v>
      </c>
      <c r="C10" s="14" t="n">
        <f aca="false">PL!G206</f>
        <v>104.398647090678</v>
      </c>
      <c r="D10" s="14" t="n">
        <f aca="false">PL!G218</f>
        <v>80.0564385266944</v>
      </c>
    </row>
    <row r="11" customFormat="false" ht="15" hidden="false" customHeight="false" outlineLevel="0" collapsed="false">
      <c r="A11" s="0" t="s">
        <v>473</v>
      </c>
      <c r="B11" s="14" t="n">
        <f aca="false">PL!H194</f>
        <v>137.571776656891</v>
      </c>
      <c r="C11" s="14" t="n">
        <f aca="false">PL!H206</f>
        <v>113.809155445465</v>
      </c>
      <c r="D11" s="14" t="n">
        <f aca="false">PL!H218</f>
        <v>80.8616650742872</v>
      </c>
    </row>
    <row r="12" customFormat="false" ht="15" hidden="false" customHeight="false" outlineLevel="0" collapsed="false">
      <c r="A12" s="0" t="s">
        <v>474</v>
      </c>
      <c r="B12" s="14" t="n">
        <f aca="false">PL!I194</f>
        <v>151.690219978856</v>
      </c>
      <c r="C12" s="14" t="n">
        <f aca="false">PL!I206</f>
        <v>118.534503932877</v>
      </c>
      <c r="D12" s="14" t="n">
        <f aca="false">PL!I218</f>
        <v>78.5437687881569</v>
      </c>
    </row>
    <row r="13" customFormat="false" ht="15" hidden="false" customHeight="false" outlineLevel="0" collapsed="false">
      <c r="A13" s="0" t="s">
        <v>475</v>
      </c>
      <c r="B13" s="14" t="n">
        <f aca="false">PL!J194</f>
        <v>159.199636809492</v>
      </c>
      <c r="C13" s="14" t="n">
        <f aca="false">PL!J206</f>
        <v>117.696211825856</v>
      </c>
      <c r="D13" s="14" t="n">
        <f aca="false">PL!J218</f>
        <v>73.219781414093</v>
      </c>
    </row>
    <row r="14" customFormat="false" ht="17.15" hidden="false" customHeight="false" outlineLevel="0" collapsed="false">
      <c r="A14" s="3" t="s">
        <v>476</v>
      </c>
    </row>
    <row r="15" customFormat="false" ht="17.15" hidden="false" customHeight="false" outlineLevel="0" collapsed="false">
      <c r="A15" s="3" t="s">
        <v>477</v>
      </c>
      <c r="B15" s="13" t="n">
        <f aca="false">MIN(tp_g/tp_roe,0.8)</f>
        <v>0.250941028858218</v>
      </c>
      <c r="E15" s="7" t="s">
        <v>478</v>
      </c>
    </row>
    <row r="16" customFormat="false" ht="15" hidden="false" customHeight="false" outlineLevel="0" collapsed="false">
      <c r="A16" s="0" t="s">
        <v>470</v>
      </c>
      <c r="B16" s="14" t="n">
        <f aca="false">B8*(1-$B$15)</f>
        <v>55.2690033226704</v>
      </c>
      <c r="C16" s="14" t="n">
        <f aca="false">C8*(1-$B$15)</f>
        <v>55.2690033226704</v>
      </c>
      <c r="D16" s="14" t="n">
        <f aca="false">D8*(1-$B$15)</f>
        <v>55.2690033226704</v>
      </c>
    </row>
    <row r="17" customFormat="false" ht="15" hidden="false" customHeight="false" outlineLevel="0" collapsed="false">
      <c r="A17" s="0" t="s">
        <v>471</v>
      </c>
      <c r="B17" s="14" t="n">
        <f aca="false">B9*(1-$B$15)</f>
        <v>78.4623933501495</v>
      </c>
      <c r="C17" s="14" t="n">
        <f aca="false">C9*(1-$B$15)</f>
        <v>70.6389136504404</v>
      </c>
      <c r="D17" s="14" t="n">
        <f aca="false">D9*(1-$B$15)</f>
        <v>56.8903126682026</v>
      </c>
    </row>
    <row r="18" customFormat="false" ht="15" hidden="false" customHeight="false" outlineLevel="0" collapsed="false">
      <c r="A18" s="0" t="s">
        <v>472</v>
      </c>
      <c r="B18" s="14" t="n">
        <f aca="false">B10*(1-$B$15)</f>
        <v>89.1625643440475</v>
      </c>
      <c r="C18" s="14" t="n">
        <f aca="false">C10*(1-$B$15)</f>
        <v>78.2007431783369</v>
      </c>
      <c r="D18" s="14" t="n">
        <f aca="false">D10*(1-$B$15)</f>
        <v>59.966993476081</v>
      </c>
    </row>
    <row r="19" customFormat="false" ht="15" hidden="false" customHeight="false" outlineLevel="0" collapsed="false">
      <c r="A19" s="0" t="s">
        <v>473</v>
      </c>
      <c r="B19" s="14" t="n">
        <f aca="false">B11*(1-$B$15)</f>
        <v>103.049373480758</v>
      </c>
      <c r="C19" s="14" t="n">
        <f aca="false">C11*(1-$B$15)</f>
        <v>85.249768884495</v>
      </c>
      <c r="D19" s="14" t="n">
        <f aca="false">D11*(1-$B$15)</f>
        <v>60.5701556453569</v>
      </c>
    </row>
    <row r="20" customFormat="false" ht="15" hidden="false" customHeight="false" outlineLevel="0" collapsed="false">
      <c r="A20" s="0" t="s">
        <v>474</v>
      </c>
      <c r="B20" s="14" t="n">
        <f aca="false">B12*(1-$B$15)</f>
        <v>113.624920109632</v>
      </c>
      <c r="C20" s="14" t="n">
        <f aca="false">C12*(1-$B$15)</f>
        <v>88.7893335607626</v>
      </c>
      <c r="D20" s="14" t="n">
        <f aca="false">D12*(1-$B$15)</f>
        <v>58.8339146380548</v>
      </c>
    </row>
    <row r="21" customFormat="false" ht="15" hidden="false" customHeight="false" outlineLevel="0" collapsed="false">
      <c r="A21" s="0" t="s">
        <v>475</v>
      </c>
      <c r="B21" s="14" t="n">
        <f aca="false">B13*(1-$B$15)</f>
        <v>119.249916154663</v>
      </c>
      <c r="C21" s="14" t="n">
        <f aca="false">C13*(1-$B$15)</f>
        <v>88.1614033375606</v>
      </c>
      <c r="D21" s="14" t="n">
        <f aca="false">D13*(1-$B$15)</f>
        <v>54.8459341332666</v>
      </c>
    </row>
    <row r="22" customFormat="false" ht="17.15" hidden="false" customHeight="false" outlineLevel="0" collapsed="false">
      <c r="A22" s="0" t="s">
        <v>479</v>
      </c>
      <c r="B22" s="17" t="n">
        <f aca="false">MAX(0,SUMPRODUCT(B16:B21,1/(1+tp_r)^{1;2;3;4;5;6})+B21*(1+tp_g)/(tp_r-tp_g)/(1+tp_r)^6)</f>
        <v>1557.09516220716</v>
      </c>
      <c r="C22" s="17" t="n">
        <f aca="false">MAX(0,SUMPRODUCT(C16:C21,1/(1+tp_r)^{1;2;3;4;5;6})+C21*(1+tp_g)/(tp_r-tp_g)/(1+tp_r)^6)</f>
        <v>1193.09004148104</v>
      </c>
      <c r="D22" s="17" t="n">
        <f aca="false">MAX(0,SUMPRODUCT(D16:D21,1/(1+tp_r)^{1;2;3;4;5;6})+D21*(1+tp_g)/(tp_r-tp_g)/(1+tp_r)^6)</f>
        <v>787.800388759595</v>
      </c>
      <c r="E22" s="7" t="s">
        <v>480</v>
      </c>
    </row>
    <row r="23" customFormat="false" ht="17.15" hidden="false" customHeight="false" outlineLevel="0" collapsed="false">
      <c r="A23" s="0" t="s">
        <v>481</v>
      </c>
      <c r="B23" s="17" t="n">
        <f aca="false">B22*(1+tp_r)</f>
        <v>1712.80467842788</v>
      </c>
      <c r="C23" s="17" t="n">
        <f aca="false">C22*(1+tp_r)</f>
        <v>1312.39904562914</v>
      </c>
      <c r="D23" s="17" t="n">
        <f aca="false">D22*(1+tp_r)</f>
        <v>866.580427635554</v>
      </c>
    </row>
    <row r="24" customFormat="false" ht="17.15" hidden="false" customHeight="false" outlineLevel="0" collapsed="false">
      <c r="A24" s="0" t="s">
        <v>482</v>
      </c>
      <c r="B24" s="28" t="n">
        <f aca="false">tp_wA*B23+tp_wB*C23+tp_wC*D23</f>
        <v>1343.35701187005</v>
      </c>
      <c r="E24" s="7" t="s">
        <v>483</v>
      </c>
    </row>
    <row r="26" customFormat="false" ht="17.15" hidden="false" customHeight="false" outlineLevel="0" collapsed="false">
      <c r="A26" s="5" t="s">
        <v>484</v>
      </c>
    </row>
    <row r="27" customFormat="false" ht="17.15" hidden="false" customHeight="false" outlineLevel="0" collapsed="false">
      <c r="A27" s="4" t="s">
        <v>485</v>
      </c>
      <c r="B27" s="4" t="s">
        <v>486</v>
      </c>
      <c r="C27" s="4" t="s">
        <v>487</v>
      </c>
      <c r="D27" s="4" t="s">
        <v>488</v>
      </c>
      <c r="E27" s="4" t="s">
        <v>489</v>
      </c>
      <c r="F27" s="4" t="s">
        <v>21</v>
      </c>
    </row>
    <row r="28" customFormat="false" ht="17.15" hidden="false" customHeight="false" outlineLevel="0" collapsed="false">
      <c r="A28" s="3" t="s">
        <v>490</v>
      </c>
      <c r="B28" s="0" t="s">
        <v>491</v>
      </c>
      <c r="C28" s="29" t="n">
        <v>32.17</v>
      </c>
      <c r="D28" s="7" t="s">
        <v>492</v>
      </c>
      <c r="E28" s="7" t="s">
        <v>493</v>
      </c>
      <c r="F28" s="7" t="s">
        <v>494</v>
      </c>
    </row>
    <row r="29" customFormat="false" ht="17.15" hidden="false" customHeight="false" outlineLevel="0" collapsed="false">
      <c r="A29" s="3" t="s">
        <v>495</v>
      </c>
      <c r="B29" s="0" t="s">
        <v>496</v>
      </c>
      <c r="C29" s="29" t="n">
        <v>27.49</v>
      </c>
      <c r="D29" s="7" t="s">
        <v>497</v>
      </c>
      <c r="E29" s="7" t="s">
        <v>498</v>
      </c>
      <c r="F29" s="7" t="s">
        <v>494</v>
      </c>
    </row>
    <row r="30" customFormat="false" ht="17.15" hidden="false" customHeight="false" outlineLevel="0" collapsed="false">
      <c r="A30" s="3" t="s">
        <v>499</v>
      </c>
      <c r="B30" s="0" t="s">
        <v>500</v>
      </c>
      <c r="C30" s="29" t="n">
        <v>19.57</v>
      </c>
      <c r="D30" s="7" t="s">
        <v>497</v>
      </c>
      <c r="E30" s="7" t="s">
        <v>498</v>
      </c>
      <c r="F30" s="7" t="s">
        <v>494</v>
      </c>
    </row>
    <row r="31" customFormat="false" ht="17.15" hidden="false" customHeight="false" outlineLevel="0" collapsed="false">
      <c r="A31" s="3" t="s">
        <v>501</v>
      </c>
      <c r="B31" s="16" t="n">
        <f aca="false">MEDIAN(C28:C30)</f>
        <v>27.49</v>
      </c>
      <c r="E31" s="3" t="s">
        <v>502</v>
      </c>
    </row>
    <row r="32" customFormat="false" ht="17.15" hidden="false" customHeight="false" outlineLevel="0" collapsed="false">
      <c r="A32" s="0" t="s">
        <v>503</v>
      </c>
      <c r="B32" s="14" t="n">
        <f aca="false">tp_wA*(0.166666666666667*B8+0.833333333333333*B9)+tp_wB*(0.166666666666667*C8+0.833333333333333*C9)+tp_wC*(0.166666666666667*D8+0.833333333333333*D9)</f>
        <v>90.4357346575466</v>
      </c>
      <c r="E32" s="3" t="s">
        <v>504</v>
      </c>
    </row>
    <row r="33" customFormat="false" ht="17.15" hidden="false" customHeight="false" outlineLevel="0" collapsed="false">
      <c r="A33" s="0" t="s">
        <v>505</v>
      </c>
      <c r="B33" s="28" t="n">
        <f aca="false">B31*B32</f>
        <v>2486.07834573596</v>
      </c>
      <c r="E33" s="3" t="s">
        <v>506</v>
      </c>
    </row>
    <row r="35" customFormat="false" ht="17.15" hidden="false" customHeight="false" outlineLevel="0" collapsed="false">
      <c r="A35" s="5" t="s">
        <v>507</v>
      </c>
    </row>
    <row r="36" customFormat="false" ht="15" hidden="false" customHeight="false" outlineLevel="0" collapsed="false">
      <c r="A36" s="4" t="s">
        <v>16</v>
      </c>
      <c r="B36" s="4" t="s">
        <v>508</v>
      </c>
      <c r="C36" s="4"/>
      <c r="D36" s="4"/>
      <c r="E36" s="4" t="s">
        <v>273</v>
      </c>
    </row>
    <row r="37" customFormat="false" ht="17.15" hidden="false" customHeight="false" outlineLevel="0" collapsed="false">
      <c r="A37" s="1" t="s">
        <v>509</v>
      </c>
      <c r="B37" s="28" t="n">
        <f aca="false">tp_w_dcf*B24+(1-tp_w_dcf)*tp_comp_adj</f>
        <v>1827.74408193815</v>
      </c>
      <c r="E37" s="7" t="s">
        <v>510</v>
      </c>
    </row>
    <row r="38" customFormat="false" ht="17.15" hidden="false" customHeight="false" outlineLevel="0" collapsed="false">
      <c r="A38" s="0" t="s">
        <v>511</v>
      </c>
      <c r="B38" s="17" t="n">
        <f aca="false">B33</f>
        <v>2486.07834573596</v>
      </c>
      <c r="E38" s="3" t="s">
        <v>512</v>
      </c>
    </row>
    <row r="39" customFormat="false" ht="17.15" hidden="false" customHeight="false" outlineLevel="0" collapsed="false">
      <c r="A39" s="3" t="s">
        <v>513</v>
      </c>
      <c r="B39" s="17" t="n">
        <f aca="false">cons_tp</f>
        <v>2213</v>
      </c>
      <c r="E39" s="7" t="s">
        <v>514</v>
      </c>
    </row>
    <row r="40" customFormat="false" ht="17.15" hidden="false" customHeight="false" outlineLevel="0" collapsed="false">
      <c r="A40" s="3" t="s">
        <v>515</v>
      </c>
      <c r="B40" s="13" t="n">
        <f aca="false">B37/px-1</f>
        <v>0.444856981769287</v>
      </c>
      <c r="E40" s="3" t="s">
        <v>516</v>
      </c>
    </row>
    <row r="41" customFormat="false" ht="17.15" hidden="false" customHeight="false" outlineLevel="0" collapsed="false">
      <c r="A41" s="3" t="s">
        <v>517</v>
      </c>
      <c r="B41" s="13" t="n">
        <f aca="false">B38/px-1</f>
        <v>0.965279324692456</v>
      </c>
    </row>
    <row r="42" customFormat="false" ht="17.15" hidden="false" customHeight="false" outlineLevel="0" collapsed="false">
      <c r="A42" s="3" t="s">
        <v>518</v>
      </c>
      <c r="B42" s="0" t="str">
        <f aca="false">IF(B40&gt;0.5,"大於 50%",IF(B40&gt;0.25,"25%–50%",IF(B40&gt;=0,"0%–25%",IF(B40&gt;=-0.25,"0%～−25%",IF(B40&gt;=-0.5,"−25%～−50%","小於 −50%")))))</f>
        <v>25%–50%</v>
      </c>
      <c r="E42" s="3" t="s">
        <v>519</v>
      </c>
    </row>
    <row r="43" customFormat="false" ht="17.15" hidden="false" customHeight="false" outlineLevel="0" collapsed="false">
      <c r="A43" s="3" t="s">
        <v>520</v>
      </c>
      <c r="B43" s="0" t="str">
        <f aca="false">IF(B40&gt;0.5,"強力買進",IF(B40&gt;0.25,"買進",IF(B40&gt;=-0.25,"中立",IF(B40&gt;=-0.5,"放空","強力放空"))))</f>
        <v>買進</v>
      </c>
      <c r="E43" s="3" t="s">
        <v>521</v>
      </c>
    </row>
    <row r="44" customFormat="false" ht="17.15" hidden="false" customHeight="false" outlineLevel="0" collapsed="false">
      <c r="A44" s="3" t="s">
        <v>522</v>
      </c>
      <c r="B44" s="13" t="n">
        <f aca="false">B32/cons_feps-1</f>
        <v>0.67942980487289</v>
      </c>
      <c r="E44" s="3" t="s">
        <v>523</v>
      </c>
    </row>
    <row r="45" customFormat="false" ht="17.15" hidden="false" customHeight="false" outlineLevel="0" collapsed="false">
      <c r="A45" s="3" t="s">
        <v>524</v>
      </c>
      <c r="B45" s="13" t="n">
        <f aca="false">(cons_tp/cons_feps)/B31-1</f>
        <v>0.494956168440252</v>
      </c>
      <c r="E45" s="0" t="str">
        <f aca="false">"共識目標價 ÷ 共識前瞻 EPS 隱含 "&amp;TEXT(cons_tp/cons_feps,"0.0")&amp;"x，同業中位數 "&amp;TEXT(B31,"0.0")&amp;"x"</f>
        <v>共識目標價 ÷ 共識前瞻 EPS 隱含 41.1x，同業中位數 27.5x</v>
      </c>
    </row>
    <row r="46" customFormat="false" ht="17.15" hidden="false" customHeight="false" outlineLevel="0" collapsed="false">
      <c r="A46" s="3" t="s">
        <v>525</v>
      </c>
      <c r="B46" s="30" t="str">
        <f aca="false">TEXT(D23,"#,##0")&amp;"～"&amp;TEXT(B23,"#,##0")</f>
        <v>867～1,713</v>
      </c>
      <c r="E46" s="7" t="s">
        <v>526</v>
      </c>
    </row>
    <row r="47" customFormat="false" ht="17.15" hidden="false" customHeight="false" outlineLevel="0" collapsed="false">
      <c r="A47" s="3" t="s">
        <v>527</v>
      </c>
      <c r="B47" s="31" t="n">
        <f aca="false">IF(px/B9&lt;=MIN($B$51:$K$51),0,IF(px/B9&gt;=MAX($B$51:$K$51),1,PERCENTRANK($B$51:$K$51,px/B9)))</f>
        <v>0.145</v>
      </c>
      <c r="C47" s="31" t="n">
        <f aca="false">IF(px/C9&lt;=MIN($B$51:$K$51),0,IF(px/C9&gt;=MAX($B$51:$K$51),1,PERCENTRANK($B$51:$K$51,px/C9)))</f>
        <v>0.221</v>
      </c>
      <c r="D47" s="31" t="n">
        <f aca="false">IF(px/D9&lt;=MIN($B$51:$K$51),0,IF(px/D9&gt;=MAX($B$51:$K$51),1,PERCENTRANK($B$51:$K$51,px/D9)))</f>
        <v>0.379</v>
      </c>
      <c r="E47" s="3" t="s">
        <v>528</v>
      </c>
    </row>
    <row r="48" customFormat="false" ht="17.15" hidden="false" customHeight="false" outlineLevel="0" collapsed="false">
      <c r="A48" s="3" t="s">
        <v>529</v>
      </c>
      <c r="B48" s="0" t="s">
        <v>530</v>
      </c>
    </row>
    <row r="50" customFormat="false" ht="17.15" hidden="false" customHeight="false" outlineLevel="0" collapsed="false">
      <c r="A50" s="1" t="s">
        <v>531</v>
      </c>
      <c r="B50" s="7" t="s">
        <v>532</v>
      </c>
      <c r="C50" s="7" t="s">
        <v>533</v>
      </c>
      <c r="D50" s="7" t="s">
        <v>534</v>
      </c>
      <c r="E50" s="7" t="s">
        <v>535</v>
      </c>
      <c r="F50" s="7" t="s">
        <v>536</v>
      </c>
      <c r="G50" s="7" t="s">
        <v>537</v>
      </c>
      <c r="H50" s="7" t="s">
        <v>538</v>
      </c>
      <c r="I50" s="7" t="s">
        <v>539</v>
      </c>
      <c r="J50" s="7" t="s">
        <v>540</v>
      </c>
      <c r="K50" s="7" t="s">
        <v>541</v>
      </c>
    </row>
    <row r="51" customFormat="false" ht="17.15" hidden="false" customHeight="false" outlineLevel="0" collapsed="false">
      <c r="A51" s="3" t="s">
        <v>542</v>
      </c>
      <c r="D51" s="16" t="n">
        <f aca="false">89.8/7.46</f>
        <v>12.0375335120643</v>
      </c>
      <c r="E51" s="16" t="n">
        <f aca="false">148/6.92</f>
        <v>21.3872832369942</v>
      </c>
      <c r="F51" s="16" t="n">
        <f aca="false">121/6.67</f>
        <v>18.1409295352324</v>
      </c>
      <c r="G51" s="16" t="n">
        <f aca="false">102/7.01</f>
        <v>14.5506419400856</v>
      </c>
      <c r="H51" s="16" t="n">
        <f aca="false">51.4/4.69</f>
        <v>10.9594882729211</v>
      </c>
      <c r="I51" s="16" t="n">
        <f aca="false">126/3.05</f>
        <v>41.3114754098361</v>
      </c>
      <c r="J51" s="16" t="n">
        <f aca="false">170/9.56</f>
        <v>17.7824267782427</v>
      </c>
      <c r="K51" s="16" t="n">
        <f aca="false">494/12.13</f>
        <v>40.7254740313273</v>
      </c>
    </row>
    <row r="52" customFormat="false" ht="17.15" hidden="false" customHeight="false" outlineLevel="0" collapsed="false">
      <c r="A52" s="3" t="s">
        <v>543</v>
      </c>
    </row>
    <row r="55" customFormat="false" ht="17.15" hidden="false" customHeight="false" outlineLevel="0" collapsed="false">
      <c r="A55" s="5" t="s">
        <v>544</v>
      </c>
    </row>
    <row r="56" customFormat="false" ht="15" hidden="false" customHeight="false" outlineLevel="0" collapsed="false">
      <c r="A56" s="4" t="s">
        <v>16</v>
      </c>
      <c r="B56" s="10" t="s">
        <v>545</v>
      </c>
      <c r="C56" s="10" t="s">
        <v>546</v>
      </c>
      <c r="D56" s="10" t="s">
        <v>547</v>
      </c>
      <c r="E56" s="4" t="s">
        <v>273</v>
      </c>
    </row>
    <row r="57" customFormat="false" ht="17.15" hidden="false" customHeight="false" outlineLevel="0" collapsed="false">
      <c r="A57" s="3" t="s">
        <v>548</v>
      </c>
      <c r="B57" s="17" t="n">
        <f aca="false">px</f>
        <v>1265</v>
      </c>
    </row>
    <row r="58" customFormat="false" ht="17.15" hidden="false" customHeight="false" outlineLevel="0" collapsed="false">
      <c r="A58" s="3" t="s">
        <v>549</v>
      </c>
      <c r="B58" s="16" t="n">
        <f aca="false">px/PL!D13</f>
        <v>33.2829066466415</v>
      </c>
      <c r="C58" s="16" t="n">
        <f aca="false">px/PL!D25</f>
        <v>33.2829066466415</v>
      </c>
      <c r="D58" s="16" t="n">
        <f aca="false">px/PL!D37</f>
        <v>33.2829066466415</v>
      </c>
    </row>
    <row r="59" customFormat="false" ht="17.15" hidden="false" customHeight="false" outlineLevel="0" collapsed="false">
      <c r="A59" s="3" t="s">
        <v>550</v>
      </c>
      <c r="B59" s="16" t="n">
        <f aca="false">px/PL!E13</f>
        <v>17.1445030944801</v>
      </c>
      <c r="C59" s="16" t="n">
        <f aca="false">px/PL!E25</f>
        <v>17.1445030944801</v>
      </c>
      <c r="D59" s="16" t="n">
        <f aca="false">px/PL!E37</f>
        <v>17.1445030944801</v>
      </c>
    </row>
    <row r="60" customFormat="false" ht="17.15" hidden="false" customHeight="false" outlineLevel="0" collapsed="false">
      <c r="A60" s="3" t="s">
        <v>551</v>
      </c>
      <c r="B60" s="16" t="n">
        <f aca="false">px/PL!F13</f>
        <v>12.076608398443</v>
      </c>
      <c r="C60" s="16" t="n">
        <f aca="false">px/PL!F25</f>
        <v>13.4141303925396</v>
      </c>
      <c r="D60" s="16" t="n">
        <f aca="false">px/PL!F37</f>
        <v>16.6559042137937</v>
      </c>
    </row>
    <row r="61" customFormat="false" ht="17.15" hidden="false" customHeight="false" outlineLevel="0" collapsed="false">
      <c r="A61" s="3" t="s">
        <v>552</v>
      </c>
      <c r="B61" s="16" t="n">
        <f aca="false">px/PL!G13</f>
        <v>10.6273255537834</v>
      </c>
      <c r="C61" s="16" t="n">
        <f aca="false">px/PL!G25</f>
        <v>12.1170152607558</v>
      </c>
      <c r="D61" s="16" t="n">
        <f aca="false">px/PL!G37</f>
        <v>15.8013524368586</v>
      </c>
    </row>
    <row r="62" customFormat="false" ht="17.15" hidden="false" customHeight="false" outlineLevel="0" collapsed="false">
      <c r="A62" s="3" t="s">
        <v>553</v>
      </c>
      <c r="B62" s="14" t="n">
        <f aca="false">3.76+4.36+8.02+12.88</f>
        <v>29.02</v>
      </c>
    </row>
    <row r="63" customFormat="false" ht="17.15" hidden="false" customHeight="false" outlineLevel="0" collapsed="false">
      <c r="A63" s="3" t="s">
        <v>554</v>
      </c>
      <c r="B63" s="16" t="n">
        <f aca="false">px/B62</f>
        <v>43.5906271536871</v>
      </c>
    </row>
    <row r="66" customFormat="false" ht="17.15" hidden="false" customHeight="false" outlineLevel="0" collapsed="false">
      <c r="A66" s="5" t="s">
        <v>555</v>
      </c>
    </row>
    <row r="67" customFormat="false" ht="17.15" hidden="false" customHeight="false" outlineLevel="0" collapsed="false">
      <c r="A67" s="3" t="s">
        <v>556</v>
      </c>
    </row>
    <row r="68" customFormat="false" ht="17.15" hidden="false" customHeight="false" outlineLevel="0" collapsed="false">
      <c r="A68" s="4" t="s">
        <v>557</v>
      </c>
      <c r="B68" s="4" t="s">
        <v>486</v>
      </c>
      <c r="C68" s="4" t="s">
        <v>558</v>
      </c>
      <c r="D68" s="10" t="s">
        <v>559</v>
      </c>
      <c r="E68" s="10" t="s">
        <v>560</v>
      </c>
      <c r="F68" s="10" t="s">
        <v>561</v>
      </c>
      <c r="G68" s="10" t="s">
        <v>562</v>
      </c>
      <c r="H68" s="10" t="s">
        <v>563</v>
      </c>
      <c r="I68" s="10" t="s">
        <v>564</v>
      </c>
      <c r="J68" s="10" t="s">
        <v>565</v>
      </c>
      <c r="K68" s="10" t="s">
        <v>566</v>
      </c>
      <c r="L68" s="10" t="s">
        <v>567</v>
      </c>
      <c r="M68" s="10" t="s">
        <v>568</v>
      </c>
      <c r="N68" s="4" t="s">
        <v>569</v>
      </c>
      <c r="O68" s="10" t="s">
        <v>570</v>
      </c>
      <c r="P68" s="4" t="s">
        <v>571</v>
      </c>
      <c r="Q68" s="4" t="s">
        <v>489</v>
      </c>
    </row>
    <row r="69" customFormat="false" ht="17.15" hidden="false" customHeight="false" outlineLevel="0" collapsed="false">
      <c r="A69" s="3" t="s">
        <v>572</v>
      </c>
      <c r="B69" s="0" t="s">
        <v>573</v>
      </c>
      <c r="C69" s="3" t="s">
        <v>574</v>
      </c>
      <c r="D69" s="15" t="n">
        <v>9.2055</v>
      </c>
      <c r="E69" s="15" t="n">
        <v>12.0875</v>
      </c>
      <c r="F69" s="15" t="n">
        <v>12.277</v>
      </c>
      <c r="G69" s="15" t="n">
        <v>12.6065</v>
      </c>
      <c r="H69" s="15" t="n">
        <v>11.2705</v>
      </c>
      <c r="I69" s="15" t="n">
        <v>8.3745</v>
      </c>
      <c r="J69" s="15" t="n">
        <v>10.8355</v>
      </c>
      <c r="K69" s="15" t="n">
        <v>15.1745</v>
      </c>
      <c r="L69" s="15" t="n">
        <v>13.1345</v>
      </c>
      <c r="M69" s="15" t="n">
        <v>22.3335</v>
      </c>
      <c r="N69" s="7" t="n">
        <f aca="false">COUNT(D69:M69)</f>
        <v>10</v>
      </c>
      <c r="O69" s="14" t="n">
        <f aca="false">IF(N69&gt;0,MEDIAN(D69:M69),"")</f>
        <v>12.18225</v>
      </c>
      <c r="P69" s="14" t="n">
        <f aca="false">IF(N69&gt;=7,O69,"")</f>
        <v>12.18225</v>
      </c>
      <c r="Q69" s="7" t="s">
        <v>575</v>
      </c>
    </row>
    <row r="70" customFormat="false" ht="17.15" hidden="false" customHeight="false" outlineLevel="0" collapsed="false">
      <c r="A70" s="3" t="s">
        <v>490</v>
      </c>
      <c r="B70" s="0" t="s">
        <v>491</v>
      </c>
      <c r="C70" s="3" t="s">
        <v>576</v>
      </c>
      <c r="D70" s="15" t="n">
        <v>10.67</v>
      </c>
      <c r="E70" s="15" t="n">
        <v>10.2075</v>
      </c>
      <c r="F70" s="15" t="n">
        <v>11.868</v>
      </c>
      <c r="G70" s="15" t="n">
        <v>11.6805</v>
      </c>
      <c r="H70" s="15" t="n">
        <v>12.4515</v>
      </c>
      <c r="I70" s="15" t="n">
        <v>11.1805</v>
      </c>
      <c r="J70" s="15" t="n">
        <v>13.276</v>
      </c>
      <c r="K70" s="15" t="n">
        <v>15.336</v>
      </c>
      <c r="L70" s="15" t="n">
        <v>18.3845</v>
      </c>
      <c r="M70" s="15" t="n">
        <v>28.217</v>
      </c>
      <c r="N70" s="7" t="n">
        <f aca="false">COUNT(D70:M70)</f>
        <v>10</v>
      </c>
      <c r="O70" s="14" t="n">
        <f aca="false">IF(N70&gt;0,MEDIAN(D70:M70),"")</f>
        <v>12.15975</v>
      </c>
      <c r="P70" s="14" t="n">
        <f aca="false">IF(N70&gt;=7,O70,"")</f>
        <v>12.15975</v>
      </c>
      <c r="Q70" s="7" t="s">
        <v>577</v>
      </c>
    </row>
    <row r="71" customFormat="false" ht="17.15" hidden="false" customHeight="false" outlineLevel="0" collapsed="false">
      <c r="A71" s="3" t="s">
        <v>495</v>
      </c>
      <c r="B71" s="0" t="s">
        <v>496</v>
      </c>
      <c r="C71" s="3" t="s">
        <v>576</v>
      </c>
      <c r="D71" s="15" t="n">
        <v>10.5155</v>
      </c>
      <c r="E71" s="15" t="n">
        <v>10.966</v>
      </c>
      <c r="F71" s="15" t="n">
        <v>13.4605</v>
      </c>
      <c r="G71" s="15" t="n">
        <v>12.516</v>
      </c>
      <c r="H71" s="15" t="n">
        <v>12.9565</v>
      </c>
      <c r="I71" s="15" t="n">
        <v>11.1175</v>
      </c>
      <c r="J71" s="15" t="n">
        <v>13.241</v>
      </c>
      <c r="K71" s="15" t="n">
        <v>17.8015</v>
      </c>
      <c r="L71" s="15" t="n">
        <v>16.4055</v>
      </c>
      <c r="M71" s="15" t="n">
        <v>21.7305</v>
      </c>
      <c r="N71" s="7" t="n">
        <f aca="false">COUNT(D71:M71)</f>
        <v>10</v>
      </c>
      <c r="O71" s="14" t="n">
        <f aca="false">IF(N71&gt;0,MEDIAN(D71:M71),"")</f>
        <v>13.09875</v>
      </c>
      <c r="P71" s="14" t="n">
        <f aca="false">IF(N71&gt;=7,O71,"")</f>
        <v>13.09875</v>
      </c>
      <c r="Q71" s="7" t="s">
        <v>578</v>
      </c>
    </row>
    <row r="72" customFormat="false" ht="17.15" hidden="false" customHeight="false" outlineLevel="0" collapsed="false">
      <c r="A72" s="3" t="s">
        <v>499</v>
      </c>
      <c r="B72" s="0" t="s">
        <v>500</v>
      </c>
      <c r="C72" s="3" t="s">
        <v>576</v>
      </c>
      <c r="D72" s="15" t="n">
        <v>124.787</v>
      </c>
      <c r="E72" s="15" t="n">
        <v>19.303</v>
      </c>
      <c r="F72" s="15" t="n">
        <v>19.303</v>
      </c>
      <c r="G72" s="15" t="n">
        <v>19.303</v>
      </c>
      <c r="H72" s="15" t="n">
        <v>10.0765</v>
      </c>
      <c r="I72" s="15" t="n">
        <v>10.779</v>
      </c>
      <c r="J72" s="15" t="n">
        <v>11.369</v>
      </c>
      <c r="K72" s="15" t="n">
        <v>15.5915</v>
      </c>
      <c r="L72" s="15" t="n">
        <v>15.535</v>
      </c>
      <c r="M72" s="15" t="n">
        <v>21.815</v>
      </c>
      <c r="N72" s="7" t="n">
        <f aca="false">COUNT(D72:M72)</f>
        <v>10</v>
      </c>
      <c r="O72" s="14" t="n">
        <f aca="false">IF(N72&gt;0,MEDIAN(D72:M72),"")</f>
        <v>17.44725</v>
      </c>
      <c r="P72" s="14" t="n">
        <f aca="false">IF(N72&gt;=7,O72,"")</f>
        <v>17.44725</v>
      </c>
      <c r="Q72" s="7" t="s">
        <v>579</v>
      </c>
    </row>
    <row r="74" customFormat="false" ht="17.15" hidden="false" customHeight="false" outlineLevel="0" collapsed="false">
      <c r="A74" s="3" t="s">
        <v>580</v>
      </c>
      <c r="B74" s="14" t="n">
        <f aca="false">P69</f>
        <v>12.18225</v>
      </c>
      <c r="E74" s="3" t="s">
        <v>581</v>
      </c>
    </row>
    <row r="75" customFormat="false" ht="15" hidden="false" customHeight="false" outlineLevel="0" collapsed="false">
      <c r="A75" s="3" t="s">
        <v>582</v>
      </c>
      <c r="B75" s="32" t="n">
        <f aca="false">COUNT(P70:P72)</f>
        <v>3</v>
      </c>
    </row>
    <row r="76" customFormat="false" ht="17.15" hidden="false" customHeight="false" outlineLevel="0" collapsed="false">
      <c r="A76" s="3" t="s">
        <v>583</v>
      </c>
      <c r="B76" s="14" t="n">
        <f aca="false">IF(B75&gt;0,MEDIAN(P70:P72),"")</f>
        <v>13.09875</v>
      </c>
    </row>
    <row r="77" customFormat="false" ht="17.15" hidden="false" customHeight="false" outlineLevel="0" collapsed="false">
      <c r="A77" s="3" t="s">
        <v>584</v>
      </c>
      <c r="B77" s="14" t="n">
        <f aca="false">IF(AND(ISNUMBER(B74),B75&gt;=2),B74/B76,"")</f>
        <v>0.930031491554538</v>
      </c>
      <c r="E77" s="3" t="s">
        <v>585</v>
      </c>
    </row>
    <row r="78" customFormat="false" ht="17.15" hidden="false" customHeight="false" outlineLevel="0" collapsed="false">
      <c r="A78" s="3" t="s">
        <v>586</v>
      </c>
      <c r="B78" s="15" t="n">
        <v>0.5</v>
      </c>
      <c r="E78" s="7" t="s">
        <v>587</v>
      </c>
    </row>
    <row r="79" customFormat="false" ht="17.15" hidden="false" customHeight="false" outlineLevel="0" collapsed="false">
      <c r="A79" s="3" t="s">
        <v>588</v>
      </c>
      <c r="B79" s="15" t="n">
        <v>2</v>
      </c>
      <c r="E79" s="7" t="s">
        <v>589</v>
      </c>
    </row>
    <row r="80" customFormat="false" ht="17.15" hidden="false" customHeight="false" outlineLevel="0" collapsed="false">
      <c r="A80" s="1" t="s">
        <v>590</v>
      </c>
      <c r="B80" s="33" t="n">
        <f aca="false">IF(ISNUMBER(B77),MIN(MAX(B77,B78),B79),1)</f>
        <v>0.930031491554538</v>
      </c>
      <c r="E80" s="3" t="s">
        <v>591</v>
      </c>
    </row>
    <row r="81" customFormat="false" ht="17.15" hidden="false" customHeight="false" outlineLevel="0" collapsed="false">
      <c r="A81" s="5" t="s">
        <v>592</v>
      </c>
      <c r="B81" s="28" t="n">
        <f aca="false">Val!$B$33*B80</f>
        <v>2312.13115200625</v>
      </c>
      <c r="E81" s="3" t="s"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594</v>
      </c>
    </row>
    <row r="3" customFormat="false" ht="17.15" hidden="false" customHeight="false" outlineLevel="0" collapsed="false">
      <c r="A3" s="4" t="s">
        <v>16</v>
      </c>
      <c r="B3" s="4" t="s">
        <v>595</v>
      </c>
      <c r="C3" s="4" t="s">
        <v>596</v>
      </c>
      <c r="D3" s="4" t="s">
        <v>597</v>
      </c>
      <c r="E3" s="4" t="s">
        <v>598</v>
      </c>
      <c r="F3" s="4" t="s">
        <v>599</v>
      </c>
      <c r="G3" s="4" t="s">
        <v>600</v>
      </c>
      <c r="H3" s="4" t="s">
        <v>601</v>
      </c>
      <c r="I3" s="4" t="s">
        <v>602</v>
      </c>
      <c r="J3" s="4" t="s">
        <v>273</v>
      </c>
    </row>
    <row r="4" customFormat="false" ht="17.15" hidden="false" customHeight="false" outlineLevel="0" collapsed="false">
      <c r="A4" s="5" t="s">
        <v>603</v>
      </c>
    </row>
    <row r="5" customFormat="false" ht="17.15" hidden="false" customHeight="false" outlineLevel="0" collapsed="false">
      <c r="A5" s="0" t="s">
        <v>604</v>
      </c>
      <c r="B5" s="21" t="n">
        <f aca="false">c_rev26f</f>
        <v>58.89</v>
      </c>
      <c r="C5" s="21" t="n">
        <f aca="false">PL!D80</f>
        <v>61.15006235</v>
      </c>
      <c r="D5" s="13" t="n">
        <f aca="false">C5/B5-1</f>
        <v>0.0383776931567328</v>
      </c>
      <c r="E5" s="21" t="n">
        <f aca="false">PL!D122</f>
        <v>61.15006235</v>
      </c>
      <c r="F5" s="13" t="n">
        <f aca="false">E5/B5-1</f>
        <v>0.0383776931567328</v>
      </c>
      <c r="G5" s="21" t="n">
        <f aca="false">PL!D164</f>
        <v>61.15006235</v>
      </c>
      <c r="H5" s="13" t="n">
        <f aca="false">G5/B5-1</f>
        <v>0.0383776931567328</v>
      </c>
      <c r="I5" s="7" t="s">
        <v>605</v>
      </c>
      <c r="J5" s="7" t="s">
        <v>606</v>
      </c>
    </row>
    <row r="6" customFormat="false" ht="17.15" hidden="false" customHeight="false" outlineLevel="0" collapsed="false">
      <c r="A6" s="0" t="s">
        <v>607</v>
      </c>
      <c r="B6" s="18" t="n">
        <f aca="false">c_eps26f</f>
        <v>36.05</v>
      </c>
      <c r="C6" s="18" t="n">
        <f aca="false">PL!D98</f>
        <v>38.0074977654528</v>
      </c>
      <c r="D6" s="13" t="n">
        <f aca="false">C6/B6-1</f>
        <v>0.054299521926569</v>
      </c>
      <c r="E6" s="18" t="n">
        <f aca="false">PL!D140</f>
        <v>38.0074977654528</v>
      </c>
      <c r="F6" s="13" t="n">
        <f aca="false">E6/B6-1</f>
        <v>0.054299521926569</v>
      </c>
      <c r="G6" s="18" t="n">
        <f aca="false">PL!D182</f>
        <v>38.0074977654528</v>
      </c>
      <c r="H6" s="13" t="n">
        <f aca="false">G6/B6-1</f>
        <v>0.054299521926569</v>
      </c>
      <c r="I6" s="3" t="s">
        <v>82</v>
      </c>
    </row>
    <row r="7" customFormat="false" ht="17.15" hidden="false" customHeight="false" outlineLevel="0" collapsed="false">
      <c r="A7" s="0" t="s">
        <v>608</v>
      </c>
      <c r="B7" s="18" t="n">
        <f aca="false">b_eps26u</f>
        <v>38.8</v>
      </c>
      <c r="C7" s="18" t="n">
        <f aca="false">PL!D98</f>
        <v>38.0074977654528</v>
      </c>
      <c r="D7" s="13" t="n">
        <f aca="false">C7/B7-1</f>
        <v>-0.0204253153233812</v>
      </c>
      <c r="E7" s="18" t="n">
        <f aca="false">PL!D140</f>
        <v>38.0074977654528</v>
      </c>
      <c r="F7" s="13" t="n">
        <f aca="false">E7/B7-1</f>
        <v>-0.0204253153233812</v>
      </c>
      <c r="G7" s="18" t="n">
        <f aca="false">PL!D182</f>
        <v>38.0074977654528</v>
      </c>
      <c r="H7" s="13" t="n">
        <f aca="false">G7/B7-1</f>
        <v>-0.0204253153233812</v>
      </c>
      <c r="I7" s="3" t="s">
        <v>609</v>
      </c>
    </row>
    <row r="8" customFormat="false" ht="17.15" hidden="false" customHeight="false" outlineLevel="0" collapsed="false">
      <c r="A8" s="0" t="s">
        <v>610</v>
      </c>
      <c r="B8" s="21" t="n">
        <f aca="false">c_rev27f</f>
        <v>100.7</v>
      </c>
      <c r="C8" s="21" t="n">
        <f aca="false">PL!E80</f>
        <v>101.639210016638</v>
      </c>
      <c r="D8" s="13" t="n">
        <f aca="false">C8/B8-1</f>
        <v>0.00932681247902978</v>
      </c>
      <c r="E8" s="21" t="n">
        <f aca="false">PL!E122</f>
        <v>101.639210016638</v>
      </c>
      <c r="F8" s="13" t="n">
        <f aca="false">E8/B8-1</f>
        <v>0.00932681247902978</v>
      </c>
      <c r="G8" s="21" t="n">
        <f aca="false">PL!E164</f>
        <v>101.639210016638</v>
      </c>
      <c r="H8" s="13" t="n">
        <f aca="false">G8/B8-1</f>
        <v>0.00932681247902978</v>
      </c>
      <c r="I8" s="7" t="s">
        <v>611</v>
      </c>
    </row>
    <row r="9" customFormat="false" ht="17.15" hidden="false" customHeight="false" outlineLevel="0" collapsed="false">
      <c r="A9" s="0" t="s">
        <v>612</v>
      </c>
      <c r="B9" s="18" t="n">
        <f aca="false">c_eps27f</f>
        <v>70.47</v>
      </c>
      <c r="C9" s="18" t="n">
        <f aca="false">PL!E98</f>
        <v>73.78458232524</v>
      </c>
      <c r="D9" s="13" t="n">
        <f aca="false">C9/B9-1</f>
        <v>0.0470353671809285</v>
      </c>
      <c r="E9" s="18" t="n">
        <f aca="false">PL!E140</f>
        <v>73.78458232524</v>
      </c>
      <c r="F9" s="13" t="n">
        <f aca="false">E9/B9-1</f>
        <v>0.0470353671809285</v>
      </c>
      <c r="G9" s="18" t="n">
        <f aca="false">PL!E182</f>
        <v>73.78458232524</v>
      </c>
      <c r="H9" s="13" t="n">
        <f aca="false">G9/B9-1</f>
        <v>0.0470353671809285</v>
      </c>
      <c r="I9" s="7" t="s">
        <v>611</v>
      </c>
      <c r="J9" s="3" t="s">
        <v>613</v>
      </c>
    </row>
    <row r="10" customFormat="false" ht="17.15" hidden="false" customHeight="false" outlineLevel="0" collapsed="false">
      <c r="A10" s="0" t="s">
        <v>614</v>
      </c>
      <c r="B10" s="18" t="n">
        <f aca="false">b_eps27u</f>
        <v>93.5</v>
      </c>
      <c r="C10" s="18" t="n">
        <f aca="false">PL!E98</f>
        <v>73.78458232524</v>
      </c>
      <c r="D10" s="13" t="n">
        <f aca="false">C10/B10-1</f>
        <v>-0.210860082082994</v>
      </c>
      <c r="E10" s="18" t="n">
        <f aca="false">PL!E140</f>
        <v>73.78458232524</v>
      </c>
      <c r="F10" s="13" t="n">
        <f aca="false">E10/B10-1</f>
        <v>-0.210860082082994</v>
      </c>
      <c r="G10" s="18" t="n">
        <f aca="false">PL!E182</f>
        <v>73.78458232524</v>
      </c>
      <c r="H10" s="13" t="n">
        <f aca="false">G10/B10-1</f>
        <v>-0.210860082082994</v>
      </c>
      <c r="I10" s="3" t="s">
        <v>609</v>
      </c>
    </row>
    <row r="11" customFormat="false" ht="17.15" hidden="false" customHeight="false" outlineLevel="0" collapsed="false">
      <c r="A11" s="0" t="s">
        <v>615</v>
      </c>
      <c r="B11" s="18" t="n">
        <f aca="false">b_eps28u</f>
        <v>168.7</v>
      </c>
      <c r="C11" s="18" t="n">
        <f aca="false">PL!F98</f>
        <v>104.747952261422</v>
      </c>
      <c r="D11" s="13" t="n">
        <f aca="false">C11/B11-1</f>
        <v>-0.379087419908582</v>
      </c>
      <c r="E11" s="18" t="n">
        <f aca="false">PL!F140</f>
        <v>94.3035413390302</v>
      </c>
      <c r="F11" s="13" t="n">
        <f aca="false">E11/B11-1</f>
        <v>-0.440998569418908</v>
      </c>
      <c r="G11" s="18" t="n">
        <f aca="false">PL!F182</f>
        <v>75.9490438803307</v>
      </c>
      <c r="H11" s="13" t="n">
        <f aca="false">G11/B11-1</f>
        <v>-0.549798198693949</v>
      </c>
      <c r="I11" s="3" t="s">
        <v>609</v>
      </c>
      <c r="J11" s="3" t="s">
        <v>616</v>
      </c>
    </row>
    <row r="12" customFormat="false" ht="17.15" hidden="false" customHeight="false" outlineLevel="0" collapsed="false">
      <c r="A12" s="0" t="s">
        <v>617</v>
      </c>
      <c r="B12" s="18" t="n">
        <f aca="false">c_eps28f</f>
        <v>81.76</v>
      </c>
      <c r="C12" s="18" t="n">
        <f aca="false">PL!F98</f>
        <v>104.747952261422</v>
      </c>
      <c r="D12" s="13" t="n">
        <f aca="false">C12/B12-1</f>
        <v>0.28116379967493</v>
      </c>
      <c r="E12" s="18" t="n">
        <f aca="false">PL!F140</f>
        <v>94.3035413390302</v>
      </c>
      <c r="F12" s="13" t="n">
        <f aca="false">E12/B12-1</f>
        <v>0.153419047688725</v>
      </c>
      <c r="G12" s="18" t="n">
        <f aca="false">PL!F182</f>
        <v>75.9490438803307</v>
      </c>
      <c r="H12" s="13" t="n">
        <f aca="false">G12/B12-1</f>
        <v>-0.0710733380585772</v>
      </c>
      <c r="I12" s="3" t="s">
        <v>618</v>
      </c>
      <c r="J12" s="3" t="s">
        <v>619</v>
      </c>
    </row>
    <row r="13" customFormat="false" ht="17.15" hidden="false" customHeight="false" outlineLevel="0" collapsed="false">
      <c r="A13" s="5" t="s">
        <v>620</v>
      </c>
    </row>
    <row r="14" customFormat="false" ht="17.15" hidden="false" customHeight="false" outlineLevel="0" collapsed="false">
      <c r="A14" s="0" t="s">
        <v>621</v>
      </c>
      <c r="C14" s="18" t="n">
        <v>8.18983831472237</v>
      </c>
      <c r="D14" s="22" t="n">
        <f aca="false">PL!D65-C14</f>
        <v>0</v>
      </c>
      <c r="E14" s="18" t="n">
        <v>8.18983831472237</v>
      </c>
      <c r="F14" s="22" t="n">
        <f aca="false">PL!D107-E14</f>
        <v>0</v>
      </c>
      <c r="G14" s="18" t="n">
        <v>8.18983831472237</v>
      </c>
      <c r="H14" s="22" t="n">
        <f aca="false">PL!D149-G14</f>
        <v>0</v>
      </c>
      <c r="I14" s="7" t="s">
        <v>622</v>
      </c>
      <c r="J14" s="3" t="s">
        <v>623</v>
      </c>
    </row>
    <row r="15" customFormat="false" ht="17.15" hidden="false" customHeight="false" outlineLevel="0" collapsed="false">
      <c r="A15" s="0" t="s">
        <v>624</v>
      </c>
      <c r="C15" s="18" t="n">
        <v>21.9686689732486</v>
      </c>
      <c r="D15" s="22" t="n">
        <f aca="false">PL!E65/mf-C15</f>
        <v>0</v>
      </c>
      <c r="E15" s="18" t="n">
        <v>21.9686689732486</v>
      </c>
      <c r="F15" s="22" t="n">
        <f aca="false">PL!E107/mf-E15</f>
        <v>0</v>
      </c>
      <c r="G15" s="18" t="n">
        <v>21.9686689732486</v>
      </c>
      <c r="H15" s="22" t="n">
        <f aca="false">PL!E149/mf-G15</f>
        <v>0</v>
      </c>
      <c r="I15" s="7" t="s">
        <v>622</v>
      </c>
      <c r="J15" s="3" t="s">
        <v>623</v>
      </c>
    </row>
    <row r="16" customFormat="false" ht="17.15" hidden="false" customHeight="false" outlineLevel="0" collapsed="false">
      <c r="A16" s="0" t="s">
        <v>625</v>
      </c>
      <c r="C16" s="18" t="n">
        <v>32.15041215847</v>
      </c>
      <c r="D16" s="22" t="n">
        <f aca="false">PL!F65/mf-C16</f>
        <v>0</v>
      </c>
      <c r="E16" s="18" t="n">
        <v>25.720329726776</v>
      </c>
      <c r="F16" s="22" t="n">
        <f aca="false">PL!F107/mf-E16</f>
        <v>0</v>
      </c>
      <c r="G16" s="18" t="n">
        <v>19.290247295082</v>
      </c>
      <c r="H16" s="22" t="n">
        <f aca="false">PL!F149/mf-G16</f>
        <v>0</v>
      </c>
      <c r="I16" s="7" t="s">
        <v>622</v>
      </c>
      <c r="J16" s="3" t="s">
        <v>623</v>
      </c>
    </row>
    <row r="17" customFormat="false" ht="17.15" hidden="false" customHeight="false" outlineLevel="0" collapsed="false">
      <c r="A17" s="0" t="s">
        <v>626</v>
      </c>
      <c r="C17" s="18" t="n">
        <v>39.8418170251739</v>
      </c>
      <c r="D17" s="22" t="n">
        <f aca="false">PL!G65/mf-C17</f>
        <v>0</v>
      </c>
      <c r="E17" s="18" t="n">
        <v>33.8655444713978</v>
      </c>
      <c r="F17" s="22" t="n">
        <f aca="false">PL!G107/mf-E17</f>
        <v>0</v>
      </c>
      <c r="G17" s="18" t="n">
        <v>23.9050902151043</v>
      </c>
      <c r="H17" s="22" t="n">
        <f aca="false">PL!G149/mf-G17</f>
        <v>0</v>
      </c>
      <c r="I17" s="7" t="s">
        <v>622</v>
      </c>
      <c r="J17" s="3" t="s">
        <v>623</v>
      </c>
    </row>
    <row r="18" customFormat="false" ht="17.15" hidden="false" customHeight="false" outlineLevel="0" collapsed="false">
      <c r="A18" s="0" t="s">
        <v>627</v>
      </c>
      <c r="C18" s="13" t="n">
        <f aca="false">PL!D68</f>
        <v>0.097998829464188</v>
      </c>
      <c r="E18" s="13" t="n">
        <f aca="false">PL!D110</f>
        <v>0.097998829464188</v>
      </c>
      <c r="G18" s="13" t="n">
        <f aca="false">PL!D152</f>
        <v>0.097998829464188</v>
      </c>
      <c r="I18" s="7" t="s">
        <v>119</v>
      </c>
      <c r="J18" s="3" t="s">
        <v>628</v>
      </c>
    </row>
    <row r="19" customFormat="false" ht="17.15" hidden="false" customHeight="false" outlineLevel="0" collapsed="false">
      <c r="A19" s="0" t="s">
        <v>629</v>
      </c>
      <c r="C19" s="13" t="n">
        <f aca="false">PL!E84</f>
        <v>1.16672557612271</v>
      </c>
      <c r="E19" s="13" t="n">
        <f aca="false">PL!E126</f>
        <v>1.16672557612271</v>
      </c>
      <c r="G19" s="13" t="n">
        <f aca="false">PL!E168</f>
        <v>1.16672557612271</v>
      </c>
      <c r="I19" s="7" t="s">
        <v>119</v>
      </c>
      <c r="J19" s="3" t="s">
        <v>365</v>
      </c>
    </row>
    <row r="20" customFormat="false" ht="17.15" hidden="false" customHeight="false" outlineLevel="0" collapsed="false">
      <c r="A20" s="0" t="s">
        <v>630</v>
      </c>
      <c r="C20" s="13" t="n">
        <f aca="false">PL!F84</f>
        <v>1.06766320347601</v>
      </c>
      <c r="E20" s="13" t="n">
        <f aca="false">PL!F126</f>
        <v>0.910658082160654</v>
      </c>
      <c r="G20" s="13" t="n">
        <f aca="false">PL!F168</f>
        <v>0.753652960845296</v>
      </c>
      <c r="I20" s="7" t="s">
        <v>119</v>
      </c>
    </row>
    <row r="21" customFormat="false" ht="17.15" hidden="false" customHeight="false" outlineLevel="0" collapsed="false">
      <c r="A21" s="3" t="s">
        <v>631</v>
      </c>
      <c r="C21" s="17" t="n">
        <f aca="false">PL!D74</f>
        <v>2168.44192730496</v>
      </c>
      <c r="E21" s="17" t="n">
        <f aca="false">PL!D116</f>
        <v>2168.44192730496</v>
      </c>
      <c r="G21" s="17" t="n">
        <f aca="false">PL!D158</f>
        <v>2168.44192730496</v>
      </c>
      <c r="I21" s="7" t="s">
        <v>119</v>
      </c>
      <c r="J21" s="7" t="s">
        <v>632</v>
      </c>
    </row>
    <row r="22" customFormat="false" ht="17.15" hidden="false" customHeight="false" outlineLevel="0" collapsed="false">
      <c r="A22" s="3" t="s">
        <v>633</v>
      </c>
      <c r="C22" s="13" t="n">
        <f aca="false">PL!D87</f>
        <v>0.29658591102058</v>
      </c>
      <c r="E22" s="13" t="n">
        <f aca="false">PL!D129</f>
        <v>0.29658591102058</v>
      </c>
      <c r="G22" s="13" t="n">
        <f aca="false">PL!D171</f>
        <v>0.29658591102058</v>
      </c>
      <c r="I22" s="7" t="s">
        <v>634</v>
      </c>
      <c r="J22" s="3" t="s">
        <v>635</v>
      </c>
    </row>
    <row r="23" customFormat="false" ht="17.15" hidden="false" customHeight="false" outlineLevel="0" collapsed="false">
      <c r="A23" s="0" t="s">
        <v>636</v>
      </c>
      <c r="C23" s="14" t="n">
        <f aca="false">Q!E15</f>
        <v>13.0978895400353</v>
      </c>
      <c r="E23" s="14" t="n">
        <f aca="false">Q!E15</f>
        <v>13.0978895400353</v>
      </c>
      <c r="G23" s="14" t="n">
        <f aca="false">Q!E15</f>
        <v>13.0978895400353</v>
      </c>
      <c r="I23" s="7" t="s">
        <v>119</v>
      </c>
      <c r="J23" s="7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8" min="3" style="0" width="14"/>
    <col collapsed="false" customWidth="true" hidden="false" outlineLevel="0" max="9" min="9" style="0" width="30"/>
  </cols>
  <sheetData>
    <row r="1" customFormat="false" ht="17.15" hidden="false" customHeight="false" outlineLevel="0" collapsed="false">
      <c r="A1" s="0" t="s">
        <v>638</v>
      </c>
    </row>
    <row r="2" customFormat="false" ht="17.15" hidden="false" customHeight="false" outlineLevel="0" collapsed="false">
      <c r="A2" s="3" t="s">
        <v>639</v>
      </c>
    </row>
    <row r="3" customFormat="false" ht="17.15" hidden="false" customHeight="false" outlineLevel="0" collapsed="false">
      <c r="A3" s="4" t="s">
        <v>640</v>
      </c>
      <c r="B3" s="4" t="s">
        <v>641</v>
      </c>
      <c r="C3" s="4" t="s">
        <v>642</v>
      </c>
      <c r="D3" s="4" t="s">
        <v>643</v>
      </c>
      <c r="E3" s="4" t="s">
        <v>644</v>
      </c>
      <c r="F3" s="4" t="s">
        <v>15</v>
      </c>
      <c r="G3" s="10" t="s">
        <v>645</v>
      </c>
      <c r="H3" s="10" t="s">
        <v>646</v>
      </c>
      <c r="I3" s="4" t="s">
        <v>273</v>
      </c>
    </row>
    <row r="4" customFormat="false" ht="17.15" hidden="false" customHeight="false" outlineLevel="0" collapsed="false">
      <c r="A4" s="3" t="s">
        <v>19</v>
      </c>
      <c r="B4" s="0" t="s">
        <v>647</v>
      </c>
      <c r="C4" s="0" t="s">
        <v>119</v>
      </c>
      <c r="D4" s="17" t="n">
        <f aca="false">tp_final</f>
        <v>1827.74408193815</v>
      </c>
      <c r="E4" s="13" t="n">
        <v>0</v>
      </c>
      <c r="G4" s="14" t="n">
        <f aca="false">PL!F13</f>
        <v>104.747952261422</v>
      </c>
      <c r="H4" s="13" t="n">
        <v>0</v>
      </c>
      <c r="I4" s="3" t="s">
        <v>648</v>
      </c>
    </row>
    <row r="5" customFormat="false" ht="17.15" hidden="false" customHeight="false" outlineLevel="0" collapsed="false">
      <c r="A5" s="3" t="s">
        <v>649</v>
      </c>
      <c r="B5" s="0" t="s">
        <v>650</v>
      </c>
      <c r="C5" s="3" t="s">
        <v>651</v>
      </c>
      <c r="D5" s="17" t="n">
        <v>1827.74408193815</v>
      </c>
      <c r="E5" s="13" t="n">
        <f aca="false">D5/D$4-1</f>
        <v>0</v>
      </c>
      <c r="F5" s="7" t="s">
        <v>68</v>
      </c>
      <c r="G5" s="14" t="n">
        <v>104.747952261422</v>
      </c>
      <c r="H5" s="13" t="n">
        <f aca="false">G5/G$4-1</f>
        <v>0</v>
      </c>
      <c r="I5" s="3" t="s">
        <v>652</v>
      </c>
    </row>
    <row r="6" customFormat="false" ht="17.15" hidden="false" customHeight="false" outlineLevel="0" collapsed="false">
      <c r="A6" s="3" t="s">
        <v>653</v>
      </c>
      <c r="B6" s="0" t="s">
        <v>654</v>
      </c>
      <c r="C6" s="3" t="s">
        <v>655</v>
      </c>
      <c r="D6" s="17" t="n">
        <v>1827.74408193815</v>
      </c>
      <c r="E6" s="13" t="n">
        <f aca="false">D6/D$4-1</f>
        <v>0</v>
      </c>
      <c r="F6" s="7" t="s">
        <v>68</v>
      </c>
      <c r="G6" s="14" t="n">
        <v>104.747952261422</v>
      </c>
      <c r="H6" s="13" t="n">
        <f aca="false">G6/G$4-1</f>
        <v>0</v>
      </c>
      <c r="I6" s="3" t="s">
        <v>652</v>
      </c>
    </row>
    <row r="7" customFormat="false" ht="17.15" hidden="false" customHeight="false" outlineLevel="0" collapsed="false">
      <c r="A7" s="3" t="s">
        <v>656</v>
      </c>
      <c r="B7" s="0" t="s">
        <v>657</v>
      </c>
      <c r="C7" s="3" t="s">
        <v>651</v>
      </c>
      <c r="D7" s="17" t="n">
        <v>1827.74408193815</v>
      </c>
      <c r="E7" s="13" t="n">
        <f aca="false">D7/D$4-1</f>
        <v>0</v>
      </c>
      <c r="F7" s="7" t="s">
        <v>74</v>
      </c>
      <c r="G7" s="14" t="n">
        <v>104.747952261422</v>
      </c>
      <c r="H7" s="13" t="n">
        <f aca="false">G7/G$4-1</f>
        <v>0</v>
      </c>
      <c r="I7" s="3" t="s">
        <v>652</v>
      </c>
    </row>
    <row r="8" customFormat="false" ht="17.15" hidden="false" customHeight="false" outlineLevel="0" collapsed="false">
      <c r="A8" s="3" t="s">
        <v>658</v>
      </c>
      <c r="B8" s="0" t="s">
        <v>659</v>
      </c>
      <c r="C8" s="3" t="s">
        <v>655</v>
      </c>
      <c r="D8" s="17" t="n">
        <v>1827.74408193815</v>
      </c>
      <c r="E8" s="13" t="n">
        <f aca="false">D8/D$4-1</f>
        <v>0</v>
      </c>
      <c r="F8" s="7" t="s">
        <v>74</v>
      </c>
      <c r="G8" s="14" t="n">
        <v>104.747952261422</v>
      </c>
      <c r="H8" s="13" t="n">
        <f aca="false">G8/G$4-1</f>
        <v>0</v>
      </c>
      <c r="I8" s="3" t="s">
        <v>652</v>
      </c>
    </row>
    <row r="9" customFormat="false" ht="17.15" hidden="false" customHeight="false" outlineLevel="0" collapsed="false">
      <c r="A9" s="3" t="s">
        <v>660</v>
      </c>
      <c r="B9" s="0" t="s">
        <v>661</v>
      </c>
      <c r="C9" s="3" t="s">
        <v>651</v>
      </c>
      <c r="D9" s="17" t="n">
        <v>1777.42610060759</v>
      </c>
      <c r="E9" s="13" t="n">
        <f aca="false">D9/D$4-1</f>
        <v>-0.0275301021777624</v>
      </c>
      <c r="F9" s="7" t="s">
        <v>80</v>
      </c>
      <c r="G9" s="14" t="n">
        <v>96.6976062249475</v>
      </c>
      <c r="H9" s="13" t="n">
        <f aca="false">G9/G$4-1</f>
        <v>-0.0768544478691414</v>
      </c>
      <c r="I9" s="3" t="s">
        <v>652</v>
      </c>
    </row>
    <row r="10" customFormat="false" ht="17.15" hidden="false" customHeight="false" outlineLevel="0" collapsed="false">
      <c r="A10" s="3" t="s">
        <v>662</v>
      </c>
      <c r="B10" s="0" t="s">
        <v>663</v>
      </c>
      <c r="C10" s="3" t="s">
        <v>655</v>
      </c>
      <c r="D10" s="17" t="n">
        <v>1873.41194489107</v>
      </c>
      <c r="E10" s="13" t="n">
        <f aca="false">D10/D$4-1</f>
        <v>0.0249859175604585</v>
      </c>
      <c r="F10" s="7" t="s">
        <v>80</v>
      </c>
      <c r="G10" s="14" t="n">
        <v>104.747952261422</v>
      </c>
      <c r="H10" s="13" t="n">
        <f aca="false">G10/G$4-1</f>
        <v>0</v>
      </c>
      <c r="I10" s="3" t="s">
        <v>652</v>
      </c>
    </row>
    <row r="11" customFormat="false" ht="17.15" hidden="false" customHeight="false" outlineLevel="0" collapsed="false">
      <c r="A11" s="3" t="s">
        <v>664</v>
      </c>
      <c r="B11" s="0" t="s">
        <v>665</v>
      </c>
      <c r="C11" s="3" t="s">
        <v>651</v>
      </c>
      <c r="D11" s="17" t="n">
        <v>1645.33946030359</v>
      </c>
      <c r="E11" s="13" t="n">
        <f aca="false">D11/D$4-1</f>
        <v>-0.0997976814353216</v>
      </c>
      <c r="F11" s="7" t="s">
        <v>84</v>
      </c>
      <c r="G11" s="14" t="n">
        <v>104.747952261422</v>
      </c>
      <c r="H11" s="13" t="n">
        <f aca="false">G11/G$4-1</f>
        <v>0</v>
      </c>
      <c r="I11" s="3" t="s">
        <v>652</v>
      </c>
    </row>
    <row r="12" customFormat="false" ht="17.15" hidden="false" customHeight="false" outlineLevel="0" collapsed="false">
      <c r="A12" s="3" t="s">
        <v>666</v>
      </c>
      <c r="B12" s="0" t="s">
        <v>667</v>
      </c>
      <c r="C12" s="3" t="s">
        <v>655</v>
      </c>
      <c r="D12" s="17" t="n">
        <v>1975.8610119613</v>
      </c>
      <c r="E12" s="13" t="n">
        <f aca="false">D12/D$4-1</f>
        <v>0.0810381122208796</v>
      </c>
      <c r="F12" s="7" t="s">
        <v>84</v>
      </c>
      <c r="G12" s="14" t="n">
        <v>104.747952261422</v>
      </c>
      <c r="H12" s="13" t="n">
        <f aca="false">G12/G$4-1</f>
        <v>0</v>
      </c>
      <c r="I12" s="3" t="s">
        <v>652</v>
      </c>
    </row>
    <row r="13" customFormat="false" ht="17.15" hidden="false" customHeight="false" outlineLevel="0" collapsed="false">
      <c r="A13" s="3" t="s">
        <v>668</v>
      </c>
      <c r="B13" s="0" t="s">
        <v>669</v>
      </c>
      <c r="C13" s="3" t="s">
        <v>651</v>
      </c>
      <c r="D13" s="17" t="n">
        <v>1796.22174900351</v>
      </c>
      <c r="E13" s="13" t="n">
        <f aca="false">D13/D$4-1</f>
        <v>-0.0172465791278674</v>
      </c>
      <c r="F13" s="7" t="s">
        <v>86</v>
      </c>
      <c r="G13" s="14" t="n">
        <v>104.762084242978</v>
      </c>
      <c r="H13" s="13" t="n">
        <f aca="false">G13/G$4-1</f>
        <v>0.000134914155843768</v>
      </c>
      <c r="I13" s="3" t="s">
        <v>652</v>
      </c>
    </row>
    <row r="14" customFormat="false" ht="17.15" hidden="false" customHeight="false" outlineLevel="0" collapsed="false">
      <c r="A14" s="3" t="s">
        <v>670</v>
      </c>
      <c r="B14" s="0" t="s">
        <v>671</v>
      </c>
      <c r="C14" s="3" t="s">
        <v>655</v>
      </c>
      <c r="D14" s="17" t="n">
        <v>1856.16150995311</v>
      </c>
      <c r="E14" s="13" t="n">
        <f aca="false">D14/D$4-1</f>
        <v>0.0155478156355611</v>
      </c>
      <c r="F14" s="7" t="s">
        <v>86</v>
      </c>
      <c r="G14" s="14" t="n">
        <v>104.706359945986</v>
      </c>
      <c r="H14" s="13" t="n">
        <f aca="false">G14/G$4-1</f>
        <v>-0.000397070439453584</v>
      </c>
      <c r="I14" s="3" t="s">
        <v>652</v>
      </c>
    </row>
    <row r="15" customFormat="false" ht="17.15" hidden="false" customHeight="false" outlineLevel="0" collapsed="false">
      <c r="A15" s="3" t="s">
        <v>672</v>
      </c>
      <c r="B15" s="0" t="s">
        <v>673</v>
      </c>
      <c r="C15" s="3" t="s">
        <v>651</v>
      </c>
      <c r="D15" s="17" t="n">
        <v>1648.34575329434</v>
      </c>
      <c r="E15" s="13" t="n">
        <f aca="false">D15/D$4-1</f>
        <v>-0.0981528707528753</v>
      </c>
      <c r="F15" s="7" t="s">
        <v>90</v>
      </c>
      <c r="G15" s="14" t="n">
        <v>78.5828973423644</v>
      </c>
      <c r="H15" s="13" t="n">
        <f aca="false">G15/G$4-1</f>
        <v>-0.249790610261832</v>
      </c>
      <c r="I15" s="3" t="s">
        <v>652</v>
      </c>
    </row>
    <row r="16" customFormat="false" ht="17.15" hidden="false" customHeight="false" outlineLevel="0" collapsed="false">
      <c r="A16" s="3" t="s">
        <v>674</v>
      </c>
      <c r="B16" s="0" t="s">
        <v>675</v>
      </c>
      <c r="C16" s="3" t="s">
        <v>655</v>
      </c>
      <c r="D16" s="17" t="n">
        <v>1981.3914522078</v>
      </c>
      <c r="E16" s="13" t="n">
        <f aca="false">D16/D$4-1</f>
        <v>0.0840639407825214</v>
      </c>
      <c r="F16" s="7" t="s">
        <v>90</v>
      </c>
      <c r="G16" s="14" t="n">
        <v>126.563558682514</v>
      </c>
      <c r="H16" s="13" t="n">
        <f aca="false">G16/G$4-1</f>
        <v>0.208267617171607</v>
      </c>
      <c r="I16" s="3" t="s">
        <v>652</v>
      </c>
    </row>
    <row r="17" customFormat="false" ht="17.15" hidden="false" customHeight="false" outlineLevel="0" collapsed="false">
      <c r="A17" s="3" t="s">
        <v>676</v>
      </c>
      <c r="B17" s="0" t="s">
        <v>677</v>
      </c>
      <c r="C17" s="3" t="s">
        <v>651</v>
      </c>
      <c r="D17" s="17" t="n">
        <v>1635.77445682211</v>
      </c>
      <c r="E17" s="13" t="n">
        <f aca="false">D17/D$4-1</f>
        <v>-0.105030910515914</v>
      </c>
      <c r="F17" s="7" t="s">
        <v>93</v>
      </c>
      <c r="G17" s="14" t="n">
        <v>104.747952261422</v>
      </c>
      <c r="H17" s="13" t="n">
        <f aca="false">G17/G$4-1</f>
        <v>0</v>
      </c>
      <c r="I17" s="3" t="s">
        <v>652</v>
      </c>
    </row>
    <row r="18" customFormat="false" ht="17.15" hidden="false" customHeight="false" outlineLevel="0" collapsed="false">
      <c r="A18" s="3" t="s">
        <v>678</v>
      </c>
      <c r="B18" s="0" t="s">
        <v>679</v>
      </c>
      <c r="C18" s="3" t="s">
        <v>655</v>
      </c>
      <c r="D18" s="17" t="n">
        <v>1999.69016542562</v>
      </c>
      <c r="E18" s="13" t="n">
        <f aca="false">D18/D$4-1</f>
        <v>0.0940755793913664</v>
      </c>
      <c r="F18" s="7" t="s">
        <v>93</v>
      </c>
      <c r="G18" s="14" t="n">
        <v>104.747952261422</v>
      </c>
      <c r="H18" s="13" t="n">
        <f aca="false">G18/G$4-1</f>
        <v>0</v>
      </c>
      <c r="I18" s="3" t="s">
        <v>652</v>
      </c>
    </row>
    <row r="19" customFormat="false" ht="17.15" hidden="false" customHeight="false" outlineLevel="0" collapsed="false">
      <c r="A19" s="3" t="s">
        <v>680</v>
      </c>
      <c r="B19" s="0" t="s">
        <v>681</v>
      </c>
      <c r="C19" s="3" t="s">
        <v>651</v>
      </c>
      <c r="D19" s="17" t="n">
        <v>1843.89627240401</v>
      </c>
      <c r="E19" s="13" t="n">
        <f aca="false">D19/D$4-1</f>
        <v>0.00883722761051664</v>
      </c>
      <c r="F19" s="7" t="s">
        <v>96</v>
      </c>
      <c r="G19" s="14" t="n">
        <v>109.924349114195</v>
      </c>
      <c r="H19" s="13" t="n">
        <f aca="false">G19/G$4-1</f>
        <v>0.0494176424552322</v>
      </c>
      <c r="I19" s="3" t="s">
        <v>652</v>
      </c>
    </row>
    <row r="20" customFormat="false" ht="17.15" hidden="false" customHeight="false" outlineLevel="0" collapsed="false">
      <c r="A20" s="3" t="s">
        <v>682</v>
      </c>
      <c r="B20" s="0" t="s">
        <v>683</v>
      </c>
      <c r="C20" s="3" t="s">
        <v>655</v>
      </c>
      <c r="D20" s="17" t="n">
        <v>1808.39857424215</v>
      </c>
      <c r="E20" s="13" t="n">
        <f aca="false">D20/D$4-1</f>
        <v>-0.010584363471435</v>
      </c>
      <c r="F20" s="7" t="s">
        <v>96</v>
      </c>
      <c r="G20" s="14" t="n">
        <v>99.9941184170391</v>
      </c>
      <c r="H20" s="13" t="n">
        <f aca="false">G20/G$4-1</f>
        <v>-0.0453835491935816</v>
      </c>
      <c r="I20" s="3" t="s">
        <v>652</v>
      </c>
    </row>
    <row r="21" customFormat="false" ht="17.15" hidden="false" customHeight="false" outlineLevel="0" collapsed="false">
      <c r="A21" s="3" t="s">
        <v>684</v>
      </c>
      <c r="B21" s="0" t="s">
        <v>685</v>
      </c>
      <c r="C21" s="3" t="s">
        <v>651</v>
      </c>
      <c r="D21" s="17" t="n">
        <v>1803.88141724808</v>
      </c>
      <c r="E21" s="13" t="n">
        <f aca="false">D21/D$4-1</f>
        <v>-0.013055801917719</v>
      </c>
      <c r="F21" s="7" t="s">
        <v>101</v>
      </c>
      <c r="G21" s="14" t="n">
        <v>104.753598717178</v>
      </c>
      <c r="H21" s="13" t="n">
        <f aca="false">G21/G$4-1</f>
        <v>5.390516600845E-005</v>
      </c>
      <c r="I21" s="3" t="s">
        <v>652</v>
      </c>
    </row>
    <row r="22" customFormat="false" ht="17.15" hidden="false" customHeight="false" outlineLevel="0" collapsed="false">
      <c r="A22" s="3" t="s">
        <v>686</v>
      </c>
      <c r="B22" s="0" t="s">
        <v>687</v>
      </c>
      <c r="C22" s="3" t="s">
        <v>655</v>
      </c>
      <c r="D22" s="17" t="n">
        <v>1840.79957587349</v>
      </c>
      <c r="E22" s="13" t="n">
        <f aca="false">D22/D$4-1</f>
        <v>0.00714295511300378</v>
      </c>
      <c r="F22" s="7" t="s">
        <v>101</v>
      </c>
      <c r="G22" s="14" t="n">
        <v>104.708071135394</v>
      </c>
      <c r="H22" s="13" t="n">
        <f aca="false">G22/G$4-1</f>
        <v>-0.000380734183029863</v>
      </c>
      <c r="I22" s="3" t="s">
        <v>652</v>
      </c>
    </row>
    <row r="23" customFormat="false" ht="17.15" hidden="false" customHeight="false" outlineLevel="0" collapsed="false">
      <c r="A23" s="3" t="s">
        <v>688</v>
      </c>
      <c r="B23" s="0" t="s">
        <v>689</v>
      </c>
      <c r="C23" s="3" t="s">
        <v>651</v>
      </c>
      <c r="D23" s="17" t="n">
        <v>1806.79293200744</v>
      </c>
      <c r="E23" s="13" t="n">
        <f aca="false">D23/D$4-1</f>
        <v>-0.0114628465427671</v>
      </c>
      <c r="F23" s="7" t="s">
        <v>105</v>
      </c>
      <c r="G23" s="14" t="n">
        <v>91.1544855473038</v>
      </c>
      <c r="H23" s="13" t="n">
        <f aca="false">G23/G$4-1</f>
        <v>-0.129773102200537</v>
      </c>
      <c r="I23" s="3" t="s">
        <v>652</v>
      </c>
    </row>
    <row r="24" customFormat="false" ht="17.15" hidden="false" customHeight="false" outlineLevel="0" collapsed="false">
      <c r="A24" s="3" t="s">
        <v>690</v>
      </c>
      <c r="B24" s="0" t="s">
        <v>691</v>
      </c>
      <c r="C24" s="3" t="s">
        <v>655</v>
      </c>
      <c r="D24" s="17" t="n">
        <v>1838.92675394426</v>
      </c>
      <c r="E24" s="13" t="n">
        <f aca="false">D24/D$4-1</f>
        <v>0.00611829200631542</v>
      </c>
      <c r="F24" s="7" t="s">
        <v>105</v>
      </c>
      <c r="G24" s="14" t="n">
        <v>112.65803879773</v>
      </c>
      <c r="H24" s="13" t="n">
        <f aca="false">G24/G$4-1</f>
        <v>0.0755154288512132</v>
      </c>
      <c r="I24" s="3" t="s">
        <v>652</v>
      </c>
    </row>
    <row r="25" customFormat="false" ht="17.15" hidden="false" customHeight="false" outlineLevel="0" collapsed="false">
      <c r="A25" s="3" t="s">
        <v>692</v>
      </c>
      <c r="B25" s="0" t="s">
        <v>693</v>
      </c>
      <c r="C25" s="3" t="s">
        <v>651</v>
      </c>
      <c r="D25" s="17" t="n">
        <v>1721.61918277712</v>
      </c>
      <c r="E25" s="13" t="n">
        <f aca="false">D25/D$4-1</f>
        <v>-0.0580633252815638</v>
      </c>
      <c r="F25" s="7" t="s">
        <v>109</v>
      </c>
      <c r="G25" s="14" t="n">
        <v>104.747952261422</v>
      </c>
      <c r="H25" s="13" t="n">
        <f aca="false">G25/G$4-1</f>
        <v>0</v>
      </c>
      <c r="I25" s="3" t="s">
        <v>652</v>
      </c>
    </row>
    <row r="26" customFormat="false" ht="17.15" hidden="false" customHeight="false" outlineLevel="0" collapsed="false">
      <c r="A26" s="3" t="s">
        <v>694</v>
      </c>
      <c r="B26" s="0" t="s">
        <v>695</v>
      </c>
      <c r="C26" s="3" t="s">
        <v>655</v>
      </c>
      <c r="D26" s="17" t="n">
        <v>1827.74408193815</v>
      </c>
      <c r="E26" s="13" t="n">
        <f aca="false">D26/D$4-1</f>
        <v>0</v>
      </c>
      <c r="F26" s="7" t="s">
        <v>109</v>
      </c>
      <c r="G26" s="14" t="n">
        <v>104.747952261422</v>
      </c>
      <c r="H26" s="13" t="n">
        <f aca="false">G26/G$4-1</f>
        <v>0</v>
      </c>
      <c r="I26" s="3" t="s">
        <v>652</v>
      </c>
    </row>
    <row r="27" customFormat="false" ht="17.15" hidden="false" customHeight="false" outlineLevel="0" collapsed="false">
      <c r="A27" s="3" t="s">
        <v>696</v>
      </c>
      <c r="B27" s="0" t="s">
        <v>697</v>
      </c>
      <c r="C27" s="3" t="s">
        <v>651</v>
      </c>
      <c r="D27" s="17" t="n">
        <v>1806.68595418814</v>
      </c>
      <c r="E27" s="13" t="n">
        <f aca="false">D27/D$4-1</f>
        <v>-0.0115213765198887</v>
      </c>
      <c r="F27" s="7" t="s">
        <v>113</v>
      </c>
      <c r="G27" s="14" t="n">
        <v>104.757840685266</v>
      </c>
      <c r="H27" s="13" t="n">
        <f aca="false">G27/G$4-1</f>
        <v>9.44020730737627E-005</v>
      </c>
      <c r="I27" s="3" t="s">
        <v>652</v>
      </c>
    </row>
    <row r="28" customFormat="false" ht="17.15" hidden="false" customHeight="false" outlineLevel="0" collapsed="false">
      <c r="A28" s="3" t="s">
        <v>698</v>
      </c>
      <c r="B28" s="0" t="s">
        <v>699</v>
      </c>
      <c r="C28" s="3" t="s">
        <v>655</v>
      </c>
      <c r="D28" s="17" t="n">
        <v>1852.0626978934</v>
      </c>
      <c r="E28" s="13" t="n">
        <f aca="false">D28/D$4-1</f>
        <v>0.0133052631358896</v>
      </c>
      <c r="F28" s="7" t="s">
        <v>113</v>
      </c>
      <c r="G28" s="14" t="n">
        <v>104.65159165272</v>
      </c>
      <c r="H28" s="13" t="n">
        <f aca="false">G28/G$4-1</f>
        <v>-0.000919928329117248</v>
      </c>
      <c r="I28" s="3" t="s">
        <v>652</v>
      </c>
    </row>
    <row r="29" customFormat="false" ht="17.15" hidden="false" customHeight="false" outlineLevel="0" collapsed="false">
      <c r="A29" s="3" t="s">
        <v>700</v>
      </c>
      <c r="B29" s="0" t="s">
        <v>701</v>
      </c>
      <c r="C29" s="3" t="s">
        <v>651</v>
      </c>
      <c r="D29" s="17" t="n">
        <v>1795.29716484885</v>
      </c>
      <c r="E29" s="13" t="n">
        <f aca="false">D29/D$4-1</f>
        <v>-0.0177524399668092</v>
      </c>
      <c r="F29" s="7" t="s">
        <v>117</v>
      </c>
      <c r="G29" s="14" t="n">
        <v>87.0352532096921</v>
      </c>
      <c r="H29" s="13" t="n">
        <f aca="false">G29/G$4-1</f>
        <v>-0.169098284685548</v>
      </c>
      <c r="I29" s="3" t="s">
        <v>652</v>
      </c>
    </row>
    <row r="30" customFormat="false" ht="17.15" hidden="false" customHeight="false" outlineLevel="0" collapsed="false">
      <c r="A30" s="3" t="s">
        <v>702</v>
      </c>
      <c r="B30" s="0" t="s">
        <v>703</v>
      </c>
      <c r="C30" s="3" t="s">
        <v>655</v>
      </c>
      <c r="D30" s="17" t="n">
        <v>1838.92675394426</v>
      </c>
      <c r="E30" s="13" t="n">
        <f aca="false">D30/D$4-1</f>
        <v>0.00611829200631542</v>
      </c>
      <c r="F30" s="7" t="s">
        <v>117</v>
      </c>
      <c r="G30" s="14" t="n">
        <v>112.65803879773</v>
      </c>
      <c r="H30" s="13" t="n">
        <f aca="false">G30/G$4-1</f>
        <v>0.0755154288512132</v>
      </c>
      <c r="I30" s="3" t="s">
        <v>652</v>
      </c>
    </row>
    <row r="31" customFormat="false" ht="17.15" hidden="false" customHeight="false" outlineLevel="0" collapsed="false">
      <c r="A31" s="3" t="s">
        <v>704</v>
      </c>
      <c r="B31" s="0" t="s">
        <v>705</v>
      </c>
      <c r="C31" s="3" t="s">
        <v>651</v>
      </c>
      <c r="D31" s="17" t="n">
        <v>1720.03779805183</v>
      </c>
      <c r="E31" s="13" t="n">
        <f aca="false">D31/D$4-1</f>
        <v>-0.0589285365225232</v>
      </c>
      <c r="F31" s="7" t="s">
        <v>120</v>
      </c>
      <c r="G31" s="14" t="n">
        <v>104.747952261422</v>
      </c>
      <c r="H31" s="13" t="n">
        <f aca="false">G31/G$4-1</f>
        <v>0</v>
      </c>
      <c r="I31" s="3" t="s">
        <v>652</v>
      </c>
    </row>
    <row r="32" customFormat="false" ht="17.15" hidden="false" customHeight="false" outlineLevel="0" collapsed="false">
      <c r="A32" s="3" t="s">
        <v>706</v>
      </c>
      <c r="B32" s="0" t="s">
        <v>707</v>
      </c>
      <c r="C32" s="3" t="s">
        <v>655</v>
      </c>
      <c r="D32" s="17" t="n">
        <v>1827.74408193815</v>
      </c>
      <c r="E32" s="13" t="n">
        <f aca="false">D32/D$4-1</f>
        <v>0</v>
      </c>
      <c r="F32" s="7" t="s">
        <v>120</v>
      </c>
      <c r="G32" s="14" t="n">
        <v>104.747952261422</v>
      </c>
      <c r="H32" s="13" t="n">
        <f aca="false">G32/G$4-1</f>
        <v>0</v>
      </c>
      <c r="I32" s="3" t="s">
        <v>652</v>
      </c>
    </row>
    <row r="33" customFormat="false" ht="17.15" hidden="false" customHeight="false" outlineLevel="0" collapsed="false">
      <c r="A33" s="0" t="s">
        <v>708</v>
      </c>
      <c r="B33" s="0" t="s">
        <v>709</v>
      </c>
      <c r="C33" s="3" t="s">
        <v>651</v>
      </c>
      <c r="D33" s="17" t="n">
        <v>1827.74408193815</v>
      </c>
      <c r="E33" s="13" t="n">
        <f aca="false">D33/D$4-1</f>
        <v>0</v>
      </c>
      <c r="F33" s="7" t="s">
        <v>123</v>
      </c>
      <c r="G33" s="14" t="n">
        <v>104.747952261422</v>
      </c>
      <c r="H33" s="13" t="n">
        <f aca="false">G33/G$4-1</f>
        <v>0</v>
      </c>
      <c r="I33" s="3" t="s">
        <v>652</v>
      </c>
    </row>
    <row r="34" customFormat="false" ht="17.15" hidden="false" customHeight="false" outlineLevel="0" collapsed="false">
      <c r="A34" s="0" t="s">
        <v>710</v>
      </c>
      <c r="B34" s="0" t="s">
        <v>711</v>
      </c>
      <c r="C34" s="3" t="s">
        <v>655</v>
      </c>
      <c r="D34" s="17" t="n">
        <v>1827.74408193815</v>
      </c>
      <c r="E34" s="13" t="n">
        <f aca="false">D34/D$4-1</f>
        <v>0</v>
      </c>
      <c r="F34" s="7" t="s">
        <v>123</v>
      </c>
      <c r="G34" s="14" t="n">
        <v>104.747952261422</v>
      </c>
      <c r="H34" s="13" t="n">
        <f aca="false">G34/G$4-1</f>
        <v>0</v>
      </c>
      <c r="I34" s="3" t="s">
        <v>652</v>
      </c>
    </row>
    <row r="35" customFormat="false" ht="17.15" hidden="false" customHeight="false" outlineLevel="0" collapsed="false">
      <c r="A35" s="0" t="s">
        <v>712</v>
      </c>
      <c r="B35" s="0" t="s">
        <v>713</v>
      </c>
      <c r="C35" s="3" t="s">
        <v>651</v>
      </c>
      <c r="D35" s="17" t="n">
        <v>1756.70766078369</v>
      </c>
      <c r="E35" s="13" t="n">
        <f aca="false">D35/D$4-1</f>
        <v>-0.0388656277738458</v>
      </c>
      <c r="F35" s="7" t="s">
        <v>128</v>
      </c>
      <c r="G35" s="14" t="n">
        <v>105.303271269065</v>
      </c>
      <c r="H35" s="13" t="n">
        <f aca="false">G35/G$4-1</f>
        <v>0.00530147841226314</v>
      </c>
      <c r="I35" s="3" t="s">
        <v>652</v>
      </c>
    </row>
    <row r="36" customFormat="false" ht="17.15" hidden="false" customHeight="false" outlineLevel="0" collapsed="false">
      <c r="A36" s="0" t="s">
        <v>714</v>
      </c>
      <c r="B36" s="0" t="s">
        <v>715</v>
      </c>
      <c r="C36" s="3" t="s">
        <v>655</v>
      </c>
      <c r="D36" s="17" t="n">
        <v>1908.08500531895</v>
      </c>
      <c r="E36" s="13" t="n">
        <f aca="false">D36/D$4-1</f>
        <v>0.043956330743858</v>
      </c>
      <c r="F36" s="7" t="s">
        <v>128</v>
      </c>
      <c r="G36" s="14" t="n">
        <v>103.914973749958</v>
      </c>
      <c r="H36" s="13" t="n">
        <f aca="false">G36/G$4-1</f>
        <v>-0.00795221761839715</v>
      </c>
      <c r="I36" s="3" t="s">
        <v>652</v>
      </c>
    </row>
    <row r="37" customFormat="false" ht="17.15" hidden="false" customHeight="false" outlineLevel="0" collapsed="false">
      <c r="A37" s="3" t="s">
        <v>716</v>
      </c>
      <c r="B37" s="0" t="s">
        <v>717</v>
      </c>
      <c r="C37" s="3" t="s">
        <v>651</v>
      </c>
      <c r="D37" s="17" t="n">
        <v>1796.51871113015</v>
      </c>
      <c r="E37" s="13" t="n">
        <f aca="false">D37/D$4-1</f>
        <v>-0.017084104452351</v>
      </c>
      <c r="F37" s="7" t="s">
        <v>133</v>
      </c>
      <c r="G37" s="14" t="n">
        <v>105.443715902886</v>
      </c>
      <c r="H37" s="13" t="n">
        <f aca="false">G37/G$4-1</f>
        <v>0.00664226485045982</v>
      </c>
      <c r="I37" s="3" t="s">
        <v>652</v>
      </c>
    </row>
    <row r="38" customFormat="false" ht="17.15" hidden="false" customHeight="false" outlineLevel="0" collapsed="false">
      <c r="A38" s="3" t="s">
        <v>718</v>
      </c>
      <c r="B38" s="0" t="s">
        <v>719</v>
      </c>
      <c r="C38" s="3" t="s">
        <v>655</v>
      </c>
      <c r="D38" s="17" t="n">
        <v>1852.92454058411</v>
      </c>
      <c r="E38" s="13" t="n">
        <f aca="false">D38/D$4-1</f>
        <v>0.0137767967051825</v>
      </c>
      <c r="F38" s="7" t="s">
        <v>133</v>
      </c>
      <c r="G38" s="14" t="n">
        <v>104.191341348252</v>
      </c>
      <c r="H38" s="13" t="n">
        <f aca="false">G38/G$4-1</f>
        <v>-0.00531381188036162</v>
      </c>
      <c r="I38" s="3" t="s">
        <v>652</v>
      </c>
    </row>
    <row r="39" customFormat="false" ht="17.15" hidden="false" customHeight="false" outlineLevel="0" collapsed="false">
      <c r="A39" s="3" t="s">
        <v>720</v>
      </c>
      <c r="B39" s="0" t="s">
        <v>721</v>
      </c>
      <c r="C39" s="3" t="s">
        <v>651</v>
      </c>
      <c r="D39" s="17" t="n">
        <v>1803.62229544048</v>
      </c>
      <c r="E39" s="13" t="n">
        <f aca="false">D39/D$4-1</f>
        <v>-0.0131975733014487</v>
      </c>
      <c r="F39" s="7" t="s">
        <v>137</v>
      </c>
      <c r="G39" s="14" t="n">
        <v>105.248641984718</v>
      </c>
      <c r="H39" s="13" t="n">
        <f aca="false">G39/G$4-1</f>
        <v>0.00477994760266176</v>
      </c>
      <c r="I39" s="3" t="s">
        <v>652</v>
      </c>
    </row>
    <row r="40" customFormat="false" ht="17.15" hidden="false" customHeight="false" outlineLevel="0" collapsed="false">
      <c r="A40" s="3" t="s">
        <v>722</v>
      </c>
      <c r="B40" s="0" t="s">
        <v>723</v>
      </c>
      <c r="C40" s="3" t="s">
        <v>655</v>
      </c>
      <c r="D40" s="17" t="n">
        <v>1852.0099160482</v>
      </c>
      <c r="E40" s="13" t="n">
        <f aca="false">D40/D$4-1</f>
        <v>0.0132763849982327</v>
      </c>
      <c r="F40" s="7" t="s">
        <v>137</v>
      </c>
      <c r="G40" s="14" t="n">
        <v>104.247262538126</v>
      </c>
      <c r="H40" s="13" t="n">
        <f aca="false">G40/G$4-1</f>
        <v>-0.00477994760266742</v>
      </c>
      <c r="I40" s="3" t="s">
        <v>652</v>
      </c>
    </row>
    <row r="41" customFormat="false" ht="17.15" hidden="false" customHeight="false" outlineLevel="0" collapsed="false">
      <c r="A41" s="3" t="s">
        <v>724</v>
      </c>
      <c r="B41" s="0" t="s">
        <v>725</v>
      </c>
      <c r="C41" s="3" t="s">
        <v>651</v>
      </c>
      <c r="D41" s="17" t="n">
        <v>1812.71192854772</v>
      </c>
      <c r="E41" s="13" t="n">
        <f aca="false">D41/D$4-1</f>
        <v>-0.00822443007146145</v>
      </c>
      <c r="F41" s="7" t="s">
        <v>139</v>
      </c>
      <c r="G41" s="14" t="n">
        <v>104.747952261422</v>
      </c>
      <c r="H41" s="13" t="n">
        <f aca="false">G41/G$4-1</f>
        <v>0</v>
      </c>
      <c r="I41" s="3" t="s">
        <v>652</v>
      </c>
    </row>
    <row r="42" customFormat="false" ht="17.15" hidden="false" customHeight="false" outlineLevel="0" collapsed="false">
      <c r="A42" s="3" t="s">
        <v>726</v>
      </c>
      <c r="B42" s="0" t="s">
        <v>727</v>
      </c>
      <c r="C42" s="3" t="s">
        <v>655</v>
      </c>
      <c r="D42" s="17" t="n">
        <v>1843.01277587458</v>
      </c>
      <c r="E42" s="13" t="n">
        <f aca="false">D42/D$4-1</f>
        <v>0.00835384673780015</v>
      </c>
      <c r="F42" s="7" t="s">
        <v>139</v>
      </c>
      <c r="G42" s="14" t="n">
        <v>104.747952261422</v>
      </c>
      <c r="H42" s="13" t="n">
        <f aca="false">G42/G$4-1</f>
        <v>0</v>
      </c>
      <c r="I42" s="3" t="s">
        <v>652</v>
      </c>
    </row>
    <row r="43" customFormat="false" ht="17.15" hidden="false" customHeight="false" outlineLevel="0" collapsed="false">
      <c r="A43" s="3" t="s">
        <v>728</v>
      </c>
      <c r="B43" s="0" t="s">
        <v>729</v>
      </c>
      <c r="C43" s="3" t="s">
        <v>651</v>
      </c>
      <c r="D43" s="17" t="n">
        <v>1776.39516393175</v>
      </c>
      <c r="E43" s="13" t="n">
        <f aca="false">D43/D$4-1</f>
        <v>-0.0280941508791248</v>
      </c>
      <c r="F43" s="7" t="s">
        <v>142</v>
      </c>
      <c r="G43" s="14" t="n">
        <v>101.728405157365</v>
      </c>
      <c r="H43" s="13" t="n">
        <f aca="false">G43/G$4-1</f>
        <v>-0.0288267888666819</v>
      </c>
      <c r="I43" s="3" t="s">
        <v>652</v>
      </c>
    </row>
    <row r="44" customFormat="false" ht="17.15" hidden="false" customHeight="false" outlineLevel="0" collapsed="false">
      <c r="A44" s="3" t="s">
        <v>730</v>
      </c>
      <c r="B44" s="0" t="s">
        <v>731</v>
      </c>
      <c r="C44" s="3" t="s">
        <v>655</v>
      </c>
      <c r="D44" s="17" t="n">
        <v>1896.20930594668</v>
      </c>
      <c r="E44" s="13" t="n">
        <f aca="false">D44/D$4-1</f>
        <v>0.0374588678388341</v>
      </c>
      <c r="F44" s="7" t="s">
        <v>142</v>
      </c>
      <c r="G44" s="14" t="n">
        <v>108.774015066832</v>
      </c>
      <c r="H44" s="13" t="n">
        <f aca="false">G44/G$4-1</f>
        <v>0.038435718488909</v>
      </c>
      <c r="I44" s="3" t="s">
        <v>652</v>
      </c>
    </row>
    <row r="45" customFormat="false" ht="17.15" hidden="false" customHeight="false" outlineLevel="0" collapsed="false">
      <c r="A45" s="0" t="s">
        <v>732</v>
      </c>
      <c r="B45" s="0" t="s">
        <v>725</v>
      </c>
      <c r="C45" s="3" t="s">
        <v>651</v>
      </c>
      <c r="D45" s="17" t="n">
        <v>1798.20109046466</v>
      </c>
      <c r="E45" s="13" t="n">
        <f aca="false">D45/D$4-1</f>
        <v>-0.0161636367834168</v>
      </c>
      <c r="F45" s="7" t="s">
        <v>148</v>
      </c>
      <c r="G45" s="14" t="n">
        <v>103.060763709613</v>
      </c>
      <c r="H45" s="13" t="n">
        <f aca="false">G45/G$4-1</f>
        <v>-0.016107126825721</v>
      </c>
      <c r="I45" s="3" t="s">
        <v>652</v>
      </c>
    </row>
    <row r="46" customFormat="false" ht="17.15" hidden="false" customHeight="false" outlineLevel="0" collapsed="false">
      <c r="A46" s="0" t="s">
        <v>733</v>
      </c>
      <c r="B46" s="0" t="s">
        <v>734</v>
      </c>
      <c r="C46" s="3" t="s">
        <v>655</v>
      </c>
      <c r="D46" s="17" t="n">
        <v>1869.10427000103</v>
      </c>
      <c r="E46" s="13" t="n">
        <f aca="false">D46/D$4-1</f>
        <v>0.0226290914967833</v>
      </c>
      <c r="F46" s="7" t="s">
        <v>148</v>
      </c>
      <c r="G46" s="14" t="n">
        <v>107.110016233955</v>
      </c>
      <c r="H46" s="13" t="n">
        <f aca="false">G46/G$4-1</f>
        <v>0.0225499775560063</v>
      </c>
      <c r="I46" s="3" t="s">
        <v>652</v>
      </c>
    </row>
    <row r="47" customFormat="false" ht="17.15" hidden="false" customHeight="false" outlineLevel="0" collapsed="false">
      <c r="A47" s="0" t="s">
        <v>735</v>
      </c>
      <c r="B47" s="0" t="s">
        <v>736</v>
      </c>
      <c r="C47" s="3" t="s">
        <v>651</v>
      </c>
      <c r="D47" s="17" t="n">
        <v>1789.83783995744</v>
      </c>
      <c r="E47" s="13" t="n">
        <f aca="false">D47/D$4-1</f>
        <v>-0.020739359714141</v>
      </c>
      <c r="F47" s="7" t="s">
        <v>152</v>
      </c>
      <c r="G47" s="14" t="n">
        <v>102.661576759673</v>
      </c>
      <c r="H47" s="13" t="n">
        <f aca="false">G47/G$4-1</f>
        <v>-0.0199180552622382</v>
      </c>
      <c r="I47" s="3" t="s">
        <v>652</v>
      </c>
    </row>
    <row r="48" customFormat="false" ht="17.15" hidden="false" customHeight="false" outlineLevel="0" collapsed="false">
      <c r="A48" s="0" t="s">
        <v>737</v>
      </c>
      <c r="B48" s="0" t="s">
        <v>738</v>
      </c>
      <c r="C48" s="3" t="s">
        <v>655</v>
      </c>
      <c r="D48" s="17" t="n">
        <v>1865.65032391886</v>
      </c>
      <c r="E48" s="13" t="n">
        <f aca="false">D48/D$4-1</f>
        <v>0.0207393597141436</v>
      </c>
      <c r="F48" s="7" t="s">
        <v>152</v>
      </c>
      <c r="G48" s="14" t="n">
        <v>106.834327763171</v>
      </c>
      <c r="H48" s="13" t="n">
        <f aca="false">G48/G$4-1</f>
        <v>0.0199180552622324</v>
      </c>
      <c r="I48" s="3" t="s">
        <v>652</v>
      </c>
    </row>
    <row r="49" customFormat="false" ht="17.15" hidden="false" customHeight="false" outlineLevel="0" collapsed="false">
      <c r="A49" s="0" t="s">
        <v>739</v>
      </c>
      <c r="B49" s="0" t="s">
        <v>740</v>
      </c>
      <c r="C49" s="3" t="s">
        <v>651</v>
      </c>
      <c r="D49" s="17" t="n">
        <v>1834.77233283812</v>
      </c>
      <c r="E49" s="13" t="n">
        <f aca="false">D49/D$4-1</f>
        <v>0.00384531454344494</v>
      </c>
      <c r="F49" s="7" t="s">
        <v>156</v>
      </c>
      <c r="G49" s="14" t="n">
        <v>105.13173875937</v>
      </c>
      <c r="H49" s="13" t="n">
        <f aca="false">G49/G$4-1</f>
        <v>0.00366390454096766</v>
      </c>
      <c r="I49" s="3" t="s">
        <v>652</v>
      </c>
    </row>
    <row r="50" customFormat="false" ht="17.15" hidden="false" customHeight="false" outlineLevel="0" collapsed="false">
      <c r="A50" s="0" t="s">
        <v>741</v>
      </c>
      <c r="B50" s="0" t="s">
        <v>742</v>
      </c>
      <c r="C50" s="3" t="s">
        <v>655</v>
      </c>
      <c r="D50" s="17" t="n">
        <v>1820.71583103817</v>
      </c>
      <c r="E50" s="13" t="n">
        <f aca="false">D50/D$4-1</f>
        <v>-0.00384531454344794</v>
      </c>
      <c r="F50" s="7" t="s">
        <v>156</v>
      </c>
      <c r="G50" s="14" t="n">
        <v>104.364165763474</v>
      </c>
      <c r="H50" s="13" t="n">
        <f aca="false">G50/G$4-1</f>
        <v>-0.00366390454097343</v>
      </c>
      <c r="I50" s="3" t="s">
        <v>652</v>
      </c>
    </row>
    <row r="51" customFormat="false" ht="17.15" hidden="false" customHeight="false" outlineLevel="0" collapsed="false">
      <c r="A51" s="0" t="s">
        <v>743</v>
      </c>
      <c r="B51" s="0" t="s">
        <v>744</v>
      </c>
      <c r="C51" s="3" t="s">
        <v>651</v>
      </c>
      <c r="D51" s="17" t="n">
        <v>1827.74408193815</v>
      </c>
      <c r="E51" s="13" t="n">
        <f aca="false">D51/D$4-1</f>
        <v>0</v>
      </c>
      <c r="F51" s="7" t="s">
        <v>160</v>
      </c>
      <c r="G51" s="14" t="n">
        <v>104.747952261422</v>
      </c>
      <c r="H51" s="13" t="n">
        <f aca="false">G51/G$4-1</f>
        <v>0</v>
      </c>
      <c r="I51" s="3" t="s">
        <v>652</v>
      </c>
    </row>
    <row r="52" customFormat="false" ht="17.15" hidden="false" customHeight="false" outlineLevel="0" collapsed="false">
      <c r="A52" s="0" t="s">
        <v>745</v>
      </c>
      <c r="B52" s="0" t="s">
        <v>746</v>
      </c>
      <c r="C52" s="3" t="s">
        <v>655</v>
      </c>
      <c r="D52" s="17" t="n">
        <v>1827.74408193815</v>
      </c>
      <c r="E52" s="13" t="n">
        <f aca="false">D52/D$4-1</f>
        <v>0</v>
      </c>
      <c r="F52" s="7" t="s">
        <v>160</v>
      </c>
      <c r="G52" s="14" t="n">
        <v>104.747952261422</v>
      </c>
      <c r="H52" s="13" t="n">
        <f aca="false">G52/G$4-1</f>
        <v>0</v>
      </c>
      <c r="I52" s="3" t="s">
        <v>652</v>
      </c>
    </row>
    <row r="53" customFormat="false" ht="17.15" hidden="false" customHeight="false" outlineLevel="0" collapsed="false">
      <c r="A53" s="0" t="s">
        <v>747</v>
      </c>
      <c r="B53" s="0" t="s">
        <v>748</v>
      </c>
      <c r="C53" s="3" t="s">
        <v>651</v>
      </c>
      <c r="D53" s="17" t="n">
        <v>1827.74408193815</v>
      </c>
      <c r="E53" s="13" t="n">
        <f aca="false">D53/D$4-1</f>
        <v>0</v>
      </c>
      <c r="F53" s="7" t="s">
        <v>164</v>
      </c>
      <c r="G53" s="14" t="n">
        <v>104.747952261422</v>
      </c>
      <c r="H53" s="13" t="n">
        <f aca="false">G53/G$4-1</f>
        <v>0</v>
      </c>
      <c r="I53" s="3" t="s">
        <v>652</v>
      </c>
    </row>
    <row r="54" customFormat="false" ht="17.15" hidden="false" customHeight="false" outlineLevel="0" collapsed="false">
      <c r="A54" s="0" t="s">
        <v>749</v>
      </c>
      <c r="B54" s="0" t="s">
        <v>750</v>
      </c>
      <c r="C54" s="3" t="s">
        <v>655</v>
      </c>
      <c r="D54" s="17" t="n">
        <v>1827.74408193815</v>
      </c>
      <c r="E54" s="13" t="n">
        <f aca="false">D54/D$4-1</f>
        <v>0</v>
      </c>
      <c r="F54" s="7" t="s">
        <v>164</v>
      </c>
      <c r="G54" s="14" t="n">
        <v>104.747952261422</v>
      </c>
      <c r="H54" s="13" t="n">
        <f aca="false">G54/G$4-1</f>
        <v>0</v>
      </c>
      <c r="I54" s="3" t="s">
        <v>652</v>
      </c>
    </row>
    <row r="55" customFormat="false" ht="17.15" hidden="false" customHeight="false" outlineLevel="0" collapsed="false">
      <c r="A55" s="3" t="s">
        <v>751</v>
      </c>
      <c r="B55" s="0" t="s">
        <v>752</v>
      </c>
      <c r="C55" s="3" t="s">
        <v>651</v>
      </c>
      <c r="D55" s="17" t="n">
        <v>1859.408716661</v>
      </c>
      <c r="E55" s="13" t="n">
        <f aca="false">D55/D$4-1</f>
        <v>0.0173244356448825</v>
      </c>
      <c r="F55" s="7" t="s">
        <v>174</v>
      </c>
      <c r="G55" s="14" t="n">
        <v>106.608263724894</v>
      </c>
      <c r="H55" s="13" t="n">
        <f aca="false">G55/G$4-1</f>
        <v>0.0177598838288398</v>
      </c>
      <c r="I55" s="3" t="s">
        <v>652</v>
      </c>
    </row>
    <row r="56" customFormat="false" ht="17.15" hidden="false" customHeight="false" outlineLevel="0" collapsed="false">
      <c r="A56" s="3" t="s">
        <v>753</v>
      </c>
      <c r="B56" s="0" t="s">
        <v>754</v>
      </c>
      <c r="C56" s="3" t="s">
        <v>655</v>
      </c>
      <c r="D56" s="17" t="n">
        <v>1733.40993089717</v>
      </c>
      <c r="E56" s="13" t="n">
        <f aca="false">D56/D$4-1</f>
        <v>-0.0516123411221474</v>
      </c>
      <c r="F56" s="7" t="s">
        <v>174</v>
      </c>
      <c r="G56" s="14" t="n">
        <v>99.2147656869852</v>
      </c>
      <c r="H56" s="13" t="n">
        <f aca="false">G56/G$4-1</f>
        <v>-0.0528238161699598</v>
      </c>
      <c r="I56" s="3" t="s">
        <v>652</v>
      </c>
    </row>
    <row r="57" customFormat="false" ht="17.15" hidden="false" customHeight="false" outlineLevel="0" collapsed="false">
      <c r="A57" s="3" t="s">
        <v>755</v>
      </c>
      <c r="B57" s="0" t="s">
        <v>756</v>
      </c>
      <c r="C57" s="3" t="s">
        <v>651</v>
      </c>
      <c r="D57" s="17" t="n">
        <v>1807.87116059229</v>
      </c>
      <c r="E57" s="13" t="n">
        <f aca="false">D57/D$4-1</f>
        <v>-0.0108729233716267</v>
      </c>
      <c r="F57" s="7" t="s">
        <v>178</v>
      </c>
      <c r="G57" s="14" t="n">
        <v>103.71667466923</v>
      </c>
      <c r="H57" s="13" t="n">
        <f aca="false">G57/G$4-1</f>
        <v>-0.00984532460948262</v>
      </c>
      <c r="I57" s="3" t="s">
        <v>652</v>
      </c>
    </row>
    <row r="58" customFormat="false" ht="17.15" hidden="false" customHeight="false" outlineLevel="0" collapsed="false">
      <c r="A58" s="3" t="s">
        <v>757</v>
      </c>
      <c r="B58" s="0" t="s">
        <v>758</v>
      </c>
      <c r="C58" s="3" t="s">
        <v>655</v>
      </c>
      <c r="D58" s="17" t="n">
        <v>1843.20079854048</v>
      </c>
      <c r="E58" s="13" t="n">
        <f aca="false">D58/D$4-1</f>
        <v>0.00845671817793114</v>
      </c>
      <c r="F58" s="7" t="s">
        <v>178</v>
      </c>
      <c r="G58" s="14" t="n">
        <v>105.55005705535</v>
      </c>
      <c r="H58" s="13" t="n">
        <f aca="false">G58/G$4-1</f>
        <v>0.00765747469626765</v>
      </c>
      <c r="I58" s="3" t="s">
        <v>652</v>
      </c>
    </row>
    <row r="59" customFormat="false" ht="17.15" hidden="false" customHeight="false" outlineLevel="0" collapsed="false">
      <c r="A59" s="3" t="s">
        <v>759</v>
      </c>
      <c r="B59" s="0" t="s">
        <v>760</v>
      </c>
      <c r="C59" s="3" t="s">
        <v>651</v>
      </c>
      <c r="D59" s="17" t="n">
        <v>1723.30156297025</v>
      </c>
      <c r="E59" s="13" t="n">
        <f aca="false">D59/D$4-1</f>
        <v>-0.0571428571428592</v>
      </c>
      <c r="F59" s="7" t="s">
        <v>181</v>
      </c>
      <c r="G59" s="14" t="n">
        <v>98.762354989341</v>
      </c>
      <c r="H59" s="13" t="n">
        <f aca="false">G59/G$4-1</f>
        <v>-0.0571428571428573</v>
      </c>
      <c r="I59" s="3" t="s">
        <v>652</v>
      </c>
    </row>
    <row r="60" customFormat="false" ht="17.15" hidden="false" customHeight="false" outlineLevel="0" collapsed="false">
      <c r="A60" s="3" t="s">
        <v>761</v>
      </c>
      <c r="B60" s="0" t="s">
        <v>762</v>
      </c>
      <c r="C60" s="3" t="s">
        <v>655</v>
      </c>
      <c r="D60" s="17" t="n">
        <v>1984.40786038999</v>
      </c>
      <c r="E60" s="13" t="n">
        <f aca="false">D60/D$4-1</f>
        <v>0.0857142857142863</v>
      </c>
      <c r="F60" s="7" t="s">
        <v>181</v>
      </c>
      <c r="G60" s="14" t="n">
        <v>113.726348169544</v>
      </c>
      <c r="H60" s="13" t="n">
        <f aca="false">G60/G$4-1</f>
        <v>0.0857142857142836</v>
      </c>
      <c r="I60" s="3" t="s">
        <v>652</v>
      </c>
    </row>
    <row r="61" customFormat="false" ht="17.15" hidden="false" customHeight="false" outlineLevel="0" collapsed="false">
      <c r="A61" s="3" t="s">
        <v>763</v>
      </c>
      <c r="B61" s="0" t="s">
        <v>764</v>
      </c>
      <c r="C61" s="3" t="s">
        <v>651</v>
      </c>
      <c r="D61" s="17" t="n">
        <v>1885.96779127469</v>
      </c>
      <c r="E61" s="13" t="n">
        <f aca="false">D61/D$4-1</f>
        <v>0.0318555042316435</v>
      </c>
      <c r="F61" s="7" t="s">
        <v>184</v>
      </c>
      <c r="G61" s="14" t="n">
        <v>106.853386101877</v>
      </c>
      <c r="H61" s="13" t="n">
        <f aca="false">G61/G$4-1</f>
        <v>0.0201000000000011</v>
      </c>
      <c r="I61" s="3" t="s">
        <v>652</v>
      </c>
    </row>
    <row r="62" customFormat="false" ht="17.15" hidden="false" customHeight="false" outlineLevel="0" collapsed="false">
      <c r="A62" s="3" t="s">
        <v>765</v>
      </c>
      <c r="B62" s="0" t="s">
        <v>766</v>
      </c>
      <c r="C62" s="3" t="s">
        <v>655</v>
      </c>
      <c r="D62" s="17" t="n">
        <v>1745.90360124119</v>
      </c>
      <c r="E62" s="13" t="n">
        <f aca="false">D62/D$4-1</f>
        <v>-0.0447767723641997</v>
      </c>
      <c r="F62" s="7" t="s">
        <v>184</v>
      </c>
      <c r="G62" s="14" t="n">
        <v>101.704591173708</v>
      </c>
      <c r="H62" s="13" t="n">
        <f aca="false">G62/G$4-1</f>
        <v>-0.0290541344437828</v>
      </c>
      <c r="I62" s="3" t="s">
        <v>652</v>
      </c>
    </row>
    <row r="63" customFormat="false" ht="17.15" hidden="false" customHeight="false" outlineLevel="0" collapsed="false">
      <c r="A63" s="0" t="s">
        <v>767</v>
      </c>
      <c r="B63" s="0" t="s">
        <v>768</v>
      </c>
      <c r="C63" s="3" t="s">
        <v>651</v>
      </c>
      <c r="D63" s="17" t="n">
        <v>1574.28821837639</v>
      </c>
      <c r="E63" s="13" t="n">
        <f aca="false">D63/D$4-1</f>
        <v>-0.13867141798812</v>
      </c>
      <c r="F63" s="7" t="s">
        <v>187</v>
      </c>
      <c r="G63" s="14" t="n">
        <v>94.3035413390302</v>
      </c>
      <c r="H63" s="13" t="n">
        <f aca="false">G63/G$4-1</f>
        <v>-0.0997099293771939</v>
      </c>
      <c r="I63" s="3" t="s">
        <v>652</v>
      </c>
    </row>
    <row r="64" customFormat="false" ht="17.15" hidden="false" customHeight="false" outlineLevel="0" collapsed="false">
      <c r="A64" s="0" t="s">
        <v>769</v>
      </c>
      <c r="B64" s="0" t="s">
        <v>770</v>
      </c>
      <c r="C64" s="3" t="s">
        <v>655</v>
      </c>
      <c r="D64" s="17" t="n">
        <v>1998.94710401148</v>
      </c>
      <c r="E64" s="13" t="n">
        <f aca="false">D64/D$4-1</f>
        <v>0.0936690337368171</v>
      </c>
      <c r="F64" s="7" t="s">
        <v>187</v>
      </c>
      <c r="G64" s="14" t="n">
        <v>104.747952261422</v>
      </c>
      <c r="H64" s="13" t="n">
        <f aca="false">G64/G$4-1</f>
        <v>0</v>
      </c>
      <c r="I64" s="3" t="s">
        <v>652</v>
      </c>
    </row>
    <row r="65" customFormat="false" ht="17.15" hidden="false" customHeight="false" outlineLevel="0" collapsed="false">
      <c r="A65" s="3" t="s">
        <v>771</v>
      </c>
      <c r="B65" s="0" t="s">
        <v>772</v>
      </c>
      <c r="C65" s="3" t="s">
        <v>651</v>
      </c>
      <c r="D65" s="17" t="n">
        <v>1957.14152296625</v>
      </c>
      <c r="E65" s="13" t="n">
        <f aca="false">D65/D$4-1</f>
        <v>0.0707962576964762</v>
      </c>
      <c r="F65" s="7" t="s">
        <v>233</v>
      </c>
      <c r="G65" s="14" t="n">
        <v>104.747952261422</v>
      </c>
      <c r="H65" s="13" t="n">
        <f aca="false">G65/G$4-1</f>
        <v>0</v>
      </c>
      <c r="I65" s="3" t="s">
        <v>652</v>
      </c>
    </row>
    <row r="66" customFormat="false" ht="17.15" hidden="false" customHeight="false" outlineLevel="0" collapsed="false">
      <c r="A66" s="3" t="s">
        <v>773</v>
      </c>
      <c r="B66" s="0" t="s">
        <v>774</v>
      </c>
      <c r="C66" s="3" t="s">
        <v>655</v>
      </c>
      <c r="D66" s="17" t="n">
        <v>1735.31798967643</v>
      </c>
      <c r="E66" s="13" t="n">
        <f aca="false">D66/D$4-1</f>
        <v>-0.0505683991402717</v>
      </c>
      <c r="F66" s="7" t="s">
        <v>233</v>
      </c>
      <c r="G66" s="14" t="n">
        <v>104.747952261422</v>
      </c>
      <c r="H66" s="13" t="n">
        <f aca="false">G66/G$4-1</f>
        <v>0</v>
      </c>
      <c r="I66" s="3" t="s">
        <v>652</v>
      </c>
    </row>
    <row r="67" customFormat="false" ht="17.15" hidden="false" customHeight="false" outlineLevel="0" collapsed="false">
      <c r="A67" s="3" t="s">
        <v>775</v>
      </c>
      <c r="B67" s="0" t="s">
        <v>776</v>
      </c>
      <c r="C67" s="3" t="s">
        <v>651</v>
      </c>
      <c r="D67" s="17" t="n">
        <v>1794.69282418661</v>
      </c>
      <c r="E67" s="13" t="n">
        <f aca="false">D67/D$4-1</f>
        <v>-0.0180830883700578</v>
      </c>
      <c r="F67" s="7" t="s">
        <v>237</v>
      </c>
      <c r="G67" s="14" t="n">
        <v>104.747952261422</v>
      </c>
      <c r="H67" s="13" t="n">
        <f aca="false">G67/G$4-1</f>
        <v>0</v>
      </c>
      <c r="I67" s="3" t="s">
        <v>652</v>
      </c>
    </row>
    <row r="68" customFormat="false" ht="17.15" hidden="false" customHeight="false" outlineLevel="0" collapsed="false">
      <c r="A68" s="3" t="s">
        <v>777</v>
      </c>
      <c r="B68" s="0" t="s">
        <v>778</v>
      </c>
      <c r="C68" s="3" t="s">
        <v>655</v>
      </c>
      <c r="D68" s="17" t="n">
        <v>1877.17649534089</v>
      </c>
      <c r="E68" s="13" t="n">
        <f aca="false">D68/D$4-1</f>
        <v>0.0270455879962823</v>
      </c>
      <c r="F68" s="7" t="s">
        <v>237</v>
      </c>
      <c r="G68" s="14" t="n">
        <v>104.747952261422</v>
      </c>
      <c r="H68" s="13" t="n">
        <f aca="false">G68/G$4-1</f>
        <v>0</v>
      </c>
      <c r="I68" s="3" t="s">
        <v>652</v>
      </c>
    </row>
    <row r="69" customFormat="false" ht="17.15" hidden="false" customHeight="false" outlineLevel="0" collapsed="false">
      <c r="A69" s="3" t="s">
        <v>779</v>
      </c>
      <c r="B69" s="0" t="s">
        <v>780</v>
      </c>
      <c r="C69" s="3" t="s">
        <v>651</v>
      </c>
      <c r="D69" s="17" t="n">
        <v>2021.49890996539</v>
      </c>
      <c r="E69" s="13" t="n">
        <f aca="false">D69/D$4-1</f>
        <v>0.106007635282169</v>
      </c>
      <c r="F69" s="7" t="s">
        <v>245</v>
      </c>
      <c r="G69" s="14" t="n">
        <v>104.747952261422</v>
      </c>
      <c r="H69" s="13" t="n">
        <f aca="false">G69/G$4-1</f>
        <v>0</v>
      </c>
      <c r="I69" s="3" t="s">
        <v>652</v>
      </c>
    </row>
    <row r="70" customFormat="false" ht="17.15" hidden="false" customHeight="false" outlineLevel="0" collapsed="false">
      <c r="A70" s="3" t="s">
        <v>781</v>
      </c>
      <c r="B70" s="0" t="s">
        <v>782</v>
      </c>
      <c r="C70" s="3" t="s">
        <v>655</v>
      </c>
      <c r="D70" s="17" t="n">
        <v>1633.98925391091</v>
      </c>
      <c r="E70" s="13" t="n">
        <f aca="false">D70/D$4-1</f>
        <v>-0.106007635282167</v>
      </c>
      <c r="F70" s="7" t="s">
        <v>245</v>
      </c>
      <c r="G70" s="14" t="n">
        <v>104.747952261422</v>
      </c>
      <c r="H70" s="13" t="n">
        <f aca="false">G70/G$4-1</f>
        <v>0</v>
      </c>
      <c r="I70" s="3" t="s">
        <v>652</v>
      </c>
    </row>
    <row r="72" customFormat="false" ht="17.15" hidden="false" customHeight="false" outlineLevel="0" collapsed="false">
      <c r="A72" s="3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784</v>
      </c>
    </row>
    <row r="2" customFormat="false" ht="17.15" hidden="false" customHeight="false" outlineLevel="0" collapsed="false">
      <c r="A2" s="3" t="s">
        <v>785</v>
      </c>
      <c r="B2" s="0" t="s">
        <v>786</v>
      </c>
    </row>
    <row r="3" customFormat="false" ht="17.15" hidden="false" customHeight="false" outlineLevel="0" collapsed="false">
      <c r="A3" s="3" t="s">
        <v>787</v>
      </c>
      <c r="B3" s="0" t="s">
        <v>788</v>
      </c>
    </row>
    <row r="4" customFormat="false" ht="17.15" hidden="false" customHeight="false" outlineLevel="0" collapsed="false">
      <c r="A4" s="3" t="s">
        <v>789</v>
      </c>
      <c r="B4" s="0" t="s">
        <v>790</v>
      </c>
    </row>
    <row r="5" customFormat="false" ht="17.15" hidden="false" customHeight="false" outlineLevel="0" collapsed="false">
      <c r="A5" s="3" t="s">
        <v>791</v>
      </c>
      <c r="B5" s="0" t="s">
        <v>792</v>
      </c>
    </row>
    <row r="6" customFormat="false" ht="17.15" hidden="false" customHeight="false" outlineLevel="0" collapsed="false">
      <c r="A6" s="3" t="s">
        <v>793</v>
      </c>
      <c r="B6" s="0" t="s">
        <v>794</v>
      </c>
    </row>
    <row r="7" customFormat="false" ht="17.15" hidden="false" customHeight="false" outlineLevel="0" collapsed="false">
      <c r="A7" s="3" t="s">
        <v>795</v>
      </c>
      <c r="B7" s="0" t="s">
        <v>796</v>
      </c>
    </row>
    <row r="8" customFormat="false" ht="17.15" hidden="false" customHeight="false" outlineLevel="0" collapsed="false">
      <c r="A8" s="3" t="s">
        <v>797</v>
      </c>
      <c r="B8" s="0" t="s">
        <v>798</v>
      </c>
    </row>
    <row r="9" customFormat="false" ht="17.15" hidden="false" customHeight="false" outlineLevel="0" collapsed="false">
      <c r="A9" s="3" t="s">
        <v>799</v>
      </c>
      <c r="B9" s="0" t="s">
        <v>199</v>
      </c>
    </row>
    <row r="10" customFormat="false" ht="17.15" hidden="false" customHeight="false" outlineLevel="0" collapsed="false">
      <c r="A10" s="3" t="s">
        <v>800</v>
      </c>
      <c r="B10" s="0" t="s">
        <v>215</v>
      </c>
    </row>
    <row r="11" customFormat="false" ht="17.15" hidden="false" customHeight="false" outlineLevel="0" collapsed="false">
      <c r="A11" s="3" t="s">
        <v>801</v>
      </c>
      <c r="B11" s="0" t="s">
        <v>802</v>
      </c>
    </row>
    <row r="12" customFormat="false" ht="17.15" hidden="false" customHeight="false" outlineLevel="0" collapsed="false">
      <c r="A12" s="3" t="s">
        <v>803</v>
      </c>
      <c r="B12" s="0" t="s">
        <v>207</v>
      </c>
    </row>
    <row r="13" customFormat="false" ht="17.15" hidden="false" customHeight="false" outlineLevel="0" collapsed="false">
      <c r="A13" s="3" t="s">
        <v>804</v>
      </c>
      <c r="B13" s="0" t="s">
        <v>805</v>
      </c>
    </row>
    <row r="14" customFormat="false" ht="17.15" hidden="false" customHeight="false" outlineLevel="0" collapsed="false">
      <c r="A14" s="3" t="s">
        <v>806</v>
      </c>
      <c r="B14" s="0" t="s">
        <v>807</v>
      </c>
    </row>
    <row r="15" customFormat="false" ht="17.15" hidden="false" customHeight="false" outlineLevel="0" collapsed="false">
      <c r="A15" s="3" t="s">
        <v>808</v>
      </c>
      <c r="B15" s="0" t="s">
        <v>809</v>
      </c>
    </row>
    <row r="16" customFormat="false" ht="17.15" hidden="false" customHeight="false" outlineLevel="0" collapsed="false">
      <c r="A16" s="3" t="s">
        <v>810</v>
      </c>
      <c r="B16" s="3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2026-10-31T05:40:23Z</dcterms:created>
  <dc:creator>openpyxl</dc:creator>
  <dc:description/>
  <dc:language>en-US</dc:language>
  <cp:lastModifiedBy/>
  <dcterms:modified xsi:type="dcterms:W3CDTF">2026-10-31T05:40:23Z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