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Q!$B$20</definedName>
    <definedName function="false" hidden="false" name="a25_gp" vbProcedure="false">Q!$B$9</definedName>
    <definedName function="false" hidden="false" name="a25_mi" vbProcedure="false">Q!$B$18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Q!$B$19</definedName>
    <definedName function="false" hidden="false" name="a25_tax" vbProcedure="false">Q!$B$15</definedName>
    <definedName function="false" hidden="false" name="a26_eps" vbProcedure="false">Q!$G$20</definedName>
    <definedName function="false" hidden="false" name="a26_gp" vbProcedure="false">Q!$G$9</definedName>
    <definedName function="false" hidden="false" name="a26_mi" vbProcedure="false">Q!$G$18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Q!$G$19</definedName>
    <definedName function="false" hidden="false" name="a26_ship" vbProcedure="false">Q!$G$5</definedName>
    <definedName function="false" hidden="false" name="a26_tax" vbProcedure="false">Q!$G$15</definedName>
    <definedName function="false" hidden="false" name="ai_sh26" vbProcedure="false">In!$E$53</definedName>
    <definedName function="false" hidden="false" name="ai_sh27_A" vbProcedure="false">In!$E$54</definedName>
    <definedName function="false" hidden="false" name="ai_sh27_B" vbProcedure="false">In!$E$55</definedName>
    <definedName function="false" hidden="false" name="ai_sh27_C" vbProcedure="false">In!$E$56</definedName>
    <definedName function="false" hidden="false" name="an_12sh27" vbProcedure="false">In!$E$90</definedName>
    <definedName function="false" hidden="false" name="an_eps27" vbProcedure="false">In!$E$88</definedName>
    <definedName function="false" hidden="false" name="an_gm27" vbProcedure="false">In!$E$89</definedName>
    <definedName function="false" hidden="false" name="asp27_A" vbProcedure="false">In!$E$24</definedName>
    <definedName function="false" hidden="false" name="asp27_B" vbProcedure="false">In!$E$25</definedName>
    <definedName function="false" hidden="false" name="asp27_C" vbProcedure="false">In!$E$26</definedName>
    <definedName function="false" hidden="false" name="asp28_A" vbProcedure="false">In!$E$27</definedName>
    <definedName function="false" hidden="false" name="asp28_B" vbProcedure="false">In!$E$28</definedName>
    <definedName function="false" hidden="false" name="asp28_C" vbProcedure="false">In!$E$29</definedName>
    <definedName function="false" hidden="false" name="asp29_A" vbProcedure="false">In!$E$30</definedName>
    <definedName function="false" hidden="false" name="asp29_B" vbProcedure="false">In!$E$31</definedName>
    <definedName function="false" hidden="false" name="asp29_C" vbProcedure="false">In!$E$32</definedName>
    <definedName function="false" hidden="false" name="asp_26" vbProcedure="false">In!$E$23</definedName>
    <definedName function="false" hidden="false" name="asp_adj" vbProcedure="false">In!$E$33</definedName>
    <definedName function="false" hidden="false" name="asp_adj_hi" vbProcedure="false">In!$F$33</definedName>
    <definedName function="false" hidden="false" name="asp_adj_lo" vbProcedure="false">In!$D$33</definedName>
    <definedName function="false" hidden="false" name="capg27" vbProcedure="false">In!$E$8</definedName>
    <definedName function="false" hidden="false" name="capg28" vbProcedure="false">In!$E$9</definedName>
    <definedName function="false" hidden="false" name="capg29" vbProcedure="false">In!$E$10</definedName>
    <definedName function="false" hidden="false" name="cap_26" vbProcedure="false">In!$E$7</definedName>
    <definedName function="false" hidden="false" name="cap_adj" vbProcedure="false">In!$E$11</definedName>
    <definedName function="false" hidden="false" name="cap_adj_hi" vbProcedure="false">In!$F$11</definedName>
    <definedName function="false" hidden="false" name="cap_adj_lo" vbProcedure="false">In!$D$11</definedName>
    <definedName function="false" hidden="false" name="cc_g" vbProcedure="false">In!$E$64</definedName>
    <definedName function="false" hidden="false" name="cc_g_hi" vbProcedure="false">In!$F$64</definedName>
    <definedName function="false" hidden="false" name="cc_g_lo" vbProcedure="false">In!$D$64</definedName>
    <definedName function="false" hidden="false" name="cons_eps26" vbProcedure="false">In!$E$87</definedName>
    <definedName function="false" hidden="false" name="cons_feps" vbProcedure="false">In!$E$96</definedName>
    <definedName function="false" hidden="false" name="cons_rev26" vbProcedure="false">In!$E$86</definedName>
    <definedName function="false" hidden="false" name="cons_tp" vbProcedure="false">In!$E$97</definedName>
    <definedName function="false" hidden="false" name="co_q3_gm" vbProcedure="false">In!$E$91</definedName>
    <definedName function="false" hidden="false" name="dag_27" vbProcedure="false">In!$E$60</definedName>
    <definedName function="false" hidden="false" name="dag_28" vbProcedure="false">In!$E$61</definedName>
    <definedName function="false" hidden="false" name="dag_29" vbProcedure="false">In!$E$62</definedName>
    <definedName function="false" hidden="false" name="dag_adj" vbProcedure="false">In!$E$63</definedName>
    <definedName function="false" hidden="false" name="dag_adj_hi" vbProcedure="false">In!$F$63</definedName>
    <definedName function="false" hidden="false" name="dag_adj_lo" vbProcedure="false">In!$D$63</definedName>
    <definedName function="false" hidden="false" name="da_sh" vbProcedure="false">In!$E$59</definedName>
    <definedName function="false" hidden="false" name="da_tot26" vbProcedure="false">In!$E$58</definedName>
    <definedName function="false" hidden="false" name="fade_gA" vbProcedure="false">In!$E$107</definedName>
    <definedName function="false" hidden="false" name="fade_gB" vbProcedure="false">In!$E$108</definedName>
    <definedName function="false" hidden="false" name="fade_gC" vbProcedure="false">In!$E$109</definedName>
    <definedName function="false" hidden="false" name="fade_mA" vbProcedure="false">In!$E$110</definedName>
    <definedName function="false" hidden="false" name="fade_mB" vbProcedure="false">In!$E$111</definedName>
    <definedName function="false" hidden="false" name="fade_mC" vbProcedure="false">In!$E$112</definedName>
    <definedName function="false" hidden="false" name="fpe" vbProcedure="false">In!$E$95</definedName>
    <definedName function="false" hidden="false" name="fx" vbProcedure="false">In!$E$5</definedName>
    <definedName function="false" hidden="false" name="fx_26" vbProcedure="false">In!$E$71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opx_min" vbProcedure="false">In!$E$66</definedName>
    <definedName function="false" hidden="false" name="nim_5" vbProcedure="false">In!$E$98</definedName>
    <definedName function="false" hidden="false" name="nonop_f" vbProcedure="false">In!$E$67</definedName>
    <definedName function="false" hidden="false" name="nonop_f_hi" vbProcedure="false">In!$F$67</definedName>
    <definedName function="false" hidden="false" name="nonop_f_lo" vbProcedure="false">In!$D$67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In!$E$94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In!$E$93</definedName>
    <definedName function="false" hidden="false" name="q3_gm" vbProcedure="false">In!$E$73</definedName>
    <definedName function="false" hidden="false" name="q3_nonop" vbProcedure="false">In!$E$75</definedName>
    <definedName function="false" hidden="false" name="q3_opx" vbProcedure="false">In!$E$74</definedName>
    <definedName function="false" hidden="false" name="q3_tax" vbProcedure="false">In!$E$76</definedName>
    <definedName function="false" hidden="false" name="q4_g" vbProcedure="false">In!$E$77</definedName>
    <definedName function="false" hidden="false" name="q4_gm" vbProcedure="false">In!$E$79</definedName>
    <definedName function="false" hidden="false" name="q4_nonop" vbProcedure="false">In!$E$81</definedName>
    <definedName function="false" hidden="false" name="q4_opx" vbProcedure="false">In!$E$80</definedName>
    <definedName function="false" hidden="false" name="q4_tax" vbProcedure="false">In!$E$82</definedName>
    <definedName function="false" hidden="false" name="q4_ut" vbProcedure="false">In!$E$78</definedName>
    <definedName function="false" hidden="false" name="q_sh" vbProcedure="false">In!$E$84</definedName>
    <definedName function="false" hidden="false" name="rm_factor" vbProcedure="false">Val!$B$153</definedName>
    <definedName function="false" hidden="false" name="sh_g" vbProcedure="false">In!$E$69</definedName>
    <definedName function="false" hidden="false" name="tax" vbProcedure="false">In!$E$68</definedName>
    <definedName function="false" hidden="false" name="tax_hi" vbProcedure="false">In!$F$68</definedName>
    <definedName function="false" hidden="false" name="tax_lo" vbProcedure="false">In!$D$68</definedName>
    <definedName function="false" hidden="false" name="tp_comp_adj" vbProcedure="false">Val!$B$154</definedName>
    <definedName function="false" hidden="false" name="tp_g" vbProcedure="false">In!$E$104</definedName>
    <definedName function="false" hidden="false" name="tp_r" vbProcedure="false">In!$E$103</definedName>
    <definedName function="false" hidden="false" name="tp_roe" vbProcedure="false">In!$E$105</definedName>
    <definedName function="false" hidden="false" name="tp_wA" vbProcedure="false">In!$E$100</definedName>
    <definedName function="false" hidden="false" name="tp_wB" vbProcedure="false">In!$E$101</definedName>
    <definedName function="false" hidden="false" name="tp_wC" vbProcedure="false">In!$E$102</definedName>
    <definedName function="false" hidden="false" name="tp_w_dcf" vbProcedure="false">In!$E$106</definedName>
    <definedName function="false" hidden="false" name="t_h1" vbProcedure="false">In!$E$83</definedName>
    <definedName function="false" hidden="false" name="ut27_A" vbProcedure="false">In!$E$12</definedName>
    <definedName function="false" hidden="false" name="ut27_B" vbProcedure="false">In!$E$13</definedName>
    <definedName function="false" hidden="false" name="ut27_C" vbProcedure="false">In!$E$14</definedName>
    <definedName function="false" hidden="false" name="ut28_A" vbProcedure="false">In!$E$15</definedName>
    <definedName function="false" hidden="false" name="ut28_B" vbProcedure="false">In!$E$16</definedName>
    <definedName function="false" hidden="false" name="ut28_C" vbProcedure="false">In!$E$17</definedName>
    <definedName function="false" hidden="false" name="ut29_A" vbProcedure="false">In!$E$18</definedName>
    <definedName function="false" hidden="false" name="ut29_B" vbProcedure="false">In!$E$19</definedName>
    <definedName function="false" hidden="false" name="ut29_C" vbProcedure="false">In!$E$20</definedName>
    <definedName function="false" hidden="false" name="ut_adj" vbProcedure="false">In!$E$21</definedName>
    <definedName function="false" hidden="false" name="ut_adj_hi" vbProcedure="false">In!$F$21</definedName>
    <definedName function="false" hidden="false" name="ut_adj_lo" vbProcedure="false">In!$D$21</definedName>
    <definedName function="false" hidden="false" name="ut_q1" vbProcedure="false">In!$E$72</definedName>
    <definedName function="false" hidden="false" name="vasp" vbProcedure="false">In!$E$42</definedName>
    <definedName function="false" hidden="false" name="vasp_hi" vbProcedure="false">In!$F$42</definedName>
    <definedName function="false" hidden="false" name="vasp_lo" vbProcedure="false">In!$D$42</definedName>
    <definedName function="false" hidden="false" name="vcap27" vbProcedure="false">In!$E$35</definedName>
    <definedName function="false" hidden="false" name="vcap28" vbProcedure="false">In!$E$36</definedName>
    <definedName function="false" hidden="false" name="vcap29" vbProcedure="false">In!$E$37</definedName>
    <definedName function="false" hidden="false" name="vcap_adj" vbProcedure="false">In!$E$38</definedName>
    <definedName function="false" hidden="false" name="vcap_adj_hi" vbProcedure="false">In!$F$38</definedName>
    <definedName function="false" hidden="false" name="vcap_adj_lo" vbProcedure="false">In!$D$38</definedName>
    <definedName function="false" hidden="false" name="vgm27_A" vbProcedure="false">In!$E$43</definedName>
    <definedName function="false" hidden="false" name="vgm27_B" vbProcedure="false">In!$E$44</definedName>
    <definedName function="false" hidden="false" name="vgm27_C" vbProcedure="false">In!$E$45</definedName>
    <definedName function="false" hidden="false" name="vgm28_A" vbProcedure="false">In!$E$46</definedName>
    <definedName function="false" hidden="false" name="vgm28_B" vbProcedure="false">In!$E$47</definedName>
    <definedName function="false" hidden="false" name="vgm28_C" vbProcedure="false">In!$E$48</definedName>
    <definedName function="false" hidden="false" name="vgm29_A" vbProcedure="false">In!$E$49</definedName>
    <definedName function="false" hidden="false" name="vgm29_B" vbProcedure="false">In!$E$50</definedName>
    <definedName function="false" hidden="false" name="vgm29_C" vbProcedure="false">In!$E$51</definedName>
    <definedName function="false" hidden="false" name="vmi" vbProcedure="false">In!$E$52</definedName>
    <definedName function="false" hidden="false" name="vut_A" vbProcedure="false">In!$E$39</definedName>
    <definedName function="false" hidden="false" name="vut_B" vbProcedure="false">In!$E$40</definedName>
    <definedName function="false" hidden="false" name="vut_C" vbProcedure="false">In!$E$41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<sst xmlns="http://schemas.openxmlformats.org/spreadsheetml/2006/main" count="7366" uniqueCount="937">
  <si>
    <r>
      <rPr>
        <b val="true"/>
        <sz val="11"/>
        <rFont val="Noto Sans CJK SC"/>
        <family val="2"/>
      </rPr>
      <t xml:space="preserve">世界先進（</t>
    </r>
    <r>
      <rPr>
        <b val="true"/>
        <sz val="11"/>
        <rFont val="Cambria"/>
        <family val="0"/>
        <charset val="1"/>
      </rPr>
      <t xml:space="preserve">5347.TWO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VIS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：代工層，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吋成熟製程與特殊製程晶圓代工；樣板 </t>
    </r>
    <r>
      <rPr>
        <b val="true"/>
        <sz val="11"/>
        <rFont val="Cambria"/>
        <family val="0"/>
        <charset val="1"/>
      </rPr>
      <t xml:space="preserve">guc/</t>
    </r>
    <r>
      <rPr>
        <b val="true"/>
        <sz val="11"/>
        <rFont val="Noto Sans CJK SC"/>
        <family val="2"/>
      </rPr>
      <t xml:space="preserve">、營收結構參考 </t>
    </r>
    <r>
      <rPr>
        <b val="true"/>
        <sz val="11"/>
        <rFont val="Cambria"/>
        <family val="0"/>
        <charset val="1"/>
      </rPr>
      <t xml:space="preserve">tsmc/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</si>
  <si>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（初版）。營收＝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吋晶圓（產能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美元售價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匯率）＋</t>
    </r>
    <r>
      <rPr>
        <sz val="11"/>
        <rFont val="Cambria"/>
        <family val="0"/>
        <charset val="1"/>
      </rPr>
      <t xml:space="preserve">VSMC </t>
    </r>
    <r>
      <rPr>
        <sz val="11"/>
        <rFont val="Noto Sans CJK SC"/>
        <family val="2"/>
      </rPr>
      <t xml:space="preserve">新加坡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吋廠（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第一季量產；產能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售價）。滾入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營收實績（月營收）與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毛利率指引；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2026-11-05 </t>
    </r>
    <r>
      <rPr>
        <sz val="11"/>
        <rFont val="Noto Sans CJK SC"/>
        <family val="2"/>
      </rPr>
      <t xml:space="preserve">公布後更新。本版未做先驗。</t>
    </r>
  </si>
  <si>
    <r>
      <rPr>
        <sz val="11"/>
        <rFont val="Noto Sans CJK SC"/>
        <family val="2"/>
      </rPr>
      <t xml:space="preserve">模型命題：世界先進以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吋成熟與特殊製程為主（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電源管理 </t>
    </r>
    <r>
      <rPr>
        <sz val="11"/>
        <rFont val="Cambria"/>
        <family val="0"/>
        <charset val="1"/>
      </rPr>
      <t xml:space="preserve">IC 77%</t>
    </r>
    <r>
      <rPr>
        <sz val="11"/>
        <rFont val="Noto Sans CJK SC"/>
        <family val="2"/>
      </rPr>
      <t xml:space="preserve">、面板驅動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），獲利由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吋稼動率與價格循環決定；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伺服器電源帶動電源管理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與分離式元件，稼動率回到 </t>
    </r>
    <r>
      <rPr>
        <sz val="11"/>
        <rFont val="Cambria"/>
        <family val="0"/>
        <charset val="1"/>
      </rPr>
      <t xml:space="preserve">90% </t>
    </r>
    <r>
      <rPr>
        <sz val="11"/>
        <rFont val="Noto Sans CJK SC"/>
        <family val="2"/>
      </rPr>
      <t xml:space="preserve">以上，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相關占營收由上半年個位數升到下半年雙位數。新加坡 </t>
    </r>
    <r>
      <rPr>
        <sz val="11"/>
        <rFont val="Cambria"/>
        <family val="0"/>
        <charset val="1"/>
      </rPr>
      <t xml:space="preserve">VSMC 12 </t>
    </r>
    <r>
      <rPr>
        <sz val="11"/>
        <rFont val="Noto Sans CJK SC"/>
        <family val="2"/>
      </rPr>
      <t xml:space="preserve">吋廠（與 </t>
    </r>
    <r>
      <rPr>
        <sz val="11"/>
        <rFont val="Cambria"/>
        <family val="0"/>
        <charset val="1"/>
      </rPr>
      <t xml:space="preserve">NXP </t>
    </r>
    <r>
      <rPr>
        <sz val="11"/>
        <rFont val="Noto Sans CJK SC"/>
        <family val="2"/>
      </rPr>
      <t xml:space="preserve">合資，持股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年第一季量產，初期折舊重；中國成熟製程擴產是價格的下行風險。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</si>
  <si>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吋稼動率與售價回升能走多遠（情境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95%</t>
    </r>
    <r>
      <rPr>
        <sz val="11"/>
        <rFont val="Noto Sans CJK SC"/>
        <family val="2"/>
      </rPr>
      <t xml:space="preserve">、售價 </t>
    </r>
    <r>
      <rPr>
        <sz val="11"/>
        <rFont val="Cambria"/>
        <family val="0"/>
        <charset val="1"/>
      </rPr>
      <t xml:space="preserve">+6%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VSMC </t>
    </r>
    <r>
      <rPr>
        <sz val="11"/>
        <rFont val="Noto Sans CJK SC"/>
        <family val="2"/>
      </rPr>
      <t xml:space="preserve">量產初期的毛利率與非控制權益讓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增加多少；現價約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 EPS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（模型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），與同業前瞻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27.4 </t>
    </r>
    <r>
      <rPr>
        <sz val="11"/>
        <rFont val="Noto Sans CJK SC"/>
        <family val="2"/>
      </rPr>
      <t xml:space="preserve">倍差多少。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</si>
  <si>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營收實績與毛利率指引＋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假設）、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：新台幣（基本）；口徑：歸屬母公司淨利（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）。晶圓：千片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吋；</t>
    </r>
    <r>
      <rPr>
        <sz val="11"/>
        <rFont val="Cambria"/>
        <family val="0"/>
        <charset val="1"/>
      </rPr>
      <t xml:space="preserve">VSMC</t>
    </r>
    <r>
      <rPr>
        <sz val="11"/>
        <rFont val="Noto Sans CJK SC"/>
        <family val="2"/>
      </rPr>
      <t xml:space="preserve">：千片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吋。</t>
    </r>
  </si>
  <si>
    <r>
      <rPr>
        <b val="true"/>
        <sz val="11"/>
        <rFont val="Noto Sans CJK SC"/>
        <family val="2"/>
      </rPr>
      <t xml:space="preserve">驅動因子 → 推導量（行業變數讀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吋稼動率與售價為公司層級，待併入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</si>
  <si>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吋晶圓：產能（</t>
    </r>
    <r>
      <rPr>
        <sz val="11"/>
        <rFont val="Cambria"/>
        <family val="0"/>
        <charset val="1"/>
      </rPr>
      <t xml:space="preserve">FY2026 330.6 </t>
    </r>
    <r>
      <rPr>
        <sz val="11"/>
        <rFont val="Noto Sans CJK SC"/>
        <family val="2"/>
      </rPr>
      <t xml:space="preserve">萬片，公司；</t>
    </r>
    <r>
      <rPr>
        <sz val="11"/>
        <rFont val="Cambria"/>
        <family val="0"/>
        <charset val="1"/>
      </rPr>
      <t xml:space="preserve">FY2027–29 </t>
    </r>
    <r>
      <rPr>
        <sz val="11"/>
        <rFont val="Noto Sans CJK SC"/>
        <family val="2"/>
      </rPr>
      <t xml:space="preserve">持平，粗線寬轉細線寬）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95%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94%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93%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78%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美元售價（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643 </t>
    </r>
    <r>
      <rPr>
        <sz val="11"/>
        <rFont val="Noto Sans CJK SC"/>
        <family val="2"/>
      </rPr>
      <t xml:space="preserve">美元／片；</t>
    </r>
    <r>
      <rPr>
        <sz val="11"/>
        <rFont val="Cambria"/>
        <family val="0"/>
        <charset val="1"/>
      </rPr>
      <t xml:space="preserve">FY2027 +6%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+2%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+1%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 fx_twd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</si>
  <si>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VSMC 12 </t>
    </r>
    <r>
      <rPr>
        <sz val="11"/>
        <rFont val="Noto Sans CJK SC"/>
        <family val="2"/>
      </rPr>
      <t xml:space="preserve">吋：產能 </t>
    </r>
    <r>
      <rPr>
        <sz val="11"/>
        <rFont val="Cambria"/>
        <family val="0"/>
        <charset val="1"/>
      </rPr>
      <t xml:space="preserve">FY2027 144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360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504 </t>
    </r>
    <r>
      <rPr>
        <sz val="11"/>
        <rFont val="Noto Sans CJK SC"/>
        <family val="2"/>
      </rPr>
      <t xml:space="preserve">千片（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年滿載月產能約 </t>
    </r>
    <r>
      <rPr>
        <sz val="11"/>
        <rFont val="Cambria"/>
        <family val="0"/>
        <charset val="1"/>
      </rPr>
      <t xml:space="preserve">4.4 </t>
    </r>
    <r>
      <rPr>
        <sz val="11"/>
        <rFont val="Noto Sans CJK SC"/>
        <family val="2"/>
      </rPr>
      <t xml:space="preserve">萬片）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65% × </t>
    </r>
    <r>
      <rPr>
        <sz val="11"/>
        <rFont val="Noto Sans CJK SC"/>
        <family val="2"/>
      </rPr>
      <t xml:space="preserve">售價 </t>
    </r>
    <r>
      <rPr>
        <sz val="11"/>
        <rFont val="Cambria"/>
        <family val="0"/>
        <charset val="1"/>
      </rPr>
      <t xml:space="preserve">1,800 </t>
    </r>
    <r>
      <rPr>
        <sz val="11"/>
        <rFont val="Noto Sans CJK SC"/>
        <family val="2"/>
      </rPr>
      <t xml:space="preserve">美元（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FY2027 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，含折舊）；</t>
    </r>
    <r>
      <rPr>
        <sz val="11"/>
        <rFont val="Cambria"/>
        <family val="0"/>
        <charset val="1"/>
      </rPr>
      <t xml:space="preserve">NXP </t>
    </r>
    <r>
      <rPr>
        <sz val="11"/>
        <rFont val="Noto Sans CJK SC"/>
        <family val="2"/>
      </rPr>
      <t xml:space="preserve">非控制權益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相關占營收只作記憶列（</t>
    </r>
    <r>
      <rPr>
        <sz val="11"/>
        <rFont val="Cambria"/>
        <family val="0"/>
        <charset val="1"/>
      </rPr>
      <t xml:space="preserve">FY2026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），不進營收加總。</t>
    </r>
  </si>
  <si>
    <r>
      <rPr>
        <sz val="11"/>
        <rFont val="Noto Sans CJK SC"/>
        <family val="2"/>
      </rPr>
      <t xml:space="preserve">成本：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吋銷貨成本內折舊（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86.6 </t>
    </r>
    <r>
      <rPr>
        <sz val="11"/>
        <rFont val="Noto Sans CJK SC"/>
        <family val="2"/>
      </rPr>
      <t xml:space="preserve">億元＝公司預估折舊 </t>
    </r>
    <r>
      <rPr>
        <sz val="11"/>
        <rFont val="Cambria"/>
        <family val="0"/>
        <charset val="1"/>
      </rPr>
      <t xml:space="preserve">96.2 </t>
    </r>
    <r>
      <rPr>
        <sz val="11"/>
        <rFont val="Noto Sans CJK SC"/>
        <family val="2"/>
      </rPr>
      <t xml:space="preserve">億 </t>
    </r>
    <r>
      <rPr>
        <sz val="11"/>
        <rFont val="Cambria"/>
        <family val="0"/>
        <charset val="1"/>
      </rPr>
      <t xml:space="preserve">× 0.9</t>
    </r>
    <r>
      <rPr>
        <sz val="11"/>
        <rFont val="Noto Sans CJK SC"/>
        <family val="2"/>
      </rPr>
      <t xml:space="preserve">；年增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）＋每片現金成本（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殘差，年增 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）；營業費用彈性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；營業外每年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億元、稅率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19.07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</si>
  <si>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 </t>
    </r>
    <r>
      <rPr>
        <sz val="11"/>
        <rFont val="Cambria"/>
        <family val="0"/>
        <charset val="1"/>
      </rPr>
      <t xml:space="preserve">157.0 </t>
    </r>
    <r>
      <rPr>
        <sz val="11"/>
        <rFont val="Noto Sans CJK SC"/>
        <family val="2"/>
      </rPr>
      <t xml:space="preserve">億元）與毛利率指引中點 </t>
    </r>
    <r>
      <rPr>
        <sz val="11"/>
        <rFont val="Cambria"/>
        <family val="0"/>
        <charset val="1"/>
      </rPr>
      <t xml:space="preserve">33.5%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吋售價與每片現金成本以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</si>
  <si>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目標價（聯電、格芯、中芯港股、高塔前瞻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股；世界先進本身 </t>
    </r>
    <r>
      <rPr>
        <sz val="11"/>
        <rFont val="Cambria"/>
        <family val="0"/>
        <charset val="1"/>
      </rPr>
      <t xml:space="preserve">Bloomberg </t>
    </r>
    <r>
      <rPr>
        <sz val="11"/>
        <rFont val="Noto Sans CJK SC"/>
        <family val="2"/>
      </rPr>
      <t xml:space="preserve">前瞻倍數待取，相對倍數調整係數自動取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</si>
  <si>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</si>
  <si>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未使用。公司數字與法說內容多取自媒體轉述；券商與資料商為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</si>
  <si>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公司不揭露出貨片數與售價絕對值，季度產能以全年 </t>
    </r>
    <r>
      <rPr>
        <sz val="11"/>
        <rFont val="Cambria"/>
        <family val="0"/>
        <charset val="1"/>
      </rPr>
      <t xml:space="preserve">÷ 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80%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8 </t>
    </r>
    <r>
      <rPr>
        <sz val="11"/>
        <rFont val="Noto Sans CJK SC"/>
        <family val="2"/>
      </rPr>
      <t xml:space="preserve">吋稼動率與售價為公司層級假設（待併入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VSMC </t>
    </r>
    <r>
      <rPr>
        <sz val="11"/>
        <rFont val="Noto Sans CJK SC"/>
        <family val="2"/>
      </rPr>
      <t xml:space="preserve">的售價、毛利率、借款利息與政府補助未揭露，皆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3Q26 </t>
    </r>
    <r>
      <rPr>
        <sz val="11"/>
        <rFont val="Noto Sans CJK SC"/>
        <family val="2"/>
      </rPr>
      <t xml:space="preserve">毛利率、費用、業外為指引或假設，</t>
    </r>
    <r>
      <rPr>
        <sz val="11"/>
        <rFont val="Cambria"/>
        <family val="0"/>
        <charset val="1"/>
      </rPr>
      <t xml:space="preserve">2026-11-05 </t>
    </r>
    <r>
      <rPr>
        <sz val="11"/>
        <rFont val="Noto Sans CJK SC"/>
        <family val="2"/>
      </rPr>
      <t xml:space="preserve">財報公布後更新；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產品別比重只有 </t>
    </r>
    <r>
      <rPr>
        <sz val="11"/>
        <rFont val="Cambria"/>
        <family val="0"/>
        <charset val="1"/>
      </rPr>
      <t xml:space="preserve">2Q26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VSMC </t>
    </r>
    <r>
      <rPr>
        <sz val="11"/>
        <rFont val="Noto Sans CJK SC"/>
        <family val="2"/>
      </rPr>
      <t xml:space="preserve">建廠期資本支出每年 </t>
    </r>
    <r>
      <rPr>
        <sz val="11"/>
        <rFont val="Cambria"/>
        <family val="0"/>
        <charset val="1"/>
      </rPr>
      <t xml:space="preserve">600–700 </t>
    </r>
    <r>
      <rPr>
        <sz val="11"/>
        <rFont val="Noto Sans CJK SC"/>
        <family val="2"/>
      </rPr>
      <t xml:space="preserve">億元，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未扣資本支出，偏高估；</t>
    </r>
    <r>
      <rPr>
        <sz val="11"/>
        <rFont val="Cambria"/>
        <family val="0"/>
        <charset val="1"/>
      </rPr>
      <t xml:space="preserve">(7) Bloomberg </t>
    </r>
    <r>
      <rPr>
        <sz val="11"/>
        <rFont val="Noto Sans CJK SC"/>
        <family val="2"/>
      </rPr>
      <t xml:space="preserve">前瞻倍數待取；</t>
    </r>
    <r>
      <rPr>
        <sz val="11"/>
        <rFont val="Cambria"/>
        <family val="0"/>
        <charset val="1"/>
      </rPr>
      <t xml:space="preserve">(8) </t>
    </r>
    <r>
      <rPr>
        <sz val="11"/>
        <rFont val="Noto Sans CJK SC"/>
        <family val="2"/>
      </rPr>
      <t xml:space="preserve">現價為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</si>
  <si>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</si>
  <si>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行業：匯率 </t>
    </r>
    <r>
      <rPr>
        <sz val="11"/>
        <rFont val="Cambria"/>
        <family val="0"/>
        <charset val="1"/>
      </rPr>
      <t xml:space="preserve">fx_twd 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，三情境相同）。加速器顆數係數未使用：世界先進的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相關營收（伺服器電源管理 </t>
    </r>
    <r>
      <rPr>
        <sz val="11"/>
        <rFont val="Cambria"/>
        <family val="0"/>
        <charset val="1"/>
      </rPr>
      <t xml:space="preserve">IC</t>
    </r>
    <r>
      <rPr>
        <sz val="11"/>
        <rFont val="Noto Sans CJK SC"/>
        <family val="2"/>
      </rPr>
      <t xml:space="preserve">、分離式元件）沒有可直接對應加速器顆數的營收線，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需求反映在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吋稼動率與售價情境。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吋稼動率與價格：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未建，公司層級（待併入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（世界先進無設備、網通營收）。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</si>
  <si>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吋稼動率 </t>
    </r>
    <r>
      <rPr>
        <sz val="11"/>
        <rFont val="Cambria"/>
        <family val="0"/>
        <charset val="1"/>
      </rPr>
      <t xml:space="preserve">FY2027 95%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94%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93%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78%</t>
    </r>
    <r>
      <rPr>
        <sz val="11"/>
        <rFont val="Noto Sans CJK SC"/>
        <family val="2"/>
      </rPr>
      <t xml:space="preserve">；售價 </t>
    </r>
    <r>
      <rPr>
        <sz val="11"/>
        <rFont val="Cambria"/>
        <family val="0"/>
        <charset val="1"/>
      </rPr>
      <t xml:space="preserve">FY2027 +6%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+2%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+1%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＝中國成熟製程擴產的價格壓力）；</t>
    </r>
    <r>
      <rPr>
        <sz val="11"/>
        <rFont val="Cambria"/>
        <family val="0"/>
        <charset val="1"/>
      </rPr>
      <t xml:space="preserve">VSMC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FY2027 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相關占比（記憶列）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</si>
  <si>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差距大：</t>
    </r>
    <r>
      <rPr>
        <sz val="11"/>
        <color theme="1"/>
        <rFont val="Calibri"/>
        <family val="2"/>
        <charset val="1"/>
      </rPr>
      <t xml:space="preserve">DCF 77.5 </t>
    </r>
    <r>
      <rPr>
        <sz val="11"/>
        <color theme="1"/>
        <rFont val="Noto Sans CJK SC"/>
        <family val="2"/>
      </rPr>
      <t xml:space="preserve">只有現價的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，且情境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6.37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6.88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、售價持平，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量產初期毛利率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倍，世界先進本身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前瞻倍數待取，未做相對倍數調整。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使加權目標價 </t>
    </r>
    <r>
      <rPr>
        <sz val="11"/>
        <color theme="1"/>
        <rFont val="Calibri"/>
        <family val="2"/>
        <charset val="1"/>
      </rPr>
      <t xml:space="preserve">+15.5%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15.5%</t>
    </r>
    <r>
      <rPr>
        <sz val="11"/>
        <color theme="1"/>
        <rFont val="Noto Sans CJK SC"/>
        <family val="2"/>
      </rPr>
      <t xml:space="preserve">，是最大的單一敏感度；上檔空間 −</t>
    </r>
    <r>
      <rPr>
        <sz val="11"/>
        <color theme="1"/>
        <rFont val="Calibri"/>
        <family val="2"/>
        <charset val="1"/>
      </rPr>
      <t xml:space="preserve">21.4% </t>
    </r>
    <r>
      <rPr>
        <sz val="11"/>
        <color theme="1"/>
        <rFont val="Noto Sans CJK SC"/>
        <family val="2"/>
      </rPr>
      <t xml:space="preserve">距放空門檻 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只差 </t>
    </r>
    <r>
      <rPr>
        <sz val="11"/>
        <color theme="1"/>
        <rFont val="Calibri"/>
        <family val="2"/>
        <charset val="1"/>
      </rPr>
      <t xml:space="preserve">3.6 </t>
    </r>
    <r>
      <rPr>
        <sz val="11"/>
        <color theme="1"/>
        <rFont val="Noto Sans CJK SC"/>
        <family val="2"/>
      </rPr>
      <t xml:space="preserve">個百分點。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</si>
  <si>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新加坡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年第一季量產：模型 </t>
    </r>
    <r>
      <rPr>
        <sz val="11"/>
        <color theme="1"/>
        <rFont val="Calibri"/>
        <family val="2"/>
        <charset val="1"/>
      </rPr>
      <t xml:space="preserve">FY2027 12 </t>
    </r>
    <r>
      <rPr>
        <sz val="11"/>
        <color theme="1"/>
        <rFont val="Noto Sans CJK SC"/>
        <family val="2"/>
      </rPr>
      <t xml:space="preserve">吋占營收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；研究機構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FY2029 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吋售價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使加權目標價 </t>
    </r>
    <r>
      <rPr>
        <sz val="11"/>
        <color theme="1"/>
        <rFont val="Calibri"/>
        <family val="2"/>
        <charset val="1"/>
      </rPr>
      <t xml:space="preserve">±11.9%</t>
    </r>
    <r>
      <rPr>
        <sz val="11"/>
        <color theme="1"/>
        <rFont val="Noto Sans CJK SC"/>
        <family val="2"/>
      </rPr>
      <t xml:space="preserve">、匯率 </t>
    </r>
    <r>
      <rPr>
        <sz val="11"/>
        <color theme="1"/>
        <rFont val="Calibri"/>
        <family val="2"/>
        <charset val="1"/>
      </rPr>
      <t xml:space="preserve">30.5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±20%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±1.2%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2026-11-05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32.5–34.5%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認證與量產時程）。</t>
    </r>
  </si>
  <si>
    <r>
      <rPr>
        <sz val="11"/>
        <color theme="1"/>
        <rFont val="Noto Sans CJK SC"/>
        <family val="2"/>
      </rPr>
      <t xml:space="preserve">相對倍數調整（</t>
    </r>
    <r>
      <rPr>
        <sz val="11"/>
        <color theme="1"/>
        <rFont val="Calibri"/>
        <family val="2"/>
        <charset val="1"/>
      </rPr>
      <t xml:space="preserve">tools/relative_multiple.py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節）已含在加權目標價：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（相對倍數調整後）＝同業前瞻倍數中位數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目標價（市場主流同業法）」維持不調整。重點觀察的數字以本版重算值撰寫（第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點第一句為公式）。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</si>
  <si>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</si>
  <si>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）；晶圓：千片（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吋）；售價：美元／片；匯率：新台幣／美元。公司財報與法說為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（公司說法）或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（財報數字）；券商、資料商、媒體為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</si>
  <si>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以情境或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區間呈現，不當點估計。行業變數讀 </t>
    </r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）；成熟製程稼動率與售價屬公司層級，說明欄標「待併入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</si>
  <si>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</si>
  <si>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</si>
  <si>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</si>
  <si>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</si>
  <si>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</si>
  <si>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</si>
  <si>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</si>
  <si>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</si>
  <si>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</si>
  <si>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行業變數（</t>
    </r>
    <r>
      <rPr>
        <b val="true"/>
        <sz val="11"/>
        <rFont val="Cambria"/>
        <family val="0"/>
        <charset val="1"/>
      </rPr>
      <t xml:space="preserve">Siliconomics v0.10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siliconomics/data/siliconomics_snapshot_v0.10.json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讀同字母上游，不自訂行業路徑）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</si>
  <si>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</si>
  <si>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起；美元售價換算）</t>
    </r>
  </si>
  <si>
    <t xml:space="preserve">NT$/US$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</si>
  <si>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</si>
  <si>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fx_twd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</si>
  <si>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共用匯率（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）；與台積電、聯發科等台股模型同值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</si>
  <si>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產能與稼動率（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吋；公司層級，待併入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尚無成熟製程稼動率）</t>
    </r>
  </si>
  <si>
    <t xml:space="preserve">cap_26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</si>
  <si>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吋，千片／年）</t>
    </r>
  </si>
  <si>
    <t xml:space="preserve">千片</t>
  </si>
  <si>
    <t xml:space="preserve">Derived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</si>
  <si>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吋產能約 </t>
    </r>
    <r>
      <rPr>
        <sz val="11"/>
        <color theme="1"/>
        <rFont val="Calibri"/>
        <family val="2"/>
        <charset val="1"/>
      </rPr>
      <t xml:space="preserve">330.6 </t>
    </r>
    <r>
      <rPr>
        <sz val="11"/>
        <color theme="1"/>
        <rFont val="Noto Sans CJK SC"/>
        <family val="2"/>
      </rPr>
      <t xml:space="preserve">萬片、年減約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（粗線寬淘汰並升級為細線寬）</t>
    </r>
  </si>
  <si>
    <r>
      <rPr>
        <sz val="11"/>
        <color theme="1"/>
        <rFont val="Noto Sans CJK SC"/>
        <family val="2"/>
      </rPr>
      <t xml:space="preserve">季度產能以全年 </t>
    </r>
    <r>
      <rPr>
        <sz val="11"/>
        <color theme="1"/>
        <rFont val="Calibri"/>
        <family val="2"/>
        <charset val="1"/>
      </rPr>
      <t xml:space="preserve">÷ 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歲修使月產能季減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，未拆分）</t>
    </r>
  </si>
  <si>
    <t xml:space="preserve">capg27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</si>
  <si>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產能年增</t>
    </r>
  </si>
  <si>
    <t xml:space="preserve">%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</si>
  <si>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吋不新建廠；粗線寬轉細線寬、去瓶頸（公司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</si>
  <si>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三情境相同（產能為公司已核准的擴產；待併入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</si>
  <si>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t xml:space="preserve">capg28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</si>
  <si>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產能年增</t>
    </r>
  </si>
  <si>
    <t xml:space="preserve">同上</t>
  </si>
  <si>
    <t xml:space="preserve">capg29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</si>
  <si>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產能年增</t>
    </r>
  </si>
  <si>
    <t xml:space="preserve">cap_adj</t>
  </si>
  <si>
    <r>
      <rPr>
        <sz val="11"/>
        <color theme="1"/>
        <rFont val="Noto Sans CJK SC"/>
        <family val="2"/>
      </rPr>
      <t xml:space="preserve">產能係數（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起各年同乘）</t>
    </r>
  </si>
  <si>
    <t xml:space="preserve">x</t>
  </si>
  <si>
    <t xml:space="preserve">無</t>
  </si>
  <si>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：擴產時程提前或延後</t>
    </r>
  </si>
  <si>
    <t xml:space="preserve">ut27_A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</si>
  <si>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</si>
  <si>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可能超過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；出貨受設備與產能瓶頸限制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</si>
  <si>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＝中國成熟製程擴產的價格與份額壓力）；待併入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</si>
  <si>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ut27_B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</si>
  <si>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</si>
  <si>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</si>
  <si>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ut27_C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</si>
  <si>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</si>
  <si>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ut28_A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</si>
  <si>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</si>
  <si>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ut28_B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</si>
  <si>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</si>
  <si>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ut28_C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</si>
  <si>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</si>
  <si>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ut29_A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</si>
  <si>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</si>
  <si>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ut29_B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</si>
  <si>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</si>
  <si>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ut29_C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</si>
  <si>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</si>
  <si>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ut_adj</t>
  </si>
  <si>
    <r>
      <rPr>
        <sz val="11"/>
        <color theme="1"/>
        <rFont val="Noto Sans CJK SC"/>
        <family val="2"/>
      </rPr>
      <t xml:space="preserve">稼動率調整（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起各年加減，上限 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</si>
  <si>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</si>
  <si>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±3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</si>
  <si>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平均售價（美元，每片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吋；公司層級，待併入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尚無成熟製程價格）</t>
    </r>
  </si>
  <si>
    <t xml:space="preserve">asp_26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</si>
  <si>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平均售價（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吋晶圓；美元／片）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</si>
  <si>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</si>
  <si>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尚未量產）</t>
    </r>
  </si>
  <si>
    <r>
      <rPr>
        <sz val="11"/>
        <color theme="1"/>
        <rFont val="Noto Sans CJK SC"/>
        <family val="2"/>
      </rPr>
      <t xml:space="preserve">校準年；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起依情境年增</t>
    </r>
  </si>
  <si>
    <t xml:space="preserve">asp27_A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</si>
  <si>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</si>
  <si>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（法人）：花旗：產能吃緊、漲價空間增加；公司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年長約到期影響低個位數（</t>
    </r>
    <r>
      <rPr>
        <sz val="11"/>
        <color theme="1"/>
        <rFont val="Calibri"/>
        <family val="2"/>
        <charset val="1"/>
      </rPr>
      <t xml:space="preserve">NOWnews 2026-02-03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</si>
  <si>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＝漲價延續；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＝中國成熟製程擴產造成價格壓力；待併入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</si>
  <si>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asp27_B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</si>
  <si>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</si>
  <si>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asp27_C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</si>
  <si>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</si>
  <si>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asp28_A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</si>
  <si>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</si>
  <si>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asp28_B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</si>
  <si>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</si>
  <si>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asp28_C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</si>
  <si>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</si>
  <si>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asp29_A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</si>
  <si>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</si>
  <si>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asp29_B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</si>
  <si>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</si>
  <si>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asp29_C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</si>
  <si>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</si>
  <si>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asp_adj</t>
  </si>
  <si>
    <r>
      <rPr>
        <sz val="11"/>
        <color theme="1"/>
        <rFont val="Noto Sans CJK SC"/>
        <family val="2"/>
      </rPr>
      <t xml:space="preserve">售價水準調整（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起各年同乘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</si>
  <si>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t xml:space="preserve">±3%</t>
  </si>
  <si>
    <r>
      <rPr>
        <b val="true"/>
        <sz val="11"/>
        <rFont val="Cambria"/>
        <family val="0"/>
        <charset val="1"/>
      </rPr>
      <t xml:space="preserve">D. VSMC</t>
    </r>
    <r>
      <rPr>
        <b val="true"/>
        <sz val="11"/>
        <rFont val="Noto Sans CJK SC"/>
        <family val="2"/>
      </rPr>
      <t xml:space="preserve">（新加坡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吋廠，與 </t>
    </r>
    <r>
      <rPr>
        <b val="true"/>
        <sz val="11"/>
        <rFont val="Cambria"/>
        <family val="0"/>
        <charset val="1"/>
      </rPr>
      <t xml:space="preserve">NXP </t>
    </r>
    <r>
      <rPr>
        <b val="true"/>
        <sz val="11"/>
        <rFont val="Noto Sans CJK SC"/>
        <family val="2"/>
      </rPr>
      <t xml:space="preserve">合資，世界先進持股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、合併報表）：產能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售價；毛利率路徑；非控制權益 </t>
    </r>
    <r>
      <rPr>
        <b val="true"/>
        <sz val="11"/>
        <rFont val="Cambria"/>
        <family val="0"/>
        <charset val="1"/>
      </rPr>
      <t xml:space="preserve">40%</t>
    </r>
  </si>
  <si>
    <t xml:space="preserve">vcap27</t>
  </si>
  <si>
    <r>
      <rPr>
        <sz val="11"/>
        <color theme="1"/>
        <rFont val="Calibri"/>
        <family val="2"/>
        <charset val="1"/>
      </rPr>
      <t xml:space="preserve">FY2027 VSMC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吋，千片／年）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</si>
  <si>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VSMC 2027 </t>
    </r>
    <r>
      <rPr>
        <sz val="11"/>
        <color theme="1"/>
        <rFont val="Noto Sans CJK SC"/>
        <family val="2"/>
      </rPr>
      <t xml:space="preserve">年第一季量產、良率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轉述）</t>
    </r>
  </si>
  <si>
    <t xml:space="preserve">三情境相同（產能為公司規劃）</t>
  </si>
  <si>
    <t xml:space="preserve">vcap28</t>
  </si>
  <si>
    <r>
      <rPr>
        <sz val="11"/>
        <color theme="1"/>
        <rFont val="Calibri"/>
        <family val="2"/>
        <charset val="1"/>
      </rPr>
      <t xml:space="preserve">FY2028 VSMC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吋，千片／年）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</si>
  <si>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：月產能爬坡到約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萬片</t>
    </r>
  </si>
  <si>
    <t xml:space="preserve">vcap29</t>
  </si>
  <si>
    <r>
      <rPr>
        <sz val="11"/>
        <color theme="1"/>
        <rFont val="Calibri"/>
        <family val="2"/>
        <charset val="1"/>
      </rPr>
      <t xml:space="preserve">FY2029 VSMC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吋，千片／年）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</si>
  <si>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年滿載月產能約 </t>
    </r>
    <r>
      <rPr>
        <sz val="11"/>
        <color theme="1"/>
        <rFont val="Calibri"/>
        <family val="2"/>
        <charset val="1"/>
      </rPr>
      <t xml:space="preserve">4.4 </t>
    </r>
    <r>
      <rPr>
        <sz val="11"/>
        <color theme="1"/>
        <rFont val="Noto Sans CJK SC"/>
        <family val="2"/>
      </rPr>
      <t xml:space="preserve">萬片（原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萬片；科技新報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</si>
  <si>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vcap_adj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</si>
  <si>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</si>
  <si>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：量產爬坡快慢</t>
    </r>
  </si>
  <si>
    <t xml:space="preserve">vut_A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</si>
  <si>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稼動率（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</si>
  <si>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年量產時稼動率「會令人滿意」（</t>
    </r>
    <r>
      <rPr>
        <sz val="11"/>
        <color theme="1"/>
        <rFont val="Calibri"/>
        <family val="2"/>
        <charset val="1"/>
      </rPr>
      <t xml:space="preserve">NOWnews 2026-02-03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</si>
  <si>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</si>
  <si>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vut_B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</si>
  <si>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稼動率（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</si>
  <si>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</si>
  <si>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vut_C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</si>
  <si>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稼動率（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</si>
  <si>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vasp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</si>
  <si>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平均售價（美元／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吋片）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</si>
  <si>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</si>
  <si>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製程 </t>
    </r>
    <r>
      <rPr>
        <sz val="11"/>
        <color theme="1"/>
        <rFont val="Calibri"/>
        <family val="2"/>
        <charset val="1"/>
      </rPr>
      <t xml:space="preserve">130–40 </t>
    </r>
    <r>
      <rPr>
        <sz val="11"/>
        <color theme="1"/>
        <rFont val="Noto Sans CJK SC"/>
        <family val="2"/>
      </rPr>
      <t xml:space="preserve">奈米；公司未揭露售價</t>
    </r>
  </si>
  <si>
    <r>
      <rPr>
        <sz val="11"/>
        <color theme="1"/>
        <rFont val="Calibri"/>
        <family val="2"/>
        <charset val="1"/>
      </rPr>
      <t xml:space="preserve">130–40 </t>
    </r>
    <r>
      <rPr>
        <sz val="11"/>
        <color theme="1"/>
        <rFont val="Noto Sans CJK SC"/>
        <family val="2"/>
      </rPr>
      <t xml:space="preserve">奈米特殊製程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吋；公司未揭露</t>
    </r>
  </si>
  <si>
    <t xml:space="preserve">vgm27_A</t>
  </si>
  <si>
    <r>
      <rPr>
        <sz val="11"/>
        <color theme="1"/>
        <rFont val="Calibri"/>
        <family val="2"/>
        <charset val="1"/>
      </rPr>
      <t xml:space="preserve">FY2027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</si>
  <si>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：總投資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億美元（科技新報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），量產初期折舊重；法人：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吋占營收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、全公司毛利率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</si>
  <si>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量產初期折舊重；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</si>
  <si>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vgm27_B</t>
  </si>
  <si>
    <r>
      <rPr>
        <sz val="11"/>
        <color theme="1"/>
        <rFont val="Calibri"/>
        <family val="2"/>
        <charset val="1"/>
      </rPr>
      <t xml:space="preserve">FY2027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</si>
  <si>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vgm27_C</t>
  </si>
  <si>
    <r>
      <rPr>
        <sz val="11"/>
        <color theme="1"/>
        <rFont val="Calibri"/>
        <family val="2"/>
        <charset val="1"/>
      </rPr>
      <t xml:space="preserve">FY2027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</si>
  <si>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vgm28_A</t>
  </si>
  <si>
    <r>
      <rPr>
        <sz val="11"/>
        <color theme="1"/>
        <rFont val="Calibri"/>
        <family val="2"/>
        <charset val="1"/>
      </rPr>
      <t xml:space="preserve">FY2028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</si>
  <si>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vgm28_B</t>
  </si>
  <si>
    <r>
      <rPr>
        <sz val="11"/>
        <color theme="1"/>
        <rFont val="Calibri"/>
        <family val="2"/>
        <charset val="1"/>
      </rPr>
      <t xml:space="preserve">FY2028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</si>
  <si>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vgm28_C</t>
  </si>
  <si>
    <r>
      <rPr>
        <sz val="11"/>
        <color theme="1"/>
        <rFont val="Calibri"/>
        <family val="2"/>
        <charset val="1"/>
      </rPr>
      <t xml:space="preserve">FY2028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</si>
  <si>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vgm29_A</t>
  </si>
  <si>
    <r>
      <rPr>
        <sz val="11"/>
        <color theme="1"/>
        <rFont val="Calibri"/>
        <family val="2"/>
        <charset val="1"/>
      </rPr>
      <t xml:space="preserve">FY2029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</si>
  <si>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vgm29_B</t>
  </si>
  <si>
    <r>
      <rPr>
        <sz val="11"/>
        <color theme="1"/>
        <rFont val="Calibri"/>
        <family val="2"/>
        <charset val="1"/>
      </rPr>
      <t xml:space="preserve">FY2029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</si>
  <si>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vgm29_C</t>
  </si>
  <si>
    <r>
      <rPr>
        <sz val="11"/>
        <color theme="1"/>
        <rFont val="Calibri"/>
        <family val="2"/>
        <charset val="1"/>
      </rPr>
      <t xml:space="preserve">FY2029 VSMC </t>
    </r>
    <r>
      <rPr>
        <sz val="11"/>
        <color theme="1"/>
        <rFont val="Noto Sans CJK SC"/>
        <family val="2"/>
      </rPr>
      <t xml:space="preserve">毛利率（含折舊；情境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</si>
  <si>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vmi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</si>
  <si>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非控制權益比例（</t>
    </r>
    <r>
      <rPr>
        <sz val="11"/>
        <color theme="1"/>
        <rFont val="Calibri"/>
        <family val="2"/>
        <charset val="1"/>
      </rPr>
      <t xml:space="preserve">NXP </t>
    </r>
    <r>
      <rPr>
        <sz val="11"/>
        <color theme="1"/>
        <rFont val="Noto Sans CJK SC"/>
        <family val="2"/>
      </rPr>
      <t xml:space="preserve">持股）</t>
    </r>
  </si>
  <si>
    <t xml:space="preserve">Verified</t>
  </si>
  <si>
    <r>
      <rPr>
        <sz val="11"/>
        <color theme="1"/>
        <rFont val="Noto Sans CJK SC"/>
        <family val="2"/>
      </rPr>
      <t xml:space="preserve">公司：世界先進出資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億美元持股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NXP </t>
    </r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億美元持股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</si>
  <si>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非控制權益＝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40%</t>
    </r>
    <r>
      <rPr>
        <sz val="11"/>
        <color theme="1"/>
        <rFont val="Noto Sans CJK SC"/>
        <family val="2"/>
      </rPr>
      <t xml:space="preserve">（簡化：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營業費用未另計）</t>
    </r>
  </si>
  <si>
    <t xml:space="preserve">ai_sh26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</si>
  <si>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營收（記憶列）</t>
    </r>
  </si>
  <si>
    <t xml:space="preserve">Interested-party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</si>
  <si>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相關占營收上半年個位數、下半年雙位數、全年雙位數；全年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營收約翻倍</t>
    </r>
  </si>
  <si>
    <t xml:space="preserve">公司：全年雙位數；只作記憶列，不進營收加總</t>
  </si>
  <si>
    <t xml:space="preserve">ai_sh27_A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</si>
  <si>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</si>
  <si>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（法人）：法人：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相關占比由今年 </t>
    </r>
    <r>
      <rPr>
        <sz val="11"/>
        <color theme="1"/>
        <rFont val="Calibri"/>
        <family val="2"/>
        <charset val="1"/>
      </rPr>
      <t xml:space="preserve">10–15%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（中介層、電源管理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、分離式元件供不應求）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</si>
  <si>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需求已反映在稼動率與售價情境；本列不進營收加總</t>
    </r>
  </si>
  <si>
    <t xml:space="preserve">ai_sh27_B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</si>
  <si>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</si>
  <si>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ai_sh27_C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</si>
  <si>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</si>
  <si>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成本：折舊（銷貨成本內）、每片現金成本、營業費用、營業外、稅、股數</t>
    </r>
  </si>
  <si>
    <t xml:space="preserve">da_tot26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</si>
  <si>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折舊與攤銷（全公司）</t>
    </r>
  </si>
  <si>
    <t xml:space="preserve">NT$B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</si>
  <si>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（資本支出、折舊）：公司預估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年折舊約 </t>
    </r>
    <r>
      <rPr>
        <sz val="11"/>
        <color theme="1"/>
        <rFont val="Calibri"/>
        <family val="2"/>
        <charset val="1"/>
      </rPr>
      <t xml:space="preserve">96.2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85.5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</si>
  <si>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吋廠；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折舊放在 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毛利率內</t>
    </r>
  </si>
  <si>
    <t xml:space="preserve">da_sh</t>
  </si>
  <si>
    <t xml:space="preserve">折舊中計入銷貨成本的比例</t>
  </si>
  <si>
    <t xml:space="preserve">公司未揭露拆分；晶圓廠折舊多數計入銷貨成本</t>
  </si>
  <si>
    <t xml:space="preserve">dag_27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</si>
  <si>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銷貨成本內折舊年增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</si>
  <si>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吋去瓶頸與升級</t>
    </r>
  </si>
  <si>
    <t xml:space="preserve">三情境相同（擴產已核准）</t>
  </si>
  <si>
    <t xml:space="preserve">dag_28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</si>
  <si>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銷貨成本內折舊年增</t>
    </r>
  </si>
  <si>
    <t xml:space="preserve">dag_29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</si>
  <si>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銷貨成本內折舊年增</t>
    </r>
  </si>
  <si>
    <t xml:space="preserve">dag_adj</t>
  </si>
  <si>
    <r>
      <rPr>
        <sz val="11"/>
        <color theme="1"/>
        <rFont val="Noto Sans CJK SC"/>
        <family val="2"/>
      </rPr>
      <t xml:space="preserve">折舊年增調整（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起各年加減）</t>
    </r>
  </si>
  <si>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</si>
  <si>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cc_g</t>
  </si>
  <si>
    <r>
      <rPr>
        <sz val="11"/>
        <color theme="1"/>
        <rFont val="Noto Sans CJK SC"/>
        <family val="2"/>
      </rPr>
      <t xml:space="preserve">每片現金成本年增（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</si>
  <si>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原物料、電價、人力（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</si>
  <si>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每片現金成本為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），之後依本列成長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</si>
  <si>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</si>
  <si>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</si>
  <si>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</si>
  <si>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</si>
  <si>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</si>
  <si>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研發、新業務投入</t>
  </si>
  <si>
    <t xml:space="preserve">nonop_f</t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</si>
  <si>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</si>
  <si>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</si>
  <si>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借款利息與政府補助：未找到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</si>
  <si>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</si>
  <si>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</si>
  <si>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</si>
  <si>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</si>
  <si>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</si>
  <si>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19.07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</si>
  <si>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18.8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</si>
  <si>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指引或假設）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</si>
  <si>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</si>
  <si>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</t>
    </r>
  </si>
  <si>
    <r>
      <rPr>
        <sz val="11"/>
        <color theme="1"/>
        <rFont val="Noto Sans CJK SC"/>
        <family val="2"/>
      </rPr>
      <t xml:space="preserve">公司指引匯率：</t>
    </r>
    <r>
      <rPr>
        <sz val="11"/>
        <color theme="1"/>
        <rFont val="Calibri"/>
        <family val="2"/>
        <charset val="1"/>
      </rPr>
      <t xml:space="preserve">1Q26 31.3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32</t>
    </r>
    <r>
      <rPr>
        <sz val="11"/>
        <color theme="1"/>
        <rFont val="Noto Sans CJK SC"/>
        <family val="2"/>
      </rPr>
      <t xml:space="preserve">（法說）</t>
    </r>
  </si>
  <si>
    <t xml:space="preserve">實際平均匯率：未找到</t>
  </si>
  <si>
    <t xml:space="preserve">ut_q1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</si>
  <si>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稼動率</t>
    </r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</si>
  <si>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月產能因歲修季減 </t>
    </r>
    <r>
      <rPr>
        <sz val="11"/>
        <color theme="1"/>
        <rFont val="Calibri"/>
        <family val="2"/>
        <charset val="1"/>
      </rPr>
      <t xml:space="preserve">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</si>
  <si>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</si>
  <si>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毛利率（公司指引中點）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</si>
  <si>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32.5–34.5%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</si>
  <si>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2026-11-05 </t>
    </r>
    <r>
      <rPr>
        <sz val="11"/>
        <color theme="1"/>
        <rFont val="Noto Sans CJK SC"/>
        <family val="2"/>
      </rPr>
      <t xml:space="preserve">公布後更新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</si>
  <si>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</si>
  <si>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</si>
  <si>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16.95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</si>
  <si>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q3_nonop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</si>
  <si>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營業外淨額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</si>
  <si>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</si>
  <si>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q3_tax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</si>
  <si>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</si>
  <si>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</si>
  <si>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</si>
  <si>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</si>
  <si>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法說轉述）：第四季有機會優於第三季</t>
    </r>
  </si>
  <si>
    <t xml:space="preserve">q4_ut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</si>
  <si>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稼動率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</si>
  <si>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稼動率可能超過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</si>
  <si>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92%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</si>
  <si>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</si>
  <si>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</si>
  <si>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指引上半段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</si>
  <si>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</si>
  <si>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</si>
  <si>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q4_nonop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</si>
  <si>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</t>
    </r>
  </si>
  <si>
    <t xml:space="preserve">q4_tax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</si>
  <si>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</si>
  <si>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t xml:space="preserve">t_h1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</si>
  <si>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</si>
  <si>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79.08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92.52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</si>
  <si>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</si>
  <si>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q_sh</t>
  </si>
  <si>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</si>
  <si>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</si>
  <si>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</si>
  <si>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</si>
  <si>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</si>
  <si>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（只作對照，不進模型）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</si>
  <si>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2026-09-21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</si>
  <si>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56.8–59.7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</si>
  <si>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</si>
  <si>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（只作對照，不進模型）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</si>
  <si>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</si>
  <si>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2026-09-21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</si>
  <si>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5.46–6.50</t>
    </r>
  </si>
  <si>
    <t xml:space="preserve">an_eps27</t>
  </si>
  <si>
    <r>
      <rPr>
        <sz val="11"/>
        <color theme="1"/>
        <rFont val="Noto Sans CJK SC"/>
        <family val="2"/>
      </rPr>
      <t xml:space="preserve">研究機構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</si>
  <si>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</si>
  <si>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超過一個股本（未給數字）</t>
    </r>
  </si>
  <si>
    <t xml:space="preserve">an_gm27</t>
  </si>
  <si>
    <r>
      <rPr>
        <sz val="11"/>
        <color theme="1"/>
        <rFont val="Noto Sans CJK SC"/>
        <family val="2"/>
      </rPr>
      <t xml:space="preserve">研究機構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</si>
  <si>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今年 </t>
    </r>
    <r>
      <rPr>
        <sz val="11"/>
        <color theme="1"/>
        <rFont val="Calibri"/>
        <family val="2"/>
        <charset val="1"/>
      </rPr>
      <t xml:space="preserve">32.8%</t>
    </r>
  </si>
  <si>
    <t xml:space="preserve">an_12sh27</t>
  </si>
  <si>
    <r>
      <rPr>
        <sz val="11"/>
        <color theme="1"/>
        <rFont val="Noto Sans CJK SC"/>
        <family val="2"/>
      </rPr>
      <t xml:space="preserve">研究機構 </t>
    </r>
    <r>
      <rPr>
        <sz val="11"/>
        <color theme="1"/>
        <rFont val="Calibri"/>
        <family val="2"/>
        <charset val="1"/>
      </rPr>
      <t xml:space="preserve">FY2027 12 </t>
    </r>
    <r>
      <rPr>
        <sz val="11"/>
        <color theme="1"/>
        <rFont val="Noto Sans CJK SC"/>
        <family val="2"/>
      </rPr>
      <t xml:space="preserve">吋占營收</t>
    </r>
  </si>
  <si>
    <t xml:space="preserve">co_q3_gm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</si>
  <si>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</si>
  <si>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法說轉述）</t>
    </r>
  </si>
  <si>
    <t xml:space="preserve">32.5–34.5%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</si>
  <si>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</si>
  <si>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</si>
  <si>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</si>
  <si>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161.00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</si>
  <si>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以後收盤：未找到（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歷史頁只到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</si>
  <si>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</si>
  <si>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4.57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</si>
  <si>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</si>
  <si>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</si>
  <si>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157.5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</si>
  <si>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</si>
  <si>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</si>
  <si>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</si>
  <si>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23.41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157.5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</si>
  <si>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</si>
  <si>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</si>
  <si>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</si>
  <si>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183.18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2026-09-21 </t>
    </r>
    <r>
      <rPr>
        <sz val="11"/>
        <color theme="1"/>
        <rFont val="Noto Sans CJK SC"/>
        <family val="2"/>
      </rPr>
      <t xml:space="preserve">擷取；中位數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89–220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</si>
  <si>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：花旗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、法人最高 </t>
    </r>
    <r>
      <rPr>
        <sz val="11"/>
        <color theme="1"/>
        <rFont val="Calibri"/>
        <family val="2"/>
        <charset val="1"/>
      </rPr>
      <t xml:space="preserve">220</t>
    </r>
  </si>
  <si>
    <t xml:space="preserve">nim_5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</si>
  <si>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</si>
  <si>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</si>
  <si>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</si>
  <si>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</si>
  <si>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</si>
  <si>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</si>
  <si>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</si>
  <si>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</si>
  <si>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</si>
  <si>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</si>
  <si>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</si>
  <si>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</si>
  <si>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</si>
  <si>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</si>
  <si>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</si>
  <si>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</si>
  <si>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</si>
  <si>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</si>
  <si>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</si>
  <si>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</si>
  <si>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</si>
  <si>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</si>
  <si>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12.32%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10.21%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</si>
  <si>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</si>
  <si>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</si>
  <si>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</si>
  <si>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</si>
  <si>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</si>
  <si>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</si>
  <si>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</si>
  <si>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</si>
  <si>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</si>
  <si>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</si>
  <si>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</si>
  <si>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</si>
  <si>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</si>
  <si>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</si>
  <si>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</si>
  <si>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</si>
  <si>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</si>
  <si>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</si>
  <si>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</si>
  <si>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</si>
  <si>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</si>
  <si>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</si>
  <si>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</si>
  <si>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</si>
  <si>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</si>
  <si>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scn_ut27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</si>
  <si>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</si>
  <si>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</si>
  <si>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scn_ut28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</si>
  <si>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</si>
  <si>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</si>
  <si>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scn_ut29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</si>
  <si>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</si>
  <si>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</si>
  <si>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</si>
  <si>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</si>
  <si>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</si>
  <si>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</si>
  <si>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</si>
  <si>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</si>
  <si>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scn_vut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</si>
  <si>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vut_A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vut_B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vut_C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</si>
  <si>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scn_vgm27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</si>
  <si>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vgm27_A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</si>
  <si>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scn_vgm28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</si>
  <si>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vgm28_A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</si>
  <si>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scn_vgm29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</si>
  <si>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vgm29_A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vgm29_C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</si>
  <si>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scn_ai_sh27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</si>
  <si>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ai_sh27_A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ai_sh27_B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ai_sh27_C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</si>
  <si>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</si>
  <si>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</si>
  <si>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</si>
  <si>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</si>
  <si>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</si>
  <si>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</si>
  <si>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</si>
  <si>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</si>
  <si>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</si>
  <si>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為新台幣、基本；股數為十億股；晶圓為千片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吋）。藍字＝輸入（公司法說、媒體轉述、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</si>
  <si>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營收實績（月營收）與公司指引（毛利率 </t>
    </r>
    <r>
      <rPr>
        <sz val="11"/>
        <color theme="1"/>
        <rFont val="Calibri"/>
        <family val="2"/>
        <charset val="1"/>
      </rPr>
      <t xml:space="preserve">32.5–34.5% </t>
    </r>
    <r>
      <rPr>
        <sz val="11"/>
        <color theme="1"/>
        <rFont val="Noto Sans CJK SC"/>
        <family val="2"/>
      </rPr>
      <t xml:space="preserve">中點）＋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</si>
  <si>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</si>
  <si>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</si>
  <si>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</si>
  <si>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</si>
  <si>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</si>
  <si>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</si>
  <si>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</si>
  <si>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</si>
  <si>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財報頁、科技新報 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（月營收）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</si>
  <si>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424.79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1H26 267.77 </t>
    </r>
    <r>
      <rPr>
        <sz val="11"/>
        <color theme="1"/>
        <rFont val="Noto Sans CJK SC"/>
        <family val="2"/>
      </rPr>
      <t xml:space="preserve">億（月營收）；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</si>
  <si>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晶圓出貨（千片，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</si>
  <si>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稼動率</t>
    </r>
  </si>
  <si>
    <r>
      <rPr>
        <sz val="11"/>
        <color theme="1"/>
        <rFont val="Noto Sans CJK SC"/>
        <family val="2"/>
      </rPr>
      <t xml:space="preserve">公司只揭露出貨季增率（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+11–13%</t>
    </r>
    <r>
      <rPr>
        <sz val="11"/>
        <color theme="1"/>
        <rFont val="Noto Sans CJK SC"/>
        <family val="2"/>
      </rPr>
      <t xml:space="preserve">）</t>
    </r>
  </si>
  <si>
    <t xml:space="preserve">稼動率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</si>
  <si>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</si>
  <si>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https://www.ctee.com.tw/news/20260806700216-430201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</si>
  <si>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欄＝出貨合計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產能合計</t>
    </r>
  </si>
  <si>
    <r>
      <rPr>
        <sz val="11"/>
        <color theme="1"/>
        <rFont val="Noto Sans CJK SC"/>
        <family val="2"/>
      </rPr>
      <t xml:space="preserve">產能（千片，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</si>
  <si>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吋產能約 </t>
    </r>
    <r>
      <rPr>
        <sz val="11"/>
        <color theme="1"/>
        <rFont val="Calibri"/>
        <family val="2"/>
        <charset val="1"/>
      </rPr>
      <t xml:space="preserve">330.6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4</t>
    </r>
  </si>
  <si>
    <r>
      <rPr>
        <sz val="11"/>
        <color theme="1"/>
        <rFont val="Noto Sans CJK SC"/>
        <family val="2"/>
      </rPr>
      <t xml:space="preserve">季度產能未揭露（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平均分配）</t>
    </r>
  </si>
  <si>
    <r>
      <rPr>
        <sz val="11"/>
        <color theme="1"/>
        <rFont val="Noto Sans CJK SC"/>
        <family val="2"/>
      </rPr>
      <t xml:space="preserve">平均售價（全部營收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出貨；美元／片）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</si>
  <si>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</si>
  <si>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平均售價季減約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指引季增 </t>
    </r>
    <r>
      <rPr>
        <sz val="11"/>
        <color theme="1"/>
        <rFont val="Calibri"/>
        <family val="2"/>
        <charset val="1"/>
      </rPr>
      <t xml:space="preserve">2–4%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</si>
  <si>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</si>
  <si>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</si>
  <si>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 29.3%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32.3%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</si>
  <si>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</si>
  <si>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27.5%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32.3%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</si>
  <si>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</si>
  <si>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</si>
  <si>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</si>
  <si>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</si>
  <si>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</si>
  <si>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 16.7%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20.4%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</si>
  <si>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</si>
  <si>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</si>
  <si>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</si>
  <si>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FY2025 </t>
    </r>
    <r>
      <rPr>
        <sz val="11"/>
        <color theme="1"/>
        <rFont val="Noto Sans CJK SC"/>
        <family val="2"/>
      </rPr>
      <t xml:space="preserve">稅率）</t>
    </r>
  </si>
  <si>
    <t xml:space="preserve">所得稅</t>
  </si>
  <si>
    <t xml:space="preserve">稅前 −（歸屬母公司淨利＋非控制權益）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</si>
  <si>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</si>
  <si>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</si>
  <si>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</si>
  <si>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22.46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29.75 </t>
    </r>
    <r>
      <rPr>
        <sz val="11"/>
        <color theme="1"/>
        <rFont val="Noto Sans CJK SC"/>
        <family val="2"/>
      </rPr>
      <t xml:space="preserve">億</t>
    </r>
  </si>
  <si>
    <t xml:space="preserve">  非控制權益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</si>
  <si>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量產前費用的非控制權益：未拆分（取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</si>
  <si>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</si>
  <si>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</si>
  <si>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</si>
  <si>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</si>
  <si>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</si>
  <si>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1.56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</si>
  <si>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2026-11-05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</si>
  <si>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</si>
  <si>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</si>
  <si>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</si>
  <si>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</si>
  <si>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</si>
  <si>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267.77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</si>
  <si>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2.74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</si>
  <si>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平均售價（美元／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吋片）</t>
    </r>
  </si>
  <si>
    <r>
      <rPr>
        <b val="true"/>
        <sz val="11"/>
        <rFont val="Noto Sans CJK SC"/>
        <family val="2"/>
      </rPr>
      <t xml:space="preserve">官方報告分部與產品別（最近完整年度＋最近四季 </t>
    </r>
    <r>
      <rPr>
        <b val="true"/>
        <sz val="11"/>
        <rFont val="Cambria"/>
        <family val="0"/>
        <charset val="1"/>
      </rPr>
      <t xml:space="preserve">3Q25–2Q26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</si>
  <si>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t xml:space="preserve">3Q25</t>
  </si>
  <si>
    <t xml:space="preserve">4Q25</t>
  </si>
  <si>
    <t xml:space="preserve">1Q26</t>
  </si>
  <si>
    <t xml:space="preserve">2Q26</t>
  </si>
  <si>
    <t xml:space="preserve">最近四季合計</t>
  </si>
  <si>
    <t xml:space="preserve">晶圓代工營收（單一營運部門）</t>
  </si>
  <si>
    <r>
      <rPr>
        <sz val="11"/>
        <color theme="1"/>
        <rFont val="Noto Sans CJK SC"/>
        <family val="2"/>
      </rPr>
      <t xml:space="preserve">公司：單一營運部門（晶圓代工）；</t>
    </r>
    <r>
      <rPr>
        <sz val="11"/>
        <color theme="1"/>
        <rFont val="Calibri"/>
        <family val="2"/>
        <charset val="1"/>
      </rPr>
      <t xml:space="preserve">4Q25 125.94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</si>
  <si>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4Q25 ÷ 1.02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，四捨五入誤差另註）</t>
    </r>
  </si>
  <si>
    <r>
      <rPr>
        <sz val="11"/>
        <color theme="1"/>
        <rFont val="Noto Sans CJK SC"/>
        <family val="2"/>
      </rPr>
      <t xml:space="preserve">  電源管理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</si>
  <si>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Calibri"/>
        <family val="2"/>
        <charset val="1"/>
      </rPr>
      <t xml:space="preserve">https://uanalyze.com.tw/articles/8378052767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電源管理 </t>
    </r>
    <r>
      <rPr>
        <sz val="11"/>
        <color theme="1"/>
        <rFont val="Calibri"/>
        <family val="2"/>
        <charset val="1"/>
      </rPr>
      <t xml:space="preserve">IC 77%</t>
    </r>
  </si>
  <si>
    <t xml:space="preserve">其他季比重：未找到</t>
  </si>
  <si>
    <r>
      <rPr>
        <sz val="11"/>
        <color theme="1"/>
        <rFont val="Noto Sans CJK SC"/>
        <family val="2"/>
      </rPr>
      <t xml:space="preserve">  大尺寸面板驅動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</si>
  <si>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Calibri"/>
        <family val="2"/>
        <charset val="1"/>
      </rPr>
      <t xml:space="preserve">https://uanalyze.com.tw/articles/8378052767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12%</t>
    </r>
  </si>
  <si>
    <r>
      <rPr>
        <sz val="11"/>
        <color theme="1"/>
        <rFont val="Noto Sans CJK SC"/>
        <family val="2"/>
      </rPr>
      <t xml:space="preserve">  中小尺寸面板驅動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</si>
  <si>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Calibri"/>
        <family val="2"/>
        <charset val="1"/>
      </rPr>
      <t xml:space="preserve">https://uanalyze.com.tw/articles/8378052767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</si>
  <si>
    <t xml:space="preserve">  其他（含分離式元件）</t>
  </si>
  <si>
    <r>
      <rPr>
        <sz val="11"/>
        <color theme="1"/>
        <rFont val="Noto Sans CJK SC"/>
        <family val="2"/>
      </rPr>
      <t xml:space="preserve">差額（公司：其他約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</si>
  <si>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分離式元件未單獨揭露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</si>
  <si>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</si>
  <si>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為推得，不列核對）</t>
    </r>
  </si>
  <si>
    <r>
      <rPr>
        <sz val="11"/>
        <color theme="1"/>
        <rFont val="Noto Sans CJK SC"/>
        <family val="2"/>
      </rPr>
      <t xml:space="preserve">檢查：子列合計 − 分部（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</si>
  <si>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</si>
  <si>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世界先進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吋晶圓（千片）、稼動率、售價，與 </t>
    </r>
    <r>
      <rPr>
        <sz val="11"/>
        <color theme="1"/>
        <rFont val="Calibri"/>
        <family val="2"/>
        <charset val="1"/>
      </rPr>
      <t xml:space="preserve">VSMC 12 </t>
    </r>
    <r>
      <rPr>
        <sz val="11"/>
        <color theme="1"/>
        <rFont val="Noto Sans CJK SC"/>
        <family val="2"/>
      </rPr>
      <t xml:space="preserve">吋廠（三情境）。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為公司揭露；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產能為公司規劃與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爬坡</t>
    </r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</si>
  <si>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</si>
  <si>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</si>
  <si>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</si>
  <si>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</si>
  <si>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1. 8 </t>
    </r>
    <r>
      <rPr>
        <b val="true"/>
        <sz val="11"/>
        <rFont val="Noto Sans CJK SC"/>
        <family val="2"/>
      </rPr>
      <t xml:space="preserve">吋晶圓：三情境稼動率、出貨與售價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</si>
  <si>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</si>
  <si>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頁各情境推導區塊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</si>
  <si>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</si>
  <si>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</si>
  <si>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</si>
  <si>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</si>
  <si>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</si>
  <si>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</si>
  <si>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</si>
  <si>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</si>
  <si>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</si>
  <si>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</si>
  <si>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</si>
  <si>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VSMC 12 </t>
    </r>
    <r>
      <rPr>
        <b val="true"/>
        <sz val="11"/>
        <rFont val="Noto Sans CJK SC"/>
        <family val="2"/>
      </rPr>
      <t xml:space="preserve">吋廠與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相關（三情境）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</si>
  <si>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</si>
  <si>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</si>
  <si>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</si>
  <si>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</si>
  <si>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</si>
  <si>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</si>
  <si>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吋（</t>
    </r>
    <r>
      <rPr>
        <sz val="11"/>
        <color theme="1"/>
        <rFont val="Calibri"/>
        <family val="2"/>
        <charset val="1"/>
      </rPr>
      <t xml:space="preserve">VSMC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</si>
  <si>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吋（</t>
    </r>
    <r>
      <rPr>
        <sz val="11"/>
        <color theme="1"/>
        <rFont val="Calibri"/>
        <family val="2"/>
        <charset val="1"/>
      </rPr>
      <t xml:space="preserve">VSMC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</si>
  <si>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吋（</t>
    </r>
    <r>
      <rPr>
        <sz val="11"/>
        <color theme="1"/>
        <rFont val="Calibri"/>
        <family val="2"/>
        <charset val="1"/>
      </rPr>
      <t xml:space="preserve">VSMC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</si>
  <si>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</si>
  <si>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</si>
  <si>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</si>
  <si>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</si>
  <si>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平均售價（美元／片）</t>
    </r>
  </si>
  <si>
    <r>
      <rPr>
        <sz val="11"/>
        <color theme="1"/>
        <rFont val="Noto Sans CJK SC"/>
        <family val="2"/>
      </rPr>
      <t xml:space="preserve">晶圓營收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</si>
  <si>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每片現金成本（</t>
    </r>
    <r>
      <rPr>
        <sz val="11"/>
        <color theme="1"/>
        <rFont val="Calibri"/>
        <family val="2"/>
        <charset val="1"/>
      </rPr>
      <t xml:space="preserve">NT$K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</si>
  <si>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</si>
  <si>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銷貨成本內折舊（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</si>
  <si>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全公司折舊 </t>
    </r>
    <r>
      <rPr>
        <sz val="11"/>
        <color theme="1"/>
        <rFont val="Calibri"/>
        <family val="2"/>
        <charset val="1"/>
      </rPr>
      <t xml:space="preserve">× da_sh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</si>
  <si>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吋稼動率與售價決定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的大部分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從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起放量，量產初期毛利率為負（折舊重），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起的毛利率是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情境下修的主因之一。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</si>
  <si>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世界先進損益（十億新台幣；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</si>
  <si>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</si>
  <si>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</si>
  <si>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</si>
  <si>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</si>
  <si>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</si>
  <si>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</si>
  <si>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</si>
  <si>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</si>
  <si>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8 </t>
    </r>
    <r>
      <rPr>
        <sz val="11"/>
        <color theme="1"/>
        <rFont val="Noto Sans CJK SC"/>
        <family val="2"/>
      </rPr>
      <t xml:space="preserve">吋晶圓營收</t>
    </r>
  </si>
  <si>
    <r>
      <rPr>
        <sz val="11"/>
        <color theme="1"/>
        <rFont val="Calibri"/>
        <family val="2"/>
        <charset val="1"/>
      </rPr>
      <t xml:space="preserve">  VSMC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</si>
  <si>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營收（記憶列）</t>
    </r>
  </si>
  <si>
    <t xml:space="preserve">平均售價（美元）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</si>
  <si>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</si>
  <si>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</si>
  <si>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</si>
  <si>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</si>
  <si>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</si>
  <si>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</si>
  <si>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</si>
  <si>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</si>
  <si>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</si>
  <si>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</si>
  <si>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94%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93%</t>
    </r>
    <r>
      <rPr>
        <b val="true"/>
        <sz val="11"/>
        <rFont val="Noto Sans CJK SC"/>
        <family val="2"/>
      </rPr>
      <t xml:space="preserve">；售價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、毛利率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25%</t>
    </r>
  </si>
  <si>
    <r>
      <rPr>
        <b val="true"/>
        <sz val="11"/>
        <rFont val="Cambria"/>
        <family val="0"/>
        <charset val="1"/>
      </rPr>
      <t xml:space="preserve">A. 8 </t>
    </r>
    <r>
      <rPr>
        <b val="true"/>
        <sz val="11"/>
        <rFont val="Noto Sans CJK SC"/>
        <family val="2"/>
      </rPr>
      <t xml:space="preserve">吋晶圓：產能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平均售價（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</si>
  <si>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</t>
    </r>
  </si>
  <si>
    <t xml:space="preserve">平均稼動率</t>
  </si>
  <si>
    <r>
      <rPr>
        <sz val="11"/>
        <color theme="1"/>
        <rFont val="Noto Sans CJK SC"/>
        <family val="2"/>
      </rPr>
      <t xml:space="preserve">晶圓出貨（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</si>
  <si>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Noto Sans CJK SC"/>
        <family val="2"/>
      </rPr>
      <t xml:space="preserve">平均售價（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吋晶圓）</t>
    </r>
  </si>
  <si>
    <t xml:space="preserve">平均售價年增（美元）</t>
  </si>
  <si>
    <t xml:space="preserve">匯率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</si>
  <si>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吋晶圓營收</t>
    </r>
  </si>
  <si>
    <r>
      <rPr>
        <b val="true"/>
        <sz val="11"/>
        <rFont val="Cambria"/>
        <family val="0"/>
        <charset val="1"/>
      </rPr>
      <t xml:space="preserve">B. VSMC</t>
    </r>
    <r>
      <rPr>
        <b val="true"/>
        <sz val="11"/>
        <rFont val="Noto Sans CJK SC"/>
        <family val="2"/>
      </rPr>
      <t xml:space="preserve">（新加坡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吋廠；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第一季量產）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</si>
  <si>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</si>
  <si>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稼動率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</si>
  <si>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</si>
  <si>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</si>
  <si>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</si>
  <si>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吋（</t>
    </r>
    <r>
      <rPr>
        <sz val="11"/>
        <color theme="1"/>
        <rFont val="Calibri"/>
        <family val="2"/>
        <charset val="1"/>
      </rPr>
      <t xml:space="preserve">VSMC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</si>
  <si>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營收（記憶列，不進營收加總）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</si>
  <si>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</si>
  <si>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成本與損益</t>
    </r>
  </si>
  <si>
    <t xml:space="preserve">銷貨成本內折舊</t>
  </si>
  <si>
    <r>
      <rPr>
        <sz val="11"/>
        <color theme="1"/>
        <rFont val="Noto Sans CJK SC"/>
        <family val="2"/>
      </rPr>
      <t xml:space="preserve">每片現金成本（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殘差，之後年增 </t>
    </r>
    <r>
      <rPr>
        <sz val="11"/>
        <color theme="1"/>
        <rFont val="Calibri"/>
        <family val="2"/>
        <charset val="1"/>
      </rPr>
      <t xml:space="preserve">cc_g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</si>
  <si>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NT$K/</t>
    </r>
    <r>
      <rPr>
        <sz val="11"/>
        <color theme="1"/>
        <rFont val="Noto Sans CJK SC"/>
        <family val="2"/>
      </rPr>
      <t xml:space="preserve">片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</si>
  <si>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毛利等於錨點；含原物料、人力、電力等變動與固定現金成本</t>
    </r>
  </si>
  <si>
    <r>
      <rPr>
        <sz val="11"/>
        <color theme="1"/>
        <rFont val="Noto Sans CJK SC"/>
        <family val="2"/>
      </rPr>
      <t xml:space="preserve">現金成本合計（每片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</si>
  <si>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</si>
  <si>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</si>
  <si>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NXP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VSMC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</si>
  <si>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虧損時為負值（母公司淨利少扣）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</si>
  <si>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</si>
  <si>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</si>
  <si>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</si>
  <si>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87%</t>
    </r>
    <r>
      <rPr>
        <b val="true"/>
        <sz val="11"/>
        <rFont val="Noto Sans CJK SC"/>
        <family val="2"/>
      </rPr>
      <t xml:space="preserve">；售價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、毛利率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</si>
  <si>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74%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78%</t>
    </r>
    <r>
      <rPr>
        <b val="true"/>
        <sz val="11"/>
        <rFont val="Noto Sans CJK SC"/>
        <family val="2"/>
      </rPr>
      <t xml:space="preserve">；售價 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（中國成熟製程擴產的價格壓力）；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、毛利率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</si>
  <si>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</si>
  <si>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循環位置：世界先進不是設備股，不套設備市場見頂年；以本模型營收最高的會計年度為見頂年（比照創意、聯發科；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</si>
  <si>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</si>
  <si>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</si>
  <si>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</si>
  <si>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</si>
  <si>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</si>
  <si>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</si>
  <si>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</si>
  <si>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</si>
  <si>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</si>
  <si>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</si>
  <si>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</si>
  <si>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</si>
  <si>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</si>
  <si>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</si>
  <si>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</si>
  <si>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</si>
  <si>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</si>
  <si>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</si>
  <si>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</si>
  <si>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</si>
  <si>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</si>
  <si>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</si>
  <si>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</si>
  <si>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</si>
  <si>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</si>
  <si>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</si>
  <si>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</si>
  <si>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聯電（</t>
    </r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）</t>
    </r>
  </si>
  <si>
    <t xml:space="preserve">2303.TW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</si>
  <si>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</si>
  <si>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</si>
  <si>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</si>
  <si>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</si>
  <si>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（抄自台積電模型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</si>
  <si>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</si>
  <si>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</si>
  <si>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</si>
  <si>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r>
      <rPr>
        <sz val="11"/>
        <color theme="1"/>
        <rFont val="Noto Sans CJK SC"/>
        <family val="2"/>
      </rPr>
      <t xml:space="preserve">高塔半導體（</t>
    </r>
    <r>
      <rPr>
        <sz val="11"/>
        <color theme="1"/>
        <rFont val="Calibri"/>
        <family val="2"/>
        <charset val="1"/>
      </rPr>
      <t xml:space="preserve">Tower</t>
    </r>
    <r>
      <rPr>
        <sz val="11"/>
        <color theme="1"/>
        <rFont val="Noto Sans CJK SC"/>
        <family val="2"/>
      </rPr>
      <t xml:space="preserve">）</t>
    </r>
  </si>
  <si>
    <t xml:space="preserve">TSEM</t>
  </si>
  <si>
    <t xml:space="preserve">2026-10-26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</si>
  <si>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</si>
  <si>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成熟與特殊製程晶圓代工同業（聯電、格芯、中芯港股、高塔）；不含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）；力積電、華虹前瞻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未取得或資料日過舊，未列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</si>
  <si>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</si>
  <si>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</si>
  <si>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</si>
  <si>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</si>
  <si>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</si>
  <si>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</si>
  <si>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</si>
  <si>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（相對倍數調整後，見第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</si>
  <si>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</si>
  <si>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</si>
  <si>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</si>
  <si>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</si>
  <si>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</si>
  <si>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</si>
  <si>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</si>
  <si>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</si>
  <si>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</si>
  <si>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</si>
  <si>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</si>
  <si>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</si>
  <si>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</si>
  <si>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建廠期（</t>
    </r>
    <r>
      <rPr>
        <sz val="11"/>
        <color theme="1"/>
        <rFont val="Calibri"/>
        <family val="2"/>
        <charset val="1"/>
      </rPr>
      <t xml:space="preserve">2025–2027</t>
    </r>
    <r>
      <rPr>
        <sz val="11"/>
        <color theme="1"/>
        <rFont val="Noto Sans CJK SC"/>
        <family val="2"/>
      </rPr>
      <t xml:space="preserve">）資本支出每年 </t>
    </r>
    <r>
      <rPr>
        <sz val="11"/>
        <color theme="1"/>
        <rFont val="Calibri"/>
        <family val="2"/>
        <charset val="1"/>
      </rPr>
      <t xml:space="preserve">600–700 </t>
    </r>
    <r>
      <rPr>
        <sz val="11"/>
        <color theme="1"/>
        <rFont val="Noto Sans CJK SC"/>
        <family val="2"/>
      </rPr>
      <t xml:space="preserve">億元，遠高於淨利，本模型沒有資本支出推導，未改用淨利＋折舊－資本支出，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：聯電、格芯、中芯（港股）、高塔前瞻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中位數；世界先進本身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前瞻倍數待取，相對倍數調整係數取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（不調整）。主要偏誤：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吋稼動率、售價與 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毛利率屬公司層級假設（待併入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＝不如預期（中國成熟製程擴產、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 </t>
    </r>
    <r>
      <rPr>
        <sz val="11"/>
        <color theme="1"/>
        <rFont val="Calibri"/>
        <family val="2"/>
        <charset val="1"/>
      </rPr>
      <t xml:space="preserve">74–80%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毛利率為負）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</si>
  <si>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</si>
  <si>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</si>
  <si>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</si>
  <si>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</si>
  <si>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</si>
  <si>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</si>
  <si>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</si>
  <si>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</si>
  <si>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三情境差在稼動率、售價與新業務；顆數情境係數從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</si>
  <si>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</si>
  <si>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</si>
  <si>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</si>
  <si>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</si>
  <si>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</si>
  <si>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</si>
  <si>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</si>
  <si>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</si>
  <si>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</si>
  <si>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</si>
  <si>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</si>
  <si>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</si>
  <si>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</si>
  <si>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</si>
  <si>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</si>
  <si>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</si>
  <si>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</si>
  <si>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</si>
  <si>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</si>
  <si>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</si>
  <si>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</si>
  <si>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</si>
  <si>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</si>
  <si>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</si>
  <si>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</si>
  <si>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</si>
  <si>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</si>
  <si>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</si>
  <si>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</si>
  <si>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</si>
  <si>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stockanalysis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</si>
  <si>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</si>
  <si>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</si>
  <si>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</si>
  <si>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</si>
  <si>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</si>
  <si>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</si>
  <si>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</si>
  <si>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</si>
  <si>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</si>
  <si>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</si>
  <si>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</si>
  <si>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</si>
  <si>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。十年中位數約 </t>
    </r>
    <r>
      <rPr>
        <sz val="11"/>
        <color theme="1"/>
        <rFont val="Calibri"/>
        <family val="2"/>
        <charset val="1"/>
      </rPr>
      <t xml:space="preserve">17–18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高峰時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倍。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</si>
  <si>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</si>
  <si>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</si>
  <si>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</si>
  <si>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</si>
  <si>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</si>
  <si>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</si>
  <si>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</si>
  <si>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</si>
  <si>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</si>
  <si>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</si>
  <si>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</si>
  <si>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</si>
  <si>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</si>
  <si>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</si>
  <si>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</si>
  <si>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</si>
  <si>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</si>
  <si>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</si>
  <si>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</si>
  <si>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</si>
  <si>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</si>
  <si>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</si>
  <si>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</si>
  <si>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</si>
  <si>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</si>
  <si>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</si>
  <si>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</si>
  <si>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</si>
  <si>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</si>
  <si>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</si>
  <si>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</si>
  <si>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</si>
  <si>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</si>
  <si>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</si>
  <si>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</si>
  <si>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</si>
  <si>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</si>
  <si>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</si>
  <si>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</si>
  <si>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</si>
  <si>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</si>
  <si>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</si>
  <si>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</si>
  <si>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</si>
  <si>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</si>
  <si>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</si>
  <si>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</si>
  <si>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</si>
  <si>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</si>
  <si>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</si>
  <si>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世界先進</t>
  </si>
  <si>
    <t xml:space="preserve">5347.TWO</t>
  </si>
  <si>
    <t xml:space="preserve">本公司</t>
  </si>
  <si>
    <t xml:space="preserve">未找到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</si>
  <si>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</si>
  <si>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</si>
  <si>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GFS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</si>
  <si>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0981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</si>
  <si>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</si>
  <si>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</si>
  <si>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</si>
  <si>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</si>
  <si>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</si>
  <si>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</si>
  <si>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</si>
  <si>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</si>
  <si>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</si>
  <si>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</si>
  <si>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</si>
  <si>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</si>
  <si>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</si>
  <si>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</si>
  <si>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公司說法、共識、券商。只作事後對照，不為對上數字而調參數。券商與資料商數字為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</si>
  <si>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</si>
  <si>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</si>
  <si>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</si>
  <si>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</si>
  <si>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</si>
  <si>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</si>
  <si>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</si>
  <si>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</si>
  <si>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</si>
  <si>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</si>
  <si>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</si>
  <si>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</si>
  <si>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</si>
  <si>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</si>
  <si>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5.46–6.50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</si>
  <si>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</si>
  <si>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</si>
  <si>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三欄同值（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2026-11-05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</si>
  <si>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研究機構（校準未使用）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</si>
  <si>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研究機構約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</si>
  <si>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</si>
  <si>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共識：未找到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</si>
  <si>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研究機構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</si>
  <si>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FY2027 12 </t>
    </r>
    <r>
      <rPr>
        <sz val="11"/>
        <color theme="1"/>
        <rFont val="Noto Sans CJK SC"/>
        <family val="2"/>
      </rPr>
      <t xml:space="preserve">吋（</t>
    </r>
    <r>
      <rPr>
        <sz val="11"/>
        <color theme="1"/>
        <rFont val="Calibri"/>
        <family val="2"/>
        <charset val="1"/>
      </rPr>
      <t xml:space="preserve">VSMC</t>
    </r>
    <r>
      <rPr>
        <sz val="11"/>
        <color theme="1"/>
        <rFont val="Noto Sans CJK SC"/>
        <family val="2"/>
      </rPr>
      <t xml:space="preserve">）占營收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研究機構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</si>
  <si>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</si>
  <si>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</si>
  <si>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</si>
  <si>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t xml:space="preserve">預留</t>
  </si>
  <si>
    <r>
      <rPr>
        <sz val="11"/>
        <color theme="1"/>
        <rFont val="Noto Sans CJK SC"/>
        <family val="2"/>
      </rPr>
      <t xml:space="preserve">成熟製程稼動率與價格的行業層（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）尚未建立：上線後以本模型稼動率、售價情境對照行業路徑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</si>
  <si>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</si>
  <si>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頁敏感度低／高值），三情境都在本頁下方逐案重算（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恆等於錨點，每片現金成本在每個案例內重算），表內為情境加權後的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（相對倍數調整後）與加權目標價；另列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</si>
  <si>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相對基準＝案例加權目標價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。目標價參數（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）三案只改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參數，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收斂法的 </t>
    </r>
    <r>
      <rPr>
        <sz val="11"/>
        <color theme="1"/>
        <rFont val="Calibri"/>
        <family val="2"/>
        <charset val="1"/>
      </rPr>
      <t xml:space="preserve">fade_g </t>
    </r>
    <r>
      <rPr>
        <sz val="11"/>
        <color theme="1"/>
        <rFont val="Noto Sans CJK SC"/>
        <family val="2"/>
      </rPr>
      <t xml:space="preserve">不隨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變動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</si>
  <si>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</si>
  <si>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</si>
  <si>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</si>
  <si>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</si>
  <si>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</si>
  <si>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</si>
  <si>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（調整後）目標價</t>
    </r>
  </si>
  <si>
    <t xml:space="preserve">加權目標價</t>
  </si>
  <si>
    <t xml:space="preserve">相對基準</t>
  </si>
  <si>
    <t xml:space="preserve">基準（三情境加權）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</si>
  <si>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頁三個推導區塊</t>
    </r>
  </si>
  <si>
    <t xml:space="preserve">匯率：低</t>
  </si>
  <si>
    <t xml:space="preserve">匯率：高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</si>
  <si>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吋產能係數：低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</si>
  <si>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吋產能係數：高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</si>
  <si>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吋稼動率調整：低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</si>
  <si>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吋稼動率調整：高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</si>
  <si>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吋售價水準調整：低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</si>
  <si>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吋售價水準調整：高</t>
    </r>
  </si>
  <si>
    <t xml:space="preserve">折舊年增調整：低</t>
  </si>
  <si>
    <t xml:space="preserve">折舊年增調整：高</t>
  </si>
  <si>
    <t xml:space="preserve">每片現金成本年增：低</t>
  </si>
  <si>
    <t xml:space="preserve">每片現金成本年增：高</t>
  </si>
  <si>
    <t xml:space="preserve">營業費用彈性：低</t>
  </si>
  <si>
    <t xml:space="preserve">營業費用彈性：高</t>
  </si>
  <si>
    <t xml:space="preserve">營業外淨額：低</t>
  </si>
  <si>
    <t xml:space="preserve">營業外淨額：高</t>
  </si>
  <si>
    <t xml:space="preserve">稅率：低</t>
  </si>
  <si>
    <t xml:space="preserve">稅率：高</t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</si>
  <si>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產能係數：低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</si>
  <si>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產能係數：高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</si>
  <si>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售價：低</t>
    </r>
  </si>
  <si>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售價：高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</si>
  <si>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</si>
  <si>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</si>
  <si>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</si>
  <si>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</si>
  <si>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</si>
  <si>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</si>
  <si>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</si>
  <si>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</si>
  <si>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</si>
  <si>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</si>
  <si>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</si>
  <si>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</si>
  <si>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吋稼動率與售價最敏感；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的產能與售價影響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，但因非控制權益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與量產初期毛利率低，對加權目標價的影響小於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吋售價。</t>
    </r>
  </si>
  <si>
    <t xml:space="preserve">敏感度「逐案推導區塊」：以下每個案例三個情境各一個完整推導區塊（不是案例列）</t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</si>
  <si>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</si>
  <si>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</si>
  <si>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</si>
  <si>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</si>
  <si>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</si>
  <si>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</si>
  <si>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</si>
  <si>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</si>
  <si>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</si>
  <si>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</si>
  <si>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</si>
  <si>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吋產能係數：高（情境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</si>
  <si>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</si>
  <si>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</si>
  <si>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</si>
  <si>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</si>
  <si>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</si>
  <si>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吋稼動率調整：高（情境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</si>
  <si>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</si>
  <si>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</si>
  <si>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</si>
  <si>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</si>
  <si>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</si>
  <si>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吋售價水準調整：高（情境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</si>
  <si>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</si>
  <si>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</si>
  <si>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</si>
  <si>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</si>
  <si>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</si>
  <si>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</si>
  <si>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</si>
  <si>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</si>
  <si>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</si>
  <si>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</si>
  <si>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</si>
  <si>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</si>
  <si>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</si>
  <si>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</si>
  <si>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</si>
  <si>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</si>
  <si>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</si>
  <si>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</si>
  <si>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</si>
  <si>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</si>
  <si>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</si>
  <si>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</si>
  <si>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</si>
  <si>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</si>
  <si>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</si>
  <si>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</si>
  <si>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</si>
  <si>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</si>
  <si>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</si>
  <si>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</si>
  <si>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</si>
  <si>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</si>
  <si>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</si>
  <si>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</si>
  <si>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</si>
  <si>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產能係數：高（情境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</si>
  <si>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</si>
  <si>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</si>
  <si>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</si>
  <si>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</si>
  <si>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</si>
  <si>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VSMC </t>
    </r>
    <r>
      <rPr>
        <b val="true"/>
        <sz val="11"/>
        <rFont val="Noto Sans CJK SC"/>
        <family val="2"/>
      </rPr>
      <t xml:space="preserve">售價：高（情境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</si>
  <si>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來源（公司財報與法說內容部分為媒體轉述；券商、資料商、媒體皆為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</si>
  <si>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法說：營收、毛利率、營業利益率、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占比、產品組合）</t>
    </r>
  </si>
  <si>
    <t xml:space="preserve">https://uanalyze.com.tw/articles/8378052767</t>
  </si>
  <si>
    <r>
      <rPr>
        <sz val="11"/>
        <color theme="1"/>
        <rFont val="Noto Sans CJK SC"/>
        <family val="2"/>
      </rPr>
      <t xml:space="preserve">媒體：科技新報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：營收、毛利率、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、出貨與售價；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吋產能 </t>
    </r>
    <r>
      <rPr>
        <sz val="11"/>
        <color theme="1"/>
        <rFont val="Calibri"/>
        <family val="2"/>
        <charset val="1"/>
      </rPr>
      <t xml:space="preserve">330.6 </t>
    </r>
    <r>
      <rPr>
        <sz val="11"/>
        <color theme="1"/>
        <rFont val="Noto Sans CJK SC"/>
        <family val="2"/>
      </rPr>
      <t xml:space="preserve">萬片；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總投資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年月產能 </t>
    </r>
    <r>
      <rPr>
        <sz val="11"/>
        <color theme="1"/>
        <rFont val="Calibri"/>
        <family val="2"/>
        <charset val="1"/>
      </rPr>
      <t xml:space="preserve">4.4 </t>
    </r>
    <r>
      <rPr>
        <sz val="11"/>
        <color theme="1"/>
        <rFont val="Noto Sans CJK SC"/>
        <family val="2"/>
      </rPr>
      <t xml:space="preserve">萬片）</t>
    </r>
  </si>
  <si>
    <t xml:space="preserve">https://finance.technews.tw/2026/05/05/vis-2026-q1-financial-report/</t>
  </si>
  <si>
    <r>
      <rPr>
        <sz val="11"/>
        <color theme="1"/>
        <rFont val="Noto Sans CJK SC"/>
        <family val="2"/>
      </rPr>
      <t xml:space="preserve">媒體：科技新報 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125.94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營業利益、淨利）</t>
    </r>
  </si>
  <si>
    <t xml:space="preserve">https://technews.tw/2026/02/03/vis-2025-q4-financial-report/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</si>
  <si>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NOWnews 2026-02-03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法說：長約到期、價格堅挺、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時程）</t>
    </r>
  </si>
  <si>
    <t xml:space="preserve">https://www.nownews.com/news/6782793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</si>
  <si>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600–700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96.2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</si>
  <si>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https://uanalyze.com.tw/articles/8174247250</t>
  </si>
  <si>
    <r>
      <rPr>
        <sz val="11"/>
        <color theme="1"/>
        <rFont val="Noto Sans CJK SC"/>
        <family val="2"/>
      </rPr>
      <t xml:space="preserve">媒體：科技新報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59.04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424.79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</si>
  <si>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https://finance.technews.tw/2026/10/08/vis-5347-202609-financial-report/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</si>
  <si>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（法人目標價、</t>
    </r>
    <r>
      <rPr>
        <sz val="11"/>
        <color theme="1"/>
        <rFont val="Calibri"/>
        <family val="2"/>
        <charset val="1"/>
      </rPr>
      <t xml:space="preserve">FY2026–27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</si>
  <si>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https://www.ctee.com.tw/news/20260806700216-430201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</si>
  <si>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</si>
  <si>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https://stockanalysis.com/quote/tpex/5347/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https://stockanalysis.com/quote/tpex/5347/forecast/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https://stockanalysis.com/quote/tpex/5347/financials/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https://stockanalysis.com/quote/tpex/5347/financials/ratios/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https://stockanalysis.com/quote/tpex/5347/history/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</si>
  <si>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0981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TSEM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</si>
  <si>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https://stockanalysis.com/stocks/gfs/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https://stockanalysis.com/quote/hkg/0981/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https://stockanalysis.com/stocks/tsem/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</si>
  <si>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</si>
  <si>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https://companiesmarketcap.com/vanguard-international-semiconductor/pe-ratio/</t>
  </si>
  <si>
    <r>
      <rPr>
        <sz val="11"/>
        <color theme="1"/>
        <rFont val="Noto Sans CJK SC"/>
        <family val="2"/>
      </rPr>
      <t xml:space="preserve">行業層：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快照（匯率 </t>
    </r>
    <r>
      <rPr>
        <sz val="11"/>
        <color theme="1"/>
        <rFont val="Calibri"/>
        <family val="2"/>
        <charset val="1"/>
      </rPr>
      <t xml:space="preserve">fx_twd</t>
    </r>
    <r>
      <rPr>
        <sz val="11"/>
        <color theme="1"/>
        <rFont val="Noto Sans CJK SC"/>
        <family val="2"/>
      </rPr>
      <t xml:space="preserve">；本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</si>
  <si>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siliconomics/data/CURRENT_SNAPSHOT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siliconomics/reader.py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</si>
  <si>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）；出貨片數與售價絕對值、各季產能與稼動率（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）；產品別比重（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以外各季）；</t>
    </r>
    <r>
      <rPr>
        <sz val="11"/>
        <color theme="1"/>
        <rFont val="Calibri"/>
        <family val="2"/>
        <charset val="1"/>
      </rPr>
      <t xml:space="preserve">VSMC </t>
    </r>
    <r>
      <rPr>
        <sz val="11"/>
        <color theme="1"/>
        <rFont val="Noto Sans CJK SC"/>
        <family val="2"/>
      </rPr>
      <t xml:space="preserve">售價、毛利率、借款與補助；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以後收盤價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</si>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</sst>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"/>
    <numFmt numFmtId="166" formatCode="0.00000"/>
    <numFmt numFmtId="167" formatCode="0.00%"/>
    <numFmt numFmtId="168" formatCode="General"/>
    <numFmt numFmtId="169" formatCode="#,##0.000"/>
    <numFmt numFmtId="170" formatCode="0.0%"/>
    <numFmt numFmtId="171" formatCode="#,##0"/>
    <numFmt numFmtId="172" formatCode="#,##0.00"/>
    <numFmt numFmtId="173" formatCode="0.000"/>
    <numFmt numFmtId="174" formatCode="0.0000"/>
    <numFmt numFmtId="175" formatCode="0.0"/>
    <numFmt numFmtId="176" formatCode="@"/>
    <numFmt numFmtId="177" formatCode="0%"/>
    <numFmt numFmtId="178" formatCode="0.00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投資建議：中立（依上檔空間固定規則）</v>
      </c>
    </row>
    <row r="24" customFormat="false" ht="17.15" hidden="false" customHeight="false" outlineLevel="0" collapsed="false">
      <c r="A24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</f>
        <v>重點觀察 1：目標價 NT$126.59（DCF 77.48、Comparable（相對倍數調整後）175.69；DCF 權重 50%），比現價 161.00（2026-10-22）低 21.4%，級距 0%～−25%、投資建議 中立。相對倍數調整係數 1.00（本公司 10 年前瞻倍數中位數 ÷ 同業的中位數，夾在 0.5–2.0；Val 第 0.5 節），調整前加權上檔空間 −21.4%；Comparable 單獨（市場主流同業法、未調整）為 +9.1%。</v>
      </c>
    </row>
    <row r="25" customFormat="false" ht="17.15" hidden="false" customHeight="false" outlineLevel="0" collapsed="false">
      <c r="A25" s="4" t="s">
        <v>17</v>
      </c>
    </row>
    <row r="26" customFormat="false" ht="17.15" hidden="false" customHeight="false" outlineLevel="0" collapsed="false">
      <c r="A26" s="4" t="s">
        <v>18</v>
      </c>
    </row>
    <row r="28" customFormat="false" ht="17.15" hidden="false" customHeight="false" outlineLevel="0" collapsed="false">
      <c r="A28" s="4" t="s">
        <v>19</v>
      </c>
    </row>
    <row r="30" customFormat="false" ht="17.15" hidden="false" customHeight="false" outlineLevel="0" collapsed="false">
      <c r="A30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4" t="s">
        <v>34</v>
      </c>
      <c r="C5" s="0" t="s">
        <v>35</v>
      </c>
      <c r="D5" s="7" t="n">
        <v>30.5</v>
      </c>
      <c r="E5" s="7" t="n">
        <v>32</v>
      </c>
      <c r="F5" s="7" t="n">
        <v>33</v>
      </c>
      <c r="G5" s="8" t="s">
        <v>36</v>
      </c>
      <c r="H5" s="8" t="s">
        <v>37</v>
      </c>
      <c r="I5" s="8" t="s">
        <v>38</v>
      </c>
    </row>
    <row r="6" customFormat="false" ht="17.15" hidden="false" customHeight="false" outlineLevel="0" collapsed="false">
      <c r="A6" s="6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42</v>
      </c>
      <c r="E7" s="9" t="n">
        <f aca="false">Q!G7</f>
        <v>3306</v>
      </c>
      <c r="G7" s="8" t="s">
        <v>43</v>
      </c>
      <c r="H7" s="4" t="s">
        <v>44</v>
      </c>
      <c r="I7" s="4" t="s">
        <v>45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48</v>
      </c>
      <c r="E8" s="7" t="n">
        <v>0</v>
      </c>
      <c r="G8" s="8" t="s">
        <v>36</v>
      </c>
      <c r="H8" s="8" t="s">
        <v>49</v>
      </c>
      <c r="I8" s="4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0" t="s">
        <v>48</v>
      </c>
      <c r="E9" s="7" t="n">
        <v>0</v>
      </c>
      <c r="G9" s="8" t="s">
        <v>36</v>
      </c>
      <c r="H9" s="4" t="s">
        <v>53</v>
      </c>
      <c r="I9" s="4" t="s">
        <v>50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0" t="s">
        <v>48</v>
      </c>
      <c r="E10" s="7" t="n">
        <v>0</v>
      </c>
      <c r="G10" s="8" t="s">
        <v>36</v>
      </c>
      <c r="H10" s="4" t="s">
        <v>53</v>
      </c>
      <c r="I10" s="4" t="s">
        <v>50</v>
      </c>
    </row>
    <row r="11" customFormat="false" ht="17.15" hidden="false" customHeight="false" outlineLevel="0" collapsed="false">
      <c r="A11" s="0" t="s">
        <v>56</v>
      </c>
      <c r="B11" s="4" t="s">
        <v>57</v>
      </c>
      <c r="C11" s="0" t="s">
        <v>58</v>
      </c>
      <c r="D11" s="7" t="n">
        <v>0.95</v>
      </c>
      <c r="E11" s="7" t="n">
        <v>1</v>
      </c>
      <c r="F11" s="7" t="n">
        <v>1.05</v>
      </c>
      <c r="G11" s="8" t="s">
        <v>36</v>
      </c>
      <c r="H11" s="4" t="s">
        <v>59</v>
      </c>
      <c r="I11" s="8" t="s">
        <v>60</v>
      </c>
    </row>
    <row r="12" customFormat="false" ht="17.15" hidden="false" customHeight="false" outlineLevel="0" collapsed="false">
      <c r="A12" s="0" t="s">
        <v>61</v>
      </c>
      <c r="B12" s="0" t="s">
        <v>62</v>
      </c>
      <c r="C12" s="0" t="s">
        <v>48</v>
      </c>
      <c r="E12" s="7" t="n">
        <v>0.95</v>
      </c>
      <c r="G12" s="8" t="s">
        <v>36</v>
      </c>
      <c r="H12" s="4" t="s">
        <v>63</v>
      </c>
      <c r="I12" s="8" t="s">
        <v>64</v>
      </c>
    </row>
    <row r="13" customFormat="false" ht="17.15" hidden="false" customHeight="false" outlineLevel="0" collapsed="false">
      <c r="A13" s="0" t="s">
        <v>65</v>
      </c>
      <c r="B13" s="0" t="s">
        <v>66</v>
      </c>
      <c r="C13" s="0" t="s">
        <v>48</v>
      </c>
      <c r="E13" s="7" t="n">
        <v>0.9</v>
      </c>
      <c r="G13" s="8" t="s">
        <v>36</v>
      </c>
      <c r="H13" s="4" t="s">
        <v>53</v>
      </c>
      <c r="I13" s="4" t="s">
        <v>67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0" t="s">
        <v>48</v>
      </c>
      <c r="E14" s="7" t="n">
        <v>0.8</v>
      </c>
      <c r="G14" s="8" t="s">
        <v>36</v>
      </c>
      <c r="H14" s="4" t="s">
        <v>53</v>
      </c>
      <c r="I14" s="4" t="s">
        <v>67</v>
      </c>
    </row>
    <row r="15" customFormat="false" ht="17.15" hidden="false" customHeight="false" outlineLevel="0" collapsed="false">
      <c r="A15" s="0" t="s">
        <v>70</v>
      </c>
      <c r="B15" s="0" t="s">
        <v>71</v>
      </c>
      <c r="C15" s="0" t="s">
        <v>48</v>
      </c>
      <c r="E15" s="7" t="n">
        <v>0.94</v>
      </c>
      <c r="G15" s="8" t="s">
        <v>36</v>
      </c>
      <c r="H15" s="4" t="s">
        <v>53</v>
      </c>
      <c r="I15" s="8" t="s">
        <v>64</v>
      </c>
    </row>
    <row r="16" customFormat="false" ht="17.15" hidden="false" customHeight="false" outlineLevel="0" collapsed="false">
      <c r="A16" s="0" t="s">
        <v>72</v>
      </c>
      <c r="B16" s="0" t="s">
        <v>73</v>
      </c>
      <c r="C16" s="0" t="s">
        <v>48</v>
      </c>
      <c r="E16" s="7" t="n">
        <v>0.86</v>
      </c>
      <c r="G16" s="8" t="s">
        <v>36</v>
      </c>
      <c r="H16" s="4" t="s">
        <v>53</v>
      </c>
      <c r="I16" s="4" t="s">
        <v>67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0" t="s">
        <v>48</v>
      </c>
      <c r="E17" s="7" t="n">
        <v>0.74</v>
      </c>
      <c r="G17" s="8" t="s">
        <v>36</v>
      </c>
      <c r="H17" s="4" t="s">
        <v>53</v>
      </c>
      <c r="I17" s="4" t="s">
        <v>67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0" t="s">
        <v>48</v>
      </c>
      <c r="E18" s="7" t="n">
        <v>0.93</v>
      </c>
      <c r="G18" s="8" t="s">
        <v>36</v>
      </c>
      <c r="H18" s="4" t="s">
        <v>53</v>
      </c>
      <c r="I18" s="8" t="s">
        <v>64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0" t="s">
        <v>48</v>
      </c>
      <c r="E19" s="7" t="n">
        <v>0.87</v>
      </c>
      <c r="G19" s="8" t="s">
        <v>36</v>
      </c>
      <c r="H19" s="4" t="s">
        <v>53</v>
      </c>
      <c r="I19" s="4" t="s">
        <v>67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48</v>
      </c>
      <c r="E20" s="7" t="n">
        <v>0.78</v>
      </c>
      <c r="G20" s="8" t="s">
        <v>36</v>
      </c>
      <c r="H20" s="4" t="s">
        <v>53</v>
      </c>
      <c r="I20" s="4" t="s">
        <v>67</v>
      </c>
    </row>
    <row r="21" customFormat="false" ht="17.15" hidden="false" customHeight="false" outlineLevel="0" collapsed="false">
      <c r="A21" s="0" t="s">
        <v>82</v>
      </c>
      <c r="B21" s="4" t="s">
        <v>83</v>
      </c>
      <c r="C21" s="0" t="s">
        <v>84</v>
      </c>
      <c r="D21" s="7" t="n">
        <v>-0.03</v>
      </c>
      <c r="E21" s="7" t="n">
        <v>0</v>
      </c>
      <c r="F21" s="7" t="n">
        <v>0.03</v>
      </c>
      <c r="G21" s="8" t="s">
        <v>36</v>
      </c>
      <c r="H21" s="4" t="s">
        <v>59</v>
      </c>
      <c r="I21" s="8" t="s">
        <v>85</v>
      </c>
    </row>
    <row r="22" customFormat="false" ht="17.15" hidden="false" customHeight="false" outlineLevel="0" collapsed="false">
      <c r="A22" s="6" t="s">
        <v>86</v>
      </c>
    </row>
    <row r="23" customFormat="false" ht="17.15" hidden="false" customHeight="false" outlineLevel="0" collapsed="false">
      <c r="A23" s="0" t="s">
        <v>87</v>
      </c>
      <c r="B23" s="0" t="s">
        <v>88</v>
      </c>
      <c r="C23" s="0" t="s">
        <v>89</v>
      </c>
      <c r="E23" s="0" t="n">
        <f aca="false">a26_rev/a26_ship/fx_26*1000000</f>
        <v>643.469405492234</v>
      </c>
      <c r="G23" s="0" t="s">
        <v>43</v>
      </c>
      <c r="H23" s="0" t="s">
        <v>90</v>
      </c>
      <c r="I23" s="4" t="s">
        <v>91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48</v>
      </c>
      <c r="E24" s="7" t="n">
        <v>0.06</v>
      </c>
      <c r="G24" s="8" t="s">
        <v>36</v>
      </c>
      <c r="H24" s="4" t="s">
        <v>94</v>
      </c>
      <c r="I24" s="8" t="s">
        <v>95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0" t="s">
        <v>48</v>
      </c>
      <c r="E25" s="7" t="n">
        <v>0.03</v>
      </c>
      <c r="G25" s="8" t="s">
        <v>36</v>
      </c>
      <c r="H25" s="4" t="s">
        <v>53</v>
      </c>
      <c r="I25" s="4" t="s">
        <v>67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0" t="s">
        <v>48</v>
      </c>
      <c r="E26" s="7" t="n">
        <v>-0.03</v>
      </c>
      <c r="G26" s="8" t="s">
        <v>36</v>
      </c>
      <c r="H26" s="4" t="s">
        <v>53</v>
      </c>
      <c r="I26" s="4" t="s">
        <v>67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0" t="s">
        <v>48</v>
      </c>
      <c r="E27" s="7" t="n">
        <v>0.02</v>
      </c>
      <c r="G27" s="8" t="s">
        <v>36</v>
      </c>
      <c r="H27" s="4" t="s">
        <v>53</v>
      </c>
      <c r="I27" s="8" t="s">
        <v>95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48</v>
      </c>
      <c r="E28" s="7" t="n">
        <v>0</v>
      </c>
      <c r="G28" s="8" t="s">
        <v>36</v>
      </c>
      <c r="H28" s="4" t="s">
        <v>53</v>
      </c>
      <c r="I28" s="4" t="s">
        <v>67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0" t="s">
        <v>48</v>
      </c>
      <c r="E29" s="7" t="n">
        <v>-0.05</v>
      </c>
      <c r="G29" s="8" t="s">
        <v>36</v>
      </c>
      <c r="H29" s="4" t="s">
        <v>53</v>
      </c>
      <c r="I29" s="4" t="s">
        <v>67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0" t="s">
        <v>48</v>
      </c>
      <c r="E30" s="7" t="n">
        <v>0.01</v>
      </c>
      <c r="G30" s="8" t="s">
        <v>36</v>
      </c>
      <c r="H30" s="4" t="s">
        <v>53</v>
      </c>
      <c r="I30" s="8" t="s">
        <v>95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0" t="s">
        <v>48</v>
      </c>
      <c r="E31" s="7" t="n">
        <v>0</v>
      </c>
      <c r="G31" s="8" t="s">
        <v>36</v>
      </c>
      <c r="H31" s="4" t="s">
        <v>53</v>
      </c>
      <c r="I31" s="4" t="s">
        <v>67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0" t="s">
        <v>48</v>
      </c>
      <c r="E32" s="7" t="n">
        <v>-0.02</v>
      </c>
      <c r="G32" s="8" t="s">
        <v>36</v>
      </c>
      <c r="H32" s="4" t="s">
        <v>53</v>
      </c>
      <c r="I32" s="4" t="s">
        <v>67</v>
      </c>
    </row>
    <row r="33" customFormat="false" ht="17.15" hidden="false" customHeight="false" outlineLevel="0" collapsed="false">
      <c r="A33" s="0" t="s">
        <v>112</v>
      </c>
      <c r="B33" s="4" t="s">
        <v>113</v>
      </c>
      <c r="C33" s="0" t="s">
        <v>48</v>
      </c>
      <c r="D33" s="7" t="n">
        <v>-0.03</v>
      </c>
      <c r="E33" s="7" t="n">
        <v>0</v>
      </c>
      <c r="F33" s="7" t="n">
        <v>0.03</v>
      </c>
      <c r="G33" s="8" t="s">
        <v>36</v>
      </c>
      <c r="H33" s="4" t="s">
        <v>59</v>
      </c>
      <c r="I33" s="8" t="s">
        <v>114</v>
      </c>
    </row>
    <row r="34" customFormat="false" ht="17.15" hidden="false" customHeight="false" outlineLevel="0" collapsed="false">
      <c r="A34" s="6" t="s">
        <v>115</v>
      </c>
    </row>
    <row r="35" customFormat="false" ht="17.15" hidden="false" customHeight="false" outlineLevel="0" collapsed="false">
      <c r="A35" s="0" t="s">
        <v>116</v>
      </c>
      <c r="B35" s="0" t="s">
        <v>117</v>
      </c>
      <c r="C35" s="4" t="s">
        <v>42</v>
      </c>
      <c r="E35" s="7" t="n">
        <v>144</v>
      </c>
      <c r="G35" s="8" t="s">
        <v>36</v>
      </c>
      <c r="H35" s="4" t="s">
        <v>118</v>
      </c>
      <c r="I35" s="4" t="s">
        <v>119</v>
      </c>
    </row>
    <row r="36" customFormat="false" ht="17.15" hidden="false" customHeight="false" outlineLevel="0" collapsed="false">
      <c r="A36" s="0" t="s">
        <v>120</v>
      </c>
      <c r="B36" s="0" t="s">
        <v>121</v>
      </c>
      <c r="C36" s="4" t="s">
        <v>42</v>
      </c>
      <c r="E36" s="7" t="n">
        <v>360</v>
      </c>
      <c r="G36" s="8" t="s">
        <v>36</v>
      </c>
      <c r="H36" s="8" t="s">
        <v>122</v>
      </c>
      <c r="I36" s="4" t="s">
        <v>119</v>
      </c>
    </row>
    <row r="37" customFormat="false" ht="17.15" hidden="false" customHeight="false" outlineLevel="0" collapsed="false">
      <c r="A37" s="0" t="s">
        <v>123</v>
      </c>
      <c r="B37" s="0" t="s">
        <v>124</v>
      </c>
      <c r="C37" s="4" t="s">
        <v>42</v>
      </c>
      <c r="E37" s="7" t="n">
        <v>504</v>
      </c>
      <c r="G37" s="8" t="s">
        <v>36</v>
      </c>
      <c r="H37" s="4" t="s">
        <v>125</v>
      </c>
      <c r="I37" s="4" t="s">
        <v>119</v>
      </c>
    </row>
    <row r="38" customFormat="false" ht="17.15" hidden="false" customHeight="false" outlineLevel="0" collapsed="false">
      <c r="A38" s="0" t="s">
        <v>126</v>
      </c>
      <c r="B38" s="0" t="s">
        <v>127</v>
      </c>
      <c r="C38" s="0" t="s">
        <v>58</v>
      </c>
      <c r="D38" s="7" t="n">
        <v>0.8</v>
      </c>
      <c r="E38" s="7" t="n">
        <v>1</v>
      </c>
      <c r="F38" s="7" t="n">
        <v>1.2</v>
      </c>
      <c r="G38" s="8" t="s">
        <v>36</v>
      </c>
      <c r="H38" s="4" t="s">
        <v>59</v>
      </c>
      <c r="I38" s="8" t="s">
        <v>128</v>
      </c>
    </row>
    <row r="39" customFormat="false" ht="17.15" hidden="false" customHeight="false" outlineLevel="0" collapsed="false">
      <c r="A39" s="0" t="s">
        <v>129</v>
      </c>
      <c r="B39" s="0" t="s">
        <v>130</v>
      </c>
      <c r="C39" s="0" t="s">
        <v>48</v>
      </c>
      <c r="E39" s="7" t="n">
        <v>0.9</v>
      </c>
      <c r="G39" s="8" t="s">
        <v>36</v>
      </c>
      <c r="H39" s="4" t="s">
        <v>131</v>
      </c>
      <c r="I39" s="8" t="s">
        <v>132</v>
      </c>
    </row>
    <row r="40" customFormat="false" ht="17.15" hidden="false" customHeight="false" outlineLevel="0" collapsed="false">
      <c r="A40" s="0" t="s">
        <v>133</v>
      </c>
      <c r="B40" s="0" t="s">
        <v>134</v>
      </c>
      <c r="C40" s="0" t="s">
        <v>48</v>
      </c>
      <c r="E40" s="7" t="n">
        <v>0.8</v>
      </c>
      <c r="G40" s="8" t="s">
        <v>36</v>
      </c>
      <c r="H40" s="4" t="s">
        <v>53</v>
      </c>
      <c r="I40" s="8" t="s">
        <v>135</v>
      </c>
    </row>
    <row r="41" customFormat="false" ht="17.15" hidden="false" customHeight="false" outlineLevel="0" collapsed="false">
      <c r="A41" s="0" t="s">
        <v>136</v>
      </c>
      <c r="B41" s="0" t="s">
        <v>137</v>
      </c>
      <c r="C41" s="0" t="s">
        <v>48</v>
      </c>
      <c r="E41" s="7" t="n">
        <v>0.65</v>
      </c>
      <c r="G41" s="8" t="s">
        <v>36</v>
      </c>
      <c r="H41" s="4" t="s">
        <v>53</v>
      </c>
      <c r="I41" s="8" t="s">
        <v>135</v>
      </c>
    </row>
    <row r="42" customFormat="false" ht="17.15" hidden="false" customHeight="false" outlineLevel="0" collapsed="false">
      <c r="A42" s="0" t="s">
        <v>138</v>
      </c>
      <c r="B42" s="0" t="s">
        <v>139</v>
      </c>
      <c r="C42" s="0" t="s">
        <v>140</v>
      </c>
      <c r="D42" s="7" t="n">
        <v>1500</v>
      </c>
      <c r="E42" s="7" t="n">
        <v>1800</v>
      </c>
      <c r="F42" s="7" t="n">
        <v>2100</v>
      </c>
      <c r="G42" s="8" t="s">
        <v>36</v>
      </c>
      <c r="H42" s="8" t="s">
        <v>141</v>
      </c>
      <c r="I42" s="8" t="s">
        <v>142</v>
      </c>
    </row>
    <row r="43" customFormat="false" ht="17.15" hidden="false" customHeight="false" outlineLevel="0" collapsed="false">
      <c r="A43" s="0" t="s">
        <v>143</v>
      </c>
      <c r="B43" s="0" t="s">
        <v>144</v>
      </c>
      <c r="C43" s="0" t="s">
        <v>48</v>
      </c>
      <c r="E43" s="7" t="n">
        <v>0.05</v>
      </c>
      <c r="G43" s="8" t="s">
        <v>36</v>
      </c>
      <c r="H43" s="8" t="s">
        <v>145</v>
      </c>
      <c r="I43" s="4" t="s">
        <v>146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48</v>
      </c>
      <c r="E44" s="7" t="n">
        <v>-0.05</v>
      </c>
      <c r="G44" s="8" t="s">
        <v>36</v>
      </c>
      <c r="H44" s="4" t="s">
        <v>53</v>
      </c>
      <c r="I44" s="8" t="s">
        <v>135</v>
      </c>
    </row>
    <row r="45" customFormat="false" ht="17.15" hidden="false" customHeight="false" outlineLevel="0" collapsed="false">
      <c r="A45" s="0" t="s">
        <v>149</v>
      </c>
      <c r="B45" s="0" t="s">
        <v>150</v>
      </c>
      <c r="C45" s="0" t="s">
        <v>48</v>
      </c>
      <c r="E45" s="7" t="n">
        <v>-0.2</v>
      </c>
      <c r="G45" s="8" t="s">
        <v>36</v>
      </c>
      <c r="H45" s="4" t="s">
        <v>53</v>
      </c>
      <c r="I45" s="8" t="s">
        <v>135</v>
      </c>
    </row>
    <row r="46" customFormat="false" ht="17.15" hidden="false" customHeight="false" outlineLevel="0" collapsed="false">
      <c r="A46" s="0" t="s">
        <v>151</v>
      </c>
      <c r="B46" s="0" t="s">
        <v>152</v>
      </c>
      <c r="C46" s="0" t="s">
        <v>48</v>
      </c>
      <c r="E46" s="7" t="n">
        <v>0.2</v>
      </c>
      <c r="G46" s="8" t="s">
        <v>36</v>
      </c>
      <c r="H46" s="4" t="s">
        <v>53</v>
      </c>
      <c r="I46" s="4" t="s">
        <v>146</v>
      </c>
    </row>
    <row r="47" customFormat="false" ht="17.15" hidden="false" customHeight="false" outlineLevel="0" collapsed="false">
      <c r="A47" s="0" t="s">
        <v>153</v>
      </c>
      <c r="B47" s="0" t="s">
        <v>154</v>
      </c>
      <c r="C47" s="0" t="s">
        <v>48</v>
      </c>
      <c r="E47" s="7" t="n">
        <v>0.12</v>
      </c>
      <c r="G47" s="8" t="s">
        <v>36</v>
      </c>
      <c r="H47" s="4" t="s">
        <v>53</v>
      </c>
      <c r="I47" s="8" t="s">
        <v>135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48</v>
      </c>
      <c r="E48" s="7" t="n">
        <v>0</v>
      </c>
      <c r="G48" s="8" t="s">
        <v>36</v>
      </c>
      <c r="H48" s="4" t="s">
        <v>53</v>
      </c>
      <c r="I48" s="8" t="s">
        <v>135</v>
      </c>
    </row>
    <row r="49" customFormat="false" ht="17.15" hidden="false" customHeight="false" outlineLevel="0" collapsed="false">
      <c r="A49" s="0" t="s">
        <v>157</v>
      </c>
      <c r="B49" s="0" t="s">
        <v>158</v>
      </c>
      <c r="C49" s="0" t="s">
        <v>48</v>
      </c>
      <c r="E49" s="7" t="n">
        <v>0.25</v>
      </c>
      <c r="G49" s="8" t="s">
        <v>36</v>
      </c>
      <c r="H49" s="4" t="s">
        <v>53</v>
      </c>
      <c r="I49" s="4" t="s">
        <v>146</v>
      </c>
    </row>
    <row r="50" customFormat="false" ht="17.15" hidden="false" customHeight="false" outlineLevel="0" collapsed="false">
      <c r="A50" s="0" t="s">
        <v>159</v>
      </c>
      <c r="B50" s="0" t="s">
        <v>160</v>
      </c>
      <c r="C50" s="0" t="s">
        <v>48</v>
      </c>
      <c r="E50" s="7" t="n">
        <v>0.18</v>
      </c>
      <c r="G50" s="8" t="s">
        <v>36</v>
      </c>
      <c r="H50" s="4" t="s">
        <v>53</v>
      </c>
      <c r="I50" s="8" t="s">
        <v>135</v>
      </c>
    </row>
    <row r="51" customFormat="false" ht="17.15" hidden="false" customHeight="false" outlineLevel="0" collapsed="false">
      <c r="A51" s="0" t="s">
        <v>161</v>
      </c>
      <c r="B51" s="0" t="s">
        <v>162</v>
      </c>
      <c r="C51" s="0" t="s">
        <v>48</v>
      </c>
      <c r="E51" s="7" t="n">
        <v>0.05</v>
      </c>
      <c r="G51" s="8" t="s">
        <v>36</v>
      </c>
      <c r="H51" s="4" t="s">
        <v>53</v>
      </c>
      <c r="I51" s="8" t="s">
        <v>135</v>
      </c>
    </row>
    <row r="52" customFormat="false" ht="17.15" hidden="false" customHeight="false" outlineLevel="0" collapsed="false">
      <c r="A52" s="0" t="s">
        <v>163</v>
      </c>
      <c r="B52" s="0" t="s">
        <v>164</v>
      </c>
      <c r="C52" s="0" t="s">
        <v>48</v>
      </c>
      <c r="E52" s="7" t="n">
        <v>0.4</v>
      </c>
      <c r="G52" s="8" t="s">
        <v>165</v>
      </c>
      <c r="H52" s="4" t="s">
        <v>166</v>
      </c>
      <c r="I52" s="4" t="s">
        <v>167</v>
      </c>
    </row>
    <row r="53" customFormat="false" ht="17.15" hidden="false" customHeight="false" outlineLevel="0" collapsed="false">
      <c r="A53" s="0" t="s">
        <v>168</v>
      </c>
      <c r="B53" s="0" t="s">
        <v>169</v>
      </c>
      <c r="C53" s="0" t="s">
        <v>48</v>
      </c>
      <c r="E53" s="7" t="n">
        <v>0.1</v>
      </c>
      <c r="G53" s="8" t="s">
        <v>170</v>
      </c>
      <c r="H53" s="4" t="s">
        <v>171</v>
      </c>
      <c r="I53" s="4" t="s">
        <v>172</v>
      </c>
    </row>
    <row r="54" customFormat="false" ht="17.15" hidden="false" customHeight="false" outlineLevel="0" collapsed="false">
      <c r="A54" s="0" t="s">
        <v>173</v>
      </c>
      <c r="B54" s="0" t="s">
        <v>174</v>
      </c>
      <c r="C54" s="0" t="s">
        <v>48</v>
      </c>
      <c r="E54" s="7" t="n">
        <v>0.25</v>
      </c>
      <c r="G54" s="8" t="s">
        <v>36</v>
      </c>
      <c r="H54" s="4" t="s">
        <v>175</v>
      </c>
      <c r="I54" s="8" t="s">
        <v>176</v>
      </c>
    </row>
    <row r="55" customFormat="false" ht="17.15" hidden="false" customHeight="false" outlineLevel="0" collapsed="false">
      <c r="A55" s="0" t="s">
        <v>177</v>
      </c>
      <c r="B55" s="0" t="s">
        <v>178</v>
      </c>
      <c r="C55" s="0" t="s">
        <v>48</v>
      </c>
      <c r="E55" s="7" t="n">
        <v>0.2</v>
      </c>
      <c r="G55" s="8" t="s">
        <v>36</v>
      </c>
      <c r="H55" s="4" t="s">
        <v>53</v>
      </c>
      <c r="I55" s="8" t="s">
        <v>135</v>
      </c>
    </row>
    <row r="56" customFormat="false" ht="17.15" hidden="false" customHeight="false" outlineLevel="0" collapsed="false">
      <c r="A56" s="0" t="s">
        <v>179</v>
      </c>
      <c r="B56" s="0" t="s">
        <v>180</v>
      </c>
      <c r="C56" s="0" t="s">
        <v>48</v>
      </c>
      <c r="E56" s="7" t="n">
        <v>0.15</v>
      </c>
      <c r="G56" s="8" t="s">
        <v>36</v>
      </c>
      <c r="H56" s="4" t="s">
        <v>53</v>
      </c>
      <c r="I56" s="8" t="s">
        <v>135</v>
      </c>
    </row>
    <row r="57" customFormat="false" ht="17.15" hidden="false" customHeight="false" outlineLevel="0" collapsed="false">
      <c r="A57" s="6" t="s">
        <v>181</v>
      </c>
    </row>
    <row r="58" customFormat="false" ht="17.15" hidden="false" customHeight="false" outlineLevel="0" collapsed="false">
      <c r="A58" s="0" t="s">
        <v>182</v>
      </c>
      <c r="B58" s="0" t="s">
        <v>183</v>
      </c>
      <c r="C58" s="0" t="s">
        <v>184</v>
      </c>
      <c r="E58" s="7" t="n">
        <v>9.62</v>
      </c>
      <c r="G58" s="8" t="s">
        <v>170</v>
      </c>
      <c r="H58" s="4" t="s">
        <v>185</v>
      </c>
      <c r="I58" s="8" t="s">
        <v>186</v>
      </c>
    </row>
    <row r="59" customFormat="false" ht="15" hidden="false" customHeight="false" outlineLevel="0" collapsed="false">
      <c r="A59" s="0" t="s">
        <v>187</v>
      </c>
      <c r="B59" s="4" t="s">
        <v>188</v>
      </c>
      <c r="C59" s="0" t="s">
        <v>48</v>
      </c>
      <c r="E59" s="7" t="n">
        <v>0.9</v>
      </c>
      <c r="G59" s="8" t="s">
        <v>36</v>
      </c>
      <c r="H59" s="4" t="s">
        <v>189</v>
      </c>
      <c r="I59" s="8" t="s">
        <v>135</v>
      </c>
    </row>
    <row r="60" customFormat="false" ht="17.15" hidden="false" customHeight="false" outlineLevel="0" collapsed="false">
      <c r="A60" s="0" t="s">
        <v>190</v>
      </c>
      <c r="B60" s="0" t="s">
        <v>191</v>
      </c>
      <c r="C60" s="0" t="s">
        <v>48</v>
      </c>
      <c r="E60" s="7" t="n">
        <v>0.03</v>
      </c>
      <c r="G60" s="8" t="s">
        <v>36</v>
      </c>
      <c r="H60" s="8" t="s">
        <v>192</v>
      </c>
      <c r="I60" s="4" t="s">
        <v>193</v>
      </c>
    </row>
    <row r="61" customFormat="false" ht="17.15" hidden="false" customHeight="false" outlineLevel="0" collapsed="false">
      <c r="A61" s="0" t="s">
        <v>194</v>
      </c>
      <c r="B61" s="0" t="s">
        <v>195</v>
      </c>
      <c r="C61" s="0" t="s">
        <v>48</v>
      </c>
      <c r="E61" s="7" t="n">
        <v>0.02</v>
      </c>
      <c r="G61" s="8" t="s">
        <v>36</v>
      </c>
      <c r="H61" s="4" t="s">
        <v>53</v>
      </c>
      <c r="I61" s="4" t="s">
        <v>193</v>
      </c>
    </row>
    <row r="62" customFormat="false" ht="17.15" hidden="false" customHeight="false" outlineLevel="0" collapsed="false">
      <c r="A62" s="0" t="s">
        <v>196</v>
      </c>
      <c r="B62" s="0" t="s">
        <v>197</v>
      </c>
      <c r="C62" s="0" t="s">
        <v>48</v>
      </c>
      <c r="E62" s="7" t="n">
        <v>0</v>
      </c>
      <c r="G62" s="8" t="s">
        <v>36</v>
      </c>
      <c r="H62" s="4" t="s">
        <v>53</v>
      </c>
      <c r="I62" s="4" t="s">
        <v>193</v>
      </c>
    </row>
    <row r="63" customFormat="false" ht="17.15" hidden="false" customHeight="false" outlineLevel="0" collapsed="false">
      <c r="A63" s="0" t="s">
        <v>198</v>
      </c>
      <c r="B63" s="4" t="s">
        <v>199</v>
      </c>
      <c r="C63" s="0" t="s">
        <v>84</v>
      </c>
      <c r="D63" s="7" t="n">
        <v>-0.05</v>
      </c>
      <c r="E63" s="7" t="n">
        <v>0</v>
      </c>
      <c r="F63" s="7" t="n">
        <v>0.05</v>
      </c>
      <c r="G63" s="8" t="s">
        <v>36</v>
      </c>
      <c r="H63" s="4" t="s">
        <v>59</v>
      </c>
      <c r="I63" s="8" t="s">
        <v>200</v>
      </c>
    </row>
    <row r="64" customFormat="false" ht="17.15" hidden="false" customHeight="false" outlineLevel="0" collapsed="false">
      <c r="A64" s="0" t="s">
        <v>201</v>
      </c>
      <c r="B64" s="4" t="s">
        <v>202</v>
      </c>
      <c r="C64" s="0" t="s">
        <v>48</v>
      </c>
      <c r="D64" s="7" t="n">
        <v>0</v>
      </c>
      <c r="E64" s="7" t="n">
        <v>0.02</v>
      </c>
      <c r="F64" s="7" t="n">
        <v>0.04</v>
      </c>
      <c r="G64" s="8" t="s">
        <v>36</v>
      </c>
      <c r="H64" s="4" t="s">
        <v>203</v>
      </c>
      <c r="I64" s="4" t="s">
        <v>204</v>
      </c>
    </row>
    <row r="65" customFormat="false" ht="17.15" hidden="false" customHeight="false" outlineLevel="0" collapsed="false">
      <c r="A65" s="0" t="s">
        <v>205</v>
      </c>
      <c r="B65" s="4" t="s">
        <v>206</v>
      </c>
      <c r="C65" s="0" t="s">
        <v>58</v>
      </c>
      <c r="D65" s="7" t="n">
        <v>0.3</v>
      </c>
      <c r="E65" s="7" t="n">
        <v>0.5</v>
      </c>
      <c r="F65" s="7" t="n">
        <v>0.8</v>
      </c>
      <c r="G65" s="8" t="s">
        <v>36</v>
      </c>
      <c r="H65" s="8" t="s">
        <v>207</v>
      </c>
      <c r="I65" s="8" t="s">
        <v>135</v>
      </c>
    </row>
    <row r="66" customFormat="false" ht="15" hidden="false" customHeight="false" outlineLevel="0" collapsed="false">
      <c r="A66" s="0" t="s">
        <v>208</v>
      </c>
      <c r="B66" s="4" t="s">
        <v>209</v>
      </c>
      <c r="C66" s="0" t="s">
        <v>48</v>
      </c>
      <c r="E66" s="7" t="n">
        <v>0.03</v>
      </c>
      <c r="G66" s="8" t="s">
        <v>36</v>
      </c>
      <c r="H66" s="4" t="s">
        <v>210</v>
      </c>
      <c r="I66" s="8" t="s">
        <v>135</v>
      </c>
    </row>
    <row r="67" customFormat="false" ht="17.15" hidden="false" customHeight="false" outlineLevel="0" collapsed="false">
      <c r="A67" s="0" t="s">
        <v>211</v>
      </c>
      <c r="B67" s="4" t="s">
        <v>212</v>
      </c>
      <c r="C67" s="0" t="s">
        <v>184</v>
      </c>
      <c r="D67" s="7" t="n">
        <v>0.5</v>
      </c>
      <c r="E67" s="7" t="n">
        <v>1.5</v>
      </c>
      <c r="F67" s="7" t="n">
        <v>2.5</v>
      </c>
      <c r="G67" s="8" t="s">
        <v>36</v>
      </c>
      <c r="H67" s="8" t="s">
        <v>213</v>
      </c>
      <c r="I67" s="8" t="s">
        <v>214</v>
      </c>
    </row>
    <row r="68" customFormat="false" ht="17.15" hidden="false" customHeight="false" outlineLevel="0" collapsed="false">
      <c r="A68" s="0" t="s">
        <v>215</v>
      </c>
      <c r="B68" s="4" t="s">
        <v>216</v>
      </c>
      <c r="C68" s="0" t="s">
        <v>48</v>
      </c>
      <c r="D68" s="7" t="n">
        <v>0.12</v>
      </c>
      <c r="E68" s="7" t="n">
        <v>0.15</v>
      </c>
      <c r="F68" s="7" t="n">
        <v>0.2</v>
      </c>
      <c r="G68" s="8" t="s">
        <v>36</v>
      </c>
      <c r="H68" s="8" t="s">
        <v>217</v>
      </c>
      <c r="I68" s="8" t="s">
        <v>135</v>
      </c>
    </row>
    <row r="69" customFormat="false" ht="17.15" hidden="false" customHeight="false" outlineLevel="0" collapsed="false">
      <c r="A69" s="0" t="s">
        <v>218</v>
      </c>
      <c r="B69" s="4" t="s">
        <v>219</v>
      </c>
      <c r="C69" s="0" t="s">
        <v>48</v>
      </c>
      <c r="E69" s="7" t="n">
        <v>0</v>
      </c>
      <c r="G69" s="8" t="s">
        <v>36</v>
      </c>
      <c r="H69" s="8" t="s">
        <v>220</v>
      </c>
      <c r="I69" s="8" t="s">
        <v>221</v>
      </c>
    </row>
    <row r="70" customFormat="false" ht="17.15" hidden="false" customHeight="false" outlineLevel="0" collapsed="false">
      <c r="A70" s="6" t="s">
        <v>222</v>
      </c>
    </row>
    <row r="71" customFormat="false" ht="17.15" hidden="false" customHeight="false" outlineLevel="0" collapsed="false">
      <c r="A71" s="0" t="s">
        <v>223</v>
      </c>
      <c r="B71" s="0" t="s">
        <v>224</v>
      </c>
      <c r="C71" s="0" t="s">
        <v>35</v>
      </c>
      <c r="E71" s="7" t="n">
        <v>31.6</v>
      </c>
      <c r="G71" s="8" t="s">
        <v>36</v>
      </c>
      <c r="H71" s="4" t="s">
        <v>225</v>
      </c>
      <c r="I71" s="4" t="s">
        <v>226</v>
      </c>
    </row>
    <row r="72" customFormat="false" ht="17.15" hidden="false" customHeight="false" outlineLevel="0" collapsed="false">
      <c r="A72" s="0" t="s">
        <v>227</v>
      </c>
      <c r="B72" s="0" t="s">
        <v>228</v>
      </c>
      <c r="C72" s="0" t="s">
        <v>48</v>
      </c>
      <c r="E72" s="7" t="n">
        <v>0.8</v>
      </c>
      <c r="G72" s="8" t="s">
        <v>36</v>
      </c>
      <c r="H72" s="4" t="s">
        <v>229</v>
      </c>
      <c r="I72" s="8" t="s">
        <v>135</v>
      </c>
    </row>
    <row r="73" customFormat="false" ht="17.15" hidden="false" customHeight="false" outlineLevel="0" collapsed="false">
      <c r="A73" s="0" t="s">
        <v>230</v>
      </c>
      <c r="B73" s="0" t="s">
        <v>231</v>
      </c>
      <c r="C73" s="0" t="s">
        <v>48</v>
      </c>
      <c r="E73" s="7" t="n">
        <v>0.335</v>
      </c>
      <c r="G73" s="8" t="s">
        <v>170</v>
      </c>
      <c r="H73" s="4" t="s">
        <v>232</v>
      </c>
      <c r="I73" s="8" t="s">
        <v>233</v>
      </c>
    </row>
    <row r="74" customFormat="false" ht="17.15" hidden="false" customHeight="false" outlineLevel="0" collapsed="false">
      <c r="A74" s="0" t="s">
        <v>234</v>
      </c>
      <c r="B74" s="0" t="s">
        <v>235</v>
      </c>
      <c r="C74" s="0" t="s">
        <v>184</v>
      </c>
      <c r="E74" s="7" t="n">
        <v>1.75</v>
      </c>
      <c r="G74" s="8" t="s">
        <v>36</v>
      </c>
      <c r="H74" s="8" t="s">
        <v>236</v>
      </c>
      <c r="I74" s="8" t="s">
        <v>135</v>
      </c>
    </row>
    <row r="75" customFormat="false" ht="17.15" hidden="false" customHeight="false" outlineLevel="0" collapsed="false">
      <c r="A75" s="0" t="s">
        <v>237</v>
      </c>
      <c r="B75" s="0" t="s">
        <v>238</v>
      </c>
      <c r="C75" s="0" t="s">
        <v>184</v>
      </c>
      <c r="E75" s="7" t="n">
        <v>0.5</v>
      </c>
      <c r="G75" s="8" t="s">
        <v>36</v>
      </c>
      <c r="H75" s="8" t="s">
        <v>239</v>
      </c>
      <c r="I75" s="8" t="s">
        <v>135</v>
      </c>
    </row>
    <row r="76" customFormat="false" ht="17.15" hidden="false" customHeight="false" outlineLevel="0" collapsed="false">
      <c r="A76" s="0" t="s">
        <v>240</v>
      </c>
      <c r="B76" s="0" t="s">
        <v>241</v>
      </c>
      <c r="C76" s="0" t="s">
        <v>48</v>
      </c>
      <c r="E76" s="0" t="n">
        <f aca="false">t_h1</f>
        <v>0.14526588845655</v>
      </c>
      <c r="G76" s="0" t="s">
        <v>43</v>
      </c>
      <c r="H76" s="0" t="s">
        <v>242</v>
      </c>
      <c r="I76" s="0" t="s">
        <v>135</v>
      </c>
    </row>
    <row r="77" customFormat="false" ht="17.15" hidden="false" customHeight="false" outlineLevel="0" collapsed="false">
      <c r="A77" s="0" t="s">
        <v>243</v>
      </c>
      <c r="B77" s="0" t="s">
        <v>244</v>
      </c>
      <c r="C77" s="0" t="s">
        <v>48</v>
      </c>
      <c r="E77" s="7" t="n">
        <v>0.03</v>
      </c>
      <c r="G77" s="8" t="s">
        <v>36</v>
      </c>
      <c r="H77" s="4" t="s">
        <v>245</v>
      </c>
      <c r="I77" s="8" t="s">
        <v>135</v>
      </c>
    </row>
    <row r="78" customFormat="false" ht="17.15" hidden="false" customHeight="false" outlineLevel="0" collapsed="false">
      <c r="A78" s="0" t="s">
        <v>246</v>
      </c>
      <c r="B78" s="0" t="s">
        <v>247</v>
      </c>
      <c r="C78" s="0" t="s">
        <v>48</v>
      </c>
      <c r="E78" s="7" t="n">
        <v>0.92</v>
      </c>
      <c r="G78" s="8" t="s">
        <v>170</v>
      </c>
      <c r="H78" s="4" t="s">
        <v>248</v>
      </c>
      <c r="I78" s="4" t="s">
        <v>249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0" t="s">
        <v>48</v>
      </c>
      <c r="E79" s="7" t="n">
        <v>0.34</v>
      </c>
      <c r="G79" s="8" t="s">
        <v>36</v>
      </c>
      <c r="H79" s="8" t="s">
        <v>252</v>
      </c>
      <c r="I79" s="8" t="s">
        <v>135</v>
      </c>
    </row>
    <row r="80" customFormat="false" ht="17.15" hidden="false" customHeight="false" outlineLevel="0" collapsed="false">
      <c r="A80" s="0" t="s">
        <v>253</v>
      </c>
      <c r="B80" s="0" t="s">
        <v>254</v>
      </c>
      <c r="C80" s="0" t="s">
        <v>184</v>
      </c>
      <c r="E80" s="7" t="n">
        <v>1.8</v>
      </c>
      <c r="G80" s="8" t="s">
        <v>36</v>
      </c>
      <c r="H80" s="4" t="s">
        <v>53</v>
      </c>
      <c r="I80" s="8" t="s">
        <v>135</v>
      </c>
    </row>
    <row r="81" customFormat="false" ht="17.15" hidden="false" customHeight="false" outlineLevel="0" collapsed="false">
      <c r="A81" s="0" t="s">
        <v>255</v>
      </c>
      <c r="B81" s="0" t="s">
        <v>256</v>
      </c>
      <c r="C81" s="0" t="s">
        <v>184</v>
      </c>
      <c r="E81" s="7" t="n">
        <v>0.5</v>
      </c>
      <c r="G81" s="8" t="s">
        <v>36</v>
      </c>
      <c r="H81" s="4" t="s">
        <v>53</v>
      </c>
      <c r="I81" s="8" t="s">
        <v>135</v>
      </c>
    </row>
    <row r="82" customFormat="false" ht="17.15" hidden="false" customHeight="false" outlineLevel="0" collapsed="false">
      <c r="A82" s="0" t="s">
        <v>257</v>
      </c>
      <c r="B82" s="0" t="s">
        <v>258</v>
      </c>
      <c r="C82" s="0" t="s">
        <v>48</v>
      </c>
      <c r="E82" s="0" t="n">
        <f aca="false">t_h1</f>
        <v>0.14526588845655</v>
      </c>
      <c r="G82" s="0" t="s">
        <v>43</v>
      </c>
      <c r="H82" s="0" t="s">
        <v>242</v>
      </c>
      <c r="I82" s="0" t="s">
        <v>135</v>
      </c>
    </row>
    <row r="83" customFormat="false" ht="17.15" hidden="false" customHeight="false" outlineLevel="0" collapsed="false">
      <c r="A83" s="0" t="s">
        <v>259</v>
      </c>
      <c r="B83" s="0" t="s">
        <v>260</v>
      </c>
      <c r="C83" s="0" t="s">
        <v>48</v>
      </c>
      <c r="E83" s="0" t="n">
        <f aca="false">1-7.908/9.252</f>
        <v>0.14526588845655</v>
      </c>
      <c r="G83" s="0" t="s">
        <v>43</v>
      </c>
      <c r="H83" s="0" t="s">
        <v>261</v>
      </c>
      <c r="I83" s="0" t="s">
        <v>262</v>
      </c>
    </row>
    <row r="84" customFormat="false" ht="17.15" hidden="false" customHeight="false" outlineLevel="0" collapsed="false">
      <c r="A84" s="0" t="s">
        <v>263</v>
      </c>
      <c r="B84" s="4" t="s">
        <v>264</v>
      </c>
      <c r="C84" s="4" t="s">
        <v>265</v>
      </c>
      <c r="E84" s="10" t="n">
        <f aca="false">Q!D19</f>
        <v>1.90705128205128</v>
      </c>
      <c r="G84" s="8" t="s">
        <v>43</v>
      </c>
      <c r="H84" s="8" t="s">
        <v>266</v>
      </c>
      <c r="I84" s="8" t="s">
        <v>221</v>
      </c>
    </row>
    <row r="85" customFormat="false" ht="17.15" hidden="false" customHeight="false" outlineLevel="0" collapsed="false">
      <c r="A85" s="6" t="s">
        <v>267</v>
      </c>
    </row>
    <row r="86" customFormat="false" ht="17.15" hidden="false" customHeight="false" outlineLevel="0" collapsed="false">
      <c r="A86" s="0" t="s">
        <v>268</v>
      </c>
      <c r="B86" s="4" t="s">
        <v>269</v>
      </c>
      <c r="C86" s="0" t="s">
        <v>184</v>
      </c>
      <c r="E86" s="7" t="n">
        <v>58.5</v>
      </c>
      <c r="G86" s="8" t="s">
        <v>170</v>
      </c>
      <c r="H86" s="8" t="s">
        <v>270</v>
      </c>
      <c r="I86" s="4" t="s">
        <v>271</v>
      </c>
    </row>
    <row r="87" customFormat="false" ht="17.15" hidden="false" customHeight="false" outlineLevel="0" collapsed="false">
      <c r="A87" s="0" t="s">
        <v>272</v>
      </c>
      <c r="B87" s="4" t="s">
        <v>273</v>
      </c>
      <c r="C87" s="0" t="s">
        <v>274</v>
      </c>
      <c r="E87" s="7" t="n">
        <v>6.05</v>
      </c>
      <c r="G87" s="8" t="s">
        <v>170</v>
      </c>
      <c r="H87" s="8" t="s">
        <v>275</v>
      </c>
      <c r="I87" s="4" t="s">
        <v>276</v>
      </c>
    </row>
    <row r="88" customFormat="false" ht="17.15" hidden="false" customHeight="false" outlineLevel="0" collapsed="false">
      <c r="A88" s="0" t="s">
        <v>277</v>
      </c>
      <c r="B88" s="4" t="s">
        <v>278</v>
      </c>
      <c r="C88" s="0" t="s">
        <v>274</v>
      </c>
      <c r="E88" s="7" t="n">
        <v>8</v>
      </c>
      <c r="G88" s="8" t="s">
        <v>170</v>
      </c>
      <c r="H88" s="4" t="s">
        <v>279</v>
      </c>
      <c r="I88" s="8" t="s">
        <v>280</v>
      </c>
    </row>
    <row r="89" customFormat="false" ht="17.15" hidden="false" customHeight="false" outlineLevel="0" collapsed="false">
      <c r="A89" s="0" t="s">
        <v>281</v>
      </c>
      <c r="B89" s="4" t="s">
        <v>282</v>
      </c>
      <c r="C89" s="0" t="s">
        <v>48</v>
      </c>
      <c r="E89" s="7" t="n">
        <v>0.35</v>
      </c>
      <c r="G89" s="8" t="s">
        <v>170</v>
      </c>
      <c r="H89" s="4" t="s">
        <v>279</v>
      </c>
      <c r="I89" s="4" t="s">
        <v>283</v>
      </c>
    </row>
    <row r="90" customFormat="false" ht="17.15" hidden="false" customHeight="false" outlineLevel="0" collapsed="false">
      <c r="A90" s="0" t="s">
        <v>284</v>
      </c>
      <c r="B90" s="4" t="s">
        <v>285</v>
      </c>
      <c r="C90" s="0" t="s">
        <v>48</v>
      </c>
      <c r="E90" s="7" t="n">
        <v>0.12</v>
      </c>
      <c r="G90" s="8" t="s">
        <v>170</v>
      </c>
      <c r="H90" s="4" t="s">
        <v>279</v>
      </c>
      <c r="I90" s="8" t="s">
        <v>135</v>
      </c>
    </row>
    <row r="91" customFormat="false" ht="17.15" hidden="false" customHeight="false" outlineLevel="0" collapsed="false">
      <c r="A91" s="0" t="s">
        <v>286</v>
      </c>
      <c r="B91" s="4" t="s">
        <v>287</v>
      </c>
      <c r="C91" s="0" t="s">
        <v>48</v>
      </c>
      <c r="E91" s="7" t="n">
        <v>0.335</v>
      </c>
      <c r="G91" s="8" t="s">
        <v>170</v>
      </c>
      <c r="H91" s="4" t="s">
        <v>288</v>
      </c>
      <c r="I91" s="8" t="s">
        <v>289</v>
      </c>
    </row>
    <row r="92" customFormat="false" ht="17.15" hidden="false" customHeight="false" outlineLevel="0" collapsed="false">
      <c r="A92" s="6" t="s">
        <v>290</v>
      </c>
    </row>
    <row r="93" customFormat="false" ht="17.15" hidden="false" customHeight="false" outlineLevel="0" collapsed="false">
      <c r="A93" s="0" t="s">
        <v>291</v>
      </c>
      <c r="B93" s="4" t="s">
        <v>292</v>
      </c>
      <c r="C93" s="0" t="s">
        <v>274</v>
      </c>
      <c r="E93" s="7" t="n">
        <v>161</v>
      </c>
      <c r="G93" s="8" t="s">
        <v>170</v>
      </c>
      <c r="H93" s="8" t="s">
        <v>293</v>
      </c>
      <c r="I93" s="8" t="s">
        <v>294</v>
      </c>
    </row>
    <row r="94" customFormat="false" ht="17.15" hidden="false" customHeight="false" outlineLevel="0" collapsed="false">
      <c r="A94" s="0" t="s">
        <v>295</v>
      </c>
      <c r="B94" s="4" t="s">
        <v>296</v>
      </c>
      <c r="C94" s="0" t="s">
        <v>58</v>
      </c>
      <c r="E94" s="0" t="n">
        <f aca="false">px/4.57</f>
        <v>35.2297592997812</v>
      </c>
      <c r="G94" s="0" t="s">
        <v>43</v>
      </c>
      <c r="H94" s="0" t="s">
        <v>297</v>
      </c>
      <c r="I94" s="0" t="s">
        <v>135</v>
      </c>
    </row>
    <row r="95" customFormat="false" ht="17.15" hidden="false" customHeight="false" outlineLevel="0" collapsed="false">
      <c r="A95" s="0" t="s">
        <v>298</v>
      </c>
      <c r="B95" s="4" t="s">
        <v>299</v>
      </c>
      <c r="C95" s="0" t="s">
        <v>58</v>
      </c>
      <c r="E95" s="7" t="n">
        <v>23.41</v>
      </c>
      <c r="G95" s="8" t="s">
        <v>170</v>
      </c>
      <c r="H95" s="8" t="s">
        <v>300</v>
      </c>
      <c r="I95" s="8" t="s">
        <v>135</v>
      </c>
    </row>
    <row r="96" customFormat="false" ht="17.15" hidden="false" customHeight="false" outlineLevel="0" collapsed="false">
      <c r="A96" s="0" t="s">
        <v>301</v>
      </c>
      <c r="B96" s="4" t="s">
        <v>302</v>
      </c>
      <c r="C96" s="0" t="s">
        <v>274</v>
      </c>
      <c r="E96" s="0" t="n">
        <f aca="false">157.5/fpe</f>
        <v>6.72789406236651</v>
      </c>
      <c r="G96" s="0" t="s">
        <v>43</v>
      </c>
      <c r="H96" s="0" t="s">
        <v>303</v>
      </c>
      <c r="I96" s="4" t="s">
        <v>304</v>
      </c>
    </row>
    <row r="97" customFormat="false" ht="17.15" hidden="false" customHeight="false" outlineLevel="0" collapsed="false">
      <c r="A97" s="0" t="s">
        <v>305</v>
      </c>
      <c r="B97" s="4" t="s">
        <v>306</v>
      </c>
      <c r="C97" s="0" t="s">
        <v>274</v>
      </c>
      <c r="E97" s="7" t="n">
        <v>183.18</v>
      </c>
      <c r="G97" s="8" t="s">
        <v>170</v>
      </c>
      <c r="H97" s="8" t="s">
        <v>307</v>
      </c>
      <c r="I97" s="4" t="s">
        <v>308</v>
      </c>
    </row>
    <row r="98" customFormat="false" ht="17.15" hidden="false" customHeight="false" outlineLevel="0" collapsed="false">
      <c r="A98" s="0" t="s">
        <v>309</v>
      </c>
      <c r="B98" s="4" t="s">
        <v>310</v>
      </c>
      <c r="C98" s="0" t="s">
        <v>48</v>
      </c>
      <c r="E98" s="0" t="n">
        <f aca="false">AVERAGE(11.82/43.951,15.28/51.694,7.37/38.273,7.046/44.055,7.908/48.591)</f>
        <v>0.2159536001401</v>
      </c>
      <c r="G98" s="0" t="s">
        <v>43</v>
      </c>
      <c r="H98" s="0" t="s">
        <v>311</v>
      </c>
      <c r="I98" s="4" t="s">
        <v>312</v>
      </c>
    </row>
    <row r="99" customFormat="false" ht="17.15" hidden="false" customHeight="false" outlineLevel="0" collapsed="false">
      <c r="A99" s="6" t="s">
        <v>313</v>
      </c>
    </row>
    <row r="100" customFormat="false" ht="17.15" hidden="false" customHeight="false" outlineLevel="0" collapsed="false">
      <c r="A100" s="11" t="s">
        <v>314</v>
      </c>
      <c r="B100" s="12" t="s">
        <v>315</v>
      </c>
      <c r="C100" s="11" t="s">
        <v>48</v>
      </c>
      <c r="D100" s="11"/>
      <c r="E100" s="13" t="n">
        <v>0.3</v>
      </c>
      <c r="F100" s="11"/>
      <c r="G100" s="11" t="s">
        <v>36</v>
      </c>
      <c r="H100" s="11" t="s">
        <v>316</v>
      </c>
      <c r="I100" s="12" t="s">
        <v>317</v>
      </c>
    </row>
    <row r="101" customFormat="false" ht="17.15" hidden="false" customHeight="false" outlineLevel="0" collapsed="false">
      <c r="A101" s="11" t="s">
        <v>318</v>
      </c>
      <c r="B101" s="12" t="s">
        <v>319</v>
      </c>
      <c r="C101" s="11" t="s">
        <v>48</v>
      </c>
      <c r="D101" s="11"/>
      <c r="E101" s="13" t="n">
        <v>0.5</v>
      </c>
      <c r="F101" s="11"/>
      <c r="G101" s="11" t="s">
        <v>36</v>
      </c>
      <c r="H101" s="11" t="s">
        <v>316</v>
      </c>
      <c r="I101" s="12" t="s">
        <v>317</v>
      </c>
    </row>
    <row r="102" customFormat="false" ht="17.15" hidden="false" customHeight="false" outlineLevel="0" collapsed="false">
      <c r="A102" s="11" t="s">
        <v>320</v>
      </c>
      <c r="B102" s="12" t="s">
        <v>321</v>
      </c>
      <c r="C102" s="11" t="s">
        <v>48</v>
      </c>
      <c r="D102" s="11"/>
      <c r="E102" s="13" t="n">
        <v>0.2</v>
      </c>
      <c r="F102" s="11"/>
      <c r="G102" s="11" t="s">
        <v>36</v>
      </c>
      <c r="H102" s="11" t="s">
        <v>316</v>
      </c>
      <c r="I102" s="12" t="s">
        <v>317</v>
      </c>
    </row>
    <row r="103" customFormat="false" ht="17.15" hidden="false" customHeight="false" outlineLevel="0" collapsed="false">
      <c r="A103" s="11" t="s">
        <v>322</v>
      </c>
      <c r="B103" s="12" t="s">
        <v>323</v>
      </c>
      <c r="C103" s="11" t="s">
        <v>48</v>
      </c>
      <c r="D103" s="11"/>
      <c r="E103" s="13" t="n">
        <v>0.1</v>
      </c>
      <c r="F103" s="11"/>
      <c r="G103" s="11" t="s">
        <v>36</v>
      </c>
      <c r="H103" s="11" t="s">
        <v>324</v>
      </c>
      <c r="I103" s="12" t="s">
        <v>325</v>
      </c>
    </row>
    <row r="104" customFormat="false" ht="17.15" hidden="false" customHeight="false" outlineLevel="0" collapsed="false">
      <c r="A104" s="11" t="s">
        <v>326</v>
      </c>
      <c r="B104" s="12" t="s">
        <v>327</v>
      </c>
      <c r="C104" s="11" t="s">
        <v>48</v>
      </c>
      <c r="D104" s="11"/>
      <c r="E104" s="13" t="n">
        <v>0.04</v>
      </c>
      <c r="F104" s="11"/>
      <c r="G104" s="11" t="s">
        <v>36</v>
      </c>
      <c r="H104" s="11" t="s">
        <v>328</v>
      </c>
      <c r="I104" s="12" t="s">
        <v>329</v>
      </c>
    </row>
    <row r="105" customFormat="false" ht="17.15" hidden="false" customHeight="false" outlineLevel="0" collapsed="false">
      <c r="A105" s="11" t="s">
        <v>330</v>
      </c>
      <c r="B105" s="11" t="s">
        <v>331</v>
      </c>
      <c r="C105" s="11" t="s">
        <v>48</v>
      </c>
      <c r="D105" s="11"/>
      <c r="E105" s="11" t="n">
        <f aca="false">AVERAGE(0.1619,0.1232,0.1021)</f>
        <v>0.129066666666667</v>
      </c>
      <c r="F105" s="11"/>
      <c r="G105" s="11" t="s">
        <v>43</v>
      </c>
      <c r="H105" s="11" t="s">
        <v>332</v>
      </c>
      <c r="I105" s="12" t="s">
        <v>333</v>
      </c>
    </row>
    <row r="106" customFormat="false" ht="17.15" hidden="false" customHeight="false" outlineLevel="0" collapsed="false">
      <c r="A106" s="11" t="s">
        <v>334</v>
      </c>
      <c r="B106" s="12" t="s">
        <v>335</v>
      </c>
      <c r="C106" s="11" t="s">
        <v>48</v>
      </c>
      <c r="D106" s="11"/>
      <c r="E106" s="13" t="n">
        <v>0.5</v>
      </c>
      <c r="F106" s="11"/>
      <c r="G106" s="11" t="s">
        <v>36</v>
      </c>
      <c r="H106" s="11" t="s">
        <v>336</v>
      </c>
      <c r="I106" s="11" t="s">
        <v>135</v>
      </c>
    </row>
    <row r="107" customFormat="false" ht="17.15" hidden="false" customHeight="false" outlineLevel="0" collapsed="false">
      <c r="A107" s="11" t="s">
        <v>337</v>
      </c>
      <c r="B107" s="12" t="s">
        <v>338</v>
      </c>
      <c r="C107" s="11" t="s">
        <v>48</v>
      </c>
      <c r="D107" s="11"/>
      <c r="E107" s="11" t="n">
        <f aca="false">tp_g+0.02</f>
        <v>0.06</v>
      </c>
      <c r="F107" s="11"/>
      <c r="G107" s="11" t="s">
        <v>36</v>
      </c>
      <c r="H107" s="12" t="s">
        <v>339</v>
      </c>
      <c r="I107" s="11" t="s">
        <v>340</v>
      </c>
    </row>
    <row r="108" customFormat="false" ht="17.15" hidden="false" customHeight="false" outlineLevel="0" collapsed="false">
      <c r="A108" s="11" t="s">
        <v>341</v>
      </c>
      <c r="B108" s="12" t="s">
        <v>342</v>
      </c>
      <c r="C108" s="11" t="s">
        <v>48</v>
      </c>
      <c r="D108" s="11"/>
      <c r="E108" s="11" t="n">
        <f aca="false">tp_g</f>
        <v>0.04</v>
      </c>
      <c r="F108" s="11"/>
      <c r="G108" s="11" t="s">
        <v>36</v>
      </c>
      <c r="H108" s="12" t="s">
        <v>53</v>
      </c>
      <c r="I108" s="11" t="s">
        <v>135</v>
      </c>
    </row>
    <row r="109" customFormat="false" ht="17.15" hidden="false" customHeight="false" outlineLevel="0" collapsed="false">
      <c r="A109" s="11" t="s">
        <v>343</v>
      </c>
      <c r="B109" s="12" t="s">
        <v>344</v>
      </c>
      <c r="C109" s="11" t="s">
        <v>48</v>
      </c>
      <c r="D109" s="11"/>
      <c r="E109" s="11" t="n">
        <f aca="false">tp_g-0.02</f>
        <v>0.02</v>
      </c>
      <c r="F109" s="11"/>
      <c r="G109" s="11" t="s">
        <v>36</v>
      </c>
      <c r="H109" s="12" t="s">
        <v>53</v>
      </c>
      <c r="I109" s="11" t="s">
        <v>135</v>
      </c>
    </row>
    <row r="110" customFormat="false" ht="17.15" hidden="false" customHeight="false" outlineLevel="0" collapsed="false">
      <c r="A110" s="11" t="s">
        <v>345</v>
      </c>
      <c r="B110" s="12" t="s">
        <v>346</v>
      </c>
      <c r="C110" s="11" t="s">
        <v>48</v>
      </c>
      <c r="D110" s="11"/>
      <c r="E110" s="14" t="n">
        <f aca="false">PL!G15</f>
        <v>0.193036897443116</v>
      </c>
      <c r="F110" s="11"/>
      <c r="G110" s="11" t="s">
        <v>43</v>
      </c>
      <c r="H110" s="11" t="s">
        <v>347</v>
      </c>
      <c r="I110" s="11" t="s">
        <v>135</v>
      </c>
    </row>
    <row r="111" customFormat="false" ht="17.15" hidden="false" customHeight="false" outlineLevel="0" collapsed="false">
      <c r="A111" s="11" t="s">
        <v>348</v>
      </c>
      <c r="B111" s="12" t="s">
        <v>349</v>
      </c>
      <c r="C111" s="11" t="s">
        <v>48</v>
      </c>
      <c r="D111" s="11"/>
      <c r="E111" s="15" t="n">
        <f aca="false">PL!G30*0.9</f>
        <v>0.135546676889627</v>
      </c>
      <c r="F111" s="11"/>
      <c r="G111" s="11" t="s">
        <v>36</v>
      </c>
      <c r="H111" s="12" t="s">
        <v>350</v>
      </c>
      <c r="I111" s="11" t="s">
        <v>135</v>
      </c>
    </row>
    <row r="112" customFormat="false" ht="17.15" hidden="false" customHeight="false" outlineLevel="0" collapsed="false">
      <c r="A112" s="11" t="s">
        <v>351</v>
      </c>
      <c r="B112" s="12" t="s">
        <v>352</v>
      </c>
      <c r="C112" s="11" t="s">
        <v>48</v>
      </c>
      <c r="D112" s="11"/>
      <c r="E112" s="15" t="n">
        <f aca="false">PL!G45*0.8</f>
        <v>0.0395769736239055</v>
      </c>
      <c r="F112" s="11"/>
      <c r="G112" s="11" t="s">
        <v>36</v>
      </c>
      <c r="H112" s="12" t="s">
        <v>53</v>
      </c>
      <c r="I112" s="11" t="s">
        <v>135</v>
      </c>
    </row>
    <row r="114" customFormat="false" ht="17.15" hidden="false" customHeight="false" outlineLevel="0" collapsed="false">
      <c r="A114" s="1" t="s">
        <v>353</v>
      </c>
    </row>
    <row r="115" customFormat="false" ht="17.15" hidden="false" customHeight="false" outlineLevel="0" collapsed="false">
      <c r="A115" s="1" t="s">
        <v>23</v>
      </c>
      <c r="B115" s="1" t="s">
        <v>24</v>
      </c>
      <c r="C115" s="1" t="s">
        <v>25</v>
      </c>
      <c r="D115" s="1" t="s">
        <v>354</v>
      </c>
      <c r="E115" s="1" t="s">
        <v>355</v>
      </c>
      <c r="F115" s="1" t="s">
        <v>356</v>
      </c>
      <c r="G115" s="1" t="s">
        <v>29</v>
      </c>
      <c r="H115" s="1" t="s">
        <v>357</v>
      </c>
    </row>
    <row r="116" customFormat="false" ht="17.15" hidden="false" customHeight="false" outlineLevel="0" collapsed="false">
      <c r="A116" s="0" t="s">
        <v>358</v>
      </c>
      <c r="B116" s="0" t="s">
        <v>359</v>
      </c>
      <c r="C116" s="0" t="s">
        <v>48</v>
      </c>
      <c r="D116" s="0" t="n">
        <f aca="false">E12</f>
        <v>0.95</v>
      </c>
      <c r="E116" s="0" t="n">
        <f aca="false">E13</f>
        <v>0.9</v>
      </c>
      <c r="F116" s="0" t="n">
        <f aca="false">E14</f>
        <v>0.8</v>
      </c>
      <c r="G116" s="0" t="s">
        <v>43</v>
      </c>
      <c r="H116" s="4" t="s">
        <v>360</v>
      </c>
    </row>
    <row r="117" customFormat="false" ht="17.15" hidden="false" customHeight="false" outlineLevel="0" collapsed="false">
      <c r="A117" s="0" t="s">
        <v>361</v>
      </c>
      <c r="B117" s="0" t="s">
        <v>362</v>
      </c>
      <c r="C117" s="0" t="s">
        <v>48</v>
      </c>
      <c r="D117" s="0" t="n">
        <f aca="false">E15</f>
        <v>0.94</v>
      </c>
      <c r="E117" s="0" t="n">
        <f aca="false">E16</f>
        <v>0.86</v>
      </c>
      <c r="F117" s="0" t="n">
        <f aca="false">E17</f>
        <v>0.74</v>
      </c>
      <c r="G117" s="0" t="s">
        <v>43</v>
      </c>
      <c r="H117" s="4" t="s">
        <v>363</v>
      </c>
    </row>
    <row r="118" customFormat="false" ht="17.15" hidden="false" customHeight="false" outlineLevel="0" collapsed="false">
      <c r="A118" s="0" t="s">
        <v>364</v>
      </c>
      <c r="B118" s="0" t="s">
        <v>365</v>
      </c>
      <c r="C118" s="0" t="s">
        <v>48</v>
      </c>
      <c r="D118" s="0" t="n">
        <f aca="false">E18</f>
        <v>0.93</v>
      </c>
      <c r="E118" s="0" t="n">
        <f aca="false">E19</f>
        <v>0.87</v>
      </c>
      <c r="F118" s="0" t="n">
        <f aca="false">E20</f>
        <v>0.78</v>
      </c>
      <c r="G118" s="0" t="s">
        <v>43</v>
      </c>
      <c r="H118" s="4" t="s">
        <v>366</v>
      </c>
    </row>
    <row r="119" customFormat="false" ht="17.15" hidden="false" customHeight="false" outlineLevel="0" collapsed="false">
      <c r="A119" s="0" t="s">
        <v>367</v>
      </c>
      <c r="B119" s="0" t="s">
        <v>99</v>
      </c>
      <c r="C119" s="0" t="s">
        <v>48</v>
      </c>
      <c r="D119" s="0" t="n">
        <f aca="false">E24</f>
        <v>0.06</v>
      </c>
      <c r="E119" s="0" t="n">
        <f aca="false">E25</f>
        <v>0.03</v>
      </c>
      <c r="F119" s="0" t="n">
        <f aca="false">E26</f>
        <v>-0.03</v>
      </c>
      <c r="G119" s="0" t="s">
        <v>43</v>
      </c>
      <c r="H119" s="4" t="s">
        <v>368</v>
      </c>
    </row>
    <row r="120" customFormat="false" ht="17.15" hidden="false" customHeight="false" outlineLevel="0" collapsed="false">
      <c r="A120" s="0" t="s">
        <v>369</v>
      </c>
      <c r="B120" s="0" t="s">
        <v>105</v>
      </c>
      <c r="C120" s="0" t="s">
        <v>48</v>
      </c>
      <c r="D120" s="0" t="n">
        <f aca="false">E27</f>
        <v>0.02</v>
      </c>
      <c r="E120" s="0" t="n">
        <f aca="false">E28</f>
        <v>0</v>
      </c>
      <c r="F120" s="0" t="n">
        <f aca="false">E29</f>
        <v>-0.05</v>
      </c>
      <c r="G120" s="0" t="s">
        <v>43</v>
      </c>
      <c r="H120" s="4" t="s">
        <v>370</v>
      </c>
    </row>
    <row r="121" customFormat="false" ht="17.15" hidden="false" customHeight="false" outlineLevel="0" collapsed="false">
      <c r="A121" s="0" t="s">
        <v>371</v>
      </c>
      <c r="B121" s="0" t="s">
        <v>111</v>
      </c>
      <c r="C121" s="0" t="s">
        <v>48</v>
      </c>
      <c r="D121" s="0" t="n">
        <f aca="false">E30</f>
        <v>0.01</v>
      </c>
      <c r="E121" s="0" t="n">
        <f aca="false">E31</f>
        <v>0</v>
      </c>
      <c r="F121" s="0" t="n">
        <f aca="false">E32</f>
        <v>-0.02</v>
      </c>
      <c r="G121" s="0" t="s">
        <v>43</v>
      </c>
      <c r="H121" s="4" t="s">
        <v>372</v>
      </c>
    </row>
    <row r="122" customFormat="false" ht="17.15" hidden="false" customHeight="false" outlineLevel="0" collapsed="false">
      <c r="A122" s="0" t="s">
        <v>373</v>
      </c>
      <c r="B122" s="0" t="s">
        <v>137</v>
      </c>
      <c r="C122" s="0" t="s">
        <v>48</v>
      </c>
      <c r="D122" s="0" t="n">
        <f aca="false">E39</f>
        <v>0.9</v>
      </c>
      <c r="E122" s="0" t="n">
        <f aca="false">E40</f>
        <v>0.8</v>
      </c>
      <c r="F122" s="0" t="n">
        <f aca="false">E41</f>
        <v>0.65</v>
      </c>
      <c r="G122" s="0" t="s">
        <v>43</v>
      </c>
      <c r="H122" s="4" t="s">
        <v>374</v>
      </c>
    </row>
    <row r="123" customFormat="false" ht="17.15" hidden="false" customHeight="false" outlineLevel="0" collapsed="false">
      <c r="A123" s="0" t="s">
        <v>375</v>
      </c>
      <c r="B123" s="0" t="s">
        <v>150</v>
      </c>
      <c r="C123" s="0" t="s">
        <v>48</v>
      </c>
      <c r="D123" s="0" t="n">
        <f aca="false">E43</f>
        <v>0.05</v>
      </c>
      <c r="E123" s="0" t="n">
        <f aca="false">E44</f>
        <v>-0.05</v>
      </c>
      <c r="F123" s="0" t="n">
        <f aca="false">E45</f>
        <v>-0.2</v>
      </c>
      <c r="G123" s="0" t="s">
        <v>43</v>
      </c>
      <c r="H123" s="4" t="s">
        <v>376</v>
      </c>
    </row>
    <row r="124" customFormat="false" ht="17.15" hidden="false" customHeight="false" outlineLevel="0" collapsed="false">
      <c r="A124" s="0" t="s">
        <v>377</v>
      </c>
      <c r="B124" s="0" t="s">
        <v>156</v>
      </c>
      <c r="C124" s="0" t="s">
        <v>48</v>
      </c>
      <c r="D124" s="0" t="n">
        <f aca="false">E46</f>
        <v>0.2</v>
      </c>
      <c r="E124" s="0" t="n">
        <f aca="false">E47</f>
        <v>0.12</v>
      </c>
      <c r="F124" s="0" t="n">
        <f aca="false">E48</f>
        <v>0</v>
      </c>
      <c r="G124" s="0" t="s">
        <v>43</v>
      </c>
      <c r="H124" s="4" t="s">
        <v>378</v>
      </c>
    </row>
    <row r="125" customFormat="false" ht="17.15" hidden="false" customHeight="false" outlineLevel="0" collapsed="false">
      <c r="A125" s="0" t="s">
        <v>379</v>
      </c>
      <c r="B125" s="0" t="s">
        <v>162</v>
      </c>
      <c r="C125" s="0" t="s">
        <v>48</v>
      </c>
      <c r="D125" s="0" t="n">
        <f aca="false">E49</f>
        <v>0.25</v>
      </c>
      <c r="E125" s="0" t="n">
        <f aca="false">E50</f>
        <v>0.18</v>
      </c>
      <c r="F125" s="0" t="n">
        <f aca="false">E51</f>
        <v>0.05</v>
      </c>
      <c r="G125" s="0" t="s">
        <v>43</v>
      </c>
      <c r="H125" s="4" t="s">
        <v>380</v>
      </c>
    </row>
    <row r="126" customFormat="false" ht="17.15" hidden="false" customHeight="false" outlineLevel="0" collapsed="false">
      <c r="A126" s="0" t="s">
        <v>381</v>
      </c>
      <c r="B126" s="0" t="s">
        <v>180</v>
      </c>
      <c r="C126" s="0" t="s">
        <v>48</v>
      </c>
      <c r="D126" s="0" t="n">
        <f aca="false">E54</f>
        <v>0.25</v>
      </c>
      <c r="E126" s="0" t="n">
        <f aca="false">E55</f>
        <v>0.2</v>
      </c>
      <c r="F126" s="0" t="n">
        <f aca="false">E56</f>
        <v>0.15</v>
      </c>
      <c r="G126" s="0" t="s">
        <v>43</v>
      </c>
      <c r="H126" s="4" t="s">
        <v>382</v>
      </c>
    </row>
    <row r="127" customFormat="false" ht="17.15" hidden="false" customHeight="false" outlineLevel="0" collapsed="false">
      <c r="A127" s="0" t="s">
        <v>383</v>
      </c>
      <c r="B127" s="0" t="s">
        <v>384</v>
      </c>
      <c r="C127" s="0" t="s">
        <v>48</v>
      </c>
      <c r="D127" s="0" t="n">
        <f aca="false">E107</f>
        <v>0.06</v>
      </c>
      <c r="E127" s="0" t="n">
        <f aca="false">E108</f>
        <v>0.04</v>
      </c>
      <c r="F127" s="0" t="n">
        <f aca="false">E109</f>
        <v>0.02</v>
      </c>
      <c r="G127" s="0" t="s">
        <v>43</v>
      </c>
      <c r="H127" s="4" t="s">
        <v>385</v>
      </c>
    </row>
    <row r="128" customFormat="false" ht="17.15" hidden="false" customHeight="false" outlineLevel="0" collapsed="false">
      <c r="A128" s="0" t="s">
        <v>386</v>
      </c>
      <c r="B128" s="0" t="s">
        <v>387</v>
      </c>
      <c r="C128" s="0" t="s">
        <v>48</v>
      </c>
      <c r="D128" s="16" t="n">
        <f aca="false">E110</f>
        <v>0.193036897443116</v>
      </c>
      <c r="E128" s="8" t="n">
        <f aca="false">E111</f>
        <v>0.135546676889627</v>
      </c>
      <c r="F128" s="8" t="n">
        <f aca="false">E112</f>
        <v>0.0395769736239055</v>
      </c>
      <c r="G128" s="8" t="s">
        <v>43</v>
      </c>
      <c r="H128" s="4" t="s">
        <v>388</v>
      </c>
    </row>
    <row r="129" customFormat="false" ht="17.15" hidden="false" customHeight="false" outlineLevel="0" collapsed="false">
      <c r="A129" s="0" t="s">
        <v>389</v>
      </c>
      <c r="B129" s="4" t="s">
        <v>390</v>
      </c>
      <c r="C129" s="0" t="s">
        <v>48</v>
      </c>
      <c r="D129" s="0" t="n">
        <f aca="false">E100</f>
        <v>0.3</v>
      </c>
      <c r="E129" s="0" t="n">
        <f aca="false">E101</f>
        <v>0.5</v>
      </c>
      <c r="F129" s="0" t="n">
        <f aca="false">E102</f>
        <v>0.2</v>
      </c>
      <c r="G129" s="0" t="s">
        <v>43</v>
      </c>
      <c r="H129" s="4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392</v>
      </c>
    </row>
    <row r="2" customFormat="false" ht="17.15" hidden="false" customHeight="false" outlineLevel="0" collapsed="false">
      <c r="A2" s="0" t="s">
        <v>393</v>
      </c>
    </row>
    <row r="3" customFormat="false" ht="17.15" hidden="false" customHeight="false" outlineLevel="0" collapsed="false">
      <c r="A3" s="5" t="s">
        <v>24</v>
      </c>
      <c r="B3" s="17" t="s">
        <v>394</v>
      </c>
      <c r="C3" s="17" t="s">
        <v>395</v>
      </c>
      <c r="D3" s="17" t="s">
        <v>396</v>
      </c>
      <c r="E3" s="17" t="s">
        <v>397</v>
      </c>
      <c r="F3" s="17" t="s">
        <v>398</v>
      </c>
      <c r="G3" s="17" t="s">
        <v>399</v>
      </c>
      <c r="H3" s="5" t="s">
        <v>29</v>
      </c>
      <c r="I3" s="5" t="s">
        <v>30</v>
      </c>
      <c r="J3" s="5" t="s">
        <v>31</v>
      </c>
    </row>
    <row r="4" customFormat="false" ht="17.15" hidden="false" customHeight="false" outlineLevel="0" collapsed="false">
      <c r="A4" s="4" t="s">
        <v>400</v>
      </c>
      <c r="B4" s="18" t="n">
        <v>48.591</v>
      </c>
      <c r="C4" s="18" t="n">
        <v>12.532</v>
      </c>
      <c r="D4" s="18" t="n">
        <v>14.245</v>
      </c>
      <c r="E4" s="19" t="n">
        <f aca="false">42.479-26.777</f>
        <v>15.702</v>
      </c>
      <c r="F4" s="19" t="n">
        <f aca="false">E4*(1+q4_g)</f>
        <v>16.17306</v>
      </c>
      <c r="G4" s="19" t="n">
        <f aca="false">SUM(C4:F4)</f>
        <v>58.65206</v>
      </c>
      <c r="H4" s="8" t="s">
        <v>401</v>
      </c>
      <c r="I4" s="8" t="s">
        <v>402</v>
      </c>
      <c r="J4" s="8" t="s">
        <v>403</v>
      </c>
    </row>
    <row r="5" customFormat="false" ht="17.15" hidden="false" customHeight="false" outlineLevel="0" collapsed="false">
      <c r="A5" s="4" t="s">
        <v>404</v>
      </c>
      <c r="C5" s="9" t="n">
        <f aca="false">C7*C6</f>
        <v>661.2</v>
      </c>
      <c r="D5" s="9" t="n">
        <f aca="false">D7*D6</f>
        <v>719.055</v>
      </c>
      <c r="E5" s="9" t="n">
        <f aca="false">E7*E6</f>
        <v>743.85</v>
      </c>
      <c r="F5" s="9" t="n">
        <f aca="false">F7*F6</f>
        <v>760.38</v>
      </c>
      <c r="G5" s="9" t="n">
        <f aca="false">SUM(C5:F5)</f>
        <v>2884.485</v>
      </c>
      <c r="H5" s="8" t="s">
        <v>43</v>
      </c>
      <c r="I5" s="4" t="s">
        <v>405</v>
      </c>
      <c r="J5" s="4" t="s">
        <v>406</v>
      </c>
    </row>
    <row r="6" customFormat="false" ht="17.15" hidden="false" customHeight="false" outlineLevel="0" collapsed="false">
      <c r="A6" s="4" t="s">
        <v>407</v>
      </c>
      <c r="C6" s="20" t="n">
        <f aca="false">ut_q1</f>
        <v>0.8</v>
      </c>
      <c r="D6" s="21" t="n">
        <v>0.87</v>
      </c>
      <c r="E6" s="21" t="n">
        <v>0.9</v>
      </c>
      <c r="F6" s="20" t="n">
        <f aca="false">q4_ut</f>
        <v>0.92</v>
      </c>
      <c r="G6" s="20" t="n">
        <f aca="false">G5/G7</f>
        <v>0.8725</v>
      </c>
      <c r="H6" s="8" t="s">
        <v>408</v>
      </c>
      <c r="I6" s="8" t="s">
        <v>409</v>
      </c>
      <c r="J6" s="8" t="s">
        <v>410</v>
      </c>
    </row>
    <row r="7" customFormat="false" ht="17.15" hidden="false" customHeight="false" outlineLevel="0" collapsed="false">
      <c r="A7" s="4" t="s">
        <v>411</v>
      </c>
      <c r="C7" s="9" t="n">
        <f aca="false">3306/4</f>
        <v>826.5</v>
      </c>
      <c r="D7" s="9" t="n">
        <f aca="false">3306/4</f>
        <v>826.5</v>
      </c>
      <c r="E7" s="9" t="n">
        <f aca="false">3306/4</f>
        <v>826.5</v>
      </c>
      <c r="F7" s="9" t="n">
        <f aca="false">3306/4</f>
        <v>826.5</v>
      </c>
      <c r="G7" s="9" t="n">
        <f aca="false">SUM(C7:F7)</f>
        <v>3306</v>
      </c>
      <c r="H7" s="8" t="s">
        <v>43</v>
      </c>
      <c r="I7" s="4" t="s">
        <v>412</v>
      </c>
      <c r="J7" s="4" t="s">
        <v>413</v>
      </c>
    </row>
    <row r="8" customFormat="false" ht="17.15" hidden="false" customHeight="false" outlineLevel="0" collapsed="false">
      <c r="A8" s="4" t="s">
        <v>414</v>
      </c>
      <c r="C8" s="22" t="n">
        <f aca="false">C4/C5/fx_26*1000000</f>
        <v>599.791709741398</v>
      </c>
      <c r="D8" s="22" t="n">
        <f aca="false">D4/D5/fx_26*1000000</f>
        <v>626.92163915209</v>
      </c>
      <c r="E8" s="22" t="n">
        <f aca="false">E4/E5/fx_26*1000000</f>
        <v>668.009322010103</v>
      </c>
      <c r="F8" s="22" t="n">
        <f aca="false">F4/F5/fx_26*1000000</f>
        <v>673.092001634093</v>
      </c>
      <c r="G8" s="22" t="n">
        <f aca="false">G4/G5/fx_26*1000000</f>
        <v>643.469405492234</v>
      </c>
      <c r="H8" s="8" t="s">
        <v>43</v>
      </c>
      <c r="I8" s="4" t="s">
        <v>415</v>
      </c>
      <c r="J8" s="4" t="s">
        <v>416</v>
      </c>
    </row>
    <row r="9" customFormat="false" ht="17.15" hidden="false" customHeight="false" outlineLevel="0" collapsed="false">
      <c r="A9" s="4" t="s">
        <v>417</v>
      </c>
      <c r="B9" s="18" t="n">
        <v>13.654</v>
      </c>
      <c r="C9" s="19" t="n">
        <f aca="false">C4*0.293</f>
        <v>3.671876</v>
      </c>
      <c r="D9" s="19" t="n">
        <f aca="false">D4*0.323</f>
        <v>4.601135</v>
      </c>
      <c r="E9" s="19" t="n">
        <f aca="false">E4*q3_gm</f>
        <v>5.26017</v>
      </c>
      <c r="F9" s="19" t="n">
        <f aca="false">F4*q4_gm</f>
        <v>5.4988404</v>
      </c>
      <c r="G9" s="19" t="n">
        <f aca="false">SUM(C9:F9)</f>
        <v>19.0320214</v>
      </c>
      <c r="H9" s="8" t="s">
        <v>418</v>
      </c>
      <c r="I9" s="8" t="s">
        <v>402</v>
      </c>
      <c r="J9" s="4" t="s">
        <v>419</v>
      </c>
    </row>
    <row r="10" customFormat="false" ht="17.15" hidden="false" customHeight="false" outlineLevel="0" collapsed="false">
      <c r="A10" s="4" t="s">
        <v>420</v>
      </c>
      <c r="B10" s="16" t="n">
        <f aca="false">B9/B4</f>
        <v>0.280998538824062</v>
      </c>
      <c r="C10" s="16" t="n">
        <f aca="false">C9/C4</f>
        <v>0.293</v>
      </c>
      <c r="D10" s="16" t="n">
        <f aca="false">D9/D4</f>
        <v>0.323</v>
      </c>
      <c r="E10" s="16" t="n">
        <f aca="false">E9/E4</f>
        <v>0.335</v>
      </c>
      <c r="F10" s="16" t="n">
        <f aca="false">F9/F4</f>
        <v>0.34</v>
      </c>
      <c r="G10" s="16" t="n">
        <f aca="false">G9/G4</f>
        <v>0.324490246378388</v>
      </c>
      <c r="H10" s="8" t="s">
        <v>43</v>
      </c>
      <c r="I10" s="8" t="s">
        <v>135</v>
      </c>
      <c r="J10" s="4" t="s">
        <v>421</v>
      </c>
    </row>
    <row r="11" customFormat="false" ht="17.15" hidden="false" customHeight="false" outlineLevel="0" collapsed="false">
      <c r="A11" s="4" t="s">
        <v>422</v>
      </c>
      <c r="B11" s="19" t="n">
        <f aca="false">B9-B12</f>
        <v>5.881</v>
      </c>
      <c r="C11" s="19" t="n">
        <f aca="false">C9-C12</f>
        <v>1.579032</v>
      </c>
      <c r="D11" s="19" t="n">
        <f aca="false">D9-D12</f>
        <v>1.695155</v>
      </c>
      <c r="E11" s="19" t="n">
        <f aca="false">q3_opx</f>
        <v>1.75</v>
      </c>
      <c r="F11" s="19" t="n">
        <f aca="false">q4_opx</f>
        <v>1.8</v>
      </c>
      <c r="G11" s="19" t="n">
        <f aca="false">SUM(C11:F11)</f>
        <v>6.824187</v>
      </c>
      <c r="H11" s="8" t="s">
        <v>423</v>
      </c>
      <c r="I11" s="8" t="s">
        <v>402</v>
      </c>
      <c r="J11" s="4" t="s">
        <v>424</v>
      </c>
    </row>
    <row r="12" customFormat="false" ht="17.15" hidden="false" customHeight="false" outlineLevel="0" collapsed="false">
      <c r="A12" s="4" t="s">
        <v>425</v>
      </c>
      <c r="B12" s="18" t="n">
        <v>7.773</v>
      </c>
      <c r="C12" s="19" t="n">
        <f aca="false">C4*0.167</f>
        <v>2.092844</v>
      </c>
      <c r="D12" s="19" t="n">
        <f aca="false">D4*0.204</f>
        <v>2.90598</v>
      </c>
      <c r="E12" s="19" t="n">
        <f aca="false">E9-E11</f>
        <v>3.51017</v>
      </c>
      <c r="F12" s="19" t="n">
        <f aca="false">F9-F11</f>
        <v>3.6988404</v>
      </c>
      <c r="G12" s="19" t="n">
        <f aca="false">SUM(C12:F12)</f>
        <v>12.2078344</v>
      </c>
      <c r="H12" s="8" t="s">
        <v>426</v>
      </c>
      <c r="I12" s="8" t="s">
        <v>402</v>
      </c>
      <c r="J12" s="4" t="s">
        <v>427</v>
      </c>
    </row>
    <row r="13" customFormat="false" ht="17.15" hidden="false" customHeight="false" outlineLevel="0" collapsed="false">
      <c r="A13" s="4" t="s">
        <v>428</v>
      </c>
      <c r="B13" s="19" t="n">
        <f aca="false">B14-B12</f>
        <v>1.479</v>
      </c>
      <c r="C13" s="19" t="n">
        <f aca="false">C14-C12</f>
        <v>0.53487375417299</v>
      </c>
      <c r="D13" s="19" t="n">
        <f aca="false">D14-D12</f>
        <v>0.574634567526556</v>
      </c>
      <c r="E13" s="19" t="n">
        <f aca="false">q3_nonop</f>
        <v>0.5</v>
      </c>
      <c r="F13" s="19" t="n">
        <f aca="false">q4_nonop</f>
        <v>0.5</v>
      </c>
      <c r="G13" s="19" t="n">
        <f aca="false">SUM(C13:F13)</f>
        <v>2.10950832169955</v>
      </c>
      <c r="H13" s="8" t="s">
        <v>423</v>
      </c>
      <c r="I13" s="8" t="s">
        <v>402</v>
      </c>
      <c r="J13" s="4" t="s">
        <v>429</v>
      </c>
    </row>
    <row r="14" customFormat="false" ht="17.15" hidden="false" customHeight="false" outlineLevel="0" collapsed="false">
      <c r="A14" s="4" t="s">
        <v>430</v>
      </c>
      <c r="B14" s="18" t="n">
        <v>9.252</v>
      </c>
      <c r="C14" s="19" t="n">
        <f aca="false">C17/(1-t_h1)</f>
        <v>2.62771775417299</v>
      </c>
      <c r="D14" s="19" t="n">
        <f aca="false">D17/(1-t_h1)</f>
        <v>3.48061456752656</v>
      </c>
      <c r="E14" s="19" t="n">
        <f aca="false">E12+E13</f>
        <v>4.01017</v>
      </c>
      <c r="F14" s="19" t="n">
        <f aca="false">F12+F13</f>
        <v>4.1988404</v>
      </c>
      <c r="G14" s="19" t="n">
        <f aca="false">SUM(C14:F14)</f>
        <v>14.3173427216995</v>
      </c>
      <c r="H14" s="8" t="s">
        <v>43</v>
      </c>
      <c r="I14" s="8" t="s">
        <v>402</v>
      </c>
      <c r="J14" s="8" t="s">
        <v>431</v>
      </c>
    </row>
    <row r="15" customFormat="false" ht="17.15" hidden="false" customHeight="false" outlineLevel="0" collapsed="false">
      <c r="A15" s="4" t="s">
        <v>432</v>
      </c>
      <c r="B15" s="19" t="n">
        <f aca="false">B14-B17-B18</f>
        <v>1.344</v>
      </c>
      <c r="C15" s="19" t="n">
        <f aca="false">C14-C17-C18</f>
        <v>0.38171775417299</v>
      </c>
      <c r="D15" s="19" t="n">
        <f aca="false">D14-D17-D18</f>
        <v>0.505614567526556</v>
      </c>
      <c r="E15" s="19" t="n">
        <f aca="false">E14*q3_tax</f>
        <v>0.582540907911803</v>
      </c>
      <c r="F15" s="19" t="n">
        <f aca="false">F14*q4_tax</f>
        <v>0.609948281193256</v>
      </c>
      <c r="G15" s="19" t="n">
        <f aca="false">SUM(C15:F15)</f>
        <v>2.0798215108046</v>
      </c>
      <c r="H15" s="8" t="s">
        <v>423</v>
      </c>
      <c r="I15" s="8" t="s">
        <v>402</v>
      </c>
      <c r="J15" s="4" t="s">
        <v>433</v>
      </c>
    </row>
    <row r="16" customFormat="false" ht="15" hidden="false" customHeight="false" outlineLevel="0" collapsed="false">
      <c r="A16" s="4" t="s">
        <v>434</v>
      </c>
      <c r="B16" s="20" t="n">
        <f aca="false">B15/B14</f>
        <v>0.14526588845655</v>
      </c>
      <c r="C16" s="20" t="n">
        <f aca="false">C15/C14</f>
        <v>0.14526588845655</v>
      </c>
      <c r="D16" s="20" t="n">
        <f aca="false">D15/D14</f>
        <v>0.14526588845655</v>
      </c>
      <c r="E16" s="20" t="n">
        <f aca="false">E15/E14</f>
        <v>0.14526588845655</v>
      </c>
      <c r="F16" s="20" t="n">
        <f aca="false">F15/F14</f>
        <v>0.14526588845655</v>
      </c>
      <c r="G16" s="20" t="n">
        <f aca="false">G15/G14</f>
        <v>0.14526588845655</v>
      </c>
      <c r="H16" s="8" t="s">
        <v>43</v>
      </c>
      <c r="I16" s="8" t="s">
        <v>135</v>
      </c>
      <c r="J16" s="8" t="s">
        <v>135</v>
      </c>
    </row>
    <row r="17" customFormat="false" ht="17.15" hidden="false" customHeight="false" outlineLevel="0" collapsed="false">
      <c r="A17" s="4" t="s">
        <v>435</v>
      </c>
      <c r="B17" s="18" t="n">
        <v>7.908</v>
      </c>
      <c r="C17" s="18" t="n">
        <v>2.246</v>
      </c>
      <c r="D17" s="18" t="n">
        <v>2.975</v>
      </c>
      <c r="E17" s="19" t="n">
        <f aca="false">E14-E15-E18</f>
        <v>3.4276290920882</v>
      </c>
      <c r="F17" s="19" t="n">
        <f aca="false">F14-F15-F18</f>
        <v>3.58889211880675</v>
      </c>
      <c r="G17" s="19" t="n">
        <f aca="false">SUM(C17:F17)</f>
        <v>12.2375212108949</v>
      </c>
      <c r="H17" s="8" t="s">
        <v>436</v>
      </c>
      <c r="I17" s="8" t="s">
        <v>402</v>
      </c>
      <c r="J17" s="4" t="s">
        <v>437</v>
      </c>
    </row>
    <row r="18" customFormat="false" ht="17.15" hidden="false" customHeight="false" outlineLevel="0" collapsed="false">
      <c r="A18" s="4" t="s">
        <v>438</v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9" t="n">
        <f aca="false">SUM(C18:F18)</f>
        <v>0</v>
      </c>
      <c r="H18" s="8" t="s">
        <v>423</v>
      </c>
      <c r="I18" s="8" t="s">
        <v>402</v>
      </c>
      <c r="J18" s="8" t="s">
        <v>439</v>
      </c>
    </row>
    <row r="19" customFormat="false" ht="17.15" hidden="false" customHeight="false" outlineLevel="0" collapsed="false">
      <c r="A19" s="4" t="s">
        <v>440</v>
      </c>
      <c r="B19" s="10" t="n">
        <f aca="false">7.908/4.22</f>
        <v>1.8739336492891</v>
      </c>
      <c r="C19" s="10" t="n">
        <f aca="false">2.246/1.18</f>
        <v>1.90338983050847</v>
      </c>
      <c r="D19" s="10" t="n">
        <f aca="false">2.975/1.56</f>
        <v>1.90705128205128</v>
      </c>
      <c r="E19" s="10" t="n">
        <f aca="false">q_sh</f>
        <v>1.90705128205128</v>
      </c>
      <c r="F19" s="10" t="n">
        <f aca="false">q_sh</f>
        <v>1.90705128205128</v>
      </c>
      <c r="G19" s="10" t="n">
        <f aca="false">AVERAGE(C19:F19)</f>
        <v>1.90613591916558</v>
      </c>
      <c r="H19" s="8" t="s">
        <v>43</v>
      </c>
      <c r="I19" s="4" t="s">
        <v>441</v>
      </c>
      <c r="J19" s="8" t="s">
        <v>135</v>
      </c>
    </row>
    <row r="20" customFormat="false" ht="17.15" hidden="false" customHeight="false" outlineLevel="0" collapsed="false">
      <c r="A20" s="0" t="s">
        <v>442</v>
      </c>
      <c r="B20" s="23" t="n">
        <f aca="false">B17/B19</f>
        <v>4.22</v>
      </c>
      <c r="C20" s="23" t="n">
        <f aca="false">C17/C19</f>
        <v>1.18</v>
      </c>
      <c r="D20" s="23" t="n">
        <f aca="false">D17/D19</f>
        <v>1.56</v>
      </c>
      <c r="E20" s="23" t="n">
        <f aca="false">E17/E19</f>
        <v>1.79734500291011</v>
      </c>
      <c r="F20" s="23" t="n">
        <f aca="false">F17/F19</f>
        <v>1.88190645557597</v>
      </c>
      <c r="G20" s="23" t="n">
        <f aca="false">G17/G19</f>
        <v>6.42006747150118</v>
      </c>
      <c r="H20" s="8" t="s">
        <v>43</v>
      </c>
      <c r="I20" s="4" t="s">
        <v>443</v>
      </c>
      <c r="J20" s="8" t="s">
        <v>135</v>
      </c>
    </row>
    <row r="21" customFormat="false" ht="17.15" hidden="false" customHeight="false" outlineLevel="0" collapsed="false">
      <c r="A21" s="4" t="s">
        <v>444</v>
      </c>
      <c r="B21" s="24" t="n">
        <v>4.22</v>
      </c>
      <c r="C21" s="24" t="n">
        <v>1.18</v>
      </c>
      <c r="D21" s="24" t="n">
        <v>1.56</v>
      </c>
      <c r="H21" s="8" t="s">
        <v>165</v>
      </c>
      <c r="I21" s="4" t="s">
        <v>445</v>
      </c>
      <c r="J21" s="8" t="s">
        <v>446</v>
      </c>
    </row>
    <row r="23" customFormat="false" ht="17.15" hidden="false" customHeight="false" outlineLevel="0" collapsed="false">
      <c r="A23" s="6" t="s">
        <v>447</v>
      </c>
    </row>
    <row r="24" customFormat="false" ht="17.15" hidden="false" customHeight="false" outlineLevel="0" collapsed="false">
      <c r="A24" s="0" t="s">
        <v>448</v>
      </c>
      <c r="B24" s="20" t="n">
        <f aca="false">G4/B4-1</f>
        <v>0.207056039184211</v>
      </c>
    </row>
    <row r="25" customFormat="false" ht="17.15" hidden="false" customHeight="false" outlineLevel="0" collapsed="false">
      <c r="A25" s="0" t="s">
        <v>449</v>
      </c>
      <c r="B25" s="20" t="n">
        <f aca="false">E4/D4-1</f>
        <v>0.102281502281502</v>
      </c>
    </row>
    <row r="26" customFormat="false" ht="17.15" hidden="false" customHeight="false" outlineLevel="0" collapsed="false">
      <c r="A26" s="0" t="s">
        <v>450</v>
      </c>
      <c r="B26" s="20" t="n">
        <f aca="false">G10</f>
        <v>0.324490246378388</v>
      </c>
    </row>
    <row r="27" customFormat="false" ht="17.15" hidden="false" customHeight="false" outlineLevel="0" collapsed="false">
      <c r="A27" s="0" t="s">
        <v>451</v>
      </c>
      <c r="B27" s="20" t="n">
        <f aca="false">G12/G4</f>
        <v>0.208139908470393</v>
      </c>
    </row>
    <row r="28" customFormat="false" ht="17.15" hidden="false" customHeight="false" outlineLevel="0" collapsed="false">
      <c r="A28" s="4" t="s">
        <v>452</v>
      </c>
      <c r="B28" s="25" t="n">
        <f aca="false">C4+D4-26.777</f>
        <v>0</v>
      </c>
    </row>
    <row r="29" customFormat="false" ht="17.15" hidden="false" customHeight="false" outlineLevel="0" collapsed="false">
      <c r="A29" s="4" t="s">
        <v>453</v>
      </c>
      <c r="B29" s="25" t="n">
        <f aca="false">C20+D20-2.74</f>
        <v>0</v>
      </c>
    </row>
    <row r="30" customFormat="false" ht="17.15" hidden="false" customHeight="false" outlineLevel="0" collapsed="false">
      <c r="A30" s="0" t="s">
        <v>454</v>
      </c>
      <c r="B30" s="22" t="n">
        <f aca="false">G8</f>
        <v>643.469405492234</v>
      </c>
    </row>
    <row r="34" customFormat="false" ht="17.15" hidden="false" customHeight="false" outlineLevel="0" collapsed="false">
      <c r="A34" s="1" t="s">
        <v>455</v>
      </c>
    </row>
    <row r="35" customFormat="false" ht="17.15" hidden="false" customHeight="false" outlineLevel="0" collapsed="false">
      <c r="A35" s="5" t="s">
        <v>24</v>
      </c>
      <c r="B35" s="17" t="s">
        <v>394</v>
      </c>
      <c r="C35" s="17" t="s">
        <v>456</v>
      </c>
      <c r="D35" s="17" t="s">
        <v>457</v>
      </c>
      <c r="E35" s="17" t="s">
        <v>458</v>
      </c>
      <c r="F35" s="17" t="s">
        <v>459</v>
      </c>
      <c r="G35" s="5" t="s">
        <v>460</v>
      </c>
      <c r="H35" s="1" t="s">
        <v>29</v>
      </c>
      <c r="I35" s="1" t="s">
        <v>30</v>
      </c>
      <c r="J35" s="1" t="s">
        <v>31</v>
      </c>
    </row>
    <row r="36" customFormat="false" ht="17.15" hidden="false" customHeight="false" outlineLevel="0" collapsed="false">
      <c r="A36" s="4" t="s">
        <v>461</v>
      </c>
      <c r="B36" s="18" t="n">
        <v>48.591</v>
      </c>
      <c r="C36" s="19" t="n">
        <f aca="false">12.594/1.02</f>
        <v>12.3470588235294</v>
      </c>
      <c r="D36" s="18" t="n">
        <v>12.594</v>
      </c>
      <c r="E36" s="19" t="n">
        <f aca="false">C4</f>
        <v>12.532</v>
      </c>
      <c r="F36" s="19" t="n">
        <f aca="false">D4</f>
        <v>14.245</v>
      </c>
      <c r="G36" s="19" t="n">
        <f aca="false">SUM(C36:F36)</f>
        <v>51.7180588235294</v>
      </c>
      <c r="H36" s="8" t="s">
        <v>165</v>
      </c>
      <c r="I36" s="4" t="s">
        <v>462</v>
      </c>
      <c r="J36" s="8" t="s">
        <v>463</v>
      </c>
    </row>
    <row r="37" customFormat="false" ht="17.15" hidden="false" customHeight="false" outlineLevel="0" collapsed="false">
      <c r="A37" s="4" t="s">
        <v>464</v>
      </c>
      <c r="F37" s="19" t="n">
        <f aca="false">F36*0.77</f>
        <v>10.96865</v>
      </c>
      <c r="H37" s="8" t="s">
        <v>170</v>
      </c>
      <c r="I37" s="8" t="s">
        <v>465</v>
      </c>
      <c r="J37" s="4" t="s">
        <v>466</v>
      </c>
    </row>
    <row r="38" customFormat="false" ht="17.15" hidden="false" customHeight="false" outlineLevel="0" collapsed="false">
      <c r="A38" s="4" t="s">
        <v>467</v>
      </c>
      <c r="F38" s="19" t="n">
        <f aca="false">F36*0.12</f>
        <v>1.7094</v>
      </c>
      <c r="H38" s="8" t="s">
        <v>170</v>
      </c>
      <c r="I38" s="8" t="s">
        <v>468</v>
      </c>
      <c r="J38" s="8" t="s">
        <v>135</v>
      </c>
    </row>
    <row r="39" customFormat="false" ht="17.15" hidden="false" customHeight="false" outlineLevel="0" collapsed="false">
      <c r="A39" s="4" t="s">
        <v>469</v>
      </c>
      <c r="F39" s="19" t="n">
        <f aca="false">F36*0.07</f>
        <v>0.99715</v>
      </c>
      <c r="H39" s="8" t="s">
        <v>170</v>
      </c>
      <c r="I39" s="8" t="s">
        <v>470</v>
      </c>
      <c r="J39" s="8" t="s">
        <v>135</v>
      </c>
    </row>
    <row r="40" customFormat="false" ht="17.15" hidden="false" customHeight="false" outlineLevel="0" collapsed="false">
      <c r="A40" s="4" t="s">
        <v>471</v>
      </c>
      <c r="F40" s="19" t="n">
        <f aca="false">F36-F37-F38-F39</f>
        <v>0.569799999999999</v>
      </c>
      <c r="H40" s="8" t="s">
        <v>43</v>
      </c>
      <c r="I40" s="4" t="s">
        <v>472</v>
      </c>
      <c r="J40" s="4" t="s">
        <v>473</v>
      </c>
    </row>
    <row r="41" customFormat="false" ht="17.15" hidden="false" customHeight="false" outlineLevel="0" collapsed="false">
      <c r="A41" s="4" t="s">
        <v>474</v>
      </c>
      <c r="B41" s="19" t="n">
        <f aca="false">B36-B4</f>
        <v>0</v>
      </c>
      <c r="D41" s="19" t="n">
        <f aca="false">D36-12.594</f>
        <v>0</v>
      </c>
      <c r="E41" s="19" t="n">
        <f aca="false">E36-C4</f>
        <v>0</v>
      </c>
      <c r="F41" s="19" t="n">
        <f aca="false">F36-D4</f>
        <v>0</v>
      </c>
      <c r="H41" s="8" t="s">
        <v>43</v>
      </c>
      <c r="I41" s="8" t="s">
        <v>135</v>
      </c>
      <c r="J41" s="4" t="s">
        <v>475</v>
      </c>
    </row>
    <row r="42" customFormat="false" ht="17.15" hidden="false" customHeight="false" outlineLevel="0" collapsed="false">
      <c r="A42" s="4" t="s">
        <v>476</v>
      </c>
      <c r="F42" s="19" t="n">
        <f aca="false">F37+F38+F39+F40-F36</f>
        <v>0</v>
      </c>
      <c r="H42" s="8" t="s">
        <v>43</v>
      </c>
      <c r="I42" s="8" t="s">
        <v>135</v>
      </c>
      <c r="J42" s="4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478</v>
      </c>
    </row>
    <row r="3" customFormat="false" ht="15" hidden="false" customHeight="false" outlineLevel="0" collapsed="false">
      <c r="A3" s="5" t="s">
        <v>24</v>
      </c>
      <c r="B3" s="5" t="s">
        <v>25</v>
      </c>
      <c r="C3" s="17" t="s">
        <v>479</v>
      </c>
      <c r="D3" s="17" t="s">
        <v>480</v>
      </c>
      <c r="E3" s="17" t="s">
        <v>481</v>
      </c>
      <c r="F3" s="17" t="s">
        <v>482</v>
      </c>
      <c r="G3" s="5" t="s">
        <v>357</v>
      </c>
    </row>
    <row r="4" customFormat="false" ht="17.15" hidden="false" customHeight="false" outlineLevel="0" collapsed="false">
      <c r="A4" s="6" t="s">
        <v>483</v>
      </c>
    </row>
    <row r="5" customFormat="false" ht="17.15" hidden="false" customHeight="false" outlineLevel="0" collapsed="false">
      <c r="A5" s="4" t="s">
        <v>484</v>
      </c>
      <c r="B5" s="0" t="s">
        <v>48</v>
      </c>
      <c r="C5" s="20" t="n">
        <f aca="false">PL!D64</f>
        <v>0.8725</v>
      </c>
      <c r="D5" s="20" t="n">
        <f aca="false">PL!E64</f>
        <v>0.95</v>
      </c>
      <c r="E5" s="20" t="n">
        <f aca="false">PL!F64</f>
        <v>0.94</v>
      </c>
      <c r="F5" s="20" t="n">
        <f aca="false">PL!G64</f>
        <v>0.93</v>
      </c>
      <c r="G5" s="8" t="s">
        <v>485</v>
      </c>
    </row>
    <row r="6" customFormat="false" ht="17.15" hidden="false" customHeight="false" outlineLevel="0" collapsed="false">
      <c r="A6" s="4" t="s">
        <v>486</v>
      </c>
      <c r="B6" s="0" t="s">
        <v>48</v>
      </c>
      <c r="C6" s="20" t="n">
        <f aca="false">PL!D105</f>
        <v>0.8725</v>
      </c>
      <c r="D6" s="20" t="n">
        <f aca="false">PL!E105</f>
        <v>0.9</v>
      </c>
      <c r="E6" s="20" t="n">
        <f aca="false">PL!F105</f>
        <v>0.86</v>
      </c>
      <c r="F6" s="20" t="n">
        <f aca="false">PL!G105</f>
        <v>0.87</v>
      </c>
      <c r="G6" s="4" t="s">
        <v>53</v>
      </c>
    </row>
    <row r="7" customFormat="false" ht="17.15" hidden="false" customHeight="false" outlineLevel="0" collapsed="false">
      <c r="A7" s="4" t="s">
        <v>487</v>
      </c>
      <c r="B7" s="0" t="s">
        <v>48</v>
      </c>
      <c r="C7" s="20" t="n">
        <f aca="false">PL!D146</f>
        <v>0.8725</v>
      </c>
      <c r="D7" s="20" t="n">
        <f aca="false">PL!E146</f>
        <v>0.8</v>
      </c>
      <c r="E7" s="20" t="n">
        <f aca="false">PL!F146</f>
        <v>0.74</v>
      </c>
      <c r="F7" s="20" t="n">
        <f aca="false">PL!G146</f>
        <v>0.78</v>
      </c>
      <c r="G7" s="4" t="s">
        <v>53</v>
      </c>
    </row>
    <row r="8" customFormat="false" ht="17.15" hidden="false" customHeight="false" outlineLevel="0" collapsed="false">
      <c r="A8" s="4" t="s">
        <v>488</v>
      </c>
      <c r="B8" s="4" t="s">
        <v>42</v>
      </c>
      <c r="C8" s="22" t="n">
        <f aca="false">PL!D65</f>
        <v>2884.485</v>
      </c>
      <c r="D8" s="22" t="n">
        <f aca="false">PL!E65</f>
        <v>3140.7</v>
      </c>
      <c r="E8" s="22" t="n">
        <f aca="false">PL!F65</f>
        <v>3107.64</v>
      </c>
      <c r="F8" s="22" t="n">
        <f aca="false">PL!G65</f>
        <v>3074.58</v>
      </c>
      <c r="G8" s="8" t="s">
        <v>485</v>
      </c>
    </row>
    <row r="9" customFormat="false" ht="17.15" hidden="false" customHeight="false" outlineLevel="0" collapsed="false">
      <c r="A9" s="4" t="s">
        <v>489</v>
      </c>
      <c r="B9" s="4" t="s">
        <v>42</v>
      </c>
      <c r="C9" s="22" t="n">
        <f aca="false">PL!D106</f>
        <v>2884.485</v>
      </c>
      <c r="D9" s="22" t="n">
        <f aca="false">PL!E106</f>
        <v>2975.4</v>
      </c>
      <c r="E9" s="22" t="n">
        <f aca="false">PL!F106</f>
        <v>2843.16</v>
      </c>
      <c r="F9" s="22" t="n">
        <f aca="false">PL!G106</f>
        <v>2876.22</v>
      </c>
      <c r="G9" s="4" t="s">
        <v>53</v>
      </c>
    </row>
    <row r="10" customFormat="false" ht="17.15" hidden="false" customHeight="false" outlineLevel="0" collapsed="false">
      <c r="A10" s="4" t="s">
        <v>490</v>
      </c>
      <c r="B10" s="4" t="s">
        <v>42</v>
      </c>
      <c r="C10" s="22" t="n">
        <f aca="false">PL!D147</f>
        <v>2884.485</v>
      </c>
      <c r="D10" s="22" t="n">
        <f aca="false">PL!E147</f>
        <v>2644.8</v>
      </c>
      <c r="E10" s="22" t="n">
        <f aca="false">PL!F147</f>
        <v>2446.44</v>
      </c>
      <c r="F10" s="22" t="n">
        <f aca="false">PL!G147</f>
        <v>2578.68</v>
      </c>
      <c r="G10" s="4" t="s">
        <v>53</v>
      </c>
    </row>
    <row r="11" customFormat="false" ht="17.15" hidden="false" customHeight="false" outlineLevel="0" collapsed="false">
      <c r="A11" s="4" t="s">
        <v>491</v>
      </c>
      <c r="B11" s="0" t="s">
        <v>89</v>
      </c>
      <c r="C11" s="22" t="n">
        <f aca="false">PL!D66</f>
        <v>643.469405492234</v>
      </c>
      <c r="D11" s="22" t="n">
        <f aca="false">PL!E66</f>
        <v>682.077569821768</v>
      </c>
      <c r="E11" s="22" t="n">
        <f aca="false">PL!F66</f>
        <v>695.719121218203</v>
      </c>
      <c r="F11" s="22" t="n">
        <f aca="false">PL!G66</f>
        <v>702.676312430385</v>
      </c>
      <c r="G11" s="8" t="s">
        <v>485</v>
      </c>
    </row>
    <row r="12" customFormat="false" ht="17.15" hidden="false" customHeight="false" outlineLevel="0" collapsed="false">
      <c r="A12" s="4" t="s">
        <v>492</v>
      </c>
      <c r="B12" s="0" t="s">
        <v>89</v>
      </c>
      <c r="C12" s="22" t="n">
        <f aca="false">PL!D107</f>
        <v>643.469405492234</v>
      </c>
      <c r="D12" s="22" t="n">
        <f aca="false">PL!E107</f>
        <v>662.773487657001</v>
      </c>
      <c r="E12" s="22" t="n">
        <f aca="false">PL!F107</f>
        <v>662.773487657001</v>
      </c>
      <c r="F12" s="22" t="n">
        <f aca="false">PL!G107</f>
        <v>662.773487657001</v>
      </c>
      <c r="G12" s="4" t="s">
        <v>53</v>
      </c>
    </row>
    <row r="13" customFormat="false" ht="17.15" hidden="false" customHeight="false" outlineLevel="0" collapsed="false">
      <c r="A13" s="4" t="s">
        <v>493</v>
      </c>
      <c r="B13" s="0" t="s">
        <v>89</v>
      </c>
      <c r="C13" s="22" t="n">
        <f aca="false">PL!D148</f>
        <v>643.469405492234</v>
      </c>
      <c r="D13" s="22" t="n">
        <f aca="false">PL!E148</f>
        <v>624.165323327467</v>
      </c>
      <c r="E13" s="22" t="n">
        <f aca="false">PL!F148</f>
        <v>592.957057161093</v>
      </c>
      <c r="F13" s="22" t="n">
        <f aca="false">PL!G148</f>
        <v>581.097916017871</v>
      </c>
      <c r="G13" s="4" t="s">
        <v>53</v>
      </c>
    </row>
    <row r="14" customFormat="false" ht="17.15" hidden="false" customHeight="false" outlineLevel="0" collapsed="false">
      <c r="A14" s="4" t="s">
        <v>494</v>
      </c>
      <c r="B14" s="0" t="s">
        <v>184</v>
      </c>
      <c r="C14" s="9" t="n">
        <f aca="false">PL!D69</f>
        <v>58.65206</v>
      </c>
      <c r="D14" s="9" t="n">
        <f aca="false">PL!E69</f>
        <v>68.5504327532552</v>
      </c>
      <c r="E14" s="9" t="n">
        <f aca="false">PL!F69</f>
        <v>69.1854262356012</v>
      </c>
      <c r="F14" s="9" t="n">
        <f aca="false">PL!G69</f>
        <v>69.1339051735108</v>
      </c>
      <c r="G14" s="8" t="s">
        <v>485</v>
      </c>
    </row>
    <row r="15" customFormat="false" ht="17.15" hidden="false" customHeight="false" outlineLevel="0" collapsed="false">
      <c r="A15" s="4" t="s">
        <v>495</v>
      </c>
      <c r="B15" s="0" t="s">
        <v>184</v>
      </c>
      <c r="C15" s="9" t="n">
        <f aca="false">PL!D110</f>
        <v>58.65206</v>
      </c>
      <c r="D15" s="9" t="n">
        <f aca="false">PL!E110</f>
        <v>63.1045195255885</v>
      </c>
      <c r="E15" s="9" t="n">
        <f aca="false">PL!F110</f>
        <v>60.2998742133401</v>
      </c>
      <c r="F15" s="9" t="n">
        <f aca="false">PL!G110</f>
        <v>61.0010355414022</v>
      </c>
      <c r="G15" s="4" t="s">
        <v>53</v>
      </c>
    </row>
    <row r="16" customFormat="false" ht="17.15" hidden="false" customHeight="false" outlineLevel="0" collapsed="false">
      <c r="A16" s="4" t="s">
        <v>496</v>
      </c>
      <c r="B16" s="0" t="s">
        <v>184</v>
      </c>
      <c r="C16" s="9" t="n">
        <f aca="false">PL!D151</f>
        <v>58.65206</v>
      </c>
      <c r="D16" s="9" t="n">
        <f aca="false">PL!E151</f>
        <v>52.8253583083675</v>
      </c>
      <c r="E16" s="9" t="n">
        <f aca="false">PL!F151</f>
        <v>46.4202836134779</v>
      </c>
      <c r="F16" s="9" t="n">
        <f aca="false">PL!G151</f>
        <v>47.9508983704629</v>
      </c>
      <c r="G16" s="4" t="s">
        <v>53</v>
      </c>
    </row>
    <row r="18" customFormat="false" ht="17.15" hidden="false" customHeight="false" outlineLevel="0" collapsed="false">
      <c r="A18" s="6" t="s">
        <v>497</v>
      </c>
    </row>
    <row r="19" customFormat="false" ht="17.15" hidden="false" customHeight="false" outlineLevel="0" collapsed="false">
      <c r="A19" s="0" t="s">
        <v>498</v>
      </c>
      <c r="B19" s="4" t="s">
        <v>42</v>
      </c>
      <c r="C19" s="22" t="n">
        <f aca="false">PL!D73</f>
        <v>0</v>
      </c>
      <c r="D19" s="22" t="n">
        <f aca="false">PL!E73</f>
        <v>129.6</v>
      </c>
      <c r="E19" s="22" t="n">
        <f aca="false">PL!F73</f>
        <v>324</v>
      </c>
      <c r="F19" s="22" t="n">
        <f aca="false">PL!G73</f>
        <v>453.6</v>
      </c>
      <c r="G19" s="8" t="s">
        <v>485</v>
      </c>
    </row>
    <row r="20" customFormat="false" ht="17.15" hidden="false" customHeight="false" outlineLevel="0" collapsed="false">
      <c r="A20" s="0" t="s">
        <v>499</v>
      </c>
      <c r="B20" s="4" t="s">
        <v>42</v>
      </c>
      <c r="C20" s="22" t="n">
        <f aca="false">PL!D114</f>
        <v>0</v>
      </c>
      <c r="D20" s="22" t="n">
        <f aca="false">PL!E114</f>
        <v>115.2</v>
      </c>
      <c r="E20" s="22" t="n">
        <f aca="false">PL!F114</f>
        <v>288</v>
      </c>
      <c r="F20" s="22" t="n">
        <f aca="false">PL!G114</f>
        <v>403.2</v>
      </c>
      <c r="G20" s="4" t="s">
        <v>53</v>
      </c>
    </row>
    <row r="21" customFormat="false" ht="17.15" hidden="false" customHeight="false" outlineLevel="0" collapsed="false">
      <c r="A21" s="0" t="s">
        <v>500</v>
      </c>
      <c r="B21" s="4" t="s">
        <v>42</v>
      </c>
      <c r="C21" s="22" t="n">
        <f aca="false">PL!D155</f>
        <v>0</v>
      </c>
      <c r="D21" s="22" t="n">
        <f aca="false">PL!E155</f>
        <v>93.6</v>
      </c>
      <c r="E21" s="22" t="n">
        <f aca="false">PL!F155</f>
        <v>234</v>
      </c>
      <c r="F21" s="22" t="n">
        <f aca="false">PL!G155</f>
        <v>327.6</v>
      </c>
      <c r="G21" s="4" t="s">
        <v>53</v>
      </c>
    </row>
    <row r="22" customFormat="false" ht="17.15" hidden="false" customHeight="false" outlineLevel="0" collapsed="false">
      <c r="A22" s="0" t="s">
        <v>501</v>
      </c>
      <c r="B22" s="0" t="s">
        <v>184</v>
      </c>
      <c r="C22" s="9" t="n">
        <f aca="false">PL!D74</f>
        <v>0</v>
      </c>
      <c r="D22" s="9" t="n">
        <f aca="false">PL!E74</f>
        <v>7.46496</v>
      </c>
      <c r="E22" s="9" t="n">
        <f aca="false">PL!F74</f>
        <v>18.6624</v>
      </c>
      <c r="F22" s="9" t="n">
        <f aca="false">PL!G74</f>
        <v>26.12736</v>
      </c>
      <c r="G22" s="8" t="s">
        <v>485</v>
      </c>
    </row>
    <row r="23" customFormat="false" ht="17.15" hidden="false" customHeight="false" outlineLevel="0" collapsed="false">
      <c r="A23" s="0" t="s">
        <v>502</v>
      </c>
      <c r="B23" s="0" t="s">
        <v>184</v>
      </c>
      <c r="C23" s="9" t="n">
        <f aca="false">PL!D115</f>
        <v>0</v>
      </c>
      <c r="D23" s="9" t="n">
        <f aca="false">PL!E115</f>
        <v>6.63552</v>
      </c>
      <c r="E23" s="9" t="n">
        <f aca="false">PL!F115</f>
        <v>16.5888</v>
      </c>
      <c r="F23" s="9" t="n">
        <f aca="false">PL!G115</f>
        <v>23.22432</v>
      </c>
      <c r="G23" s="4" t="s">
        <v>53</v>
      </c>
    </row>
    <row r="24" customFormat="false" ht="17.15" hidden="false" customHeight="false" outlineLevel="0" collapsed="false">
      <c r="A24" s="0" t="s">
        <v>503</v>
      </c>
      <c r="B24" s="0" t="s">
        <v>184</v>
      </c>
      <c r="C24" s="9" t="n">
        <f aca="false">PL!D156</f>
        <v>0</v>
      </c>
      <c r="D24" s="9" t="n">
        <f aca="false">PL!E156</f>
        <v>5.39136</v>
      </c>
      <c r="E24" s="9" t="n">
        <f aca="false">PL!F156</f>
        <v>13.4784</v>
      </c>
      <c r="F24" s="9" t="n">
        <f aca="false">PL!G156</f>
        <v>18.86976</v>
      </c>
      <c r="G24" s="4" t="s">
        <v>53</v>
      </c>
    </row>
    <row r="25" customFormat="false" ht="17.15" hidden="false" customHeight="false" outlineLevel="0" collapsed="false">
      <c r="A25" s="0" t="s">
        <v>504</v>
      </c>
      <c r="B25" s="0" t="s">
        <v>48</v>
      </c>
      <c r="C25" s="20" t="n">
        <f aca="false">PL!D76</f>
        <v>0</v>
      </c>
      <c r="D25" s="20" t="n">
        <f aca="false">PL!E76</f>
        <v>0.0982032681753174</v>
      </c>
      <c r="E25" s="20" t="n">
        <f aca="false">PL!F76</f>
        <v>0.212440088727396</v>
      </c>
      <c r="F25" s="20" t="n">
        <f aca="false">PL!G76</f>
        <v>0.274270554274196</v>
      </c>
      <c r="G25" s="8" t="s">
        <v>485</v>
      </c>
    </row>
    <row r="26" customFormat="false" ht="17.15" hidden="false" customHeight="false" outlineLevel="0" collapsed="false">
      <c r="A26" s="0" t="s">
        <v>505</v>
      </c>
      <c r="B26" s="0" t="s">
        <v>48</v>
      </c>
      <c r="C26" s="20" t="n">
        <f aca="false">PL!D117</f>
        <v>0</v>
      </c>
      <c r="D26" s="20" t="n">
        <f aca="false">PL!E117</f>
        <v>0.0951464903825491</v>
      </c>
      <c r="E26" s="20" t="n">
        <f aca="false">PL!F117</f>
        <v>0.215750891398799</v>
      </c>
      <c r="F26" s="20" t="n">
        <f aca="false">PL!G117</f>
        <v>0.275740242955505</v>
      </c>
      <c r="G26" s="4" t="s">
        <v>53</v>
      </c>
    </row>
    <row r="27" customFormat="false" ht="17.15" hidden="false" customHeight="false" outlineLevel="0" collapsed="false">
      <c r="A27" s="0" t="s">
        <v>506</v>
      </c>
      <c r="B27" s="0" t="s">
        <v>48</v>
      </c>
      <c r="C27" s="20" t="n">
        <f aca="false">PL!D158</f>
        <v>0</v>
      </c>
      <c r="D27" s="20" t="n">
        <f aca="false">PL!E158</f>
        <v>0.0926084491991212</v>
      </c>
      <c r="E27" s="20" t="n">
        <f aca="false">PL!F158</f>
        <v>0.225019970171218</v>
      </c>
      <c r="F27" s="20" t="n">
        <f aca="false">PL!G158</f>
        <v>0.28239410475999</v>
      </c>
      <c r="G27" s="4" t="s">
        <v>53</v>
      </c>
    </row>
    <row r="28" customFormat="false" ht="17.15" hidden="false" customHeight="false" outlineLevel="0" collapsed="false">
      <c r="A28" s="0" t="s">
        <v>507</v>
      </c>
      <c r="B28" s="0" t="s">
        <v>48</v>
      </c>
      <c r="C28" s="20" t="n">
        <f aca="false">PL!D77</f>
        <v>0.1</v>
      </c>
      <c r="D28" s="20" t="n">
        <f aca="false">PL!E77</f>
        <v>0.25</v>
      </c>
      <c r="E28" s="20" t="n">
        <f aca="false">PL!F77</f>
        <v>0.25</v>
      </c>
      <c r="F28" s="20" t="n">
        <f aca="false">PL!G77</f>
        <v>0.25</v>
      </c>
      <c r="G28" s="8" t="s">
        <v>485</v>
      </c>
    </row>
    <row r="29" customFormat="false" ht="17.15" hidden="false" customHeight="false" outlineLevel="0" collapsed="false">
      <c r="A29" s="0" t="s">
        <v>508</v>
      </c>
      <c r="B29" s="0" t="s">
        <v>48</v>
      </c>
      <c r="C29" s="20" t="n">
        <f aca="false">PL!D118</f>
        <v>0.1</v>
      </c>
      <c r="D29" s="20" t="n">
        <f aca="false">PL!E118</f>
        <v>0.2</v>
      </c>
      <c r="E29" s="20" t="n">
        <f aca="false">PL!F118</f>
        <v>0.2</v>
      </c>
      <c r="F29" s="20" t="n">
        <f aca="false">PL!G118</f>
        <v>0.2</v>
      </c>
      <c r="G29" s="4" t="s">
        <v>53</v>
      </c>
    </row>
    <row r="30" customFormat="false" ht="17.15" hidden="false" customHeight="false" outlineLevel="0" collapsed="false">
      <c r="A30" s="0" t="s">
        <v>509</v>
      </c>
      <c r="B30" s="0" t="s">
        <v>48</v>
      </c>
      <c r="C30" s="20" t="n">
        <f aca="false">PL!D159</f>
        <v>0.1</v>
      </c>
      <c r="D30" s="20" t="n">
        <f aca="false">PL!E159</f>
        <v>0.15</v>
      </c>
      <c r="E30" s="20" t="n">
        <f aca="false">PL!F159</f>
        <v>0.15</v>
      </c>
      <c r="F30" s="20" t="n">
        <f aca="false">PL!G159</f>
        <v>0.15</v>
      </c>
      <c r="G30" s="4" t="s">
        <v>53</v>
      </c>
    </row>
    <row r="32" customFormat="false" ht="17.15" hidden="false" customHeight="false" outlineLevel="0" collapsed="false">
      <c r="A32" s="6" t="s">
        <v>510</v>
      </c>
    </row>
    <row r="33" customFormat="false" ht="17.15" hidden="false" customHeight="false" outlineLevel="0" collapsed="false">
      <c r="A33" s="0" t="s">
        <v>511</v>
      </c>
      <c r="C33" s="22" t="n">
        <f aca="false">PL!D66</f>
        <v>643.469405492234</v>
      </c>
      <c r="G33" s="4" t="s">
        <v>512</v>
      </c>
    </row>
    <row r="34" customFormat="false" ht="17.15" hidden="false" customHeight="false" outlineLevel="0" collapsed="false">
      <c r="A34" s="0" t="s">
        <v>513</v>
      </c>
      <c r="C34" s="23" t="n">
        <f aca="false">PL!D81</f>
        <v>10.7339918911001</v>
      </c>
      <c r="G34" s="4" t="s">
        <v>514</v>
      </c>
    </row>
    <row r="35" customFormat="false" ht="17.15" hidden="false" customHeight="false" outlineLevel="0" collapsed="false">
      <c r="A35" s="0" t="s">
        <v>515</v>
      </c>
      <c r="C35" s="23" t="n">
        <f aca="false">PL!D80</f>
        <v>8.658</v>
      </c>
      <c r="G35" s="4" t="s">
        <v>516</v>
      </c>
    </row>
    <row r="37" customFormat="false" ht="17.15" hidden="false" customHeight="false" outlineLevel="0" collapsed="false">
      <c r="A37" s="1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518</v>
      </c>
    </row>
    <row r="2" customFormat="false" ht="17.15" hidden="false" customHeight="false" outlineLevel="0" collapsed="false">
      <c r="A2" s="4" t="s">
        <v>519</v>
      </c>
    </row>
    <row r="3" customFormat="false" ht="17.15" hidden="false" customHeight="false" outlineLevel="0" collapsed="false">
      <c r="A3" s="5" t="s">
        <v>520</v>
      </c>
      <c r="B3" s="5" t="s">
        <v>25</v>
      </c>
      <c r="C3" s="17" t="s">
        <v>394</v>
      </c>
      <c r="D3" s="17" t="s">
        <v>521</v>
      </c>
      <c r="E3" s="17" t="s">
        <v>480</v>
      </c>
      <c r="F3" s="17" t="s">
        <v>481</v>
      </c>
      <c r="G3" s="17" t="s">
        <v>482</v>
      </c>
      <c r="H3" s="17" t="s">
        <v>522</v>
      </c>
      <c r="I3" s="17" t="s">
        <v>523</v>
      </c>
      <c r="J3" s="17" t="s">
        <v>524</v>
      </c>
      <c r="K3" s="5" t="s">
        <v>357</v>
      </c>
    </row>
    <row r="4" customFormat="false" ht="17.15" hidden="false" customHeight="false" outlineLevel="0" collapsed="false">
      <c r="A4" s="1" t="s">
        <v>525</v>
      </c>
    </row>
    <row r="5" customFormat="false" ht="15" hidden="false" customHeight="false" outlineLevel="0" collapsed="false">
      <c r="A5" s="4" t="s">
        <v>400</v>
      </c>
      <c r="B5" s="0" t="s">
        <v>184</v>
      </c>
      <c r="C5" s="9" t="n">
        <f aca="false">C75</f>
        <v>48.591</v>
      </c>
      <c r="D5" s="9" t="n">
        <f aca="false">D75</f>
        <v>58.65206</v>
      </c>
      <c r="E5" s="9" t="n">
        <f aca="false">E75</f>
        <v>76.0153927532552</v>
      </c>
      <c r="F5" s="9" t="n">
        <f aca="false">F75</f>
        <v>87.8478262356012</v>
      </c>
      <c r="G5" s="9" t="n">
        <f aca="false">G75</f>
        <v>95.2612651735108</v>
      </c>
      <c r="H5" s="26" t="n">
        <f aca="false">H75</f>
        <v>102.525860976128</v>
      </c>
      <c r="I5" s="26" t="n">
        <f aca="false">I75</f>
        <v>109.51093266638</v>
      </c>
      <c r="J5" s="26" t="n">
        <f aca="false">J75</f>
        <v>116.081588626363</v>
      </c>
    </row>
    <row r="6" customFormat="false" ht="15" hidden="false" customHeight="false" outlineLevel="0" collapsed="false">
      <c r="A6" s="4" t="s">
        <v>526</v>
      </c>
      <c r="B6" s="0" t="s">
        <v>48</v>
      </c>
      <c r="D6" s="20" t="n">
        <f aca="false">D78</f>
        <v>0.207056039184211</v>
      </c>
      <c r="E6" s="20" t="n">
        <f aca="false">E78</f>
        <v>0.296039606337019</v>
      </c>
      <c r="F6" s="20" t="n">
        <f aca="false">F78</f>
        <v>0.155658387778826</v>
      </c>
      <c r="G6" s="20" t="n">
        <f aca="false">G78</f>
        <v>0.0843895547059683</v>
      </c>
      <c r="H6" s="27" t="n">
        <f aca="false">H78</f>
        <v>0.0762597031373122</v>
      </c>
      <c r="I6" s="27" t="n">
        <f aca="false">I78</f>
        <v>0.0681298515686561</v>
      </c>
      <c r="J6" s="27" t="n">
        <f aca="false">J78</f>
        <v>0.06</v>
      </c>
    </row>
    <row r="7" customFormat="false" ht="17.15" hidden="false" customHeight="false" outlineLevel="0" collapsed="false">
      <c r="A7" s="0" t="s">
        <v>527</v>
      </c>
      <c r="B7" s="0" t="s">
        <v>184</v>
      </c>
      <c r="D7" s="9" t="n">
        <f aca="false">D69</f>
        <v>58.65206</v>
      </c>
      <c r="E7" s="9" t="n">
        <f aca="false">E69</f>
        <v>68.5504327532552</v>
      </c>
      <c r="F7" s="9" t="n">
        <f aca="false">F69</f>
        <v>69.1854262356012</v>
      </c>
      <c r="G7" s="9" t="n">
        <f aca="false">G69</f>
        <v>69.1339051735108</v>
      </c>
    </row>
    <row r="8" customFormat="false" ht="17.15" hidden="false" customHeight="false" outlineLevel="0" collapsed="false">
      <c r="A8" s="0" t="s">
        <v>528</v>
      </c>
      <c r="B8" s="0" t="s">
        <v>184</v>
      </c>
      <c r="D8" s="9" t="n">
        <f aca="false">D74</f>
        <v>0</v>
      </c>
      <c r="E8" s="9" t="n">
        <f aca="false">E74</f>
        <v>7.46496</v>
      </c>
      <c r="F8" s="9" t="n">
        <f aca="false">F74</f>
        <v>18.6624</v>
      </c>
      <c r="G8" s="9" t="n">
        <f aca="false">G74</f>
        <v>26.12736</v>
      </c>
    </row>
    <row r="9" customFormat="false" ht="17.15" hidden="false" customHeight="false" outlineLevel="0" collapsed="false">
      <c r="A9" s="0" t="s">
        <v>529</v>
      </c>
      <c r="B9" s="0" t="s">
        <v>48</v>
      </c>
      <c r="D9" s="20" t="n">
        <f aca="false">D77</f>
        <v>0.1</v>
      </c>
      <c r="E9" s="20" t="n">
        <f aca="false">E77</f>
        <v>0.25</v>
      </c>
      <c r="F9" s="20" t="n">
        <f aca="false">F77</f>
        <v>0.25</v>
      </c>
      <c r="G9" s="20" t="n">
        <f aca="false">G77</f>
        <v>0.25</v>
      </c>
    </row>
    <row r="10" customFormat="false" ht="15" hidden="false" customHeight="false" outlineLevel="0" collapsed="false">
      <c r="A10" s="4" t="s">
        <v>407</v>
      </c>
      <c r="B10" s="0" t="s">
        <v>48</v>
      </c>
      <c r="D10" s="20" t="n">
        <f aca="false">D64</f>
        <v>0.8725</v>
      </c>
      <c r="E10" s="20" t="n">
        <f aca="false">E64</f>
        <v>0.95</v>
      </c>
      <c r="F10" s="20" t="n">
        <f aca="false">F64</f>
        <v>0.94</v>
      </c>
      <c r="G10" s="20" t="n">
        <f aca="false">G64</f>
        <v>0.93</v>
      </c>
    </row>
    <row r="11" customFormat="false" ht="17.15" hidden="false" customHeight="false" outlineLevel="0" collapsed="false">
      <c r="A11" s="4" t="s">
        <v>530</v>
      </c>
      <c r="B11" s="0" t="s">
        <v>89</v>
      </c>
      <c r="D11" s="22" t="n">
        <f aca="false">D66</f>
        <v>643.469405492234</v>
      </c>
      <c r="E11" s="22" t="n">
        <f aca="false">E66</f>
        <v>682.077569821768</v>
      </c>
      <c r="F11" s="22" t="n">
        <f aca="false">F66</f>
        <v>695.719121218203</v>
      </c>
      <c r="G11" s="22" t="n">
        <f aca="false">G66</f>
        <v>702.676312430385</v>
      </c>
    </row>
    <row r="12" customFormat="false" ht="15" hidden="false" customHeight="false" outlineLevel="0" collapsed="false">
      <c r="A12" s="4" t="s">
        <v>420</v>
      </c>
      <c r="B12" s="0" t="s">
        <v>48</v>
      </c>
      <c r="C12" s="16" t="n">
        <f aca="false">C86</f>
        <v>0.280998538824062</v>
      </c>
      <c r="D12" s="16" t="n">
        <f aca="false">D86</f>
        <v>0.324490246378388</v>
      </c>
      <c r="E12" s="16" t="n">
        <f aca="false">E86</f>
        <v>0.33702973208847</v>
      </c>
      <c r="F12" s="16" t="n">
        <f aca="false">F86</f>
        <v>0.331445772392947</v>
      </c>
      <c r="G12" s="16" t="n">
        <f aca="false">G86</f>
        <v>0.331164146097773</v>
      </c>
    </row>
    <row r="13" customFormat="false" ht="15" hidden="false" customHeight="false" outlineLevel="0" collapsed="false">
      <c r="A13" s="4" t="s">
        <v>531</v>
      </c>
      <c r="B13" s="0" t="s">
        <v>48</v>
      </c>
      <c r="C13" s="16" t="n">
        <f aca="false">C89</f>
        <v>0.159967895289251</v>
      </c>
      <c r="D13" s="16" t="n">
        <f aca="false">D89</f>
        <v>0.208139908470393</v>
      </c>
      <c r="E13" s="16" t="n">
        <f aca="false">E89</f>
        <v>0.233967687247695</v>
      </c>
      <c r="F13" s="16" t="n">
        <f aca="false">F89</f>
        <v>0.235324564009881</v>
      </c>
      <c r="G13" s="16" t="n">
        <f aca="false">G89</f>
        <v>0.238783118509535</v>
      </c>
    </row>
    <row r="14" customFormat="false" ht="15" hidden="false" customHeight="false" outlineLevel="0" collapsed="false">
      <c r="A14" s="4" t="s">
        <v>435</v>
      </c>
      <c r="B14" s="0" t="s">
        <v>184</v>
      </c>
      <c r="C14" s="9" t="n">
        <f aca="false">C94</f>
        <v>7.908</v>
      </c>
      <c r="D14" s="9" t="n">
        <f aca="false">D94</f>
        <v>12.2375212108949</v>
      </c>
      <c r="E14" s="9" t="n">
        <f aca="false">E94</f>
        <v>16.2654694720487</v>
      </c>
      <c r="F14" s="9" t="n">
        <f aca="false">F94</f>
        <v>17.5777954968923</v>
      </c>
      <c r="G14" s="9" t="n">
        <f aca="false">G94</f>
        <v>18.3889390756005</v>
      </c>
      <c r="H14" s="26" t="n">
        <f aca="false">H94</f>
        <v>19.7912741105159</v>
      </c>
      <c r="I14" s="26" t="n">
        <f aca="false">I94</f>
        <v>21.1396506780199</v>
      </c>
      <c r="J14" s="26" t="n">
        <f aca="false">J94</f>
        <v>22.4080297187011</v>
      </c>
    </row>
    <row r="15" customFormat="false" ht="15" hidden="false" customHeight="false" outlineLevel="0" collapsed="false">
      <c r="A15" s="4" t="s">
        <v>532</v>
      </c>
      <c r="B15" s="0" t="s">
        <v>48</v>
      </c>
      <c r="C15" s="16" t="n">
        <f aca="false">C98</f>
        <v>0.162746187565599</v>
      </c>
      <c r="D15" s="16" t="n">
        <f aca="false">D98</f>
        <v>0.208646059676249</v>
      </c>
      <c r="E15" s="16" t="n">
        <f aca="false">E98</f>
        <v>0.213975997267371</v>
      </c>
      <c r="F15" s="16" t="n">
        <f aca="false">F98</f>
        <v>0.200093687574579</v>
      </c>
      <c r="G15" s="16" t="n">
        <f aca="false">G98</f>
        <v>0.193036897443116</v>
      </c>
      <c r="H15" s="28" t="n">
        <f aca="false">H98</f>
        <v>0.193036897443116</v>
      </c>
      <c r="I15" s="28" t="n">
        <f aca="false">I98</f>
        <v>0.193036897443116</v>
      </c>
      <c r="J15" s="28" t="n">
        <f aca="false">J98</f>
        <v>0.193036897443116</v>
      </c>
    </row>
    <row r="16" customFormat="false" ht="15" hidden="false" customHeight="false" outlineLevel="0" collapsed="false">
      <c r="A16" s="0" t="s">
        <v>533</v>
      </c>
      <c r="B16" s="0" t="s">
        <v>274</v>
      </c>
      <c r="C16" s="23" t="n">
        <f aca="false">C96</f>
        <v>4.22</v>
      </c>
      <c r="D16" s="23" t="n">
        <f aca="false">D96</f>
        <v>6.42006747150118</v>
      </c>
      <c r="E16" s="23" t="n">
        <f aca="false">E96</f>
        <v>8.52912012651965</v>
      </c>
      <c r="F16" s="23" t="n">
        <f aca="false">F96</f>
        <v>9.2172641933284</v>
      </c>
      <c r="G16" s="23" t="n">
        <f aca="false">G96</f>
        <v>9.64260334720563</v>
      </c>
      <c r="H16" s="29" t="n">
        <f aca="false">H96</f>
        <v>10.3779454159344</v>
      </c>
      <c r="I16" s="29" t="n">
        <f aca="false">I96</f>
        <v>11.0849932967096</v>
      </c>
      <c r="J16" s="29" t="n">
        <f aca="false">J96</f>
        <v>11.7500928945122</v>
      </c>
    </row>
    <row r="17" customFormat="false" ht="17.15" hidden="false" customHeight="false" outlineLevel="0" collapsed="false">
      <c r="A17" s="0" t="s">
        <v>534</v>
      </c>
      <c r="B17" s="0" t="s">
        <v>48</v>
      </c>
      <c r="D17" s="20" t="n">
        <f aca="false">D97</f>
        <v>0.521343002725398</v>
      </c>
      <c r="E17" s="20" t="n">
        <f aca="false">E97</f>
        <v>0.32850942211754</v>
      </c>
      <c r="F17" s="20" t="n">
        <f aca="false">F97</f>
        <v>0.0806817182312982</v>
      </c>
      <c r="G17" s="20" t="n">
        <f aca="false">G97</f>
        <v>0.0461459219304032</v>
      </c>
      <c r="H17" s="27" t="n">
        <f aca="false">H97</f>
        <v>0.076259703137312</v>
      </c>
      <c r="I17" s="27" t="n">
        <f aca="false">I97</f>
        <v>0.0681298515686561</v>
      </c>
      <c r="J17" s="27" t="n">
        <f aca="false">J97</f>
        <v>0.0600000000000001</v>
      </c>
    </row>
    <row r="19" customFormat="false" ht="17.15" hidden="false" customHeight="false" outlineLevel="0" collapsed="false">
      <c r="A19" s="1" t="s">
        <v>535</v>
      </c>
    </row>
    <row r="20" customFormat="false" ht="15" hidden="false" customHeight="false" outlineLevel="0" collapsed="false">
      <c r="A20" s="4" t="s">
        <v>400</v>
      </c>
      <c r="B20" s="0" t="s">
        <v>184</v>
      </c>
      <c r="C20" s="9" t="n">
        <f aca="false">C116</f>
        <v>48.591</v>
      </c>
      <c r="D20" s="9" t="n">
        <f aca="false">D116</f>
        <v>58.65206</v>
      </c>
      <c r="E20" s="9" t="n">
        <f aca="false">E116</f>
        <v>69.7400395255885</v>
      </c>
      <c r="F20" s="9" t="n">
        <f aca="false">F116</f>
        <v>76.8886742133401</v>
      </c>
      <c r="G20" s="9" t="n">
        <f aca="false">G116</f>
        <v>84.2253555414022</v>
      </c>
      <c r="H20" s="26" t="n">
        <f aca="false">H116</f>
        <v>90.7061896343453</v>
      </c>
      <c r="I20" s="26" t="n">
        <f aca="false">I116</f>
        <v>96.0100687533499</v>
      </c>
      <c r="J20" s="26" t="n">
        <f aca="false">J116</f>
        <v>99.8504715034839</v>
      </c>
    </row>
    <row r="21" customFormat="false" ht="15" hidden="false" customHeight="false" outlineLevel="0" collapsed="false">
      <c r="A21" s="4" t="s">
        <v>526</v>
      </c>
      <c r="B21" s="0" t="s">
        <v>48</v>
      </c>
      <c r="D21" s="20" t="n">
        <f aca="false">D119</f>
        <v>0.207056039184211</v>
      </c>
      <c r="E21" s="20" t="n">
        <f aca="false">E119</f>
        <v>0.189046719340949</v>
      </c>
      <c r="F21" s="20" t="n">
        <f aca="false">F119</f>
        <v>0.10250402403527</v>
      </c>
      <c r="G21" s="20" t="n">
        <f aca="false">G119</f>
        <v>0.095419532240929</v>
      </c>
      <c r="H21" s="27" t="n">
        <f aca="false">H119</f>
        <v>0.076946354827286</v>
      </c>
      <c r="I21" s="27" t="n">
        <f aca="false">I119</f>
        <v>0.058473177413643</v>
      </c>
      <c r="J21" s="27" t="n">
        <f aca="false">J119</f>
        <v>0.04</v>
      </c>
    </row>
    <row r="22" customFormat="false" ht="17.15" hidden="false" customHeight="false" outlineLevel="0" collapsed="false">
      <c r="A22" s="0" t="s">
        <v>527</v>
      </c>
      <c r="B22" s="0" t="s">
        <v>184</v>
      </c>
      <c r="D22" s="9" t="n">
        <f aca="false">D110</f>
        <v>58.65206</v>
      </c>
      <c r="E22" s="9" t="n">
        <f aca="false">E110</f>
        <v>63.1045195255885</v>
      </c>
      <c r="F22" s="9" t="n">
        <f aca="false">F110</f>
        <v>60.2998742133401</v>
      </c>
      <c r="G22" s="9" t="n">
        <f aca="false">G110</f>
        <v>61.0010355414022</v>
      </c>
    </row>
    <row r="23" customFormat="false" ht="17.15" hidden="false" customHeight="false" outlineLevel="0" collapsed="false">
      <c r="A23" s="0" t="s">
        <v>528</v>
      </c>
      <c r="B23" s="0" t="s">
        <v>184</v>
      </c>
      <c r="D23" s="9" t="n">
        <f aca="false">D115</f>
        <v>0</v>
      </c>
      <c r="E23" s="9" t="n">
        <f aca="false">E115</f>
        <v>6.63552</v>
      </c>
      <c r="F23" s="9" t="n">
        <f aca="false">F115</f>
        <v>16.5888</v>
      </c>
      <c r="G23" s="9" t="n">
        <f aca="false">G115</f>
        <v>23.22432</v>
      </c>
    </row>
    <row r="24" customFormat="false" ht="17.15" hidden="false" customHeight="false" outlineLevel="0" collapsed="false">
      <c r="A24" s="0" t="s">
        <v>529</v>
      </c>
      <c r="B24" s="0" t="s">
        <v>48</v>
      </c>
      <c r="D24" s="20" t="n">
        <f aca="false">D118</f>
        <v>0.1</v>
      </c>
      <c r="E24" s="20" t="n">
        <f aca="false">E118</f>
        <v>0.2</v>
      </c>
      <c r="F24" s="20" t="n">
        <f aca="false">F118</f>
        <v>0.2</v>
      </c>
      <c r="G24" s="20" t="n">
        <f aca="false">G118</f>
        <v>0.2</v>
      </c>
    </row>
    <row r="25" customFormat="false" ht="15" hidden="false" customHeight="false" outlineLevel="0" collapsed="false">
      <c r="A25" s="4" t="s">
        <v>407</v>
      </c>
      <c r="B25" s="0" t="s">
        <v>48</v>
      </c>
      <c r="D25" s="20" t="n">
        <f aca="false">D105</f>
        <v>0.8725</v>
      </c>
      <c r="E25" s="20" t="n">
        <f aca="false">E105</f>
        <v>0.9</v>
      </c>
      <c r="F25" s="20" t="n">
        <f aca="false">F105</f>
        <v>0.86</v>
      </c>
      <c r="G25" s="20" t="n">
        <f aca="false">G105</f>
        <v>0.87</v>
      </c>
    </row>
    <row r="26" customFormat="false" ht="17.15" hidden="false" customHeight="false" outlineLevel="0" collapsed="false">
      <c r="A26" s="4" t="s">
        <v>530</v>
      </c>
      <c r="B26" s="0" t="s">
        <v>89</v>
      </c>
      <c r="D26" s="22" t="n">
        <f aca="false">D107</f>
        <v>643.469405492234</v>
      </c>
      <c r="E26" s="22" t="n">
        <f aca="false">E107</f>
        <v>662.773487657001</v>
      </c>
      <c r="F26" s="22" t="n">
        <f aca="false">F107</f>
        <v>662.773487657001</v>
      </c>
      <c r="G26" s="22" t="n">
        <f aca="false">G107</f>
        <v>662.773487657001</v>
      </c>
    </row>
    <row r="27" customFormat="false" ht="15" hidden="false" customHeight="false" outlineLevel="0" collapsed="false">
      <c r="A27" s="4" t="s">
        <v>420</v>
      </c>
      <c r="B27" s="0" t="s">
        <v>48</v>
      </c>
      <c r="C27" s="16" t="n">
        <f aca="false">C127</f>
        <v>0.280998538824062</v>
      </c>
      <c r="D27" s="16" t="n">
        <f aca="false">D127</f>
        <v>0.324490246378388</v>
      </c>
      <c r="E27" s="16" t="n">
        <f aca="false">E127</f>
        <v>0.305109171260883</v>
      </c>
      <c r="F27" s="16" t="n">
        <f aca="false">F127</f>
        <v>0.27888416089455</v>
      </c>
      <c r="G27" s="16" t="n">
        <f aca="false">G127</f>
        <v>0.27690357294284</v>
      </c>
    </row>
    <row r="28" customFormat="false" ht="15" hidden="false" customHeight="false" outlineLevel="0" collapsed="false">
      <c r="A28" s="4" t="s">
        <v>531</v>
      </c>
      <c r="B28" s="0" t="s">
        <v>48</v>
      </c>
      <c r="C28" s="16" t="n">
        <f aca="false">C130</f>
        <v>0.159967895289251</v>
      </c>
      <c r="D28" s="16" t="n">
        <f aca="false">D130</f>
        <v>0.208139908470393</v>
      </c>
      <c r="E28" s="16" t="n">
        <f aca="false">E130</f>
        <v>0.198008112341652</v>
      </c>
      <c r="F28" s="16" t="n">
        <f aca="false">F130</f>
        <v>0.176761899910893</v>
      </c>
      <c r="G28" s="16" t="n">
        <f aca="false">G130</f>
        <v>0.179229132217834</v>
      </c>
    </row>
    <row r="29" customFormat="false" ht="15" hidden="false" customHeight="false" outlineLevel="0" collapsed="false">
      <c r="A29" s="4" t="s">
        <v>435</v>
      </c>
      <c r="B29" s="0" t="s">
        <v>184</v>
      </c>
      <c r="C29" s="9" t="n">
        <f aca="false">C135</f>
        <v>7.908</v>
      </c>
      <c r="D29" s="9" t="n">
        <f aca="false">D135</f>
        <v>12.2375212108949</v>
      </c>
      <c r="E29" s="9" t="n">
        <f aca="false">E135</f>
        <v>13.1255333839299</v>
      </c>
      <c r="F29" s="9" t="n">
        <f aca="false">F135</f>
        <v>12.1505168752428</v>
      </c>
      <c r="G29" s="9" t="n">
        <f aca="false">G135</f>
        <v>12.6849633927605</v>
      </c>
      <c r="H29" s="26" t="n">
        <f aca="false">H135</f>
        <v>13.2056575840526</v>
      </c>
      <c r="I29" s="26" t="n">
        <f aca="false">I135</f>
        <v>13.4958400551449</v>
      </c>
      <c r="J29" s="26" t="n">
        <f aca="false">J135</f>
        <v>13.5343995981597</v>
      </c>
    </row>
    <row r="30" customFormat="false" ht="15" hidden="false" customHeight="false" outlineLevel="0" collapsed="false">
      <c r="A30" s="4" t="s">
        <v>532</v>
      </c>
      <c r="B30" s="0" t="s">
        <v>48</v>
      </c>
      <c r="C30" s="16" t="n">
        <f aca="false">C139</f>
        <v>0.162746187565599</v>
      </c>
      <c r="D30" s="16" t="n">
        <f aca="false">D139</f>
        <v>0.208646059676249</v>
      </c>
      <c r="E30" s="16" t="n">
        <f aca="false">E139</f>
        <v>0.18820656646049</v>
      </c>
      <c r="F30" s="16" t="n">
        <f aca="false">F139</f>
        <v>0.158027394795873</v>
      </c>
      <c r="G30" s="16" t="n">
        <f aca="false">G139</f>
        <v>0.150607418766252</v>
      </c>
      <c r="H30" s="28" t="n">
        <f aca="false">H139</f>
        <v>0.145587171474044</v>
      </c>
      <c r="I30" s="28" t="n">
        <f aca="false">I139</f>
        <v>0.140566924181836</v>
      </c>
      <c r="J30" s="28" t="n">
        <f aca="false">J139</f>
        <v>0.135546676889627</v>
      </c>
    </row>
    <row r="31" customFormat="false" ht="15" hidden="false" customHeight="false" outlineLevel="0" collapsed="false">
      <c r="A31" s="0" t="s">
        <v>533</v>
      </c>
      <c r="B31" s="0" t="s">
        <v>274</v>
      </c>
      <c r="C31" s="23" t="n">
        <f aca="false">C137</f>
        <v>4.22</v>
      </c>
      <c r="D31" s="23" t="n">
        <f aca="false">D137</f>
        <v>6.42006747150118</v>
      </c>
      <c r="E31" s="23" t="n">
        <f aca="false">E137</f>
        <v>6.8826326315733</v>
      </c>
      <c r="F31" s="23" t="n">
        <f aca="false">F137</f>
        <v>6.37136347071553</v>
      </c>
      <c r="G31" s="23" t="n">
        <f aca="false">G137</f>
        <v>6.65161105637187</v>
      </c>
      <c r="H31" s="29" t="n">
        <f aca="false">H137</f>
        <v>6.92464733819227</v>
      </c>
      <c r="I31" s="29" t="n">
        <f aca="false">I137</f>
        <v>7.07681024740374</v>
      </c>
      <c r="J31" s="29" t="n">
        <f aca="false">J137</f>
        <v>7.09702970525346</v>
      </c>
    </row>
    <row r="32" customFormat="false" ht="17.15" hidden="false" customHeight="false" outlineLevel="0" collapsed="false">
      <c r="A32" s="0" t="s">
        <v>534</v>
      </c>
      <c r="B32" s="0" t="s">
        <v>48</v>
      </c>
      <c r="D32" s="20" t="n">
        <f aca="false">D138</f>
        <v>0.521343002725398</v>
      </c>
      <c r="E32" s="20" t="n">
        <f aca="false">E138</f>
        <v>0.072049890772248</v>
      </c>
      <c r="F32" s="20" t="n">
        <f aca="false">F138</f>
        <v>-0.0742839532815368</v>
      </c>
      <c r="G32" s="20" t="n">
        <f aca="false">G138</f>
        <v>0.043985496502347</v>
      </c>
      <c r="H32" s="27" t="n">
        <f aca="false">H138</f>
        <v>0.0410481429997098</v>
      </c>
      <c r="I32" s="27" t="n">
        <f aca="false">I138</f>
        <v>0.0219741023304139</v>
      </c>
      <c r="J32" s="27" t="n">
        <f aca="false">J138</f>
        <v>0.00285714285714311</v>
      </c>
    </row>
    <row r="34" customFormat="false" ht="17.15" hidden="false" customHeight="false" outlineLevel="0" collapsed="false">
      <c r="A34" s="1" t="s">
        <v>536</v>
      </c>
    </row>
    <row r="35" customFormat="false" ht="15" hidden="false" customHeight="false" outlineLevel="0" collapsed="false">
      <c r="A35" s="4" t="s">
        <v>400</v>
      </c>
      <c r="B35" s="0" t="s">
        <v>184</v>
      </c>
      <c r="C35" s="9" t="n">
        <f aca="false">C157</f>
        <v>48.591</v>
      </c>
      <c r="D35" s="9" t="n">
        <f aca="false">D157</f>
        <v>58.65206</v>
      </c>
      <c r="E35" s="9" t="n">
        <f aca="false">E157</f>
        <v>58.2167183083675</v>
      </c>
      <c r="F35" s="9" t="n">
        <f aca="false">F157</f>
        <v>59.8986836134779</v>
      </c>
      <c r="G35" s="9" t="n">
        <f aca="false">G157</f>
        <v>66.8206583704629</v>
      </c>
      <c r="H35" s="26" t="n">
        <f aca="false">H157</f>
        <v>72.4140545845787</v>
      </c>
      <c r="I35" s="26" t="n">
        <f aca="false">I157</f>
        <v>76.1689980934585</v>
      </c>
      <c r="J35" s="26" t="n">
        <f aca="false">J157</f>
        <v>77.6923780553276</v>
      </c>
    </row>
    <row r="36" customFormat="false" ht="15" hidden="false" customHeight="false" outlineLevel="0" collapsed="false">
      <c r="A36" s="4" t="s">
        <v>526</v>
      </c>
      <c r="B36" s="0" t="s">
        <v>48</v>
      </c>
      <c r="D36" s="20" t="n">
        <f aca="false">D160</f>
        <v>0.207056039184211</v>
      </c>
      <c r="E36" s="20" t="n">
        <f aca="false">E160</f>
        <v>-0.0074224450365854</v>
      </c>
      <c r="F36" s="20" t="n">
        <f aca="false">F160</f>
        <v>0.028891448264075</v>
      </c>
      <c r="G36" s="20" t="n">
        <f aca="false">G160</f>
        <v>0.115561383646625</v>
      </c>
      <c r="H36" s="27" t="n">
        <f aca="false">H160</f>
        <v>0.0837075890977501</v>
      </c>
      <c r="I36" s="27" t="n">
        <f aca="false">I160</f>
        <v>0.0518537945488751</v>
      </c>
      <c r="J36" s="27" t="n">
        <f aca="false">J160</f>
        <v>0.02</v>
      </c>
    </row>
    <row r="37" customFormat="false" ht="17.15" hidden="false" customHeight="false" outlineLevel="0" collapsed="false">
      <c r="A37" s="0" t="s">
        <v>527</v>
      </c>
      <c r="B37" s="0" t="s">
        <v>184</v>
      </c>
      <c r="D37" s="9" t="n">
        <f aca="false">D151</f>
        <v>58.65206</v>
      </c>
      <c r="E37" s="9" t="n">
        <f aca="false">E151</f>
        <v>52.8253583083675</v>
      </c>
      <c r="F37" s="9" t="n">
        <f aca="false">F151</f>
        <v>46.4202836134779</v>
      </c>
      <c r="G37" s="9" t="n">
        <f aca="false">G151</f>
        <v>47.9508983704629</v>
      </c>
    </row>
    <row r="38" customFormat="false" ht="17.15" hidden="false" customHeight="false" outlineLevel="0" collapsed="false">
      <c r="A38" s="0" t="s">
        <v>528</v>
      </c>
      <c r="B38" s="0" t="s">
        <v>184</v>
      </c>
      <c r="D38" s="9" t="n">
        <f aca="false">D156</f>
        <v>0</v>
      </c>
      <c r="E38" s="9" t="n">
        <f aca="false">E156</f>
        <v>5.39136</v>
      </c>
      <c r="F38" s="9" t="n">
        <f aca="false">F156</f>
        <v>13.4784</v>
      </c>
      <c r="G38" s="9" t="n">
        <f aca="false">G156</f>
        <v>18.86976</v>
      </c>
    </row>
    <row r="39" customFormat="false" ht="17.15" hidden="false" customHeight="false" outlineLevel="0" collapsed="false">
      <c r="A39" s="0" t="s">
        <v>529</v>
      </c>
      <c r="B39" s="0" t="s">
        <v>48</v>
      </c>
      <c r="D39" s="20" t="n">
        <f aca="false">D159</f>
        <v>0.1</v>
      </c>
      <c r="E39" s="20" t="n">
        <f aca="false">E159</f>
        <v>0.15</v>
      </c>
      <c r="F39" s="20" t="n">
        <f aca="false">F159</f>
        <v>0.15</v>
      </c>
      <c r="G39" s="20" t="n">
        <f aca="false">G159</f>
        <v>0.15</v>
      </c>
    </row>
    <row r="40" customFormat="false" ht="15" hidden="false" customHeight="false" outlineLevel="0" collapsed="false">
      <c r="A40" s="4" t="s">
        <v>407</v>
      </c>
      <c r="B40" s="0" t="s">
        <v>48</v>
      </c>
      <c r="D40" s="20" t="n">
        <f aca="false">D146</f>
        <v>0.8725</v>
      </c>
      <c r="E40" s="20" t="n">
        <f aca="false">E146</f>
        <v>0.8</v>
      </c>
      <c r="F40" s="20" t="n">
        <f aca="false">F146</f>
        <v>0.74</v>
      </c>
      <c r="G40" s="20" t="n">
        <f aca="false">G146</f>
        <v>0.78</v>
      </c>
    </row>
    <row r="41" customFormat="false" ht="17.15" hidden="false" customHeight="false" outlineLevel="0" collapsed="false">
      <c r="A41" s="4" t="s">
        <v>530</v>
      </c>
      <c r="B41" s="0" t="s">
        <v>89</v>
      </c>
      <c r="D41" s="22" t="n">
        <f aca="false">D148</f>
        <v>643.469405492234</v>
      </c>
      <c r="E41" s="22" t="n">
        <f aca="false">E148</f>
        <v>624.165323327467</v>
      </c>
      <c r="F41" s="22" t="n">
        <f aca="false">F148</f>
        <v>592.957057161093</v>
      </c>
      <c r="G41" s="22" t="n">
        <f aca="false">G148</f>
        <v>581.097916017871</v>
      </c>
    </row>
    <row r="42" customFormat="false" ht="15" hidden="false" customHeight="false" outlineLevel="0" collapsed="false">
      <c r="A42" s="4" t="s">
        <v>420</v>
      </c>
      <c r="B42" s="0" t="s">
        <v>48</v>
      </c>
      <c r="C42" s="16" t="n">
        <f aca="false">C168</f>
        <v>0.280998538824062</v>
      </c>
      <c r="D42" s="16" t="n">
        <f aca="false">D168</f>
        <v>0.324490246378388</v>
      </c>
      <c r="E42" s="16" t="n">
        <f aca="false">E168</f>
        <v>0.238287208946306</v>
      </c>
      <c r="F42" s="16" t="n">
        <f aca="false">F168</f>
        <v>0.167002250737822</v>
      </c>
      <c r="G42" s="16" t="n">
        <f aca="false">G168</f>
        <v>0.156007931227611</v>
      </c>
    </row>
    <row r="43" customFormat="false" ht="15" hidden="false" customHeight="false" outlineLevel="0" collapsed="false">
      <c r="A43" s="4" t="s">
        <v>531</v>
      </c>
      <c r="B43" s="0" t="s">
        <v>48</v>
      </c>
      <c r="C43" s="16" t="n">
        <f aca="false">C171</f>
        <v>0.159967895289251</v>
      </c>
      <c r="D43" s="16" t="n">
        <f aca="false">D171</f>
        <v>0.208139908470393</v>
      </c>
      <c r="E43" s="16" t="n">
        <f aca="false">E171</f>
        <v>0.117550197066512</v>
      </c>
      <c r="F43" s="16" t="n">
        <f aca="false">F171</f>
        <v>0.046135153974598</v>
      </c>
      <c r="G43" s="16" t="n">
        <f aca="false">G171</f>
        <v>0.0414011663224375</v>
      </c>
    </row>
    <row r="44" customFormat="false" ht="15" hidden="false" customHeight="false" outlineLevel="0" collapsed="false">
      <c r="A44" s="4" t="s">
        <v>435</v>
      </c>
      <c r="B44" s="0" t="s">
        <v>184</v>
      </c>
      <c r="C44" s="9" t="n">
        <f aca="false">C176</f>
        <v>7.908</v>
      </c>
      <c r="D44" s="9" t="n">
        <f aca="false">D176</f>
        <v>12.2375212108949</v>
      </c>
      <c r="E44" s="9" t="n">
        <f aca="false">E176</f>
        <v>7.45849118325707</v>
      </c>
      <c r="F44" s="9" t="n">
        <f aca="false">F176</f>
        <v>3.62391974267601</v>
      </c>
      <c r="G44" s="9" t="n">
        <f aca="false">G176</f>
        <v>3.30569929232476</v>
      </c>
      <c r="H44" s="26" t="n">
        <f aca="false">H176</f>
        <v>3.34358398300958</v>
      </c>
      <c r="I44" s="26" t="n">
        <f aca="false">I176</f>
        <v>3.26574996421279</v>
      </c>
      <c r="J44" s="26" t="n">
        <f aca="false">J176</f>
        <v>3.0748291970742</v>
      </c>
    </row>
    <row r="45" customFormat="false" ht="15" hidden="false" customHeight="false" outlineLevel="0" collapsed="false">
      <c r="A45" s="4" t="s">
        <v>532</v>
      </c>
      <c r="B45" s="0" t="s">
        <v>48</v>
      </c>
      <c r="C45" s="16" t="n">
        <f aca="false">C180</f>
        <v>0.162746187565599</v>
      </c>
      <c r="D45" s="16" t="n">
        <f aca="false">D180</f>
        <v>0.208646059676249</v>
      </c>
      <c r="E45" s="16" t="n">
        <f aca="false">E180</f>
        <v>0.128115967371267</v>
      </c>
      <c r="F45" s="16" t="n">
        <f aca="false">F180</f>
        <v>0.0605008244598648</v>
      </c>
      <c r="G45" s="16" t="n">
        <f aca="false">G180</f>
        <v>0.0494712170298819</v>
      </c>
      <c r="H45" s="28" t="n">
        <f aca="false">H180</f>
        <v>0.0461731358945564</v>
      </c>
      <c r="I45" s="28" t="n">
        <f aca="false">I180</f>
        <v>0.042875054759231</v>
      </c>
      <c r="J45" s="28" t="n">
        <f aca="false">J180</f>
        <v>0.0395769736239055</v>
      </c>
    </row>
    <row r="46" customFormat="false" ht="15" hidden="false" customHeight="false" outlineLevel="0" collapsed="false">
      <c r="A46" s="0" t="s">
        <v>533</v>
      </c>
      <c r="B46" s="0" t="s">
        <v>274</v>
      </c>
      <c r="C46" s="23" t="n">
        <f aca="false">C178</f>
        <v>4.22</v>
      </c>
      <c r="D46" s="23" t="n">
        <f aca="false">D178</f>
        <v>6.42006747150118</v>
      </c>
      <c r="E46" s="23" t="n">
        <f aca="false">E178</f>
        <v>3.91100714147261</v>
      </c>
      <c r="F46" s="23" t="n">
        <f aca="false">F178</f>
        <v>1.90027388187381</v>
      </c>
      <c r="G46" s="23" t="n">
        <f aca="false">G178</f>
        <v>1.73340870454677</v>
      </c>
      <c r="H46" s="29" t="n">
        <f aca="false">H178</f>
        <v>1.7532742902504</v>
      </c>
      <c r="I46" s="29" t="n">
        <f aca="false">I178</f>
        <v>1.71246048543595</v>
      </c>
      <c r="J46" s="29" t="n">
        <f aca="false">J178</f>
        <v>1.61234741090277</v>
      </c>
    </row>
    <row r="47" customFormat="false" ht="17.15" hidden="false" customHeight="false" outlineLevel="0" collapsed="false">
      <c r="A47" s="0" t="s">
        <v>534</v>
      </c>
      <c r="B47" s="0" t="s">
        <v>48</v>
      </c>
      <c r="D47" s="20" t="n">
        <f aca="false">D179</f>
        <v>0.521343002725398</v>
      </c>
      <c r="E47" s="20" t="n">
        <f aca="false">E179</f>
        <v>-0.390815258743984</v>
      </c>
      <c r="F47" s="20" t="n">
        <f aca="false">F179</f>
        <v>-0.514121602662609</v>
      </c>
      <c r="G47" s="20" t="n">
        <f aca="false">G179</f>
        <v>-0.0878111197121222</v>
      </c>
      <c r="H47" s="27" t="n">
        <f aca="false">H179</f>
        <v>0.0114604164912335</v>
      </c>
      <c r="I47" s="27" t="n">
        <f aca="false">I179</f>
        <v>-0.0232786193474733</v>
      </c>
      <c r="J47" s="27" t="n">
        <f aca="false">J179</f>
        <v>-0.0584615384615382</v>
      </c>
    </row>
    <row r="49" customFormat="false" ht="17.15" hidden="false" customHeight="false" outlineLevel="0" collapsed="false">
      <c r="A49" s="1" t="s">
        <v>537</v>
      </c>
    </row>
    <row r="50" customFormat="false" ht="17.15" hidden="false" customHeight="false" outlineLevel="0" collapsed="false">
      <c r="A50" s="4" t="s">
        <v>538</v>
      </c>
      <c r="D50" s="30" t="n">
        <f aca="false">ABS(D75-a26_rev)+ABS(D116-a26_rev)+ABS(D157-a26_rev)</f>
        <v>0</v>
      </c>
    </row>
    <row r="51" customFormat="false" ht="17.15" hidden="false" customHeight="false" outlineLevel="0" collapsed="false">
      <c r="A51" s="4" t="s">
        <v>539</v>
      </c>
      <c r="D51" s="30" t="n">
        <f aca="false">ABS(D85-a26_gp)+ABS(D126-a26_gp)+ABS(D167-a26_gp)</f>
        <v>0</v>
      </c>
    </row>
    <row r="52" customFormat="false" ht="17.15" hidden="false" customHeight="false" outlineLevel="0" collapsed="false">
      <c r="A52" s="4" t="s">
        <v>540</v>
      </c>
      <c r="D52" s="30" t="n">
        <f aca="false">ABS(D96-a26_eps)+ABS(D137-a26_eps)+ABS(D178-a26_eps)</f>
        <v>0</v>
      </c>
    </row>
    <row r="60" customFormat="false" ht="17.15" hidden="false" customHeight="false" outlineLevel="0" collapsed="false">
      <c r="A60" s="1" t="s">
        <v>541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7" t="s">
        <v>394</v>
      </c>
      <c r="D61" s="17" t="s">
        <v>521</v>
      </c>
      <c r="E61" s="17" t="s">
        <v>480</v>
      </c>
      <c r="F61" s="17" t="s">
        <v>481</v>
      </c>
      <c r="G61" s="17" t="s">
        <v>482</v>
      </c>
      <c r="H61" s="17" t="s">
        <v>522</v>
      </c>
      <c r="I61" s="17" t="s">
        <v>523</v>
      </c>
      <c r="J61" s="17" t="s">
        <v>524</v>
      </c>
      <c r="K61" s="5" t="s">
        <v>357</v>
      </c>
    </row>
    <row r="62" customFormat="false" ht="17.15" hidden="false" customHeight="false" outlineLevel="0" collapsed="false">
      <c r="A62" s="6" t="s">
        <v>542</v>
      </c>
    </row>
    <row r="63" customFormat="false" ht="17.15" hidden="false" customHeight="false" outlineLevel="0" collapsed="false">
      <c r="A63" s="4" t="s">
        <v>543</v>
      </c>
      <c r="B63" s="4" t="s">
        <v>42</v>
      </c>
      <c r="D63" s="22" t="n">
        <f aca="false">cap_26</f>
        <v>3306</v>
      </c>
      <c r="E63" s="22" t="n">
        <f aca="false">D63*(1+capg27)*cap_adj</f>
        <v>3306</v>
      </c>
      <c r="F63" s="22" t="n">
        <f aca="false">E63*(1+capg28)</f>
        <v>3306</v>
      </c>
      <c r="G63" s="22" t="n">
        <f aca="false">F63*(1+capg29)</f>
        <v>3306</v>
      </c>
    </row>
    <row r="64" customFormat="false" ht="15" hidden="false" customHeight="false" outlineLevel="0" collapsed="false">
      <c r="A64" s="4" t="s">
        <v>544</v>
      </c>
      <c r="B64" s="0" t="s">
        <v>48</v>
      </c>
      <c r="D64" s="20" t="n">
        <f aca="false">a26_ship/cap_26</f>
        <v>0.8725</v>
      </c>
      <c r="E64" s="20" t="n">
        <f aca="false">MIN(0.98,ut27_A+ut_adj)</f>
        <v>0.95</v>
      </c>
      <c r="F64" s="20" t="n">
        <f aca="false">MIN(0.98,ut28_A+ut_adj)</f>
        <v>0.94</v>
      </c>
      <c r="G64" s="20" t="n">
        <f aca="false">MIN(0.98,ut29_A+ut_adj)</f>
        <v>0.93</v>
      </c>
    </row>
    <row r="65" customFormat="false" ht="17.15" hidden="false" customHeight="false" outlineLevel="0" collapsed="false">
      <c r="A65" s="4" t="s">
        <v>545</v>
      </c>
      <c r="B65" s="4" t="s">
        <v>42</v>
      </c>
      <c r="D65" s="22" t="n">
        <f aca="false">D63*D64</f>
        <v>2884.485</v>
      </c>
      <c r="E65" s="22" t="n">
        <f aca="false">E63*E64</f>
        <v>3140.7</v>
      </c>
      <c r="F65" s="22" t="n">
        <f aca="false">F63*F64</f>
        <v>3107.64</v>
      </c>
      <c r="G65" s="22" t="n">
        <f aca="false">G63*G64</f>
        <v>3074.58</v>
      </c>
    </row>
    <row r="66" customFormat="false" ht="17.15" hidden="false" customHeight="false" outlineLevel="0" collapsed="false">
      <c r="A66" s="4" t="s">
        <v>546</v>
      </c>
      <c r="B66" s="0" t="s">
        <v>89</v>
      </c>
      <c r="D66" s="22" t="n">
        <f aca="false">asp_26</f>
        <v>643.469405492234</v>
      </c>
      <c r="E66" s="22" t="n">
        <f aca="false">D66*(1+asp27_A)*(1+asp_adj)</f>
        <v>682.077569821768</v>
      </c>
      <c r="F66" s="22" t="n">
        <f aca="false">E66*(1+asp28_A)</f>
        <v>695.719121218203</v>
      </c>
      <c r="G66" s="22" t="n">
        <f aca="false">F66*(1+asp29_A)</f>
        <v>702.676312430385</v>
      </c>
    </row>
    <row r="67" customFormat="false" ht="15" hidden="false" customHeight="false" outlineLevel="0" collapsed="false">
      <c r="A67" s="4" t="s">
        <v>547</v>
      </c>
      <c r="B67" s="0" t="s">
        <v>48</v>
      </c>
      <c r="E67" s="20" t="n">
        <f aca="false">E66/D66-1</f>
        <v>0.0600000000000001</v>
      </c>
      <c r="F67" s="20" t="n">
        <f aca="false">F66/E66-1</f>
        <v>0.02</v>
      </c>
      <c r="G67" s="20" t="n">
        <f aca="false">G66/F66-1</f>
        <v>0.01</v>
      </c>
    </row>
    <row r="68" customFormat="false" ht="15" hidden="false" customHeight="false" outlineLevel="0" collapsed="false">
      <c r="A68" s="4" t="s">
        <v>548</v>
      </c>
      <c r="B68" s="0" t="s">
        <v>35</v>
      </c>
      <c r="D68" s="23" t="n">
        <f aca="false">fx_26</f>
        <v>31.6</v>
      </c>
      <c r="E68" s="23" t="n">
        <f aca="false">fx</f>
        <v>32</v>
      </c>
      <c r="F68" s="23" t="n">
        <f aca="false">fx</f>
        <v>32</v>
      </c>
      <c r="G68" s="23" t="n">
        <f aca="false">fx</f>
        <v>32</v>
      </c>
    </row>
    <row r="69" customFormat="false" ht="17.15" hidden="false" customHeight="false" outlineLevel="0" collapsed="false">
      <c r="A69" s="0" t="s">
        <v>549</v>
      </c>
      <c r="B69" s="0" t="s">
        <v>184</v>
      </c>
      <c r="D69" s="23" t="n">
        <f aca="false">D65*D66*D68/1000000</f>
        <v>58.65206</v>
      </c>
      <c r="E69" s="23" t="n">
        <f aca="false">E65*E66*E68/1000000</f>
        <v>68.5504327532552</v>
      </c>
      <c r="F69" s="23" t="n">
        <f aca="false">F65*F66*F68/1000000</f>
        <v>69.1854262356012</v>
      </c>
      <c r="G69" s="23" t="n">
        <f aca="false">G65*G66*G68/1000000</f>
        <v>69.1339051735108</v>
      </c>
    </row>
    <row r="70" customFormat="false" ht="17.15" hidden="false" customHeight="false" outlineLevel="0" collapsed="false">
      <c r="A70" s="6" t="s">
        <v>550</v>
      </c>
    </row>
    <row r="71" customFormat="false" ht="17.15" hidden="false" customHeight="false" outlineLevel="0" collapsed="false">
      <c r="A71" s="0" t="s">
        <v>551</v>
      </c>
      <c r="B71" s="4" t="s">
        <v>42</v>
      </c>
      <c r="D71" s="22" t="n">
        <f aca="false">0</f>
        <v>0</v>
      </c>
      <c r="E71" s="22" t="n">
        <f aca="false">vcap27*vcap_adj</f>
        <v>144</v>
      </c>
      <c r="F71" s="22" t="n">
        <f aca="false">vcap28*vcap_adj</f>
        <v>360</v>
      </c>
      <c r="G71" s="22" t="n">
        <f aca="false">vcap29*vcap_adj</f>
        <v>504</v>
      </c>
    </row>
    <row r="72" customFormat="false" ht="17.15" hidden="false" customHeight="false" outlineLevel="0" collapsed="false">
      <c r="A72" s="0" t="s">
        <v>552</v>
      </c>
      <c r="B72" s="0" t="s">
        <v>48</v>
      </c>
      <c r="E72" s="20" t="n">
        <f aca="false">vut_A</f>
        <v>0.9</v>
      </c>
      <c r="F72" s="20" t="n">
        <f aca="false">vut_A</f>
        <v>0.9</v>
      </c>
      <c r="G72" s="20" t="n">
        <f aca="false">vut_A</f>
        <v>0.9</v>
      </c>
    </row>
    <row r="73" customFormat="false" ht="17.15" hidden="false" customHeight="false" outlineLevel="0" collapsed="false">
      <c r="A73" s="0" t="s">
        <v>553</v>
      </c>
      <c r="B73" s="4" t="s">
        <v>42</v>
      </c>
      <c r="D73" s="22" t="n">
        <f aca="false">0</f>
        <v>0</v>
      </c>
      <c r="E73" s="22" t="n">
        <f aca="false">E71*E72</f>
        <v>129.6</v>
      </c>
      <c r="F73" s="22" t="n">
        <f aca="false">F71*F72</f>
        <v>324</v>
      </c>
      <c r="G73" s="22" t="n">
        <f aca="false">G71*G72</f>
        <v>453.6</v>
      </c>
    </row>
    <row r="74" customFormat="false" ht="17.15" hidden="false" customHeight="false" outlineLevel="0" collapsed="false">
      <c r="A74" s="0" t="s">
        <v>554</v>
      </c>
      <c r="B74" s="0" t="s">
        <v>184</v>
      </c>
      <c r="D74" s="23" t="n">
        <f aca="false">0</f>
        <v>0</v>
      </c>
      <c r="E74" s="23" t="n">
        <f aca="false">E73*vasp*E68/1000000</f>
        <v>7.46496</v>
      </c>
      <c r="F74" s="23" t="n">
        <f aca="false">F73*vasp*F68/1000000</f>
        <v>18.6624</v>
      </c>
      <c r="G74" s="23" t="n">
        <f aca="false">G73*vasp*G68/1000000</f>
        <v>26.12736</v>
      </c>
    </row>
    <row r="75" customFormat="false" ht="17.15" hidden="false" customHeight="false" outlineLevel="0" collapsed="false">
      <c r="A75" s="4" t="s">
        <v>400</v>
      </c>
      <c r="B75" s="0" t="s">
        <v>184</v>
      </c>
      <c r="C75" s="23" t="n">
        <f aca="false">a25_rev</f>
        <v>48.591</v>
      </c>
      <c r="D75" s="23" t="n">
        <f aca="false">D69+D74</f>
        <v>58.65206</v>
      </c>
      <c r="E75" s="23" t="n">
        <f aca="false">E69+E74</f>
        <v>76.0153927532552</v>
      </c>
      <c r="F75" s="23" t="n">
        <f aca="false">F69+F74</f>
        <v>87.8478262356012</v>
      </c>
      <c r="G75" s="23" t="n">
        <f aca="false">G69+G74</f>
        <v>95.2612651735108</v>
      </c>
      <c r="H75" s="29" t="n">
        <f aca="false">G75*(1+H78)</f>
        <v>102.525860976128</v>
      </c>
      <c r="I75" s="29" t="n">
        <f aca="false">H75*(1+I78)</f>
        <v>109.51093266638</v>
      </c>
      <c r="J75" s="29" t="n">
        <f aca="false">I75*(1+J78)</f>
        <v>116.081588626363</v>
      </c>
      <c r="K75" s="8" t="s">
        <v>555</v>
      </c>
    </row>
    <row r="76" customFormat="false" ht="17.15" hidden="false" customHeight="false" outlineLevel="0" collapsed="false">
      <c r="A76" s="0" t="s">
        <v>556</v>
      </c>
      <c r="B76" s="0" t="s">
        <v>48</v>
      </c>
      <c r="D76" s="20" t="n">
        <f aca="false">D74/D75</f>
        <v>0</v>
      </c>
      <c r="E76" s="20" t="n">
        <f aca="false">E74/E75</f>
        <v>0.0982032681753174</v>
      </c>
      <c r="F76" s="20" t="n">
        <f aca="false">F74/F75</f>
        <v>0.212440088727396</v>
      </c>
      <c r="G76" s="20" t="n">
        <f aca="false">G74/G75</f>
        <v>0.274270554274196</v>
      </c>
    </row>
    <row r="77" customFormat="false" ht="17.15" hidden="false" customHeight="false" outlineLevel="0" collapsed="false">
      <c r="A77" s="0" t="s">
        <v>557</v>
      </c>
      <c r="B77" s="0" t="s">
        <v>48</v>
      </c>
      <c r="D77" s="20" t="n">
        <f aca="false">ai_sh26</f>
        <v>0.1</v>
      </c>
      <c r="E77" s="20" t="n">
        <f aca="false">ai_sh27_A</f>
        <v>0.25</v>
      </c>
      <c r="F77" s="20" t="n">
        <f aca="false">ai_sh27_A</f>
        <v>0.25</v>
      </c>
      <c r="G77" s="20" t="n">
        <f aca="false">ai_sh27_A</f>
        <v>0.25</v>
      </c>
    </row>
    <row r="78" customFormat="false" ht="15" hidden="false" customHeight="false" outlineLevel="0" collapsed="false">
      <c r="A78" s="4" t="s">
        <v>558</v>
      </c>
      <c r="B78" s="0" t="s">
        <v>48</v>
      </c>
      <c r="D78" s="20" t="n">
        <f aca="false">D75/C75-1</f>
        <v>0.207056039184211</v>
      </c>
      <c r="E78" s="20" t="n">
        <f aca="false">E75/D75-1</f>
        <v>0.296039606337019</v>
      </c>
      <c r="F78" s="20" t="n">
        <f aca="false">F75/E75-1</f>
        <v>0.155658387778826</v>
      </c>
      <c r="G78" s="20" t="n">
        <f aca="false">G75/F75-1</f>
        <v>0.0843895547059683</v>
      </c>
      <c r="H78" s="27" t="n">
        <f aca="false">$G78+(fade_gA-$G78)*1/3</f>
        <v>0.0762597031373122</v>
      </c>
      <c r="I78" s="27" t="n">
        <f aca="false">$G78+(fade_gA-$G78)*2/3</f>
        <v>0.0681298515686561</v>
      </c>
      <c r="J78" s="27" t="n">
        <f aca="false">$G78+(fade_gA-$G78)*3/3</f>
        <v>0.06</v>
      </c>
    </row>
    <row r="79" customFormat="false" ht="17.15" hidden="false" customHeight="false" outlineLevel="0" collapsed="false">
      <c r="A79" s="6" t="s">
        <v>559</v>
      </c>
    </row>
    <row r="80" customFormat="false" ht="15" hidden="false" customHeight="false" outlineLevel="0" collapsed="false">
      <c r="A80" s="4" t="s">
        <v>560</v>
      </c>
      <c r="B80" s="0" t="s">
        <v>184</v>
      </c>
      <c r="D80" s="23" t="n">
        <f aca="false">da_tot26*da_sh</f>
        <v>8.658</v>
      </c>
      <c r="E80" s="23" t="n">
        <f aca="false">D80*(1+dag_27+dag_adj)</f>
        <v>8.91774</v>
      </c>
      <c r="F80" s="23" t="n">
        <f aca="false">E80*(1+dag_28+dag_adj)</f>
        <v>9.0960948</v>
      </c>
      <c r="G80" s="23" t="n">
        <f aca="false">F80*(1+dag_29+dag_adj)</f>
        <v>9.0960948</v>
      </c>
    </row>
    <row r="81" customFormat="false" ht="17.15" hidden="false" customHeight="false" outlineLevel="0" collapsed="false">
      <c r="A81" s="4" t="s">
        <v>561</v>
      </c>
      <c r="B81" s="0" t="s">
        <v>562</v>
      </c>
      <c r="D81" s="23" t="n">
        <f aca="false">(D69-a26_gp-D80)/D65*1000</f>
        <v>10.7339918911001</v>
      </c>
      <c r="E81" s="23" t="n">
        <f aca="false">D81*(1+cc_g)</f>
        <v>10.9486717289221</v>
      </c>
      <c r="F81" s="23" t="n">
        <f aca="false">E81*(1+cc_g)</f>
        <v>11.1676451635006</v>
      </c>
      <c r="G81" s="23" t="n">
        <f aca="false">F81*(1+cc_g)</f>
        <v>11.3909980667706</v>
      </c>
      <c r="K81" s="8" t="s">
        <v>563</v>
      </c>
    </row>
    <row r="82" customFormat="false" ht="17.15" hidden="false" customHeight="false" outlineLevel="0" collapsed="false">
      <c r="A82" s="4" t="s">
        <v>564</v>
      </c>
      <c r="B82" s="0" t="s">
        <v>184</v>
      </c>
      <c r="D82" s="23" t="n">
        <f aca="false">D81*D65/1000</f>
        <v>30.9620386</v>
      </c>
      <c r="E82" s="23" t="n">
        <f aca="false">E81*E65/1000</f>
        <v>34.3864932990258</v>
      </c>
      <c r="F82" s="23" t="n">
        <f aca="false">F81*F65/1000</f>
        <v>34.705020815901</v>
      </c>
      <c r="G82" s="23" t="n">
        <f aca="false">G81*G65/1000</f>
        <v>35.0225348361316</v>
      </c>
    </row>
    <row r="83" customFormat="false" ht="17.15" hidden="false" customHeight="false" outlineLevel="0" collapsed="false">
      <c r="A83" s="0" t="s">
        <v>565</v>
      </c>
      <c r="B83" s="0" t="s">
        <v>48</v>
      </c>
      <c r="E83" s="20" t="n">
        <f aca="false">vgm27_A</f>
        <v>0.05</v>
      </c>
      <c r="F83" s="20" t="n">
        <f aca="false">vgm28_A</f>
        <v>0.2</v>
      </c>
      <c r="G83" s="20" t="n">
        <f aca="false">vgm29_A</f>
        <v>0.25</v>
      </c>
    </row>
    <row r="84" customFormat="false" ht="17.15" hidden="false" customHeight="false" outlineLevel="0" collapsed="false">
      <c r="A84" s="0" t="s">
        <v>566</v>
      </c>
      <c r="B84" s="0" t="s">
        <v>184</v>
      </c>
      <c r="D84" s="23" t="n">
        <f aca="false">0</f>
        <v>0</v>
      </c>
      <c r="E84" s="23" t="n">
        <f aca="false">E74*E83</f>
        <v>0.373248</v>
      </c>
      <c r="F84" s="23" t="n">
        <f aca="false">F74*F83</f>
        <v>3.73248</v>
      </c>
      <c r="G84" s="23" t="n">
        <f aca="false">G74*G83</f>
        <v>6.53184</v>
      </c>
    </row>
    <row r="85" customFormat="false" ht="15" hidden="false" customHeight="false" outlineLevel="0" collapsed="false">
      <c r="A85" s="4" t="s">
        <v>417</v>
      </c>
      <c r="B85" s="0" t="s">
        <v>184</v>
      </c>
      <c r="C85" s="23" t="n">
        <f aca="false">a25_gp</f>
        <v>13.654</v>
      </c>
      <c r="D85" s="23" t="n">
        <f aca="false">D69-D80-D82+D84</f>
        <v>19.0320214</v>
      </c>
      <c r="E85" s="23" t="n">
        <f aca="false">E69-E80-E82+E84</f>
        <v>25.6194474542294</v>
      </c>
      <c r="F85" s="23" t="n">
        <f aca="false">F69-F80-F82+F84</f>
        <v>29.1167906197002</v>
      </c>
      <c r="G85" s="23" t="n">
        <f aca="false">G69-G80-G82+G84</f>
        <v>31.5471155373793</v>
      </c>
    </row>
    <row r="86" customFormat="false" ht="15" hidden="false" customHeight="false" outlineLevel="0" collapsed="false">
      <c r="A86" s="4" t="s">
        <v>420</v>
      </c>
      <c r="B86" s="0" t="s">
        <v>48</v>
      </c>
      <c r="C86" s="16" t="n">
        <f aca="false">C85/C75</f>
        <v>0.280998538824062</v>
      </c>
      <c r="D86" s="16" t="n">
        <f aca="false">D85/D75</f>
        <v>0.324490246378388</v>
      </c>
      <c r="E86" s="16" t="n">
        <f aca="false">E85/E75</f>
        <v>0.33702973208847</v>
      </c>
      <c r="F86" s="16" t="n">
        <f aca="false">F85/F75</f>
        <v>0.331445772392947</v>
      </c>
      <c r="G86" s="16" t="n">
        <f aca="false">G85/G75</f>
        <v>0.331164146097773</v>
      </c>
    </row>
    <row r="87" customFormat="false" ht="15" hidden="false" customHeight="false" outlineLevel="0" collapsed="false">
      <c r="A87" s="4" t="s">
        <v>422</v>
      </c>
      <c r="B87" s="0" t="s">
        <v>184</v>
      </c>
      <c r="C87" s="23" t="n">
        <f aca="false">a25_opx</f>
        <v>5.881</v>
      </c>
      <c r="D87" s="23" t="n">
        <f aca="false">a26_opx</f>
        <v>6.824187</v>
      </c>
      <c r="E87" s="23" t="n">
        <f aca="false">D87*(1+MAX(g_opx_min,phi*E78))</f>
        <v>7.8343018165251</v>
      </c>
      <c r="F87" s="23" t="n">
        <f aca="false">E87*(1+MAX(g_opx_min,phi*F78))</f>
        <v>8.44403921159161</v>
      </c>
      <c r="G87" s="23" t="n">
        <f aca="false">F87*(1+MAX(g_opx_min,phi*G78))</f>
        <v>8.80033356608459</v>
      </c>
    </row>
    <row r="88" customFormat="false" ht="15" hidden="false" customHeight="false" outlineLevel="0" collapsed="false">
      <c r="A88" s="4" t="s">
        <v>425</v>
      </c>
      <c r="B88" s="0" t="s">
        <v>184</v>
      </c>
      <c r="C88" s="23" t="n">
        <f aca="false">C85-C87</f>
        <v>7.773</v>
      </c>
      <c r="D88" s="23" t="n">
        <f aca="false">D85-D87</f>
        <v>12.2078344</v>
      </c>
      <c r="E88" s="23" t="n">
        <f aca="false">E85-E87</f>
        <v>17.7851456377043</v>
      </c>
      <c r="F88" s="23" t="n">
        <f aca="false">F85-F87</f>
        <v>20.6727514081086</v>
      </c>
      <c r="G88" s="23" t="n">
        <f aca="false">G85-G87</f>
        <v>22.7467819712947</v>
      </c>
    </row>
    <row r="89" customFormat="false" ht="15" hidden="false" customHeight="false" outlineLevel="0" collapsed="false">
      <c r="A89" s="4" t="s">
        <v>531</v>
      </c>
      <c r="B89" s="0" t="s">
        <v>48</v>
      </c>
      <c r="C89" s="16" t="n">
        <f aca="false">C88/C75</f>
        <v>0.159967895289251</v>
      </c>
      <c r="D89" s="16" t="n">
        <f aca="false">D88/D75</f>
        <v>0.208139908470393</v>
      </c>
      <c r="E89" s="16" t="n">
        <f aca="false">E88/E75</f>
        <v>0.233967687247695</v>
      </c>
      <c r="F89" s="16" t="n">
        <f aca="false">F88/F75</f>
        <v>0.235324564009881</v>
      </c>
      <c r="G89" s="16" t="n">
        <f aca="false">G88/G75</f>
        <v>0.238783118509535</v>
      </c>
    </row>
    <row r="90" customFormat="false" ht="15" hidden="false" customHeight="false" outlineLevel="0" collapsed="false">
      <c r="A90" s="4" t="s">
        <v>428</v>
      </c>
      <c r="B90" s="0" t="s">
        <v>184</v>
      </c>
      <c r="C90" s="23" t="n">
        <f aca="false">a25_nonop</f>
        <v>1.479</v>
      </c>
      <c r="D90" s="23" t="n">
        <f aca="false">a26_nonop</f>
        <v>2.10950832169955</v>
      </c>
      <c r="E90" s="23" t="n">
        <f aca="false">nonop_f</f>
        <v>1.5</v>
      </c>
      <c r="F90" s="23" t="n">
        <f aca="false">nonop_f</f>
        <v>1.5</v>
      </c>
      <c r="G90" s="23" t="n">
        <f aca="false">nonop_f</f>
        <v>1.5</v>
      </c>
    </row>
    <row r="91" customFormat="false" ht="15" hidden="false" customHeight="false" outlineLevel="0" collapsed="false">
      <c r="A91" s="4" t="s">
        <v>430</v>
      </c>
      <c r="B91" s="0" t="s">
        <v>184</v>
      </c>
      <c r="C91" s="23" t="n">
        <f aca="false">C88+C90</f>
        <v>9.252</v>
      </c>
      <c r="D91" s="23" t="n">
        <f aca="false">D88+D90</f>
        <v>14.3173427216995</v>
      </c>
      <c r="E91" s="23" t="n">
        <f aca="false">E88+E90</f>
        <v>19.2851456377043</v>
      </c>
      <c r="F91" s="23" t="n">
        <f aca="false">F88+F90</f>
        <v>22.1727514081086</v>
      </c>
      <c r="G91" s="23" t="n">
        <f aca="false">G88+G90</f>
        <v>24.2467819712947</v>
      </c>
    </row>
    <row r="92" customFormat="false" ht="15" hidden="false" customHeight="false" outlineLevel="0" collapsed="false">
      <c r="A92" s="4" t="s">
        <v>432</v>
      </c>
      <c r="B92" s="0" t="s">
        <v>184</v>
      </c>
      <c r="C92" s="23" t="n">
        <f aca="false">a25_tax</f>
        <v>1.344</v>
      </c>
      <c r="D92" s="23" t="n">
        <f aca="false">a26_tax</f>
        <v>2.0798215108046</v>
      </c>
      <c r="E92" s="23" t="n">
        <f aca="false">E91*tax</f>
        <v>2.89277184565565</v>
      </c>
      <c r="F92" s="23" t="n">
        <f aca="false">F91*tax</f>
        <v>3.32591271121629</v>
      </c>
      <c r="G92" s="23" t="n">
        <f aca="false">G91*tax</f>
        <v>3.6370172956942</v>
      </c>
    </row>
    <row r="93" customFormat="false" ht="17.15" hidden="false" customHeight="false" outlineLevel="0" collapsed="false">
      <c r="A93" s="4" t="s">
        <v>567</v>
      </c>
      <c r="B93" s="0" t="s">
        <v>184</v>
      </c>
      <c r="C93" s="23" t="n">
        <f aca="false">a25_mi</f>
        <v>0</v>
      </c>
      <c r="D93" s="23" t="n">
        <f aca="false">a26_mi</f>
        <v>0</v>
      </c>
      <c r="E93" s="23" t="n">
        <f aca="false">vmi*E84*(1-tax)</f>
        <v>0.12690432</v>
      </c>
      <c r="F93" s="23" t="n">
        <f aca="false">vmi*F84*(1-tax)</f>
        <v>1.2690432</v>
      </c>
      <c r="G93" s="23" t="n">
        <f aca="false">vmi*G84*(1-tax)</f>
        <v>2.2208256</v>
      </c>
      <c r="K93" s="8" t="s">
        <v>568</v>
      </c>
    </row>
    <row r="94" customFormat="false" ht="15" hidden="false" customHeight="false" outlineLevel="0" collapsed="false">
      <c r="A94" s="4" t="s">
        <v>435</v>
      </c>
      <c r="B94" s="0" t="s">
        <v>184</v>
      </c>
      <c r="C94" s="23" t="n">
        <f aca="false">C91-C92-C93</f>
        <v>7.908</v>
      </c>
      <c r="D94" s="23" t="n">
        <f aca="false">D91-D92-D93</f>
        <v>12.2375212108949</v>
      </c>
      <c r="E94" s="23" t="n">
        <f aca="false">E91-E92-E93</f>
        <v>16.2654694720487</v>
      </c>
      <c r="F94" s="23" t="n">
        <f aca="false">F91-F92-F93</f>
        <v>17.5777954968923</v>
      </c>
      <c r="G94" s="23" t="n">
        <f aca="false">G91-G92-G93</f>
        <v>18.3889390756005</v>
      </c>
      <c r="H94" s="29" t="n">
        <f aca="false">H75*H98</f>
        <v>19.7912741105159</v>
      </c>
      <c r="I94" s="29" t="n">
        <f aca="false">I75*I98</f>
        <v>21.1396506780199</v>
      </c>
      <c r="J94" s="29" t="n">
        <f aca="false">J75*J98</f>
        <v>22.4080297187011</v>
      </c>
    </row>
    <row r="95" customFormat="false" ht="15" hidden="false" customHeight="false" outlineLevel="0" collapsed="false">
      <c r="A95" s="4" t="s">
        <v>569</v>
      </c>
      <c r="B95" s="4" t="s">
        <v>265</v>
      </c>
      <c r="C95" s="10" t="n">
        <f aca="false">a25_sh</f>
        <v>1.8739336492891</v>
      </c>
      <c r="D95" s="10" t="n">
        <f aca="false">a26_sh</f>
        <v>1.90613591916558</v>
      </c>
      <c r="E95" s="10" t="n">
        <f aca="false">q_sh*(1+sh_g)</f>
        <v>1.90705128205128</v>
      </c>
      <c r="F95" s="10" t="n">
        <f aca="false">E95*(1+sh_g)</f>
        <v>1.90705128205128</v>
      </c>
      <c r="G95" s="10" t="n">
        <f aca="false">F95*(1+sh_g)</f>
        <v>1.90705128205128</v>
      </c>
      <c r="H95" s="31" t="n">
        <f aca="false">G95*(1+sh_g)</f>
        <v>1.90705128205128</v>
      </c>
      <c r="I95" s="31" t="n">
        <f aca="false">H95*(1+sh_g)</f>
        <v>1.90705128205128</v>
      </c>
      <c r="J95" s="31" t="n">
        <f aca="false">I95*(1+sh_g)</f>
        <v>1.90705128205128</v>
      </c>
    </row>
    <row r="96" customFormat="false" ht="17.15" hidden="false" customHeight="false" outlineLevel="0" collapsed="false">
      <c r="A96" s="0" t="s">
        <v>442</v>
      </c>
      <c r="B96" s="0" t="s">
        <v>274</v>
      </c>
      <c r="C96" s="23" t="n">
        <f aca="false">C94/C95</f>
        <v>4.22</v>
      </c>
      <c r="D96" s="23" t="n">
        <f aca="false">D94/D95</f>
        <v>6.42006747150118</v>
      </c>
      <c r="E96" s="23" t="n">
        <f aca="false">E94/E95</f>
        <v>8.52912012651965</v>
      </c>
      <c r="F96" s="23" t="n">
        <f aca="false">F94/F95</f>
        <v>9.2172641933284</v>
      </c>
      <c r="G96" s="23" t="n">
        <f aca="false">G94/G95</f>
        <v>9.64260334720563</v>
      </c>
      <c r="H96" s="29" t="n">
        <f aca="false">H94/H95</f>
        <v>10.3779454159344</v>
      </c>
      <c r="I96" s="29" t="n">
        <f aca="false">I94/I95</f>
        <v>11.0849932967096</v>
      </c>
      <c r="J96" s="29" t="n">
        <f aca="false">J94/J95</f>
        <v>11.7500928945122</v>
      </c>
    </row>
    <row r="97" customFormat="false" ht="17.15" hidden="false" customHeight="false" outlineLevel="0" collapsed="false">
      <c r="A97" s="0" t="s">
        <v>570</v>
      </c>
      <c r="B97" s="0" t="s">
        <v>48</v>
      </c>
      <c r="D97" s="20" t="n">
        <f aca="false">D96/C96-1</f>
        <v>0.521343002725398</v>
      </c>
      <c r="E97" s="20" t="n">
        <f aca="false">E96/D96-1</f>
        <v>0.32850942211754</v>
      </c>
      <c r="F97" s="20" t="n">
        <f aca="false">F96/E96-1</f>
        <v>0.0806817182312982</v>
      </c>
      <c r="G97" s="20" t="n">
        <f aca="false">G96/F96-1</f>
        <v>0.0461459219304032</v>
      </c>
      <c r="H97" s="27" t="n">
        <f aca="false">H96/G96-1</f>
        <v>0.076259703137312</v>
      </c>
      <c r="I97" s="27" t="n">
        <f aca="false">I96/H96-1</f>
        <v>0.0681298515686561</v>
      </c>
      <c r="J97" s="27" t="n">
        <f aca="false">J96/I96-1</f>
        <v>0.0600000000000001</v>
      </c>
    </row>
    <row r="98" customFormat="false" ht="17.15" hidden="false" customHeight="false" outlineLevel="0" collapsed="false">
      <c r="A98" s="4" t="s">
        <v>571</v>
      </c>
      <c r="B98" s="0" t="s">
        <v>48</v>
      </c>
      <c r="C98" s="16" t="n">
        <f aca="false">C94/C75</f>
        <v>0.162746187565599</v>
      </c>
      <c r="D98" s="16" t="n">
        <f aca="false">D94/D75</f>
        <v>0.208646059676249</v>
      </c>
      <c r="E98" s="16" t="n">
        <f aca="false">E94/E75</f>
        <v>0.213975997267371</v>
      </c>
      <c r="F98" s="16" t="n">
        <f aca="false">F94/F75</f>
        <v>0.200093687574579</v>
      </c>
      <c r="G98" s="16" t="n">
        <f aca="false">G94/G75</f>
        <v>0.193036897443116</v>
      </c>
      <c r="H98" s="28" t="n">
        <f aca="false">$G98+(fade_mA-$G98)*1/3</f>
        <v>0.193036897443116</v>
      </c>
      <c r="I98" s="28" t="n">
        <f aca="false">$G98+(fade_mA-$G98)*2/3</f>
        <v>0.193036897443116</v>
      </c>
      <c r="J98" s="28" t="n">
        <f aca="false">$G98+(fade_mA-$G98)*3/3</f>
        <v>0.193036897443116</v>
      </c>
    </row>
    <row r="101" customFormat="false" ht="17.15" hidden="false" customHeight="false" outlineLevel="0" collapsed="false">
      <c r="A101" s="1" t="s">
        <v>572</v>
      </c>
    </row>
    <row r="102" customFormat="false" ht="17.15" hidden="false" customHeight="false" outlineLevel="0" collapsed="false">
      <c r="A102" s="5" t="s">
        <v>24</v>
      </c>
      <c r="B102" s="5" t="s">
        <v>25</v>
      </c>
      <c r="C102" s="17" t="s">
        <v>394</v>
      </c>
      <c r="D102" s="17" t="s">
        <v>521</v>
      </c>
      <c r="E102" s="17" t="s">
        <v>480</v>
      </c>
      <c r="F102" s="17" t="s">
        <v>481</v>
      </c>
      <c r="G102" s="17" t="s">
        <v>482</v>
      </c>
      <c r="H102" s="17" t="s">
        <v>522</v>
      </c>
      <c r="I102" s="17" t="s">
        <v>523</v>
      </c>
      <c r="J102" s="17" t="s">
        <v>524</v>
      </c>
      <c r="K102" s="5" t="s">
        <v>357</v>
      </c>
    </row>
    <row r="103" customFormat="false" ht="17.15" hidden="false" customHeight="false" outlineLevel="0" collapsed="false">
      <c r="A103" s="6" t="s">
        <v>542</v>
      </c>
    </row>
    <row r="104" customFormat="false" ht="17.15" hidden="false" customHeight="false" outlineLevel="0" collapsed="false">
      <c r="A104" s="4" t="s">
        <v>543</v>
      </c>
      <c r="B104" s="4" t="s">
        <v>42</v>
      </c>
      <c r="D104" s="22" t="n">
        <f aca="false">cap_26</f>
        <v>3306</v>
      </c>
      <c r="E104" s="22" t="n">
        <f aca="false">D104*(1+capg27)*cap_adj</f>
        <v>3306</v>
      </c>
      <c r="F104" s="22" t="n">
        <f aca="false">E104*(1+capg28)</f>
        <v>3306</v>
      </c>
      <c r="G104" s="22" t="n">
        <f aca="false">F104*(1+capg29)</f>
        <v>3306</v>
      </c>
    </row>
    <row r="105" customFormat="false" ht="15" hidden="false" customHeight="false" outlineLevel="0" collapsed="false">
      <c r="A105" s="4" t="s">
        <v>544</v>
      </c>
      <c r="B105" s="0" t="s">
        <v>48</v>
      </c>
      <c r="D105" s="20" t="n">
        <f aca="false">a26_ship/cap_26</f>
        <v>0.8725</v>
      </c>
      <c r="E105" s="20" t="n">
        <f aca="false">MIN(0.98,ut27_B+ut_adj)</f>
        <v>0.9</v>
      </c>
      <c r="F105" s="20" t="n">
        <f aca="false">MIN(0.98,ut28_B+ut_adj)</f>
        <v>0.86</v>
      </c>
      <c r="G105" s="20" t="n">
        <f aca="false">MIN(0.98,ut29_B+ut_adj)</f>
        <v>0.87</v>
      </c>
    </row>
    <row r="106" customFormat="false" ht="17.15" hidden="false" customHeight="false" outlineLevel="0" collapsed="false">
      <c r="A106" s="4" t="s">
        <v>545</v>
      </c>
      <c r="B106" s="4" t="s">
        <v>42</v>
      </c>
      <c r="D106" s="22" t="n">
        <f aca="false">D104*D105</f>
        <v>2884.485</v>
      </c>
      <c r="E106" s="22" t="n">
        <f aca="false">E104*E105</f>
        <v>2975.4</v>
      </c>
      <c r="F106" s="22" t="n">
        <f aca="false">F104*F105</f>
        <v>2843.16</v>
      </c>
      <c r="G106" s="22" t="n">
        <f aca="false">G104*G105</f>
        <v>2876.22</v>
      </c>
    </row>
    <row r="107" customFormat="false" ht="17.15" hidden="false" customHeight="false" outlineLevel="0" collapsed="false">
      <c r="A107" s="4" t="s">
        <v>546</v>
      </c>
      <c r="B107" s="0" t="s">
        <v>89</v>
      </c>
      <c r="D107" s="22" t="n">
        <f aca="false">asp_26</f>
        <v>643.469405492234</v>
      </c>
      <c r="E107" s="22" t="n">
        <f aca="false">D107*(1+asp27_B)*(1+asp_adj)</f>
        <v>662.773487657001</v>
      </c>
      <c r="F107" s="22" t="n">
        <f aca="false">E107*(1+asp28_B)</f>
        <v>662.773487657001</v>
      </c>
      <c r="G107" s="22" t="n">
        <f aca="false">F107*(1+asp29_B)</f>
        <v>662.773487657001</v>
      </c>
    </row>
    <row r="108" customFormat="false" ht="15" hidden="false" customHeight="false" outlineLevel="0" collapsed="false">
      <c r="A108" s="4" t="s">
        <v>547</v>
      </c>
      <c r="B108" s="0" t="s">
        <v>48</v>
      </c>
      <c r="E108" s="20" t="n">
        <f aca="false">E107/D107-1</f>
        <v>0.03</v>
      </c>
      <c r="F108" s="20" t="n">
        <f aca="false">F107/E107-1</f>
        <v>0</v>
      </c>
      <c r="G108" s="20" t="n">
        <f aca="false">G107/F107-1</f>
        <v>0</v>
      </c>
    </row>
    <row r="109" customFormat="false" ht="15" hidden="false" customHeight="false" outlineLevel="0" collapsed="false">
      <c r="A109" s="4" t="s">
        <v>548</v>
      </c>
      <c r="B109" s="0" t="s">
        <v>35</v>
      </c>
      <c r="D109" s="23" t="n">
        <f aca="false">fx_26</f>
        <v>31.6</v>
      </c>
      <c r="E109" s="23" t="n">
        <f aca="false">fx</f>
        <v>32</v>
      </c>
      <c r="F109" s="23" t="n">
        <f aca="false">fx</f>
        <v>32</v>
      </c>
      <c r="G109" s="23" t="n">
        <f aca="false">fx</f>
        <v>32</v>
      </c>
    </row>
    <row r="110" customFormat="false" ht="17.15" hidden="false" customHeight="false" outlineLevel="0" collapsed="false">
      <c r="A110" s="0" t="s">
        <v>549</v>
      </c>
      <c r="B110" s="0" t="s">
        <v>184</v>
      </c>
      <c r="D110" s="23" t="n">
        <f aca="false">D106*D107*D109/1000000</f>
        <v>58.65206</v>
      </c>
      <c r="E110" s="23" t="n">
        <f aca="false">E106*E107*E109/1000000</f>
        <v>63.1045195255885</v>
      </c>
      <c r="F110" s="23" t="n">
        <f aca="false">F106*F107*F109/1000000</f>
        <v>60.2998742133401</v>
      </c>
      <c r="G110" s="23" t="n">
        <f aca="false">G106*G107*G109/1000000</f>
        <v>61.0010355414022</v>
      </c>
    </row>
    <row r="111" customFormat="false" ht="17.15" hidden="false" customHeight="false" outlineLevel="0" collapsed="false">
      <c r="A111" s="6" t="s">
        <v>550</v>
      </c>
    </row>
    <row r="112" customFormat="false" ht="17.15" hidden="false" customHeight="false" outlineLevel="0" collapsed="false">
      <c r="A112" s="0" t="s">
        <v>551</v>
      </c>
      <c r="B112" s="4" t="s">
        <v>42</v>
      </c>
      <c r="D112" s="22" t="n">
        <f aca="false">0</f>
        <v>0</v>
      </c>
      <c r="E112" s="22" t="n">
        <f aca="false">vcap27*vcap_adj</f>
        <v>144</v>
      </c>
      <c r="F112" s="22" t="n">
        <f aca="false">vcap28*vcap_adj</f>
        <v>360</v>
      </c>
      <c r="G112" s="22" t="n">
        <f aca="false">vcap29*vcap_adj</f>
        <v>504</v>
      </c>
    </row>
    <row r="113" customFormat="false" ht="17.15" hidden="false" customHeight="false" outlineLevel="0" collapsed="false">
      <c r="A113" s="0" t="s">
        <v>552</v>
      </c>
      <c r="B113" s="0" t="s">
        <v>48</v>
      </c>
      <c r="E113" s="20" t="n">
        <f aca="false">vut_B</f>
        <v>0.8</v>
      </c>
      <c r="F113" s="20" t="n">
        <f aca="false">vut_B</f>
        <v>0.8</v>
      </c>
      <c r="G113" s="20" t="n">
        <f aca="false">vut_B</f>
        <v>0.8</v>
      </c>
    </row>
    <row r="114" customFormat="false" ht="17.15" hidden="false" customHeight="false" outlineLevel="0" collapsed="false">
      <c r="A114" s="0" t="s">
        <v>553</v>
      </c>
      <c r="B114" s="4" t="s">
        <v>42</v>
      </c>
      <c r="D114" s="22" t="n">
        <f aca="false">0</f>
        <v>0</v>
      </c>
      <c r="E114" s="22" t="n">
        <f aca="false">E112*E113</f>
        <v>115.2</v>
      </c>
      <c r="F114" s="22" t="n">
        <f aca="false">F112*F113</f>
        <v>288</v>
      </c>
      <c r="G114" s="22" t="n">
        <f aca="false">G112*G113</f>
        <v>403.2</v>
      </c>
    </row>
    <row r="115" customFormat="false" ht="17.15" hidden="false" customHeight="false" outlineLevel="0" collapsed="false">
      <c r="A115" s="0" t="s">
        <v>554</v>
      </c>
      <c r="B115" s="0" t="s">
        <v>184</v>
      </c>
      <c r="D115" s="23" t="n">
        <f aca="false">0</f>
        <v>0</v>
      </c>
      <c r="E115" s="23" t="n">
        <f aca="false">E114*vasp*E109/1000000</f>
        <v>6.63552</v>
      </c>
      <c r="F115" s="23" t="n">
        <f aca="false">F114*vasp*F109/1000000</f>
        <v>16.5888</v>
      </c>
      <c r="G115" s="23" t="n">
        <f aca="false">G114*vasp*G109/1000000</f>
        <v>23.22432</v>
      </c>
    </row>
    <row r="116" customFormat="false" ht="17.15" hidden="false" customHeight="false" outlineLevel="0" collapsed="false">
      <c r="A116" s="4" t="s">
        <v>400</v>
      </c>
      <c r="B116" s="0" t="s">
        <v>184</v>
      </c>
      <c r="C116" s="23" t="n">
        <f aca="false">a25_rev</f>
        <v>48.591</v>
      </c>
      <c r="D116" s="23" t="n">
        <f aca="false">D110+D115</f>
        <v>58.65206</v>
      </c>
      <c r="E116" s="23" t="n">
        <f aca="false">E110+E115</f>
        <v>69.7400395255885</v>
      </c>
      <c r="F116" s="23" t="n">
        <f aca="false">F110+F115</f>
        <v>76.8886742133401</v>
      </c>
      <c r="G116" s="23" t="n">
        <f aca="false">G110+G115</f>
        <v>84.2253555414022</v>
      </c>
      <c r="H116" s="29" t="n">
        <f aca="false">G116*(1+H119)</f>
        <v>90.7061896343453</v>
      </c>
      <c r="I116" s="29" t="n">
        <f aca="false">H116*(1+I119)</f>
        <v>96.0100687533499</v>
      </c>
      <c r="J116" s="29" t="n">
        <f aca="false">I116*(1+J119)</f>
        <v>99.8504715034839</v>
      </c>
      <c r="K116" s="8" t="s">
        <v>555</v>
      </c>
    </row>
    <row r="117" customFormat="false" ht="17.15" hidden="false" customHeight="false" outlineLevel="0" collapsed="false">
      <c r="A117" s="0" t="s">
        <v>556</v>
      </c>
      <c r="B117" s="0" t="s">
        <v>48</v>
      </c>
      <c r="D117" s="20" t="n">
        <f aca="false">D115/D116</f>
        <v>0</v>
      </c>
      <c r="E117" s="20" t="n">
        <f aca="false">E115/E116</f>
        <v>0.0951464903825491</v>
      </c>
      <c r="F117" s="20" t="n">
        <f aca="false">F115/F116</f>
        <v>0.215750891398799</v>
      </c>
      <c r="G117" s="20" t="n">
        <f aca="false">G115/G116</f>
        <v>0.275740242955505</v>
      </c>
    </row>
    <row r="118" customFormat="false" ht="17.15" hidden="false" customHeight="false" outlineLevel="0" collapsed="false">
      <c r="A118" s="0" t="s">
        <v>557</v>
      </c>
      <c r="B118" s="0" t="s">
        <v>48</v>
      </c>
      <c r="D118" s="20" t="n">
        <f aca="false">ai_sh26</f>
        <v>0.1</v>
      </c>
      <c r="E118" s="20" t="n">
        <f aca="false">ai_sh27_B</f>
        <v>0.2</v>
      </c>
      <c r="F118" s="20" t="n">
        <f aca="false">ai_sh27_B</f>
        <v>0.2</v>
      </c>
      <c r="G118" s="20" t="n">
        <f aca="false">ai_sh27_B</f>
        <v>0.2</v>
      </c>
    </row>
    <row r="119" customFormat="false" ht="15" hidden="false" customHeight="false" outlineLevel="0" collapsed="false">
      <c r="A119" s="4" t="s">
        <v>558</v>
      </c>
      <c r="B119" s="0" t="s">
        <v>48</v>
      </c>
      <c r="D119" s="20" t="n">
        <f aca="false">D116/C116-1</f>
        <v>0.207056039184211</v>
      </c>
      <c r="E119" s="20" t="n">
        <f aca="false">E116/D116-1</f>
        <v>0.189046719340949</v>
      </c>
      <c r="F119" s="20" t="n">
        <f aca="false">F116/E116-1</f>
        <v>0.10250402403527</v>
      </c>
      <c r="G119" s="20" t="n">
        <f aca="false">G116/F116-1</f>
        <v>0.095419532240929</v>
      </c>
      <c r="H119" s="27" t="n">
        <f aca="false">$G119+(fade_gB-$G119)*1/3</f>
        <v>0.076946354827286</v>
      </c>
      <c r="I119" s="27" t="n">
        <f aca="false">$G119+(fade_gB-$G119)*2/3</f>
        <v>0.058473177413643</v>
      </c>
      <c r="J119" s="27" t="n">
        <f aca="false">$G119+(fade_gB-$G119)*3/3</f>
        <v>0.04</v>
      </c>
    </row>
    <row r="120" customFormat="false" ht="17.15" hidden="false" customHeight="false" outlineLevel="0" collapsed="false">
      <c r="A120" s="6" t="s">
        <v>559</v>
      </c>
    </row>
    <row r="121" customFormat="false" ht="15" hidden="false" customHeight="false" outlineLevel="0" collapsed="false">
      <c r="A121" s="4" t="s">
        <v>560</v>
      </c>
      <c r="B121" s="0" t="s">
        <v>184</v>
      </c>
      <c r="D121" s="23" t="n">
        <f aca="false">da_tot26*da_sh</f>
        <v>8.658</v>
      </c>
      <c r="E121" s="23" t="n">
        <f aca="false">D121*(1+dag_27+dag_adj)</f>
        <v>8.91774</v>
      </c>
      <c r="F121" s="23" t="n">
        <f aca="false">E121*(1+dag_28+dag_adj)</f>
        <v>9.0960948</v>
      </c>
      <c r="G121" s="23" t="n">
        <f aca="false">F121*(1+dag_29+dag_adj)</f>
        <v>9.0960948</v>
      </c>
    </row>
    <row r="122" customFormat="false" ht="17.15" hidden="false" customHeight="false" outlineLevel="0" collapsed="false">
      <c r="A122" s="4" t="s">
        <v>561</v>
      </c>
      <c r="B122" s="0" t="s">
        <v>562</v>
      </c>
      <c r="D122" s="23" t="n">
        <f aca="false">(D110-a26_gp-D121)/D106*1000</f>
        <v>10.7339918911001</v>
      </c>
      <c r="E122" s="23" t="n">
        <f aca="false">D122*(1+cc_g)</f>
        <v>10.9486717289221</v>
      </c>
      <c r="F122" s="23" t="n">
        <f aca="false">E122*(1+cc_g)</f>
        <v>11.1676451635006</v>
      </c>
      <c r="G122" s="23" t="n">
        <f aca="false">F122*(1+cc_g)</f>
        <v>11.3909980667706</v>
      </c>
      <c r="K122" s="8" t="s">
        <v>563</v>
      </c>
    </row>
    <row r="123" customFormat="false" ht="17.15" hidden="false" customHeight="false" outlineLevel="0" collapsed="false">
      <c r="A123" s="4" t="s">
        <v>564</v>
      </c>
      <c r="B123" s="0" t="s">
        <v>184</v>
      </c>
      <c r="D123" s="23" t="n">
        <f aca="false">D122*D106/1000</f>
        <v>30.9620386</v>
      </c>
      <c r="E123" s="23" t="n">
        <f aca="false">E122*E106/1000</f>
        <v>32.576677862235</v>
      </c>
      <c r="F123" s="23" t="n">
        <f aca="false">F122*F106/1000</f>
        <v>31.7514020230583</v>
      </c>
      <c r="G123" s="23" t="n">
        <f aca="false">G122*G106/1000</f>
        <v>32.7630164596069</v>
      </c>
    </row>
    <row r="124" customFormat="false" ht="17.15" hidden="false" customHeight="false" outlineLevel="0" collapsed="false">
      <c r="A124" s="0" t="s">
        <v>565</v>
      </c>
      <c r="B124" s="0" t="s">
        <v>48</v>
      </c>
      <c r="E124" s="20" t="n">
        <f aca="false">vgm27_B</f>
        <v>-0.05</v>
      </c>
      <c r="F124" s="20" t="n">
        <f aca="false">vgm28_B</f>
        <v>0.12</v>
      </c>
      <c r="G124" s="20" t="n">
        <f aca="false">vgm29_B</f>
        <v>0.18</v>
      </c>
    </row>
    <row r="125" customFormat="false" ht="17.15" hidden="false" customHeight="false" outlineLevel="0" collapsed="false">
      <c r="A125" s="0" t="s">
        <v>566</v>
      </c>
      <c r="B125" s="0" t="s">
        <v>184</v>
      </c>
      <c r="D125" s="23" t="n">
        <f aca="false">0</f>
        <v>0</v>
      </c>
      <c r="E125" s="23" t="n">
        <f aca="false">E115*E124</f>
        <v>-0.331776</v>
      </c>
      <c r="F125" s="23" t="n">
        <f aca="false">F115*F124</f>
        <v>1.990656</v>
      </c>
      <c r="G125" s="23" t="n">
        <f aca="false">G115*G124</f>
        <v>4.1803776</v>
      </c>
    </row>
    <row r="126" customFormat="false" ht="15" hidden="false" customHeight="false" outlineLevel="0" collapsed="false">
      <c r="A126" s="4" t="s">
        <v>417</v>
      </c>
      <c r="B126" s="0" t="s">
        <v>184</v>
      </c>
      <c r="C126" s="23" t="n">
        <f aca="false">a25_gp</f>
        <v>13.654</v>
      </c>
      <c r="D126" s="23" t="n">
        <f aca="false">D110-D121-D123+D125</f>
        <v>19.0320214</v>
      </c>
      <c r="E126" s="23" t="n">
        <f aca="false">E110-E121-E123+E125</f>
        <v>21.2783256633535</v>
      </c>
      <c r="F126" s="23" t="n">
        <f aca="false">F110-F121-F123+F125</f>
        <v>21.4430333902818</v>
      </c>
      <c r="G126" s="23" t="n">
        <f aca="false">G110-G121-G123+G125</f>
        <v>23.3223018817953</v>
      </c>
    </row>
    <row r="127" customFormat="false" ht="15" hidden="false" customHeight="false" outlineLevel="0" collapsed="false">
      <c r="A127" s="4" t="s">
        <v>420</v>
      </c>
      <c r="B127" s="0" t="s">
        <v>48</v>
      </c>
      <c r="C127" s="16" t="n">
        <f aca="false">C126/C116</f>
        <v>0.280998538824062</v>
      </c>
      <c r="D127" s="16" t="n">
        <f aca="false">D126/D116</f>
        <v>0.324490246378388</v>
      </c>
      <c r="E127" s="16" t="n">
        <f aca="false">E126/E116</f>
        <v>0.305109171260883</v>
      </c>
      <c r="F127" s="16" t="n">
        <f aca="false">F126/F116</f>
        <v>0.27888416089455</v>
      </c>
      <c r="G127" s="16" t="n">
        <f aca="false">G126/G116</f>
        <v>0.27690357294284</v>
      </c>
    </row>
    <row r="128" customFormat="false" ht="15" hidden="false" customHeight="false" outlineLevel="0" collapsed="false">
      <c r="A128" s="4" t="s">
        <v>422</v>
      </c>
      <c r="B128" s="0" t="s">
        <v>184</v>
      </c>
      <c r="C128" s="23" t="n">
        <f aca="false">a25_opx</f>
        <v>5.881</v>
      </c>
      <c r="D128" s="23" t="n">
        <f aca="false">a26_opx</f>
        <v>6.824187</v>
      </c>
      <c r="E128" s="23" t="n">
        <f aca="false">D128*(1+MAX(g_opx_min,phi*E119))</f>
        <v>7.46923208225958</v>
      </c>
      <c r="F128" s="23" t="n">
        <f aca="false">E128*(1+MAX(g_opx_min,phi*F119))</f>
        <v>7.85204525470205</v>
      </c>
      <c r="G128" s="23" t="n">
        <f aca="false">F128*(1+MAX(g_opx_min,phi*G119))</f>
        <v>8.22666449737119</v>
      </c>
    </row>
    <row r="129" customFormat="false" ht="15" hidden="false" customHeight="false" outlineLevel="0" collapsed="false">
      <c r="A129" s="4" t="s">
        <v>425</v>
      </c>
      <c r="B129" s="0" t="s">
        <v>184</v>
      </c>
      <c r="C129" s="23" t="n">
        <f aca="false">C126-C128</f>
        <v>7.773</v>
      </c>
      <c r="D129" s="23" t="n">
        <f aca="false">D126-D128</f>
        <v>12.2078344</v>
      </c>
      <c r="E129" s="23" t="n">
        <f aca="false">E126-E128</f>
        <v>13.8090935810939</v>
      </c>
      <c r="F129" s="23" t="n">
        <f aca="false">F126-F128</f>
        <v>13.5909881355797</v>
      </c>
      <c r="G129" s="23" t="n">
        <f aca="false">G126-G128</f>
        <v>15.0956373844241</v>
      </c>
    </row>
    <row r="130" customFormat="false" ht="15" hidden="false" customHeight="false" outlineLevel="0" collapsed="false">
      <c r="A130" s="4" t="s">
        <v>531</v>
      </c>
      <c r="B130" s="0" t="s">
        <v>48</v>
      </c>
      <c r="C130" s="16" t="n">
        <f aca="false">C129/C116</f>
        <v>0.159967895289251</v>
      </c>
      <c r="D130" s="16" t="n">
        <f aca="false">D129/D116</f>
        <v>0.208139908470393</v>
      </c>
      <c r="E130" s="16" t="n">
        <f aca="false">E129/E116</f>
        <v>0.198008112341652</v>
      </c>
      <c r="F130" s="16" t="n">
        <f aca="false">F129/F116</f>
        <v>0.176761899910893</v>
      </c>
      <c r="G130" s="16" t="n">
        <f aca="false">G129/G116</f>
        <v>0.179229132217834</v>
      </c>
    </row>
    <row r="131" customFormat="false" ht="15" hidden="false" customHeight="false" outlineLevel="0" collapsed="false">
      <c r="A131" s="4" t="s">
        <v>428</v>
      </c>
      <c r="B131" s="0" t="s">
        <v>184</v>
      </c>
      <c r="C131" s="23" t="n">
        <f aca="false">a25_nonop</f>
        <v>1.479</v>
      </c>
      <c r="D131" s="23" t="n">
        <f aca="false">a26_nonop</f>
        <v>2.10950832169955</v>
      </c>
      <c r="E131" s="23" t="n">
        <f aca="false">nonop_f</f>
        <v>1.5</v>
      </c>
      <c r="F131" s="23" t="n">
        <f aca="false">nonop_f</f>
        <v>1.5</v>
      </c>
      <c r="G131" s="23" t="n">
        <f aca="false">nonop_f</f>
        <v>1.5</v>
      </c>
    </row>
    <row r="132" customFormat="false" ht="15" hidden="false" customHeight="false" outlineLevel="0" collapsed="false">
      <c r="A132" s="4" t="s">
        <v>430</v>
      </c>
      <c r="B132" s="0" t="s">
        <v>184</v>
      </c>
      <c r="C132" s="23" t="n">
        <f aca="false">C129+C131</f>
        <v>9.252</v>
      </c>
      <c r="D132" s="23" t="n">
        <f aca="false">D129+D131</f>
        <v>14.3173427216995</v>
      </c>
      <c r="E132" s="23" t="n">
        <f aca="false">E129+E131</f>
        <v>15.3090935810939</v>
      </c>
      <c r="F132" s="23" t="n">
        <f aca="false">F129+F131</f>
        <v>15.0909881355797</v>
      </c>
      <c r="G132" s="23" t="n">
        <f aca="false">G129+G131</f>
        <v>16.5956373844241</v>
      </c>
    </row>
    <row r="133" customFormat="false" ht="15" hidden="false" customHeight="false" outlineLevel="0" collapsed="false">
      <c r="A133" s="4" t="s">
        <v>432</v>
      </c>
      <c r="B133" s="0" t="s">
        <v>184</v>
      </c>
      <c r="C133" s="23" t="n">
        <f aca="false">a25_tax</f>
        <v>1.344</v>
      </c>
      <c r="D133" s="23" t="n">
        <f aca="false">a26_tax</f>
        <v>2.0798215108046</v>
      </c>
      <c r="E133" s="23" t="n">
        <f aca="false">E132*tax</f>
        <v>2.29636403716409</v>
      </c>
      <c r="F133" s="23" t="n">
        <f aca="false">F132*tax</f>
        <v>2.26364822033696</v>
      </c>
      <c r="G133" s="23" t="n">
        <f aca="false">G132*tax</f>
        <v>2.48934560766361</v>
      </c>
    </row>
    <row r="134" customFormat="false" ht="17.15" hidden="false" customHeight="false" outlineLevel="0" collapsed="false">
      <c r="A134" s="4" t="s">
        <v>567</v>
      </c>
      <c r="B134" s="0" t="s">
        <v>184</v>
      </c>
      <c r="C134" s="23" t="n">
        <f aca="false">a25_mi</f>
        <v>0</v>
      </c>
      <c r="D134" s="23" t="n">
        <f aca="false">a26_mi</f>
        <v>0</v>
      </c>
      <c r="E134" s="23" t="n">
        <f aca="false">vmi*E125*(1-tax)</f>
        <v>-0.11280384</v>
      </c>
      <c r="F134" s="23" t="n">
        <f aca="false">vmi*F125*(1-tax)</f>
        <v>0.67682304</v>
      </c>
      <c r="G134" s="23" t="n">
        <f aca="false">vmi*G125*(1-tax)</f>
        <v>1.421328384</v>
      </c>
      <c r="K134" s="8" t="s">
        <v>568</v>
      </c>
    </row>
    <row r="135" customFormat="false" ht="15" hidden="false" customHeight="false" outlineLevel="0" collapsed="false">
      <c r="A135" s="4" t="s">
        <v>435</v>
      </c>
      <c r="B135" s="0" t="s">
        <v>184</v>
      </c>
      <c r="C135" s="23" t="n">
        <f aca="false">C132-C133-C134</f>
        <v>7.908</v>
      </c>
      <c r="D135" s="23" t="n">
        <f aca="false">D132-D133-D134</f>
        <v>12.2375212108949</v>
      </c>
      <c r="E135" s="23" t="n">
        <f aca="false">E132-E133-E134</f>
        <v>13.1255333839299</v>
      </c>
      <c r="F135" s="23" t="n">
        <f aca="false">F132-F133-F134</f>
        <v>12.1505168752428</v>
      </c>
      <c r="G135" s="23" t="n">
        <f aca="false">G132-G133-G134</f>
        <v>12.6849633927605</v>
      </c>
      <c r="H135" s="29" t="n">
        <f aca="false">H116*H139</f>
        <v>13.2056575840526</v>
      </c>
      <c r="I135" s="29" t="n">
        <f aca="false">I116*I139</f>
        <v>13.4958400551449</v>
      </c>
      <c r="J135" s="29" t="n">
        <f aca="false">J116*J139</f>
        <v>13.5343995981597</v>
      </c>
    </row>
    <row r="136" customFormat="false" ht="15" hidden="false" customHeight="false" outlineLevel="0" collapsed="false">
      <c r="A136" s="4" t="s">
        <v>569</v>
      </c>
      <c r="B136" s="4" t="s">
        <v>265</v>
      </c>
      <c r="C136" s="10" t="n">
        <f aca="false">a25_sh</f>
        <v>1.8739336492891</v>
      </c>
      <c r="D136" s="10" t="n">
        <f aca="false">a26_sh</f>
        <v>1.90613591916558</v>
      </c>
      <c r="E136" s="10" t="n">
        <f aca="false">q_sh*(1+sh_g)</f>
        <v>1.90705128205128</v>
      </c>
      <c r="F136" s="10" t="n">
        <f aca="false">E136*(1+sh_g)</f>
        <v>1.90705128205128</v>
      </c>
      <c r="G136" s="10" t="n">
        <f aca="false">F136*(1+sh_g)</f>
        <v>1.90705128205128</v>
      </c>
      <c r="H136" s="31" t="n">
        <f aca="false">G136*(1+sh_g)</f>
        <v>1.90705128205128</v>
      </c>
      <c r="I136" s="31" t="n">
        <f aca="false">H136*(1+sh_g)</f>
        <v>1.90705128205128</v>
      </c>
      <c r="J136" s="31" t="n">
        <f aca="false">I136*(1+sh_g)</f>
        <v>1.90705128205128</v>
      </c>
    </row>
    <row r="137" customFormat="false" ht="17.15" hidden="false" customHeight="false" outlineLevel="0" collapsed="false">
      <c r="A137" s="0" t="s">
        <v>442</v>
      </c>
      <c r="B137" s="0" t="s">
        <v>274</v>
      </c>
      <c r="C137" s="23" t="n">
        <f aca="false">C135/C136</f>
        <v>4.22</v>
      </c>
      <c r="D137" s="23" t="n">
        <f aca="false">D135/D136</f>
        <v>6.42006747150118</v>
      </c>
      <c r="E137" s="23" t="n">
        <f aca="false">E135/E136</f>
        <v>6.8826326315733</v>
      </c>
      <c r="F137" s="23" t="n">
        <f aca="false">F135/F136</f>
        <v>6.37136347071553</v>
      </c>
      <c r="G137" s="23" t="n">
        <f aca="false">G135/G136</f>
        <v>6.65161105637187</v>
      </c>
      <c r="H137" s="29" t="n">
        <f aca="false">H135/H136</f>
        <v>6.92464733819227</v>
      </c>
      <c r="I137" s="29" t="n">
        <f aca="false">I135/I136</f>
        <v>7.07681024740374</v>
      </c>
      <c r="J137" s="29" t="n">
        <f aca="false">J135/J136</f>
        <v>7.09702970525346</v>
      </c>
    </row>
    <row r="138" customFormat="false" ht="17.15" hidden="false" customHeight="false" outlineLevel="0" collapsed="false">
      <c r="A138" s="0" t="s">
        <v>570</v>
      </c>
      <c r="B138" s="0" t="s">
        <v>48</v>
      </c>
      <c r="D138" s="20" t="n">
        <f aca="false">D137/C137-1</f>
        <v>0.521343002725398</v>
      </c>
      <c r="E138" s="20" t="n">
        <f aca="false">E137/D137-1</f>
        <v>0.072049890772248</v>
      </c>
      <c r="F138" s="20" t="n">
        <f aca="false">F137/E137-1</f>
        <v>-0.0742839532815368</v>
      </c>
      <c r="G138" s="20" t="n">
        <f aca="false">G137/F137-1</f>
        <v>0.043985496502347</v>
      </c>
      <c r="H138" s="27" t="n">
        <f aca="false">H137/G137-1</f>
        <v>0.0410481429997098</v>
      </c>
      <c r="I138" s="27" t="n">
        <f aca="false">I137/H137-1</f>
        <v>0.0219741023304139</v>
      </c>
      <c r="J138" s="27" t="n">
        <f aca="false">J137/I137-1</f>
        <v>0.00285714285714311</v>
      </c>
    </row>
    <row r="139" customFormat="false" ht="17.15" hidden="false" customHeight="false" outlineLevel="0" collapsed="false">
      <c r="A139" s="4" t="s">
        <v>571</v>
      </c>
      <c r="B139" s="0" t="s">
        <v>48</v>
      </c>
      <c r="C139" s="16" t="n">
        <f aca="false">C135/C116</f>
        <v>0.162746187565599</v>
      </c>
      <c r="D139" s="16" t="n">
        <f aca="false">D135/D116</f>
        <v>0.208646059676249</v>
      </c>
      <c r="E139" s="16" t="n">
        <f aca="false">E135/E116</f>
        <v>0.18820656646049</v>
      </c>
      <c r="F139" s="16" t="n">
        <f aca="false">F135/F116</f>
        <v>0.158027394795873</v>
      </c>
      <c r="G139" s="16" t="n">
        <f aca="false">G135/G116</f>
        <v>0.150607418766252</v>
      </c>
      <c r="H139" s="28" t="n">
        <f aca="false">$G139+(fade_mB-$G139)*1/3</f>
        <v>0.145587171474044</v>
      </c>
      <c r="I139" s="28" t="n">
        <f aca="false">$G139+(fade_mB-$G139)*2/3</f>
        <v>0.140566924181836</v>
      </c>
      <c r="J139" s="28" t="n">
        <f aca="false">$G139+(fade_mB-$G139)*3/3</f>
        <v>0.135546676889627</v>
      </c>
    </row>
    <row r="142" customFormat="false" ht="17.15" hidden="false" customHeight="false" outlineLevel="0" collapsed="false">
      <c r="A142" s="1" t="s">
        <v>573</v>
      </c>
    </row>
    <row r="143" customFormat="false" ht="17.15" hidden="false" customHeight="false" outlineLevel="0" collapsed="false">
      <c r="A143" s="5" t="s">
        <v>24</v>
      </c>
      <c r="B143" s="5" t="s">
        <v>25</v>
      </c>
      <c r="C143" s="17" t="s">
        <v>394</v>
      </c>
      <c r="D143" s="17" t="s">
        <v>521</v>
      </c>
      <c r="E143" s="17" t="s">
        <v>480</v>
      </c>
      <c r="F143" s="17" t="s">
        <v>481</v>
      </c>
      <c r="G143" s="17" t="s">
        <v>482</v>
      </c>
      <c r="H143" s="17" t="s">
        <v>522</v>
      </c>
      <c r="I143" s="17" t="s">
        <v>523</v>
      </c>
      <c r="J143" s="17" t="s">
        <v>524</v>
      </c>
      <c r="K143" s="5" t="s">
        <v>357</v>
      </c>
    </row>
    <row r="144" customFormat="false" ht="17.15" hidden="false" customHeight="false" outlineLevel="0" collapsed="false">
      <c r="A144" s="6" t="s">
        <v>542</v>
      </c>
    </row>
    <row r="145" customFormat="false" ht="17.15" hidden="false" customHeight="false" outlineLevel="0" collapsed="false">
      <c r="A145" s="4" t="s">
        <v>543</v>
      </c>
      <c r="B145" s="4" t="s">
        <v>42</v>
      </c>
      <c r="D145" s="22" t="n">
        <f aca="false">cap_26</f>
        <v>3306</v>
      </c>
      <c r="E145" s="22" t="n">
        <f aca="false">D145*(1+capg27)*cap_adj</f>
        <v>3306</v>
      </c>
      <c r="F145" s="22" t="n">
        <f aca="false">E145*(1+capg28)</f>
        <v>3306</v>
      </c>
      <c r="G145" s="22" t="n">
        <f aca="false">F145*(1+capg29)</f>
        <v>3306</v>
      </c>
    </row>
    <row r="146" customFormat="false" ht="15" hidden="false" customHeight="false" outlineLevel="0" collapsed="false">
      <c r="A146" s="4" t="s">
        <v>544</v>
      </c>
      <c r="B146" s="0" t="s">
        <v>48</v>
      </c>
      <c r="D146" s="20" t="n">
        <f aca="false">a26_ship/cap_26</f>
        <v>0.8725</v>
      </c>
      <c r="E146" s="20" t="n">
        <f aca="false">MIN(0.98,ut27_C+ut_adj)</f>
        <v>0.8</v>
      </c>
      <c r="F146" s="20" t="n">
        <f aca="false">MIN(0.98,ut28_C+ut_adj)</f>
        <v>0.74</v>
      </c>
      <c r="G146" s="20" t="n">
        <f aca="false">MIN(0.98,ut29_C+ut_adj)</f>
        <v>0.78</v>
      </c>
    </row>
    <row r="147" customFormat="false" ht="17.15" hidden="false" customHeight="false" outlineLevel="0" collapsed="false">
      <c r="A147" s="4" t="s">
        <v>545</v>
      </c>
      <c r="B147" s="4" t="s">
        <v>42</v>
      </c>
      <c r="D147" s="22" t="n">
        <f aca="false">D145*D146</f>
        <v>2884.485</v>
      </c>
      <c r="E147" s="22" t="n">
        <f aca="false">E145*E146</f>
        <v>2644.8</v>
      </c>
      <c r="F147" s="22" t="n">
        <f aca="false">F145*F146</f>
        <v>2446.44</v>
      </c>
      <c r="G147" s="22" t="n">
        <f aca="false">G145*G146</f>
        <v>2578.68</v>
      </c>
    </row>
    <row r="148" customFormat="false" ht="17.15" hidden="false" customHeight="false" outlineLevel="0" collapsed="false">
      <c r="A148" s="4" t="s">
        <v>546</v>
      </c>
      <c r="B148" s="0" t="s">
        <v>89</v>
      </c>
      <c r="D148" s="22" t="n">
        <f aca="false">asp_26</f>
        <v>643.469405492234</v>
      </c>
      <c r="E148" s="22" t="n">
        <f aca="false">D148*(1+asp27_C)*(1+asp_adj)</f>
        <v>624.165323327467</v>
      </c>
      <c r="F148" s="22" t="n">
        <f aca="false">E148*(1+asp28_C)</f>
        <v>592.957057161093</v>
      </c>
      <c r="G148" s="22" t="n">
        <f aca="false">F148*(1+asp29_C)</f>
        <v>581.097916017871</v>
      </c>
    </row>
    <row r="149" customFormat="false" ht="15" hidden="false" customHeight="false" outlineLevel="0" collapsed="false">
      <c r="A149" s="4" t="s">
        <v>547</v>
      </c>
      <c r="B149" s="0" t="s">
        <v>48</v>
      </c>
      <c r="E149" s="20" t="n">
        <f aca="false">E148/D148-1</f>
        <v>-0.03</v>
      </c>
      <c r="F149" s="20" t="n">
        <f aca="false">F148/E148-1</f>
        <v>-0.05</v>
      </c>
      <c r="G149" s="20" t="n">
        <f aca="false">G148/F148-1</f>
        <v>-0.02</v>
      </c>
    </row>
    <row r="150" customFormat="false" ht="15" hidden="false" customHeight="false" outlineLevel="0" collapsed="false">
      <c r="A150" s="4" t="s">
        <v>548</v>
      </c>
      <c r="B150" s="0" t="s">
        <v>35</v>
      </c>
      <c r="D150" s="23" t="n">
        <f aca="false">fx_26</f>
        <v>31.6</v>
      </c>
      <c r="E150" s="23" t="n">
        <f aca="false">fx</f>
        <v>32</v>
      </c>
      <c r="F150" s="23" t="n">
        <f aca="false">fx</f>
        <v>32</v>
      </c>
      <c r="G150" s="23" t="n">
        <f aca="false">fx</f>
        <v>32</v>
      </c>
    </row>
    <row r="151" customFormat="false" ht="17.15" hidden="false" customHeight="false" outlineLevel="0" collapsed="false">
      <c r="A151" s="0" t="s">
        <v>549</v>
      </c>
      <c r="B151" s="0" t="s">
        <v>184</v>
      </c>
      <c r="D151" s="23" t="n">
        <f aca="false">D147*D148*D150/1000000</f>
        <v>58.65206</v>
      </c>
      <c r="E151" s="23" t="n">
        <f aca="false">E147*E148*E150/1000000</f>
        <v>52.8253583083675</v>
      </c>
      <c r="F151" s="23" t="n">
        <f aca="false">F147*F148*F150/1000000</f>
        <v>46.4202836134779</v>
      </c>
      <c r="G151" s="23" t="n">
        <f aca="false">G147*G148*G150/1000000</f>
        <v>47.9508983704629</v>
      </c>
    </row>
    <row r="152" customFormat="false" ht="17.15" hidden="false" customHeight="false" outlineLevel="0" collapsed="false">
      <c r="A152" s="6" t="s">
        <v>550</v>
      </c>
    </row>
    <row r="153" customFormat="false" ht="17.15" hidden="false" customHeight="false" outlineLevel="0" collapsed="false">
      <c r="A153" s="0" t="s">
        <v>551</v>
      </c>
      <c r="B153" s="4" t="s">
        <v>42</v>
      </c>
      <c r="D153" s="22" t="n">
        <f aca="false">0</f>
        <v>0</v>
      </c>
      <c r="E153" s="22" t="n">
        <f aca="false">vcap27*vcap_adj</f>
        <v>144</v>
      </c>
      <c r="F153" s="22" t="n">
        <f aca="false">vcap28*vcap_adj</f>
        <v>360</v>
      </c>
      <c r="G153" s="22" t="n">
        <f aca="false">vcap29*vcap_adj</f>
        <v>504</v>
      </c>
    </row>
    <row r="154" customFormat="false" ht="17.15" hidden="false" customHeight="false" outlineLevel="0" collapsed="false">
      <c r="A154" s="0" t="s">
        <v>552</v>
      </c>
      <c r="B154" s="0" t="s">
        <v>48</v>
      </c>
      <c r="E154" s="20" t="n">
        <f aca="false">vut_C</f>
        <v>0.65</v>
      </c>
      <c r="F154" s="20" t="n">
        <f aca="false">vut_C</f>
        <v>0.65</v>
      </c>
      <c r="G154" s="20" t="n">
        <f aca="false">vut_C</f>
        <v>0.65</v>
      </c>
    </row>
    <row r="155" customFormat="false" ht="17.15" hidden="false" customHeight="false" outlineLevel="0" collapsed="false">
      <c r="A155" s="0" t="s">
        <v>553</v>
      </c>
      <c r="B155" s="4" t="s">
        <v>42</v>
      </c>
      <c r="D155" s="22" t="n">
        <f aca="false">0</f>
        <v>0</v>
      </c>
      <c r="E155" s="22" t="n">
        <f aca="false">E153*E154</f>
        <v>93.6</v>
      </c>
      <c r="F155" s="22" t="n">
        <f aca="false">F153*F154</f>
        <v>234</v>
      </c>
      <c r="G155" s="22" t="n">
        <f aca="false">G153*G154</f>
        <v>327.6</v>
      </c>
    </row>
    <row r="156" customFormat="false" ht="17.15" hidden="false" customHeight="false" outlineLevel="0" collapsed="false">
      <c r="A156" s="0" t="s">
        <v>554</v>
      </c>
      <c r="B156" s="0" t="s">
        <v>184</v>
      </c>
      <c r="D156" s="23" t="n">
        <f aca="false">0</f>
        <v>0</v>
      </c>
      <c r="E156" s="23" t="n">
        <f aca="false">E155*vasp*E150/1000000</f>
        <v>5.39136</v>
      </c>
      <c r="F156" s="23" t="n">
        <f aca="false">F155*vasp*F150/1000000</f>
        <v>13.4784</v>
      </c>
      <c r="G156" s="23" t="n">
        <f aca="false">G155*vasp*G150/1000000</f>
        <v>18.86976</v>
      </c>
    </row>
    <row r="157" customFormat="false" ht="17.15" hidden="false" customHeight="false" outlineLevel="0" collapsed="false">
      <c r="A157" s="4" t="s">
        <v>400</v>
      </c>
      <c r="B157" s="0" t="s">
        <v>184</v>
      </c>
      <c r="C157" s="23" t="n">
        <f aca="false">a25_rev</f>
        <v>48.591</v>
      </c>
      <c r="D157" s="23" t="n">
        <f aca="false">D151+D156</f>
        <v>58.65206</v>
      </c>
      <c r="E157" s="23" t="n">
        <f aca="false">E151+E156</f>
        <v>58.2167183083675</v>
      </c>
      <c r="F157" s="23" t="n">
        <f aca="false">F151+F156</f>
        <v>59.8986836134779</v>
      </c>
      <c r="G157" s="23" t="n">
        <f aca="false">G151+G156</f>
        <v>66.8206583704629</v>
      </c>
      <c r="H157" s="29" t="n">
        <f aca="false">G157*(1+H160)</f>
        <v>72.4140545845787</v>
      </c>
      <c r="I157" s="29" t="n">
        <f aca="false">H157*(1+I160)</f>
        <v>76.1689980934585</v>
      </c>
      <c r="J157" s="29" t="n">
        <f aca="false">I157*(1+J160)</f>
        <v>77.6923780553276</v>
      </c>
      <c r="K157" s="8" t="s">
        <v>555</v>
      </c>
    </row>
    <row r="158" customFormat="false" ht="17.15" hidden="false" customHeight="false" outlineLevel="0" collapsed="false">
      <c r="A158" s="0" t="s">
        <v>556</v>
      </c>
      <c r="B158" s="0" t="s">
        <v>48</v>
      </c>
      <c r="D158" s="20" t="n">
        <f aca="false">D156/D157</f>
        <v>0</v>
      </c>
      <c r="E158" s="20" t="n">
        <f aca="false">E156/E157</f>
        <v>0.0926084491991212</v>
      </c>
      <c r="F158" s="20" t="n">
        <f aca="false">F156/F157</f>
        <v>0.225019970171218</v>
      </c>
      <c r="G158" s="20" t="n">
        <f aca="false">G156/G157</f>
        <v>0.28239410475999</v>
      </c>
    </row>
    <row r="159" customFormat="false" ht="17.15" hidden="false" customHeight="false" outlineLevel="0" collapsed="false">
      <c r="A159" s="0" t="s">
        <v>557</v>
      </c>
      <c r="B159" s="0" t="s">
        <v>48</v>
      </c>
      <c r="D159" s="20" t="n">
        <f aca="false">ai_sh26</f>
        <v>0.1</v>
      </c>
      <c r="E159" s="20" t="n">
        <f aca="false">ai_sh27_C</f>
        <v>0.15</v>
      </c>
      <c r="F159" s="20" t="n">
        <f aca="false">ai_sh27_C</f>
        <v>0.15</v>
      </c>
      <c r="G159" s="20" t="n">
        <f aca="false">ai_sh27_C</f>
        <v>0.15</v>
      </c>
    </row>
    <row r="160" customFormat="false" ht="15" hidden="false" customHeight="false" outlineLevel="0" collapsed="false">
      <c r="A160" s="4" t="s">
        <v>558</v>
      </c>
      <c r="B160" s="0" t="s">
        <v>48</v>
      </c>
      <c r="D160" s="20" t="n">
        <f aca="false">D157/C157-1</f>
        <v>0.207056039184211</v>
      </c>
      <c r="E160" s="20" t="n">
        <f aca="false">E157/D157-1</f>
        <v>-0.0074224450365854</v>
      </c>
      <c r="F160" s="20" t="n">
        <f aca="false">F157/E157-1</f>
        <v>0.028891448264075</v>
      </c>
      <c r="G160" s="20" t="n">
        <f aca="false">G157/F157-1</f>
        <v>0.115561383646625</v>
      </c>
      <c r="H160" s="27" t="n">
        <f aca="false">$G160+(fade_gC-$G160)*1/3</f>
        <v>0.0837075890977501</v>
      </c>
      <c r="I160" s="27" t="n">
        <f aca="false">$G160+(fade_gC-$G160)*2/3</f>
        <v>0.0518537945488751</v>
      </c>
      <c r="J160" s="27" t="n">
        <f aca="false">$G160+(fade_gC-$G160)*3/3</f>
        <v>0.02</v>
      </c>
    </row>
    <row r="161" customFormat="false" ht="17.15" hidden="false" customHeight="false" outlineLevel="0" collapsed="false">
      <c r="A161" s="6" t="s">
        <v>559</v>
      </c>
    </row>
    <row r="162" customFormat="false" ht="15" hidden="false" customHeight="false" outlineLevel="0" collapsed="false">
      <c r="A162" s="4" t="s">
        <v>560</v>
      </c>
      <c r="B162" s="0" t="s">
        <v>184</v>
      </c>
      <c r="D162" s="23" t="n">
        <f aca="false">da_tot26*da_sh</f>
        <v>8.658</v>
      </c>
      <c r="E162" s="23" t="n">
        <f aca="false">D162*(1+dag_27+dag_adj)</f>
        <v>8.91774</v>
      </c>
      <c r="F162" s="23" t="n">
        <f aca="false">E162*(1+dag_28+dag_adj)</f>
        <v>9.0960948</v>
      </c>
      <c r="G162" s="23" t="n">
        <f aca="false">F162*(1+dag_29+dag_adj)</f>
        <v>9.0960948</v>
      </c>
    </row>
    <row r="163" customFormat="false" ht="17.15" hidden="false" customHeight="false" outlineLevel="0" collapsed="false">
      <c r="A163" s="4" t="s">
        <v>561</v>
      </c>
      <c r="B163" s="0" t="s">
        <v>562</v>
      </c>
      <c r="D163" s="23" t="n">
        <f aca="false">(D151-a26_gp-D162)/D147*1000</f>
        <v>10.7339918911001</v>
      </c>
      <c r="E163" s="23" t="n">
        <f aca="false">D163*(1+cc_g)</f>
        <v>10.9486717289221</v>
      </c>
      <c r="F163" s="23" t="n">
        <f aca="false">E163*(1+cc_g)</f>
        <v>11.1676451635006</v>
      </c>
      <c r="G163" s="23" t="n">
        <f aca="false">F163*(1+cc_g)</f>
        <v>11.3909980667706</v>
      </c>
      <c r="K163" s="8" t="s">
        <v>563</v>
      </c>
    </row>
    <row r="164" customFormat="false" ht="17.15" hidden="false" customHeight="false" outlineLevel="0" collapsed="false">
      <c r="A164" s="4" t="s">
        <v>564</v>
      </c>
      <c r="B164" s="0" t="s">
        <v>184</v>
      </c>
      <c r="D164" s="23" t="n">
        <f aca="false">D163*D147/1000</f>
        <v>30.9620386</v>
      </c>
      <c r="E164" s="23" t="n">
        <f aca="false">E163*E147/1000</f>
        <v>28.9570469886533</v>
      </c>
      <c r="F164" s="23" t="n">
        <f aca="false">F163*F147/1000</f>
        <v>27.3209738337944</v>
      </c>
      <c r="G164" s="23" t="n">
        <f aca="false">G163*G147/1000</f>
        <v>29.37373889482</v>
      </c>
    </row>
    <row r="165" customFormat="false" ht="17.15" hidden="false" customHeight="false" outlineLevel="0" collapsed="false">
      <c r="A165" s="0" t="s">
        <v>565</v>
      </c>
      <c r="B165" s="0" t="s">
        <v>48</v>
      </c>
      <c r="E165" s="20" t="n">
        <f aca="false">vgm27_C</f>
        <v>-0.2</v>
      </c>
      <c r="F165" s="20" t="n">
        <f aca="false">vgm28_C</f>
        <v>0</v>
      </c>
      <c r="G165" s="20" t="n">
        <f aca="false">vgm29_C</f>
        <v>0.05</v>
      </c>
    </row>
    <row r="166" customFormat="false" ht="17.15" hidden="false" customHeight="false" outlineLevel="0" collapsed="false">
      <c r="A166" s="0" t="s">
        <v>566</v>
      </c>
      <c r="B166" s="0" t="s">
        <v>184</v>
      </c>
      <c r="D166" s="23" t="n">
        <f aca="false">0</f>
        <v>0</v>
      </c>
      <c r="E166" s="23" t="n">
        <f aca="false">E156*E165</f>
        <v>-1.078272</v>
      </c>
      <c r="F166" s="23" t="n">
        <f aca="false">F156*F165</f>
        <v>0</v>
      </c>
      <c r="G166" s="23" t="n">
        <f aca="false">G156*G165</f>
        <v>0.943488</v>
      </c>
    </row>
    <row r="167" customFormat="false" ht="15" hidden="false" customHeight="false" outlineLevel="0" collapsed="false">
      <c r="A167" s="4" t="s">
        <v>417</v>
      </c>
      <c r="B167" s="0" t="s">
        <v>184</v>
      </c>
      <c r="C167" s="23" t="n">
        <f aca="false">a25_gp</f>
        <v>13.654</v>
      </c>
      <c r="D167" s="23" t="n">
        <f aca="false">D151-D162-D164+D166</f>
        <v>19.0320214</v>
      </c>
      <c r="E167" s="23" t="n">
        <f aca="false">E151-E162-E164+E166</f>
        <v>13.8722993197142</v>
      </c>
      <c r="F167" s="23" t="n">
        <f aca="false">F151-F162-F164+F166</f>
        <v>10.0032149796835</v>
      </c>
      <c r="G167" s="23" t="n">
        <f aca="false">G151-G162-G164+G166</f>
        <v>10.4245526756429</v>
      </c>
    </row>
    <row r="168" customFormat="false" ht="15" hidden="false" customHeight="false" outlineLevel="0" collapsed="false">
      <c r="A168" s="4" t="s">
        <v>420</v>
      </c>
      <c r="B168" s="0" t="s">
        <v>48</v>
      </c>
      <c r="C168" s="16" t="n">
        <f aca="false">C167/C157</f>
        <v>0.280998538824062</v>
      </c>
      <c r="D168" s="16" t="n">
        <f aca="false">D167/D157</f>
        <v>0.324490246378388</v>
      </c>
      <c r="E168" s="16" t="n">
        <f aca="false">E167/E157</f>
        <v>0.238287208946306</v>
      </c>
      <c r="F168" s="16" t="n">
        <f aca="false">F167/F157</f>
        <v>0.167002250737822</v>
      </c>
      <c r="G168" s="16" t="n">
        <f aca="false">G167/G157</f>
        <v>0.156007931227611</v>
      </c>
    </row>
    <row r="169" customFormat="false" ht="15" hidden="false" customHeight="false" outlineLevel="0" collapsed="false">
      <c r="A169" s="4" t="s">
        <v>422</v>
      </c>
      <c r="B169" s="0" t="s">
        <v>184</v>
      </c>
      <c r="C169" s="23" t="n">
        <f aca="false">a25_opx</f>
        <v>5.881</v>
      </c>
      <c r="D169" s="23" t="n">
        <f aca="false">a26_opx</f>
        <v>6.824187</v>
      </c>
      <c r="E169" s="23" t="n">
        <f aca="false">D169*(1+MAX(g_opx_min,phi*E160))</f>
        <v>7.02891261</v>
      </c>
      <c r="F169" s="23" t="n">
        <f aca="false">E169*(1+MAX(g_opx_min,phi*F160))</f>
        <v>7.2397799883</v>
      </c>
      <c r="G169" s="23" t="n">
        <f aca="false">F169*(1+MAX(g_opx_min,phi*G160))</f>
        <v>7.65809948467255</v>
      </c>
    </row>
    <row r="170" customFormat="false" ht="15" hidden="false" customHeight="false" outlineLevel="0" collapsed="false">
      <c r="A170" s="4" t="s">
        <v>425</v>
      </c>
      <c r="B170" s="0" t="s">
        <v>184</v>
      </c>
      <c r="C170" s="23" t="n">
        <f aca="false">C167-C169</f>
        <v>7.773</v>
      </c>
      <c r="D170" s="23" t="n">
        <f aca="false">D167-D169</f>
        <v>12.2078344</v>
      </c>
      <c r="E170" s="23" t="n">
        <f aca="false">E167-E169</f>
        <v>6.8433867097142</v>
      </c>
      <c r="F170" s="23" t="n">
        <f aca="false">F167-F169</f>
        <v>2.76343499138354</v>
      </c>
      <c r="G170" s="23" t="n">
        <f aca="false">G167-G169</f>
        <v>2.76645319097031</v>
      </c>
    </row>
    <row r="171" customFormat="false" ht="15" hidden="false" customHeight="false" outlineLevel="0" collapsed="false">
      <c r="A171" s="4" t="s">
        <v>531</v>
      </c>
      <c r="B171" s="0" t="s">
        <v>48</v>
      </c>
      <c r="C171" s="16" t="n">
        <f aca="false">C170/C157</f>
        <v>0.159967895289251</v>
      </c>
      <c r="D171" s="16" t="n">
        <f aca="false">D170/D157</f>
        <v>0.208139908470393</v>
      </c>
      <c r="E171" s="16" t="n">
        <f aca="false">E170/E157</f>
        <v>0.117550197066512</v>
      </c>
      <c r="F171" s="16" t="n">
        <f aca="false">F170/F157</f>
        <v>0.046135153974598</v>
      </c>
      <c r="G171" s="16" t="n">
        <f aca="false">G170/G157</f>
        <v>0.0414011663224375</v>
      </c>
    </row>
    <row r="172" customFormat="false" ht="15" hidden="false" customHeight="false" outlineLevel="0" collapsed="false">
      <c r="A172" s="4" t="s">
        <v>428</v>
      </c>
      <c r="B172" s="0" t="s">
        <v>184</v>
      </c>
      <c r="C172" s="23" t="n">
        <f aca="false">a25_nonop</f>
        <v>1.479</v>
      </c>
      <c r="D172" s="23" t="n">
        <f aca="false">a26_nonop</f>
        <v>2.10950832169955</v>
      </c>
      <c r="E172" s="23" t="n">
        <f aca="false">nonop_f</f>
        <v>1.5</v>
      </c>
      <c r="F172" s="23" t="n">
        <f aca="false">nonop_f</f>
        <v>1.5</v>
      </c>
      <c r="G172" s="23" t="n">
        <f aca="false">nonop_f</f>
        <v>1.5</v>
      </c>
    </row>
    <row r="173" customFormat="false" ht="15" hidden="false" customHeight="false" outlineLevel="0" collapsed="false">
      <c r="A173" s="4" t="s">
        <v>430</v>
      </c>
      <c r="B173" s="0" t="s">
        <v>184</v>
      </c>
      <c r="C173" s="23" t="n">
        <f aca="false">C170+C172</f>
        <v>9.252</v>
      </c>
      <c r="D173" s="23" t="n">
        <f aca="false">D170+D172</f>
        <v>14.3173427216995</v>
      </c>
      <c r="E173" s="23" t="n">
        <f aca="false">E170+E172</f>
        <v>8.3433867097142</v>
      </c>
      <c r="F173" s="23" t="n">
        <f aca="false">F170+F172</f>
        <v>4.26343499138354</v>
      </c>
      <c r="G173" s="23" t="n">
        <f aca="false">G170+G172</f>
        <v>4.26645319097031</v>
      </c>
    </row>
    <row r="174" customFormat="false" ht="15" hidden="false" customHeight="false" outlineLevel="0" collapsed="false">
      <c r="A174" s="4" t="s">
        <v>432</v>
      </c>
      <c r="B174" s="0" t="s">
        <v>184</v>
      </c>
      <c r="C174" s="23" t="n">
        <f aca="false">a25_tax</f>
        <v>1.344</v>
      </c>
      <c r="D174" s="23" t="n">
        <f aca="false">a26_tax</f>
        <v>2.0798215108046</v>
      </c>
      <c r="E174" s="23" t="n">
        <f aca="false">E173*tax</f>
        <v>1.25150800645713</v>
      </c>
      <c r="F174" s="23" t="n">
        <f aca="false">F173*tax</f>
        <v>0.63951524870753</v>
      </c>
      <c r="G174" s="23" t="n">
        <f aca="false">G173*tax</f>
        <v>0.639967978645546</v>
      </c>
    </row>
    <row r="175" customFormat="false" ht="17.15" hidden="false" customHeight="false" outlineLevel="0" collapsed="false">
      <c r="A175" s="4" t="s">
        <v>567</v>
      </c>
      <c r="B175" s="0" t="s">
        <v>184</v>
      </c>
      <c r="C175" s="23" t="n">
        <f aca="false">a25_mi</f>
        <v>0</v>
      </c>
      <c r="D175" s="23" t="n">
        <f aca="false">a26_mi</f>
        <v>0</v>
      </c>
      <c r="E175" s="23" t="n">
        <f aca="false">vmi*E166*(1-tax)</f>
        <v>-0.36661248</v>
      </c>
      <c r="F175" s="23" t="n">
        <f aca="false">vmi*F166*(1-tax)</f>
        <v>0</v>
      </c>
      <c r="G175" s="23" t="n">
        <f aca="false">vmi*G166*(1-tax)</f>
        <v>0.32078592</v>
      </c>
      <c r="K175" s="8" t="s">
        <v>568</v>
      </c>
    </row>
    <row r="176" customFormat="false" ht="15" hidden="false" customHeight="false" outlineLevel="0" collapsed="false">
      <c r="A176" s="4" t="s">
        <v>435</v>
      </c>
      <c r="B176" s="0" t="s">
        <v>184</v>
      </c>
      <c r="C176" s="23" t="n">
        <f aca="false">C173-C174-C175</f>
        <v>7.908</v>
      </c>
      <c r="D176" s="23" t="n">
        <f aca="false">D173-D174-D175</f>
        <v>12.2375212108949</v>
      </c>
      <c r="E176" s="23" t="n">
        <f aca="false">E173-E174-E175</f>
        <v>7.45849118325707</v>
      </c>
      <c r="F176" s="23" t="n">
        <f aca="false">F173-F174-F175</f>
        <v>3.62391974267601</v>
      </c>
      <c r="G176" s="23" t="n">
        <f aca="false">G173-G174-G175</f>
        <v>3.30569929232476</v>
      </c>
      <c r="H176" s="29" t="n">
        <f aca="false">H157*H180</f>
        <v>3.34358398300958</v>
      </c>
      <c r="I176" s="29" t="n">
        <f aca="false">I157*I180</f>
        <v>3.26574996421279</v>
      </c>
      <c r="J176" s="29" t="n">
        <f aca="false">J157*J180</f>
        <v>3.0748291970742</v>
      </c>
    </row>
    <row r="177" customFormat="false" ht="15" hidden="false" customHeight="false" outlineLevel="0" collapsed="false">
      <c r="A177" s="4" t="s">
        <v>569</v>
      </c>
      <c r="B177" s="4" t="s">
        <v>265</v>
      </c>
      <c r="C177" s="10" t="n">
        <f aca="false">a25_sh</f>
        <v>1.8739336492891</v>
      </c>
      <c r="D177" s="10" t="n">
        <f aca="false">a26_sh</f>
        <v>1.90613591916558</v>
      </c>
      <c r="E177" s="10" t="n">
        <f aca="false">q_sh*(1+sh_g)</f>
        <v>1.90705128205128</v>
      </c>
      <c r="F177" s="10" t="n">
        <f aca="false">E177*(1+sh_g)</f>
        <v>1.90705128205128</v>
      </c>
      <c r="G177" s="10" t="n">
        <f aca="false">F177*(1+sh_g)</f>
        <v>1.90705128205128</v>
      </c>
      <c r="H177" s="31" t="n">
        <f aca="false">G177*(1+sh_g)</f>
        <v>1.90705128205128</v>
      </c>
      <c r="I177" s="31" t="n">
        <f aca="false">H177*(1+sh_g)</f>
        <v>1.90705128205128</v>
      </c>
      <c r="J177" s="31" t="n">
        <f aca="false">I177*(1+sh_g)</f>
        <v>1.90705128205128</v>
      </c>
    </row>
    <row r="178" customFormat="false" ht="17.15" hidden="false" customHeight="false" outlineLevel="0" collapsed="false">
      <c r="A178" s="0" t="s">
        <v>442</v>
      </c>
      <c r="B178" s="0" t="s">
        <v>274</v>
      </c>
      <c r="C178" s="23" t="n">
        <f aca="false">C176/C177</f>
        <v>4.22</v>
      </c>
      <c r="D178" s="23" t="n">
        <f aca="false">D176/D177</f>
        <v>6.42006747150118</v>
      </c>
      <c r="E178" s="23" t="n">
        <f aca="false">E176/E177</f>
        <v>3.91100714147261</v>
      </c>
      <c r="F178" s="23" t="n">
        <f aca="false">F176/F177</f>
        <v>1.90027388187381</v>
      </c>
      <c r="G178" s="23" t="n">
        <f aca="false">G176/G177</f>
        <v>1.73340870454677</v>
      </c>
      <c r="H178" s="29" t="n">
        <f aca="false">H176/H177</f>
        <v>1.7532742902504</v>
      </c>
      <c r="I178" s="29" t="n">
        <f aca="false">I176/I177</f>
        <v>1.71246048543595</v>
      </c>
      <c r="J178" s="29" t="n">
        <f aca="false">J176/J177</f>
        <v>1.61234741090277</v>
      </c>
    </row>
    <row r="179" customFormat="false" ht="17.15" hidden="false" customHeight="false" outlineLevel="0" collapsed="false">
      <c r="A179" s="0" t="s">
        <v>570</v>
      </c>
      <c r="B179" s="0" t="s">
        <v>48</v>
      </c>
      <c r="D179" s="20" t="n">
        <f aca="false">D178/C178-1</f>
        <v>0.521343002725398</v>
      </c>
      <c r="E179" s="20" t="n">
        <f aca="false">E178/D178-1</f>
        <v>-0.390815258743984</v>
      </c>
      <c r="F179" s="20" t="n">
        <f aca="false">F178/E178-1</f>
        <v>-0.514121602662609</v>
      </c>
      <c r="G179" s="20" t="n">
        <f aca="false">G178/F178-1</f>
        <v>-0.0878111197121222</v>
      </c>
      <c r="H179" s="27" t="n">
        <f aca="false">H178/G178-1</f>
        <v>0.0114604164912335</v>
      </c>
      <c r="I179" s="27" t="n">
        <f aca="false">I178/H178-1</f>
        <v>-0.0232786193474733</v>
      </c>
      <c r="J179" s="27" t="n">
        <f aca="false">J178/I178-1</f>
        <v>-0.0584615384615382</v>
      </c>
    </row>
    <row r="180" customFormat="false" ht="17.15" hidden="false" customHeight="false" outlineLevel="0" collapsed="false">
      <c r="A180" s="4" t="s">
        <v>571</v>
      </c>
      <c r="B180" s="0" t="s">
        <v>48</v>
      </c>
      <c r="C180" s="16" t="n">
        <f aca="false">C176/C157</f>
        <v>0.162746187565599</v>
      </c>
      <c r="D180" s="16" t="n">
        <f aca="false">D176/D157</f>
        <v>0.208646059676249</v>
      </c>
      <c r="E180" s="16" t="n">
        <f aca="false">E176/E157</f>
        <v>0.128115967371267</v>
      </c>
      <c r="F180" s="16" t="n">
        <f aca="false">F176/F157</f>
        <v>0.0605008244598648</v>
      </c>
      <c r="G180" s="16" t="n">
        <f aca="false">G176/G157</f>
        <v>0.0494712170298819</v>
      </c>
      <c r="H180" s="28" t="n">
        <f aca="false">$G180+(fade_mC-$G180)*1/3</f>
        <v>0.0461731358945564</v>
      </c>
      <c r="I180" s="28" t="n">
        <f aca="false">$G180+(fade_mC-$G180)*2/3</f>
        <v>0.042875054759231</v>
      </c>
      <c r="J180" s="28" t="n">
        <f aca="false">$G180+(fade_mC-$G180)*3/3</f>
        <v>0.0395769736239055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574</v>
      </c>
    </row>
    <row r="2" customFormat="false" ht="17.15" hidden="false" customHeight="false" outlineLevel="0" collapsed="false">
      <c r="A2" s="4" t="s">
        <v>575</v>
      </c>
    </row>
    <row r="4" customFormat="false" ht="17.15" hidden="false" customHeight="false" outlineLevel="0" collapsed="false">
      <c r="A4" s="6" t="s">
        <v>576</v>
      </c>
    </row>
    <row r="5" customFormat="false" ht="17.15" hidden="false" customHeight="false" outlineLevel="0" collapsed="false">
      <c r="A5" s="6" t="s">
        <v>577</v>
      </c>
    </row>
    <row r="6" customFormat="false" ht="17.15" hidden="false" customHeight="false" outlineLevel="0" collapsed="false">
      <c r="A6" s="5" t="s">
        <v>24</v>
      </c>
      <c r="B6" s="17" t="s">
        <v>578</v>
      </c>
      <c r="C6" s="17" t="s">
        <v>579</v>
      </c>
      <c r="D6" s="17" t="s">
        <v>580</v>
      </c>
      <c r="E6" s="5" t="s">
        <v>357</v>
      </c>
    </row>
    <row r="7" customFormat="false" ht="17.15" hidden="false" customHeight="false" outlineLevel="0" collapsed="false">
      <c r="A7" s="4" t="s">
        <v>581</v>
      </c>
      <c r="E7" s="0" t="s">
        <v>582</v>
      </c>
    </row>
    <row r="8" customFormat="false" ht="15" hidden="false" customHeight="false" outlineLevel="0" collapsed="false">
      <c r="A8" s="0" t="s">
        <v>583</v>
      </c>
      <c r="B8" s="23" t="n">
        <f aca="false">PL!E16</f>
        <v>8.52912012651965</v>
      </c>
      <c r="C8" s="23" t="n">
        <f aca="false">PL!E31</f>
        <v>6.8826326315733</v>
      </c>
      <c r="D8" s="23" t="n">
        <f aca="false">PL!E46</f>
        <v>3.91100714147261</v>
      </c>
    </row>
    <row r="9" customFormat="false" ht="15" hidden="false" customHeight="false" outlineLevel="0" collapsed="false">
      <c r="A9" s="0" t="s">
        <v>584</v>
      </c>
      <c r="B9" s="23" t="n">
        <f aca="false">PL!F16</f>
        <v>9.2172641933284</v>
      </c>
      <c r="C9" s="23" t="n">
        <f aca="false">PL!F31</f>
        <v>6.37136347071553</v>
      </c>
      <c r="D9" s="23" t="n">
        <f aca="false">PL!F46</f>
        <v>1.90027388187381</v>
      </c>
    </row>
    <row r="10" customFormat="false" ht="15" hidden="false" customHeight="false" outlineLevel="0" collapsed="false">
      <c r="A10" s="0" t="s">
        <v>585</v>
      </c>
      <c r="B10" s="23" t="n">
        <f aca="false">PL!G16</f>
        <v>9.64260334720563</v>
      </c>
      <c r="C10" s="23" t="n">
        <f aca="false">PL!G31</f>
        <v>6.65161105637187</v>
      </c>
      <c r="D10" s="23" t="n">
        <f aca="false">PL!G46</f>
        <v>1.73340870454677</v>
      </c>
    </row>
    <row r="11" customFormat="false" ht="15" hidden="false" customHeight="false" outlineLevel="0" collapsed="false">
      <c r="A11" s="0" t="s">
        <v>586</v>
      </c>
      <c r="B11" s="23" t="n">
        <f aca="false">PL!H16</f>
        <v>10.3779454159344</v>
      </c>
      <c r="C11" s="23" t="n">
        <f aca="false">PL!H31</f>
        <v>6.92464733819227</v>
      </c>
      <c r="D11" s="23" t="n">
        <f aca="false">PL!H46</f>
        <v>1.7532742902504</v>
      </c>
    </row>
    <row r="12" customFormat="false" ht="15" hidden="false" customHeight="false" outlineLevel="0" collapsed="false">
      <c r="A12" s="0" t="s">
        <v>587</v>
      </c>
      <c r="B12" s="23" t="n">
        <f aca="false">PL!I16</f>
        <v>11.0849932967096</v>
      </c>
      <c r="C12" s="23" t="n">
        <f aca="false">PL!I31</f>
        <v>7.07681024740374</v>
      </c>
      <c r="D12" s="23" t="n">
        <f aca="false">PL!I46</f>
        <v>1.71246048543595</v>
      </c>
    </row>
    <row r="13" customFormat="false" ht="15" hidden="false" customHeight="false" outlineLevel="0" collapsed="false">
      <c r="A13" s="0" t="s">
        <v>588</v>
      </c>
      <c r="B13" s="23" t="n">
        <f aca="false">PL!J16</f>
        <v>11.7500928945122</v>
      </c>
      <c r="C13" s="23" t="n">
        <f aca="false">PL!J31</f>
        <v>7.09702970525346</v>
      </c>
      <c r="D13" s="23" t="n">
        <f aca="false">PL!J46</f>
        <v>1.61234741090277</v>
      </c>
    </row>
    <row r="14" customFormat="false" ht="17.15" hidden="false" customHeight="false" outlineLevel="0" collapsed="false">
      <c r="A14" s="4" t="s">
        <v>589</v>
      </c>
    </row>
    <row r="15" customFormat="false" ht="17.15" hidden="false" customHeight="false" outlineLevel="0" collapsed="false">
      <c r="A15" s="4" t="s">
        <v>590</v>
      </c>
      <c r="B15" s="20" t="n">
        <f aca="false">MIN(tp_g/tp_roe,0.8)</f>
        <v>0.309917355371901</v>
      </c>
      <c r="E15" s="8" t="s">
        <v>591</v>
      </c>
    </row>
    <row r="16" customFormat="false" ht="15" hidden="false" customHeight="false" outlineLevel="0" collapsed="false">
      <c r="A16" s="0" t="s">
        <v>583</v>
      </c>
      <c r="B16" s="23" t="n">
        <f aca="false">B8*(1-$B$15)</f>
        <v>5.88579777325943</v>
      </c>
      <c r="C16" s="23" t="n">
        <f aca="false">C8*(1-$B$15)</f>
        <v>4.74958532839976</v>
      </c>
      <c r="D16" s="23" t="n">
        <f aca="false">D8*(1-$B$15)</f>
        <v>2.6989181513468</v>
      </c>
    </row>
    <row r="17" customFormat="false" ht="15" hidden="false" customHeight="false" outlineLevel="0" collapsed="false">
      <c r="A17" s="0" t="s">
        <v>584</v>
      </c>
      <c r="B17" s="23" t="n">
        <f aca="false">B9*(1-$B$15)</f>
        <v>6.36067405076795</v>
      </c>
      <c r="C17" s="23" t="n">
        <f aca="false">C9*(1-$B$15)</f>
        <v>4.39676735375824</v>
      </c>
      <c r="D17" s="23" t="n">
        <f aca="false">D9*(1-$B$15)</f>
        <v>1.31134602592118</v>
      </c>
    </row>
    <row r="18" customFormat="false" ht="15" hidden="false" customHeight="false" outlineLevel="0" collapsed="false">
      <c r="A18" s="0" t="s">
        <v>585</v>
      </c>
      <c r="B18" s="23" t="n">
        <f aca="false">B10*(1-$B$15)</f>
        <v>6.65419321893943</v>
      </c>
      <c r="C18" s="23" t="n">
        <f aca="false">C10*(1-$B$15)</f>
        <v>4.5901613488186</v>
      </c>
      <c r="D18" s="23" t="n">
        <f aca="false">D10*(1-$B$15)</f>
        <v>1.196195263055</v>
      </c>
    </row>
    <row r="19" customFormat="false" ht="15" hidden="false" customHeight="false" outlineLevel="0" collapsed="false">
      <c r="A19" s="0" t="s">
        <v>586</v>
      </c>
      <c r="B19" s="23" t="n">
        <f aca="false">B11*(1-$B$15)</f>
        <v>7.16164001843406</v>
      </c>
      <c r="C19" s="23" t="n">
        <f aca="false">C11*(1-$B$15)</f>
        <v>4.77857894825665</v>
      </c>
      <c r="D19" s="23" t="n">
        <f aca="false">D11*(1-$B$15)</f>
        <v>1.20990415897445</v>
      </c>
    </row>
    <row r="20" customFormat="false" ht="15" hidden="false" customHeight="false" outlineLevel="0" collapsed="false">
      <c r="A20" s="0" t="s">
        <v>587</v>
      </c>
      <c r="B20" s="23" t="n">
        <f aca="false">B12*(1-$B$15)</f>
        <v>7.64956148987812</v>
      </c>
      <c r="C20" s="23" t="n">
        <f aca="false">C12*(1-$B$15)</f>
        <v>4.8835839310596</v>
      </c>
      <c r="D20" s="23" t="n">
        <f aca="false">D12*(1-$B$15)</f>
        <v>1.18173926061076</v>
      </c>
    </row>
    <row r="21" customFormat="false" ht="15" hidden="false" customHeight="false" outlineLevel="0" collapsed="false">
      <c r="A21" s="0" t="s">
        <v>588</v>
      </c>
      <c r="B21" s="23" t="n">
        <f aca="false">B13*(1-$B$15)</f>
        <v>8.10853517927081</v>
      </c>
      <c r="C21" s="23" t="n">
        <f aca="false">C13*(1-$B$15)</f>
        <v>4.89753702800549</v>
      </c>
      <c r="D21" s="23" t="n">
        <f aca="false">D13*(1-$B$15)</f>
        <v>1.11265296537505</v>
      </c>
    </row>
    <row r="22" customFormat="false" ht="17.15" hidden="false" customHeight="false" outlineLevel="0" collapsed="false">
      <c r="A22" s="0" t="s">
        <v>592</v>
      </c>
      <c r="B22" s="23" t="n">
        <f aca="false">MAX(0,SUMPRODUCT(B16:B21,1/(1+tp_r)^{1;2;3;4;5;6})+B21*(1+tp_g)/(tp_r-tp_g)/(1+tp_r)^6)</f>
        <v>109.160853378321</v>
      </c>
      <c r="C22" s="23" t="n">
        <f aca="false">MAX(0,SUMPRODUCT(C16:C21,1/(1+tp_r)^{1;2;3;4;5;6})+C21*(1+tp_g)/(tp_r-tp_g)/(1+tp_r)^6)</f>
        <v>68.3793943327266</v>
      </c>
      <c r="D22" s="23" t="n">
        <f aca="false">MAX(0,SUMPRODUCT(D16:D21,1/(1+tp_r)^{1;2;3;4;5;6})+D21*(1+tp_g)/(tp_r-tp_g)/(1+tp_r)^6)</f>
        <v>17.5106853228178</v>
      </c>
      <c r="E22" s="8" t="s">
        <v>593</v>
      </c>
    </row>
    <row r="23" customFormat="false" ht="17.15" hidden="false" customHeight="false" outlineLevel="0" collapsed="false">
      <c r="A23" s="0" t="s">
        <v>594</v>
      </c>
      <c r="B23" s="23" t="n">
        <f aca="false">B22*(1+tp_r)</f>
        <v>120.076938716153</v>
      </c>
      <c r="C23" s="23" t="n">
        <f aca="false">C22*(1+tp_r)</f>
        <v>75.2173337659993</v>
      </c>
      <c r="D23" s="23" t="n">
        <f aca="false">D22*(1+tp_r)</f>
        <v>19.2617538550996</v>
      </c>
    </row>
    <row r="24" customFormat="false" ht="17.15" hidden="false" customHeight="false" outlineLevel="0" collapsed="false">
      <c r="A24" s="0" t="s">
        <v>595</v>
      </c>
      <c r="B24" s="32" t="n">
        <f aca="false">tp_wA*B23+tp_wB*C23+tp_wC*D23</f>
        <v>77.4840992688656</v>
      </c>
      <c r="E24" s="8" t="s">
        <v>596</v>
      </c>
    </row>
    <row r="26" customFormat="false" ht="17.15" hidden="false" customHeight="false" outlineLevel="0" collapsed="false">
      <c r="A26" s="6" t="s">
        <v>597</v>
      </c>
    </row>
    <row r="27" customFormat="false" ht="17.15" hidden="false" customHeight="false" outlineLevel="0" collapsed="false">
      <c r="A27" s="5" t="s">
        <v>598</v>
      </c>
      <c r="B27" s="5" t="s">
        <v>599</v>
      </c>
      <c r="C27" s="5" t="s">
        <v>600</v>
      </c>
      <c r="D27" s="5" t="s">
        <v>601</v>
      </c>
      <c r="E27" s="5" t="s">
        <v>602</v>
      </c>
      <c r="F27" s="5" t="s">
        <v>29</v>
      </c>
    </row>
    <row r="28" customFormat="false" ht="17.15" hidden="false" customHeight="false" outlineLevel="0" collapsed="false">
      <c r="A28" s="4" t="s">
        <v>603</v>
      </c>
      <c r="B28" s="0" t="s">
        <v>604</v>
      </c>
      <c r="C28" s="33" t="n">
        <v>20.22</v>
      </c>
      <c r="D28" s="8" t="s">
        <v>605</v>
      </c>
      <c r="E28" s="8" t="s">
        <v>606</v>
      </c>
      <c r="F28" s="8" t="s">
        <v>170</v>
      </c>
    </row>
    <row r="29" customFormat="false" ht="17.15" hidden="false" customHeight="false" outlineLevel="0" collapsed="false">
      <c r="A29" s="4" t="s">
        <v>607</v>
      </c>
      <c r="B29" s="0" t="s">
        <v>608</v>
      </c>
      <c r="C29" s="33" t="n">
        <v>20.04</v>
      </c>
      <c r="D29" s="8" t="s">
        <v>605</v>
      </c>
      <c r="E29" s="8" t="s">
        <v>609</v>
      </c>
      <c r="F29" s="8" t="s">
        <v>170</v>
      </c>
    </row>
    <row r="30" customFormat="false" ht="17.15" hidden="false" customHeight="false" outlineLevel="0" collapsed="false">
      <c r="A30" s="4" t="s">
        <v>610</v>
      </c>
      <c r="B30" s="0" t="s">
        <v>611</v>
      </c>
      <c r="C30" s="33" t="n">
        <v>37.14</v>
      </c>
      <c r="D30" s="8" t="s">
        <v>612</v>
      </c>
      <c r="E30" s="8" t="s">
        <v>609</v>
      </c>
      <c r="F30" s="8" t="s">
        <v>170</v>
      </c>
    </row>
    <row r="31" customFormat="false" ht="17.15" hidden="false" customHeight="false" outlineLevel="0" collapsed="false">
      <c r="A31" s="4" t="s">
        <v>613</v>
      </c>
      <c r="B31" s="0" t="s">
        <v>614</v>
      </c>
      <c r="C31" s="33" t="n">
        <v>34.63</v>
      </c>
      <c r="D31" s="8" t="s">
        <v>615</v>
      </c>
      <c r="E31" s="8" t="s">
        <v>606</v>
      </c>
      <c r="F31" s="8" t="s">
        <v>170</v>
      </c>
    </row>
    <row r="33" customFormat="false" ht="17.15" hidden="false" customHeight="false" outlineLevel="0" collapsed="false">
      <c r="A33" s="4" t="s">
        <v>616</v>
      </c>
      <c r="B33" s="34" t="n">
        <f aca="false">MEDIAN(C28:C31)</f>
        <v>27.425</v>
      </c>
      <c r="E33" s="4" t="s">
        <v>617</v>
      </c>
    </row>
    <row r="34" customFormat="false" ht="17.15" hidden="false" customHeight="false" outlineLevel="0" collapsed="false">
      <c r="A34" s="0" t="s">
        <v>618</v>
      </c>
      <c r="B34" s="23" t="n">
        <f aca="false">tp_wA*(2/12*B8+10/12*B9)+tp_wB*(2/12*C8+10/12*C9)+tp_wC*(2/12*D8+10/12*D9)</f>
        <v>6.40613877178205</v>
      </c>
      <c r="E34" s="4" t="s">
        <v>619</v>
      </c>
    </row>
    <row r="35" customFormat="false" ht="17.15" hidden="false" customHeight="false" outlineLevel="0" collapsed="false">
      <c r="A35" s="0" t="s">
        <v>620</v>
      </c>
      <c r="B35" s="32" t="n">
        <f aca="false">B33*B34</f>
        <v>175.688355816123</v>
      </c>
      <c r="E35" s="4" t="s">
        <v>621</v>
      </c>
    </row>
    <row r="37" customFormat="false" ht="17.15" hidden="false" customHeight="false" outlineLevel="0" collapsed="false">
      <c r="A37" s="6" t="s">
        <v>622</v>
      </c>
    </row>
    <row r="38" customFormat="false" ht="15" hidden="false" customHeight="false" outlineLevel="0" collapsed="false">
      <c r="A38" s="5" t="s">
        <v>24</v>
      </c>
      <c r="B38" s="5" t="s">
        <v>623</v>
      </c>
      <c r="C38" s="5"/>
      <c r="D38" s="5"/>
      <c r="E38" s="5" t="s">
        <v>357</v>
      </c>
    </row>
    <row r="39" customFormat="false" ht="17.15" hidden="false" customHeight="false" outlineLevel="0" collapsed="false">
      <c r="A39" s="4" t="s">
        <v>624</v>
      </c>
      <c r="B39" s="32" t="n">
        <f aca="false">tp_w_dcf*B24+(1-tp_w_dcf)*tp_comp_adj</f>
        <v>126.586227542494</v>
      </c>
      <c r="E39" s="8" t="s">
        <v>625</v>
      </c>
    </row>
    <row r="40" customFormat="false" ht="17.15" hidden="false" customHeight="false" outlineLevel="0" collapsed="false">
      <c r="A40" s="0" t="s">
        <v>626</v>
      </c>
      <c r="B40" s="23" t="n">
        <f aca="false">B35</f>
        <v>175.688355816123</v>
      </c>
    </row>
    <row r="41" customFormat="false" ht="17.15" hidden="false" customHeight="false" outlineLevel="0" collapsed="false">
      <c r="A41" s="4" t="s">
        <v>627</v>
      </c>
      <c r="B41" s="23" t="n">
        <f aca="false">cons_tp</f>
        <v>183.18</v>
      </c>
      <c r="E41" s="8" t="s">
        <v>307</v>
      </c>
    </row>
    <row r="42" customFormat="false" ht="17.15" hidden="false" customHeight="false" outlineLevel="0" collapsed="false">
      <c r="A42" s="4" t="s">
        <v>628</v>
      </c>
      <c r="B42" s="20" t="n">
        <f aca="false">B39/px-1</f>
        <v>-0.213750139487614</v>
      </c>
      <c r="E42" s="4" t="s">
        <v>629</v>
      </c>
    </row>
    <row r="43" customFormat="false" ht="17.15" hidden="false" customHeight="false" outlineLevel="0" collapsed="false">
      <c r="A43" s="4" t="s">
        <v>630</v>
      </c>
      <c r="B43" s="20" t="n">
        <f aca="false">B40/px-1</f>
        <v>0.0912320237026256</v>
      </c>
    </row>
    <row r="44" customFormat="false" ht="17.15" hidden="false" customHeight="false" outlineLevel="0" collapsed="false">
      <c r="A44" s="4" t="s">
        <v>631</v>
      </c>
      <c r="B44" s="20" t="n">
        <f aca="false">B34/cons_feps-1</f>
        <v>-0.047824072079887</v>
      </c>
      <c r="E44" s="4" t="s">
        <v>632</v>
      </c>
    </row>
    <row r="45" customFormat="false" ht="17.15" hidden="false" customHeight="false" outlineLevel="0" collapsed="false">
      <c r="A45" s="4" t="s">
        <v>633</v>
      </c>
      <c r="B45" s="20" t="n">
        <f aca="false">(cons_tp/cons_feps)/B33-1</f>
        <v>-0.0072217042149586</v>
      </c>
      <c r="E45" s="0" t="str">
        <f aca="false">"共識目標價隱含 "&amp;TEXT(cons_tp/cons_feps,"0.0")&amp;"x，同業中位數 "&amp;TEXT(B33,"0.0")&amp;"x"</f>
        <v>共識目標價隱含 27.2x，同業中位數 27.4x</v>
      </c>
    </row>
    <row r="46" customFormat="false" ht="17.15" hidden="false" customHeight="false" outlineLevel="0" collapsed="false">
      <c r="A46" s="4" t="s">
        <v>634</v>
      </c>
      <c r="B46" s="35" t="str">
        <f aca="false">TEXT(D23,"#,##0")&amp;"～"&amp;TEXT(B23,"#,##0")</f>
        <v>19～120</v>
      </c>
      <c r="E46" s="8" t="s">
        <v>635</v>
      </c>
    </row>
    <row r="47" customFormat="false" ht="17.15" hidden="false" customHeight="false" outlineLevel="0" collapsed="false">
      <c r="A47" s="4" t="s">
        <v>636</v>
      </c>
      <c r="B47" s="36" t="n">
        <f aca="false">IF(px/B9&gt;=MAX($B$86:$B$95),1,IF(px/B9&lt;=MIN($B$86:$B$95),0,PERCENTRANK($B$86:$B$95,px/B9)))</f>
        <v>0.515</v>
      </c>
      <c r="C47" s="36" t="n">
        <f aca="false">IF(px/C9&gt;=MAX($B$86:$B$95),1,IF(px/C9&lt;=MIN($B$86:$B$95),0,PERCENTRANK($B$86:$B$95,px/C9)))</f>
        <v>1</v>
      </c>
      <c r="D47" s="36" t="n">
        <f aca="false">IF(px/D9&gt;=MAX($B$86:$B$95),1,IF(px/D9&lt;=MIN($B$86:$B$95),0,PERCENTRANK($B$86:$B$95,px/D9)))</f>
        <v>1</v>
      </c>
      <c r="E47" s="4" t="s">
        <v>637</v>
      </c>
    </row>
    <row r="48" customFormat="false" ht="17.15" hidden="false" customHeight="false" outlineLevel="0" collapsed="false">
      <c r="A48" s="4" t="s">
        <v>638</v>
      </c>
      <c r="B48" s="0" t="s">
        <v>639</v>
      </c>
    </row>
    <row r="51" customFormat="false" ht="17.15" hidden="false" customHeight="false" outlineLevel="0" collapsed="false">
      <c r="A51" s="6" t="s">
        <v>640</v>
      </c>
    </row>
    <row r="52" customFormat="false" ht="15" hidden="false" customHeight="false" outlineLevel="0" collapsed="false">
      <c r="A52" s="5" t="s">
        <v>24</v>
      </c>
      <c r="B52" s="17" t="s">
        <v>641</v>
      </c>
      <c r="C52" s="17" t="s">
        <v>642</v>
      </c>
      <c r="D52" s="17" t="s">
        <v>643</v>
      </c>
      <c r="E52" s="5" t="s">
        <v>357</v>
      </c>
    </row>
    <row r="53" customFormat="false" ht="17.15" hidden="false" customHeight="false" outlineLevel="0" collapsed="false">
      <c r="A53" s="4" t="s">
        <v>644</v>
      </c>
      <c r="B53" s="23" t="n">
        <f aca="false">px</f>
        <v>161</v>
      </c>
    </row>
    <row r="54" customFormat="false" ht="17.15" hidden="false" customHeight="false" outlineLevel="0" collapsed="false">
      <c r="A54" s="4" t="s">
        <v>645</v>
      </c>
      <c r="B54" s="34" t="n">
        <f aca="false">px/PL!D16</f>
        <v>25.0776180647139</v>
      </c>
      <c r="C54" s="34" t="n">
        <f aca="false">px/PL!D31</f>
        <v>25.0776180647139</v>
      </c>
      <c r="D54" s="34" t="n">
        <f aca="false">px/PL!D46</f>
        <v>25.0776180647139</v>
      </c>
      <c r="E54" s="8" t="s">
        <v>646</v>
      </c>
    </row>
    <row r="55" customFormat="false" ht="17.15" hidden="false" customHeight="false" outlineLevel="0" collapsed="false">
      <c r="A55" s="4" t="s">
        <v>647</v>
      </c>
      <c r="B55" s="34" t="n">
        <f aca="false">px/PL!E16</f>
        <v>18.8765074957031</v>
      </c>
      <c r="C55" s="34" t="n">
        <f aca="false">px/PL!E31</f>
        <v>23.3922117623176</v>
      </c>
      <c r="D55" s="34" t="n">
        <f aca="false">px/PL!E46</f>
        <v>41.1658670455351</v>
      </c>
      <c r="E55" s="8" t="s">
        <v>648</v>
      </c>
    </row>
    <row r="56" customFormat="false" ht="17.15" hidden="false" customHeight="false" outlineLevel="0" collapsed="false">
      <c r="A56" s="4" t="s">
        <v>649</v>
      </c>
      <c r="B56" s="34" t="n">
        <f aca="false">px/PL!F16</f>
        <v>17.4672220111185</v>
      </c>
      <c r="C56" s="34" t="n">
        <f aca="false">px/PL!F31</f>
        <v>25.26931648775</v>
      </c>
      <c r="D56" s="34" t="n">
        <f aca="false">px/PL!F46</f>
        <v>84.7246291893685</v>
      </c>
    </row>
    <row r="57" customFormat="false" ht="17.15" hidden="false" customHeight="false" outlineLevel="0" collapsed="false">
      <c r="A57" s="4" t="s">
        <v>650</v>
      </c>
      <c r="B57" s="34" t="n">
        <f aca="false">px/PL!G16</f>
        <v>16.6967357468517</v>
      </c>
      <c r="C57" s="34" t="n">
        <f aca="false">px/PL!G31</f>
        <v>24.2046623946497</v>
      </c>
      <c r="D57" s="34" t="n">
        <f aca="false">px/PL!G46</f>
        <v>92.8805766220591</v>
      </c>
    </row>
    <row r="58" customFormat="false" ht="17.15" hidden="false" customHeight="false" outlineLevel="0" collapsed="false">
      <c r="A58" s="4" t="s">
        <v>651</v>
      </c>
      <c r="B58" s="37" t="n">
        <f aca="false">0.2*PL!D31+0.8*PL!E31</f>
        <v>6.79011959955888</v>
      </c>
    </row>
    <row r="59" customFormat="false" ht="17.15" hidden="false" customHeight="false" outlineLevel="0" collapsed="false">
      <c r="A59" s="4" t="s">
        <v>652</v>
      </c>
      <c r="B59" s="34" t="n">
        <f aca="false">px/B58</f>
        <v>23.7109225602535</v>
      </c>
    </row>
    <row r="60" customFormat="false" ht="17.15" hidden="false" customHeight="false" outlineLevel="0" collapsed="false">
      <c r="A60" s="4" t="s">
        <v>653</v>
      </c>
      <c r="B60" s="34" t="n">
        <f aca="false">pe_ttm</f>
        <v>35.2297592997812</v>
      </c>
    </row>
    <row r="61" customFormat="false" ht="17.15" hidden="false" customHeight="false" outlineLevel="0" collapsed="false">
      <c r="A61" s="4" t="s">
        <v>299</v>
      </c>
      <c r="B61" s="34" t="n">
        <f aca="false">fpe</f>
        <v>23.41</v>
      </c>
    </row>
    <row r="63" customFormat="false" ht="17.15" hidden="false" customHeight="false" outlineLevel="0" collapsed="false">
      <c r="A63" s="6" t="s">
        <v>654</v>
      </c>
    </row>
    <row r="64" customFormat="false" ht="17.15" hidden="false" customHeight="false" outlineLevel="0" collapsed="false">
      <c r="A64" s="5" t="s">
        <v>655</v>
      </c>
      <c r="B64" s="5" t="s">
        <v>656</v>
      </c>
      <c r="C64" s="17" t="s">
        <v>657</v>
      </c>
      <c r="D64" s="5" t="s">
        <v>658</v>
      </c>
      <c r="E64" s="5" t="s">
        <v>659</v>
      </c>
      <c r="F64" s="5" t="s">
        <v>357</v>
      </c>
    </row>
    <row r="65" customFormat="false" ht="17.15" hidden="false" customHeight="false" outlineLevel="0" collapsed="false">
      <c r="A65" s="0" t="s">
        <v>641</v>
      </c>
      <c r="B65" s="0" t="n">
        <f aca="false">INDEX({2026,2027,2028,2029},MATCH(MAX(PL!D75:G75),PL!D75:G75,0))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19.5</v>
      </c>
      <c r="E65" s="0" t="str">
        <f aca="false">IF(B65=2029,"是：營收到觀測期末仍在增加","否")</f>
        <v>是：營收到觀測期末仍在增加</v>
      </c>
      <c r="F65" s="8" t="s">
        <v>660</v>
      </c>
    </row>
    <row r="66" customFormat="false" ht="15" hidden="false" customHeight="false" outlineLevel="0" collapsed="false">
      <c r="A66" s="0" t="s">
        <v>642</v>
      </c>
      <c r="B66" s="0" t="n">
        <f aca="false">INDEX({2026,2027,2028,2029},MATCH(MAX(PL!D116:G116),PL!D116:G116,0))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19.5</v>
      </c>
      <c r="E66" s="0" t="str">
        <f aca="false">IF(B66=2029,"是：營收到觀測期末仍在增加","否")</f>
        <v>是：營收到觀測期末仍在增加</v>
      </c>
      <c r="F66" s="4" t="s">
        <v>53</v>
      </c>
    </row>
    <row r="67" customFormat="false" ht="15" hidden="false" customHeight="false" outlineLevel="0" collapsed="false">
      <c r="A67" s="0" t="s">
        <v>643</v>
      </c>
      <c r="B67" s="0" t="n">
        <f aca="false">INDEX({2026,2027,2028,2029},MATCH(MAX(PL!D157:G157),PL!D157:G157,0))</f>
        <v>2029</v>
      </c>
      <c r="C67" s="0" t="str">
        <f aca="false">IF(B67=2029,"中段",IF(2027&lt;B67,"中段",IF(2027=B67,"見頂","谷底")))</f>
        <v>中段</v>
      </c>
      <c r="D67" s="34" t="n">
        <f aca="false">IF(C67="見頂",pe_peak,IF(C67="谷底",pe_trough,pe_mid))</f>
        <v>19.5</v>
      </c>
      <c r="E67" s="0" t="str">
        <f aca="false">IF(B67=2029,"是：營收到觀測期末仍在增加","否")</f>
        <v>是：營收到觀測期末仍在增加</v>
      </c>
      <c r="F67" s="4" t="s">
        <v>53</v>
      </c>
    </row>
    <row r="69" customFormat="false" ht="17.15" hidden="false" customHeight="false" outlineLevel="0" collapsed="false">
      <c r="A69" s="6" t="s">
        <v>661</v>
      </c>
    </row>
    <row r="70" customFormat="false" ht="17.15" hidden="false" customHeight="false" outlineLevel="0" collapsed="false">
      <c r="A70" s="5" t="s">
        <v>655</v>
      </c>
      <c r="B70" s="17" t="s">
        <v>662</v>
      </c>
      <c r="C70" s="5" t="s">
        <v>663</v>
      </c>
      <c r="D70" s="5" t="s">
        <v>664</v>
      </c>
      <c r="E70" s="5" t="s">
        <v>665</v>
      </c>
      <c r="F70" s="5" t="s">
        <v>666</v>
      </c>
      <c r="G70" s="5" t="s">
        <v>667</v>
      </c>
    </row>
    <row r="71" customFormat="false" ht="15" hidden="false" customHeight="false" outlineLevel="0" collapsed="false">
      <c r="A71" s="11" t="s">
        <v>641</v>
      </c>
      <c r="B71" s="38" t="n">
        <f aca="false">PL!E16</f>
        <v>8.52912012651965</v>
      </c>
      <c r="C71" s="38" t="n">
        <f aca="false">B71</f>
        <v>8.52912012651965</v>
      </c>
      <c r="D71" s="39" t="n">
        <f aca="false">D65</f>
        <v>19.5</v>
      </c>
      <c r="E71" s="32" t="n">
        <f aca="false">C71*D71</f>
        <v>166.317842467133</v>
      </c>
      <c r="F71" s="40" t="n">
        <f aca="false">E71/px-1</f>
        <v>0.0330300774356094</v>
      </c>
      <c r="G71" s="39" t="n">
        <f aca="false">px/C71</f>
        <v>18.8765074957031</v>
      </c>
    </row>
    <row r="72" customFormat="false" ht="15" hidden="false" customHeight="false" outlineLevel="0" collapsed="false">
      <c r="A72" s="11" t="s">
        <v>642</v>
      </c>
      <c r="B72" s="38" t="n">
        <f aca="false">PL!E31</f>
        <v>6.8826326315733</v>
      </c>
      <c r="C72" s="38" t="n">
        <f aca="false">B72</f>
        <v>6.8826326315733</v>
      </c>
      <c r="D72" s="39" t="n">
        <f aca="false">D66</f>
        <v>19.5</v>
      </c>
      <c r="E72" s="32" t="n">
        <f aca="false">C72*D72</f>
        <v>134.211336315679</v>
      </c>
      <c r="F72" s="40" t="n">
        <f aca="false">E72/px-1</f>
        <v>-0.166389215430563</v>
      </c>
      <c r="G72" s="39" t="n">
        <f aca="false">px/C72</f>
        <v>23.3922117623176</v>
      </c>
    </row>
    <row r="73" customFormat="false" ht="15" hidden="false" customHeight="false" outlineLevel="0" collapsed="false">
      <c r="A73" s="11" t="s">
        <v>643</v>
      </c>
      <c r="B73" s="38" t="n">
        <f aca="false">PL!E46</f>
        <v>3.91100714147261</v>
      </c>
      <c r="C73" s="38" t="n">
        <f aca="false">B73</f>
        <v>3.91100714147261</v>
      </c>
      <c r="D73" s="39" t="n">
        <f aca="false">D67</f>
        <v>19.5</v>
      </c>
      <c r="E73" s="32" t="n">
        <f aca="false">C73*D73</f>
        <v>76.264639258716</v>
      </c>
      <c r="F73" s="40" t="n">
        <f aca="false">E73/px-1</f>
        <v>-0.526306588455181</v>
      </c>
      <c r="G73" s="39" t="n">
        <f aca="false">px/C73</f>
        <v>41.1658670455351</v>
      </c>
    </row>
    <row r="75" customFormat="false" ht="17.15" hidden="false" customHeight="false" outlineLevel="0" collapsed="false">
      <c r="A75" s="6" t="s">
        <v>668</v>
      </c>
    </row>
    <row r="76" customFormat="false" ht="17.15" hidden="false" customHeight="false" outlineLevel="0" collapsed="false">
      <c r="A76" s="17" t="s">
        <v>669</v>
      </c>
      <c r="B76" s="5" t="s">
        <v>670</v>
      </c>
      <c r="C76" s="5" t="s">
        <v>671</v>
      </c>
      <c r="D76" s="5" t="s">
        <v>672</v>
      </c>
      <c r="E76" s="5" t="s">
        <v>673</v>
      </c>
    </row>
    <row r="77" customFormat="false" ht="15" hidden="false" customHeight="false" outlineLevel="0" collapsed="false">
      <c r="A77" s="41" t="n">
        <v>1</v>
      </c>
      <c r="B77" s="34" t="n">
        <f aca="false">px*A77/PL!F16</f>
        <v>17.4672220111185</v>
      </c>
      <c r="C77" s="34" t="n">
        <f aca="false">px*A77/PL!F31</f>
        <v>25.26931648775</v>
      </c>
      <c r="D77" s="34" t="n">
        <f aca="false">px*A77/PL!F46</f>
        <v>84.7246291893685</v>
      </c>
      <c r="E77" s="34" t="n">
        <f aca="false">pe_mid</f>
        <v>19.5</v>
      </c>
    </row>
    <row r="78" customFormat="false" ht="15" hidden="false" customHeight="false" outlineLevel="0" collapsed="false">
      <c r="A78" s="41" t="n">
        <v>1.1</v>
      </c>
      <c r="B78" s="34" t="n">
        <f aca="false">px*A78/PL!F16</f>
        <v>19.2139442122303</v>
      </c>
      <c r="C78" s="34" t="n">
        <f aca="false">px*A78/PL!F31</f>
        <v>27.796248136525</v>
      </c>
      <c r="D78" s="34" t="n">
        <f aca="false">px*A78/PL!F46</f>
        <v>93.1970921083054</v>
      </c>
      <c r="E78" s="34" t="n">
        <f aca="false">pe_mid</f>
        <v>19.5</v>
      </c>
    </row>
    <row r="79" customFormat="false" ht="15" hidden="false" customHeight="false" outlineLevel="0" collapsed="false">
      <c r="A79" s="41" t="n">
        <v>1.21</v>
      </c>
      <c r="B79" s="34" t="n">
        <f aca="false">px*A79/PL!F16</f>
        <v>21.1353386334534</v>
      </c>
      <c r="C79" s="34" t="n">
        <f aca="false">px*A79/PL!F31</f>
        <v>30.5758729501775</v>
      </c>
      <c r="D79" s="34" t="n">
        <f aca="false">px*A79/PL!F46</f>
        <v>102.516801319136</v>
      </c>
      <c r="E79" s="34" t="n">
        <f aca="false">pe_mid</f>
        <v>19.5</v>
      </c>
    </row>
    <row r="80" customFormat="false" ht="15" hidden="false" customHeight="false" outlineLevel="0" collapsed="false">
      <c r="A80" s="41" t="n">
        <v>1.5</v>
      </c>
      <c r="B80" s="34" t="n">
        <f aca="false">px*A80/PL!F16</f>
        <v>26.2008330166777</v>
      </c>
      <c r="C80" s="34" t="n">
        <f aca="false">px*A80/PL!F31</f>
        <v>37.903974731625</v>
      </c>
      <c r="D80" s="34" t="n">
        <f aca="false">px*A80/PL!F46</f>
        <v>127.086943784053</v>
      </c>
      <c r="E80" s="34" t="n">
        <f aca="false">pe_mid</f>
        <v>19.5</v>
      </c>
    </row>
    <row r="81" customFormat="false" ht="15" hidden="false" customHeight="false" outlineLevel="0" collapsed="false">
      <c r="A81" s="41" t="n">
        <v>2</v>
      </c>
      <c r="B81" s="34" t="n">
        <f aca="false">px*A81/PL!F16</f>
        <v>34.9344440222369</v>
      </c>
      <c r="C81" s="34" t="n">
        <f aca="false">px*A81/PL!F31</f>
        <v>50.5386329755</v>
      </c>
      <c r="D81" s="34" t="n">
        <f aca="false">px*A81/PL!F46</f>
        <v>169.449258378737</v>
      </c>
      <c r="E81" s="34" t="n">
        <f aca="false">pe_mid</f>
        <v>19.5</v>
      </c>
    </row>
    <row r="82" customFormat="false" ht="17.15" hidden="false" customHeight="false" outlineLevel="0" collapsed="false">
      <c r="A82" s="4" t="s">
        <v>674</v>
      </c>
    </row>
    <row r="84" customFormat="false" ht="17.15" hidden="false" customHeight="false" outlineLevel="0" collapsed="false">
      <c r="A84" s="6" t="s">
        <v>675</v>
      </c>
    </row>
    <row r="85" customFormat="false" ht="17.15" hidden="false" customHeight="false" outlineLevel="0" collapsed="false">
      <c r="A85" s="5" t="s">
        <v>676</v>
      </c>
      <c r="B85" s="5" t="s">
        <v>677</v>
      </c>
      <c r="C85" s="17" t="s">
        <v>678</v>
      </c>
      <c r="D85" s="17" t="s">
        <v>679</v>
      </c>
    </row>
    <row r="86" customFormat="false" ht="15" hidden="false" customHeight="false" outlineLevel="0" collapsed="false">
      <c r="A86" s="0" t="s">
        <v>680</v>
      </c>
      <c r="B86" s="37" t="n">
        <f aca="false">IF(COUNT(C86:D86)=0,"",AVERAGE(C86:D86))</f>
        <v>11.2</v>
      </c>
      <c r="C86" s="37" t="n">
        <f aca="false">IF(B105="","",B105)</f>
        <v>11.2</v>
      </c>
      <c r="D86" s="37" t="str">
        <f aca="false">IF(C105="","",C105)</f>
        <v/>
      </c>
    </row>
    <row r="87" customFormat="false" ht="15" hidden="false" customHeight="false" outlineLevel="0" collapsed="false">
      <c r="A87" s="0" t="s">
        <v>681</v>
      </c>
      <c r="B87" s="37" t="n">
        <f aca="false">IF(COUNT(C87:D87)=0,"",AVERAGE(C87:D87))</f>
        <v>17</v>
      </c>
      <c r="C87" s="37" t="n">
        <f aca="false">IF(B106="","",B106)</f>
        <v>17</v>
      </c>
      <c r="D87" s="37" t="str">
        <f aca="false">IF(C106="","",C106)</f>
        <v/>
      </c>
    </row>
    <row r="88" customFormat="false" ht="15" hidden="false" customHeight="false" outlineLevel="0" collapsed="false">
      <c r="A88" s="0" t="s">
        <v>682</v>
      </c>
      <c r="B88" s="37" t="n">
        <f aca="false">IF(COUNT(C88:D88)=0,"",AVERAGE(C88:D88))</f>
        <v>12.5</v>
      </c>
      <c r="C88" s="37" t="n">
        <f aca="false">IF(B107="","",B107)</f>
        <v>12.5</v>
      </c>
      <c r="D88" s="37" t="str">
        <f aca="false">IF(C107="","",C107)</f>
        <v/>
      </c>
    </row>
    <row r="89" customFormat="false" ht="15" hidden="false" customHeight="false" outlineLevel="0" collapsed="false">
      <c r="A89" s="0" t="s">
        <v>683</v>
      </c>
      <c r="B89" s="37" t="n">
        <f aca="false">IF(COUNT(C89:D89)=0,"",AVERAGE(C89:D89))</f>
        <v>17.5</v>
      </c>
      <c r="C89" s="37" t="n">
        <f aca="false">IF(B108="","",B108)</f>
        <v>17.5</v>
      </c>
      <c r="D89" s="37" t="str">
        <f aca="false">IF(C108="","",C108)</f>
        <v/>
      </c>
    </row>
    <row r="90" customFormat="false" ht="15" hidden="false" customHeight="false" outlineLevel="0" collapsed="false">
      <c r="A90" s="0" t="s">
        <v>684</v>
      </c>
      <c r="B90" s="37" t="n">
        <f aca="false">IF(COUNT(C90:D90)=0,"",AVERAGE(C90:D90))</f>
        <v>24</v>
      </c>
      <c r="C90" s="37" t="n">
        <f aca="false">IF(B109="","",B109)</f>
        <v>24</v>
      </c>
      <c r="D90" s="37" t="str">
        <f aca="false">IF(C109="","",C109)</f>
        <v/>
      </c>
    </row>
    <row r="91" customFormat="false" ht="15" hidden="false" customHeight="false" outlineLevel="0" collapsed="false">
      <c r="A91" s="0" t="s">
        <v>685</v>
      </c>
      <c r="B91" s="37" t="n">
        <f aca="false">IF(COUNT(C91:D91)=0,"",AVERAGE(C91:D91))</f>
        <v>20.105</v>
      </c>
      <c r="C91" s="37" t="n">
        <f aca="false">IF(B110="","",B110)</f>
        <v>18.3</v>
      </c>
      <c r="D91" s="37" t="n">
        <f aca="false">IF(C110="","",C110)</f>
        <v>21.91</v>
      </c>
    </row>
    <row r="92" customFormat="false" ht="15" hidden="false" customHeight="false" outlineLevel="0" collapsed="false">
      <c r="A92" s="0" t="s">
        <v>686</v>
      </c>
      <c r="B92" s="37" t="n">
        <f aca="false">IF(COUNT(C92:D92)=0,"",AVERAGE(C92:D92))</f>
        <v>7.85</v>
      </c>
      <c r="C92" s="37" t="n">
        <f aca="false">IF(B111="","",B111)</f>
        <v>7.39</v>
      </c>
      <c r="D92" s="37" t="n">
        <f aca="false">IF(C111="","",C111)</f>
        <v>8.31</v>
      </c>
    </row>
    <row r="93" customFormat="false" ht="15" hidden="false" customHeight="false" outlineLevel="0" collapsed="false">
      <c r="A93" s="0" t="s">
        <v>687</v>
      </c>
      <c r="B93" s="37" t="n">
        <f aca="false">IF(COUNT(C93:D93)=0,"",AVERAGE(C93:D93))</f>
        <v>17.41</v>
      </c>
      <c r="C93" s="37" t="n">
        <f aca="false">IF(B112="","",B112)</f>
        <v>16.7</v>
      </c>
      <c r="D93" s="37" t="n">
        <f aca="false">IF(C112="","",C112)</f>
        <v>18.12</v>
      </c>
    </row>
    <row r="94" customFormat="false" ht="15" hidden="false" customHeight="false" outlineLevel="0" collapsed="false">
      <c r="A94" s="0" t="s">
        <v>688</v>
      </c>
      <c r="B94" s="37" t="n">
        <f aca="false">IF(COUNT(C94:D94)=0,"",AVERAGE(C94:D94))</f>
        <v>24.58</v>
      </c>
      <c r="C94" s="37" t="n">
        <f aca="false">IF(B113="","",B113)</f>
        <v>22.7</v>
      </c>
      <c r="D94" s="37" t="n">
        <f aca="false">IF(C113="","",C113)</f>
        <v>26.46</v>
      </c>
    </row>
    <row r="95" customFormat="false" ht="15" hidden="false" customHeight="false" outlineLevel="0" collapsed="false">
      <c r="A95" s="0" t="s">
        <v>689</v>
      </c>
      <c r="B95" s="37" t="n">
        <f aca="false">IF(COUNT(C95:D95)=0,"",AVERAGE(C95:D95))</f>
        <v>21.875</v>
      </c>
      <c r="C95" s="37" t="n">
        <f aca="false">IF(B114="","",B114)</f>
        <v>22</v>
      </c>
      <c r="D95" s="37" t="n">
        <f aca="false">IF(C114="","",C114)</f>
        <v>21.75</v>
      </c>
    </row>
    <row r="96" customFormat="false" ht="15" hidden="false" customHeight="false" outlineLevel="0" collapsed="false">
      <c r="A96" s="4" t="s">
        <v>690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691</v>
      </c>
    </row>
    <row r="101" customFormat="false" ht="17.15" hidden="false" customHeight="false" outlineLevel="0" collapsed="false">
      <c r="A101" s="4" t="s">
        <v>692</v>
      </c>
    </row>
    <row r="103" customFormat="false" ht="17.15" hidden="false" customHeight="false" outlineLevel="0" collapsed="false">
      <c r="A103" s="6" t="s">
        <v>693</v>
      </c>
    </row>
    <row r="104" customFormat="false" ht="17.15" hidden="false" customHeight="false" outlineLevel="0" collapsed="false">
      <c r="A104" s="5" t="s">
        <v>676</v>
      </c>
      <c r="B104" s="17" t="s">
        <v>694</v>
      </c>
      <c r="C104" s="17" t="s">
        <v>695</v>
      </c>
      <c r="D104" s="5" t="s">
        <v>696</v>
      </c>
    </row>
    <row r="105" customFormat="false" ht="17.15" hidden="false" customHeight="false" outlineLevel="0" collapsed="false">
      <c r="A105" s="0" t="s">
        <v>680</v>
      </c>
      <c r="B105" s="41" t="n">
        <v>11.2</v>
      </c>
      <c r="D105" s="8" t="s">
        <v>697</v>
      </c>
    </row>
    <row r="106" customFormat="false" ht="15" hidden="false" customHeight="false" outlineLevel="0" collapsed="false">
      <c r="A106" s="0" t="s">
        <v>681</v>
      </c>
      <c r="B106" s="41" t="n">
        <v>17</v>
      </c>
    </row>
    <row r="107" customFormat="false" ht="15" hidden="false" customHeight="false" outlineLevel="0" collapsed="false">
      <c r="A107" s="0" t="s">
        <v>682</v>
      </c>
      <c r="B107" s="41" t="n">
        <v>12.5</v>
      </c>
    </row>
    <row r="108" customFormat="false" ht="15" hidden="false" customHeight="false" outlineLevel="0" collapsed="false">
      <c r="A108" s="0" t="s">
        <v>683</v>
      </c>
      <c r="B108" s="41" t="n">
        <v>17.5</v>
      </c>
    </row>
    <row r="109" customFormat="false" ht="15" hidden="false" customHeight="false" outlineLevel="0" collapsed="false">
      <c r="A109" s="0" t="s">
        <v>684</v>
      </c>
      <c r="B109" s="41" t="n">
        <v>24</v>
      </c>
    </row>
    <row r="110" customFormat="false" ht="15" hidden="false" customHeight="false" outlineLevel="0" collapsed="false">
      <c r="A110" s="0" t="s">
        <v>685</v>
      </c>
      <c r="B110" s="41" t="n">
        <v>18.3</v>
      </c>
      <c r="C110" s="41" t="n">
        <v>21.91</v>
      </c>
    </row>
    <row r="111" customFormat="false" ht="15" hidden="false" customHeight="false" outlineLevel="0" collapsed="false">
      <c r="A111" s="0" t="s">
        <v>686</v>
      </c>
      <c r="B111" s="41" t="n">
        <v>7.39</v>
      </c>
      <c r="C111" s="41" t="n">
        <v>8.31</v>
      </c>
    </row>
    <row r="112" customFormat="false" ht="15" hidden="false" customHeight="false" outlineLevel="0" collapsed="false">
      <c r="A112" s="0" t="s">
        <v>687</v>
      </c>
      <c r="B112" s="41" t="n">
        <v>16.7</v>
      </c>
      <c r="C112" s="41" t="n">
        <v>18.12</v>
      </c>
    </row>
    <row r="113" customFormat="false" ht="15" hidden="false" customHeight="false" outlineLevel="0" collapsed="false">
      <c r="A113" s="0" t="s">
        <v>688</v>
      </c>
      <c r="B113" s="41" t="n">
        <v>22.7</v>
      </c>
      <c r="C113" s="41" t="n">
        <v>26.46</v>
      </c>
    </row>
    <row r="114" customFormat="false" ht="15" hidden="false" customHeight="false" outlineLevel="0" collapsed="false">
      <c r="A114" s="0" t="s">
        <v>689</v>
      </c>
      <c r="B114" s="41" t="n">
        <v>22</v>
      </c>
      <c r="C114" s="41" t="n">
        <v>21.75</v>
      </c>
    </row>
    <row r="115" customFormat="false" ht="17.15" hidden="false" customHeight="false" outlineLevel="0" collapsed="false">
      <c r="A115" s="0" t="s">
        <v>698</v>
      </c>
      <c r="B115" s="37" t="n">
        <f aca="false">PERCENTILE(B105:B114,0.25)</f>
        <v>13.55</v>
      </c>
      <c r="C115" s="37" t="n">
        <f aca="false">PERCENTILE(C105:C114,0.25)</f>
        <v>18.12</v>
      </c>
    </row>
    <row r="116" customFormat="false" ht="15" hidden="false" customHeight="false" outlineLevel="0" collapsed="false">
      <c r="A116" s="4" t="s">
        <v>699</v>
      </c>
      <c r="B116" s="37" t="n">
        <f aca="false">MEDIAN(B105:B114)</f>
        <v>17.25</v>
      </c>
      <c r="C116" s="37" t="n">
        <f aca="false">MEDIAN(C105:C114)</f>
        <v>21.75</v>
      </c>
    </row>
    <row r="117" customFormat="false" ht="17.15" hidden="false" customHeight="false" outlineLevel="0" collapsed="false">
      <c r="A117" s="0" t="s">
        <v>700</v>
      </c>
      <c r="B117" s="37" t="n">
        <f aca="false">PERCENTILE(B105:B114,0.75)</f>
        <v>21.075</v>
      </c>
      <c r="C117" s="37" t="n">
        <f aca="false">PERCENTILE(C105:C114,0.75)</f>
        <v>21.91</v>
      </c>
    </row>
    <row r="118" customFormat="false" ht="15" hidden="false" customHeight="false" outlineLevel="0" collapsed="false">
      <c r="A118" s="4" t="s">
        <v>701</v>
      </c>
      <c r="B118" s="37" t="n">
        <f aca="false">MIN(B105:B114)</f>
        <v>7.39</v>
      </c>
      <c r="C118" s="37" t="n">
        <f aca="false">MIN(C105:C114)</f>
        <v>8.31</v>
      </c>
    </row>
    <row r="119" customFormat="false" ht="15" hidden="false" customHeight="false" outlineLevel="0" collapsed="false">
      <c r="A119" s="4" t="s">
        <v>702</v>
      </c>
      <c r="B119" s="37" t="n">
        <f aca="false">MAX(B105:B114)</f>
        <v>24</v>
      </c>
      <c r="C119" s="37" t="n">
        <f aca="false">MAX(C105:C114)</f>
        <v>26.46</v>
      </c>
    </row>
    <row r="120" customFormat="false" ht="17.15" hidden="false" customHeight="false" outlineLevel="0" collapsed="false">
      <c r="A120" s="1" t="s">
        <v>703</v>
      </c>
      <c r="B120" s="37" t="n">
        <f aca="false">ROUND(AVERAGE(B115,C115),2)</f>
        <v>15.84</v>
      </c>
    </row>
    <row r="121" customFormat="false" ht="17.15" hidden="false" customHeight="false" outlineLevel="0" collapsed="false">
      <c r="A121" s="1" t="s">
        <v>704</v>
      </c>
      <c r="B121" s="37" t="n">
        <f aca="false">ROUND(AVERAGE(B116,C116),2)</f>
        <v>19.5</v>
      </c>
    </row>
    <row r="122" customFormat="false" ht="17.15" hidden="false" customHeight="false" outlineLevel="0" collapsed="false">
      <c r="A122" s="1" t="s">
        <v>705</v>
      </c>
      <c r="B122" s="37" t="n">
        <f aca="false">ROUND(AVERAGE(B117,C117),2)</f>
        <v>21.49</v>
      </c>
    </row>
    <row r="123" customFormat="false" ht="17.15" hidden="false" customHeight="false" outlineLevel="0" collapsed="false">
      <c r="A123" s="1" t="s">
        <v>706</v>
      </c>
      <c r="B123" s="37" t="n">
        <f aca="false">ROUND(MIN(B118,C118),2)</f>
        <v>7.39</v>
      </c>
    </row>
    <row r="124" customFormat="false" ht="17.15" hidden="false" customHeight="false" outlineLevel="0" collapsed="false">
      <c r="A124" s="1" t="s">
        <v>707</v>
      </c>
      <c r="B124" s="37" t="n">
        <f aca="false">ROUND(MAX(B119,C119),2)</f>
        <v>26.46</v>
      </c>
    </row>
    <row r="126" customFormat="false" ht="17.15" hidden="false" customHeight="false" outlineLevel="0" collapsed="false">
      <c r="A126" s="6" t="s">
        <v>708</v>
      </c>
    </row>
    <row r="127" customFormat="false" ht="17.15" hidden="false" customHeight="false" outlineLevel="0" collapsed="false">
      <c r="A127" s="5" t="s">
        <v>709</v>
      </c>
      <c r="B127" s="5" t="s">
        <v>710</v>
      </c>
      <c r="C127" s="5" t="s">
        <v>711</v>
      </c>
      <c r="D127" s="5" t="s">
        <v>27</v>
      </c>
      <c r="E127" s="5" t="s">
        <v>712</v>
      </c>
      <c r="F127" s="5" t="s">
        <v>665</v>
      </c>
      <c r="G127" s="5" t="s">
        <v>713</v>
      </c>
      <c r="H127" s="5" t="s">
        <v>714</v>
      </c>
    </row>
    <row r="128" customFormat="false" ht="17.15" hidden="false" customHeight="false" outlineLevel="0" collapsed="false">
      <c r="A128" s="4" t="s">
        <v>715</v>
      </c>
      <c r="B128" s="0" t="s">
        <v>716</v>
      </c>
      <c r="C128" s="37" t="n">
        <f aca="false">B120</f>
        <v>15.84</v>
      </c>
      <c r="D128" s="8" t="s">
        <v>717</v>
      </c>
      <c r="E128" s="37" t="n">
        <f aca="false">C72</f>
        <v>6.8826326315733</v>
      </c>
      <c r="F128" s="9" t="n">
        <f aca="false">C128*E128</f>
        <v>109.020900884121</v>
      </c>
      <c r="G128" s="20" t="n">
        <f aca="false">F128/px-1</f>
        <v>-0.322851547303596</v>
      </c>
      <c r="H128" s="37" t="n">
        <f aca="false">px/E128</f>
        <v>23.3922117623176</v>
      </c>
    </row>
    <row r="129" customFormat="false" ht="17.15" hidden="false" customHeight="false" outlineLevel="0" collapsed="false">
      <c r="A129" s="4" t="s">
        <v>718</v>
      </c>
      <c r="B129" s="4" t="s">
        <v>719</v>
      </c>
      <c r="C129" s="37" t="n">
        <f aca="false">B121</f>
        <v>19.5</v>
      </c>
      <c r="D129" s="8" t="s">
        <v>717</v>
      </c>
      <c r="E129" s="37" t="n">
        <f aca="false">C72</f>
        <v>6.8826326315733</v>
      </c>
      <c r="F129" s="9" t="n">
        <f aca="false">C129*E129</f>
        <v>134.211336315679</v>
      </c>
      <c r="G129" s="20" t="n">
        <f aca="false">F129/px-1</f>
        <v>-0.166389215430563</v>
      </c>
      <c r="H129" s="37" t="n">
        <f aca="false">px/E129</f>
        <v>23.3922117623176</v>
      </c>
    </row>
    <row r="130" customFormat="false" ht="17.15" hidden="false" customHeight="false" outlineLevel="0" collapsed="false">
      <c r="A130" s="4" t="s">
        <v>720</v>
      </c>
      <c r="B130" s="0" t="s">
        <v>721</v>
      </c>
      <c r="C130" s="37" t="n">
        <f aca="false">B122</f>
        <v>21.49</v>
      </c>
      <c r="D130" s="8" t="s">
        <v>717</v>
      </c>
      <c r="E130" s="37" t="n">
        <f aca="false">C72</f>
        <v>6.8826326315733</v>
      </c>
      <c r="F130" s="9" t="n">
        <f aca="false">C130*E130</f>
        <v>147.90777525251</v>
      </c>
      <c r="G130" s="20" t="n">
        <f aca="false">F130/px-1</f>
        <v>-0.0813181661334768</v>
      </c>
      <c r="H130" s="37" t="n">
        <f aca="false">px/E130</f>
        <v>23.3922117623176</v>
      </c>
    </row>
    <row r="134" customFormat="false" ht="17.15" hidden="false" customHeight="false" outlineLevel="0" collapsed="false">
      <c r="A134" s="4" t="s">
        <v>722</v>
      </c>
      <c r="B134" s="0" t="str">
        <f aca="false">IF(B42&gt;0.5,"大於 50%",IF(B42&gt;0.25,"25%–50%",IF(B42&gt;=0,"0%–25%",IF(B42&gt;=-0.25,"0%～−25%",IF(B42&gt;=-0.5,"−25%～−50%","小於 −50%")))))</f>
        <v>0%～−25%</v>
      </c>
      <c r="E134" s="4" t="s">
        <v>723</v>
      </c>
    </row>
    <row r="135" customFormat="false" ht="17.15" hidden="false" customHeight="false" outlineLevel="0" collapsed="false">
      <c r="A135" s="4" t="s">
        <v>724</v>
      </c>
      <c r="B135" s="0" t="str">
        <f aca="false">IF(B42&gt;0.5,"強力買進",IF(B42&gt;0.25,"買進",IF(B42&gt;=-0.25,"中立",IF(B42&gt;=-0.5,"放空","強力放空"))))</f>
        <v>中立</v>
      </c>
      <c r="E135" s="4" t="s">
        <v>725</v>
      </c>
    </row>
    <row r="138" customFormat="false" ht="17.15" hidden="false" customHeight="false" outlineLevel="0" collapsed="false">
      <c r="A138" s="6" t="s">
        <v>726</v>
      </c>
    </row>
    <row r="139" customFormat="false" ht="17.15" hidden="false" customHeight="false" outlineLevel="0" collapsed="false">
      <c r="A139" s="4" t="s">
        <v>727</v>
      </c>
    </row>
    <row r="140" customFormat="false" ht="17.15" hidden="false" customHeight="false" outlineLevel="0" collapsed="false">
      <c r="A140" s="5" t="s">
        <v>728</v>
      </c>
      <c r="B140" s="5" t="s">
        <v>599</v>
      </c>
      <c r="C140" s="5" t="s">
        <v>729</v>
      </c>
      <c r="D140" s="17" t="s">
        <v>730</v>
      </c>
      <c r="E140" s="17" t="s">
        <v>731</v>
      </c>
      <c r="F140" s="17" t="s">
        <v>732</v>
      </c>
      <c r="G140" s="17" t="s">
        <v>733</v>
      </c>
      <c r="H140" s="17" t="s">
        <v>734</v>
      </c>
      <c r="I140" s="17" t="s">
        <v>735</v>
      </c>
      <c r="J140" s="17" t="s">
        <v>736</v>
      </c>
      <c r="K140" s="17" t="s">
        <v>737</v>
      </c>
      <c r="L140" s="17" t="s">
        <v>738</v>
      </c>
      <c r="M140" s="17" t="s">
        <v>739</v>
      </c>
      <c r="N140" s="5" t="s">
        <v>740</v>
      </c>
      <c r="O140" s="17" t="s">
        <v>741</v>
      </c>
      <c r="P140" s="5" t="s">
        <v>742</v>
      </c>
      <c r="Q140" s="5" t="s">
        <v>602</v>
      </c>
    </row>
    <row r="141" customFormat="false" ht="15" hidden="false" customHeight="false" outlineLevel="0" collapsed="false">
      <c r="A141" s="4" t="s">
        <v>743</v>
      </c>
      <c r="B141" s="0" t="s">
        <v>744</v>
      </c>
      <c r="C141" s="4" t="s">
        <v>745</v>
      </c>
      <c r="N141" s="0" t="n">
        <f aca="false">COUNT(D141:M141)</f>
        <v>0</v>
      </c>
      <c r="O141" s="37" t="str">
        <f aca="false">IF(N141&gt;0,MEDIAN(D141:M141),"")</f>
        <v/>
      </c>
      <c r="P141" s="37" t="str">
        <f aca="false">IF(N141&gt;=7,O141,"")</f>
        <v/>
      </c>
      <c r="Q141" s="4" t="s">
        <v>746</v>
      </c>
    </row>
    <row r="142" customFormat="false" ht="17.15" hidden="false" customHeight="false" outlineLevel="0" collapsed="false">
      <c r="A142" s="4" t="s">
        <v>603</v>
      </c>
      <c r="B142" s="0" t="s">
        <v>604</v>
      </c>
      <c r="C142" s="4" t="s">
        <v>747</v>
      </c>
      <c r="D142" s="41" t="n">
        <v>18.5065</v>
      </c>
      <c r="E142" s="41" t="n">
        <v>20.0135</v>
      </c>
      <c r="F142" s="41" t="n">
        <v>20.6125</v>
      </c>
      <c r="G142" s="41" t="n">
        <v>14.4285</v>
      </c>
      <c r="H142" s="41" t="n">
        <v>15.9615</v>
      </c>
      <c r="I142" s="41" t="n">
        <v>7.8765</v>
      </c>
      <c r="J142" s="41" t="n">
        <v>10.0455</v>
      </c>
      <c r="K142" s="41" t="n">
        <v>11.4775</v>
      </c>
      <c r="L142" s="41" t="n">
        <v>12.522</v>
      </c>
      <c r="M142" s="41" t="n">
        <v>17.0705</v>
      </c>
      <c r="N142" s="8" t="n">
        <f aca="false">COUNT(D142:M142)</f>
        <v>10</v>
      </c>
      <c r="O142" s="37" t="n">
        <f aca="false">IF(N142&gt;0,MEDIAN(D142:M142),"")</f>
        <v>15.195</v>
      </c>
      <c r="P142" s="37" t="n">
        <f aca="false">IF(N142&gt;=7,O142,"")</f>
        <v>15.195</v>
      </c>
      <c r="Q142" s="8" t="s">
        <v>748</v>
      </c>
    </row>
    <row r="143" customFormat="false" ht="17.15" hidden="false" customHeight="false" outlineLevel="0" collapsed="false">
      <c r="A143" s="4" t="s">
        <v>607</v>
      </c>
      <c r="B143" s="0" t="s">
        <v>608</v>
      </c>
      <c r="C143" s="4" t="s">
        <v>747</v>
      </c>
      <c r="I143" s="41" t="n">
        <v>25.3475</v>
      </c>
      <c r="J143" s="41" t="n">
        <v>24.295</v>
      </c>
      <c r="K143" s="41" t="n">
        <v>28.656</v>
      </c>
      <c r="L143" s="41" t="n">
        <v>19.676</v>
      </c>
      <c r="M143" s="41" t="n">
        <v>22.1005</v>
      </c>
      <c r="N143" s="8" t="n">
        <f aca="false">COUNT(D143:M143)</f>
        <v>5</v>
      </c>
      <c r="O143" s="37" t="n">
        <f aca="false">IF(N143&gt;0,MEDIAN(D143:M143),"")</f>
        <v>24.295</v>
      </c>
      <c r="P143" s="37" t="str">
        <f aca="false">IF(N143&gt;=7,O143,"")</f>
        <v/>
      </c>
      <c r="Q143" s="8" t="s">
        <v>749</v>
      </c>
    </row>
    <row r="144" customFormat="false" ht="17.15" hidden="false" customHeight="false" outlineLevel="0" collapsed="false">
      <c r="A144" s="4" t="s">
        <v>610</v>
      </c>
      <c r="B144" s="0" t="s">
        <v>611</v>
      </c>
      <c r="C144" s="4" t="s">
        <v>747</v>
      </c>
      <c r="D144" s="41" t="n">
        <v>15.6775</v>
      </c>
      <c r="E144" s="41" t="n">
        <v>56.43</v>
      </c>
      <c r="F144" s="41" t="n">
        <v>78.239</v>
      </c>
      <c r="G144" s="41" t="n">
        <v>51.8865</v>
      </c>
      <c r="H144" s="41" t="n">
        <v>41.8545</v>
      </c>
      <c r="I144" s="41" t="n">
        <v>10.7145</v>
      </c>
      <c r="J144" s="41" t="n">
        <v>20.6075</v>
      </c>
      <c r="K144" s="41" t="n">
        <v>28.124</v>
      </c>
      <c r="L144" s="41" t="n">
        <v>51.468</v>
      </c>
      <c r="M144" s="41" t="n">
        <v>64.8</v>
      </c>
      <c r="N144" s="8" t="n">
        <f aca="false">COUNT(D144:M144)</f>
        <v>10</v>
      </c>
      <c r="O144" s="37" t="n">
        <f aca="false">IF(N144&gt;0,MEDIAN(D144:M144),"")</f>
        <v>46.66125</v>
      </c>
      <c r="P144" s="37" t="n">
        <f aca="false">IF(N144&gt;=7,O144,"")</f>
        <v>46.66125</v>
      </c>
      <c r="Q144" s="8" t="s">
        <v>750</v>
      </c>
    </row>
    <row r="145" customFormat="false" ht="17.15" hidden="false" customHeight="false" outlineLevel="0" collapsed="false">
      <c r="A145" s="4" t="s">
        <v>613</v>
      </c>
      <c r="B145" s="0" t="s">
        <v>614</v>
      </c>
      <c r="C145" s="4" t="s">
        <v>747</v>
      </c>
      <c r="N145" s="0" t="n">
        <f aca="false">COUNT(D145:M145)</f>
        <v>0</v>
      </c>
      <c r="O145" s="37" t="str">
        <f aca="false">IF(N145&gt;0,MEDIAN(D145:M145),"")</f>
        <v/>
      </c>
      <c r="P145" s="37" t="str">
        <f aca="false">IF(N145&gt;=7,O145,"")</f>
        <v/>
      </c>
      <c r="Q145" s="4" t="s">
        <v>746</v>
      </c>
    </row>
    <row r="147" customFormat="false" ht="17.15" hidden="false" customHeight="false" outlineLevel="0" collapsed="false">
      <c r="A147" s="4" t="s">
        <v>751</v>
      </c>
      <c r="B147" s="37" t="str">
        <f aca="false">P141</f>
        <v/>
      </c>
      <c r="E147" s="4" t="s">
        <v>752</v>
      </c>
    </row>
    <row r="148" customFormat="false" ht="15" hidden="false" customHeight="false" outlineLevel="0" collapsed="false">
      <c r="A148" s="4" t="s">
        <v>753</v>
      </c>
      <c r="B148" s="42" t="n">
        <f aca="false">COUNT(P142:P145)</f>
        <v>2</v>
      </c>
    </row>
    <row r="149" customFormat="false" ht="17.15" hidden="false" customHeight="false" outlineLevel="0" collapsed="false">
      <c r="A149" s="4" t="s">
        <v>754</v>
      </c>
      <c r="B149" s="37" t="n">
        <f aca="false">IF(B148&gt;0,MEDIAN(P142:P145),"")</f>
        <v>30.928125</v>
      </c>
    </row>
    <row r="150" customFormat="false" ht="17.15" hidden="false" customHeight="false" outlineLevel="0" collapsed="false">
      <c r="A150" s="4" t="s">
        <v>755</v>
      </c>
      <c r="B150" s="37" t="str">
        <f aca="false">IF(AND(ISNUMBER(B147),B148&gt;=2),B147/B149,"")</f>
        <v/>
      </c>
      <c r="E150" s="4" t="s">
        <v>756</v>
      </c>
    </row>
    <row r="151" customFormat="false" ht="17.15" hidden="false" customHeight="false" outlineLevel="0" collapsed="false">
      <c r="A151" s="4" t="s">
        <v>757</v>
      </c>
      <c r="B151" s="41" t="n">
        <v>0.5</v>
      </c>
      <c r="E151" s="8" t="s">
        <v>758</v>
      </c>
    </row>
    <row r="152" customFormat="false" ht="17.15" hidden="false" customHeight="false" outlineLevel="0" collapsed="false">
      <c r="A152" s="4" t="s">
        <v>759</v>
      </c>
      <c r="B152" s="41" t="n">
        <v>2</v>
      </c>
      <c r="E152" s="8" t="s">
        <v>760</v>
      </c>
    </row>
    <row r="153" customFormat="false" ht="17.15" hidden="false" customHeight="false" outlineLevel="0" collapsed="false">
      <c r="A153" s="1" t="s">
        <v>761</v>
      </c>
      <c r="B153" s="38" t="n">
        <f aca="false">IF(ISNUMBER(B150),MIN(MAX(B150,B151),B152),1)</f>
        <v>1</v>
      </c>
      <c r="E153" s="4" t="s">
        <v>762</v>
      </c>
    </row>
    <row r="154" customFormat="false" ht="17.15" hidden="false" customHeight="false" outlineLevel="0" collapsed="false">
      <c r="A154" s="6" t="s">
        <v>763</v>
      </c>
      <c r="B154" s="32" t="n">
        <f aca="false">Val!$B$35*B153</f>
        <v>175.688355816123</v>
      </c>
      <c r="E154" s="4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765</v>
      </c>
    </row>
    <row r="3" customFormat="false" ht="17.15" hidden="false" customHeight="false" outlineLevel="0" collapsed="false">
      <c r="A3" s="5" t="s">
        <v>24</v>
      </c>
      <c r="B3" s="5" t="s">
        <v>766</v>
      </c>
      <c r="C3" s="5" t="s">
        <v>767</v>
      </c>
      <c r="D3" s="5" t="s">
        <v>768</v>
      </c>
      <c r="E3" s="5" t="s">
        <v>769</v>
      </c>
      <c r="F3" s="5" t="s">
        <v>770</v>
      </c>
      <c r="G3" s="5" t="s">
        <v>771</v>
      </c>
      <c r="H3" s="5" t="s">
        <v>772</v>
      </c>
      <c r="I3" s="5" t="s">
        <v>773</v>
      </c>
      <c r="J3" s="5" t="s">
        <v>357</v>
      </c>
    </row>
    <row r="4" customFormat="false" ht="17.15" hidden="false" customHeight="false" outlineLevel="0" collapsed="false">
      <c r="A4" s="6" t="s">
        <v>774</v>
      </c>
    </row>
    <row r="5" customFormat="false" ht="17.15" hidden="false" customHeight="false" outlineLevel="0" collapsed="false">
      <c r="A5" s="0" t="s">
        <v>775</v>
      </c>
      <c r="B5" s="9" t="n">
        <f aca="false">cons_rev26</f>
        <v>58.5</v>
      </c>
      <c r="C5" s="9" t="n">
        <f aca="false">PL!D75</f>
        <v>58.65206</v>
      </c>
      <c r="D5" s="20" t="n">
        <f aca="false">C5/B5-1</f>
        <v>0.00259931623931631</v>
      </c>
      <c r="E5" s="9" t="n">
        <f aca="false">PL!D116</f>
        <v>58.65206</v>
      </c>
      <c r="F5" s="20" t="n">
        <f aca="false">E5/B5-1</f>
        <v>0.00259931623931631</v>
      </c>
      <c r="G5" s="9" t="n">
        <f aca="false">PL!D157</f>
        <v>58.65206</v>
      </c>
      <c r="H5" s="20" t="n">
        <f aca="false">G5/B5-1</f>
        <v>0.00259931623931631</v>
      </c>
      <c r="I5" s="8" t="s">
        <v>776</v>
      </c>
      <c r="J5" s="4" t="s">
        <v>777</v>
      </c>
    </row>
    <row r="6" customFormat="false" ht="17.15" hidden="false" customHeight="false" outlineLevel="0" collapsed="false">
      <c r="A6" s="0" t="s">
        <v>778</v>
      </c>
      <c r="B6" s="23" t="n">
        <f aca="false">cons_eps26</f>
        <v>6.05</v>
      </c>
      <c r="C6" s="23" t="n">
        <f aca="false">PL!D96</f>
        <v>6.42006747150118</v>
      </c>
      <c r="D6" s="20" t="n">
        <f aca="false">C6/B6-1</f>
        <v>0.0611681771076331</v>
      </c>
      <c r="E6" s="23" t="n">
        <f aca="false">PL!D137</f>
        <v>6.42006747150118</v>
      </c>
      <c r="F6" s="20" t="n">
        <f aca="false">E6/B6-1</f>
        <v>0.0611681771076331</v>
      </c>
      <c r="G6" s="23" t="n">
        <f aca="false">PL!D178</f>
        <v>6.42006747150118</v>
      </c>
      <c r="H6" s="20" t="n">
        <f aca="false">G6/B6-1</f>
        <v>0.0611681771076331</v>
      </c>
      <c r="I6" s="8" t="s">
        <v>779</v>
      </c>
      <c r="J6" s="4" t="s">
        <v>780</v>
      </c>
    </row>
    <row r="7" customFormat="false" ht="17.15" hidden="false" customHeight="false" outlineLevel="0" collapsed="false">
      <c r="A7" s="0" t="s">
        <v>781</v>
      </c>
      <c r="B7" s="20" t="n">
        <f aca="false">co_q3_gm</f>
        <v>0.335</v>
      </c>
      <c r="C7" s="20" t="n">
        <f aca="false">Q!E10</f>
        <v>0.335</v>
      </c>
      <c r="D7" s="20" t="n">
        <f aca="false">C7-B7</f>
        <v>0</v>
      </c>
      <c r="E7" s="20" t="n">
        <f aca="false">Q!E10</f>
        <v>0.335</v>
      </c>
      <c r="F7" s="20" t="n">
        <f aca="false">E7-B7</f>
        <v>0</v>
      </c>
      <c r="G7" s="20" t="n">
        <f aca="false">Q!E10</f>
        <v>0.335</v>
      </c>
      <c r="H7" s="20" t="n">
        <f aca="false">G7-B7</f>
        <v>0</v>
      </c>
      <c r="I7" s="4" t="s">
        <v>782</v>
      </c>
      <c r="J7" s="4" t="s">
        <v>783</v>
      </c>
    </row>
    <row r="8" customFormat="false" ht="17.15" hidden="false" customHeight="false" outlineLevel="0" collapsed="false">
      <c r="A8" s="6" t="s">
        <v>784</v>
      </c>
    </row>
    <row r="9" customFormat="false" ht="17.15" hidden="false" customHeight="false" outlineLevel="0" collapsed="false">
      <c r="A9" s="0" t="s">
        <v>785</v>
      </c>
      <c r="B9" s="23" t="n">
        <f aca="false">an_eps27</f>
        <v>8</v>
      </c>
      <c r="C9" s="23" t="n">
        <f aca="false">PL!E96</f>
        <v>8.52912012651965</v>
      </c>
      <c r="D9" s="20" t="n">
        <f aca="false">C9/B9-1</f>
        <v>0.0661400158149559</v>
      </c>
      <c r="E9" s="23" t="n">
        <f aca="false">PL!E137</f>
        <v>6.8826326315733</v>
      </c>
      <c r="F9" s="20" t="n">
        <f aca="false">E9/B9-1</f>
        <v>-0.139670921053337</v>
      </c>
      <c r="G9" s="23" t="n">
        <f aca="false">PL!E178</f>
        <v>3.91100714147261</v>
      </c>
      <c r="H9" s="20" t="n">
        <f aca="false">G9/B9-1</f>
        <v>-0.511124107315923</v>
      </c>
      <c r="I9" s="4" t="s">
        <v>786</v>
      </c>
      <c r="J9" s="8" t="s">
        <v>787</v>
      </c>
    </row>
    <row r="10" customFormat="false" ht="17.15" hidden="false" customHeight="false" outlineLevel="0" collapsed="false">
      <c r="A10" s="0" t="s">
        <v>788</v>
      </c>
      <c r="B10" s="20" t="n">
        <f aca="false">an_gm27</f>
        <v>0.35</v>
      </c>
      <c r="C10" s="20" t="n">
        <f aca="false">PL!E86</f>
        <v>0.33702973208847</v>
      </c>
      <c r="D10" s="20" t="n">
        <f aca="false">C10-B10</f>
        <v>-0.0129702679115299</v>
      </c>
      <c r="E10" s="20" t="n">
        <f aca="false">PL!E127</f>
        <v>0.305109171260883</v>
      </c>
      <c r="F10" s="20" t="n">
        <f aca="false">E10-B10</f>
        <v>-0.044890828739117</v>
      </c>
      <c r="G10" s="20" t="n">
        <f aca="false">PL!E168</f>
        <v>0.238287208946306</v>
      </c>
      <c r="H10" s="20" t="n">
        <f aca="false">G10-B10</f>
        <v>-0.111712791053694</v>
      </c>
      <c r="I10" s="4" t="s">
        <v>786</v>
      </c>
    </row>
    <row r="11" customFormat="false" ht="17.15" hidden="false" customHeight="false" outlineLevel="0" collapsed="false">
      <c r="A11" s="0" t="s">
        <v>789</v>
      </c>
      <c r="B11" s="20" t="n">
        <f aca="false">an_12sh27</f>
        <v>0.12</v>
      </c>
      <c r="C11" s="20" t="n">
        <f aca="false">PL!E76</f>
        <v>0.0982032681753174</v>
      </c>
      <c r="D11" s="20" t="n">
        <f aca="false">C11-B11</f>
        <v>-0.0217967318246826</v>
      </c>
      <c r="E11" s="20" t="n">
        <f aca="false">PL!E117</f>
        <v>0.0951464903825491</v>
      </c>
      <c r="F11" s="20" t="n">
        <f aca="false">E11-B11</f>
        <v>-0.0248535096174509</v>
      </c>
      <c r="G11" s="20" t="n">
        <f aca="false">PL!E158</f>
        <v>0.0926084491991212</v>
      </c>
      <c r="H11" s="20" t="n">
        <f aca="false">G11-B11</f>
        <v>-0.0273915508008788</v>
      </c>
      <c r="I11" s="4" t="s">
        <v>786</v>
      </c>
    </row>
    <row r="12" customFormat="false" ht="17.15" hidden="false" customHeight="false" outlineLevel="0" collapsed="false">
      <c r="A12" s="4" t="s">
        <v>790</v>
      </c>
      <c r="B12" s="23" t="n">
        <f aca="false">cons_feps</f>
        <v>6.72789406236651</v>
      </c>
      <c r="C12" s="23" t="n">
        <f aca="false">Val!B34</f>
        <v>6.40613877178205</v>
      </c>
      <c r="D12" s="20" t="n">
        <f aca="false">C12/B12-1</f>
        <v>-0.047824072079887</v>
      </c>
      <c r="E12" s="23" t="n">
        <f aca="false">Val!B34</f>
        <v>6.40613877178205</v>
      </c>
      <c r="F12" s="20" t="n">
        <f aca="false">E12/B12-1</f>
        <v>-0.047824072079887</v>
      </c>
      <c r="G12" s="23" t="n">
        <f aca="false">Val!B34</f>
        <v>6.40613877178205</v>
      </c>
      <c r="H12" s="20" t="n">
        <f aca="false">G12/B12-1</f>
        <v>-0.047824072079887</v>
      </c>
      <c r="I12" s="8" t="s">
        <v>791</v>
      </c>
      <c r="J12" s="4" t="s">
        <v>792</v>
      </c>
    </row>
    <row r="13" customFormat="false" ht="15" hidden="false" customHeight="false" outlineLevel="0" collapsed="false">
      <c r="A13" s="1" t="s">
        <v>793</v>
      </c>
    </row>
    <row r="14" customFormat="false" ht="17.15" hidden="false" customHeight="false" outlineLevel="0" collapsed="false">
      <c r="A14" s="4" t="s">
        <v>794</v>
      </c>
      <c r="J14" s="4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10" min="4" style="0" width="15"/>
  </cols>
  <sheetData>
    <row r="1" customFormat="false" ht="17.15" hidden="false" customHeight="false" outlineLevel="0" collapsed="false">
      <c r="A1" s="0" t="s">
        <v>796</v>
      </c>
    </row>
    <row r="2" customFormat="false" ht="17.15" hidden="false" customHeight="false" outlineLevel="0" collapsed="false">
      <c r="A2" s="4" t="s">
        <v>797</v>
      </c>
    </row>
    <row r="3" customFormat="false" ht="17.15" hidden="false" customHeight="false" outlineLevel="0" collapsed="false">
      <c r="A3" s="5" t="s">
        <v>798</v>
      </c>
      <c r="B3" s="5" t="s">
        <v>799</v>
      </c>
      <c r="C3" s="5" t="s">
        <v>23</v>
      </c>
      <c r="D3" s="17" t="s">
        <v>800</v>
      </c>
      <c r="E3" s="17" t="s">
        <v>801</v>
      </c>
      <c r="F3" s="17" t="s">
        <v>802</v>
      </c>
      <c r="G3" s="17" t="s">
        <v>803</v>
      </c>
      <c r="H3" s="17" t="s">
        <v>804</v>
      </c>
      <c r="I3" s="5" t="s">
        <v>805</v>
      </c>
      <c r="J3" s="5" t="s">
        <v>806</v>
      </c>
    </row>
    <row r="4" customFormat="false" ht="17.15" hidden="false" customHeight="false" outlineLevel="0" collapsed="false">
      <c r="A4" s="4" t="s">
        <v>807</v>
      </c>
      <c r="B4" s="0" t="s">
        <v>808</v>
      </c>
      <c r="C4" s="0" t="s">
        <v>135</v>
      </c>
      <c r="D4" s="23" t="n">
        <f aca="false">PL!E96</f>
        <v>8.52912012651965</v>
      </c>
      <c r="E4" s="23" t="n">
        <f aca="false">PL!F96</f>
        <v>9.2172641933284</v>
      </c>
      <c r="F4" s="20" t="n">
        <f aca="false">E4/E$4-1</f>
        <v>0</v>
      </c>
      <c r="G4" s="23" t="n">
        <f aca="false">(tp_wA*MAX(0,PL!E96*(1-MIN(tp_g/tp_roe,0.8))/(1+tp_r)^1+PL!F96*(1-MIN(tp_g/tp_roe,0.8))/(1+tp_r)^2+PL!G96*(1-MIN(tp_g/tp_roe,0.8))/(1+tp_r)^3+PL!H96*(1-MIN(tp_g/tp_roe,0.8))/(1+tp_r)^4+PL!I96*(1-MIN(tp_g/tp_roe,0.8))/(1+tp_r)^5+PL!J96*(1-MIN(tp_g/tp_roe,0.8))/(1+tp_r)^6+PL!J96*(1-MIN(tp_g/tp_roe,0.8))*(1+tp_g)/(tp_r-tp_g)/(1+tp_r)^6)+tp_wB*MAX(0,PL!E137*(1-MIN(tp_g/tp_roe,0.8))/(1+tp_r)^1+PL!F137*(1-MIN(tp_g/tp_roe,0.8))/(1+tp_r)^2+PL!G137*(1-MIN(tp_g/tp_roe,0.8))/(1+tp_r)^3+PL!H137*(1-MIN(tp_g/tp_roe,0.8))/(1+tp_r)^4+PL!I137*(1-MIN(tp_g/tp_roe,0.8))/(1+tp_r)^5+PL!J137*(1-MIN(tp_g/tp_roe,0.8))/(1+tp_r)^6+PL!J137*(1-MIN(tp_g/tp_roe,0.8))*(1+tp_g)/(tp_r-tp_g)/(1+tp_r)^6)+tp_wC*MAX(0,PL!E178*(1-MIN(tp_g/tp_roe,0.8))/(1+tp_r)^1+PL!F178*(1-MIN(tp_g/tp_roe,0.8))/(1+tp_r)^2+PL!G178*(1-MIN(tp_g/tp_roe,0.8))/(1+tp_r)^3+PL!H178*(1-MIN(tp_g/tp_roe,0.8))/(1+tp_r)^4+PL!I178*(1-MIN(tp_g/tp_roe,0.8))/(1+tp_r)^5+PL!J178*(1-MIN(tp_g/tp_roe,0.8))/(1+tp_r)^6+PL!J178*(1-MIN(tp_g/tp_roe,0.8))*(1+tp_g)/(tp_r-tp_g)/(1+tp_r)^6))*(1+tp_r)</f>
        <v>77.4840992688656</v>
      </c>
      <c r="H4" s="23" t="n">
        <f aca="false">Val!$B$33*(tp_wA*(2/12*PL!E96+10/12*PL!F96)+tp_wB*(2/12*PL!E137+10/12*PL!F137)+tp_wC*(2/12*PL!E178+10/12*PL!F178))*rm_factor</f>
        <v>175.688355816123</v>
      </c>
      <c r="I4" s="23" t="n">
        <f aca="false">tp_w_dcf*G4+(1-tp_w_dcf)*H4</f>
        <v>126.586227542494</v>
      </c>
      <c r="J4" s="20" t="n">
        <f aca="false">I4/I$4-1</f>
        <v>0</v>
      </c>
    </row>
    <row r="5" customFormat="false" ht="17.15" hidden="false" customHeight="false" outlineLevel="0" collapsed="false">
      <c r="A5" s="4" t="s">
        <v>809</v>
      </c>
      <c r="B5" s="0" t="str">
        <f aca="false">TEXT(fx_lo,"0.0")&amp;"（基準 "&amp;TEXT(fx,"0.0")&amp;"）"</f>
        <v>30.5（基準 32.0）</v>
      </c>
      <c r="C5" s="0" t="s">
        <v>33</v>
      </c>
      <c r="D5" s="23" t="n">
        <f aca="false">E74</f>
        <v>7.18461936425225</v>
      </c>
      <c r="E5" s="23" t="n">
        <f aca="false">F74</f>
        <v>7.82457706935715</v>
      </c>
      <c r="F5" s="20" t="n">
        <f aca="false">E5/E$4-1</f>
        <v>-0.151095498052372</v>
      </c>
      <c r="G5" s="23" t="n">
        <f aca="false">(tp_wA*MAX(0,E74*(1-MIN(tp_g/tp_roe,0.8))/(1+tp_r)^1+F74*(1-MIN(tp_g/tp_roe,0.8))/(1+tp_r)^2+G74*(1-MIN(tp_g/tp_roe,0.8))/(1+tp_r)^3+H74*(1-MIN(tp_g/tp_roe,0.8))/(1+tp_r)^4+I74*(1-MIN(tp_g/tp_roe,0.8))/(1+tp_r)^5+J74*(1-MIN(tp_g/tp_roe,0.8))/(1+tp_r)^6+J74*(1-MIN(tp_g/tp_roe,0.8))*(1+tp_g)/(tp_r-tp_g)/(1+tp_r)^6)+tp_wB*MAX(0,E115*(1-MIN(tp_g/tp_roe,0.8))/(1+tp_r)^1+F115*(1-MIN(tp_g/tp_roe,0.8))/(1+tp_r)^2+G115*(1-MIN(tp_g/tp_roe,0.8))/(1+tp_r)^3+H115*(1-MIN(tp_g/tp_roe,0.8))/(1+tp_r)^4+I115*(1-MIN(tp_g/tp_roe,0.8))/(1+tp_r)^5+J115*(1-MIN(tp_g/tp_roe,0.8))/(1+tp_r)^6+J115*(1-MIN(tp_g/tp_roe,0.8))*(1+tp_g)/(tp_r-tp_g)/(1+tp_r)^6)+tp_wC*MAX(0,E156*(1-MIN(tp_g/tp_roe,0.8))/(1+tp_r)^1+F156*(1-MIN(tp_g/tp_roe,0.8))/(1+tp_r)^2+G156*(1-MIN(tp_g/tp_roe,0.8))/(1+tp_r)^3+H156*(1-MIN(tp_g/tp_roe,0.8))/(1+tp_r)^4+I156*(1-MIN(tp_g/tp_roe,0.8))/(1+tp_r)^5+J156*(1-MIN(tp_g/tp_roe,0.8))/(1+tp_r)^6+J156*(1-MIN(tp_g/tp_roe,0.8))*(1+tp_g)/(tp_r-tp_g)/(1+tp_r)^6))*(1+tp_r)</f>
        <v>63.1132744194524</v>
      </c>
      <c r="H5" s="23" t="n">
        <f aca="false">Val!$B$33*(tp_wA*(2/12*E74+10/12*F74)+tp_wB*(2/12*E115+10/12*F115)+tp_wC*(2/12*E156+10/12*F156))*rm_factor</f>
        <v>142.393388750849</v>
      </c>
      <c r="I5" s="23" t="n">
        <f aca="false">tp_w_dcf*G5+(1-tp_w_dcf)*H5</f>
        <v>102.753331585151</v>
      </c>
      <c r="J5" s="20" t="n">
        <f aca="false">I5/I$4-1</f>
        <v>-0.188274004368627</v>
      </c>
    </row>
    <row r="6" customFormat="false" ht="17.15" hidden="false" customHeight="false" outlineLevel="0" collapsed="false">
      <c r="A6" s="4" t="s">
        <v>810</v>
      </c>
      <c r="B6" s="0" t="str">
        <f aca="false">TEXT(fx_hi,"0.0")&amp;"（基準 "&amp;TEXT(fx,"0.0")&amp;"）"</f>
        <v>33.0（基準 32.0）</v>
      </c>
      <c r="C6" s="0" t="s">
        <v>33</v>
      </c>
      <c r="D6" s="23" t="n">
        <f aca="false">E197</f>
        <v>9.42545396803125</v>
      </c>
      <c r="E6" s="23" t="n">
        <f aca="false">F197</f>
        <v>10.1457222759759</v>
      </c>
      <c r="F6" s="20" t="n">
        <f aca="false">E6/E$4-1</f>
        <v>0.100730332034914</v>
      </c>
      <c r="G6" s="23" t="n">
        <f aca="false">(tp_wA*MAX(0,E197*(1-MIN(tp_g/tp_roe,0.8))/(1+tp_r)^1+F197*(1-MIN(tp_g/tp_roe,0.8))/(1+tp_r)^2+G197*(1-MIN(tp_g/tp_roe,0.8))/(1+tp_r)^3+H197*(1-MIN(tp_g/tp_roe,0.8))/(1+tp_r)^4+I197*(1-MIN(tp_g/tp_roe,0.8))/(1+tp_r)^5+J197*(1-MIN(tp_g/tp_roe,0.8))/(1+tp_r)^6+J197*(1-MIN(tp_g/tp_roe,0.8))*(1+tp_g)/(tp_r-tp_g)/(1+tp_r)^6)+tp_wB*MAX(0,E238*(1-MIN(tp_g/tp_roe,0.8))/(1+tp_r)^1+F238*(1-MIN(tp_g/tp_roe,0.8))/(1+tp_r)^2+G238*(1-MIN(tp_g/tp_roe,0.8))/(1+tp_r)^3+H238*(1-MIN(tp_g/tp_roe,0.8))/(1+tp_r)^4+I238*(1-MIN(tp_g/tp_roe,0.8))/(1+tp_r)^5+J238*(1-MIN(tp_g/tp_roe,0.8))/(1+tp_r)^6+J238*(1-MIN(tp_g/tp_roe,0.8))*(1+tp_g)/(tp_r-tp_g)/(1+tp_r)^6)+tp_wC*MAX(0,E279*(1-MIN(tp_g/tp_roe,0.8))/(1+tp_r)^1+F279*(1-MIN(tp_g/tp_roe,0.8))/(1+tp_r)^2+G279*(1-MIN(tp_g/tp_roe,0.8))/(1+tp_r)^3+H279*(1-MIN(tp_g/tp_roe,0.8))/(1+tp_r)^4+I279*(1-MIN(tp_g/tp_roe,0.8))/(1+tp_r)^5+J279*(1-MIN(tp_g/tp_roe,0.8))/(1+tp_r)^6+J279*(1-MIN(tp_g/tp_roe,0.8))*(1+tp_g)/(tp_r-tp_g)/(1+tp_r)^6))*(1+tp_r)</f>
        <v>87.0646491684745</v>
      </c>
      <c r="H6" s="23" t="n">
        <f aca="false">Val!$B$33*(tp_wA*(2/12*E197+10/12*F197)+tp_wB*(2/12*E238+10/12*F238)+tp_wC*(2/12*E279+10/12*F279))*rm_factor</f>
        <v>197.885000526305</v>
      </c>
      <c r="I6" s="23" t="n">
        <f aca="false">tp_w_dcf*G6+(1-tp_w_dcf)*H6</f>
        <v>142.47482484739</v>
      </c>
      <c r="J6" s="20" t="n">
        <f aca="false">I6/I$4-1</f>
        <v>0.125516002912418</v>
      </c>
    </row>
    <row r="7" customFormat="false" ht="17.15" hidden="false" customHeight="false" outlineLevel="0" collapsed="false">
      <c r="A7" s="0" t="s">
        <v>811</v>
      </c>
      <c r="B7" s="0" t="str">
        <f aca="false">TEXT(cap_adj_lo,"0.00")&amp;"（基準 "&amp;TEXT(cap_adj,"0.00")&amp;"）"</f>
        <v>0.95（基準 1.00）</v>
      </c>
      <c r="C7" s="0" t="s">
        <v>56</v>
      </c>
      <c r="D7" s="23" t="n">
        <f aca="false">E320</f>
        <v>7.85662626855929</v>
      </c>
      <c r="E7" s="23" t="n">
        <f aca="false">F320</f>
        <v>8.53287286594578</v>
      </c>
      <c r="F7" s="20" t="n">
        <f aca="false">E7/E$4-1</f>
        <v>-0.0742510264464367</v>
      </c>
      <c r="G7" s="23" t="n">
        <f aca="false">(tp_wA*MAX(0,E320*(1-MIN(tp_g/tp_roe,0.8))/(1+tp_r)^1+F320*(1-MIN(tp_g/tp_roe,0.8))/(1+tp_r)^2+G320*(1-MIN(tp_g/tp_roe,0.8))/(1+tp_r)^3+H320*(1-MIN(tp_g/tp_roe,0.8))/(1+tp_r)^4+I320*(1-MIN(tp_g/tp_roe,0.8))/(1+tp_r)^5+J320*(1-MIN(tp_g/tp_roe,0.8))/(1+tp_r)^6+J320*(1-MIN(tp_g/tp_roe,0.8))*(1+tp_g)/(tp_r-tp_g)/(1+tp_r)^6)+tp_wB*MAX(0,E361*(1-MIN(tp_g/tp_roe,0.8))/(1+tp_r)^1+F361*(1-MIN(tp_g/tp_roe,0.8))/(1+tp_r)^2+G361*(1-MIN(tp_g/tp_roe,0.8))/(1+tp_r)^3+H361*(1-MIN(tp_g/tp_roe,0.8))/(1+tp_r)^4+I361*(1-MIN(tp_g/tp_roe,0.8))/(1+tp_r)^5+J361*(1-MIN(tp_g/tp_roe,0.8))/(1+tp_r)^6+J361*(1-MIN(tp_g/tp_roe,0.8))*(1+tp_g)/(tp_r-tp_g)/(1+tp_r)^6)+tp_wC*MAX(0,E402*(1-MIN(tp_g/tp_roe,0.8))/(1+tp_r)^1+F402*(1-MIN(tp_g/tp_roe,0.8))/(1+tp_r)^2+G402*(1-MIN(tp_g/tp_roe,0.8))/(1+tp_r)^3+H402*(1-MIN(tp_g/tp_roe,0.8))/(1+tp_r)^4+I402*(1-MIN(tp_g/tp_roe,0.8))/(1+tp_r)^5+J402*(1-MIN(tp_g/tp_roe,0.8))/(1+tp_r)^6+J402*(1-MIN(tp_g/tp_roe,0.8))*(1+tp_g)/(tp_r-tp_g)/(1+tp_r)^6))*(1+tp_r)</f>
        <v>71.0783455297593</v>
      </c>
      <c r="H7" s="23" t="n">
        <f aca="false">Val!$B$33*(tp_wA*(2/12*E320+10/12*F320)+tp_wB*(2/12*E361+10/12*F361)+tp_wC*(2/12*E402+10/12*F402))*rm_factor</f>
        <v>159.857599493036</v>
      </c>
      <c r="I7" s="23" t="n">
        <f aca="false">tp_w_dcf*G7+(1-tp_w_dcf)*H7</f>
        <v>115.467972511398</v>
      </c>
      <c r="J7" s="20" t="n">
        <f aca="false">I7/I$4-1</f>
        <v>-0.0878314746157062</v>
      </c>
    </row>
    <row r="8" customFormat="false" ht="17.15" hidden="false" customHeight="false" outlineLevel="0" collapsed="false">
      <c r="A8" s="0" t="s">
        <v>812</v>
      </c>
      <c r="B8" s="0" t="str">
        <f aca="false">TEXT(cap_adj_hi,"0.00")&amp;"（基準 "&amp;TEXT(cap_adj,"0.00")&amp;"）"</f>
        <v>1.05（基準 1.00）</v>
      </c>
      <c r="C8" s="0" t="s">
        <v>56</v>
      </c>
      <c r="D8" s="23" t="n">
        <f aca="false">E443</f>
        <v>9.20161398448001</v>
      </c>
      <c r="E8" s="23" t="n">
        <f aca="false">F443</f>
        <v>9.90120194939044</v>
      </c>
      <c r="F8" s="20" t="n">
        <f aca="false">E8/E$4-1</f>
        <v>0.0742018175585208</v>
      </c>
      <c r="G8" s="23" t="n">
        <f aca="false">(tp_wA*MAX(0,E443*(1-MIN(tp_g/tp_roe,0.8))/(1+tp_r)^1+F443*(1-MIN(tp_g/tp_roe,0.8))/(1+tp_r)^2+G443*(1-MIN(tp_g/tp_roe,0.8))/(1+tp_r)^3+H443*(1-MIN(tp_g/tp_roe,0.8))/(1+tp_r)^4+I443*(1-MIN(tp_g/tp_roe,0.8))/(1+tp_r)^5+J443*(1-MIN(tp_g/tp_roe,0.8))/(1+tp_r)^6+J443*(1-MIN(tp_g/tp_roe,0.8))*(1+tp_g)/(tp_r-tp_g)/(1+tp_r)^6)+tp_wB*MAX(0,E484*(1-MIN(tp_g/tp_roe,0.8))/(1+tp_r)^1+F484*(1-MIN(tp_g/tp_roe,0.8))/(1+tp_r)^2+G484*(1-MIN(tp_g/tp_roe,0.8))/(1+tp_r)^3+H484*(1-MIN(tp_g/tp_roe,0.8))/(1+tp_r)^4+I484*(1-MIN(tp_g/tp_roe,0.8))/(1+tp_r)^5+J484*(1-MIN(tp_g/tp_roe,0.8))/(1+tp_r)^6+J484*(1-MIN(tp_g/tp_roe,0.8))*(1+tp_g)/(tp_r-tp_g)/(1+tp_r)^6)+tp_wC*MAX(0,E525*(1-MIN(tp_g/tp_roe,0.8))/(1+tp_r)^1+F525*(1-MIN(tp_g/tp_roe,0.8))/(1+tp_r)^2+G525*(1-MIN(tp_g/tp_roe,0.8))/(1+tp_r)^3+H525*(1-MIN(tp_g/tp_roe,0.8))/(1+tp_r)^4+I525*(1-MIN(tp_g/tp_roe,0.8))/(1+tp_r)^5+J525*(1-MIN(tp_g/tp_roe,0.8))/(1+tp_r)^6+J525*(1-MIN(tp_g/tp_roe,0.8))*(1+tp_g)/(tp_r-tp_g)/(1+tp_r)^6))*(1+tp_r)</f>
        <v>83.8657342557043</v>
      </c>
      <c r="H8" s="23" t="n">
        <f aca="false">Val!$B$33*(tp_wA*(2/12*E443+10/12*F443)+tp_wB*(2/12*E484+10/12*F484)+tp_wC*(2/12*E525+10/12*F525))*rm_factor</f>
        <v>191.510764354479</v>
      </c>
      <c r="I8" s="23" t="n">
        <f aca="false">tp_w_dcf*G8+(1-tp_w_dcf)*H8</f>
        <v>137.688249305092</v>
      </c>
      <c r="J8" s="20" t="n">
        <f aca="false">I8/I$4-1</f>
        <v>0.0877032357953049</v>
      </c>
    </row>
    <row r="9" customFormat="false" ht="17.15" hidden="false" customHeight="false" outlineLevel="0" collapsed="false">
      <c r="A9" s="0" t="s">
        <v>813</v>
      </c>
      <c r="B9" s="0" t="str">
        <f aca="false">TEXT(ut_adj_lo,"0.0%")&amp;"（基準 "&amp;TEXT(ut_adj,"0.0%")&amp;"）"</f>
        <v>-3.0%（基準 0.0%）</v>
      </c>
      <c r="C9" s="0" t="s">
        <v>82</v>
      </c>
      <c r="D9" s="23" t="n">
        <f aca="false">E566</f>
        <v>8.10438716359732</v>
      </c>
      <c r="E9" s="23" t="n">
        <f aca="false">F566</f>
        <v>8.7804514993706</v>
      </c>
      <c r="F9" s="20" t="n">
        <f aca="false">E9/E$4-1</f>
        <v>-0.047390709954259</v>
      </c>
      <c r="G9" s="23" t="n">
        <f aca="false">(tp_wA*MAX(0,E566*(1-MIN(tp_g/tp_roe,0.8))/(1+tp_r)^1+F566*(1-MIN(tp_g/tp_roe,0.8))/(1+tp_r)^2+G566*(1-MIN(tp_g/tp_roe,0.8))/(1+tp_r)^3+H566*(1-MIN(tp_g/tp_roe,0.8))/(1+tp_r)^4+I566*(1-MIN(tp_g/tp_roe,0.8))/(1+tp_r)^5+J566*(1-MIN(tp_g/tp_roe,0.8))/(1+tp_r)^6+J566*(1-MIN(tp_g/tp_roe,0.8))*(1+tp_g)/(tp_r-tp_g)/(1+tp_r)^6)+tp_wB*MAX(0,E607*(1-MIN(tp_g/tp_roe,0.8))/(1+tp_r)^1+F607*(1-MIN(tp_g/tp_roe,0.8))/(1+tp_r)^2+G607*(1-MIN(tp_g/tp_roe,0.8))/(1+tp_r)^3+H607*(1-MIN(tp_g/tp_roe,0.8))/(1+tp_r)^4+I607*(1-MIN(tp_g/tp_roe,0.8))/(1+tp_r)^5+J607*(1-MIN(tp_g/tp_roe,0.8))/(1+tp_r)^6+J607*(1-MIN(tp_g/tp_roe,0.8))*(1+tp_g)/(tp_r-tp_g)/(1+tp_r)^6)+tp_wC*MAX(0,E648*(1-MIN(tp_g/tp_roe,0.8))/(1+tp_r)^1+F648*(1-MIN(tp_g/tp_roe,0.8))/(1+tp_r)^2+G648*(1-MIN(tp_g/tp_roe,0.8))/(1+tp_r)^3+H648*(1-MIN(tp_g/tp_roe,0.8))/(1+tp_r)^4+I648*(1-MIN(tp_g/tp_roe,0.8))/(1+tp_r)^5+J648*(1-MIN(tp_g/tp_roe,0.8))/(1+tp_r)^6+J648*(1-MIN(tp_g/tp_roe,0.8))*(1+tp_g)/(tp_r-tp_g)/(1+tp_r)^6))*(1+tp_r)</f>
        <v>73.1150699483251</v>
      </c>
      <c r="H9" s="23" t="n">
        <f aca="false">Val!$B$33*(tp_wA*(2/12*E566+10/12*F566)+tp_wB*(2/12*E607+10/12*F607)+tp_wC*(2/12*E648+10/12*F648))*rm_factor</f>
        <v>164.780312445344</v>
      </c>
      <c r="I9" s="23" t="n">
        <f aca="false">tp_w_dcf*G9+(1-tp_w_dcf)*H9</f>
        <v>118.947691196835</v>
      </c>
      <c r="J9" s="20" t="n">
        <f aca="false">I9/I$4-1</f>
        <v>-0.0603425545886911</v>
      </c>
    </row>
    <row r="10" customFormat="false" ht="17.15" hidden="false" customHeight="false" outlineLevel="0" collapsed="false">
      <c r="A10" s="0" t="s">
        <v>814</v>
      </c>
      <c r="B10" s="0" t="str">
        <f aca="false">TEXT(ut_adj_hi,"0.0%")&amp;"（基準 "&amp;TEXT(ut_adj,"0.0%")&amp;"）"</f>
        <v>3.0%（基準 0.0%）</v>
      </c>
      <c r="C10" s="0" t="s">
        <v>82</v>
      </c>
      <c r="D10" s="23" t="n">
        <f aca="false">E689</f>
        <v>8.95385308944198</v>
      </c>
      <c r="E10" s="23" t="n">
        <f aca="false">F689</f>
        <v>9.65390943576746</v>
      </c>
      <c r="F10" s="20" t="n">
        <f aca="false">E10/E$4-1</f>
        <v>0.0473725427936749</v>
      </c>
      <c r="G10" s="23" t="n">
        <f aca="false">(tp_wA*MAX(0,E689*(1-MIN(tp_g/tp_roe,0.8))/(1+tp_r)^1+F689*(1-MIN(tp_g/tp_roe,0.8))/(1+tp_r)^2+G689*(1-MIN(tp_g/tp_roe,0.8))/(1+tp_r)^3+H689*(1-MIN(tp_g/tp_roe,0.8))/(1+tp_r)^4+I689*(1-MIN(tp_g/tp_roe,0.8))/(1+tp_r)^5+J689*(1-MIN(tp_g/tp_roe,0.8))/(1+tp_r)^6+J689*(1-MIN(tp_g/tp_roe,0.8))*(1+tp_g)/(tp_r-tp_g)/(1+tp_r)^6)+tp_wB*MAX(0,E730*(1-MIN(tp_g/tp_roe,0.8))/(1+tp_r)^1+F730*(1-MIN(tp_g/tp_roe,0.8))/(1+tp_r)^2+G730*(1-MIN(tp_g/tp_roe,0.8))/(1+tp_r)^3+H730*(1-MIN(tp_g/tp_roe,0.8))/(1+tp_r)^4+I730*(1-MIN(tp_g/tp_roe,0.8))/(1+tp_r)^5+J730*(1-MIN(tp_g/tp_roe,0.8))/(1+tp_r)^6+J730*(1-MIN(tp_g/tp_roe,0.8))*(1+tp_g)/(tp_r-tp_g)/(1+tp_r)^6)+tp_wC*MAX(0,E771*(1-MIN(tp_g/tp_roe,0.8))/(1+tp_r)^1+F771*(1-MIN(tp_g/tp_roe,0.8))/(1+tp_r)^2+G771*(1-MIN(tp_g/tp_roe,0.8))/(1+tp_r)^3+H771*(1-MIN(tp_g/tp_roe,0.8))/(1+tp_r)^4+I771*(1-MIN(tp_g/tp_roe,0.8))/(1+tp_r)^5+J771*(1-MIN(tp_g/tp_roe,0.8))/(1+tp_r)^6+J771*(1-MIN(tp_g/tp_roe,0.8))*(1+tp_g)/(tp_r-tp_g)/(1+tp_r)^6))*(1+tp_r)</f>
        <v>81.8400719440167</v>
      </c>
      <c r="H10" s="23" t="n">
        <f aca="false">Val!$B$33*(tp_wA*(2/12*E689+10/12*F689)+tp_wB*(2/12*E730+10/12*F730)+tp_wC*(2/12*E771+10/12*F771))*rm_factor</f>
        <v>186.593629051674</v>
      </c>
      <c r="I10" s="23" t="n">
        <f aca="false">tp_w_dcf*G10+(1-tp_w_dcf)*H10</f>
        <v>134.216850497845</v>
      </c>
      <c r="J10" s="20" t="n">
        <f aca="false">I10/I$4-1</f>
        <v>0.0602800407555368</v>
      </c>
    </row>
    <row r="11" customFormat="false" ht="17.15" hidden="false" customHeight="false" outlineLevel="0" collapsed="false">
      <c r="A11" s="0" t="s">
        <v>815</v>
      </c>
      <c r="B11" s="0" t="str">
        <f aca="false">TEXT(asp_adj_lo,"0.0%")&amp;"（基準 "&amp;TEXT(asp_adj,"0.0%")&amp;"）"</f>
        <v>-3.0%（基準 0.0%）</v>
      </c>
      <c r="C11" s="0" t="s">
        <v>112</v>
      </c>
      <c r="D11" s="23" t="n">
        <f aca="false">E812</f>
        <v>7.66582727277361</v>
      </c>
      <c r="E11" s="23" t="n">
        <f aca="false">F812</f>
        <v>8.34263215441314</v>
      </c>
      <c r="F11" s="20" t="n">
        <f aca="false">E11/E$4-1</f>
        <v>-0.0948906335513665</v>
      </c>
      <c r="G11" s="23" t="n">
        <f aca="false">(tp_wA*MAX(0,E812*(1-MIN(tp_g/tp_roe,0.8))/(1+tp_r)^1+F812*(1-MIN(tp_g/tp_roe,0.8))/(1+tp_r)^2+G812*(1-MIN(tp_g/tp_roe,0.8))/(1+tp_r)^3+H812*(1-MIN(tp_g/tp_roe,0.8))/(1+tp_r)^4+I812*(1-MIN(tp_g/tp_roe,0.8))/(1+tp_r)^5+J812*(1-MIN(tp_g/tp_roe,0.8))/(1+tp_r)^6+J812*(1-MIN(tp_g/tp_roe,0.8))*(1+tp_g)/(tp_r-tp_g)/(1+tp_r)^6)+tp_wB*MAX(0,E853*(1-MIN(tp_g/tp_roe,0.8))/(1+tp_r)^1+F853*(1-MIN(tp_g/tp_roe,0.8))/(1+tp_r)^2+G853*(1-MIN(tp_g/tp_roe,0.8))/(1+tp_r)^3+H853*(1-MIN(tp_g/tp_roe,0.8))/(1+tp_r)^4+I853*(1-MIN(tp_g/tp_roe,0.8))/(1+tp_r)^5+J853*(1-MIN(tp_g/tp_roe,0.8))/(1+tp_r)^6+J853*(1-MIN(tp_g/tp_roe,0.8))*(1+tp_g)/(tp_r-tp_g)/(1+tp_r)^6)+tp_wC*MAX(0,E894*(1-MIN(tp_g/tp_roe,0.8))/(1+tp_r)^1+F894*(1-MIN(tp_g/tp_roe,0.8))/(1+tp_r)^2+G894*(1-MIN(tp_g/tp_roe,0.8))/(1+tp_r)^3+H894*(1-MIN(tp_g/tp_roe,0.8))/(1+tp_r)^4+I894*(1-MIN(tp_g/tp_roe,0.8))/(1+tp_r)^5+J894*(1-MIN(tp_g/tp_roe,0.8))/(1+tp_r)^6+J894*(1-MIN(tp_g/tp_roe,0.8))*(1+tp_g)/(tp_r-tp_g)/(1+tp_r)^6))*(1+tp_r)</f>
        <v>68.6056521306249</v>
      </c>
      <c r="H11" s="23" t="n">
        <f aca="false">Val!$B$33*(tp_wA*(2/12*E812+10/12*F812)+tp_wB*(2/12*E853+10/12*F853)+tp_wC*(2/12*E894+10/12*F894))*rm_factor</f>
        <v>154.507997855255</v>
      </c>
      <c r="I11" s="23" t="n">
        <f aca="false">tp_w_dcf*G11+(1-tp_w_dcf)*H11</f>
        <v>111.55682499294</v>
      </c>
      <c r="J11" s="20" t="n">
        <f aca="false">I11/I$4-1</f>
        <v>-0.118728576096548</v>
      </c>
    </row>
    <row r="12" customFormat="false" ht="17.15" hidden="false" customHeight="false" outlineLevel="0" collapsed="false">
      <c r="A12" s="0" t="s">
        <v>816</v>
      </c>
      <c r="B12" s="0" t="str">
        <f aca="false">TEXT(asp_adj_hi,"0.0%")&amp;"（基準 "&amp;TEXT(asp_adj,"0.0%")&amp;"）"</f>
        <v>3.0%（基準 0.0%）</v>
      </c>
      <c r="C12" s="0" t="s">
        <v>112</v>
      </c>
      <c r="D12" s="23" t="n">
        <f aca="false">E935</f>
        <v>9.3924129802657</v>
      </c>
      <c r="E12" s="23" t="n">
        <f aca="false">F935</f>
        <v>10.0917331591879</v>
      </c>
      <c r="F12" s="20" t="n">
        <f aca="false">E12/E$4-1</f>
        <v>0.0948729414192586</v>
      </c>
      <c r="G12" s="23" t="n">
        <f aca="false">(tp_wA*MAX(0,E935*(1-MIN(tp_g/tp_roe,0.8))/(1+tp_r)^1+F935*(1-MIN(tp_g/tp_roe,0.8))/(1+tp_r)^2+G935*(1-MIN(tp_g/tp_roe,0.8))/(1+tp_r)^3+H935*(1-MIN(tp_g/tp_roe,0.8))/(1+tp_r)^4+I935*(1-MIN(tp_g/tp_roe,0.8))/(1+tp_r)^5+J935*(1-MIN(tp_g/tp_roe,0.8))/(1+tp_r)^6+J935*(1-MIN(tp_g/tp_roe,0.8))*(1+tp_g)/(tp_r-tp_g)/(1+tp_r)^6)+tp_wB*MAX(0,E976*(1-MIN(tp_g/tp_roe,0.8))/(1+tp_r)^1+F976*(1-MIN(tp_g/tp_roe,0.8))/(1+tp_r)^2+G976*(1-MIN(tp_g/tp_roe,0.8))/(1+tp_r)^3+H976*(1-MIN(tp_g/tp_roe,0.8))/(1+tp_r)^4+I976*(1-MIN(tp_g/tp_roe,0.8))/(1+tp_r)^5+J976*(1-MIN(tp_g/tp_roe,0.8))/(1+tp_r)^6+J976*(1-MIN(tp_g/tp_roe,0.8))*(1+tp_g)/(tp_r-tp_g)/(1+tp_r)^6)+tp_wC*MAX(0,E1017*(1-MIN(tp_g/tp_roe,0.8))/(1+tp_r)^1+F1017*(1-MIN(tp_g/tp_roe,0.8))/(1+tp_r)^2+G1017*(1-MIN(tp_g/tp_roe,0.8))/(1+tp_r)^3+H1017*(1-MIN(tp_g/tp_roe,0.8))/(1+tp_r)^4+I1017*(1-MIN(tp_g/tp_roe,0.8))/(1+tp_r)^5+J1017*(1-MIN(tp_g/tp_roe,0.8))/(1+tp_r)^6+J1017*(1-MIN(tp_g/tp_roe,0.8))*(1+tp_g)/(tp_r-tp_g)/(1+tp_r)^6))*(1+tp_r)</f>
        <v>86.3386079013984</v>
      </c>
      <c r="H12" s="23" t="n">
        <f aca="false">Val!$B$33*(tp_wA*(2/12*E935+10/12*F935)+tp_wB*(2/12*E976+10/12*F976)+tp_wC*(2/12*E1017+10/12*F1017))*rm_factor</f>
        <v>196.865712504346</v>
      </c>
      <c r="I12" s="23" t="n">
        <f aca="false">tp_w_dcf*G12+(1-tp_w_dcf)*H12</f>
        <v>141.602160202872</v>
      </c>
      <c r="J12" s="20" t="n">
        <f aca="false">I12/I$4-1</f>
        <v>0.118622167291757</v>
      </c>
    </row>
    <row r="13" customFormat="false" ht="17.15" hidden="false" customHeight="false" outlineLevel="0" collapsed="false">
      <c r="A13" s="4" t="s">
        <v>817</v>
      </c>
      <c r="B13" s="0" t="str">
        <f aca="false">TEXT(dag_adj_lo,"0.0%")&amp;"（基準 "&amp;TEXT(dag_adj,"0.0%")&amp;"）"</f>
        <v>-5.0%（基準 0.0%）</v>
      </c>
      <c r="C13" s="0" t="s">
        <v>198</v>
      </c>
      <c r="D13" s="23" t="n">
        <f aca="false">E1058</f>
        <v>8.72206984080536</v>
      </c>
      <c r="E13" s="23" t="n">
        <f aca="false">F1058</f>
        <v>9.60316362189983</v>
      </c>
      <c r="F13" s="20" t="n">
        <f aca="false">E13/E$4-1</f>
        <v>0.0418670248001301</v>
      </c>
      <c r="G13" s="23" t="n">
        <f aca="false">(tp_wA*MAX(0,E1058*(1-MIN(tp_g/tp_roe,0.8))/(1+tp_r)^1+F1058*(1-MIN(tp_g/tp_roe,0.8))/(1+tp_r)^2+G1058*(1-MIN(tp_g/tp_roe,0.8))/(1+tp_r)^3+H1058*(1-MIN(tp_g/tp_roe,0.8))/(1+tp_r)^4+I1058*(1-MIN(tp_g/tp_roe,0.8))/(1+tp_r)^5+J1058*(1-MIN(tp_g/tp_roe,0.8))/(1+tp_r)^6+J1058*(1-MIN(tp_g/tp_roe,0.8))*(1+tp_g)/(tp_r-tp_g)/(1+tp_r)^6)+tp_wB*MAX(0,E1099*(1-MIN(tp_g/tp_roe,0.8))/(1+tp_r)^1+F1099*(1-MIN(tp_g/tp_roe,0.8))/(1+tp_r)^2+G1099*(1-MIN(tp_g/tp_roe,0.8))/(1+tp_r)^3+H1099*(1-MIN(tp_g/tp_roe,0.8))/(1+tp_r)^4+I1099*(1-MIN(tp_g/tp_roe,0.8))/(1+tp_r)^5+J1099*(1-MIN(tp_g/tp_roe,0.8))/(1+tp_r)^6+J1099*(1-MIN(tp_g/tp_roe,0.8))*(1+tp_g)/(tp_r-tp_g)/(1+tp_r)^6)+tp_wC*MAX(0,E1140*(1-MIN(tp_g/tp_roe,0.8))/(1+tp_r)^1+F1140*(1-MIN(tp_g/tp_roe,0.8))/(1+tp_r)^2+G1140*(1-MIN(tp_g/tp_roe,0.8))/(1+tp_r)^3+H1140*(1-MIN(tp_g/tp_roe,0.8))/(1+tp_r)^4+I1140*(1-MIN(tp_g/tp_roe,0.8))/(1+tp_r)^5+J1140*(1-MIN(tp_g/tp_roe,0.8))/(1+tp_r)^6+J1140*(1-MIN(tp_g/tp_roe,0.8))*(1+tp_g)/(tp_r-tp_g)/(1+tp_r)^6))*(1+tp_r)</f>
        <v>83.6338479580114</v>
      </c>
      <c r="H13" s="23" t="n">
        <f aca="false">Val!$B$33*(tp_wA*(2/12*E1058+10/12*F1058)+tp_wB*(2/12*E1099+10/12*F1099)+tp_wC*(2/12*E1140+10/12*F1140))*rm_factor</f>
        <v>185.38970665898</v>
      </c>
      <c r="I13" s="23" t="n">
        <f aca="false">tp_w_dcf*G13+(1-tp_w_dcf)*H13</f>
        <v>134.511777308496</v>
      </c>
      <c r="J13" s="20" t="n">
        <f aca="false">I13/I$4-1</f>
        <v>0.0626098898740066</v>
      </c>
    </row>
    <row r="14" customFormat="false" ht="17.15" hidden="false" customHeight="false" outlineLevel="0" collapsed="false">
      <c r="A14" s="4" t="s">
        <v>818</v>
      </c>
      <c r="B14" s="0" t="str">
        <f aca="false">TEXT(dag_adj_hi,"0.0%")&amp;"（基準 "&amp;TEXT(dag_adj,"0.0%")&amp;"）"</f>
        <v>5.0%（基準 0.0%）</v>
      </c>
      <c r="C14" s="0" t="s">
        <v>198</v>
      </c>
      <c r="D14" s="23" t="n">
        <f aca="false">E1181</f>
        <v>8.33617041223394</v>
      </c>
      <c r="E14" s="23" t="n">
        <f aca="false">F1181</f>
        <v>8.8120697933284</v>
      </c>
      <c r="F14" s="20" t="n">
        <f aca="false">E14/E$4-1</f>
        <v>-0.0439603760401363</v>
      </c>
      <c r="G14" s="23" t="n">
        <f aca="false">(tp_wA*MAX(0,E1181*(1-MIN(tp_g/tp_roe,0.8))/(1+tp_r)^1+F1181*(1-MIN(tp_g/tp_roe,0.8))/(1+tp_r)^2+G1181*(1-MIN(tp_g/tp_roe,0.8))/(1+tp_r)^3+H1181*(1-MIN(tp_g/tp_roe,0.8))/(1+tp_r)^4+I1181*(1-MIN(tp_g/tp_roe,0.8))/(1+tp_r)^5+J1181*(1-MIN(tp_g/tp_roe,0.8))/(1+tp_r)^6+J1181*(1-MIN(tp_g/tp_roe,0.8))*(1+tp_g)/(tp_r-tp_g)/(1+tp_r)^6)+tp_wB*MAX(0,E1222*(1-MIN(tp_g/tp_roe,0.8))/(1+tp_r)^1+F1222*(1-MIN(tp_g/tp_roe,0.8))/(1+tp_r)^2+G1222*(1-MIN(tp_g/tp_roe,0.8))/(1+tp_r)^3+H1222*(1-MIN(tp_g/tp_roe,0.8))/(1+tp_r)^4+I1222*(1-MIN(tp_g/tp_roe,0.8))/(1+tp_r)^5+J1222*(1-MIN(tp_g/tp_roe,0.8))/(1+tp_r)^6+J1222*(1-MIN(tp_g/tp_roe,0.8))*(1+tp_g)/(tp_r-tp_g)/(1+tp_r)^6)+tp_wC*MAX(0,E1263*(1-MIN(tp_g/tp_roe,0.8))/(1+tp_r)^1+F1263*(1-MIN(tp_g/tp_roe,0.8))/(1+tp_r)^2+G1263*(1-MIN(tp_g/tp_roe,0.8))/(1+tp_r)^3+H1263*(1-MIN(tp_g/tp_roe,0.8))/(1+tp_r)^4+I1263*(1-MIN(tp_g/tp_roe,0.8))/(1+tp_r)^5+J1263*(1-MIN(tp_g/tp_roe,0.8))/(1+tp_r)^6+J1263*(1-MIN(tp_g/tp_roe,0.8))*(1+tp_g)/(tp_r-tp_g)/(1+tp_r)^6))*(1+tp_r)</f>
        <v>70.7253423081404</v>
      </c>
      <c r="H14" s="23" t="n">
        <f aca="false">Val!$B$33*(tp_wA*(2/12*E1181+10/12*F1181)+tp_wB*(2/12*E1222+10/12*F1222)+tp_wC*(2/12*E1263+10/12*F1263))*rm_factor</f>
        <v>165.546034480408</v>
      </c>
      <c r="I14" s="23" t="n">
        <f aca="false">tp_w_dcf*G14+(1-tp_w_dcf)*H14</f>
        <v>118.135688394274</v>
      </c>
      <c r="J14" s="20" t="n">
        <f aca="false">I14/I$4-1</f>
        <v>-0.0667571766081975</v>
      </c>
    </row>
    <row r="15" customFormat="false" ht="17.15" hidden="false" customHeight="false" outlineLevel="0" collapsed="false">
      <c r="A15" s="4" t="s">
        <v>819</v>
      </c>
      <c r="B15" s="0" t="str">
        <f aca="false">TEXT(cc_g_lo,"0.0%")&amp;"（基準 "&amp;TEXT(cc_g,"0.0%")&amp;"）"</f>
        <v>0.0%（基準 2.0%）</v>
      </c>
      <c r="C15" s="0" t="s">
        <v>201</v>
      </c>
      <c r="D15" s="23" t="n">
        <f aca="false">E1304</f>
        <v>8.82964074022542</v>
      </c>
      <c r="E15" s="23" t="n">
        <f aca="false">F1304</f>
        <v>9.81792581575421</v>
      </c>
      <c r="F15" s="20" t="n">
        <f aca="false">E15/E$4-1</f>
        <v>0.0651670180898771</v>
      </c>
      <c r="G15" s="23" t="n">
        <f aca="false">(tp_wA*MAX(0,E1304*(1-MIN(tp_g/tp_roe,0.8))/(1+tp_r)^1+F1304*(1-MIN(tp_g/tp_roe,0.8))/(1+tp_r)^2+G1304*(1-MIN(tp_g/tp_roe,0.8))/(1+tp_r)^3+H1304*(1-MIN(tp_g/tp_roe,0.8))/(1+tp_r)^4+I1304*(1-MIN(tp_g/tp_roe,0.8))/(1+tp_r)^5+J1304*(1-MIN(tp_g/tp_roe,0.8))/(1+tp_r)^6+J1304*(1-MIN(tp_g/tp_roe,0.8))*(1+tp_g)/(tp_r-tp_g)/(1+tp_r)^6)+tp_wB*MAX(0,E1345*(1-MIN(tp_g/tp_roe,0.8))/(1+tp_r)^1+F1345*(1-MIN(tp_g/tp_roe,0.8))/(1+tp_r)^2+G1345*(1-MIN(tp_g/tp_roe,0.8))/(1+tp_r)^3+H1345*(1-MIN(tp_g/tp_roe,0.8))/(1+tp_r)^4+I1345*(1-MIN(tp_g/tp_roe,0.8))/(1+tp_r)^5+J1345*(1-MIN(tp_g/tp_roe,0.8))/(1+tp_r)^6+J1345*(1-MIN(tp_g/tp_roe,0.8))*(1+tp_g)/(tp_r-tp_g)/(1+tp_r)^6)+tp_wC*MAX(0,E1386*(1-MIN(tp_g/tp_roe,0.8))/(1+tp_r)^1+F1386*(1-MIN(tp_g/tp_roe,0.8))/(1+tp_r)^2+G1386*(1-MIN(tp_g/tp_roe,0.8))/(1+tp_r)^3+H1386*(1-MIN(tp_g/tp_roe,0.8))/(1+tp_r)^4+I1386*(1-MIN(tp_g/tp_roe,0.8))/(1+tp_r)^5+J1386*(1-MIN(tp_g/tp_roe,0.8))/(1+tp_r)^6+J1386*(1-MIN(tp_g/tp_roe,0.8))*(1+tp_g)/(tp_r-tp_g)/(1+tp_r)^6))*(1+tp_r)</f>
        <v>86.6085830766333</v>
      </c>
      <c r="H15" s="23" t="n">
        <f aca="false">Val!$B$33*(tp_wA*(2/12*E1304+10/12*F1304)+tp_wB*(2/12*E1345+10/12*F1345)+tp_wC*(2/12*E1386+10/12*F1386))*rm_factor</f>
        <v>189.541772201679</v>
      </c>
      <c r="I15" s="23" t="n">
        <f aca="false">tp_w_dcf*G15+(1-tp_w_dcf)*H15</f>
        <v>138.075177639156</v>
      </c>
      <c r="J15" s="20" t="n">
        <f aca="false">I15/I$4-1</f>
        <v>0.0907598742746718</v>
      </c>
    </row>
    <row r="16" customFormat="false" ht="17.15" hidden="false" customHeight="false" outlineLevel="0" collapsed="false">
      <c r="A16" s="4" t="s">
        <v>820</v>
      </c>
      <c r="B16" s="0" t="str">
        <f aca="false">TEXT(cc_g_hi,"0.0%")&amp;"（基準 "&amp;TEXT(cc_g,"0.0%")&amp;"）"</f>
        <v>4.0%（基準 2.0%）</v>
      </c>
      <c r="C16" s="0" t="s">
        <v>201</v>
      </c>
      <c r="D16" s="23" t="n">
        <f aca="false">E1427</f>
        <v>8.22859951281388</v>
      </c>
      <c r="E16" s="23" t="n">
        <f aca="false">F1427</f>
        <v>8.60470828134961</v>
      </c>
      <c r="F16" s="20" t="n">
        <f aca="false">E16/E$4-1</f>
        <v>-0.0664574540916569</v>
      </c>
      <c r="G16" s="23" t="n">
        <f aca="false">(tp_wA*MAX(0,E1427*(1-MIN(tp_g/tp_roe,0.8))/(1+tp_r)^1+F1427*(1-MIN(tp_g/tp_roe,0.8))/(1+tp_r)^2+G1427*(1-MIN(tp_g/tp_roe,0.8))/(1+tp_r)^3+H1427*(1-MIN(tp_g/tp_roe,0.8))/(1+tp_r)^4+I1427*(1-MIN(tp_g/tp_roe,0.8))/(1+tp_r)^5+J1427*(1-MIN(tp_g/tp_roe,0.8))/(1+tp_r)^6+J1427*(1-MIN(tp_g/tp_roe,0.8))*(1+tp_g)/(tp_r-tp_g)/(1+tp_r)^6)+tp_wB*MAX(0,E1468*(1-MIN(tp_g/tp_roe,0.8))/(1+tp_r)^1+F1468*(1-MIN(tp_g/tp_roe,0.8))/(1+tp_r)^2+G1468*(1-MIN(tp_g/tp_roe,0.8))/(1+tp_r)^3+H1468*(1-MIN(tp_g/tp_roe,0.8))/(1+tp_r)^4+I1468*(1-MIN(tp_g/tp_roe,0.8))/(1+tp_r)^5+J1468*(1-MIN(tp_g/tp_roe,0.8))/(1+tp_r)^6+J1468*(1-MIN(tp_g/tp_roe,0.8))*(1+tp_g)/(tp_r-tp_g)/(1+tp_r)^6)+tp_wC*MAX(0,E1509*(1-MIN(tp_g/tp_roe,0.8))/(1+tp_r)^1+F1509*(1-MIN(tp_g/tp_roe,0.8))/(1+tp_r)^2+G1509*(1-MIN(tp_g/tp_roe,0.8))/(1+tp_r)^3+H1509*(1-MIN(tp_g/tp_roe,0.8))/(1+tp_r)^4+I1509*(1-MIN(tp_g/tp_roe,0.8))/(1+tp_r)^5+J1509*(1-MIN(tp_g/tp_roe,0.8))/(1+tp_r)^6+J1509*(1-MIN(tp_g/tp_roe,0.8))*(1+tp_g)/(tp_r-tp_g)/(1+tp_r)^6))*(1+tp_r)</f>
        <v>68.0094594345202</v>
      </c>
      <c r="H16" s="23" t="n">
        <f aca="false">Val!$B$33*(tp_wA*(2/12*E1427+10/12*F1427)+tp_wB*(2/12*E1468+10/12*F1468)+tp_wC*(2/12*E1509+10/12*F1509))*rm_factor</f>
        <v>161.586240169705</v>
      </c>
      <c r="I16" s="23" t="n">
        <f aca="false">tp_w_dcf*G16+(1-tp_w_dcf)*H16</f>
        <v>114.797849802113</v>
      </c>
      <c r="J16" s="20" t="n">
        <f aca="false">I16/I$4-1</f>
        <v>-0.0931252788651455</v>
      </c>
    </row>
    <row r="17" customFormat="false" ht="17.15" hidden="false" customHeight="false" outlineLevel="0" collapsed="false">
      <c r="A17" s="4" t="s">
        <v>821</v>
      </c>
      <c r="B17" s="0" t="str">
        <f aca="false">TEXT(phi_lo,"0.00")&amp;"（基準 "&amp;TEXT(phi,"0.00")&amp;"）"</f>
        <v>0.30（基準 0.50）</v>
      </c>
      <c r="C17" s="0" t="s">
        <v>205</v>
      </c>
      <c r="D17" s="23" t="n">
        <f aca="false">E1550</f>
        <v>8.70920916809441</v>
      </c>
      <c r="E17" s="23" t="n">
        <f aca="false">F1550</f>
        <v>9.51447041286975</v>
      </c>
      <c r="F17" s="20" t="n">
        <f aca="false">E17/E$4-1</f>
        <v>0.0322445156510189</v>
      </c>
      <c r="G17" s="23" t="n">
        <f aca="false">(tp_wA*MAX(0,E1550*(1-MIN(tp_g/tp_roe,0.8))/(1+tp_r)^1+F1550*(1-MIN(tp_g/tp_roe,0.8))/(1+tp_r)^2+G1550*(1-MIN(tp_g/tp_roe,0.8))/(1+tp_r)^3+H1550*(1-MIN(tp_g/tp_roe,0.8))/(1+tp_r)^4+I1550*(1-MIN(tp_g/tp_roe,0.8))/(1+tp_r)^5+J1550*(1-MIN(tp_g/tp_roe,0.8))/(1+tp_r)^6+J1550*(1-MIN(tp_g/tp_roe,0.8))*(1+tp_g)/(tp_r-tp_g)/(1+tp_r)^6)+tp_wB*MAX(0,E1591*(1-MIN(tp_g/tp_roe,0.8))/(1+tp_r)^1+F1591*(1-MIN(tp_g/tp_roe,0.8))/(1+tp_r)^2+G1591*(1-MIN(tp_g/tp_roe,0.8))/(1+tp_r)^3+H1591*(1-MIN(tp_g/tp_roe,0.8))/(1+tp_r)^4+I1591*(1-MIN(tp_g/tp_roe,0.8))/(1+tp_r)^5+J1591*(1-MIN(tp_g/tp_roe,0.8))/(1+tp_r)^6+J1591*(1-MIN(tp_g/tp_roe,0.8))*(1+tp_g)/(tp_r-tp_g)/(1+tp_r)^6)+tp_wC*MAX(0,E1632*(1-MIN(tp_g/tp_roe,0.8))/(1+tp_r)^1+F1632*(1-MIN(tp_g/tp_roe,0.8))/(1+tp_r)^2+G1632*(1-MIN(tp_g/tp_roe,0.8))/(1+tp_r)^3+H1632*(1-MIN(tp_g/tp_roe,0.8))/(1+tp_r)^4+I1632*(1-MIN(tp_g/tp_roe,0.8))/(1+tp_r)^5+J1632*(1-MIN(tp_g/tp_roe,0.8))/(1+tp_r)^6+J1632*(1-MIN(tp_g/tp_roe,0.8))*(1+tp_g)/(tp_r-tp_g)/(1+tp_r)^6))*(1+tp_r)</f>
        <v>80.2661407570283</v>
      </c>
      <c r="H17" s="23" t="n">
        <f aca="false">Val!$B$33*(tp_wA*(2/12*E1550+10/12*F1550)+tp_wB*(2/12*E1591+10/12*F1591)+tp_wC*(2/12*E1632+10/12*F1632))*rm_factor</f>
        <v>180.370303648187</v>
      </c>
      <c r="I17" s="23" t="n">
        <f aca="false">tp_w_dcf*G17+(1-tp_w_dcf)*H17</f>
        <v>130.318222202608</v>
      </c>
      <c r="J17" s="20" t="n">
        <f aca="false">I17/I$4-1</f>
        <v>0.0294818380527286</v>
      </c>
    </row>
    <row r="18" customFormat="false" ht="17.15" hidden="false" customHeight="false" outlineLevel="0" collapsed="false">
      <c r="A18" s="4" t="s">
        <v>822</v>
      </c>
      <c r="B18" s="0" t="str">
        <f aca="false">TEXT(phi_hi,"0.00")&amp;"（基準 "&amp;TEXT(phi,"0.00")&amp;"）"</f>
        <v>0.80（基準 0.50）</v>
      </c>
      <c r="C18" s="0" t="s">
        <v>205</v>
      </c>
      <c r="D18" s="23" t="n">
        <f aca="false">E1673</f>
        <v>8.25898656415751</v>
      </c>
      <c r="E18" s="23" t="n">
        <f aca="false">F1673</f>
        <v>8.75043058661525</v>
      </c>
      <c r="F18" s="20" t="n">
        <f aca="false">E18/E$4-1</f>
        <v>-0.0506477406876382</v>
      </c>
      <c r="G18" s="23" t="n">
        <f aca="false">(tp_wA*MAX(0,E1673*(1-MIN(tp_g/tp_roe,0.8))/(1+tp_r)^1+F1673*(1-MIN(tp_g/tp_roe,0.8))/(1+tp_r)^2+G1673*(1-MIN(tp_g/tp_roe,0.8))/(1+tp_r)^3+H1673*(1-MIN(tp_g/tp_roe,0.8))/(1+tp_r)^4+I1673*(1-MIN(tp_g/tp_roe,0.8))/(1+tp_r)^5+J1673*(1-MIN(tp_g/tp_roe,0.8))/(1+tp_r)^6+J1673*(1-MIN(tp_g/tp_roe,0.8))*(1+tp_g)/(tp_r-tp_g)/(1+tp_r)^6)+tp_wB*MAX(0,E1714*(1-MIN(tp_g/tp_roe,0.8))/(1+tp_r)^1+F1714*(1-MIN(tp_g/tp_roe,0.8))/(1+tp_r)^2+G1714*(1-MIN(tp_g/tp_roe,0.8))/(1+tp_r)^3+H1714*(1-MIN(tp_g/tp_roe,0.8))/(1+tp_r)^4+I1714*(1-MIN(tp_g/tp_roe,0.8))/(1+tp_r)^5+J1714*(1-MIN(tp_g/tp_roe,0.8))/(1+tp_r)^6+J1714*(1-MIN(tp_g/tp_roe,0.8))*(1+tp_g)/(tp_r-tp_g)/(1+tp_r)^6)+tp_wC*MAX(0,E1755*(1-MIN(tp_g/tp_roe,0.8))/(1+tp_r)^1+F1755*(1-MIN(tp_g/tp_roe,0.8))/(1+tp_r)^2+G1755*(1-MIN(tp_g/tp_roe,0.8))/(1+tp_r)^3+H1755*(1-MIN(tp_g/tp_roe,0.8))/(1+tp_r)^4+I1755*(1-MIN(tp_g/tp_roe,0.8))/(1+tp_r)^5+J1755*(1-MIN(tp_g/tp_roe,0.8))/(1+tp_r)^6+J1755*(1-MIN(tp_g/tp_roe,0.8))*(1+tp_g)/(tp_r-tp_g)/(1+tp_r)^6))*(1+tp_r)</f>
        <v>72.9345739606955</v>
      </c>
      <c r="H18" s="23" t="n">
        <f aca="false">Val!$B$33*(tp_wA*(2/12*E1673+10/12*F1673)+tp_wB*(2/12*E1714+10/12*F1714)+tp_wC*(2/12*E1755+10/12*F1755))*rm_factor</f>
        <v>168.420257800524</v>
      </c>
      <c r="I18" s="23" t="n">
        <f aca="false">tp_w_dcf*G18+(1-tp_w_dcf)*H18</f>
        <v>120.67741588061</v>
      </c>
      <c r="J18" s="20" t="n">
        <f aca="false">I18/I$4-1</f>
        <v>-0.0466781558831187</v>
      </c>
    </row>
    <row r="19" customFormat="false" ht="17.15" hidden="false" customHeight="false" outlineLevel="0" collapsed="false">
      <c r="A19" s="4" t="s">
        <v>823</v>
      </c>
      <c r="B19" s="0" t="str">
        <f aca="false">TEXT(nonop_f_lo,"0.0")&amp;"（基準 "&amp;TEXT(nonop_f,"0.0")&amp;"）"</f>
        <v>0.5（基準 1.5）</v>
      </c>
      <c r="C19" s="0" t="s">
        <v>211</v>
      </c>
      <c r="D19" s="23" t="n">
        <f aca="false">E1796</f>
        <v>8.08340584080536</v>
      </c>
      <c r="E19" s="23" t="n">
        <f aca="false">F1796</f>
        <v>8.77154990761412</v>
      </c>
      <c r="F19" s="20" t="n">
        <f aca="false">E19/E$4-1</f>
        <v>-0.0483564620006118</v>
      </c>
      <c r="G19" s="23" t="n">
        <f aca="false">(tp_wA*MAX(0,E1796*(1-MIN(tp_g/tp_roe,0.8))/(1+tp_r)^1+F1796*(1-MIN(tp_g/tp_roe,0.8))/(1+tp_r)^2+G1796*(1-MIN(tp_g/tp_roe,0.8))/(1+tp_r)^3+H1796*(1-MIN(tp_g/tp_roe,0.8))/(1+tp_r)^4+I1796*(1-MIN(tp_g/tp_roe,0.8))/(1+tp_r)^5+J1796*(1-MIN(tp_g/tp_roe,0.8))/(1+tp_r)^6+J1796*(1-MIN(tp_g/tp_roe,0.8))*(1+tp_g)/(tp_r-tp_g)/(1+tp_r)^6)+tp_wB*MAX(0,E1837*(1-MIN(tp_g/tp_roe,0.8))/(1+tp_r)^1+F1837*(1-MIN(tp_g/tp_roe,0.8))/(1+tp_r)^2+G1837*(1-MIN(tp_g/tp_roe,0.8))/(1+tp_r)^3+H1837*(1-MIN(tp_g/tp_roe,0.8))/(1+tp_r)^4+I1837*(1-MIN(tp_g/tp_roe,0.8))/(1+tp_r)^5+J1837*(1-MIN(tp_g/tp_roe,0.8))/(1+tp_r)^6+J1837*(1-MIN(tp_g/tp_roe,0.8))*(1+tp_g)/(tp_r-tp_g)/(1+tp_r)^6)+tp_wC*MAX(0,E1878*(1-MIN(tp_g/tp_roe,0.8))/(1+tp_r)^1+F1878*(1-MIN(tp_g/tp_roe,0.8))/(1+tp_r)^2+G1878*(1-MIN(tp_g/tp_roe,0.8))/(1+tp_r)^3+H1878*(1-MIN(tp_g/tp_roe,0.8))/(1+tp_r)^4+I1878*(1-MIN(tp_g/tp_roe,0.8))/(1+tp_r)^5+J1878*(1-MIN(tp_g/tp_roe,0.8))/(1+tp_r)^6+J1878*(1-MIN(tp_g/tp_roe,0.8))*(1+tp_g)/(tp_r-tp_g)/(1+tp_r)^6))*(1+tp_r)</f>
        <v>72.3760861849317</v>
      </c>
      <c r="H19" s="23" t="n">
        <f aca="false">Val!$B$33*(tp_wA*(2/12*E1796+10/12*F1796)+tp_wB*(2/12*E1837+10/12*F1837)+tp_wC*(2/12*E1878+10/12*F1878))*rm_factor</f>
        <v>163.464641530408</v>
      </c>
      <c r="I19" s="23" t="n">
        <f aca="false">tp_w_dcf*G19+(1-tp_w_dcf)*H19</f>
        <v>117.92036385767</v>
      </c>
      <c r="J19" s="20" t="n">
        <f aca="false">I19/I$4-1</f>
        <v>-0.0684581873799421</v>
      </c>
    </row>
    <row r="20" customFormat="false" ht="17.15" hidden="false" customHeight="false" outlineLevel="0" collapsed="false">
      <c r="A20" s="4" t="s">
        <v>824</v>
      </c>
      <c r="B20" s="0" t="str">
        <f aca="false">TEXT(nonop_f_hi,"0.0")&amp;"（基準 "&amp;TEXT(nonop_f,"0.0")&amp;"）"</f>
        <v>2.5（基準 1.5）</v>
      </c>
      <c r="C20" s="0" t="s">
        <v>211</v>
      </c>
      <c r="D20" s="23" t="n">
        <f aca="false">E1919</f>
        <v>8.97483441223393</v>
      </c>
      <c r="E20" s="23" t="n">
        <f aca="false">F1919</f>
        <v>9.66297847904269</v>
      </c>
      <c r="F20" s="20" t="n">
        <f aca="false">E20/E$4-1</f>
        <v>0.0483564620006121</v>
      </c>
      <c r="G20" s="23" t="n">
        <f aca="false">(tp_wA*MAX(0,E1919*(1-MIN(tp_g/tp_roe,0.8))/(1+tp_r)^1+F1919*(1-MIN(tp_g/tp_roe,0.8))/(1+tp_r)^2+G1919*(1-MIN(tp_g/tp_roe,0.8))/(1+tp_r)^3+H1919*(1-MIN(tp_g/tp_roe,0.8))/(1+tp_r)^4+I1919*(1-MIN(tp_g/tp_roe,0.8))/(1+tp_r)^5+J1919*(1-MIN(tp_g/tp_roe,0.8))/(1+tp_r)^6+J1919*(1-MIN(tp_g/tp_roe,0.8))*(1+tp_g)/(tp_r-tp_g)/(1+tp_r)^6)+tp_wB*MAX(0,E1960*(1-MIN(tp_g/tp_roe,0.8))/(1+tp_r)^1+F1960*(1-MIN(tp_g/tp_roe,0.8))/(1+tp_r)^2+G1960*(1-MIN(tp_g/tp_roe,0.8))/(1+tp_r)^3+H1960*(1-MIN(tp_g/tp_roe,0.8))/(1+tp_r)^4+I1960*(1-MIN(tp_g/tp_roe,0.8))/(1+tp_r)^5+J1960*(1-MIN(tp_g/tp_roe,0.8))/(1+tp_r)^6+J1960*(1-MIN(tp_g/tp_roe,0.8))*(1+tp_g)/(tp_r-tp_g)/(1+tp_r)^6)+tp_wC*MAX(0,E2001*(1-MIN(tp_g/tp_roe,0.8))/(1+tp_r)^1+F2001*(1-MIN(tp_g/tp_roe,0.8))/(1+tp_r)^2+G2001*(1-MIN(tp_g/tp_roe,0.8))/(1+tp_r)^3+H2001*(1-MIN(tp_g/tp_roe,0.8))/(1+tp_r)^4+I2001*(1-MIN(tp_g/tp_roe,0.8))/(1+tp_r)^5+J2001*(1-MIN(tp_g/tp_roe,0.8))/(1+tp_r)^6+J2001*(1-MIN(tp_g/tp_roe,0.8))*(1+tp_g)/(tp_r-tp_g)/(1+tp_r)^6))*(1+tp_r)</f>
        <v>82.5921123527995</v>
      </c>
      <c r="H20" s="23" t="n">
        <f aca="false">Val!$B$33*(tp_wA*(2/12*E1919+10/12*F1919)+tp_wB*(2/12*E1960+10/12*F1960)+tp_wC*(2/12*E2001+10/12*F2001))*rm_factor</f>
        <v>187.912070101837</v>
      </c>
      <c r="I20" s="23" t="n">
        <f aca="false">tp_w_dcf*G20+(1-tp_w_dcf)*H20</f>
        <v>135.252091227318</v>
      </c>
      <c r="J20" s="20" t="n">
        <f aca="false">I20/I$4-1</f>
        <v>0.0684581873799421</v>
      </c>
    </row>
    <row r="21" customFormat="false" ht="17.15" hidden="false" customHeight="false" outlineLevel="0" collapsed="false">
      <c r="A21" s="4" t="s">
        <v>825</v>
      </c>
      <c r="B21" s="0" t="str">
        <f aca="false">TEXT(tax_lo,"0%")&amp;"（基準 "&amp;TEXT(tax,"0%")&amp;"）"</f>
        <v>12%（基準 15%）</v>
      </c>
      <c r="C21" s="0" t="s">
        <v>215</v>
      </c>
      <c r="D21" s="23" t="n">
        <f aca="false">E2042</f>
        <v>8.83014789569093</v>
      </c>
      <c r="E21" s="23" t="n">
        <f aca="false">F2042</f>
        <v>9.54257940015176</v>
      </c>
      <c r="F21" s="20" t="n">
        <f aca="false">E21/E$4-1</f>
        <v>0.0352941176470587</v>
      </c>
      <c r="G21" s="23" t="n">
        <f aca="false">(tp_wA*MAX(0,E2042*(1-MIN(tp_g/tp_roe,0.8))/(1+tp_r)^1+F2042*(1-MIN(tp_g/tp_roe,0.8))/(1+tp_r)^2+G2042*(1-MIN(tp_g/tp_roe,0.8))/(1+tp_r)^3+H2042*(1-MIN(tp_g/tp_roe,0.8))/(1+tp_r)^4+I2042*(1-MIN(tp_g/tp_roe,0.8))/(1+tp_r)^5+J2042*(1-MIN(tp_g/tp_roe,0.8))/(1+tp_r)^6+J2042*(1-MIN(tp_g/tp_roe,0.8))*(1+tp_g)/(tp_r-tp_g)/(1+tp_r)^6)+tp_wB*MAX(0,E2083*(1-MIN(tp_g/tp_roe,0.8))/(1+tp_r)^1+F2083*(1-MIN(tp_g/tp_roe,0.8))/(1+tp_r)^2+G2083*(1-MIN(tp_g/tp_roe,0.8))/(1+tp_r)^3+H2083*(1-MIN(tp_g/tp_roe,0.8))/(1+tp_r)^4+I2083*(1-MIN(tp_g/tp_roe,0.8))/(1+tp_r)^5+J2083*(1-MIN(tp_g/tp_roe,0.8))/(1+tp_r)^6+J2083*(1-MIN(tp_g/tp_roe,0.8))*(1+tp_g)/(tp_r-tp_g)/(1+tp_r)^6)+tp_wC*MAX(0,E2124*(1-MIN(tp_g/tp_roe,0.8))/(1+tp_r)^1+F2124*(1-MIN(tp_g/tp_roe,0.8))/(1+tp_r)^2+G2124*(1-MIN(tp_g/tp_roe,0.8))/(1+tp_r)^3+H2124*(1-MIN(tp_g/tp_roe,0.8))/(1+tp_r)^4+I2124*(1-MIN(tp_g/tp_roe,0.8))/(1+tp_r)^5+J2124*(1-MIN(tp_g/tp_roe,0.8))/(1+tp_r)^6+J2124*(1-MIN(tp_g/tp_roe,0.8))*(1+tp_g)/(tp_r-tp_g)/(1+tp_r)^6))*(1+tp_r)</f>
        <v>80.2188321842374</v>
      </c>
      <c r="H21" s="23" t="n">
        <f aca="false">Val!$B$33*(tp_wA*(2/12*E2042+10/12*F2042)+tp_wB*(2/12*E2083+10/12*F2083)+tp_wC*(2/12*E2124+10/12*F2124))*rm_factor</f>
        <v>181.889121315515</v>
      </c>
      <c r="I21" s="23" t="n">
        <f aca="false">tp_w_dcf*G21+(1-tp_w_dcf)*H21</f>
        <v>131.053976749876</v>
      </c>
      <c r="J21" s="20" t="n">
        <f aca="false">I21/I$4-1</f>
        <v>0.0352941176470587</v>
      </c>
    </row>
    <row r="22" customFormat="false" ht="17.15" hidden="false" customHeight="false" outlineLevel="0" collapsed="false">
      <c r="A22" s="4" t="s">
        <v>826</v>
      </c>
      <c r="B22" s="0" t="str">
        <f aca="false">TEXT(tax_hi,"0%")&amp;"（基準 "&amp;TEXT(tax,"0%")&amp;"）"</f>
        <v>20%（基準 15%）</v>
      </c>
      <c r="C22" s="0" t="s">
        <v>215</v>
      </c>
      <c r="D22" s="23" t="n">
        <f aca="false">E2165</f>
        <v>8.02740717790085</v>
      </c>
      <c r="E22" s="23" t="n">
        <f aca="false">F2165</f>
        <v>8.67507218195614</v>
      </c>
      <c r="F22" s="20" t="n">
        <f aca="false">E22/E$4-1</f>
        <v>-0.0588235294117648</v>
      </c>
      <c r="G22" s="23" t="n">
        <f aca="false">(tp_wA*MAX(0,E2165*(1-MIN(tp_g/tp_roe,0.8))/(1+tp_r)^1+F2165*(1-MIN(tp_g/tp_roe,0.8))/(1+tp_r)^2+G2165*(1-MIN(tp_g/tp_roe,0.8))/(1+tp_r)^3+H2165*(1-MIN(tp_g/tp_roe,0.8))/(1+tp_r)^4+I2165*(1-MIN(tp_g/tp_roe,0.8))/(1+tp_r)^5+J2165*(1-MIN(tp_g/tp_roe,0.8))/(1+tp_r)^6+J2165*(1-MIN(tp_g/tp_roe,0.8))*(1+tp_g)/(tp_r-tp_g)/(1+tp_r)^6)+tp_wB*MAX(0,E2206*(1-MIN(tp_g/tp_roe,0.8))/(1+tp_r)^1+F2206*(1-MIN(tp_g/tp_roe,0.8))/(1+tp_r)^2+G2206*(1-MIN(tp_g/tp_roe,0.8))/(1+tp_r)^3+H2206*(1-MIN(tp_g/tp_roe,0.8))/(1+tp_r)^4+I2206*(1-MIN(tp_g/tp_roe,0.8))/(1+tp_r)^5+J2206*(1-MIN(tp_g/tp_roe,0.8))/(1+tp_r)^6+J2206*(1-MIN(tp_g/tp_roe,0.8))*(1+tp_g)/(tp_r-tp_g)/(1+tp_r)^6)+tp_wC*MAX(0,E2247*(1-MIN(tp_g/tp_roe,0.8))/(1+tp_r)^1+F2247*(1-MIN(tp_g/tp_roe,0.8))/(1+tp_r)^2+G2247*(1-MIN(tp_g/tp_roe,0.8))/(1+tp_r)^3+H2247*(1-MIN(tp_g/tp_roe,0.8))/(1+tp_r)^4+I2247*(1-MIN(tp_g/tp_roe,0.8))/(1+tp_r)^5+J2247*(1-MIN(tp_g/tp_roe,0.8))/(1+tp_r)^6+J2247*(1-MIN(tp_g/tp_roe,0.8))*(1+tp_g)/(tp_r-tp_g)/(1+tp_r)^6))*(1+tp_r)</f>
        <v>72.9262110765794</v>
      </c>
      <c r="H22" s="23" t="n">
        <f aca="false">Val!$B$33*(tp_wA*(2/12*E2165+10/12*F2165)+tp_wB*(2/12*E2206+10/12*F2206)+tp_wC*(2/12*E2247+10/12*F2247))*rm_factor</f>
        <v>165.353746650468</v>
      </c>
      <c r="I22" s="23" t="n">
        <f aca="false">tp_w_dcf*G22+(1-tp_w_dcf)*H22</f>
        <v>119.139978863524</v>
      </c>
      <c r="J22" s="20" t="n">
        <f aca="false">I22/I$4-1</f>
        <v>-0.0588235294117646</v>
      </c>
    </row>
    <row r="23" customFormat="false" ht="17.15" hidden="false" customHeight="false" outlineLevel="0" collapsed="false">
      <c r="A23" s="0" t="s">
        <v>827</v>
      </c>
      <c r="B23" s="0" t="str">
        <f aca="false">TEXT(vcap_adj_lo,"0.00")&amp;"（基準 "&amp;TEXT(vcap_adj,"0.00")&amp;"）"</f>
        <v>0.80（基準 1.00）</v>
      </c>
      <c r="C23" s="0" t="s">
        <v>126</v>
      </c>
      <c r="D23" s="23" t="n">
        <f aca="false">E2288</f>
        <v>8.54786923248573</v>
      </c>
      <c r="E23" s="23" t="n">
        <f aca="false">F2288</f>
        <v>9.10585667965431</v>
      </c>
      <c r="F23" s="20" t="n">
        <f aca="false">E23/E$4-1</f>
        <v>-0.012086830900944</v>
      </c>
      <c r="G23" s="23" t="n">
        <f aca="false">(tp_wA*MAX(0,E2288*(1-MIN(tp_g/tp_roe,0.8))/(1+tp_r)^1+F2288*(1-MIN(tp_g/tp_roe,0.8))/(1+tp_r)^2+G2288*(1-MIN(tp_g/tp_roe,0.8))/(1+tp_r)^3+H2288*(1-MIN(tp_g/tp_roe,0.8))/(1+tp_r)^4+I2288*(1-MIN(tp_g/tp_roe,0.8))/(1+tp_r)^5+J2288*(1-MIN(tp_g/tp_roe,0.8))/(1+tp_r)^6+J2288*(1-MIN(tp_g/tp_roe,0.8))*(1+tp_g)/(tp_r-tp_g)/(1+tp_r)^6)+tp_wB*MAX(0,E2329*(1-MIN(tp_g/tp_roe,0.8))/(1+tp_r)^1+F2329*(1-MIN(tp_g/tp_roe,0.8))/(1+tp_r)^2+G2329*(1-MIN(tp_g/tp_roe,0.8))/(1+tp_r)^3+H2329*(1-MIN(tp_g/tp_roe,0.8))/(1+tp_r)^4+I2329*(1-MIN(tp_g/tp_roe,0.8))/(1+tp_r)^5+J2329*(1-MIN(tp_g/tp_roe,0.8))/(1+tp_r)^6+J2329*(1-MIN(tp_g/tp_roe,0.8))*(1+tp_g)/(tp_r-tp_g)/(1+tp_r)^6)+tp_wC*MAX(0,E2370*(1-MIN(tp_g/tp_roe,0.8))/(1+tp_r)^1+F2370*(1-MIN(tp_g/tp_roe,0.8))/(1+tp_r)^2+G2370*(1-MIN(tp_g/tp_roe,0.8))/(1+tp_r)^3+H2370*(1-MIN(tp_g/tp_roe,0.8))/(1+tp_r)^4+I2370*(1-MIN(tp_g/tp_roe,0.8))/(1+tp_r)^5+J2370*(1-MIN(tp_g/tp_roe,0.8))/(1+tp_r)^6+J2370*(1-MIN(tp_g/tp_roe,0.8))*(1+tp_g)/(tp_r-tp_g)/(1+tp_r)^6))*(1+tp_r)</f>
        <v>75.269754479425</v>
      </c>
      <c r="H23" s="23" t="n">
        <f aca="false">Val!$B$33*(tp_wA*(2/12*E2288+10/12*F2288)+tp_wB*(2/12*E2329+10/12*F2329)+tp_wC*(2/12*E2370+10/12*F2370))*rm_factor</f>
        <v>174.829180980597</v>
      </c>
      <c r="I23" s="23" t="n">
        <f aca="false">tp_w_dcf*G23+(1-tp_w_dcf)*H23</f>
        <v>125.049467730011</v>
      </c>
      <c r="J23" s="20" t="n">
        <f aca="false">I23/I$4-1</f>
        <v>-0.0121400237791843</v>
      </c>
    </row>
    <row r="24" customFormat="false" ht="17.15" hidden="false" customHeight="false" outlineLevel="0" collapsed="false">
      <c r="A24" s="0" t="s">
        <v>828</v>
      </c>
      <c r="B24" s="0" t="str">
        <f aca="false">TEXT(vcap_adj_hi,"0.00")&amp;"（基準 "&amp;TEXT(vcap_adj,"0.00")&amp;"）"</f>
        <v>1.20（基準 1.00）</v>
      </c>
      <c r="C24" s="0" t="s">
        <v>126</v>
      </c>
      <c r="D24" s="23" t="n">
        <f aca="false">E2411</f>
        <v>8.51037102055357</v>
      </c>
      <c r="E24" s="23" t="n">
        <f aca="false">F2411</f>
        <v>9.32946068802417</v>
      </c>
      <c r="F24" s="20" t="n">
        <f aca="false">E24/E$4-1</f>
        <v>0.0121724290790077</v>
      </c>
      <c r="G24" s="23" t="n">
        <f aca="false">(tp_wA*MAX(0,E2411*(1-MIN(tp_g/tp_roe,0.8))/(1+tp_r)^1+F2411*(1-MIN(tp_g/tp_roe,0.8))/(1+tp_r)^2+G2411*(1-MIN(tp_g/tp_roe,0.8))/(1+tp_r)^3+H2411*(1-MIN(tp_g/tp_roe,0.8))/(1+tp_r)^4+I2411*(1-MIN(tp_g/tp_roe,0.8))/(1+tp_r)^5+J2411*(1-MIN(tp_g/tp_roe,0.8))/(1+tp_r)^6+J2411*(1-MIN(tp_g/tp_roe,0.8))*(1+tp_g)/(tp_r-tp_g)/(1+tp_r)^6)+tp_wB*MAX(0,E2452*(1-MIN(tp_g/tp_roe,0.8))/(1+tp_r)^1+F2452*(1-MIN(tp_g/tp_roe,0.8))/(1+tp_r)^2+G2452*(1-MIN(tp_g/tp_roe,0.8))/(1+tp_r)^3+H2452*(1-MIN(tp_g/tp_roe,0.8))/(1+tp_r)^4+I2452*(1-MIN(tp_g/tp_roe,0.8))/(1+tp_r)^5+J2452*(1-MIN(tp_g/tp_roe,0.8))/(1+tp_r)^6+J2452*(1-MIN(tp_g/tp_roe,0.8))*(1+tp_g)/(tp_r-tp_g)/(1+tp_r)^6)+tp_wC*MAX(0,E2493*(1-MIN(tp_g/tp_roe,0.8))/(1+tp_r)^1+F2493*(1-MIN(tp_g/tp_roe,0.8))/(1+tp_r)^2+G2493*(1-MIN(tp_g/tp_roe,0.8))/(1+tp_r)^3+H2493*(1-MIN(tp_g/tp_roe,0.8))/(1+tp_r)^4+I2493*(1-MIN(tp_g/tp_roe,0.8))/(1+tp_r)^5+J2493*(1-MIN(tp_g/tp_roe,0.8))/(1+tp_r)^6+J2493*(1-MIN(tp_g/tp_roe,0.8))*(1+tp_g)/(tp_r-tp_g)/(1+tp_r)^6))*(1+tp_r)</f>
        <v>79.6858318290511</v>
      </c>
      <c r="H24" s="23" t="n">
        <f aca="false">Val!$B$33*(tp_wA*(2/12*E2411+10/12*F2411)+tp_wB*(2/12*E2452+10/12*F2452)+tp_wC*(2/12*E2493+10/12*F2493))*rm_factor</f>
        <v>176.56173774444</v>
      </c>
      <c r="I24" s="23" t="n">
        <f aca="false">tp_w_dcf*G24+(1-tp_w_dcf)*H24</f>
        <v>128.123784786745</v>
      </c>
      <c r="J24" s="20" t="n">
        <f aca="false">I24/I$4-1</f>
        <v>0.0121463232936221</v>
      </c>
    </row>
    <row r="25" customFormat="false" ht="17.15" hidden="false" customHeight="false" outlineLevel="0" collapsed="false">
      <c r="A25" s="0" t="s">
        <v>829</v>
      </c>
      <c r="B25" s="0" t="str">
        <f aca="false">TEXT(vasp_lo,"#,##0")&amp;"（基準 "&amp;TEXT(vasp,"#,##0")&amp;"）"</f>
        <v>1,500（基準 1,800）</v>
      </c>
      <c r="C25" s="0" t="s">
        <v>138</v>
      </c>
      <c r="D25" s="23" t="n">
        <f aca="false">E2534</f>
        <v>8.54474438149138</v>
      </c>
      <c r="E25" s="23" t="n">
        <f aca="false">F2534</f>
        <v>9.12436780253989</v>
      </c>
      <c r="F25" s="20" t="n">
        <f aca="false">E25/E$4-1</f>
        <v>-0.0100785210058051</v>
      </c>
      <c r="G25" s="23" t="n">
        <f aca="false">(tp_wA*MAX(0,E2534*(1-MIN(tp_g/tp_roe,0.8))/(1+tp_r)^1+F2534*(1-MIN(tp_g/tp_roe,0.8))/(1+tp_r)^2+G2534*(1-MIN(tp_g/tp_roe,0.8))/(1+tp_r)^3+H2534*(1-MIN(tp_g/tp_roe,0.8))/(1+tp_r)^4+I2534*(1-MIN(tp_g/tp_roe,0.8))/(1+tp_r)^5+J2534*(1-MIN(tp_g/tp_roe,0.8))/(1+tp_r)^6+J2534*(1-MIN(tp_g/tp_roe,0.8))*(1+tp_g)/(tp_r-tp_g)/(1+tp_r)^6)+tp_wB*MAX(0,E2575*(1-MIN(tp_g/tp_roe,0.8))/(1+tp_r)^1+F2575*(1-MIN(tp_g/tp_roe,0.8))/(1+tp_r)^2+G2575*(1-MIN(tp_g/tp_roe,0.8))/(1+tp_r)^3+H2575*(1-MIN(tp_g/tp_roe,0.8))/(1+tp_r)^4+I2575*(1-MIN(tp_g/tp_roe,0.8))/(1+tp_r)^5+J2575*(1-MIN(tp_g/tp_roe,0.8))/(1+tp_r)^6+J2575*(1-MIN(tp_g/tp_roe,0.8))*(1+tp_g)/(tp_r-tp_g)/(1+tp_r)^6)+tp_wC*MAX(0,E2616*(1-MIN(tp_g/tp_roe,0.8))/(1+tp_r)^1+F2616*(1-MIN(tp_g/tp_roe,0.8))/(1+tp_r)^2+G2616*(1-MIN(tp_g/tp_roe,0.8))/(1+tp_r)^3+H2616*(1-MIN(tp_g/tp_roe,0.8))/(1+tp_r)^4+I2616*(1-MIN(tp_g/tp_roe,0.8))/(1+tp_r)^5+J2616*(1-MIN(tp_g/tp_roe,0.8))/(1+tp_r)^6+J2616*(1-MIN(tp_g/tp_roe,0.8))*(1+tp_g)/(tp_r-tp_g)/(1+tp_r)^6))*(1+tp_r)</f>
        <v>75.6398022516161</v>
      </c>
      <c r="H25" s="23" t="n">
        <f aca="false">Val!$B$33*(tp_wA*(2/12*E2534+10/12*F2534)+tp_wB*(2/12*E2575+10/12*F2575)+tp_wC*(2/12*E2616+10/12*F2616))*rm_factor</f>
        <v>174.971354773605</v>
      </c>
      <c r="I25" s="23" t="n">
        <f aca="false">tp_w_dcf*G25+(1-tp_w_dcf)*H25</f>
        <v>125.30557851261</v>
      </c>
      <c r="J25" s="20" t="n">
        <f aca="false">I25/I$4-1</f>
        <v>-0.0101168117159818</v>
      </c>
    </row>
    <row r="26" customFormat="false" ht="17.15" hidden="false" customHeight="false" outlineLevel="0" collapsed="false">
      <c r="A26" s="0" t="s">
        <v>830</v>
      </c>
      <c r="B26" s="0" t="str">
        <f aca="false">TEXT(vasp_hi,"#,##0")&amp;"（基準 "&amp;TEXT(vasp,"#,##0")&amp;"）"</f>
        <v>2,100（基準 1,800）</v>
      </c>
      <c r="C26" s="0" t="s">
        <v>138</v>
      </c>
      <c r="D26" s="23" t="n">
        <f aca="false">E2657</f>
        <v>8.51349587154792</v>
      </c>
      <c r="E26" s="23" t="n">
        <f aca="false">F2657</f>
        <v>9.31070842300569</v>
      </c>
      <c r="F26" s="20" t="n">
        <f aca="false">E26/E$4-1</f>
        <v>0.0101379571765907</v>
      </c>
      <c r="G26" s="23" t="n">
        <f aca="false">(tp_wA*MAX(0,E2657*(1-MIN(tp_g/tp_roe,0.8))/(1+tp_r)^1+F2657*(1-MIN(tp_g/tp_roe,0.8))/(1+tp_r)^2+G2657*(1-MIN(tp_g/tp_roe,0.8))/(1+tp_r)^3+H2657*(1-MIN(tp_g/tp_roe,0.8))/(1+tp_r)^4+I2657*(1-MIN(tp_g/tp_roe,0.8))/(1+tp_r)^5+J2657*(1-MIN(tp_g/tp_roe,0.8))/(1+tp_r)^6+J2657*(1-MIN(tp_g/tp_roe,0.8))*(1+tp_g)/(tp_r-tp_g)/(1+tp_r)^6)+tp_wB*MAX(0,E2698*(1-MIN(tp_g/tp_roe,0.8))/(1+tp_r)^1+F2698*(1-MIN(tp_g/tp_roe,0.8))/(1+tp_r)^2+G2698*(1-MIN(tp_g/tp_roe,0.8))/(1+tp_r)^3+H2698*(1-MIN(tp_g/tp_roe,0.8))/(1+tp_r)^4+I2698*(1-MIN(tp_g/tp_roe,0.8))/(1+tp_r)^5+J2698*(1-MIN(tp_g/tp_roe,0.8))/(1+tp_r)^6+J2698*(1-MIN(tp_g/tp_roe,0.8))*(1+tp_g)/(tp_r-tp_g)/(1+tp_r)^6)+tp_wC*MAX(0,E2739*(1-MIN(tp_g/tp_roe,0.8))/(1+tp_r)^1+F2739*(1-MIN(tp_g/tp_roe,0.8))/(1+tp_r)^2+G2739*(1-MIN(tp_g/tp_roe,0.8))/(1+tp_r)^3+H2739*(1-MIN(tp_g/tp_roe,0.8))/(1+tp_r)^4+I2739*(1-MIN(tp_g/tp_roe,0.8))/(1+tp_r)^5+J2739*(1-MIN(tp_g/tp_roe,0.8))/(1+tp_r)^6+J2739*(1-MIN(tp_g/tp_roe,0.8))*(1+tp_g)/(tp_r-tp_g)/(1+tp_r)^6))*(1+tp_r)</f>
        <v>79.3196469185863</v>
      </c>
      <c r="H26" s="23" t="n">
        <f aca="false">Val!$B$33*(tp_wA*(2/12*E2657+10/12*F2657)+tp_wB*(2/12*E2698+10/12*F2698)+tp_wC*(2/12*E2739+10/12*F2739))*rm_factor</f>
        <v>176.415221776239</v>
      </c>
      <c r="I26" s="23" t="n">
        <f aca="false">tp_w_dcf*G26+(1-tp_w_dcf)*H26</f>
        <v>127.867434347413</v>
      </c>
      <c r="J26" s="20" t="n">
        <f aca="false">I26/I$4-1</f>
        <v>0.0101212180012906</v>
      </c>
    </row>
    <row r="27" customFormat="false" ht="17.15" hidden="false" customHeight="false" outlineLevel="0" collapsed="false">
      <c r="A27" s="4" t="s">
        <v>831</v>
      </c>
      <c r="B27" s="0" t="s">
        <v>832</v>
      </c>
      <c r="C27" s="0" t="s">
        <v>322</v>
      </c>
      <c r="D27" s="23" t="n">
        <f aca="false">PL!E96</f>
        <v>8.52912012651965</v>
      </c>
      <c r="E27" s="23" t="n">
        <f aca="false">PL!F96</f>
        <v>9.2172641933284</v>
      </c>
      <c r="F27" s="20" t="n">
        <f aca="false">E27/E$4-1</f>
        <v>0</v>
      </c>
      <c r="G27" s="23" t="n">
        <f aca="false">(tp_wA*MAX(0,PL!E96*(1-MIN(tp_g/tp_roe,0.8))/(1+(tp_r+0.01))^1+PL!F96*(1-MIN(tp_g/tp_roe,0.8))/(1+(tp_r+0.01))^2+PL!G96*(1-MIN(tp_g/tp_roe,0.8))/(1+(tp_r+0.01))^3+PL!H96*(1-MIN(tp_g/tp_roe,0.8))/(1+(tp_r+0.01))^4+PL!I96*(1-MIN(tp_g/tp_roe,0.8))/(1+(tp_r+0.01))^5+PL!J96*(1-MIN(tp_g/tp_roe,0.8))/(1+(tp_r+0.01))^6+PL!J96*(1-MIN(tp_g/tp_roe,0.8))*(1+tp_g)/((tp_r+0.01)-tp_g)/(1+(tp_r+0.01))^6)+tp_wB*MAX(0,PL!E137*(1-MIN(tp_g/tp_roe,0.8))/(1+(tp_r+0.01))^1+PL!F137*(1-MIN(tp_g/tp_roe,0.8))/(1+(tp_r+0.01))^2+PL!G137*(1-MIN(tp_g/tp_roe,0.8))/(1+(tp_r+0.01))^3+PL!H137*(1-MIN(tp_g/tp_roe,0.8))/(1+(tp_r+0.01))^4+PL!I137*(1-MIN(tp_g/tp_roe,0.8))/(1+(tp_r+0.01))^5+PL!J137*(1-MIN(tp_g/tp_roe,0.8))/(1+(tp_r+0.01))^6+PL!J137*(1-MIN(tp_g/tp_roe,0.8))*(1+tp_g)/((tp_r+0.01)-tp_g)/(1+(tp_r+0.01))^6)+tp_wC*MAX(0,PL!E178*(1-MIN(tp_g/tp_roe,0.8))/(1+(tp_r+0.01))^1+PL!F178*(1-MIN(tp_g/tp_roe,0.8))/(1+(tp_r+0.01))^2+PL!G178*(1-MIN(tp_g/tp_roe,0.8))/(1+(tp_r+0.01))^3+PL!H178*(1-MIN(tp_g/tp_roe,0.8))/(1+(tp_r+0.01))^4+PL!I178*(1-MIN(tp_g/tp_roe,0.8))/(1+(tp_r+0.01))^5+PL!J178*(1-MIN(tp_g/tp_roe,0.8))/(1+(tp_r+0.01))^6+PL!J178*(1-MIN(tp_g/tp_roe,0.8))*(1+tp_g)/((tp_r+0.01)-tp_g)/(1+(tp_r+0.01))^6))*(1+(tp_r+0.01))</f>
        <v>67.0937130000828</v>
      </c>
      <c r="H27" s="23" t="n">
        <f aca="false">Val!$B$33*(tp_wA*(2/12*PL!E96+10/12*PL!F96)+tp_wB*(2/12*PL!E137+10/12*PL!F137)+tp_wC*(2/12*PL!E178+10/12*PL!F178))*rm_factor</f>
        <v>175.688355816123</v>
      </c>
      <c r="I27" s="23" t="n">
        <f aca="false">tp_w_dcf*G27+(1-tp_w_dcf)*H27</f>
        <v>121.391034408103</v>
      </c>
      <c r="J27" s="20" t="n">
        <f aca="false">I27/I$4-1</f>
        <v>-0.0410407453895204</v>
      </c>
    </row>
    <row r="28" customFormat="false" ht="17.15" hidden="false" customHeight="false" outlineLevel="0" collapsed="false">
      <c r="A28" s="4" t="s">
        <v>833</v>
      </c>
      <c r="B28" s="0" t="s">
        <v>834</v>
      </c>
      <c r="C28" s="0" t="s">
        <v>322</v>
      </c>
      <c r="D28" s="23" t="n">
        <f aca="false">PL!E96</f>
        <v>8.52912012651965</v>
      </c>
      <c r="E28" s="23" t="n">
        <f aca="false">PL!F96</f>
        <v>9.2172641933284</v>
      </c>
      <c r="F28" s="20" t="n">
        <f aca="false">E28/E$4-1</f>
        <v>0</v>
      </c>
      <c r="G28" s="23" t="n">
        <f aca="false">(tp_wA*MAX(0,PL!E96*(1-MIN(tp_g/tp_roe,0.8))/(1+(tp_r-0.01))^1+PL!F96*(1-MIN(tp_g/tp_roe,0.8))/(1+(tp_r-0.01))^2+PL!G96*(1-MIN(tp_g/tp_roe,0.8))/(1+(tp_r-0.01))^3+PL!H96*(1-MIN(tp_g/tp_roe,0.8))/(1+(tp_r-0.01))^4+PL!I96*(1-MIN(tp_g/tp_roe,0.8))/(1+(tp_r-0.01))^5+PL!J96*(1-MIN(tp_g/tp_roe,0.8))/(1+(tp_r-0.01))^6+PL!J96*(1-MIN(tp_g/tp_roe,0.8))*(1+tp_g)/((tp_r-0.01)-tp_g)/(1+(tp_r-0.01))^6)+tp_wB*MAX(0,PL!E137*(1-MIN(tp_g/tp_roe,0.8))/(1+(tp_r-0.01))^1+PL!F137*(1-MIN(tp_g/tp_roe,0.8))/(1+(tp_r-0.01))^2+PL!G137*(1-MIN(tp_g/tp_roe,0.8))/(1+(tp_r-0.01))^3+PL!H137*(1-MIN(tp_g/tp_roe,0.8))/(1+(tp_r-0.01))^4+PL!I137*(1-MIN(tp_g/tp_roe,0.8))/(1+(tp_r-0.01))^5+PL!J137*(1-MIN(tp_g/tp_roe,0.8))/(1+(tp_r-0.01))^6+PL!J137*(1-MIN(tp_g/tp_roe,0.8))*(1+tp_g)/((tp_r-0.01)-tp_g)/(1+(tp_r-0.01))^6)+tp_wC*MAX(0,PL!E178*(1-MIN(tp_g/tp_roe,0.8))/(1+(tp_r-0.01))^1+PL!F178*(1-MIN(tp_g/tp_roe,0.8))/(1+(tp_r-0.01))^2+PL!G178*(1-MIN(tp_g/tp_roe,0.8))/(1+(tp_r-0.01))^3+PL!H178*(1-MIN(tp_g/tp_roe,0.8))/(1+(tp_r-0.01))^4+PL!I178*(1-MIN(tp_g/tp_roe,0.8))/(1+(tp_r-0.01))^5+PL!J178*(1-MIN(tp_g/tp_roe,0.8))/(1+(tp_r-0.01))^6+PL!J178*(1-MIN(tp_g/tp_roe,0.8))*(1+tp_g)/((tp_r-0.01)-tp_g)/(1+(tp_r-0.01))^6))*(1+(tp_r-0.01))</f>
        <v>92.029651245641</v>
      </c>
      <c r="H28" s="23" t="n">
        <f aca="false">Val!$B$33*(tp_wA*(2/12*PL!E96+10/12*PL!F96)+tp_wB*(2/12*PL!E137+10/12*PL!F137)+tp_wC*(2/12*PL!E178+10/12*PL!F178))*rm_factor</f>
        <v>175.688355816123</v>
      </c>
      <c r="I28" s="23" t="n">
        <f aca="false">tp_w_dcf*G28+(1-tp_w_dcf)*H28</f>
        <v>133.859003530882</v>
      </c>
      <c r="J28" s="20" t="n">
        <f aca="false">I28/I$4-1</f>
        <v>0.057453137909069</v>
      </c>
    </row>
    <row r="29" customFormat="false" ht="17.15" hidden="false" customHeight="false" outlineLevel="0" collapsed="false">
      <c r="A29" s="4" t="s">
        <v>835</v>
      </c>
      <c r="B29" s="0" t="s">
        <v>836</v>
      </c>
      <c r="C29" s="0" t="s">
        <v>326</v>
      </c>
      <c r="D29" s="23" t="n">
        <f aca="false">PL!E96</f>
        <v>8.52912012651965</v>
      </c>
      <c r="E29" s="23" t="n">
        <f aca="false">PL!F96</f>
        <v>9.2172641933284</v>
      </c>
      <c r="F29" s="20" t="n">
        <f aca="false">E29/E$4-1</f>
        <v>0</v>
      </c>
      <c r="G29" s="23" t="n">
        <f aca="false">(tp_wA*MAX(0,PL!E96*(1-MIN((tp_g+0.01)/tp_roe,0.8))/(1+tp_r)^1+PL!F96*(1-MIN((tp_g+0.01)/tp_roe,0.8))/(1+tp_r)^2+PL!G96*(1-MIN((tp_g+0.01)/tp_roe,0.8))/(1+tp_r)^3+PL!H96*(1-MIN((tp_g+0.01)/tp_roe,0.8))/(1+tp_r)^4+PL!I96*(1-MIN((tp_g+0.01)/tp_roe,0.8))/(1+tp_r)^5+PL!J96*(1-MIN((tp_g+0.01)/tp_roe,0.8))/(1+tp_r)^6+PL!J96*(1-MIN((tp_g+0.01)/tp_roe,0.8))*(1+(tp_g+0.01))/(tp_r-(tp_g+0.01))/(1+tp_r)^6)+tp_wB*MAX(0,PL!E137*(1-MIN((tp_g+0.01)/tp_roe,0.8))/(1+tp_r)^1+PL!F137*(1-MIN((tp_g+0.01)/tp_roe,0.8))/(1+tp_r)^2+PL!G137*(1-MIN((tp_g+0.01)/tp_roe,0.8))/(1+tp_r)^3+PL!H137*(1-MIN((tp_g+0.01)/tp_roe,0.8))/(1+tp_r)^4+PL!I137*(1-MIN((tp_g+0.01)/tp_roe,0.8))/(1+tp_r)^5+PL!J137*(1-MIN((tp_g+0.01)/tp_roe,0.8))/(1+tp_r)^6+PL!J137*(1-MIN((tp_g+0.01)/tp_roe,0.8))*(1+(tp_g+0.01))/(tp_r-(tp_g+0.01))/(1+tp_r)^6)+tp_wC*MAX(0,PL!E178*(1-MIN((tp_g+0.01)/tp_roe,0.8))/(1+tp_r)^1+PL!F178*(1-MIN((tp_g+0.01)/tp_roe,0.8))/(1+tp_r)^2+PL!G178*(1-MIN((tp_g+0.01)/tp_roe,0.8))/(1+tp_r)^3+PL!H178*(1-MIN((tp_g+0.01)/tp_roe,0.8))/(1+tp_r)^4+PL!I178*(1-MIN((tp_g+0.01)/tp_roe,0.8))/(1+tp_r)^5+PL!J178*(1-MIN((tp_g+0.01)/tp_roe,0.8))/(1+tp_r)^6+PL!J178*(1-MIN((tp_g+0.01)/tp_roe,0.8))*(1+(tp_g+0.01))/(tp_r-(tp_g+0.01))/(1+tp_r)^6))*(1+tp_r)</f>
        <v>79.0999107772933</v>
      </c>
      <c r="H29" s="23" t="n">
        <f aca="false">Val!$B$33*(tp_wA*(2/12*PL!E96+10/12*PL!F96)+tp_wB*(2/12*PL!E137+10/12*PL!F137)+tp_wC*(2/12*PL!E178+10/12*PL!F178))*rm_factor</f>
        <v>175.688355816123</v>
      </c>
      <c r="I29" s="23" t="n">
        <f aca="false">tp_w_dcf*G29+(1-tp_w_dcf)*H29</f>
        <v>127.394133296708</v>
      </c>
      <c r="J29" s="20" t="n">
        <f aca="false">I29/I$4-1</f>
        <v>0.00638225634729994</v>
      </c>
    </row>
    <row r="30" customFormat="false" ht="17.15" hidden="false" customHeight="false" outlineLevel="0" collapsed="false">
      <c r="A30" s="4" t="s">
        <v>837</v>
      </c>
      <c r="B30" s="0" t="s">
        <v>838</v>
      </c>
      <c r="C30" s="0" t="s">
        <v>326</v>
      </c>
      <c r="D30" s="23" t="n">
        <f aca="false">PL!E96</f>
        <v>8.52912012651965</v>
      </c>
      <c r="E30" s="23" t="n">
        <f aca="false">PL!F96</f>
        <v>9.2172641933284</v>
      </c>
      <c r="F30" s="20" t="n">
        <f aca="false">E30/E$4-1</f>
        <v>0</v>
      </c>
      <c r="G30" s="23" t="n">
        <f aca="false">(tp_wA*MAX(0,PL!E96*(1-MIN((tp_g-0.01)/tp_roe,0.8))/(1+tp_r)^1+PL!F96*(1-MIN((tp_g-0.01)/tp_roe,0.8))/(1+tp_r)^2+PL!G96*(1-MIN((tp_g-0.01)/tp_roe,0.8))/(1+tp_r)^3+PL!H96*(1-MIN((tp_g-0.01)/tp_roe,0.8))/(1+tp_r)^4+PL!I96*(1-MIN((tp_g-0.01)/tp_roe,0.8))/(1+tp_r)^5+PL!J96*(1-MIN((tp_g-0.01)/tp_roe,0.8))/(1+tp_r)^6+PL!J96*(1-MIN((tp_g-0.01)/tp_roe,0.8))*(1+(tp_g-0.01))/(tp_r-(tp_g-0.01))/(1+tp_r)^6)+tp_wB*MAX(0,PL!E137*(1-MIN((tp_g-0.01)/tp_roe,0.8))/(1+tp_r)^1+PL!F137*(1-MIN((tp_g-0.01)/tp_roe,0.8))/(1+tp_r)^2+PL!G137*(1-MIN((tp_g-0.01)/tp_roe,0.8))/(1+tp_r)^3+PL!H137*(1-MIN((tp_g-0.01)/tp_roe,0.8))/(1+tp_r)^4+PL!I137*(1-MIN((tp_g-0.01)/tp_roe,0.8))/(1+tp_r)^5+PL!J137*(1-MIN((tp_g-0.01)/tp_roe,0.8))/(1+tp_r)^6+PL!J137*(1-MIN((tp_g-0.01)/tp_roe,0.8))*(1+(tp_g-0.01))/(tp_r-(tp_g-0.01))/(1+tp_r)^6)+tp_wC*MAX(0,PL!E178*(1-MIN((tp_g-0.01)/tp_roe,0.8))/(1+tp_r)^1+PL!F178*(1-MIN((tp_g-0.01)/tp_roe,0.8))/(1+tp_r)^2+PL!G178*(1-MIN((tp_g-0.01)/tp_roe,0.8))/(1+tp_r)^3+PL!H178*(1-MIN((tp_g-0.01)/tp_roe,0.8))/(1+tp_r)^4+PL!I178*(1-MIN((tp_g-0.01)/tp_roe,0.8))/(1+tp_r)^5+PL!J178*(1-MIN((tp_g-0.01)/tp_roe,0.8))/(1+tp_r)^6+PL!J178*(1-MIN((tp_g-0.01)/tp_roe,0.8))*(1+(tp_g-0.01))/(tp_r-(tp_g-0.01))/(1+tp_r)^6))*(1+tp_r)</f>
        <v>76.9517623132469</v>
      </c>
      <c r="H30" s="23" t="n">
        <f aca="false">Val!$B$33*(tp_wA*(2/12*PL!E96+10/12*PL!F96)+tp_wB*(2/12*PL!E137+10/12*PL!F137)+tp_wC*(2/12*PL!E178+10/12*PL!F178))*rm_factor</f>
        <v>175.688355816123</v>
      </c>
      <c r="I30" s="23" t="n">
        <f aca="false">tp_w_dcf*G30+(1-tp_w_dcf)*H30</f>
        <v>126.320059064685</v>
      </c>
      <c r="J30" s="20" t="n">
        <f aca="false">I30/I$4-1</f>
        <v>-0.00210266537661052</v>
      </c>
    </row>
    <row r="31" customFormat="false" ht="17.15" hidden="false" customHeight="false" outlineLevel="0" collapsed="false">
      <c r="A31" s="0" t="s">
        <v>839</v>
      </c>
      <c r="B31" s="0" t="s">
        <v>840</v>
      </c>
      <c r="C31" s="0" t="s">
        <v>334</v>
      </c>
      <c r="D31" s="23" t="n">
        <f aca="false">PL!E96</f>
        <v>8.52912012651965</v>
      </c>
      <c r="E31" s="23" t="n">
        <f aca="false">PL!F96</f>
        <v>9.2172641933284</v>
      </c>
      <c r="F31" s="20" t="n">
        <f aca="false">E31/E$4-1</f>
        <v>0</v>
      </c>
      <c r="G31" s="23" t="n">
        <f aca="false">(tp_wA*MAX(0,PL!E96*(1-MIN(tp_g/tp_roe,0.8))/(1+tp_r)^1+PL!F96*(1-MIN(tp_g/tp_roe,0.8))/(1+tp_r)^2+PL!G96*(1-MIN(tp_g/tp_roe,0.8))/(1+tp_r)^3+PL!H96*(1-MIN(tp_g/tp_roe,0.8))/(1+tp_r)^4+PL!I96*(1-MIN(tp_g/tp_roe,0.8))/(1+tp_r)^5+PL!J96*(1-MIN(tp_g/tp_roe,0.8))/(1+tp_r)^6+PL!J96*(1-MIN(tp_g/tp_roe,0.8))*(1+tp_g)/(tp_r-tp_g)/(1+tp_r)^6)+tp_wB*MAX(0,PL!E137*(1-MIN(tp_g/tp_roe,0.8))/(1+tp_r)^1+PL!F137*(1-MIN(tp_g/tp_roe,0.8))/(1+tp_r)^2+PL!G137*(1-MIN(tp_g/tp_roe,0.8))/(1+tp_r)^3+PL!H137*(1-MIN(tp_g/tp_roe,0.8))/(1+tp_r)^4+PL!I137*(1-MIN(tp_g/tp_roe,0.8))/(1+tp_r)^5+PL!J137*(1-MIN(tp_g/tp_roe,0.8))/(1+tp_r)^6+PL!J137*(1-MIN(tp_g/tp_roe,0.8))*(1+tp_g)/(tp_r-tp_g)/(1+tp_r)^6)+tp_wC*MAX(0,PL!E178*(1-MIN(tp_g/tp_roe,0.8))/(1+tp_r)^1+PL!F178*(1-MIN(tp_g/tp_roe,0.8))/(1+tp_r)^2+PL!G178*(1-MIN(tp_g/tp_roe,0.8))/(1+tp_r)^3+PL!H178*(1-MIN(tp_g/tp_roe,0.8))/(1+tp_r)^4+PL!I178*(1-MIN(tp_g/tp_roe,0.8))/(1+tp_r)^5+PL!J178*(1-MIN(tp_g/tp_roe,0.8))/(1+tp_r)^6+PL!J178*(1-MIN(tp_g/tp_roe,0.8))*(1+tp_g)/(tp_r-tp_g)/(1+tp_r)^6))*(1+tp_r)</f>
        <v>77.4840992688656</v>
      </c>
      <c r="H31" s="23" t="n">
        <f aca="false">Val!$B$33*(tp_wA*(2/12*PL!E96+10/12*PL!F96)+tp_wB*(2/12*PL!E137+10/12*PL!F137)+tp_wC*(2/12*PL!E178+10/12*PL!F178))*rm_factor</f>
        <v>175.688355816123</v>
      </c>
      <c r="I31" s="23" t="n">
        <f aca="false">0.3*G31+(1-0.3)*H31</f>
        <v>146.227078851946</v>
      </c>
      <c r="J31" s="20" t="n">
        <f aca="false">I31/I$4-1</f>
        <v>0.155157884793258</v>
      </c>
    </row>
    <row r="32" customFormat="false" ht="17.15" hidden="false" customHeight="false" outlineLevel="0" collapsed="false">
      <c r="A32" s="0" t="s">
        <v>841</v>
      </c>
      <c r="B32" s="0" t="s">
        <v>842</v>
      </c>
      <c r="C32" s="0" t="s">
        <v>334</v>
      </c>
      <c r="D32" s="23" t="n">
        <f aca="false">PL!E96</f>
        <v>8.52912012651965</v>
      </c>
      <c r="E32" s="23" t="n">
        <f aca="false">PL!F96</f>
        <v>9.2172641933284</v>
      </c>
      <c r="F32" s="20" t="n">
        <f aca="false">E32/E$4-1</f>
        <v>0</v>
      </c>
      <c r="G32" s="23" t="n">
        <f aca="false">(tp_wA*MAX(0,PL!E96*(1-MIN(tp_g/tp_roe,0.8))/(1+tp_r)^1+PL!F96*(1-MIN(tp_g/tp_roe,0.8))/(1+tp_r)^2+PL!G96*(1-MIN(tp_g/tp_roe,0.8))/(1+tp_r)^3+PL!H96*(1-MIN(tp_g/tp_roe,0.8))/(1+tp_r)^4+PL!I96*(1-MIN(tp_g/tp_roe,0.8))/(1+tp_r)^5+PL!J96*(1-MIN(tp_g/tp_roe,0.8))/(1+tp_r)^6+PL!J96*(1-MIN(tp_g/tp_roe,0.8))*(1+tp_g)/(tp_r-tp_g)/(1+tp_r)^6)+tp_wB*MAX(0,PL!E137*(1-MIN(tp_g/tp_roe,0.8))/(1+tp_r)^1+PL!F137*(1-MIN(tp_g/tp_roe,0.8))/(1+tp_r)^2+PL!G137*(1-MIN(tp_g/tp_roe,0.8))/(1+tp_r)^3+PL!H137*(1-MIN(tp_g/tp_roe,0.8))/(1+tp_r)^4+PL!I137*(1-MIN(tp_g/tp_roe,0.8))/(1+tp_r)^5+PL!J137*(1-MIN(tp_g/tp_roe,0.8))/(1+tp_r)^6+PL!J137*(1-MIN(tp_g/tp_roe,0.8))*(1+tp_g)/(tp_r-tp_g)/(1+tp_r)^6)+tp_wC*MAX(0,PL!E178*(1-MIN(tp_g/tp_roe,0.8))/(1+tp_r)^1+PL!F178*(1-MIN(tp_g/tp_roe,0.8))/(1+tp_r)^2+PL!G178*(1-MIN(tp_g/tp_roe,0.8))/(1+tp_r)^3+PL!H178*(1-MIN(tp_g/tp_roe,0.8))/(1+tp_r)^4+PL!I178*(1-MIN(tp_g/tp_roe,0.8))/(1+tp_r)^5+PL!J178*(1-MIN(tp_g/tp_roe,0.8))/(1+tp_r)^6+PL!J178*(1-MIN(tp_g/tp_roe,0.8))*(1+tp_g)/(tp_r-tp_g)/(1+tp_r)^6))*(1+tp_r)</f>
        <v>77.4840992688656</v>
      </c>
      <c r="H32" s="23" t="n">
        <f aca="false">Val!$B$33*(tp_wA*(2/12*PL!E96+10/12*PL!F96)+tp_wB*(2/12*PL!E137+10/12*PL!F137)+tp_wC*(2/12*PL!E178+10/12*PL!F178))*rm_factor</f>
        <v>175.688355816123</v>
      </c>
      <c r="I32" s="23" t="n">
        <f aca="false">0.7*G32+(1-0.7)*H32</f>
        <v>106.945376233043</v>
      </c>
      <c r="J32" s="20" t="n">
        <f aca="false">I32/I$4-1</f>
        <v>-0.155157884793258</v>
      </c>
    </row>
    <row r="34" customFormat="false" ht="17.15" hidden="false" customHeight="false" outlineLevel="0" collapsed="false">
      <c r="A34" s="4" t="s">
        <v>843</v>
      </c>
    </row>
    <row r="36" customFormat="false" ht="15" hidden="false" customHeight="false" outlineLevel="0" collapsed="false">
      <c r="A36" s="1" t="s">
        <v>844</v>
      </c>
    </row>
    <row r="38" customFormat="false" ht="17.15" hidden="false" customHeight="false" outlineLevel="0" collapsed="false">
      <c r="A38" s="1" t="s">
        <v>845</v>
      </c>
    </row>
    <row r="39" customFormat="false" ht="17.15" hidden="false" customHeight="false" outlineLevel="0" collapsed="false">
      <c r="A39" s="5" t="s">
        <v>24</v>
      </c>
      <c r="B39" s="5" t="s">
        <v>25</v>
      </c>
      <c r="C39" s="17" t="s">
        <v>394</v>
      </c>
      <c r="D39" s="17" t="s">
        <v>521</v>
      </c>
      <c r="E39" s="17" t="s">
        <v>480</v>
      </c>
      <c r="F39" s="17" t="s">
        <v>481</v>
      </c>
      <c r="G39" s="17" t="s">
        <v>482</v>
      </c>
      <c r="H39" s="17" t="s">
        <v>522</v>
      </c>
      <c r="I39" s="17" t="s">
        <v>523</v>
      </c>
      <c r="J39" s="17" t="s">
        <v>524</v>
      </c>
      <c r="K39" s="5" t="s">
        <v>357</v>
      </c>
    </row>
    <row r="40" customFormat="false" ht="17.15" hidden="false" customHeight="false" outlineLevel="0" collapsed="false">
      <c r="A40" s="6" t="s">
        <v>542</v>
      </c>
    </row>
    <row r="41" customFormat="false" ht="17.15" hidden="false" customHeight="false" outlineLevel="0" collapsed="false">
      <c r="A41" s="4" t="s">
        <v>543</v>
      </c>
      <c r="B41" s="4" t="s">
        <v>42</v>
      </c>
      <c r="D41" s="22" t="n">
        <f aca="false">cap_26</f>
        <v>3306</v>
      </c>
      <c r="E41" s="22" t="n">
        <f aca="false">D41*(1+capg27)*cap_adj</f>
        <v>3306</v>
      </c>
      <c r="F41" s="22" t="n">
        <f aca="false">E41*(1+capg28)</f>
        <v>3306</v>
      </c>
      <c r="G41" s="22" t="n">
        <f aca="false">F41*(1+capg29)</f>
        <v>3306</v>
      </c>
    </row>
    <row r="42" customFormat="false" ht="15" hidden="false" customHeight="false" outlineLevel="0" collapsed="false">
      <c r="A42" s="4" t="s">
        <v>544</v>
      </c>
      <c r="B42" s="0" t="s">
        <v>48</v>
      </c>
      <c r="D42" s="20" t="n">
        <f aca="false">a26_ship/cap_26</f>
        <v>0.8725</v>
      </c>
      <c r="E42" s="20" t="n">
        <f aca="false">MIN(0.98,ut27_A+ut_adj)</f>
        <v>0.95</v>
      </c>
      <c r="F42" s="20" t="n">
        <f aca="false">MIN(0.98,ut28_A+ut_adj)</f>
        <v>0.94</v>
      </c>
      <c r="G42" s="20" t="n">
        <f aca="false">MIN(0.98,ut29_A+ut_adj)</f>
        <v>0.93</v>
      </c>
    </row>
    <row r="43" customFormat="false" ht="17.15" hidden="false" customHeight="false" outlineLevel="0" collapsed="false">
      <c r="A43" s="4" t="s">
        <v>545</v>
      </c>
      <c r="B43" s="4" t="s">
        <v>42</v>
      </c>
      <c r="D43" s="22" t="n">
        <f aca="false">D41*D42</f>
        <v>2884.485</v>
      </c>
      <c r="E43" s="22" t="n">
        <f aca="false">E41*E42</f>
        <v>3140.7</v>
      </c>
      <c r="F43" s="22" t="n">
        <f aca="false">F41*F42</f>
        <v>3107.64</v>
      </c>
      <c r="G43" s="22" t="n">
        <f aca="false">G41*G42</f>
        <v>3074.58</v>
      </c>
    </row>
    <row r="44" customFormat="false" ht="17.15" hidden="false" customHeight="false" outlineLevel="0" collapsed="false">
      <c r="A44" s="4" t="s">
        <v>546</v>
      </c>
      <c r="B44" s="0" t="s">
        <v>89</v>
      </c>
      <c r="D44" s="22" t="n">
        <f aca="false">asp_26</f>
        <v>643.469405492234</v>
      </c>
      <c r="E44" s="22" t="n">
        <f aca="false">D44*(1+asp27_A)*(1+asp_adj)</f>
        <v>682.077569821768</v>
      </c>
      <c r="F44" s="22" t="n">
        <f aca="false">E44*(1+asp28_A)</f>
        <v>695.719121218203</v>
      </c>
      <c r="G44" s="22" t="n">
        <f aca="false">F44*(1+asp29_A)</f>
        <v>702.676312430385</v>
      </c>
    </row>
    <row r="45" customFormat="false" ht="15" hidden="false" customHeight="false" outlineLevel="0" collapsed="false">
      <c r="A45" s="4" t="s">
        <v>547</v>
      </c>
      <c r="B45" s="0" t="s">
        <v>48</v>
      </c>
      <c r="E45" s="20" t="n">
        <f aca="false">E44/D44-1</f>
        <v>0.0600000000000001</v>
      </c>
      <c r="F45" s="20" t="n">
        <f aca="false">F44/E44-1</f>
        <v>0.02</v>
      </c>
      <c r="G45" s="20" t="n">
        <f aca="false">G44/F44-1</f>
        <v>0.01</v>
      </c>
    </row>
    <row r="46" customFormat="false" ht="15" hidden="false" customHeight="false" outlineLevel="0" collapsed="false">
      <c r="A46" s="4" t="s">
        <v>548</v>
      </c>
      <c r="B46" s="0" t="s">
        <v>35</v>
      </c>
      <c r="D46" s="23" t="n">
        <f aca="false">fx_26</f>
        <v>31.6</v>
      </c>
      <c r="E46" s="23" t="n">
        <f aca="false">fx_lo</f>
        <v>30.5</v>
      </c>
      <c r="F46" s="23" t="n">
        <f aca="false">fx_lo</f>
        <v>30.5</v>
      </c>
      <c r="G46" s="23" t="n">
        <f aca="false">fx_lo</f>
        <v>30.5</v>
      </c>
    </row>
    <row r="47" customFormat="false" ht="17.15" hidden="false" customHeight="false" outlineLevel="0" collapsed="false">
      <c r="A47" s="0" t="s">
        <v>549</v>
      </c>
      <c r="B47" s="0" t="s">
        <v>184</v>
      </c>
      <c r="D47" s="23" t="n">
        <f aca="false">D43*D44*D46/1000000</f>
        <v>58.65206</v>
      </c>
      <c r="E47" s="23" t="n">
        <f aca="false">E43*E44*E46/1000000</f>
        <v>65.3371312179464</v>
      </c>
      <c r="F47" s="23" t="n">
        <f aca="false">F43*F44*F46/1000000</f>
        <v>65.9423593808074</v>
      </c>
      <c r="G47" s="23" t="n">
        <f aca="false">G43*G44*G46/1000000</f>
        <v>65.8932533685025</v>
      </c>
    </row>
    <row r="48" customFormat="false" ht="17.15" hidden="false" customHeight="false" outlineLevel="0" collapsed="false">
      <c r="A48" s="6" t="s">
        <v>550</v>
      </c>
    </row>
    <row r="49" customFormat="false" ht="17.15" hidden="false" customHeight="false" outlineLevel="0" collapsed="false">
      <c r="A49" s="0" t="s">
        <v>551</v>
      </c>
      <c r="B49" s="4" t="s">
        <v>42</v>
      </c>
      <c r="D49" s="22" t="n">
        <f aca="false">0</f>
        <v>0</v>
      </c>
      <c r="E49" s="22" t="n">
        <f aca="false">vcap27*vcap_adj</f>
        <v>144</v>
      </c>
      <c r="F49" s="22" t="n">
        <f aca="false">vcap28*vcap_adj</f>
        <v>360</v>
      </c>
      <c r="G49" s="22" t="n">
        <f aca="false">vcap29*vcap_adj</f>
        <v>504</v>
      </c>
    </row>
    <row r="50" customFormat="false" ht="17.15" hidden="false" customHeight="false" outlineLevel="0" collapsed="false">
      <c r="A50" s="0" t="s">
        <v>552</v>
      </c>
      <c r="B50" s="0" t="s">
        <v>48</v>
      </c>
      <c r="E50" s="20" t="n">
        <f aca="false">vut_A</f>
        <v>0.9</v>
      </c>
      <c r="F50" s="20" t="n">
        <f aca="false">vut_A</f>
        <v>0.9</v>
      </c>
      <c r="G50" s="20" t="n">
        <f aca="false">vut_A</f>
        <v>0.9</v>
      </c>
    </row>
    <row r="51" customFormat="false" ht="17.15" hidden="false" customHeight="false" outlineLevel="0" collapsed="false">
      <c r="A51" s="0" t="s">
        <v>553</v>
      </c>
      <c r="B51" s="4" t="s">
        <v>42</v>
      </c>
      <c r="D51" s="22" t="n">
        <f aca="false">0</f>
        <v>0</v>
      </c>
      <c r="E51" s="22" t="n">
        <f aca="false">E49*E50</f>
        <v>129.6</v>
      </c>
      <c r="F51" s="22" t="n">
        <f aca="false">F49*F50</f>
        <v>324</v>
      </c>
      <c r="G51" s="22" t="n">
        <f aca="false">G49*G50</f>
        <v>453.6</v>
      </c>
    </row>
    <row r="52" customFormat="false" ht="17.15" hidden="false" customHeight="false" outlineLevel="0" collapsed="false">
      <c r="A52" s="0" t="s">
        <v>554</v>
      </c>
      <c r="B52" s="0" t="s">
        <v>184</v>
      </c>
      <c r="D52" s="23" t="n">
        <f aca="false">0</f>
        <v>0</v>
      </c>
      <c r="E52" s="23" t="n">
        <f aca="false">E51*vasp*E46/1000000</f>
        <v>7.11504</v>
      </c>
      <c r="F52" s="23" t="n">
        <f aca="false">F51*vasp*F46/1000000</f>
        <v>17.7876</v>
      </c>
      <c r="G52" s="23" t="n">
        <f aca="false">G51*vasp*G46/1000000</f>
        <v>24.90264</v>
      </c>
    </row>
    <row r="53" customFormat="false" ht="17.15" hidden="false" customHeight="false" outlineLevel="0" collapsed="false">
      <c r="A53" s="4" t="s">
        <v>400</v>
      </c>
      <c r="B53" s="0" t="s">
        <v>184</v>
      </c>
      <c r="C53" s="23" t="n">
        <f aca="false">a25_rev</f>
        <v>48.591</v>
      </c>
      <c r="D53" s="23" t="n">
        <f aca="false">D47+D52</f>
        <v>58.65206</v>
      </c>
      <c r="E53" s="23" t="n">
        <f aca="false">E47+E52</f>
        <v>72.4521712179464</v>
      </c>
      <c r="F53" s="23" t="n">
        <f aca="false">F47+F52</f>
        <v>83.7299593808074</v>
      </c>
      <c r="G53" s="23" t="n">
        <f aca="false">G47+G52</f>
        <v>90.7958933685025</v>
      </c>
      <c r="H53" s="29" t="n">
        <f aca="false">G53*(1+H56)</f>
        <v>97.7199612428716</v>
      </c>
      <c r="I53" s="29" t="n">
        <f aca="false">H53*(1+I56)</f>
        <v>104.377607697643</v>
      </c>
      <c r="J53" s="29" t="n">
        <f aca="false">I53*(1+J56)</f>
        <v>110.640264159502</v>
      </c>
      <c r="K53" s="8" t="s">
        <v>555</v>
      </c>
    </row>
    <row r="54" customFormat="false" ht="17.15" hidden="false" customHeight="false" outlineLevel="0" collapsed="false">
      <c r="A54" s="0" t="s">
        <v>556</v>
      </c>
      <c r="B54" s="0" t="s">
        <v>48</v>
      </c>
      <c r="D54" s="20" t="n">
        <f aca="false">D52/D53</f>
        <v>0</v>
      </c>
      <c r="E54" s="20" t="n">
        <f aca="false">E52/E53</f>
        <v>0.0982032681753174</v>
      </c>
      <c r="F54" s="20" t="n">
        <f aca="false">F52/F53</f>
        <v>0.212440088727396</v>
      </c>
      <c r="G54" s="20" t="n">
        <f aca="false">G52/G53</f>
        <v>0.274270554274196</v>
      </c>
    </row>
    <row r="55" customFormat="false" ht="17.15" hidden="false" customHeight="false" outlineLevel="0" collapsed="false">
      <c r="A55" s="0" t="s">
        <v>557</v>
      </c>
      <c r="B55" s="0" t="s">
        <v>48</v>
      </c>
      <c r="D55" s="20" t="n">
        <f aca="false">ai_sh26</f>
        <v>0.1</v>
      </c>
      <c r="E55" s="20" t="n">
        <f aca="false">ai_sh27_A</f>
        <v>0.25</v>
      </c>
      <c r="F55" s="20" t="n">
        <f aca="false">ai_sh27_A</f>
        <v>0.25</v>
      </c>
      <c r="G55" s="20" t="n">
        <f aca="false">ai_sh27_A</f>
        <v>0.25</v>
      </c>
    </row>
    <row r="56" customFormat="false" ht="15" hidden="false" customHeight="false" outlineLevel="0" collapsed="false">
      <c r="A56" s="4" t="s">
        <v>558</v>
      </c>
      <c r="B56" s="0" t="s">
        <v>48</v>
      </c>
      <c r="D56" s="20" t="n">
        <f aca="false">D53/C53-1</f>
        <v>0.207056039184211</v>
      </c>
      <c r="E56" s="20" t="n">
        <f aca="false">E53/D53-1</f>
        <v>0.235287749789971</v>
      </c>
      <c r="F56" s="20" t="n">
        <f aca="false">F53/E53-1</f>
        <v>0.155658387778826</v>
      </c>
      <c r="G56" s="20" t="n">
        <f aca="false">G53/F53-1</f>
        <v>0.0843895547059683</v>
      </c>
      <c r="H56" s="27" t="n">
        <f aca="false">$G56+(fade_gA-$G56)*1/3</f>
        <v>0.0762597031373122</v>
      </c>
      <c r="I56" s="27" t="n">
        <f aca="false">$G56+(fade_gA-$G56)*2/3</f>
        <v>0.0681298515686561</v>
      </c>
      <c r="J56" s="27" t="n">
        <f aca="false">$G56+(fade_gA-$G56)*3/3</f>
        <v>0.06</v>
      </c>
    </row>
    <row r="57" customFormat="false" ht="17.15" hidden="false" customHeight="false" outlineLevel="0" collapsed="false">
      <c r="A57" s="6" t="s">
        <v>559</v>
      </c>
    </row>
    <row r="58" customFormat="false" ht="15" hidden="false" customHeight="false" outlineLevel="0" collapsed="false">
      <c r="A58" s="4" t="s">
        <v>560</v>
      </c>
      <c r="B58" s="0" t="s">
        <v>184</v>
      </c>
      <c r="D58" s="23" t="n">
        <f aca="false">da_tot26*da_sh</f>
        <v>8.658</v>
      </c>
      <c r="E58" s="23" t="n">
        <f aca="false">D58*(1+dag_27+dag_adj)</f>
        <v>8.91774</v>
      </c>
      <c r="F58" s="23" t="n">
        <f aca="false">E58*(1+dag_28+dag_adj)</f>
        <v>9.0960948</v>
      </c>
      <c r="G58" s="23" t="n">
        <f aca="false">F58*(1+dag_29+dag_adj)</f>
        <v>9.0960948</v>
      </c>
    </row>
    <row r="59" customFormat="false" ht="17.15" hidden="false" customHeight="false" outlineLevel="0" collapsed="false">
      <c r="A59" s="4" t="s">
        <v>561</v>
      </c>
      <c r="B59" s="0" t="s">
        <v>562</v>
      </c>
      <c r="D59" s="23" t="n">
        <f aca="false">(D47-a26_gp-D58)/D43*1000</f>
        <v>10.7339918911001</v>
      </c>
      <c r="E59" s="23" t="n">
        <f aca="false">D59*(1+cc_g)</f>
        <v>10.9486717289221</v>
      </c>
      <c r="F59" s="23" t="n">
        <f aca="false">E59*(1+cc_g)</f>
        <v>11.1676451635006</v>
      </c>
      <c r="G59" s="23" t="n">
        <f aca="false">F59*(1+cc_g)</f>
        <v>11.3909980667706</v>
      </c>
      <c r="K59" s="8" t="s">
        <v>563</v>
      </c>
    </row>
    <row r="60" customFormat="false" ht="17.15" hidden="false" customHeight="false" outlineLevel="0" collapsed="false">
      <c r="A60" s="4" t="s">
        <v>564</v>
      </c>
      <c r="B60" s="0" t="s">
        <v>184</v>
      </c>
      <c r="D60" s="23" t="n">
        <f aca="false">D59*D43/1000</f>
        <v>30.9620386</v>
      </c>
      <c r="E60" s="23" t="n">
        <f aca="false">E59*E43/1000</f>
        <v>34.3864932990258</v>
      </c>
      <c r="F60" s="23" t="n">
        <f aca="false">F59*F43/1000</f>
        <v>34.705020815901</v>
      </c>
      <c r="G60" s="23" t="n">
        <f aca="false">G59*G43/1000</f>
        <v>35.0225348361316</v>
      </c>
    </row>
    <row r="61" customFormat="false" ht="17.15" hidden="false" customHeight="false" outlineLevel="0" collapsed="false">
      <c r="A61" s="0" t="s">
        <v>565</v>
      </c>
      <c r="B61" s="0" t="s">
        <v>48</v>
      </c>
      <c r="E61" s="20" t="n">
        <f aca="false">vgm27_A</f>
        <v>0.05</v>
      </c>
      <c r="F61" s="20" t="n">
        <f aca="false">vgm28_A</f>
        <v>0.2</v>
      </c>
      <c r="G61" s="20" t="n">
        <f aca="false">vgm29_A</f>
        <v>0.25</v>
      </c>
    </row>
    <row r="62" customFormat="false" ht="17.15" hidden="false" customHeight="false" outlineLevel="0" collapsed="false">
      <c r="A62" s="0" t="s">
        <v>566</v>
      </c>
      <c r="B62" s="0" t="s">
        <v>184</v>
      </c>
      <c r="D62" s="23" t="n">
        <f aca="false">0</f>
        <v>0</v>
      </c>
      <c r="E62" s="23" t="n">
        <f aca="false">E52*E61</f>
        <v>0.355752</v>
      </c>
      <c r="F62" s="23" t="n">
        <f aca="false">F52*F61</f>
        <v>3.55752</v>
      </c>
      <c r="G62" s="23" t="n">
        <f aca="false">G52*G61</f>
        <v>6.22566</v>
      </c>
    </row>
    <row r="63" customFormat="false" ht="15" hidden="false" customHeight="false" outlineLevel="0" collapsed="false">
      <c r="A63" s="4" t="s">
        <v>417</v>
      </c>
      <c r="B63" s="0" t="s">
        <v>184</v>
      </c>
      <c r="C63" s="23" t="n">
        <f aca="false">a25_gp</f>
        <v>13.654</v>
      </c>
      <c r="D63" s="23" t="n">
        <f aca="false">D47-D58-D60+D62</f>
        <v>19.0320214</v>
      </c>
      <c r="E63" s="23" t="n">
        <f aca="false">E47-E58-E60+E62</f>
        <v>22.3886499189206</v>
      </c>
      <c r="F63" s="23" t="n">
        <f aca="false">F47-F58-F60+F62</f>
        <v>25.6987637649064</v>
      </c>
      <c r="G63" s="23" t="n">
        <f aca="false">G47-G58-G60+G62</f>
        <v>28.000283732371</v>
      </c>
    </row>
    <row r="64" customFormat="false" ht="15" hidden="false" customHeight="false" outlineLevel="0" collapsed="false">
      <c r="A64" s="4" t="s">
        <v>420</v>
      </c>
      <c r="B64" s="0" t="s">
        <v>48</v>
      </c>
      <c r="C64" s="16" t="n">
        <f aca="false">C63/C53</f>
        <v>0.280998538824062</v>
      </c>
      <c r="D64" s="16" t="n">
        <f aca="false">D63/D53</f>
        <v>0.324490246378388</v>
      </c>
      <c r="E64" s="16" t="n">
        <f aca="false">E63/E53</f>
        <v>0.309012822425602</v>
      </c>
      <c r="F64" s="16" t="n">
        <f aca="false">F63/F53</f>
        <v>0.306924354854006</v>
      </c>
      <c r="G64" s="16" t="n">
        <f aca="false">G63/G53</f>
        <v>0.308387116350401</v>
      </c>
    </row>
    <row r="65" customFormat="false" ht="15" hidden="false" customHeight="false" outlineLevel="0" collapsed="false">
      <c r="A65" s="4" t="s">
        <v>422</v>
      </c>
      <c r="B65" s="0" t="s">
        <v>184</v>
      </c>
      <c r="C65" s="23" t="n">
        <f aca="false">a25_opx</f>
        <v>5.881</v>
      </c>
      <c r="D65" s="23" t="n">
        <f aca="false">a26_opx</f>
        <v>6.824187</v>
      </c>
      <c r="E65" s="23" t="n">
        <f aca="false">D65*(1+MAX(g_opx_min,phi*E56))</f>
        <v>7.62701080168799</v>
      </c>
      <c r="F65" s="23" t="n">
        <f aca="false">E65*(1+MAX(g_opx_min,phi*F56))</f>
        <v>8.22061490416921</v>
      </c>
      <c r="G65" s="23" t="n">
        <f aca="false">F65*(1+MAX(g_opx_min,phi*G56))</f>
        <v>8.56748191975525</v>
      </c>
    </row>
    <row r="66" customFormat="false" ht="15" hidden="false" customHeight="false" outlineLevel="0" collapsed="false">
      <c r="A66" s="4" t="s">
        <v>425</v>
      </c>
      <c r="B66" s="0" t="s">
        <v>184</v>
      </c>
      <c r="C66" s="23" t="n">
        <f aca="false">C63-C65</f>
        <v>7.773</v>
      </c>
      <c r="D66" s="23" t="n">
        <f aca="false">D63-D65</f>
        <v>12.2078344</v>
      </c>
      <c r="E66" s="23" t="n">
        <f aca="false">E63-E65</f>
        <v>14.7616391172326</v>
      </c>
      <c r="F66" s="23" t="n">
        <f aca="false">F63-F65</f>
        <v>17.4781488607372</v>
      </c>
      <c r="G66" s="23" t="n">
        <f aca="false">G63-G65</f>
        <v>19.4328018126157</v>
      </c>
    </row>
    <row r="67" customFormat="false" ht="15" hidden="false" customHeight="false" outlineLevel="0" collapsed="false">
      <c r="A67" s="4" t="s">
        <v>531</v>
      </c>
      <c r="B67" s="0" t="s">
        <v>48</v>
      </c>
      <c r="C67" s="16" t="n">
        <f aca="false">C66/C53</f>
        <v>0.159967895289251</v>
      </c>
      <c r="D67" s="16" t="n">
        <f aca="false">D66/D53</f>
        <v>0.208139908470393</v>
      </c>
      <c r="E67" s="16" t="n">
        <f aca="false">E66/E53</f>
        <v>0.203743226311707</v>
      </c>
      <c r="F67" s="16" t="n">
        <f aca="false">F66/F53</f>
        <v>0.208744265373949</v>
      </c>
      <c r="G67" s="16" t="n">
        <f aca="false">G66/G53</f>
        <v>0.214027320968649</v>
      </c>
    </row>
    <row r="68" customFormat="false" ht="15" hidden="false" customHeight="false" outlineLevel="0" collapsed="false">
      <c r="A68" s="4" t="s">
        <v>428</v>
      </c>
      <c r="B68" s="0" t="s">
        <v>184</v>
      </c>
      <c r="C68" s="23" t="n">
        <f aca="false">a25_nonop</f>
        <v>1.479</v>
      </c>
      <c r="D68" s="23" t="n">
        <f aca="false">a26_nonop</f>
        <v>2.10950832169955</v>
      </c>
      <c r="E68" s="23" t="n">
        <f aca="false">nonop_f</f>
        <v>1.5</v>
      </c>
      <c r="F68" s="23" t="n">
        <f aca="false">nonop_f</f>
        <v>1.5</v>
      </c>
      <c r="G68" s="23" t="n">
        <f aca="false">nonop_f</f>
        <v>1.5</v>
      </c>
    </row>
    <row r="69" customFormat="false" ht="15" hidden="false" customHeight="false" outlineLevel="0" collapsed="false">
      <c r="A69" s="4" t="s">
        <v>430</v>
      </c>
      <c r="B69" s="0" t="s">
        <v>184</v>
      </c>
      <c r="C69" s="23" t="n">
        <f aca="false">C66+C68</f>
        <v>9.252</v>
      </c>
      <c r="D69" s="23" t="n">
        <f aca="false">D66+D68</f>
        <v>14.3173427216995</v>
      </c>
      <c r="E69" s="23" t="n">
        <f aca="false">E66+E68</f>
        <v>16.2616391172326</v>
      </c>
      <c r="F69" s="23" t="n">
        <f aca="false">F66+F68</f>
        <v>18.9781488607372</v>
      </c>
      <c r="G69" s="23" t="n">
        <f aca="false">G66+G68</f>
        <v>20.9328018126157</v>
      </c>
    </row>
    <row r="70" customFormat="false" ht="15" hidden="false" customHeight="false" outlineLevel="0" collapsed="false">
      <c r="A70" s="4" t="s">
        <v>432</v>
      </c>
      <c r="B70" s="0" t="s">
        <v>184</v>
      </c>
      <c r="C70" s="23" t="n">
        <f aca="false">a25_tax</f>
        <v>1.344</v>
      </c>
      <c r="D70" s="23" t="n">
        <f aca="false">a26_tax</f>
        <v>2.0798215108046</v>
      </c>
      <c r="E70" s="23" t="n">
        <f aca="false">E69*tax</f>
        <v>2.43924586758489</v>
      </c>
      <c r="F70" s="23" t="n">
        <f aca="false">F69*tax</f>
        <v>2.84672232911058</v>
      </c>
      <c r="G70" s="23" t="n">
        <f aca="false">G69*tax</f>
        <v>3.13992027189236</v>
      </c>
    </row>
    <row r="71" customFormat="false" ht="17.15" hidden="false" customHeight="false" outlineLevel="0" collapsed="false">
      <c r="A71" s="4" t="s">
        <v>567</v>
      </c>
      <c r="B71" s="0" t="s">
        <v>184</v>
      </c>
      <c r="C71" s="23" t="n">
        <f aca="false">a25_mi</f>
        <v>0</v>
      </c>
      <c r="D71" s="23" t="n">
        <f aca="false">a26_mi</f>
        <v>0</v>
      </c>
      <c r="E71" s="23" t="n">
        <f aca="false">vmi*E62*(1-tax)</f>
        <v>0.12095568</v>
      </c>
      <c r="F71" s="23" t="n">
        <f aca="false">vmi*F62*(1-tax)</f>
        <v>1.2095568</v>
      </c>
      <c r="G71" s="23" t="n">
        <f aca="false">vmi*G62*(1-tax)</f>
        <v>2.1167244</v>
      </c>
      <c r="K71" s="8" t="s">
        <v>568</v>
      </c>
    </row>
    <row r="72" customFormat="false" ht="15" hidden="false" customHeight="false" outlineLevel="0" collapsed="false">
      <c r="A72" s="4" t="s">
        <v>435</v>
      </c>
      <c r="B72" s="0" t="s">
        <v>184</v>
      </c>
      <c r="C72" s="23" t="n">
        <f aca="false">C69-C70-C71</f>
        <v>7.908</v>
      </c>
      <c r="D72" s="23" t="n">
        <f aca="false">D69-D70-D71</f>
        <v>12.2375212108949</v>
      </c>
      <c r="E72" s="23" t="n">
        <f aca="false">E69-E70-E71</f>
        <v>13.7014375696477</v>
      </c>
      <c r="F72" s="23" t="n">
        <f aca="false">F69-F70-F71</f>
        <v>14.9218697316266</v>
      </c>
      <c r="G72" s="23" t="n">
        <f aca="false">G69-G70-G71</f>
        <v>15.6761571407234</v>
      </c>
      <c r="H72" s="29" t="n">
        <f aca="false">H53*H76</f>
        <v>16.8716162306088</v>
      </c>
      <c r="I72" s="29" t="n">
        <f aca="false">I53*I76</f>
        <v>18.0210769401235</v>
      </c>
      <c r="J72" s="29" t="n">
        <f aca="false">J53*J76</f>
        <v>19.1023415565309</v>
      </c>
    </row>
    <row r="73" customFormat="false" ht="15" hidden="false" customHeight="false" outlineLevel="0" collapsed="false">
      <c r="A73" s="4" t="s">
        <v>569</v>
      </c>
      <c r="B73" s="4" t="s">
        <v>265</v>
      </c>
      <c r="C73" s="10" t="n">
        <f aca="false">a25_sh</f>
        <v>1.8739336492891</v>
      </c>
      <c r="D73" s="10" t="n">
        <f aca="false">a26_sh</f>
        <v>1.90613591916558</v>
      </c>
      <c r="E73" s="10" t="n">
        <f aca="false">q_sh*(1+sh_g)</f>
        <v>1.90705128205128</v>
      </c>
      <c r="F73" s="10" t="n">
        <f aca="false">E73*(1+sh_g)</f>
        <v>1.90705128205128</v>
      </c>
      <c r="G73" s="10" t="n">
        <f aca="false">F73*(1+sh_g)</f>
        <v>1.90705128205128</v>
      </c>
      <c r="H73" s="31" t="n">
        <f aca="false">G73*(1+sh_g)</f>
        <v>1.90705128205128</v>
      </c>
      <c r="I73" s="31" t="n">
        <f aca="false">H73*(1+sh_g)</f>
        <v>1.90705128205128</v>
      </c>
      <c r="J73" s="31" t="n">
        <f aca="false">I73*(1+sh_g)</f>
        <v>1.90705128205128</v>
      </c>
    </row>
    <row r="74" customFormat="false" ht="17.15" hidden="false" customHeight="false" outlineLevel="0" collapsed="false">
      <c r="A74" s="0" t="s">
        <v>442</v>
      </c>
      <c r="B74" s="0" t="s">
        <v>274</v>
      </c>
      <c r="C74" s="23" t="n">
        <f aca="false">C72/C73</f>
        <v>4.22</v>
      </c>
      <c r="D74" s="23" t="n">
        <f aca="false">D72/D73</f>
        <v>6.42006747150118</v>
      </c>
      <c r="E74" s="23" t="n">
        <f aca="false">E72/E73</f>
        <v>7.18461936425225</v>
      </c>
      <c r="F74" s="23" t="n">
        <f aca="false">F72/F73</f>
        <v>7.82457706935715</v>
      </c>
      <c r="G74" s="23" t="n">
        <f aca="false">G72/G73</f>
        <v>8.22010256790872</v>
      </c>
      <c r="H74" s="29" t="n">
        <f aca="false">H72/H73</f>
        <v>8.84696514949569</v>
      </c>
      <c r="I74" s="29" t="n">
        <f aca="false">I72/I73</f>
        <v>9.44970757196391</v>
      </c>
      <c r="J74" s="29" t="n">
        <f aca="false">J72/J73</f>
        <v>10.0166900262817</v>
      </c>
    </row>
    <row r="75" customFormat="false" ht="17.15" hidden="false" customHeight="false" outlineLevel="0" collapsed="false">
      <c r="A75" s="0" t="s">
        <v>570</v>
      </c>
      <c r="B75" s="0" t="s">
        <v>48</v>
      </c>
      <c r="D75" s="20" t="n">
        <f aca="false">D74/C74-1</f>
        <v>0.521343002725398</v>
      </c>
      <c r="E75" s="20" t="n">
        <f aca="false">E74/D74-1</f>
        <v>0.119087828304754</v>
      </c>
      <c r="F75" s="20" t="n">
        <f aca="false">F74/E74-1</f>
        <v>0.0890732929136195</v>
      </c>
      <c r="G75" s="20" t="n">
        <f aca="false">G74/F74-1</f>
        <v>0.0505491217027603</v>
      </c>
      <c r="H75" s="27" t="n">
        <f aca="false">H74/G74-1</f>
        <v>0.0762597031373122</v>
      </c>
      <c r="I75" s="27" t="n">
        <f aca="false">I74/H74-1</f>
        <v>0.0681298515686561</v>
      </c>
      <c r="J75" s="27" t="n">
        <f aca="false">J74/I74-1</f>
        <v>0.0600000000000001</v>
      </c>
    </row>
    <row r="76" customFormat="false" ht="17.15" hidden="false" customHeight="false" outlineLevel="0" collapsed="false">
      <c r="A76" s="4" t="s">
        <v>571</v>
      </c>
      <c r="B76" s="0" t="s">
        <v>48</v>
      </c>
      <c r="C76" s="16" t="n">
        <f aca="false">C72/C53</f>
        <v>0.162746187565599</v>
      </c>
      <c r="D76" s="16" t="n">
        <f aca="false">D72/D53</f>
        <v>0.208646059676249</v>
      </c>
      <c r="E76" s="16" t="n">
        <f aca="false">E72/E53</f>
        <v>0.189110103111084</v>
      </c>
      <c r="F76" s="16" t="n">
        <f aca="false">F72/F53</f>
        <v>0.178214223940577</v>
      </c>
      <c r="G76" s="16" t="n">
        <f aca="false">G72/G53</f>
        <v>0.17265271103287</v>
      </c>
      <c r="H76" s="28" t="n">
        <f aca="false">$G76+($G$76*1-$G76)*1/3</f>
        <v>0.17265271103287</v>
      </c>
      <c r="I76" s="28" t="n">
        <f aca="false">$G76+($G$76*1-$G76)*2/3</f>
        <v>0.17265271103287</v>
      </c>
      <c r="J76" s="28" t="n">
        <f aca="false">$G76+($G$76*1-$G76)*3/3</f>
        <v>0.17265271103287</v>
      </c>
    </row>
    <row r="79" customFormat="false" ht="17.15" hidden="false" customHeight="false" outlineLevel="0" collapsed="false">
      <c r="A79" s="1" t="s">
        <v>846</v>
      </c>
    </row>
    <row r="80" customFormat="false" ht="17.15" hidden="false" customHeight="false" outlineLevel="0" collapsed="false">
      <c r="A80" s="5" t="s">
        <v>24</v>
      </c>
      <c r="B80" s="5" t="s">
        <v>25</v>
      </c>
      <c r="C80" s="17" t="s">
        <v>394</v>
      </c>
      <c r="D80" s="17" t="s">
        <v>521</v>
      </c>
      <c r="E80" s="17" t="s">
        <v>480</v>
      </c>
      <c r="F80" s="17" t="s">
        <v>481</v>
      </c>
      <c r="G80" s="17" t="s">
        <v>482</v>
      </c>
      <c r="H80" s="17" t="s">
        <v>522</v>
      </c>
      <c r="I80" s="17" t="s">
        <v>523</v>
      </c>
      <c r="J80" s="17" t="s">
        <v>524</v>
      </c>
      <c r="K80" s="5" t="s">
        <v>357</v>
      </c>
    </row>
    <row r="81" customFormat="false" ht="17.15" hidden="false" customHeight="false" outlineLevel="0" collapsed="false">
      <c r="A81" s="6" t="s">
        <v>542</v>
      </c>
    </row>
    <row r="82" customFormat="false" ht="17.15" hidden="false" customHeight="false" outlineLevel="0" collapsed="false">
      <c r="A82" s="4" t="s">
        <v>543</v>
      </c>
      <c r="B82" s="4" t="s">
        <v>42</v>
      </c>
      <c r="D82" s="22" t="n">
        <f aca="false">cap_26</f>
        <v>3306</v>
      </c>
      <c r="E82" s="22" t="n">
        <f aca="false">D82*(1+capg27)*cap_adj</f>
        <v>3306</v>
      </c>
      <c r="F82" s="22" t="n">
        <f aca="false">E82*(1+capg28)</f>
        <v>3306</v>
      </c>
      <c r="G82" s="22" t="n">
        <f aca="false">F82*(1+capg29)</f>
        <v>3306</v>
      </c>
    </row>
    <row r="83" customFormat="false" ht="15" hidden="false" customHeight="false" outlineLevel="0" collapsed="false">
      <c r="A83" s="4" t="s">
        <v>544</v>
      </c>
      <c r="B83" s="0" t="s">
        <v>48</v>
      </c>
      <c r="D83" s="20" t="n">
        <f aca="false">a26_ship/cap_26</f>
        <v>0.8725</v>
      </c>
      <c r="E83" s="20" t="n">
        <f aca="false">MIN(0.98,ut27_B+ut_adj)</f>
        <v>0.9</v>
      </c>
      <c r="F83" s="20" t="n">
        <f aca="false">MIN(0.98,ut28_B+ut_adj)</f>
        <v>0.86</v>
      </c>
      <c r="G83" s="20" t="n">
        <f aca="false">MIN(0.98,ut29_B+ut_adj)</f>
        <v>0.87</v>
      </c>
    </row>
    <row r="84" customFormat="false" ht="17.15" hidden="false" customHeight="false" outlineLevel="0" collapsed="false">
      <c r="A84" s="4" t="s">
        <v>545</v>
      </c>
      <c r="B84" s="4" t="s">
        <v>42</v>
      </c>
      <c r="D84" s="22" t="n">
        <f aca="false">D82*D83</f>
        <v>2884.485</v>
      </c>
      <c r="E84" s="22" t="n">
        <f aca="false">E82*E83</f>
        <v>2975.4</v>
      </c>
      <c r="F84" s="22" t="n">
        <f aca="false">F82*F83</f>
        <v>2843.16</v>
      </c>
      <c r="G84" s="22" t="n">
        <f aca="false">G82*G83</f>
        <v>2876.22</v>
      </c>
    </row>
    <row r="85" customFormat="false" ht="17.15" hidden="false" customHeight="false" outlineLevel="0" collapsed="false">
      <c r="A85" s="4" t="s">
        <v>546</v>
      </c>
      <c r="B85" s="0" t="s">
        <v>89</v>
      </c>
      <c r="D85" s="22" t="n">
        <f aca="false">asp_26</f>
        <v>643.469405492234</v>
      </c>
      <c r="E85" s="22" t="n">
        <f aca="false">D85*(1+asp27_B)*(1+asp_adj)</f>
        <v>662.773487657001</v>
      </c>
      <c r="F85" s="22" t="n">
        <f aca="false">E85*(1+asp28_B)</f>
        <v>662.773487657001</v>
      </c>
      <c r="G85" s="22" t="n">
        <f aca="false">F85*(1+asp29_B)</f>
        <v>662.773487657001</v>
      </c>
    </row>
    <row r="86" customFormat="false" ht="15" hidden="false" customHeight="false" outlineLevel="0" collapsed="false">
      <c r="A86" s="4" t="s">
        <v>547</v>
      </c>
      <c r="B86" s="0" t="s">
        <v>48</v>
      </c>
      <c r="E86" s="20" t="n">
        <f aca="false">E85/D85-1</f>
        <v>0.03</v>
      </c>
      <c r="F86" s="20" t="n">
        <f aca="false">F85/E85-1</f>
        <v>0</v>
      </c>
      <c r="G86" s="20" t="n">
        <f aca="false">G85/F85-1</f>
        <v>0</v>
      </c>
    </row>
    <row r="87" customFormat="false" ht="15" hidden="false" customHeight="false" outlineLevel="0" collapsed="false">
      <c r="A87" s="4" t="s">
        <v>548</v>
      </c>
      <c r="B87" s="0" t="s">
        <v>35</v>
      </c>
      <c r="D87" s="23" t="n">
        <f aca="false">fx_26</f>
        <v>31.6</v>
      </c>
      <c r="E87" s="23" t="n">
        <f aca="false">fx_lo</f>
        <v>30.5</v>
      </c>
      <c r="F87" s="23" t="n">
        <f aca="false">fx_lo</f>
        <v>30.5</v>
      </c>
      <c r="G87" s="23" t="n">
        <f aca="false">fx_lo</f>
        <v>30.5</v>
      </c>
    </row>
    <row r="88" customFormat="false" ht="17.15" hidden="false" customHeight="false" outlineLevel="0" collapsed="false">
      <c r="A88" s="0" t="s">
        <v>549</v>
      </c>
      <c r="B88" s="0" t="s">
        <v>184</v>
      </c>
      <c r="D88" s="23" t="n">
        <f aca="false">D84*D85*D87/1000000</f>
        <v>58.65206</v>
      </c>
      <c r="E88" s="23" t="n">
        <f aca="false">E84*E85*E87/1000000</f>
        <v>60.1464951728265</v>
      </c>
      <c r="F88" s="23" t="n">
        <f aca="false">F84*F85*F87/1000000</f>
        <v>57.4733176095898</v>
      </c>
      <c r="G88" s="23" t="n">
        <f aca="false">G84*G85*G87/1000000</f>
        <v>58.141612000399</v>
      </c>
    </row>
    <row r="89" customFormat="false" ht="17.15" hidden="false" customHeight="false" outlineLevel="0" collapsed="false">
      <c r="A89" s="6" t="s">
        <v>550</v>
      </c>
    </row>
    <row r="90" customFormat="false" ht="17.15" hidden="false" customHeight="false" outlineLevel="0" collapsed="false">
      <c r="A90" s="0" t="s">
        <v>551</v>
      </c>
      <c r="B90" s="4" t="s">
        <v>42</v>
      </c>
      <c r="D90" s="22" t="n">
        <f aca="false">0</f>
        <v>0</v>
      </c>
      <c r="E90" s="22" t="n">
        <f aca="false">vcap27*vcap_adj</f>
        <v>144</v>
      </c>
      <c r="F90" s="22" t="n">
        <f aca="false">vcap28*vcap_adj</f>
        <v>360</v>
      </c>
      <c r="G90" s="22" t="n">
        <f aca="false">vcap29*vcap_adj</f>
        <v>504</v>
      </c>
    </row>
    <row r="91" customFormat="false" ht="17.15" hidden="false" customHeight="false" outlineLevel="0" collapsed="false">
      <c r="A91" s="0" t="s">
        <v>552</v>
      </c>
      <c r="B91" s="0" t="s">
        <v>48</v>
      </c>
      <c r="E91" s="20" t="n">
        <f aca="false">vut_B</f>
        <v>0.8</v>
      </c>
      <c r="F91" s="20" t="n">
        <f aca="false">vut_B</f>
        <v>0.8</v>
      </c>
      <c r="G91" s="20" t="n">
        <f aca="false">vut_B</f>
        <v>0.8</v>
      </c>
    </row>
    <row r="92" customFormat="false" ht="17.15" hidden="false" customHeight="false" outlineLevel="0" collapsed="false">
      <c r="A92" s="0" t="s">
        <v>553</v>
      </c>
      <c r="B92" s="4" t="s">
        <v>42</v>
      </c>
      <c r="D92" s="22" t="n">
        <f aca="false">0</f>
        <v>0</v>
      </c>
      <c r="E92" s="22" t="n">
        <f aca="false">E90*E91</f>
        <v>115.2</v>
      </c>
      <c r="F92" s="22" t="n">
        <f aca="false">F90*F91</f>
        <v>288</v>
      </c>
      <c r="G92" s="22" t="n">
        <f aca="false">G90*G91</f>
        <v>403.2</v>
      </c>
    </row>
    <row r="93" customFormat="false" ht="17.15" hidden="false" customHeight="false" outlineLevel="0" collapsed="false">
      <c r="A93" s="0" t="s">
        <v>554</v>
      </c>
      <c r="B93" s="0" t="s">
        <v>184</v>
      </c>
      <c r="D93" s="23" t="n">
        <f aca="false">0</f>
        <v>0</v>
      </c>
      <c r="E93" s="23" t="n">
        <f aca="false">E92*vasp*E87/1000000</f>
        <v>6.32448</v>
      </c>
      <c r="F93" s="23" t="n">
        <f aca="false">F92*vasp*F87/1000000</f>
        <v>15.8112</v>
      </c>
      <c r="G93" s="23" t="n">
        <f aca="false">G92*vasp*G87/1000000</f>
        <v>22.13568</v>
      </c>
    </row>
    <row r="94" customFormat="false" ht="17.15" hidden="false" customHeight="false" outlineLevel="0" collapsed="false">
      <c r="A94" s="4" t="s">
        <v>400</v>
      </c>
      <c r="B94" s="0" t="s">
        <v>184</v>
      </c>
      <c r="C94" s="23" t="n">
        <f aca="false">a25_rev</f>
        <v>48.591</v>
      </c>
      <c r="D94" s="23" t="n">
        <f aca="false">D88+D93</f>
        <v>58.65206</v>
      </c>
      <c r="E94" s="23" t="n">
        <f aca="false">E88+E93</f>
        <v>66.4709751728265</v>
      </c>
      <c r="F94" s="23" t="n">
        <f aca="false">F88+F93</f>
        <v>73.2845176095898</v>
      </c>
      <c r="G94" s="23" t="n">
        <f aca="false">G88+G93</f>
        <v>80.277292000399</v>
      </c>
      <c r="H94" s="29" t="n">
        <f aca="false">G94*(1+H97)</f>
        <v>86.4543369952353</v>
      </c>
      <c r="I94" s="29" t="n">
        <f aca="false">H94*(1+I97)</f>
        <v>91.5095967805366</v>
      </c>
      <c r="J94" s="29" t="n">
        <f aca="false">I94*(1+J97)</f>
        <v>95.1699806517581</v>
      </c>
      <c r="K94" s="8" t="s">
        <v>555</v>
      </c>
    </row>
    <row r="95" customFormat="false" ht="17.15" hidden="false" customHeight="false" outlineLevel="0" collapsed="false">
      <c r="A95" s="0" t="s">
        <v>556</v>
      </c>
      <c r="B95" s="0" t="s">
        <v>48</v>
      </c>
      <c r="D95" s="20" t="n">
        <f aca="false">D93/D94</f>
        <v>0</v>
      </c>
      <c r="E95" s="20" t="n">
        <f aca="false">E93/E94</f>
        <v>0.0951464903825491</v>
      </c>
      <c r="F95" s="20" t="n">
        <f aca="false">F93/F94</f>
        <v>0.215750891398799</v>
      </c>
      <c r="G95" s="20" t="n">
        <f aca="false">G93/G94</f>
        <v>0.275740242955505</v>
      </c>
    </row>
    <row r="96" customFormat="false" ht="17.15" hidden="false" customHeight="false" outlineLevel="0" collapsed="false">
      <c r="A96" s="0" t="s">
        <v>557</v>
      </c>
      <c r="B96" s="0" t="s">
        <v>48</v>
      </c>
      <c r="D96" s="20" t="n">
        <f aca="false">ai_sh26</f>
        <v>0.1</v>
      </c>
      <c r="E96" s="20" t="n">
        <f aca="false">ai_sh27_B</f>
        <v>0.2</v>
      </c>
      <c r="F96" s="20" t="n">
        <f aca="false">ai_sh27_B</f>
        <v>0.2</v>
      </c>
      <c r="G96" s="20" t="n">
        <f aca="false">ai_sh27_B</f>
        <v>0.2</v>
      </c>
    </row>
    <row r="97" customFormat="false" ht="15" hidden="false" customHeight="false" outlineLevel="0" collapsed="false">
      <c r="A97" s="4" t="s">
        <v>558</v>
      </c>
      <c r="B97" s="0" t="s">
        <v>48</v>
      </c>
      <c r="D97" s="20" t="n">
        <f aca="false">D94/C94-1</f>
        <v>0.207056039184211</v>
      </c>
      <c r="E97" s="20" t="n">
        <f aca="false">E94/D94-1</f>
        <v>0.133310154371842</v>
      </c>
      <c r="F97" s="20" t="n">
        <f aca="false">F94/E94-1</f>
        <v>0.10250402403527</v>
      </c>
      <c r="G97" s="20" t="n">
        <f aca="false">G94/F94-1</f>
        <v>0.095419532240929</v>
      </c>
      <c r="H97" s="27" t="n">
        <f aca="false">$G97+(fade_gB-$G97)*1/3</f>
        <v>0.076946354827286</v>
      </c>
      <c r="I97" s="27" t="n">
        <f aca="false">$G97+(fade_gB-$G97)*2/3</f>
        <v>0.058473177413643</v>
      </c>
      <c r="J97" s="27" t="n">
        <f aca="false">$G97+(fade_gB-$G97)*3/3</f>
        <v>0.04</v>
      </c>
    </row>
    <row r="98" customFormat="false" ht="17.15" hidden="false" customHeight="false" outlineLevel="0" collapsed="false">
      <c r="A98" s="6" t="s">
        <v>559</v>
      </c>
    </row>
    <row r="99" customFormat="false" ht="15" hidden="false" customHeight="false" outlineLevel="0" collapsed="false">
      <c r="A99" s="4" t="s">
        <v>560</v>
      </c>
      <c r="B99" s="0" t="s">
        <v>184</v>
      </c>
      <c r="D99" s="23" t="n">
        <f aca="false">da_tot26*da_sh</f>
        <v>8.658</v>
      </c>
      <c r="E99" s="23" t="n">
        <f aca="false">D99*(1+dag_27+dag_adj)</f>
        <v>8.91774</v>
      </c>
      <c r="F99" s="23" t="n">
        <f aca="false">E99*(1+dag_28+dag_adj)</f>
        <v>9.0960948</v>
      </c>
      <c r="G99" s="23" t="n">
        <f aca="false">F99*(1+dag_29+dag_adj)</f>
        <v>9.0960948</v>
      </c>
    </row>
    <row r="100" customFormat="false" ht="17.15" hidden="false" customHeight="false" outlineLevel="0" collapsed="false">
      <c r="A100" s="4" t="s">
        <v>561</v>
      </c>
      <c r="B100" s="0" t="s">
        <v>562</v>
      </c>
      <c r="D100" s="23" t="n">
        <f aca="false">(D88-a26_gp-D99)/D84*1000</f>
        <v>10.7339918911001</v>
      </c>
      <c r="E100" s="23" t="n">
        <f aca="false">D100*(1+cc_g)</f>
        <v>10.9486717289221</v>
      </c>
      <c r="F100" s="23" t="n">
        <f aca="false">E100*(1+cc_g)</f>
        <v>11.1676451635006</v>
      </c>
      <c r="G100" s="23" t="n">
        <f aca="false">F100*(1+cc_g)</f>
        <v>11.3909980667706</v>
      </c>
      <c r="K100" s="8" t="s">
        <v>563</v>
      </c>
    </row>
    <row r="101" customFormat="false" ht="17.15" hidden="false" customHeight="false" outlineLevel="0" collapsed="false">
      <c r="A101" s="4" t="s">
        <v>564</v>
      </c>
      <c r="B101" s="0" t="s">
        <v>184</v>
      </c>
      <c r="D101" s="23" t="n">
        <f aca="false">D100*D84/1000</f>
        <v>30.9620386</v>
      </c>
      <c r="E101" s="23" t="n">
        <f aca="false">E100*E84/1000</f>
        <v>32.576677862235</v>
      </c>
      <c r="F101" s="23" t="n">
        <f aca="false">F100*F84/1000</f>
        <v>31.7514020230583</v>
      </c>
      <c r="G101" s="23" t="n">
        <f aca="false">G100*G84/1000</f>
        <v>32.7630164596069</v>
      </c>
    </row>
    <row r="102" customFormat="false" ht="17.15" hidden="false" customHeight="false" outlineLevel="0" collapsed="false">
      <c r="A102" s="0" t="s">
        <v>565</v>
      </c>
      <c r="B102" s="0" t="s">
        <v>48</v>
      </c>
      <c r="E102" s="20" t="n">
        <f aca="false">vgm27_B</f>
        <v>-0.05</v>
      </c>
      <c r="F102" s="20" t="n">
        <f aca="false">vgm28_B</f>
        <v>0.12</v>
      </c>
      <c r="G102" s="20" t="n">
        <f aca="false">vgm29_B</f>
        <v>0.18</v>
      </c>
    </row>
    <row r="103" customFormat="false" ht="17.15" hidden="false" customHeight="false" outlineLevel="0" collapsed="false">
      <c r="A103" s="0" t="s">
        <v>566</v>
      </c>
      <c r="B103" s="0" t="s">
        <v>184</v>
      </c>
      <c r="D103" s="23" t="n">
        <f aca="false">0</f>
        <v>0</v>
      </c>
      <c r="E103" s="23" t="n">
        <f aca="false">E93*E102</f>
        <v>-0.316224</v>
      </c>
      <c r="F103" s="23" t="n">
        <f aca="false">F93*F102</f>
        <v>1.897344</v>
      </c>
      <c r="G103" s="23" t="n">
        <f aca="false">G93*G102</f>
        <v>3.9844224</v>
      </c>
    </row>
    <row r="104" customFormat="false" ht="15" hidden="false" customHeight="false" outlineLevel="0" collapsed="false">
      <c r="A104" s="4" t="s">
        <v>417</v>
      </c>
      <c r="B104" s="0" t="s">
        <v>184</v>
      </c>
      <c r="C104" s="23" t="n">
        <f aca="false">a25_gp</f>
        <v>13.654</v>
      </c>
      <c r="D104" s="23" t="n">
        <f aca="false">D88-D99-D101+D103</f>
        <v>19.0320214</v>
      </c>
      <c r="E104" s="23" t="n">
        <f aca="false">E88-E99-E101+E103</f>
        <v>18.3358533105916</v>
      </c>
      <c r="F104" s="23" t="n">
        <f aca="false">F88-F99-F101+F103</f>
        <v>18.5231647865314</v>
      </c>
      <c r="G104" s="23" t="n">
        <f aca="false">G88-G99-G101+G103</f>
        <v>20.266923140792</v>
      </c>
    </row>
    <row r="105" customFormat="false" ht="15" hidden="false" customHeight="false" outlineLevel="0" collapsed="false">
      <c r="A105" s="4" t="s">
        <v>420</v>
      </c>
      <c r="B105" s="0" t="s">
        <v>48</v>
      </c>
      <c r="C105" s="16" t="n">
        <f aca="false">C104/C94</f>
        <v>0.280998538824062</v>
      </c>
      <c r="D105" s="16" t="n">
        <f aca="false">D104/D94</f>
        <v>0.324490246378388</v>
      </c>
      <c r="E105" s="16" t="n">
        <f aca="false">E104/E94</f>
        <v>0.275847514842648</v>
      </c>
      <c r="F105" s="16" t="n">
        <f aca="false">F104/F94</f>
        <v>0.252756863123672</v>
      </c>
      <c r="G105" s="16" t="n">
        <f aca="false">G104/G94</f>
        <v>0.252461469934627</v>
      </c>
    </row>
    <row r="106" customFormat="false" ht="15" hidden="false" customHeight="false" outlineLevel="0" collapsed="false">
      <c r="A106" s="4" t="s">
        <v>422</v>
      </c>
      <c r="B106" s="0" t="s">
        <v>184</v>
      </c>
      <c r="C106" s="23" t="n">
        <f aca="false">a25_opx</f>
        <v>5.881</v>
      </c>
      <c r="D106" s="23" t="n">
        <f aca="false">a26_opx</f>
        <v>6.824187</v>
      </c>
      <c r="E106" s="23" t="n">
        <f aca="false">D106*(1+MAX(g_opx_min,phi*E97))</f>
        <v>7.27905371121616</v>
      </c>
      <c r="F106" s="23" t="n">
        <f aca="false">E106*(1+MAX(g_opx_min,phi*F97))</f>
        <v>7.65211985950042</v>
      </c>
      <c r="G106" s="23" t="n">
        <f aca="false">F106*(1+MAX(g_opx_min,phi*G97))</f>
        <v>8.01720070832295</v>
      </c>
    </row>
    <row r="107" customFormat="false" ht="15" hidden="false" customHeight="false" outlineLevel="0" collapsed="false">
      <c r="A107" s="4" t="s">
        <v>425</v>
      </c>
      <c r="B107" s="0" t="s">
        <v>184</v>
      </c>
      <c r="C107" s="23" t="n">
        <f aca="false">C104-C106</f>
        <v>7.773</v>
      </c>
      <c r="D107" s="23" t="n">
        <f aca="false">D104-D106</f>
        <v>12.2078344</v>
      </c>
      <c r="E107" s="23" t="n">
        <f aca="false">E104-E106</f>
        <v>11.0567995993754</v>
      </c>
      <c r="F107" s="23" t="n">
        <f aca="false">F104-F106</f>
        <v>10.871044927031</v>
      </c>
      <c r="G107" s="23" t="n">
        <f aca="false">G104-G106</f>
        <v>12.2497224324691</v>
      </c>
    </row>
    <row r="108" customFormat="false" ht="15" hidden="false" customHeight="false" outlineLevel="0" collapsed="false">
      <c r="A108" s="4" t="s">
        <v>531</v>
      </c>
      <c r="B108" s="0" t="s">
        <v>48</v>
      </c>
      <c r="C108" s="16" t="n">
        <f aca="false">C107/C94</f>
        <v>0.159967895289251</v>
      </c>
      <c r="D108" s="16" t="n">
        <f aca="false">D107/D94</f>
        <v>0.208139908470393</v>
      </c>
      <c r="E108" s="16" t="n">
        <f aca="false">E107/E94</f>
        <v>0.166340264613651</v>
      </c>
      <c r="F108" s="16" t="n">
        <f aca="false">F107/F94</f>
        <v>0.148340267243684</v>
      </c>
      <c r="G108" s="16" t="n">
        <f aca="false">G107/G94</f>
        <v>0.152592621490125</v>
      </c>
    </row>
    <row r="109" customFormat="false" ht="15" hidden="false" customHeight="false" outlineLevel="0" collapsed="false">
      <c r="A109" s="4" t="s">
        <v>428</v>
      </c>
      <c r="B109" s="0" t="s">
        <v>184</v>
      </c>
      <c r="C109" s="23" t="n">
        <f aca="false">a25_nonop</f>
        <v>1.479</v>
      </c>
      <c r="D109" s="23" t="n">
        <f aca="false">a26_nonop</f>
        <v>2.10950832169955</v>
      </c>
      <c r="E109" s="23" t="n">
        <f aca="false">nonop_f</f>
        <v>1.5</v>
      </c>
      <c r="F109" s="23" t="n">
        <f aca="false">nonop_f</f>
        <v>1.5</v>
      </c>
      <c r="G109" s="23" t="n">
        <f aca="false">nonop_f</f>
        <v>1.5</v>
      </c>
    </row>
    <row r="110" customFormat="false" ht="15" hidden="false" customHeight="false" outlineLevel="0" collapsed="false">
      <c r="A110" s="4" t="s">
        <v>430</v>
      </c>
      <c r="B110" s="0" t="s">
        <v>184</v>
      </c>
      <c r="C110" s="23" t="n">
        <f aca="false">C107+C109</f>
        <v>9.252</v>
      </c>
      <c r="D110" s="23" t="n">
        <f aca="false">D107+D109</f>
        <v>14.3173427216995</v>
      </c>
      <c r="E110" s="23" t="n">
        <f aca="false">E107+E109</f>
        <v>12.5567995993754</v>
      </c>
      <c r="F110" s="23" t="n">
        <f aca="false">F107+F109</f>
        <v>12.371044927031</v>
      </c>
      <c r="G110" s="23" t="n">
        <f aca="false">G107+G109</f>
        <v>13.7497224324691</v>
      </c>
    </row>
    <row r="111" customFormat="false" ht="15" hidden="false" customHeight="false" outlineLevel="0" collapsed="false">
      <c r="A111" s="4" t="s">
        <v>432</v>
      </c>
      <c r="B111" s="0" t="s">
        <v>184</v>
      </c>
      <c r="C111" s="23" t="n">
        <f aca="false">a25_tax</f>
        <v>1.344</v>
      </c>
      <c r="D111" s="23" t="n">
        <f aca="false">a26_tax</f>
        <v>2.0798215108046</v>
      </c>
      <c r="E111" s="23" t="n">
        <f aca="false">E110*tax</f>
        <v>1.88351993990631</v>
      </c>
      <c r="F111" s="23" t="n">
        <f aca="false">F110*tax</f>
        <v>1.85565673905465</v>
      </c>
      <c r="G111" s="23" t="n">
        <f aca="false">G110*tax</f>
        <v>2.06245836487036</v>
      </c>
    </row>
    <row r="112" customFormat="false" ht="17.15" hidden="false" customHeight="false" outlineLevel="0" collapsed="false">
      <c r="A112" s="4" t="s">
        <v>567</v>
      </c>
      <c r="B112" s="0" t="s">
        <v>184</v>
      </c>
      <c r="C112" s="23" t="n">
        <f aca="false">a25_mi</f>
        <v>0</v>
      </c>
      <c r="D112" s="23" t="n">
        <f aca="false">a26_mi</f>
        <v>0</v>
      </c>
      <c r="E112" s="23" t="n">
        <f aca="false">vmi*E103*(1-tax)</f>
        <v>-0.10751616</v>
      </c>
      <c r="F112" s="23" t="n">
        <f aca="false">vmi*F103*(1-tax)</f>
        <v>0.64509696</v>
      </c>
      <c r="G112" s="23" t="n">
        <f aca="false">vmi*G103*(1-tax)</f>
        <v>1.354703616</v>
      </c>
      <c r="K112" s="8" t="s">
        <v>568</v>
      </c>
    </row>
    <row r="113" customFormat="false" ht="15" hidden="false" customHeight="false" outlineLevel="0" collapsed="false">
      <c r="A113" s="4" t="s">
        <v>435</v>
      </c>
      <c r="B113" s="0" t="s">
        <v>184</v>
      </c>
      <c r="C113" s="23" t="n">
        <f aca="false">C110-C111-C112</f>
        <v>7.908</v>
      </c>
      <c r="D113" s="23" t="n">
        <f aca="false">D110-D111-D112</f>
        <v>12.2375212108949</v>
      </c>
      <c r="E113" s="23" t="n">
        <f aca="false">E110-E111-E112</f>
        <v>10.7807958194691</v>
      </c>
      <c r="F113" s="23" t="n">
        <f aca="false">F110-F111-F112</f>
        <v>9.87029122797637</v>
      </c>
      <c r="G113" s="23" t="n">
        <f aca="false">G110-G111-G112</f>
        <v>10.3325604515987</v>
      </c>
      <c r="H113" s="29" t="n">
        <f aca="false">H94*H117</f>
        <v>10.7566928705691</v>
      </c>
      <c r="I113" s="29" t="n">
        <f aca="false">I94*I117</f>
        <v>10.9930615404438</v>
      </c>
      <c r="J113" s="29" t="n">
        <f aca="false">J94*J117</f>
        <v>11.0244702877022</v>
      </c>
    </row>
    <row r="114" customFormat="false" ht="15" hidden="false" customHeight="false" outlineLevel="0" collapsed="false">
      <c r="A114" s="4" t="s">
        <v>569</v>
      </c>
      <c r="B114" s="4" t="s">
        <v>265</v>
      </c>
      <c r="C114" s="10" t="n">
        <f aca="false">a25_sh</f>
        <v>1.8739336492891</v>
      </c>
      <c r="D114" s="10" t="n">
        <f aca="false">a26_sh</f>
        <v>1.90613591916558</v>
      </c>
      <c r="E114" s="10" t="n">
        <f aca="false">q_sh*(1+sh_g)</f>
        <v>1.90705128205128</v>
      </c>
      <c r="F114" s="10" t="n">
        <f aca="false">E114*(1+sh_g)</f>
        <v>1.90705128205128</v>
      </c>
      <c r="G114" s="10" t="n">
        <f aca="false">F114*(1+sh_g)</f>
        <v>1.90705128205128</v>
      </c>
      <c r="H114" s="31" t="n">
        <f aca="false">G114*(1+sh_g)</f>
        <v>1.90705128205128</v>
      </c>
      <c r="I114" s="31" t="n">
        <f aca="false">H114*(1+sh_g)</f>
        <v>1.90705128205128</v>
      </c>
      <c r="J114" s="31" t="n">
        <f aca="false">I114*(1+sh_g)</f>
        <v>1.90705128205128</v>
      </c>
    </row>
    <row r="115" customFormat="false" ht="17.15" hidden="false" customHeight="false" outlineLevel="0" collapsed="false">
      <c r="A115" s="0" t="s">
        <v>442</v>
      </c>
      <c r="B115" s="0" t="s">
        <v>274</v>
      </c>
      <c r="C115" s="23" t="n">
        <f aca="false">C113/C114</f>
        <v>4.22</v>
      </c>
      <c r="D115" s="23" t="n">
        <f aca="false">D113/D114</f>
        <v>6.42006747150118</v>
      </c>
      <c r="E115" s="23" t="n">
        <f aca="false">E113/E114</f>
        <v>5.65312318600733</v>
      </c>
      <c r="F115" s="23" t="n">
        <f aca="false">F113/F114</f>
        <v>5.17568212290526</v>
      </c>
      <c r="G115" s="23" t="n">
        <f aca="false">G113/G114</f>
        <v>5.41808211915765</v>
      </c>
      <c r="H115" s="29" t="n">
        <f aca="false">H113/H114</f>
        <v>5.640484328769</v>
      </c>
      <c r="I115" s="29" t="n">
        <f aca="false">I113/I114</f>
        <v>5.76442890860247</v>
      </c>
      <c r="J115" s="29" t="n">
        <f aca="false">J113/J114</f>
        <v>5.78089870548419</v>
      </c>
    </row>
    <row r="116" customFormat="false" ht="17.15" hidden="false" customHeight="false" outlineLevel="0" collapsed="false">
      <c r="A116" s="0" t="s">
        <v>570</v>
      </c>
      <c r="B116" s="0" t="s">
        <v>48</v>
      </c>
      <c r="D116" s="20" t="n">
        <f aca="false">D115/C115-1</f>
        <v>0.521343002725398</v>
      </c>
      <c r="E116" s="20" t="n">
        <f aca="false">E115/D115-1</f>
        <v>-0.119460471233104</v>
      </c>
      <c r="F116" s="20" t="n">
        <f aca="false">F115/E115-1</f>
        <v>-0.0844561576658786</v>
      </c>
      <c r="G116" s="20" t="n">
        <f aca="false">G115/F115-1</f>
        <v>0.0468344056872498</v>
      </c>
      <c r="H116" s="27" t="n">
        <f aca="false">H115/G115-1</f>
        <v>0.0410481429997098</v>
      </c>
      <c r="I116" s="27" t="n">
        <f aca="false">I115/H115-1</f>
        <v>0.0219741023304141</v>
      </c>
      <c r="J116" s="27" t="n">
        <f aca="false">J115/I115-1</f>
        <v>0.00285714285714289</v>
      </c>
    </row>
    <row r="117" customFormat="false" ht="17.15" hidden="false" customHeight="false" outlineLevel="0" collapsed="false">
      <c r="A117" s="4" t="s">
        <v>571</v>
      </c>
      <c r="B117" s="0" t="s">
        <v>48</v>
      </c>
      <c r="C117" s="16" t="n">
        <f aca="false">C113/C94</f>
        <v>0.162746187565599</v>
      </c>
      <c r="D117" s="16" t="n">
        <f aca="false">D113/D94</f>
        <v>0.208646059676249</v>
      </c>
      <c r="E117" s="16" t="n">
        <f aca="false">E113/E94</f>
        <v>0.162188019529407</v>
      </c>
      <c r="F117" s="16" t="n">
        <f aca="false">F113/F94</f>
        <v>0.13468453569632</v>
      </c>
      <c r="G117" s="16" t="n">
        <f aca="false">G113/G94</f>
        <v>0.128710874446878</v>
      </c>
      <c r="H117" s="28" t="n">
        <f aca="false">$G117+($G$117*0.9-$G117)*1/3</f>
        <v>0.124420511965315</v>
      </c>
      <c r="I117" s="28" t="n">
        <f aca="false">$G117+($G$117*0.9-$G117)*2/3</f>
        <v>0.120130149483753</v>
      </c>
      <c r="J117" s="28" t="n">
        <f aca="false">$G117+($G$117*0.9-$G117)*3/3</f>
        <v>0.11583978700219</v>
      </c>
    </row>
    <row r="120" customFormat="false" ht="17.15" hidden="false" customHeight="false" outlineLevel="0" collapsed="false">
      <c r="A120" s="1" t="s">
        <v>847</v>
      </c>
    </row>
    <row r="121" customFormat="false" ht="17.15" hidden="false" customHeight="false" outlineLevel="0" collapsed="false">
      <c r="A121" s="5" t="s">
        <v>24</v>
      </c>
      <c r="B121" s="5" t="s">
        <v>25</v>
      </c>
      <c r="C121" s="17" t="s">
        <v>394</v>
      </c>
      <c r="D121" s="17" t="s">
        <v>521</v>
      </c>
      <c r="E121" s="17" t="s">
        <v>480</v>
      </c>
      <c r="F121" s="17" t="s">
        <v>481</v>
      </c>
      <c r="G121" s="17" t="s">
        <v>482</v>
      </c>
      <c r="H121" s="17" t="s">
        <v>522</v>
      </c>
      <c r="I121" s="17" t="s">
        <v>523</v>
      </c>
      <c r="J121" s="17" t="s">
        <v>524</v>
      </c>
      <c r="K121" s="5" t="s">
        <v>357</v>
      </c>
    </row>
    <row r="122" customFormat="false" ht="17.15" hidden="false" customHeight="false" outlineLevel="0" collapsed="false">
      <c r="A122" s="6" t="s">
        <v>542</v>
      </c>
    </row>
    <row r="123" customFormat="false" ht="17.15" hidden="false" customHeight="false" outlineLevel="0" collapsed="false">
      <c r="A123" s="4" t="s">
        <v>543</v>
      </c>
      <c r="B123" s="4" t="s">
        <v>42</v>
      </c>
      <c r="D123" s="22" t="n">
        <f aca="false">cap_26</f>
        <v>3306</v>
      </c>
      <c r="E123" s="22" t="n">
        <f aca="false">D123*(1+capg27)*cap_adj</f>
        <v>3306</v>
      </c>
      <c r="F123" s="22" t="n">
        <f aca="false">E123*(1+capg28)</f>
        <v>3306</v>
      </c>
      <c r="G123" s="22" t="n">
        <f aca="false">F123*(1+capg29)</f>
        <v>3306</v>
      </c>
    </row>
    <row r="124" customFormat="false" ht="15" hidden="false" customHeight="false" outlineLevel="0" collapsed="false">
      <c r="A124" s="4" t="s">
        <v>544</v>
      </c>
      <c r="B124" s="0" t="s">
        <v>48</v>
      </c>
      <c r="D124" s="20" t="n">
        <f aca="false">a26_ship/cap_26</f>
        <v>0.8725</v>
      </c>
      <c r="E124" s="20" t="n">
        <f aca="false">MIN(0.98,ut27_C+ut_adj)</f>
        <v>0.8</v>
      </c>
      <c r="F124" s="20" t="n">
        <f aca="false">MIN(0.98,ut28_C+ut_adj)</f>
        <v>0.74</v>
      </c>
      <c r="G124" s="20" t="n">
        <f aca="false">MIN(0.98,ut29_C+ut_adj)</f>
        <v>0.78</v>
      </c>
    </row>
    <row r="125" customFormat="false" ht="17.15" hidden="false" customHeight="false" outlineLevel="0" collapsed="false">
      <c r="A125" s="4" t="s">
        <v>545</v>
      </c>
      <c r="B125" s="4" t="s">
        <v>42</v>
      </c>
      <c r="D125" s="22" t="n">
        <f aca="false">D123*D124</f>
        <v>2884.485</v>
      </c>
      <c r="E125" s="22" t="n">
        <f aca="false">E123*E124</f>
        <v>2644.8</v>
      </c>
      <c r="F125" s="22" t="n">
        <f aca="false">F123*F124</f>
        <v>2446.44</v>
      </c>
      <c r="G125" s="22" t="n">
        <f aca="false">G123*G124</f>
        <v>2578.68</v>
      </c>
    </row>
    <row r="126" customFormat="false" ht="17.15" hidden="false" customHeight="false" outlineLevel="0" collapsed="false">
      <c r="A126" s="4" t="s">
        <v>546</v>
      </c>
      <c r="B126" s="0" t="s">
        <v>89</v>
      </c>
      <c r="D126" s="22" t="n">
        <f aca="false">asp_26</f>
        <v>643.469405492234</v>
      </c>
      <c r="E126" s="22" t="n">
        <f aca="false">D126*(1+asp27_C)*(1+asp_adj)</f>
        <v>624.165323327467</v>
      </c>
      <c r="F126" s="22" t="n">
        <f aca="false">E126*(1+asp28_C)</f>
        <v>592.957057161093</v>
      </c>
      <c r="G126" s="22" t="n">
        <f aca="false">F126*(1+asp29_C)</f>
        <v>581.097916017871</v>
      </c>
    </row>
    <row r="127" customFormat="false" ht="15" hidden="false" customHeight="false" outlineLevel="0" collapsed="false">
      <c r="A127" s="4" t="s">
        <v>547</v>
      </c>
      <c r="B127" s="0" t="s">
        <v>48</v>
      </c>
      <c r="E127" s="20" t="n">
        <f aca="false">E126/D126-1</f>
        <v>-0.03</v>
      </c>
      <c r="F127" s="20" t="n">
        <f aca="false">F126/E126-1</f>
        <v>-0.05</v>
      </c>
      <c r="G127" s="20" t="n">
        <f aca="false">G126/F126-1</f>
        <v>-0.02</v>
      </c>
    </row>
    <row r="128" customFormat="false" ht="15" hidden="false" customHeight="false" outlineLevel="0" collapsed="false">
      <c r="A128" s="4" t="s">
        <v>548</v>
      </c>
      <c r="B128" s="0" t="s">
        <v>35</v>
      </c>
      <c r="D128" s="23" t="n">
        <f aca="false">fx_26</f>
        <v>31.6</v>
      </c>
      <c r="E128" s="23" t="n">
        <f aca="false">fx_lo</f>
        <v>30.5</v>
      </c>
      <c r="F128" s="23" t="n">
        <f aca="false">fx_lo</f>
        <v>30.5</v>
      </c>
      <c r="G128" s="23" t="n">
        <f aca="false">fx_lo</f>
        <v>30.5</v>
      </c>
    </row>
    <row r="129" customFormat="false" ht="17.15" hidden="false" customHeight="false" outlineLevel="0" collapsed="false">
      <c r="A129" s="0" t="s">
        <v>549</v>
      </c>
      <c r="B129" s="0" t="s">
        <v>184</v>
      </c>
      <c r="D129" s="23" t="n">
        <f aca="false">D125*D126*D128/1000000</f>
        <v>58.65206</v>
      </c>
      <c r="E129" s="23" t="n">
        <f aca="false">E125*E126*E128/1000000</f>
        <v>50.3491696376628</v>
      </c>
      <c r="F129" s="23" t="n">
        <f aca="false">F125*F126*F128/1000000</f>
        <v>44.2443328190962</v>
      </c>
      <c r="G129" s="23" t="n">
        <f aca="false">G125*G126*G128/1000000</f>
        <v>45.7032000093474</v>
      </c>
    </row>
    <row r="130" customFormat="false" ht="17.15" hidden="false" customHeight="false" outlineLevel="0" collapsed="false">
      <c r="A130" s="6" t="s">
        <v>550</v>
      </c>
    </row>
    <row r="131" customFormat="false" ht="17.15" hidden="false" customHeight="false" outlineLevel="0" collapsed="false">
      <c r="A131" s="0" t="s">
        <v>551</v>
      </c>
      <c r="B131" s="4" t="s">
        <v>42</v>
      </c>
      <c r="D131" s="22" t="n">
        <f aca="false">0</f>
        <v>0</v>
      </c>
      <c r="E131" s="22" t="n">
        <f aca="false">vcap27*vcap_adj</f>
        <v>144</v>
      </c>
      <c r="F131" s="22" t="n">
        <f aca="false">vcap28*vcap_adj</f>
        <v>360</v>
      </c>
      <c r="G131" s="22" t="n">
        <f aca="false">vcap29*vcap_adj</f>
        <v>504</v>
      </c>
    </row>
    <row r="132" customFormat="false" ht="17.15" hidden="false" customHeight="false" outlineLevel="0" collapsed="false">
      <c r="A132" s="0" t="s">
        <v>552</v>
      </c>
      <c r="B132" s="0" t="s">
        <v>48</v>
      </c>
      <c r="E132" s="20" t="n">
        <f aca="false">vut_C</f>
        <v>0.65</v>
      </c>
      <c r="F132" s="20" t="n">
        <f aca="false">vut_C</f>
        <v>0.65</v>
      </c>
      <c r="G132" s="20" t="n">
        <f aca="false">vut_C</f>
        <v>0.65</v>
      </c>
    </row>
    <row r="133" customFormat="false" ht="17.15" hidden="false" customHeight="false" outlineLevel="0" collapsed="false">
      <c r="A133" s="0" t="s">
        <v>553</v>
      </c>
      <c r="B133" s="4" t="s">
        <v>42</v>
      </c>
      <c r="D133" s="22" t="n">
        <f aca="false">0</f>
        <v>0</v>
      </c>
      <c r="E133" s="22" t="n">
        <f aca="false">E131*E132</f>
        <v>93.6</v>
      </c>
      <c r="F133" s="22" t="n">
        <f aca="false">F131*F132</f>
        <v>234</v>
      </c>
      <c r="G133" s="22" t="n">
        <f aca="false">G131*G132</f>
        <v>327.6</v>
      </c>
    </row>
    <row r="134" customFormat="false" ht="17.15" hidden="false" customHeight="false" outlineLevel="0" collapsed="false">
      <c r="A134" s="0" t="s">
        <v>554</v>
      </c>
      <c r="B134" s="0" t="s">
        <v>184</v>
      </c>
      <c r="D134" s="23" t="n">
        <f aca="false">0</f>
        <v>0</v>
      </c>
      <c r="E134" s="23" t="n">
        <f aca="false">E133*vasp*E128/1000000</f>
        <v>5.13864</v>
      </c>
      <c r="F134" s="23" t="n">
        <f aca="false">F133*vasp*F128/1000000</f>
        <v>12.8466</v>
      </c>
      <c r="G134" s="23" t="n">
        <f aca="false">G133*vasp*G128/1000000</f>
        <v>17.98524</v>
      </c>
    </row>
    <row r="135" customFormat="false" ht="17.15" hidden="false" customHeight="false" outlineLevel="0" collapsed="false">
      <c r="A135" s="4" t="s">
        <v>400</v>
      </c>
      <c r="B135" s="0" t="s">
        <v>184</v>
      </c>
      <c r="C135" s="23" t="n">
        <f aca="false">a25_rev</f>
        <v>48.591</v>
      </c>
      <c r="D135" s="23" t="n">
        <f aca="false">D129+D134</f>
        <v>58.65206</v>
      </c>
      <c r="E135" s="23" t="n">
        <f aca="false">E129+E134</f>
        <v>55.4878096376628</v>
      </c>
      <c r="F135" s="23" t="n">
        <f aca="false">F129+F134</f>
        <v>57.0909328190962</v>
      </c>
      <c r="G135" s="23" t="n">
        <f aca="false">G129+G134</f>
        <v>63.6884400093474</v>
      </c>
      <c r="H135" s="29" t="n">
        <f aca="false">G135*(1+H138)</f>
        <v>69.0196457759266</v>
      </c>
      <c r="I135" s="29" t="n">
        <f aca="false">H135*(1+I138)</f>
        <v>72.5985763078276</v>
      </c>
      <c r="J135" s="29" t="n">
        <f aca="false">I135*(1+J138)</f>
        <v>74.0505478339842</v>
      </c>
      <c r="K135" s="8" t="s">
        <v>555</v>
      </c>
    </row>
    <row r="136" customFormat="false" ht="17.15" hidden="false" customHeight="false" outlineLevel="0" collapsed="false">
      <c r="A136" s="0" t="s">
        <v>556</v>
      </c>
      <c r="B136" s="0" t="s">
        <v>48</v>
      </c>
      <c r="D136" s="20" t="n">
        <f aca="false">D134/D135</f>
        <v>0</v>
      </c>
      <c r="E136" s="20" t="n">
        <f aca="false">E134/E135</f>
        <v>0.0926084491991212</v>
      </c>
      <c r="F136" s="20" t="n">
        <f aca="false">F134/F135</f>
        <v>0.225019970171218</v>
      </c>
      <c r="G136" s="20" t="n">
        <f aca="false">G134/G135</f>
        <v>0.28239410475999</v>
      </c>
    </row>
    <row r="137" customFormat="false" ht="17.15" hidden="false" customHeight="false" outlineLevel="0" collapsed="false">
      <c r="A137" s="0" t="s">
        <v>557</v>
      </c>
      <c r="B137" s="0" t="s">
        <v>48</v>
      </c>
      <c r="D137" s="20" t="n">
        <f aca="false">ai_sh26</f>
        <v>0.1</v>
      </c>
      <c r="E137" s="20" t="n">
        <f aca="false">ai_sh27_C</f>
        <v>0.15</v>
      </c>
      <c r="F137" s="20" t="n">
        <f aca="false">ai_sh27_C</f>
        <v>0.15</v>
      </c>
      <c r="G137" s="20" t="n">
        <f aca="false">ai_sh27_C</f>
        <v>0.15</v>
      </c>
    </row>
    <row r="138" customFormat="false" ht="15" hidden="false" customHeight="false" outlineLevel="0" collapsed="false">
      <c r="A138" s="4" t="s">
        <v>558</v>
      </c>
      <c r="B138" s="0" t="s">
        <v>48</v>
      </c>
      <c r="D138" s="20" t="n">
        <f aca="false">D135/C135-1</f>
        <v>0.207056039184211</v>
      </c>
      <c r="E138" s="20" t="n">
        <f aca="false">E135/D135-1</f>
        <v>-0.0539495179254953</v>
      </c>
      <c r="F138" s="20" t="n">
        <f aca="false">F135/E135-1</f>
        <v>0.0288914482640752</v>
      </c>
      <c r="G138" s="20" t="n">
        <f aca="false">G135/F135-1</f>
        <v>0.115561383646625</v>
      </c>
      <c r="H138" s="27" t="n">
        <f aca="false">$G138+(fade_gC-$G138)*1/3</f>
        <v>0.0837075890977501</v>
      </c>
      <c r="I138" s="27" t="n">
        <f aca="false">$G138+(fade_gC-$G138)*2/3</f>
        <v>0.0518537945488751</v>
      </c>
      <c r="J138" s="27" t="n">
        <f aca="false">$G138+(fade_gC-$G138)*3/3</f>
        <v>0.02</v>
      </c>
    </row>
    <row r="139" customFormat="false" ht="17.15" hidden="false" customHeight="false" outlineLevel="0" collapsed="false">
      <c r="A139" s="6" t="s">
        <v>559</v>
      </c>
    </row>
    <row r="140" customFormat="false" ht="15" hidden="false" customHeight="false" outlineLevel="0" collapsed="false">
      <c r="A140" s="4" t="s">
        <v>560</v>
      </c>
      <c r="B140" s="0" t="s">
        <v>184</v>
      </c>
      <c r="D140" s="23" t="n">
        <f aca="false">da_tot26*da_sh</f>
        <v>8.658</v>
      </c>
      <c r="E140" s="23" t="n">
        <f aca="false">D140*(1+dag_27+dag_adj)</f>
        <v>8.91774</v>
      </c>
      <c r="F140" s="23" t="n">
        <f aca="false">E140*(1+dag_28+dag_adj)</f>
        <v>9.0960948</v>
      </c>
      <c r="G140" s="23" t="n">
        <f aca="false">F140*(1+dag_29+dag_adj)</f>
        <v>9.0960948</v>
      </c>
    </row>
    <row r="141" customFormat="false" ht="17.15" hidden="false" customHeight="false" outlineLevel="0" collapsed="false">
      <c r="A141" s="4" t="s">
        <v>561</v>
      </c>
      <c r="B141" s="0" t="s">
        <v>562</v>
      </c>
      <c r="D141" s="23" t="n">
        <f aca="false">(D129-a26_gp-D140)/D125*1000</f>
        <v>10.7339918911001</v>
      </c>
      <c r="E141" s="23" t="n">
        <f aca="false">D141*(1+cc_g)</f>
        <v>10.9486717289221</v>
      </c>
      <c r="F141" s="23" t="n">
        <f aca="false">E141*(1+cc_g)</f>
        <v>11.1676451635006</v>
      </c>
      <c r="G141" s="23" t="n">
        <f aca="false">F141*(1+cc_g)</f>
        <v>11.3909980667706</v>
      </c>
      <c r="K141" s="8" t="s">
        <v>563</v>
      </c>
    </row>
    <row r="142" customFormat="false" ht="17.15" hidden="false" customHeight="false" outlineLevel="0" collapsed="false">
      <c r="A142" s="4" t="s">
        <v>564</v>
      </c>
      <c r="B142" s="0" t="s">
        <v>184</v>
      </c>
      <c r="D142" s="23" t="n">
        <f aca="false">D141*D125/1000</f>
        <v>30.9620386</v>
      </c>
      <c r="E142" s="23" t="n">
        <f aca="false">E141*E125/1000</f>
        <v>28.9570469886533</v>
      </c>
      <c r="F142" s="23" t="n">
        <f aca="false">F141*F125/1000</f>
        <v>27.3209738337944</v>
      </c>
      <c r="G142" s="23" t="n">
        <f aca="false">G141*G125/1000</f>
        <v>29.37373889482</v>
      </c>
    </row>
    <row r="143" customFormat="false" ht="17.15" hidden="false" customHeight="false" outlineLevel="0" collapsed="false">
      <c r="A143" s="0" t="s">
        <v>565</v>
      </c>
      <c r="B143" s="0" t="s">
        <v>48</v>
      </c>
      <c r="E143" s="20" t="n">
        <f aca="false">vgm27_C</f>
        <v>-0.2</v>
      </c>
      <c r="F143" s="20" t="n">
        <f aca="false">vgm28_C</f>
        <v>0</v>
      </c>
      <c r="G143" s="20" t="n">
        <f aca="false">vgm29_C</f>
        <v>0.05</v>
      </c>
    </row>
    <row r="144" customFormat="false" ht="17.15" hidden="false" customHeight="false" outlineLevel="0" collapsed="false">
      <c r="A144" s="0" t="s">
        <v>566</v>
      </c>
      <c r="B144" s="0" t="s">
        <v>184</v>
      </c>
      <c r="D144" s="23" t="n">
        <f aca="false">0</f>
        <v>0</v>
      </c>
      <c r="E144" s="23" t="n">
        <f aca="false">E134*E143</f>
        <v>-1.027728</v>
      </c>
      <c r="F144" s="23" t="n">
        <f aca="false">F134*F143</f>
        <v>0</v>
      </c>
      <c r="G144" s="23" t="n">
        <f aca="false">G134*G143</f>
        <v>0.899262</v>
      </c>
    </row>
    <row r="145" customFormat="false" ht="15" hidden="false" customHeight="false" outlineLevel="0" collapsed="false">
      <c r="A145" s="4" t="s">
        <v>417</v>
      </c>
      <c r="B145" s="0" t="s">
        <v>184</v>
      </c>
      <c r="C145" s="23" t="n">
        <f aca="false">a25_gp</f>
        <v>13.654</v>
      </c>
      <c r="D145" s="23" t="n">
        <f aca="false">D129-D140-D142+D144</f>
        <v>19.0320214</v>
      </c>
      <c r="E145" s="23" t="n">
        <f aca="false">E129-E140-E142+E144</f>
        <v>11.4466546490095</v>
      </c>
      <c r="F145" s="23" t="n">
        <f aca="false">F129-F140-F142+F144</f>
        <v>7.82726418530177</v>
      </c>
      <c r="G145" s="23" t="n">
        <f aca="false">G129-G140-G142+G144</f>
        <v>8.13262831452741</v>
      </c>
    </row>
    <row r="146" customFormat="false" ht="15" hidden="false" customHeight="false" outlineLevel="0" collapsed="false">
      <c r="A146" s="4" t="s">
        <v>420</v>
      </c>
      <c r="B146" s="0" t="s">
        <v>48</v>
      </c>
      <c r="C146" s="16" t="n">
        <f aca="false">C145/C135</f>
        <v>0.280998538824062</v>
      </c>
      <c r="D146" s="16" t="n">
        <f aca="false">D145/D135</f>
        <v>0.324490246378388</v>
      </c>
      <c r="E146" s="16" t="n">
        <f aca="false">E145/E135</f>
        <v>0.206291340814433</v>
      </c>
      <c r="F146" s="16" t="n">
        <f aca="false">F145/F135</f>
        <v>0.137101704225152</v>
      </c>
      <c r="G146" s="16" t="n">
        <f aca="false">G145/G135</f>
        <v>0.127693947493985</v>
      </c>
    </row>
    <row r="147" customFormat="false" ht="15" hidden="false" customHeight="false" outlineLevel="0" collapsed="false">
      <c r="A147" s="4" t="s">
        <v>422</v>
      </c>
      <c r="B147" s="0" t="s">
        <v>184</v>
      </c>
      <c r="C147" s="23" t="n">
        <f aca="false">a25_opx</f>
        <v>5.881</v>
      </c>
      <c r="D147" s="23" t="n">
        <f aca="false">a26_opx</f>
        <v>6.824187</v>
      </c>
      <c r="E147" s="23" t="n">
        <f aca="false">D147*(1+MAX(g_opx_min,phi*E138))</f>
        <v>7.02891261</v>
      </c>
      <c r="F147" s="23" t="n">
        <f aca="false">E147*(1+MAX(g_opx_min,phi*F138))</f>
        <v>7.2397799883</v>
      </c>
      <c r="G147" s="23" t="n">
        <f aca="false">F147*(1+MAX(g_opx_min,phi*G138))</f>
        <v>7.65809948467255</v>
      </c>
    </row>
    <row r="148" customFormat="false" ht="15" hidden="false" customHeight="false" outlineLevel="0" collapsed="false">
      <c r="A148" s="4" t="s">
        <v>425</v>
      </c>
      <c r="B148" s="0" t="s">
        <v>184</v>
      </c>
      <c r="C148" s="23" t="n">
        <f aca="false">C145-C147</f>
        <v>7.773</v>
      </c>
      <c r="D148" s="23" t="n">
        <f aca="false">D145-D147</f>
        <v>12.2078344</v>
      </c>
      <c r="E148" s="23" t="n">
        <f aca="false">E145-E147</f>
        <v>4.41774203900947</v>
      </c>
      <c r="F148" s="23" t="n">
        <f aca="false">F145-F147</f>
        <v>0.587484197001767</v>
      </c>
      <c r="G148" s="23" t="n">
        <f aca="false">G145-G147</f>
        <v>0.47452882985486</v>
      </c>
    </row>
    <row r="149" customFormat="false" ht="15" hidden="false" customHeight="false" outlineLevel="0" collapsed="false">
      <c r="A149" s="4" t="s">
        <v>531</v>
      </c>
      <c r="B149" s="0" t="s">
        <v>48</v>
      </c>
      <c r="C149" s="16" t="n">
        <f aca="false">C148/C135</f>
        <v>0.159967895289251</v>
      </c>
      <c r="D149" s="16" t="n">
        <f aca="false">D148/D135</f>
        <v>0.208139908470393</v>
      </c>
      <c r="E149" s="16" t="n">
        <f aca="false">E148/E135</f>
        <v>0.079616443104485</v>
      </c>
      <c r="F149" s="16" t="n">
        <f aca="false">F148/F135</f>
        <v>0.0102903240145563</v>
      </c>
      <c r="G149" s="16" t="n">
        <f aca="false">G148/G135</f>
        <v>0.00745078431478639</v>
      </c>
    </row>
    <row r="150" customFormat="false" ht="15" hidden="false" customHeight="false" outlineLevel="0" collapsed="false">
      <c r="A150" s="4" t="s">
        <v>428</v>
      </c>
      <c r="B150" s="0" t="s">
        <v>184</v>
      </c>
      <c r="C150" s="23" t="n">
        <f aca="false">a25_nonop</f>
        <v>1.479</v>
      </c>
      <c r="D150" s="23" t="n">
        <f aca="false">a26_nonop</f>
        <v>2.10950832169955</v>
      </c>
      <c r="E150" s="23" t="n">
        <f aca="false">nonop_f</f>
        <v>1.5</v>
      </c>
      <c r="F150" s="23" t="n">
        <f aca="false">nonop_f</f>
        <v>1.5</v>
      </c>
      <c r="G150" s="23" t="n">
        <f aca="false">nonop_f</f>
        <v>1.5</v>
      </c>
    </row>
    <row r="151" customFormat="false" ht="15" hidden="false" customHeight="false" outlineLevel="0" collapsed="false">
      <c r="A151" s="4" t="s">
        <v>430</v>
      </c>
      <c r="B151" s="0" t="s">
        <v>184</v>
      </c>
      <c r="C151" s="23" t="n">
        <f aca="false">C148+C150</f>
        <v>9.252</v>
      </c>
      <c r="D151" s="23" t="n">
        <f aca="false">D148+D150</f>
        <v>14.3173427216995</v>
      </c>
      <c r="E151" s="23" t="n">
        <f aca="false">E148+E150</f>
        <v>5.91774203900947</v>
      </c>
      <c r="F151" s="23" t="n">
        <f aca="false">F148+F150</f>
        <v>2.08748419700177</v>
      </c>
      <c r="G151" s="23" t="n">
        <f aca="false">G148+G150</f>
        <v>1.97452882985486</v>
      </c>
    </row>
    <row r="152" customFormat="false" ht="15" hidden="false" customHeight="false" outlineLevel="0" collapsed="false">
      <c r="A152" s="4" t="s">
        <v>432</v>
      </c>
      <c r="B152" s="0" t="s">
        <v>184</v>
      </c>
      <c r="C152" s="23" t="n">
        <f aca="false">a25_tax</f>
        <v>1.344</v>
      </c>
      <c r="D152" s="23" t="n">
        <f aca="false">a26_tax</f>
        <v>2.0798215108046</v>
      </c>
      <c r="E152" s="23" t="n">
        <f aca="false">E151*tax</f>
        <v>0.887661305851421</v>
      </c>
      <c r="F152" s="23" t="n">
        <f aca="false">F151*tax</f>
        <v>0.313122629550265</v>
      </c>
      <c r="G152" s="23" t="n">
        <f aca="false">G151*tax</f>
        <v>0.296179324478229</v>
      </c>
    </row>
    <row r="153" customFormat="false" ht="17.15" hidden="false" customHeight="false" outlineLevel="0" collapsed="false">
      <c r="A153" s="4" t="s">
        <v>567</v>
      </c>
      <c r="B153" s="0" t="s">
        <v>184</v>
      </c>
      <c r="C153" s="23" t="n">
        <f aca="false">a25_mi</f>
        <v>0</v>
      </c>
      <c r="D153" s="23" t="n">
        <f aca="false">a26_mi</f>
        <v>0</v>
      </c>
      <c r="E153" s="23" t="n">
        <f aca="false">vmi*E144*(1-tax)</f>
        <v>-0.34942752</v>
      </c>
      <c r="F153" s="23" t="n">
        <f aca="false">vmi*F144*(1-tax)</f>
        <v>0</v>
      </c>
      <c r="G153" s="23" t="n">
        <f aca="false">vmi*G144*(1-tax)</f>
        <v>0.30574908</v>
      </c>
      <c r="K153" s="8" t="s">
        <v>568</v>
      </c>
    </row>
    <row r="154" customFormat="false" ht="15" hidden="false" customHeight="false" outlineLevel="0" collapsed="false">
      <c r="A154" s="4" t="s">
        <v>435</v>
      </c>
      <c r="B154" s="0" t="s">
        <v>184</v>
      </c>
      <c r="C154" s="23" t="n">
        <f aca="false">C151-C152-C153</f>
        <v>7.908</v>
      </c>
      <c r="D154" s="23" t="n">
        <f aca="false">D151-D152-D153</f>
        <v>12.2375212108949</v>
      </c>
      <c r="E154" s="23" t="n">
        <f aca="false">E151-E152-E153</f>
        <v>5.37950825315805</v>
      </c>
      <c r="F154" s="23" t="n">
        <f aca="false">F151-F152-F153</f>
        <v>1.7743615674515</v>
      </c>
      <c r="G154" s="23" t="n">
        <f aca="false">G151-G152-G153</f>
        <v>1.37260042537663</v>
      </c>
      <c r="H154" s="29" t="n">
        <f aca="false">H135*H158</f>
        <v>1.38833099792749</v>
      </c>
      <c r="I154" s="29" t="n">
        <f aca="false">I135*I158</f>
        <v>1.35601256909844</v>
      </c>
      <c r="J154" s="29" t="n">
        <f aca="false">J135*J158</f>
        <v>1.27673798813576</v>
      </c>
    </row>
    <row r="155" customFormat="false" ht="15" hidden="false" customHeight="false" outlineLevel="0" collapsed="false">
      <c r="A155" s="4" t="s">
        <v>569</v>
      </c>
      <c r="B155" s="4" t="s">
        <v>265</v>
      </c>
      <c r="C155" s="10" t="n">
        <f aca="false">a25_sh</f>
        <v>1.8739336492891</v>
      </c>
      <c r="D155" s="10" t="n">
        <f aca="false">a26_sh</f>
        <v>1.90613591916558</v>
      </c>
      <c r="E155" s="10" t="n">
        <f aca="false">q_sh*(1+sh_g)</f>
        <v>1.90705128205128</v>
      </c>
      <c r="F155" s="10" t="n">
        <f aca="false">E155*(1+sh_g)</f>
        <v>1.90705128205128</v>
      </c>
      <c r="G155" s="10" t="n">
        <f aca="false">F155*(1+sh_g)</f>
        <v>1.90705128205128</v>
      </c>
      <c r="H155" s="31" t="n">
        <f aca="false">G155*(1+sh_g)</f>
        <v>1.90705128205128</v>
      </c>
      <c r="I155" s="31" t="n">
        <f aca="false">H155*(1+sh_g)</f>
        <v>1.90705128205128</v>
      </c>
      <c r="J155" s="31" t="n">
        <f aca="false">I155*(1+sh_g)</f>
        <v>1.90705128205128</v>
      </c>
    </row>
    <row r="156" customFormat="false" ht="17.15" hidden="false" customHeight="false" outlineLevel="0" collapsed="false">
      <c r="A156" s="0" t="s">
        <v>442</v>
      </c>
      <c r="B156" s="0" t="s">
        <v>274</v>
      </c>
      <c r="C156" s="23" t="n">
        <f aca="false">C154/C155</f>
        <v>4.22</v>
      </c>
      <c r="D156" s="23" t="n">
        <f aca="false">D154/D155</f>
        <v>6.42006747150118</v>
      </c>
      <c r="E156" s="23" t="n">
        <f aca="false">E154/E155</f>
        <v>2.82085138652994</v>
      </c>
      <c r="F156" s="23" t="n">
        <f aca="false">F154/F155</f>
        <v>0.930421527806502</v>
      </c>
      <c r="G156" s="23" t="n">
        <f aca="false">G154/G155</f>
        <v>0.719750139021023</v>
      </c>
      <c r="H156" s="29" t="n">
        <f aca="false">H154/H155</f>
        <v>0.727998775383827</v>
      </c>
      <c r="I156" s="29" t="n">
        <f aca="false">I154/I155</f>
        <v>0.711051969006241</v>
      </c>
      <c r="J156" s="29" t="n">
        <f aca="false">J154/J155</f>
        <v>0.66948277697203</v>
      </c>
    </row>
    <row r="157" customFormat="false" ht="17.15" hidden="false" customHeight="false" outlineLevel="0" collapsed="false">
      <c r="A157" s="0" t="s">
        <v>570</v>
      </c>
      <c r="B157" s="0" t="s">
        <v>48</v>
      </c>
      <c r="D157" s="20" t="n">
        <f aca="false">D156/C156-1</f>
        <v>0.521343002725398</v>
      </c>
      <c r="E157" s="20" t="n">
        <f aca="false">E156/D156-1</f>
        <v>-0.560619666529712</v>
      </c>
      <c r="F157" s="20" t="n">
        <f aca="false">F156/E156-1</f>
        <v>-0.670162869178636</v>
      </c>
      <c r="G157" s="20" t="n">
        <f aca="false">G156/F156-1</f>
        <v>-0.226425746276683</v>
      </c>
      <c r="H157" s="27" t="n">
        <f aca="false">H156/G156-1</f>
        <v>0.0114604164912333</v>
      </c>
      <c r="I157" s="27" t="n">
        <f aca="false">I156/H156-1</f>
        <v>-0.023278619347473</v>
      </c>
      <c r="J157" s="27" t="n">
        <f aca="false">J156/I156-1</f>
        <v>-0.0584615384615383</v>
      </c>
    </row>
    <row r="158" customFormat="false" ht="17.15" hidden="false" customHeight="false" outlineLevel="0" collapsed="false">
      <c r="A158" s="4" t="s">
        <v>571</v>
      </c>
      <c r="B158" s="0" t="s">
        <v>48</v>
      </c>
      <c r="C158" s="16" t="n">
        <f aca="false">C154/C135</f>
        <v>0.162746187565599</v>
      </c>
      <c r="D158" s="16" t="n">
        <f aca="false">D154/D135</f>
        <v>0.208646059676249</v>
      </c>
      <c r="E158" s="16" t="n">
        <f aca="false">E154/E135</f>
        <v>0.0969493711913737</v>
      </c>
      <c r="F158" s="16" t="n">
        <f aca="false">F154/F135</f>
        <v>0.0310795686781632</v>
      </c>
      <c r="G158" s="16" t="n">
        <f aca="false">G154/G135</f>
        <v>0.0215517984923979</v>
      </c>
      <c r="H158" s="28" t="n">
        <f aca="false">$G158+($G$158*0.8-$G158)*1/3</f>
        <v>0.0201150119262381</v>
      </c>
      <c r="I158" s="28" t="n">
        <f aca="false">$G158+($G$158*0.8-$G158)*2/3</f>
        <v>0.0186782253600782</v>
      </c>
      <c r="J158" s="28" t="n">
        <f aca="false">$G158+($G$158*0.8-$G158)*3/3</f>
        <v>0.0172414387939184</v>
      </c>
    </row>
    <row r="161" customFormat="false" ht="17.15" hidden="false" customHeight="false" outlineLevel="0" collapsed="false">
      <c r="A161" s="1" t="s">
        <v>848</v>
      </c>
    </row>
    <row r="162" customFormat="false" ht="17.15" hidden="false" customHeight="false" outlineLevel="0" collapsed="false">
      <c r="A162" s="5" t="s">
        <v>24</v>
      </c>
      <c r="B162" s="5" t="s">
        <v>25</v>
      </c>
      <c r="C162" s="17" t="s">
        <v>394</v>
      </c>
      <c r="D162" s="17" t="s">
        <v>521</v>
      </c>
      <c r="E162" s="17" t="s">
        <v>480</v>
      </c>
      <c r="F162" s="17" t="s">
        <v>481</v>
      </c>
      <c r="G162" s="17" t="s">
        <v>482</v>
      </c>
      <c r="H162" s="17" t="s">
        <v>522</v>
      </c>
      <c r="I162" s="17" t="s">
        <v>523</v>
      </c>
      <c r="J162" s="17" t="s">
        <v>524</v>
      </c>
      <c r="K162" s="5" t="s">
        <v>357</v>
      </c>
    </row>
    <row r="163" customFormat="false" ht="17.15" hidden="false" customHeight="false" outlineLevel="0" collapsed="false">
      <c r="A163" s="6" t="s">
        <v>542</v>
      </c>
    </row>
    <row r="164" customFormat="false" ht="17.15" hidden="false" customHeight="false" outlineLevel="0" collapsed="false">
      <c r="A164" s="4" t="s">
        <v>543</v>
      </c>
      <c r="B164" s="4" t="s">
        <v>42</v>
      </c>
      <c r="D164" s="22" t="n">
        <f aca="false">cap_26</f>
        <v>3306</v>
      </c>
      <c r="E164" s="22" t="n">
        <f aca="false">D164*(1+capg27)*cap_adj</f>
        <v>3306</v>
      </c>
      <c r="F164" s="22" t="n">
        <f aca="false">E164*(1+capg28)</f>
        <v>3306</v>
      </c>
      <c r="G164" s="22" t="n">
        <f aca="false">F164*(1+capg29)</f>
        <v>3306</v>
      </c>
    </row>
    <row r="165" customFormat="false" ht="15" hidden="false" customHeight="false" outlineLevel="0" collapsed="false">
      <c r="A165" s="4" t="s">
        <v>544</v>
      </c>
      <c r="B165" s="0" t="s">
        <v>48</v>
      </c>
      <c r="D165" s="20" t="n">
        <f aca="false">a26_ship/cap_26</f>
        <v>0.8725</v>
      </c>
      <c r="E165" s="20" t="n">
        <f aca="false">MIN(0.98,ut27_A+ut_adj)</f>
        <v>0.95</v>
      </c>
      <c r="F165" s="20" t="n">
        <f aca="false">MIN(0.98,ut28_A+ut_adj)</f>
        <v>0.94</v>
      </c>
      <c r="G165" s="20" t="n">
        <f aca="false">MIN(0.98,ut29_A+ut_adj)</f>
        <v>0.93</v>
      </c>
    </row>
    <row r="166" customFormat="false" ht="17.15" hidden="false" customHeight="false" outlineLevel="0" collapsed="false">
      <c r="A166" s="4" t="s">
        <v>545</v>
      </c>
      <c r="B166" s="4" t="s">
        <v>42</v>
      </c>
      <c r="D166" s="22" t="n">
        <f aca="false">D164*D165</f>
        <v>2884.485</v>
      </c>
      <c r="E166" s="22" t="n">
        <f aca="false">E164*E165</f>
        <v>3140.7</v>
      </c>
      <c r="F166" s="22" t="n">
        <f aca="false">F164*F165</f>
        <v>3107.64</v>
      </c>
      <c r="G166" s="22" t="n">
        <f aca="false">G164*G165</f>
        <v>3074.58</v>
      </c>
    </row>
    <row r="167" customFormat="false" ht="17.15" hidden="false" customHeight="false" outlineLevel="0" collapsed="false">
      <c r="A167" s="4" t="s">
        <v>546</v>
      </c>
      <c r="B167" s="0" t="s">
        <v>89</v>
      </c>
      <c r="D167" s="22" t="n">
        <f aca="false">asp_26</f>
        <v>643.469405492234</v>
      </c>
      <c r="E167" s="22" t="n">
        <f aca="false">D167*(1+asp27_A)*(1+asp_adj)</f>
        <v>682.077569821768</v>
      </c>
      <c r="F167" s="22" t="n">
        <f aca="false">E167*(1+asp28_A)</f>
        <v>695.719121218203</v>
      </c>
      <c r="G167" s="22" t="n">
        <f aca="false">F167*(1+asp29_A)</f>
        <v>702.676312430385</v>
      </c>
    </row>
    <row r="168" customFormat="false" ht="15" hidden="false" customHeight="false" outlineLevel="0" collapsed="false">
      <c r="A168" s="4" t="s">
        <v>547</v>
      </c>
      <c r="B168" s="0" t="s">
        <v>48</v>
      </c>
      <c r="E168" s="20" t="n">
        <f aca="false">E167/D167-1</f>
        <v>0.0600000000000001</v>
      </c>
      <c r="F168" s="20" t="n">
        <f aca="false">F167/E167-1</f>
        <v>0.02</v>
      </c>
      <c r="G168" s="20" t="n">
        <f aca="false">G167/F167-1</f>
        <v>0.01</v>
      </c>
    </row>
    <row r="169" customFormat="false" ht="15" hidden="false" customHeight="false" outlineLevel="0" collapsed="false">
      <c r="A169" s="4" t="s">
        <v>548</v>
      </c>
      <c r="B169" s="0" t="s">
        <v>35</v>
      </c>
      <c r="D169" s="23" t="n">
        <f aca="false">fx_26</f>
        <v>31.6</v>
      </c>
      <c r="E169" s="23" t="n">
        <f aca="false">fx_hi</f>
        <v>33</v>
      </c>
      <c r="F169" s="23" t="n">
        <f aca="false">fx_hi</f>
        <v>33</v>
      </c>
      <c r="G169" s="23" t="n">
        <f aca="false">fx_hi</f>
        <v>33</v>
      </c>
    </row>
    <row r="170" customFormat="false" ht="17.15" hidden="false" customHeight="false" outlineLevel="0" collapsed="false">
      <c r="A170" s="0" t="s">
        <v>549</v>
      </c>
      <c r="B170" s="0" t="s">
        <v>184</v>
      </c>
      <c r="D170" s="23" t="n">
        <f aca="false">D166*D167*D169/1000000</f>
        <v>58.65206</v>
      </c>
      <c r="E170" s="23" t="n">
        <f aca="false">E166*E167*E169/1000000</f>
        <v>70.6926337767945</v>
      </c>
      <c r="F170" s="23" t="n">
        <f aca="false">F166*F167*F169/1000000</f>
        <v>71.3474708054637</v>
      </c>
      <c r="G170" s="23" t="n">
        <f aca="false">G166*G167*G169/1000000</f>
        <v>71.2943397101831</v>
      </c>
    </row>
    <row r="171" customFormat="false" ht="17.15" hidden="false" customHeight="false" outlineLevel="0" collapsed="false">
      <c r="A171" s="6" t="s">
        <v>550</v>
      </c>
    </row>
    <row r="172" customFormat="false" ht="17.15" hidden="false" customHeight="false" outlineLevel="0" collapsed="false">
      <c r="A172" s="0" t="s">
        <v>551</v>
      </c>
      <c r="B172" s="4" t="s">
        <v>42</v>
      </c>
      <c r="D172" s="22" t="n">
        <f aca="false">0</f>
        <v>0</v>
      </c>
      <c r="E172" s="22" t="n">
        <f aca="false">vcap27*vcap_adj</f>
        <v>144</v>
      </c>
      <c r="F172" s="22" t="n">
        <f aca="false">vcap28*vcap_adj</f>
        <v>360</v>
      </c>
      <c r="G172" s="22" t="n">
        <f aca="false">vcap29*vcap_adj</f>
        <v>504</v>
      </c>
    </row>
    <row r="173" customFormat="false" ht="17.15" hidden="false" customHeight="false" outlineLevel="0" collapsed="false">
      <c r="A173" s="0" t="s">
        <v>552</v>
      </c>
      <c r="B173" s="0" t="s">
        <v>48</v>
      </c>
      <c r="E173" s="20" t="n">
        <f aca="false">vut_A</f>
        <v>0.9</v>
      </c>
      <c r="F173" s="20" t="n">
        <f aca="false">vut_A</f>
        <v>0.9</v>
      </c>
      <c r="G173" s="20" t="n">
        <f aca="false">vut_A</f>
        <v>0.9</v>
      </c>
    </row>
    <row r="174" customFormat="false" ht="17.15" hidden="false" customHeight="false" outlineLevel="0" collapsed="false">
      <c r="A174" s="0" t="s">
        <v>553</v>
      </c>
      <c r="B174" s="4" t="s">
        <v>42</v>
      </c>
      <c r="D174" s="22" t="n">
        <f aca="false">0</f>
        <v>0</v>
      </c>
      <c r="E174" s="22" t="n">
        <f aca="false">E172*E173</f>
        <v>129.6</v>
      </c>
      <c r="F174" s="22" t="n">
        <f aca="false">F172*F173</f>
        <v>324</v>
      </c>
      <c r="G174" s="22" t="n">
        <f aca="false">G172*G173</f>
        <v>453.6</v>
      </c>
    </row>
    <row r="175" customFormat="false" ht="17.15" hidden="false" customHeight="false" outlineLevel="0" collapsed="false">
      <c r="A175" s="0" t="s">
        <v>554</v>
      </c>
      <c r="B175" s="0" t="s">
        <v>184</v>
      </c>
      <c r="D175" s="23" t="n">
        <f aca="false">0</f>
        <v>0</v>
      </c>
      <c r="E175" s="23" t="n">
        <f aca="false">E174*vasp*E169/1000000</f>
        <v>7.69824</v>
      </c>
      <c r="F175" s="23" t="n">
        <f aca="false">F174*vasp*F169/1000000</f>
        <v>19.2456</v>
      </c>
      <c r="G175" s="23" t="n">
        <f aca="false">G174*vasp*G169/1000000</f>
        <v>26.94384</v>
      </c>
    </row>
    <row r="176" customFormat="false" ht="17.15" hidden="false" customHeight="false" outlineLevel="0" collapsed="false">
      <c r="A176" s="4" t="s">
        <v>400</v>
      </c>
      <c r="B176" s="0" t="s">
        <v>184</v>
      </c>
      <c r="C176" s="23" t="n">
        <f aca="false">a25_rev</f>
        <v>48.591</v>
      </c>
      <c r="D176" s="23" t="n">
        <f aca="false">D170+D175</f>
        <v>58.65206</v>
      </c>
      <c r="E176" s="23" t="n">
        <f aca="false">E170+E175</f>
        <v>78.3908737767945</v>
      </c>
      <c r="F176" s="23" t="n">
        <f aca="false">F170+F175</f>
        <v>90.5930708054637</v>
      </c>
      <c r="G176" s="23" t="n">
        <f aca="false">G170+G175</f>
        <v>98.2381797101831</v>
      </c>
      <c r="H176" s="29" t="n">
        <f aca="false">G176*(1+H179)</f>
        <v>105.729794131632</v>
      </c>
      <c r="I176" s="29" t="n">
        <f aca="false">H176*(1+I179)</f>
        <v>112.933149312204</v>
      </c>
      <c r="J176" s="29" t="n">
        <f aca="false">I176*(1+J179)</f>
        <v>119.709138270936</v>
      </c>
      <c r="K176" s="8" t="s">
        <v>555</v>
      </c>
    </row>
    <row r="177" customFormat="false" ht="17.15" hidden="false" customHeight="false" outlineLevel="0" collapsed="false">
      <c r="A177" s="0" t="s">
        <v>556</v>
      </c>
      <c r="B177" s="0" t="s">
        <v>48</v>
      </c>
      <c r="D177" s="20" t="n">
        <f aca="false">D175/D176</f>
        <v>0</v>
      </c>
      <c r="E177" s="20" t="n">
        <f aca="false">E175/E176</f>
        <v>0.0982032681753174</v>
      </c>
      <c r="F177" s="20" t="n">
        <f aca="false">F175/F176</f>
        <v>0.212440088727396</v>
      </c>
      <c r="G177" s="20" t="n">
        <f aca="false">G175/G176</f>
        <v>0.274270554274196</v>
      </c>
    </row>
    <row r="178" customFormat="false" ht="17.15" hidden="false" customHeight="false" outlineLevel="0" collapsed="false">
      <c r="A178" s="0" t="s">
        <v>557</v>
      </c>
      <c r="B178" s="0" t="s">
        <v>48</v>
      </c>
      <c r="D178" s="20" t="n">
        <f aca="false">ai_sh26</f>
        <v>0.1</v>
      </c>
      <c r="E178" s="20" t="n">
        <f aca="false">ai_sh27_A</f>
        <v>0.25</v>
      </c>
      <c r="F178" s="20" t="n">
        <f aca="false">ai_sh27_A</f>
        <v>0.25</v>
      </c>
      <c r="G178" s="20" t="n">
        <f aca="false">ai_sh27_A</f>
        <v>0.25</v>
      </c>
    </row>
    <row r="179" customFormat="false" ht="15" hidden="false" customHeight="false" outlineLevel="0" collapsed="false">
      <c r="A179" s="4" t="s">
        <v>558</v>
      </c>
      <c r="B179" s="0" t="s">
        <v>48</v>
      </c>
      <c r="D179" s="20" t="n">
        <f aca="false">D176/C176-1</f>
        <v>0.207056039184211</v>
      </c>
      <c r="E179" s="20" t="n">
        <f aca="false">E176/D176-1</f>
        <v>0.336540844035051</v>
      </c>
      <c r="F179" s="20" t="n">
        <f aca="false">F176/E176-1</f>
        <v>0.155658387778826</v>
      </c>
      <c r="G179" s="20" t="n">
        <f aca="false">G176/F176-1</f>
        <v>0.0843895547059685</v>
      </c>
      <c r="H179" s="27" t="n">
        <f aca="false">$G179+(fade_gA-$G179)*1/3</f>
        <v>0.0762597031373124</v>
      </c>
      <c r="I179" s="27" t="n">
        <f aca="false">$G179+(fade_gA-$G179)*2/3</f>
        <v>0.0681298515686562</v>
      </c>
      <c r="J179" s="27" t="n">
        <f aca="false">$G179+(fade_gA-$G179)*3/3</f>
        <v>0.06</v>
      </c>
    </row>
    <row r="180" customFormat="false" ht="17.15" hidden="false" customHeight="false" outlineLevel="0" collapsed="false">
      <c r="A180" s="6" t="s">
        <v>559</v>
      </c>
    </row>
    <row r="181" customFormat="false" ht="15" hidden="false" customHeight="false" outlineLevel="0" collapsed="false">
      <c r="A181" s="4" t="s">
        <v>560</v>
      </c>
      <c r="B181" s="0" t="s">
        <v>184</v>
      </c>
      <c r="D181" s="23" t="n">
        <f aca="false">da_tot26*da_sh</f>
        <v>8.658</v>
      </c>
      <c r="E181" s="23" t="n">
        <f aca="false">D181*(1+dag_27+dag_adj)</f>
        <v>8.91774</v>
      </c>
      <c r="F181" s="23" t="n">
        <f aca="false">E181*(1+dag_28+dag_adj)</f>
        <v>9.0960948</v>
      </c>
      <c r="G181" s="23" t="n">
        <f aca="false">F181*(1+dag_29+dag_adj)</f>
        <v>9.0960948</v>
      </c>
    </row>
    <row r="182" customFormat="false" ht="17.15" hidden="false" customHeight="false" outlineLevel="0" collapsed="false">
      <c r="A182" s="4" t="s">
        <v>561</v>
      </c>
      <c r="B182" s="0" t="s">
        <v>562</v>
      </c>
      <c r="D182" s="23" t="n">
        <f aca="false">(D170-a26_gp-D181)/D166*1000</f>
        <v>10.7339918911001</v>
      </c>
      <c r="E182" s="23" t="n">
        <f aca="false">D182*(1+cc_g)</f>
        <v>10.9486717289221</v>
      </c>
      <c r="F182" s="23" t="n">
        <f aca="false">E182*(1+cc_g)</f>
        <v>11.1676451635006</v>
      </c>
      <c r="G182" s="23" t="n">
        <f aca="false">F182*(1+cc_g)</f>
        <v>11.3909980667706</v>
      </c>
      <c r="K182" s="8" t="s">
        <v>563</v>
      </c>
    </row>
    <row r="183" customFormat="false" ht="17.15" hidden="false" customHeight="false" outlineLevel="0" collapsed="false">
      <c r="A183" s="4" t="s">
        <v>564</v>
      </c>
      <c r="B183" s="0" t="s">
        <v>184</v>
      </c>
      <c r="D183" s="23" t="n">
        <f aca="false">D182*D166/1000</f>
        <v>30.9620386</v>
      </c>
      <c r="E183" s="23" t="n">
        <f aca="false">E182*E166/1000</f>
        <v>34.3864932990258</v>
      </c>
      <c r="F183" s="23" t="n">
        <f aca="false">F182*F166/1000</f>
        <v>34.705020815901</v>
      </c>
      <c r="G183" s="23" t="n">
        <f aca="false">G182*G166/1000</f>
        <v>35.0225348361316</v>
      </c>
    </row>
    <row r="184" customFormat="false" ht="17.15" hidden="false" customHeight="false" outlineLevel="0" collapsed="false">
      <c r="A184" s="0" t="s">
        <v>565</v>
      </c>
      <c r="B184" s="0" t="s">
        <v>48</v>
      </c>
      <c r="E184" s="20" t="n">
        <f aca="false">vgm27_A</f>
        <v>0.05</v>
      </c>
      <c r="F184" s="20" t="n">
        <f aca="false">vgm28_A</f>
        <v>0.2</v>
      </c>
      <c r="G184" s="20" t="n">
        <f aca="false">vgm29_A</f>
        <v>0.25</v>
      </c>
    </row>
    <row r="185" customFormat="false" ht="17.15" hidden="false" customHeight="false" outlineLevel="0" collapsed="false">
      <c r="A185" s="0" t="s">
        <v>566</v>
      </c>
      <c r="B185" s="0" t="s">
        <v>184</v>
      </c>
      <c r="D185" s="23" t="n">
        <f aca="false">0</f>
        <v>0</v>
      </c>
      <c r="E185" s="23" t="n">
        <f aca="false">E175*E184</f>
        <v>0.384912</v>
      </c>
      <c r="F185" s="23" t="n">
        <f aca="false">F175*F184</f>
        <v>3.84912</v>
      </c>
      <c r="G185" s="23" t="n">
        <f aca="false">G175*G184</f>
        <v>6.73596</v>
      </c>
    </row>
    <row r="186" customFormat="false" ht="15" hidden="false" customHeight="false" outlineLevel="0" collapsed="false">
      <c r="A186" s="4" t="s">
        <v>417</v>
      </c>
      <c r="B186" s="0" t="s">
        <v>184</v>
      </c>
      <c r="C186" s="23" t="n">
        <f aca="false">a25_gp</f>
        <v>13.654</v>
      </c>
      <c r="D186" s="23" t="n">
        <f aca="false">D170-D181-D183+D185</f>
        <v>19.0320214</v>
      </c>
      <c r="E186" s="23" t="n">
        <f aca="false">E170-E181-E183+E185</f>
        <v>27.7733124777687</v>
      </c>
      <c r="F186" s="23" t="n">
        <f aca="false">F170-F181-F183+F185</f>
        <v>31.3954751895627</v>
      </c>
      <c r="G186" s="23" t="n">
        <f aca="false">G170-G181-G183+G185</f>
        <v>33.9116700740515</v>
      </c>
    </row>
    <row r="187" customFormat="false" ht="15" hidden="false" customHeight="false" outlineLevel="0" collapsed="false">
      <c r="A187" s="4" t="s">
        <v>420</v>
      </c>
      <c r="B187" s="0" t="s">
        <v>48</v>
      </c>
      <c r="C187" s="16" t="n">
        <f aca="false">C186/C176</f>
        <v>0.280998538824062</v>
      </c>
      <c r="D187" s="16" t="n">
        <f aca="false">D186/D176</f>
        <v>0.324490246378388</v>
      </c>
      <c r="E187" s="16" t="n">
        <f aca="false">E186/E176</f>
        <v>0.354292676426197</v>
      </c>
      <c r="F187" s="16" t="n">
        <f aca="false">F186/F176</f>
        <v>0.346554928654315</v>
      </c>
      <c r="G187" s="16" t="n">
        <f aca="false">G186/G176</f>
        <v>0.345198477558276</v>
      </c>
    </row>
    <row r="188" customFormat="false" ht="15" hidden="false" customHeight="false" outlineLevel="0" collapsed="false">
      <c r="A188" s="4" t="s">
        <v>422</v>
      </c>
      <c r="B188" s="0" t="s">
        <v>184</v>
      </c>
      <c r="C188" s="23" t="n">
        <f aca="false">a25_opx</f>
        <v>5.881</v>
      </c>
      <c r="D188" s="23" t="n">
        <f aca="false">a26_opx</f>
        <v>6.824187</v>
      </c>
      <c r="E188" s="23" t="n">
        <f aca="false">D188*(1+MAX(g_opx_min,phi*E179))</f>
        <v>7.97249582641651</v>
      </c>
      <c r="F188" s="23" t="n">
        <f aca="false">E188*(1+MAX(g_opx_min,phi*F179))</f>
        <v>8.59298874987322</v>
      </c>
      <c r="G188" s="23" t="n">
        <f aca="false">F188*(1+MAX(g_opx_min,phi*G179))</f>
        <v>8.95556799697082</v>
      </c>
    </row>
    <row r="189" customFormat="false" ht="15" hidden="false" customHeight="false" outlineLevel="0" collapsed="false">
      <c r="A189" s="4" t="s">
        <v>425</v>
      </c>
      <c r="B189" s="0" t="s">
        <v>184</v>
      </c>
      <c r="C189" s="23" t="n">
        <f aca="false">C186-C188</f>
        <v>7.773</v>
      </c>
      <c r="D189" s="23" t="n">
        <f aca="false">D186-D188</f>
        <v>12.2078344</v>
      </c>
      <c r="E189" s="23" t="n">
        <f aca="false">E186-E188</f>
        <v>19.8008166513522</v>
      </c>
      <c r="F189" s="23" t="n">
        <f aca="false">F186-F188</f>
        <v>22.8024864396895</v>
      </c>
      <c r="G189" s="23" t="n">
        <f aca="false">G186-G188</f>
        <v>24.9561020770807</v>
      </c>
    </row>
    <row r="190" customFormat="false" ht="15" hidden="false" customHeight="false" outlineLevel="0" collapsed="false">
      <c r="A190" s="4" t="s">
        <v>531</v>
      </c>
      <c r="B190" s="0" t="s">
        <v>48</v>
      </c>
      <c r="C190" s="16" t="n">
        <f aca="false">C189/C176</f>
        <v>0.159967895289251</v>
      </c>
      <c r="D190" s="16" t="n">
        <f aca="false">D189/D176</f>
        <v>0.208139908470393</v>
      </c>
      <c r="E190" s="16" t="n">
        <f aca="false">E189/E176</f>
        <v>0.252590839945627</v>
      </c>
      <c r="F190" s="16" t="n">
        <f aca="false">F189/F176</f>
        <v>0.251702323775455</v>
      </c>
      <c r="G190" s="16" t="n">
        <f aca="false">G189/G176</f>
        <v>0.254036690731697</v>
      </c>
    </row>
    <row r="191" customFormat="false" ht="15" hidden="false" customHeight="false" outlineLevel="0" collapsed="false">
      <c r="A191" s="4" t="s">
        <v>428</v>
      </c>
      <c r="B191" s="0" t="s">
        <v>184</v>
      </c>
      <c r="C191" s="23" t="n">
        <f aca="false">a25_nonop</f>
        <v>1.479</v>
      </c>
      <c r="D191" s="23" t="n">
        <f aca="false">a26_nonop</f>
        <v>2.10950832169955</v>
      </c>
      <c r="E191" s="23" t="n">
        <f aca="false">nonop_f</f>
        <v>1.5</v>
      </c>
      <c r="F191" s="23" t="n">
        <f aca="false">nonop_f</f>
        <v>1.5</v>
      </c>
      <c r="G191" s="23" t="n">
        <f aca="false">nonop_f</f>
        <v>1.5</v>
      </c>
    </row>
    <row r="192" customFormat="false" ht="15" hidden="false" customHeight="false" outlineLevel="0" collapsed="false">
      <c r="A192" s="4" t="s">
        <v>430</v>
      </c>
      <c r="B192" s="0" t="s">
        <v>184</v>
      </c>
      <c r="C192" s="23" t="n">
        <f aca="false">C189+C191</f>
        <v>9.252</v>
      </c>
      <c r="D192" s="23" t="n">
        <f aca="false">D189+D191</f>
        <v>14.3173427216995</v>
      </c>
      <c r="E192" s="23" t="n">
        <f aca="false">E189+E191</f>
        <v>21.3008166513522</v>
      </c>
      <c r="F192" s="23" t="n">
        <f aca="false">F189+F191</f>
        <v>24.3024864396895</v>
      </c>
      <c r="G192" s="23" t="n">
        <f aca="false">G189+G191</f>
        <v>26.4561020770807</v>
      </c>
    </row>
    <row r="193" customFormat="false" ht="15" hidden="false" customHeight="false" outlineLevel="0" collapsed="false">
      <c r="A193" s="4" t="s">
        <v>432</v>
      </c>
      <c r="B193" s="0" t="s">
        <v>184</v>
      </c>
      <c r="C193" s="23" t="n">
        <f aca="false">a25_tax</f>
        <v>1.344</v>
      </c>
      <c r="D193" s="23" t="n">
        <f aca="false">a26_tax</f>
        <v>2.0798215108046</v>
      </c>
      <c r="E193" s="23" t="n">
        <f aca="false">E192*tax</f>
        <v>3.19512249770282</v>
      </c>
      <c r="F193" s="23" t="n">
        <f aca="false">F192*tax</f>
        <v>3.64537296595343</v>
      </c>
      <c r="G193" s="23" t="n">
        <f aca="false">G192*tax</f>
        <v>3.9684153115621</v>
      </c>
    </row>
    <row r="194" customFormat="false" ht="17.15" hidden="false" customHeight="false" outlineLevel="0" collapsed="false">
      <c r="A194" s="4" t="s">
        <v>567</v>
      </c>
      <c r="B194" s="0" t="s">
        <v>184</v>
      </c>
      <c r="C194" s="23" t="n">
        <f aca="false">a25_mi</f>
        <v>0</v>
      </c>
      <c r="D194" s="23" t="n">
        <f aca="false">a26_mi</f>
        <v>0</v>
      </c>
      <c r="E194" s="23" t="n">
        <f aca="false">vmi*E185*(1-tax)</f>
        <v>0.13087008</v>
      </c>
      <c r="F194" s="23" t="n">
        <f aca="false">vmi*F185*(1-tax)</f>
        <v>1.3087008</v>
      </c>
      <c r="G194" s="23" t="n">
        <f aca="false">vmi*G185*(1-tax)</f>
        <v>2.2902264</v>
      </c>
      <c r="K194" s="8" t="s">
        <v>568</v>
      </c>
    </row>
    <row r="195" customFormat="false" ht="15" hidden="false" customHeight="false" outlineLevel="0" collapsed="false">
      <c r="A195" s="4" t="s">
        <v>435</v>
      </c>
      <c r="B195" s="0" t="s">
        <v>184</v>
      </c>
      <c r="C195" s="23" t="n">
        <f aca="false">C192-C193-C194</f>
        <v>7.908</v>
      </c>
      <c r="D195" s="23" t="n">
        <f aca="false">D192-D193-D194</f>
        <v>12.2375212108949</v>
      </c>
      <c r="E195" s="23" t="n">
        <f aca="false">E192-E193-E194</f>
        <v>17.9748240736493</v>
      </c>
      <c r="F195" s="23" t="n">
        <f aca="false">F192-F193-F194</f>
        <v>19.3484126737361</v>
      </c>
      <c r="G195" s="23" t="n">
        <f aca="false">G192-G193-G194</f>
        <v>20.1974603655186</v>
      </c>
      <c r="H195" s="29" t="n">
        <f aca="false">H176*H199</f>
        <v>21.7377126971207</v>
      </c>
      <c r="I195" s="29" t="n">
        <f aca="false">I176*I199</f>
        <v>23.2186998366176</v>
      </c>
      <c r="J195" s="29" t="n">
        <f aca="false">J176*J199</f>
        <v>24.6118218268146</v>
      </c>
    </row>
    <row r="196" customFormat="false" ht="15" hidden="false" customHeight="false" outlineLevel="0" collapsed="false">
      <c r="A196" s="4" t="s">
        <v>569</v>
      </c>
      <c r="B196" s="4" t="s">
        <v>265</v>
      </c>
      <c r="C196" s="10" t="n">
        <f aca="false">a25_sh</f>
        <v>1.8739336492891</v>
      </c>
      <c r="D196" s="10" t="n">
        <f aca="false">a26_sh</f>
        <v>1.90613591916558</v>
      </c>
      <c r="E196" s="10" t="n">
        <f aca="false">q_sh*(1+sh_g)</f>
        <v>1.90705128205128</v>
      </c>
      <c r="F196" s="10" t="n">
        <f aca="false">E196*(1+sh_g)</f>
        <v>1.90705128205128</v>
      </c>
      <c r="G196" s="10" t="n">
        <f aca="false">F196*(1+sh_g)</f>
        <v>1.90705128205128</v>
      </c>
      <c r="H196" s="31" t="n">
        <f aca="false">G196*(1+sh_g)</f>
        <v>1.90705128205128</v>
      </c>
      <c r="I196" s="31" t="n">
        <f aca="false">H196*(1+sh_g)</f>
        <v>1.90705128205128</v>
      </c>
      <c r="J196" s="31" t="n">
        <f aca="false">I196*(1+sh_g)</f>
        <v>1.90705128205128</v>
      </c>
    </row>
    <row r="197" customFormat="false" ht="17.15" hidden="false" customHeight="false" outlineLevel="0" collapsed="false">
      <c r="A197" s="0" t="s">
        <v>442</v>
      </c>
      <c r="B197" s="0" t="s">
        <v>274</v>
      </c>
      <c r="C197" s="23" t="n">
        <f aca="false">C195/C196</f>
        <v>4.22</v>
      </c>
      <c r="D197" s="23" t="n">
        <f aca="false">D195/D196</f>
        <v>6.42006747150118</v>
      </c>
      <c r="E197" s="23" t="n">
        <f aca="false">E195/E196</f>
        <v>9.42545396803125</v>
      </c>
      <c r="F197" s="23" t="n">
        <f aca="false">F195/F196</f>
        <v>10.1457222759759</v>
      </c>
      <c r="G197" s="23" t="n">
        <f aca="false">G195/G196</f>
        <v>10.5909372000702</v>
      </c>
      <c r="H197" s="29" t="n">
        <f aca="false">H195/H196</f>
        <v>11.3985989268935</v>
      </c>
      <c r="I197" s="29" t="n">
        <f aca="false">I195/I196</f>
        <v>12.1751837798734</v>
      </c>
      <c r="J197" s="29" t="n">
        <f aca="false">J195/J196</f>
        <v>12.9056948066658</v>
      </c>
    </row>
    <row r="198" customFormat="false" ht="17.15" hidden="false" customHeight="false" outlineLevel="0" collapsed="false">
      <c r="A198" s="0" t="s">
        <v>570</v>
      </c>
      <c r="B198" s="0" t="s">
        <v>48</v>
      </c>
      <c r="D198" s="20" t="n">
        <f aca="false">D197/C197-1</f>
        <v>0.521343002725398</v>
      </c>
      <c r="E198" s="20" t="n">
        <f aca="false">E197/D197-1</f>
        <v>0.468123817992731</v>
      </c>
      <c r="F198" s="20" t="n">
        <f aca="false">F197/E197-1</f>
        <v>0.0764173598839502</v>
      </c>
      <c r="G198" s="20" t="n">
        <f aca="false">G197/F197-1</f>
        <v>0.0438820334308354</v>
      </c>
      <c r="H198" s="27" t="n">
        <f aca="false">H197/G197-1</f>
        <v>0.0762597031373127</v>
      </c>
      <c r="I198" s="27" t="n">
        <f aca="false">I197/H197-1</f>
        <v>0.0681298515686561</v>
      </c>
      <c r="J198" s="27" t="n">
        <f aca="false">J197/I197-1</f>
        <v>0.0600000000000001</v>
      </c>
    </row>
    <row r="199" customFormat="false" ht="17.15" hidden="false" customHeight="false" outlineLevel="0" collapsed="false">
      <c r="A199" s="4" t="s">
        <v>571</v>
      </c>
      <c r="B199" s="0" t="s">
        <v>48</v>
      </c>
      <c r="C199" s="16" t="n">
        <f aca="false">C195/C176</f>
        <v>0.162746187565599</v>
      </c>
      <c r="D199" s="16" t="n">
        <f aca="false">D195/D176</f>
        <v>0.208646059676249</v>
      </c>
      <c r="E199" s="16" t="n">
        <f aca="false">E195/E176</f>
        <v>0.229297406798013</v>
      </c>
      <c r="F199" s="16" t="n">
        <f aca="false">F195/F176</f>
        <v>0.213574973248055</v>
      </c>
      <c r="G199" s="16" t="n">
        <f aca="false">G195/G176</f>
        <v>0.205596850685793</v>
      </c>
      <c r="H199" s="28" t="n">
        <f aca="false">$G199+($G$199*1-$G199)*1/3</f>
        <v>0.205596850685793</v>
      </c>
      <c r="I199" s="28" t="n">
        <f aca="false">$G199+($G$199*1-$G199)*2/3</f>
        <v>0.205596850685793</v>
      </c>
      <c r="J199" s="28" t="n">
        <f aca="false">$G199+($G$199*1-$G199)*3/3</f>
        <v>0.205596850685793</v>
      </c>
    </row>
    <row r="202" customFormat="false" ht="17.15" hidden="false" customHeight="false" outlineLevel="0" collapsed="false">
      <c r="A202" s="1" t="s">
        <v>849</v>
      </c>
    </row>
    <row r="203" customFormat="false" ht="17.15" hidden="false" customHeight="false" outlineLevel="0" collapsed="false">
      <c r="A203" s="5" t="s">
        <v>24</v>
      </c>
      <c r="B203" s="5" t="s">
        <v>25</v>
      </c>
      <c r="C203" s="17" t="s">
        <v>394</v>
      </c>
      <c r="D203" s="17" t="s">
        <v>521</v>
      </c>
      <c r="E203" s="17" t="s">
        <v>480</v>
      </c>
      <c r="F203" s="17" t="s">
        <v>481</v>
      </c>
      <c r="G203" s="17" t="s">
        <v>482</v>
      </c>
      <c r="H203" s="17" t="s">
        <v>522</v>
      </c>
      <c r="I203" s="17" t="s">
        <v>523</v>
      </c>
      <c r="J203" s="17" t="s">
        <v>524</v>
      </c>
      <c r="K203" s="5" t="s">
        <v>357</v>
      </c>
    </row>
    <row r="204" customFormat="false" ht="17.15" hidden="false" customHeight="false" outlineLevel="0" collapsed="false">
      <c r="A204" s="6" t="s">
        <v>542</v>
      </c>
    </row>
    <row r="205" customFormat="false" ht="17.15" hidden="false" customHeight="false" outlineLevel="0" collapsed="false">
      <c r="A205" s="4" t="s">
        <v>543</v>
      </c>
      <c r="B205" s="4" t="s">
        <v>42</v>
      </c>
      <c r="D205" s="22" t="n">
        <f aca="false">cap_26</f>
        <v>3306</v>
      </c>
      <c r="E205" s="22" t="n">
        <f aca="false">D205*(1+capg27)*cap_adj</f>
        <v>3306</v>
      </c>
      <c r="F205" s="22" t="n">
        <f aca="false">E205*(1+capg28)</f>
        <v>3306</v>
      </c>
      <c r="G205" s="22" t="n">
        <f aca="false">F205*(1+capg29)</f>
        <v>3306</v>
      </c>
    </row>
    <row r="206" customFormat="false" ht="15" hidden="false" customHeight="false" outlineLevel="0" collapsed="false">
      <c r="A206" s="4" t="s">
        <v>544</v>
      </c>
      <c r="B206" s="0" t="s">
        <v>48</v>
      </c>
      <c r="D206" s="20" t="n">
        <f aca="false">a26_ship/cap_26</f>
        <v>0.8725</v>
      </c>
      <c r="E206" s="20" t="n">
        <f aca="false">MIN(0.98,ut27_B+ut_adj)</f>
        <v>0.9</v>
      </c>
      <c r="F206" s="20" t="n">
        <f aca="false">MIN(0.98,ut28_B+ut_adj)</f>
        <v>0.86</v>
      </c>
      <c r="G206" s="20" t="n">
        <f aca="false">MIN(0.98,ut29_B+ut_adj)</f>
        <v>0.87</v>
      </c>
    </row>
    <row r="207" customFormat="false" ht="17.15" hidden="false" customHeight="false" outlineLevel="0" collapsed="false">
      <c r="A207" s="4" t="s">
        <v>545</v>
      </c>
      <c r="B207" s="4" t="s">
        <v>42</v>
      </c>
      <c r="D207" s="22" t="n">
        <f aca="false">D205*D206</f>
        <v>2884.485</v>
      </c>
      <c r="E207" s="22" t="n">
        <f aca="false">E205*E206</f>
        <v>2975.4</v>
      </c>
      <c r="F207" s="22" t="n">
        <f aca="false">F205*F206</f>
        <v>2843.16</v>
      </c>
      <c r="G207" s="22" t="n">
        <f aca="false">G205*G206</f>
        <v>2876.22</v>
      </c>
    </row>
    <row r="208" customFormat="false" ht="17.15" hidden="false" customHeight="false" outlineLevel="0" collapsed="false">
      <c r="A208" s="4" t="s">
        <v>546</v>
      </c>
      <c r="B208" s="0" t="s">
        <v>89</v>
      </c>
      <c r="D208" s="22" t="n">
        <f aca="false">asp_26</f>
        <v>643.469405492234</v>
      </c>
      <c r="E208" s="22" t="n">
        <f aca="false">D208*(1+asp27_B)*(1+asp_adj)</f>
        <v>662.773487657001</v>
      </c>
      <c r="F208" s="22" t="n">
        <f aca="false">E208*(1+asp28_B)</f>
        <v>662.773487657001</v>
      </c>
      <c r="G208" s="22" t="n">
        <f aca="false">F208*(1+asp29_B)</f>
        <v>662.773487657001</v>
      </c>
    </row>
    <row r="209" customFormat="false" ht="15" hidden="false" customHeight="false" outlineLevel="0" collapsed="false">
      <c r="A209" s="4" t="s">
        <v>547</v>
      </c>
      <c r="B209" s="0" t="s">
        <v>48</v>
      </c>
      <c r="E209" s="20" t="n">
        <f aca="false">E208/D208-1</f>
        <v>0.03</v>
      </c>
      <c r="F209" s="20" t="n">
        <f aca="false">F208/E208-1</f>
        <v>0</v>
      </c>
      <c r="G209" s="20" t="n">
        <f aca="false">G208/F208-1</f>
        <v>0</v>
      </c>
    </row>
    <row r="210" customFormat="false" ht="15" hidden="false" customHeight="false" outlineLevel="0" collapsed="false">
      <c r="A210" s="4" t="s">
        <v>548</v>
      </c>
      <c r="B210" s="0" t="s">
        <v>35</v>
      </c>
      <c r="D210" s="23" t="n">
        <f aca="false">fx_26</f>
        <v>31.6</v>
      </c>
      <c r="E210" s="23" t="n">
        <f aca="false">fx_hi</f>
        <v>33</v>
      </c>
      <c r="F210" s="23" t="n">
        <f aca="false">fx_hi</f>
        <v>33</v>
      </c>
      <c r="G210" s="23" t="n">
        <f aca="false">fx_hi</f>
        <v>33</v>
      </c>
    </row>
    <row r="211" customFormat="false" ht="17.15" hidden="false" customHeight="false" outlineLevel="0" collapsed="false">
      <c r="A211" s="0" t="s">
        <v>549</v>
      </c>
      <c r="B211" s="0" t="s">
        <v>184</v>
      </c>
      <c r="D211" s="23" t="n">
        <f aca="false">D207*D208*D210/1000000</f>
        <v>58.65206</v>
      </c>
      <c r="E211" s="23" t="n">
        <f aca="false">E207*E208*E210/1000000</f>
        <v>65.0765357607631</v>
      </c>
      <c r="F211" s="23" t="n">
        <f aca="false">F207*F208*F210/1000000</f>
        <v>62.184245282507</v>
      </c>
      <c r="G211" s="23" t="n">
        <f aca="false">G207*G208*G210/1000000</f>
        <v>62.907317902071</v>
      </c>
    </row>
    <row r="212" customFormat="false" ht="17.15" hidden="false" customHeight="false" outlineLevel="0" collapsed="false">
      <c r="A212" s="6" t="s">
        <v>550</v>
      </c>
    </row>
    <row r="213" customFormat="false" ht="17.15" hidden="false" customHeight="false" outlineLevel="0" collapsed="false">
      <c r="A213" s="0" t="s">
        <v>551</v>
      </c>
      <c r="B213" s="4" t="s">
        <v>42</v>
      </c>
      <c r="D213" s="22" t="n">
        <f aca="false">0</f>
        <v>0</v>
      </c>
      <c r="E213" s="22" t="n">
        <f aca="false">vcap27*vcap_adj</f>
        <v>144</v>
      </c>
      <c r="F213" s="22" t="n">
        <f aca="false">vcap28*vcap_adj</f>
        <v>360</v>
      </c>
      <c r="G213" s="22" t="n">
        <f aca="false">vcap29*vcap_adj</f>
        <v>504</v>
      </c>
    </row>
    <row r="214" customFormat="false" ht="17.15" hidden="false" customHeight="false" outlineLevel="0" collapsed="false">
      <c r="A214" s="0" t="s">
        <v>552</v>
      </c>
      <c r="B214" s="0" t="s">
        <v>48</v>
      </c>
      <c r="E214" s="20" t="n">
        <f aca="false">vut_B</f>
        <v>0.8</v>
      </c>
      <c r="F214" s="20" t="n">
        <f aca="false">vut_B</f>
        <v>0.8</v>
      </c>
      <c r="G214" s="20" t="n">
        <f aca="false">vut_B</f>
        <v>0.8</v>
      </c>
    </row>
    <row r="215" customFormat="false" ht="17.15" hidden="false" customHeight="false" outlineLevel="0" collapsed="false">
      <c r="A215" s="0" t="s">
        <v>553</v>
      </c>
      <c r="B215" s="4" t="s">
        <v>42</v>
      </c>
      <c r="D215" s="22" t="n">
        <f aca="false">0</f>
        <v>0</v>
      </c>
      <c r="E215" s="22" t="n">
        <f aca="false">E213*E214</f>
        <v>115.2</v>
      </c>
      <c r="F215" s="22" t="n">
        <f aca="false">F213*F214</f>
        <v>288</v>
      </c>
      <c r="G215" s="22" t="n">
        <f aca="false">G213*G214</f>
        <v>403.2</v>
      </c>
    </row>
    <row r="216" customFormat="false" ht="17.15" hidden="false" customHeight="false" outlineLevel="0" collapsed="false">
      <c r="A216" s="0" t="s">
        <v>554</v>
      </c>
      <c r="B216" s="0" t="s">
        <v>184</v>
      </c>
      <c r="D216" s="23" t="n">
        <f aca="false">0</f>
        <v>0</v>
      </c>
      <c r="E216" s="23" t="n">
        <f aca="false">E215*vasp*E210/1000000</f>
        <v>6.84288</v>
      </c>
      <c r="F216" s="23" t="n">
        <f aca="false">F215*vasp*F210/1000000</f>
        <v>17.1072</v>
      </c>
      <c r="G216" s="23" t="n">
        <f aca="false">G215*vasp*G210/1000000</f>
        <v>23.95008</v>
      </c>
    </row>
    <row r="217" customFormat="false" ht="17.15" hidden="false" customHeight="false" outlineLevel="0" collapsed="false">
      <c r="A217" s="4" t="s">
        <v>400</v>
      </c>
      <c r="B217" s="0" t="s">
        <v>184</v>
      </c>
      <c r="C217" s="23" t="n">
        <f aca="false">a25_rev</f>
        <v>48.591</v>
      </c>
      <c r="D217" s="23" t="n">
        <f aca="false">D211+D216</f>
        <v>58.65206</v>
      </c>
      <c r="E217" s="23" t="n">
        <f aca="false">E211+E216</f>
        <v>71.9194157607631</v>
      </c>
      <c r="F217" s="23" t="n">
        <f aca="false">F211+F216</f>
        <v>79.291445282507</v>
      </c>
      <c r="G217" s="23" t="n">
        <f aca="false">G211+G216</f>
        <v>86.857397902071</v>
      </c>
      <c r="H217" s="29" t="n">
        <f aca="false">G217*(1+H220)</f>
        <v>93.5407580604186</v>
      </c>
      <c r="I217" s="29" t="n">
        <f aca="false">H217*(1+I220)</f>
        <v>99.0103834018921</v>
      </c>
      <c r="J217" s="29" t="n">
        <f aca="false">I217*(1+J220)</f>
        <v>102.970798737968</v>
      </c>
      <c r="K217" s="8" t="s">
        <v>555</v>
      </c>
    </row>
    <row r="218" customFormat="false" ht="17.15" hidden="false" customHeight="false" outlineLevel="0" collapsed="false">
      <c r="A218" s="0" t="s">
        <v>556</v>
      </c>
      <c r="B218" s="0" t="s">
        <v>48</v>
      </c>
      <c r="D218" s="20" t="n">
        <f aca="false">D216/D217</f>
        <v>0</v>
      </c>
      <c r="E218" s="20" t="n">
        <f aca="false">E216/E217</f>
        <v>0.0951464903825491</v>
      </c>
      <c r="F218" s="20" t="n">
        <f aca="false">F216/F217</f>
        <v>0.215750891398799</v>
      </c>
      <c r="G218" s="20" t="n">
        <f aca="false">G216/G217</f>
        <v>0.275740242955505</v>
      </c>
    </row>
    <row r="219" customFormat="false" ht="17.15" hidden="false" customHeight="false" outlineLevel="0" collapsed="false">
      <c r="A219" s="0" t="s">
        <v>557</v>
      </c>
      <c r="B219" s="0" t="s">
        <v>48</v>
      </c>
      <c r="D219" s="20" t="n">
        <f aca="false">ai_sh26</f>
        <v>0.1</v>
      </c>
      <c r="E219" s="20" t="n">
        <f aca="false">ai_sh27_B</f>
        <v>0.2</v>
      </c>
      <c r="F219" s="20" t="n">
        <f aca="false">ai_sh27_B</f>
        <v>0.2</v>
      </c>
      <c r="G219" s="20" t="n">
        <f aca="false">ai_sh27_B</f>
        <v>0.2</v>
      </c>
    </row>
    <row r="220" customFormat="false" ht="15" hidden="false" customHeight="false" outlineLevel="0" collapsed="false">
      <c r="A220" s="4" t="s">
        <v>558</v>
      </c>
      <c r="B220" s="0" t="s">
        <v>48</v>
      </c>
      <c r="D220" s="20" t="n">
        <f aca="false">D217/C217-1</f>
        <v>0.207056039184211</v>
      </c>
      <c r="E220" s="20" t="n">
        <f aca="false">E217/D217-1</f>
        <v>0.226204429320353</v>
      </c>
      <c r="F220" s="20" t="n">
        <f aca="false">F217/E217-1</f>
        <v>0.10250402403527</v>
      </c>
      <c r="G220" s="20" t="n">
        <f aca="false">G217/F217-1</f>
        <v>0.0954195322409293</v>
      </c>
      <c r="H220" s="27" t="n">
        <f aca="false">$G220+(fade_gB-$G220)*1/3</f>
        <v>0.0769463548272862</v>
      </c>
      <c r="I220" s="27" t="n">
        <f aca="false">$G220+(fade_gB-$G220)*2/3</f>
        <v>0.0584731774136431</v>
      </c>
      <c r="J220" s="27" t="n">
        <f aca="false">$G220+(fade_gB-$G220)*3/3</f>
        <v>0.04</v>
      </c>
    </row>
    <row r="221" customFormat="false" ht="17.15" hidden="false" customHeight="false" outlineLevel="0" collapsed="false">
      <c r="A221" s="6" t="s">
        <v>559</v>
      </c>
    </row>
    <row r="222" customFormat="false" ht="15" hidden="false" customHeight="false" outlineLevel="0" collapsed="false">
      <c r="A222" s="4" t="s">
        <v>560</v>
      </c>
      <c r="B222" s="0" t="s">
        <v>184</v>
      </c>
      <c r="D222" s="23" t="n">
        <f aca="false">da_tot26*da_sh</f>
        <v>8.658</v>
      </c>
      <c r="E222" s="23" t="n">
        <f aca="false">D222*(1+dag_27+dag_adj)</f>
        <v>8.91774</v>
      </c>
      <c r="F222" s="23" t="n">
        <f aca="false">E222*(1+dag_28+dag_adj)</f>
        <v>9.0960948</v>
      </c>
      <c r="G222" s="23" t="n">
        <f aca="false">F222*(1+dag_29+dag_adj)</f>
        <v>9.0960948</v>
      </c>
    </row>
    <row r="223" customFormat="false" ht="17.15" hidden="false" customHeight="false" outlineLevel="0" collapsed="false">
      <c r="A223" s="4" t="s">
        <v>561</v>
      </c>
      <c r="B223" s="0" t="s">
        <v>562</v>
      </c>
      <c r="D223" s="23" t="n">
        <f aca="false">(D211-a26_gp-D222)/D207*1000</f>
        <v>10.7339918911001</v>
      </c>
      <c r="E223" s="23" t="n">
        <f aca="false">D223*(1+cc_g)</f>
        <v>10.9486717289221</v>
      </c>
      <c r="F223" s="23" t="n">
        <f aca="false">E223*(1+cc_g)</f>
        <v>11.1676451635006</v>
      </c>
      <c r="G223" s="23" t="n">
        <f aca="false">F223*(1+cc_g)</f>
        <v>11.3909980667706</v>
      </c>
      <c r="K223" s="8" t="s">
        <v>563</v>
      </c>
    </row>
    <row r="224" customFormat="false" ht="17.15" hidden="false" customHeight="false" outlineLevel="0" collapsed="false">
      <c r="A224" s="4" t="s">
        <v>564</v>
      </c>
      <c r="B224" s="0" t="s">
        <v>184</v>
      </c>
      <c r="D224" s="23" t="n">
        <f aca="false">D223*D207/1000</f>
        <v>30.9620386</v>
      </c>
      <c r="E224" s="23" t="n">
        <f aca="false">E223*E207/1000</f>
        <v>32.576677862235</v>
      </c>
      <c r="F224" s="23" t="n">
        <f aca="false">F223*F207/1000</f>
        <v>31.7514020230583</v>
      </c>
      <c r="G224" s="23" t="n">
        <f aca="false">G223*G207/1000</f>
        <v>32.7630164596069</v>
      </c>
    </row>
    <row r="225" customFormat="false" ht="17.15" hidden="false" customHeight="false" outlineLevel="0" collapsed="false">
      <c r="A225" s="0" t="s">
        <v>565</v>
      </c>
      <c r="B225" s="0" t="s">
        <v>48</v>
      </c>
      <c r="E225" s="20" t="n">
        <f aca="false">vgm27_B</f>
        <v>-0.05</v>
      </c>
      <c r="F225" s="20" t="n">
        <f aca="false">vgm28_B</f>
        <v>0.12</v>
      </c>
      <c r="G225" s="20" t="n">
        <f aca="false">vgm29_B</f>
        <v>0.18</v>
      </c>
    </row>
    <row r="226" customFormat="false" ht="17.15" hidden="false" customHeight="false" outlineLevel="0" collapsed="false">
      <c r="A226" s="0" t="s">
        <v>566</v>
      </c>
      <c r="B226" s="0" t="s">
        <v>184</v>
      </c>
      <c r="D226" s="23" t="n">
        <f aca="false">0</f>
        <v>0</v>
      </c>
      <c r="E226" s="23" t="n">
        <f aca="false">E216*E225</f>
        <v>-0.342144</v>
      </c>
      <c r="F226" s="23" t="n">
        <f aca="false">F216*F225</f>
        <v>2.052864</v>
      </c>
      <c r="G226" s="23" t="n">
        <f aca="false">G216*G225</f>
        <v>4.3110144</v>
      </c>
    </row>
    <row r="227" customFormat="false" ht="15" hidden="false" customHeight="false" outlineLevel="0" collapsed="false">
      <c r="A227" s="4" t="s">
        <v>417</v>
      </c>
      <c r="B227" s="0" t="s">
        <v>184</v>
      </c>
      <c r="C227" s="23" t="n">
        <f aca="false">a25_gp</f>
        <v>13.654</v>
      </c>
      <c r="D227" s="23" t="n">
        <f aca="false">D211-D222-D224+D226</f>
        <v>19.0320214</v>
      </c>
      <c r="E227" s="23" t="n">
        <f aca="false">E211-E222-E224+E226</f>
        <v>23.2399738985282</v>
      </c>
      <c r="F227" s="23" t="n">
        <f aca="false">F211-F222-F224+F226</f>
        <v>23.3896124594486</v>
      </c>
      <c r="G227" s="23" t="n">
        <f aca="false">G211-G222-G224+G226</f>
        <v>25.3592210424641</v>
      </c>
    </row>
    <row r="228" customFormat="false" ht="15" hidden="false" customHeight="false" outlineLevel="0" collapsed="false">
      <c r="A228" s="4" t="s">
        <v>420</v>
      </c>
      <c r="B228" s="0" t="s">
        <v>48</v>
      </c>
      <c r="C228" s="16" t="n">
        <f aca="false">C227/C217</f>
        <v>0.280998538824062</v>
      </c>
      <c r="D228" s="16" t="n">
        <f aca="false">D227/D217</f>
        <v>0.324490246378388</v>
      </c>
      <c r="E228" s="16" t="n">
        <f aca="false">E227/E217</f>
        <v>0.323139080771109</v>
      </c>
      <c r="F228" s="16" t="n">
        <f aca="false">F227/F217</f>
        <v>0.294982798914989</v>
      </c>
      <c r="G228" s="16" t="n">
        <f aca="false">G227/G217</f>
        <v>0.291963858634768</v>
      </c>
    </row>
    <row r="229" customFormat="false" ht="15" hidden="false" customHeight="false" outlineLevel="0" collapsed="false">
      <c r="A229" s="4" t="s">
        <v>422</v>
      </c>
      <c r="B229" s="0" t="s">
        <v>184</v>
      </c>
      <c r="C229" s="23" t="n">
        <f aca="false">a25_opx</f>
        <v>5.881</v>
      </c>
      <c r="D229" s="23" t="n">
        <f aca="false">a26_opx</f>
        <v>6.824187</v>
      </c>
      <c r="E229" s="23" t="n">
        <f aca="false">D229*(1+MAX(g_opx_min,phi*E220))</f>
        <v>7.59601766295519</v>
      </c>
      <c r="F229" s="23" t="n">
        <f aca="false">E229*(1+MAX(g_opx_min,phi*F220))</f>
        <v>7.98532885150314</v>
      </c>
      <c r="G229" s="23" t="n">
        <f aca="false">F229*(1+MAX(g_opx_min,phi*G220))</f>
        <v>8.36630702340335</v>
      </c>
    </row>
    <row r="230" customFormat="false" ht="15" hidden="false" customHeight="false" outlineLevel="0" collapsed="false">
      <c r="A230" s="4" t="s">
        <v>425</v>
      </c>
      <c r="B230" s="0" t="s">
        <v>184</v>
      </c>
      <c r="C230" s="23" t="n">
        <f aca="false">C227-C229</f>
        <v>7.773</v>
      </c>
      <c r="D230" s="23" t="n">
        <f aca="false">D227-D229</f>
        <v>12.2078344</v>
      </c>
      <c r="E230" s="23" t="n">
        <f aca="false">E227-E229</f>
        <v>15.643956235573</v>
      </c>
      <c r="F230" s="23" t="n">
        <f aca="false">F227-F229</f>
        <v>15.4042836079455</v>
      </c>
      <c r="G230" s="23" t="n">
        <f aca="false">G227-G229</f>
        <v>16.9929140190607</v>
      </c>
    </row>
    <row r="231" customFormat="false" ht="15" hidden="false" customHeight="false" outlineLevel="0" collapsed="false">
      <c r="A231" s="4" t="s">
        <v>531</v>
      </c>
      <c r="B231" s="0" t="s">
        <v>48</v>
      </c>
      <c r="C231" s="16" t="n">
        <f aca="false">C230/C217</f>
        <v>0.159967895289251</v>
      </c>
      <c r="D231" s="16" t="n">
        <f aca="false">D230/D217</f>
        <v>0.208139908470393</v>
      </c>
      <c r="E231" s="16" t="n">
        <f aca="false">E230/E217</f>
        <v>0.217520624578096</v>
      </c>
      <c r="F231" s="16" t="n">
        <f aca="false">F230/F217</f>
        <v>0.194274219029073</v>
      </c>
      <c r="G231" s="16" t="n">
        <f aca="false">G230/G217</f>
        <v>0.195641527716726</v>
      </c>
    </row>
    <row r="232" customFormat="false" ht="15" hidden="false" customHeight="false" outlineLevel="0" collapsed="false">
      <c r="A232" s="4" t="s">
        <v>428</v>
      </c>
      <c r="B232" s="0" t="s">
        <v>184</v>
      </c>
      <c r="C232" s="23" t="n">
        <f aca="false">a25_nonop</f>
        <v>1.479</v>
      </c>
      <c r="D232" s="23" t="n">
        <f aca="false">a26_nonop</f>
        <v>2.10950832169955</v>
      </c>
      <c r="E232" s="23" t="n">
        <f aca="false">nonop_f</f>
        <v>1.5</v>
      </c>
      <c r="F232" s="23" t="n">
        <f aca="false">nonop_f</f>
        <v>1.5</v>
      </c>
      <c r="G232" s="23" t="n">
        <f aca="false">nonop_f</f>
        <v>1.5</v>
      </c>
    </row>
    <row r="233" customFormat="false" ht="15" hidden="false" customHeight="false" outlineLevel="0" collapsed="false">
      <c r="A233" s="4" t="s">
        <v>430</v>
      </c>
      <c r="B233" s="0" t="s">
        <v>184</v>
      </c>
      <c r="C233" s="23" t="n">
        <f aca="false">C230+C232</f>
        <v>9.252</v>
      </c>
      <c r="D233" s="23" t="n">
        <f aca="false">D230+D232</f>
        <v>14.3173427216995</v>
      </c>
      <c r="E233" s="23" t="n">
        <f aca="false">E230+E232</f>
        <v>17.143956235573</v>
      </c>
      <c r="F233" s="23" t="n">
        <f aca="false">F230+F232</f>
        <v>16.9042836079455</v>
      </c>
      <c r="G233" s="23" t="n">
        <f aca="false">G230+G232</f>
        <v>18.4929140190607</v>
      </c>
    </row>
    <row r="234" customFormat="false" ht="15" hidden="false" customHeight="false" outlineLevel="0" collapsed="false">
      <c r="A234" s="4" t="s">
        <v>432</v>
      </c>
      <c r="B234" s="0" t="s">
        <v>184</v>
      </c>
      <c r="C234" s="23" t="n">
        <f aca="false">a25_tax</f>
        <v>1.344</v>
      </c>
      <c r="D234" s="23" t="n">
        <f aca="false">a26_tax</f>
        <v>2.0798215108046</v>
      </c>
      <c r="E234" s="23" t="n">
        <f aca="false">E233*tax</f>
        <v>2.57159343533595</v>
      </c>
      <c r="F234" s="23" t="n">
        <f aca="false">F233*tax</f>
        <v>2.53564254119183</v>
      </c>
      <c r="G234" s="23" t="n">
        <f aca="false">G233*tax</f>
        <v>2.77393710285911</v>
      </c>
    </row>
    <row r="235" customFormat="false" ht="17.15" hidden="false" customHeight="false" outlineLevel="0" collapsed="false">
      <c r="A235" s="4" t="s">
        <v>567</v>
      </c>
      <c r="B235" s="0" t="s">
        <v>184</v>
      </c>
      <c r="C235" s="23" t="n">
        <f aca="false">a25_mi</f>
        <v>0</v>
      </c>
      <c r="D235" s="23" t="n">
        <f aca="false">a26_mi</f>
        <v>0</v>
      </c>
      <c r="E235" s="23" t="n">
        <f aca="false">vmi*E226*(1-tax)</f>
        <v>-0.11632896</v>
      </c>
      <c r="F235" s="23" t="n">
        <f aca="false">vmi*F226*(1-tax)</f>
        <v>0.69797376</v>
      </c>
      <c r="G235" s="23" t="n">
        <f aca="false">vmi*G226*(1-tax)</f>
        <v>1.465744896</v>
      </c>
      <c r="K235" s="8" t="s">
        <v>568</v>
      </c>
    </row>
    <row r="236" customFormat="false" ht="15" hidden="false" customHeight="false" outlineLevel="0" collapsed="false">
      <c r="A236" s="4" t="s">
        <v>435</v>
      </c>
      <c r="B236" s="0" t="s">
        <v>184</v>
      </c>
      <c r="C236" s="23" t="n">
        <f aca="false">C233-C234-C235</f>
        <v>7.908</v>
      </c>
      <c r="D236" s="23" t="n">
        <f aca="false">D233-D234-D235</f>
        <v>12.2375212108949</v>
      </c>
      <c r="E236" s="23" t="n">
        <f aca="false">E233-E234-E235</f>
        <v>14.688691760237</v>
      </c>
      <c r="F236" s="23" t="n">
        <f aca="false">F233-F234-F235</f>
        <v>13.6706673067537</v>
      </c>
      <c r="G236" s="23" t="n">
        <f aca="false">G233-G234-G235</f>
        <v>14.2532320202016</v>
      </c>
      <c r="H236" s="29" t="n">
        <f aca="false">H217*H240</f>
        <v>14.8383007263749</v>
      </c>
      <c r="I236" s="29" t="n">
        <f aca="false">I217*I240</f>
        <v>15.1643590649457</v>
      </c>
      <c r="J236" s="29" t="n">
        <f aca="false">J217*J240</f>
        <v>15.2076858051313</v>
      </c>
    </row>
    <row r="237" customFormat="false" ht="15" hidden="false" customHeight="false" outlineLevel="0" collapsed="false">
      <c r="A237" s="4" t="s">
        <v>569</v>
      </c>
      <c r="B237" s="4" t="s">
        <v>265</v>
      </c>
      <c r="C237" s="10" t="n">
        <f aca="false">a25_sh</f>
        <v>1.8739336492891</v>
      </c>
      <c r="D237" s="10" t="n">
        <f aca="false">a26_sh</f>
        <v>1.90613591916558</v>
      </c>
      <c r="E237" s="10" t="n">
        <f aca="false">q_sh*(1+sh_g)</f>
        <v>1.90705128205128</v>
      </c>
      <c r="F237" s="10" t="n">
        <f aca="false">E237*(1+sh_g)</f>
        <v>1.90705128205128</v>
      </c>
      <c r="G237" s="10" t="n">
        <f aca="false">F237*(1+sh_g)</f>
        <v>1.90705128205128</v>
      </c>
      <c r="H237" s="31" t="n">
        <f aca="false">G237*(1+sh_g)</f>
        <v>1.90705128205128</v>
      </c>
      <c r="I237" s="31" t="n">
        <f aca="false">H237*(1+sh_g)</f>
        <v>1.90705128205128</v>
      </c>
      <c r="J237" s="31" t="n">
        <f aca="false">I237*(1+sh_g)</f>
        <v>1.90705128205128</v>
      </c>
    </row>
    <row r="238" customFormat="false" ht="17.15" hidden="false" customHeight="false" outlineLevel="0" collapsed="false">
      <c r="A238" s="0" t="s">
        <v>442</v>
      </c>
      <c r="B238" s="0" t="s">
        <v>274</v>
      </c>
      <c r="C238" s="23" t="n">
        <f aca="false">C236/C237</f>
        <v>4.22</v>
      </c>
      <c r="D238" s="23" t="n">
        <f aca="false">D236/D237</f>
        <v>6.42006747150118</v>
      </c>
      <c r="E238" s="23" t="n">
        <f aca="false">E236/E237</f>
        <v>7.70230559528396</v>
      </c>
      <c r="F238" s="23" t="n">
        <f aca="false">F236/F237</f>
        <v>7.16848436925571</v>
      </c>
      <c r="G238" s="23" t="n">
        <f aca="false">G236/G237</f>
        <v>7.47396368118135</v>
      </c>
      <c r="H238" s="29" t="n">
        <f aca="false">H236/H237</f>
        <v>7.78075601114113</v>
      </c>
      <c r="I238" s="29" t="n">
        <f aca="false">I236/I237</f>
        <v>7.95173113993792</v>
      </c>
      <c r="J238" s="29" t="n">
        <f aca="false">J236/J237</f>
        <v>7.97445037176632</v>
      </c>
    </row>
    <row r="239" customFormat="false" ht="17.15" hidden="false" customHeight="false" outlineLevel="0" collapsed="false">
      <c r="A239" s="0" t="s">
        <v>570</v>
      </c>
      <c r="B239" s="0" t="s">
        <v>48</v>
      </c>
      <c r="D239" s="20" t="n">
        <f aca="false">D238/C238-1</f>
        <v>0.521343002725398</v>
      </c>
      <c r="E239" s="20" t="n">
        <f aca="false">E238/D238-1</f>
        <v>0.199723465442483</v>
      </c>
      <c r="F239" s="20" t="n">
        <f aca="false">F238/E238-1</f>
        <v>-0.0693066795941076</v>
      </c>
      <c r="G239" s="20" t="n">
        <f aca="false">G238/F238-1</f>
        <v>0.0426142119017219</v>
      </c>
      <c r="H239" s="27" t="n">
        <f aca="false">H238/G238-1</f>
        <v>0.0410481429997101</v>
      </c>
      <c r="I239" s="27" t="n">
        <f aca="false">I238/H238-1</f>
        <v>0.0219741023304141</v>
      </c>
      <c r="J239" s="27" t="n">
        <f aca="false">J238/I238-1</f>
        <v>0.00285714285714289</v>
      </c>
    </row>
    <row r="240" customFormat="false" ht="17.15" hidden="false" customHeight="false" outlineLevel="0" collapsed="false">
      <c r="A240" s="4" t="s">
        <v>571</v>
      </c>
      <c r="B240" s="0" t="s">
        <v>48</v>
      </c>
      <c r="C240" s="16" t="n">
        <f aca="false">C236/C217</f>
        <v>0.162746187565599</v>
      </c>
      <c r="D240" s="16" t="n">
        <f aca="false">D236/D217</f>
        <v>0.208646059676249</v>
      </c>
      <c r="E240" s="16" t="n">
        <f aca="false">E236/E217</f>
        <v>0.204238196387723</v>
      </c>
      <c r="F240" s="16" t="n">
        <f aca="false">F236/F217</f>
        <v>0.172410368584487</v>
      </c>
      <c r="G240" s="16" t="n">
        <f aca="false">G236/G217</f>
        <v>0.164099228902433</v>
      </c>
      <c r="H240" s="28" t="n">
        <f aca="false">$G240+($G$240*0.9-$G240)*1/3</f>
        <v>0.158629254605685</v>
      </c>
      <c r="I240" s="28" t="n">
        <f aca="false">$G240+($G$240*0.9-$G240)*2/3</f>
        <v>0.153159280308937</v>
      </c>
      <c r="J240" s="28" t="n">
        <f aca="false">$G240+($G$240*0.9-$G240)*3/3</f>
        <v>0.147689306012189</v>
      </c>
    </row>
    <row r="243" customFormat="false" ht="17.15" hidden="false" customHeight="false" outlineLevel="0" collapsed="false">
      <c r="A243" s="1" t="s">
        <v>850</v>
      </c>
    </row>
    <row r="244" customFormat="false" ht="17.15" hidden="false" customHeight="false" outlineLevel="0" collapsed="false">
      <c r="A244" s="5" t="s">
        <v>24</v>
      </c>
      <c r="B244" s="5" t="s">
        <v>25</v>
      </c>
      <c r="C244" s="17" t="s">
        <v>394</v>
      </c>
      <c r="D244" s="17" t="s">
        <v>521</v>
      </c>
      <c r="E244" s="17" t="s">
        <v>480</v>
      </c>
      <c r="F244" s="17" t="s">
        <v>481</v>
      </c>
      <c r="G244" s="17" t="s">
        <v>482</v>
      </c>
      <c r="H244" s="17" t="s">
        <v>522</v>
      </c>
      <c r="I244" s="17" t="s">
        <v>523</v>
      </c>
      <c r="J244" s="17" t="s">
        <v>524</v>
      </c>
      <c r="K244" s="5" t="s">
        <v>357</v>
      </c>
    </row>
    <row r="245" customFormat="false" ht="17.15" hidden="false" customHeight="false" outlineLevel="0" collapsed="false">
      <c r="A245" s="6" t="s">
        <v>542</v>
      </c>
    </row>
    <row r="246" customFormat="false" ht="17.15" hidden="false" customHeight="false" outlineLevel="0" collapsed="false">
      <c r="A246" s="4" t="s">
        <v>543</v>
      </c>
      <c r="B246" s="4" t="s">
        <v>42</v>
      </c>
      <c r="D246" s="22" t="n">
        <f aca="false">cap_26</f>
        <v>3306</v>
      </c>
      <c r="E246" s="22" t="n">
        <f aca="false">D246*(1+capg27)*cap_adj</f>
        <v>3306</v>
      </c>
      <c r="F246" s="22" t="n">
        <f aca="false">E246*(1+capg28)</f>
        <v>3306</v>
      </c>
      <c r="G246" s="22" t="n">
        <f aca="false">F246*(1+capg29)</f>
        <v>3306</v>
      </c>
    </row>
    <row r="247" customFormat="false" ht="15" hidden="false" customHeight="false" outlineLevel="0" collapsed="false">
      <c r="A247" s="4" t="s">
        <v>544</v>
      </c>
      <c r="B247" s="0" t="s">
        <v>48</v>
      </c>
      <c r="D247" s="20" t="n">
        <f aca="false">a26_ship/cap_26</f>
        <v>0.8725</v>
      </c>
      <c r="E247" s="20" t="n">
        <f aca="false">MIN(0.98,ut27_C+ut_adj)</f>
        <v>0.8</v>
      </c>
      <c r="F247" s="20" t="n">
        <f aca="false">MIN(0.98,ut28_C+ut_adj)</f>
        <v>0.74</v>
      </c>
      <c r="G247" s="20" t="n">
        <f aca="false">MIN(0.98,ut29_C+ut_adj)</f>
        <v>0.78</v>
      </c>
    </row>
    <row r="248" customFormat="false" ht="17.15" hidden="false" customHeight="false" outlineLevel="0" collapsed="false">
      <c r="A248" s="4" t="s">
        <v>545</v>
      </c>
      <c r="B248" s="4" t="s">
        <v>42</v>
      </c>
      <c r="D248" s="22" t="n">
        <f aca="false">D246*D247</f>
        <v>2884.485</v>
      </c>
      <c r="E248" s="22" t="n">
        <f aca="false">E246*E247</f>
        <v>2644.8</v>
      </c>
      <c r="F248" s="22" t="n">
        <f aca="false">F246*F247</f>
        <v>2446.44</v>
      </c>
      <c r="G248" s="22" t="n">
        <f aca="false">G246*G247</f>
        <v>2578.68</v>
      </c>
    </row>
    <row r="249" customFormat="false" ht="17.15" hidden="false" customHeight="false" outlineLevel="0" collapsed="false">
      <c r="A249" s="4" t="s">
        <v>546</v>
      </c>
      <c r="B249" s="0" t="s">
        <v>89</v>
      </c>
      <c r="D249" s="22" t="n">
        <f aca="false">asp_26</f>
        <v>643.469405492234</v>
      </c>
      <c r="E249" s="22" t="n">
        <f aca="false">D249*(1+asp27_C)*(1+asp_adj)</f>
        <v>624.165323327467</v>
      </c>
      <c r="F249" s="22" t="n">
        <f aca="false">E249*(1+asp28_C)</f>
        <v>592.957057161093</v>
      </c>
      <c r="G249" s="22" t="n">
        <f aca="false">F249*(1+asp29_C)</f>
        <v>581.097916017871</v>
      </c>
    </row>
    <row r="250" customFormat="false" ht="15" hidden="false" customHeight="false" outlineLevel="0" collapsed="false">
      <c r="A250" s="4" t="s">
        <v>547</v>
      </c>
      <c r="B250" s="0" t="s">
        <v>48</v>
      </c>
      <c r="E250" s="20" t="n">
        <f aca="false">E249/D249-1</f>
        <v>-0.03</v>
      </c>
      <c r="F250" s="20" t="n">
        <f aca="false">F249/E249-1</f>
        <v>-0.05</v>
      </c>
      <c r="G250" s="20" t="n">
        <f aca="false">G249/F249-1</f>
        <v>-0.02</v>
      </c>
    </row>
    <row r="251" customFormat="false" ht="15" hidden="false" customHeight="false" outlineLevel="0" collapsed="false">
      <c r="A251" s="4" t="s">
        <v>548</v>
      </c>
      <c r="B251" s="0" t="s">
        <v>35</v>
      </c>
      <c r="D251" s="23" t="n">
        <f aca="false">fx_26</f>
        <v>31.6</v>
      </c>
      <c r="E251" s="23" t="n">
        <f aca="false">fx_hi</f>
        <v>33</v>
      </c>
      <c r="F251" s="23" t="n">
        <f aca="false">fx_hi</f>
        <v>33</v>
      </c>
      <c r="G251" s="23" t="n">
        <f aca="false">fx_hi</f>
        <v>33</v>
      </c>
    </row>
    <row r="252" customFormat="false" ht="17.15" hidden="false" customHeight="false" outlineLevel="0" collapsed="false">
      <c r="A252" s="0" t="s">
        <v>549</v>
      </c>
      <c r="B252" s="0" t="s">
        <v>184</v>
      </c>
      <c r="D252" s="23" t="n">
        <f aca="false">D248*D249*D251/1000000</f>
        <v>58.65206</v>
      </c>
      <c r="E252" s="23" t="n">
        <f aca="false">E248*E249*E251/1000000</f>
        <v>54.476150755504</v>
      </c>
      <c r="F252" s="23" t="n">
        <f aca="false">F248*F249*F251/1000000</f>
        <v>47.8709174763991</v>
      </c>
      <c r="G252" s="23" t="n">
        <f aca="false">G248*G249*G251/1000000</f>
        <v>49.4493639445398</v>
      </c>
    </row>
    <row r="253" customFormat="false" ht="17.15" hidden="false" customHeight="false" outlineLevel="0" collapsed="false">
      <c r="A253" s="6" t="s">
        <v>550</v>
      </c>
    </row>
    <row r="254" customFormat="false" ht="17.15" hidden="false" customHeight="false" outlineLevel="0" collapsed="false">
      <c r="A254" s="0" t="s">
        <v>551</v>
      </c>
      <c r="B254" s="4" t="s">
        <v>42</v>
      </c>
      <c r="D254" s="22" t="n">
        <f aca="false">0</f>
        <v>0</v>
      </c>
      <c r="E254" s="22" t="n">
        <f aca="false">vcap27*vcap_adj</f>
        <v>144</v>
      </c>
      <c r="F254" s="22" t="n">
        <f aca="false">vcap28*vcap_adj</f>
        <v>360</v>
      </c>
      <c r="G254" s="22" t="n">
        <f aca="false">vcap29*vcap_adj</f>
        <v>504</v>
      </c>
    </row>
    <row r="255" customFormat="false" ht="17.15" hidden="false" customHeight="false" outlineLevel="0" collapsed="false">
      <c r="A255" s="0" t="s">
        <v>552</v>
      </c>
      <c r="B255" s="0" t="s">
        <v>48</v>
      </c>
      <c r="E255" s="20" t="n">
        <f aca="false">vut_C</f>
        <v>0.65</v>
      </c>
      <c r="F255" s="20" t="n">
        <f aca="false">vut_C</f>
        <v>0.65</v>
      </c>
      <c r="G255" s="20" t="n">
        <f aca="false">vut_C</f>
        <v>0.65</v>
      </c>
    </row>
    <row r="256" customFormat="false" ht="17.15" hidden="false" customHeight="false" outlineLevel="0" collapsed="false">
      <c r="A256" s="0" t="s">
        <v>553</v>
      </c>
      <c r="B256" s="4" t="s">
        <v>42</v>
      </c>
      <c r="D256" s="22" t="n">
        <f aca="false">0</f>
        <v>0</v>
      </c>
      <c r="E256" s="22" t="n">
        <f aca="false">E254*E255</f>
        <v>93.6</v>
      </c>
      <c r="F256" s="22" t="n">
        <f aca="false">F254*F255</f>
        <v>234</v>
      </c>
      <c r="G256" s="22" t="n">
        <f aca="false">G254*G255</f>
        <v>327.6</v>
      </c>
    </row>
    <row r="257" customFormat="false" ht="17.15" hidden="false" customHeight="false" outlineLevel="0" collapsed="false">
      <c r="A257" s="0" t="s">
        <v>554</v>
      </c>
      <c r="B257" s="0" t="s">
        <v>184</v>
      </c>
      <c r="D257" s="23" t="n">
        <f aca="false">0</f>
        <v>0</v>
      </c>
      <c r="E257" s="23" t="n">
        <f aca="false">E256*vasp*E251/1000000</f>
        <v>5.55984</v>
      </c>
      <c r="F257" s="23" t="n">
        <f aca="false">F256*vasp*F251/1000000</f>
        <v>13.8996</v>
      </c>
      <c r="G257" s="23" t="n">
        <f aca="false">G256*vasp*G251/1000000</f>
        <v>19.45944</v>
      </c>
    </row>
    <row r="258" customFormat="false" ht="17.15" hidden="false" customHeight="false" outlineLevel="0" collapsed="false">
      <c r="A258" s="4" t="s">
        <v>400</v>
      </c>
      <c r="B258" s="0" t="s">
        <v>184</v>
      </c>
      <c r="C258" s="23" t="n">
        <f aca="false">a25_rev</f>
        <v>48.591</v>
      </c>
      <c r="D258" s="23" t="n">
        <f aca="false">D252+D257</f>
        <v>58.65206</v>
      </c>
      <c r="E258" s="23" t="n">
        <f aca="false">E252+E257</f>
        <v>60.035990755504</v>
      </c>
      <c r="F258" s="23" t="n">
        <f aca="false">F252+F257</f>
        <v>61.7705174763991</v>
      </c>
      <c r="G258" s="23" t="n">
        <f aca="false">G252+G257</f>
        <v>68.9088039445398</v>
      </c>
      <c r="H258" s="29" t="n">
        <f aca="false">G258*(1+H261)</f>
        <v>74.6769937903468</v>
      </c>
      <c r="I258" s="29" t="n">
        <f aca="false">H258*(1+I261)</f>
        <v>78.5492792838791</v>
      </c>
      <c r="J258" s="29" t="n">
        <f aca="false">I258*(1+J261)</f>
        <v>80.1202648695567</v>
      </c>
      <c r="K258" s="8" t="s">
        <v>555</v>
      </c>
    </row>
    <row r="259" customFormat="false" ht="17.15" hidden="false" customHeight="false" outlineLevel="0" collapsed="false">
      <c r="A259" s="0" t="s">
        <v>556</v>
      </c>
      <c r="B259" s="0" t="s">
        <v>48</v>
      </c>
      <c r="D259" s="20" t="n">
        <f aca="false">D257/D258</f>
        <v>0</v>
      </c>
      <c r="E259" s="20" t="n">
        <f aca="false">E257/E258</f>
        <v>0.0926084491991212</v>
      </c>
      <c r="F259" s="20" t="n">
        <f aca="false">F257/F258</f>
        <v>0.225019970171218</v>
      </c>
      <c r="G259" s="20" t="n">
        <f aca="false">G257/G258</f>
        <v>0.28239410475999</v>
      </c>
    </row>
    <row r="260" customFormat="false" ht="17.15" hidden="false" customHeight="false" outlineLevel="0" collapsed="false">
      <c r="A260" s="0" t="s">
        <v>557</v>
      </c>
      <c r="B260" s="0" t="s">
        <v>48</v>
      </c>
      <c r="D260" s="20" t="n">
        <f aca="false">ai_sh26</f>
        <v>0.1</v>
      </c>
      <c r="E260" s="20" t="n">
        <f aca="false">ai_sh27_C</f>
        <v>0.15</v>
      </c>
      <c r="F260" s="20" t="n">
        <f aca="false">ai_sh27_C</f>
        <v>0.15</v>
      </c>
      <c r="G260" s="20" t="n">
        <f aca="false">ai_sh27_C</f>
        <v>0.15</v>
      </c>
    </row>
    <row r="261" customFormat="false" ht="15" hidden="false" customHeight="false" outlineLevel="0" collapsed="false">
      <c r="A261" s="4" t="s">
        <v>558</v>
      </c>
      <c r="B261" s="0" t="s">
        <v>48</v>
      </c>
      <c r="D261" s="20" t="n">
        <f aca="false">D258/C258-1</f>
        <v>0.207056039184211</v>
      </c>
      <c r="E261" s="20" t="n">
        <f aca="false">E258/D258-1</f>
        <v>0.0235956035560214</v>
      </c>
      <c r="F261" s="20" t="n">
        <f aca="false">F258/E258-1</f>
        <v>0.028891448264075</v>
      </c>
      <c r="G261" s="20" t="n">
        <f aca="false">G258/F258-1</f>
        <v>0.115561383646625</v>
      </c>
      <c r="H261" s="27" t="n">
        <f aca="false">$G261+(fade_gC-$G261)*1/3</f>
        <v>0.0837075890977503</v>
      </c>
      <c r="I261" s="27" t="n">
        <f aca="false">$G261+(fade_gC-$G261)*2/3</f>
        <v>0.0518537945488751</v>
      </c>
      <c r="J261" s="27" t="n">
        <f aca="false">$G261+(fade_gC-$G261)*3/3</f>
        <v>0.02</v>
      </c>
    </row>
    <row r="262" customFormat="false" ht="17.15" hidden="false" customHeight="false" outlineLevel="0" collapsed="false">
      <c r="A262" s="6" t="s">
        <v>559</v>
      </c>
    </row>
    <row r="263" customFormat="false" ht="15" hidden="false" customHeight="false" outlineLevel="0" collapsed="false">
      <c r="A263" s="4" t="s">
        <v>560</v>
      </c>
      <c r="B263" s="0" t="s">
        <v>184</v>
      </c>
      <c r="D263" s="23" t="n">
        <f aca="false">da_tot26*da_sh</f>
        <v>8.658</v>
      </c>
      <c r="E263" s="23" t="n">
        <f aca="false">D263*(1+dag_27+dag_adj)</f>
        <v>8.91774</v>
      </c>
      <c r="F263" s="23" t="n">
        <f aca="false">E263*(1+dag_28+dag_adj)</f>
        <v>9.0960948</v>
      </c>
      <c r="G263" s="23" t="n">
        <f aca="false">F263*(1+dag_29+dag_adj)</f>
        <v>9.0960948</v>
      </c>
    </row>
    <row r="264" customFormat="false" ht="17.15" hidden="false" customHeight="false" outlineLevel="0" collapsed="false">
      <c r="A264" s="4" t="s">
        <v>561</v>
      </c>
      <c r="B264" s="0" t="s">
        <v>562</v>
      </c>
      <c r="D264" s="23" t="n">
        <f aca="false">(D252-a26_gp-D263)/D248*1000</f>
        <v>10.7339918911001</v>
      </c>
      <c r="E264" s="23" t="n">
        <f aca="false">D264*(1+cc_g)</f>
        <v>10.9486717289221</v>
      </c>
      <c r="F264" s="23" t="n">
        <f aca="false">E264*(1+cc_g)</f>
        <v>11.1676451635006</v>
      </c>
      <c r="G264" s="23" t="n">
        <f aca="false">F264*(1+cc_g)</f>
        <v>11.3909980667706</v>
      </c>
      <c r="K264" s="8" t="s">
        <v>563</v>
      </c>
    </row>
    <row r="265" customFormat="false" ht="17.15" hidden="false" customHeight="false" outlineLevel="0" collapsed="false">
      <c r="A265" s="4" t="s">
        <v>564</v>
      </c>
      <c r="B265" s="0" t="s">
        <v>184</v>
      </c>
      <c r="D265" s="23" t="n">
        <f aca="false">D264*D248/1000</f>
        <v>30.9620386</v>
      </c>
      <c r="E265" s="23" t="n">
        <f aca="false">E264*E248/1000</f>
        <v>28.9570469886533</v>
      </c>
      <c r="F265" s="23" t="n">
        <f aca="false">F264*F248/1000</f>
        <v>27.3209738337944</v>
      </c>
      <c r="G265" s="23" t="n">
        <f aca="false">G264*G248/1000</f>
        <v>29.37373889482</v>
      </c>
    </row>
    <row r="266" customFormat="false" ht="17.15" hidden="false" customHeight="false" outlineLevel="0" collapsed="false">
      <c r="A266" s="0" t="s">
        <v>565</v>
      </c>
      <c r="B266" s="0" t="s">
        <v>48</v>
      </c>
      <c r="E266" s="20" t="n">
        <f aca="false">vgm27_C</f>
        <v>-0.2</v>
      </c>
      <c r="F266" s="20" t="n">
        <f aca="false">vgm28_C</f>
        <v>0</v>
      </c>
      <c r="G266" s="20" t="n">
        <f aca="false">vgm29_C</f>
        <v>0.05</v>
      </c>
    </row>
    <row r="267" customFormat="false" ht="17.15" hidden="false" customHeight="false" outlineLevel="0" collapsed="false">
      <c r="A267" s="0" t="s">
        <v>566</v>
      </c>
      <c r="B267" s="0" t="s">
        <v>184</v>
      </c>
      <c r="D267" s="23" t="n">
        <f aca="false">0</f>
        <v>0</v>
      </c>
      <c r="E267" s="23" t="n">
        <f aca="false">E257*E266</f>
        <v>-1.111968</v>
      </c>
      <c r="F267" s="23" t="n">
        <f aca="false">F257*F266</f>
        <v>0</v>
      </c>
      <c r="G267" s="23" t="n">
        <f aca="false">G257*G266</f>
        <v>0.972972</v>
      </c>
    </row>
    <row r="268" customFormat="false" ht="15" hidden="false" customHeight="false" outlineLevel="0" collapsed="false">
      <c r="A268" s="4" t="s">
        <v>417</v>
      </c>
      <c r="B268" s="0" t="s">
        <v>184</v>
      </c>
      <c r="C268" s="23" t="n">
        <f aca="false">a25_gp</f>
        <v>13.654</v>
      </c>
      <c r="D268" s="23" t="n">
        <f aca="false">D252-D263-D265+D267</f>
        <v>19.0320214</v>
      </c>
      <c r="E268" s="23" t="n">
        <f aca="false">E252-E263-E265+E267</f>
        <v>15.4893957668507</v>
      </c>
      <c r="F268" s="23" t="n">
        <f aca="false">F252-F263-F265+F267</f>
        <v>11.4538488426047</v>
      </c>
      <c r="G268" s="23" t="n">
        <f aca="false">G252-G263-G265+G267</f>
        <v>11.9525022497198</v>
      </c>
    </row>
    <row r="269" customFormat="false" ht="15" hidden="false" customHeight="false" outlineLevel="0" collapsed="false">
      <c r="A269" s="4" t="s">
        <v>420</v>
      </c>
      <c r="B269" s="0" t="s">
        <v>48</v>
      </c>
      <c r="C269" s="16" t="n">
        <f aca="false">C268/C258</f>
        <v>0.280998538824062</v>
      </c>
      <c r="D269" s="16" t="n">
        <f aca="false">D268/D258</f>
        <v>0.324490246378388</v>
      </c>
      <c r="E269" s="16" t="n">
        <f aca="false">E268/E258</f>
        <v>0.258001834764935</v>
      </c>
      <c r="F269" s="16" t="n">
        <f aca="false">F268/F258</f>
        <v>0.185425819801185</v>
      </c>
      <c r="G269" s="16" t="n">
        <f aca="false">G268/G258</f>
        <v>0.173453921204896</v>
      </c>
    </row>
    <row r="270" customFormat="false" ht="15" hidden="false" customHeight="false" outlineLevel="0" collapsed="false">
      <c r="A270" s="4" t="s">
        <v>422</v>
      </c>
      <c r="B270" s="0" t="s">
        <v>184</v>
      </c>
      <c r="C270" s="23" t="n">
        <f aca="false">a25_opx</f>
        <v>5.881</v>
      </c>
      <c r="D270" s="23" t="n">
        <f aca="false">a26_opx</f>
        <v>6.824187</v>
      </c>
      <c r="E270" s="23" t="n">
        <f aca="false">D270*(1+MAX(g_opx_min,phi*E261))</f>
        <v>7.02891261</v>
      </c>
      <c r="F270" s="23" t="n">
        <f aca="false">E270*(1+MAX(g_opx_min,phi*F261))</f>
        <v>7.2397799883</v>
      </c>
      <c r="G270" s="23" t="n">
        <f aca="false">F270*(1+MAX(g_opx_min,phi*G261))</f>
        <v>7.65809948467255</v>
      </c>
    </row>
    <row r="271" customFormat="false" ht="15" hidden="false" customHeight="false" outlineLevel="0" collapsed="false">
      <c r="A271" s="4" t="s">
        <v>425</v>
      </c>
      <c r="B271" s="0" t="s">
        <v>184</v>
      </c>
      <c r="C271" s="23" t="n">
        <f aca="false">C268-C270</f>
        <v>7.773</v>
      </c>
      <c r="D271" s="23" t="n">
        <f aca="false">D268-D270</f>
        <v>12.2078344</v>
      </c>
      <c r="E271" s="23" t="n">
        <f aca="false">E268-E270</f>
        <v>8.46048315685068</v>
      </c>
      <c r="F271" s="23" t="n">
        <f aca="false">F268-F270</f>
        <v>4.21406885430472</v>
      </c>
      <c r="G271" s="23" t="n">
        <f aca="false">G268-G270</f>
        <v>4.29440276504727</v>
      </c>
    </row>
    <row r="272" customFormat="false" ht="15" hidden="false" customHeight="false" outlineLevel="0" collapsed="false">
      <c r="A272" s="4" t="s">
        <v>531</v>
      </c>
      <c r="B272" s="0" t="s">
        <v>48</v>
      </c>
      <c r="C272" s="16" t="n">
        <f aca="false">C271/C258</f>
        <v>0.159967895289251</v>
      </c>
      <c r="D272" s="16" t="n">
        <f aca="false">D271/D258</f>
        <v>0.208139908470393</v>
      </c>
      <c r="E272" s="16" t="n">
        <f aca="false">E271/E258</f>
        <v>0.140923520214831</v>
      </c>
      <c r="F272" s="16" t="n">
        <f aca="false">F271/F258</f>
        <v>0.0682213623338158</v>
      </c>
      <c r="G272" s="16" t="n">
        <f aca="false">G271/G258</f>
        <v>0.062320088569576</v>
      </c>
    </row>
    <row r="273" customFormat="false" ht="15" hidden="false" customHeight="false" outlineLevel="0" collapsed="false">
      <c r="A273" s="4" t="s">
        <v>428</v>
      </c>
      <c r="B273" s="0" t="s">
        <v>184</v>
      </c>
      <c r="C273" s="23" t="n">
        <f aca="false">a25_nonop</f>
        <v>1.479</v>
      </c>
      <c r="D273" s="23" t="n">
        <f aca="false">a26_nonop</f>
        <v>2.10950832169955</v>
      </c>
      <c r="E273" s="23" t="n">
        <f aca="false">nonop_f</f>
        <v>1.5</v>
      </c>
      <c r="F273" s="23" t="n">
        <f aca="false">nonop_f</f>
        <v>1.5</v>
      </c>
      <c r="G273" s="23" t="n">
        <f aca="false">nonop_f</f>
        <v>1.5</v>
      </c>
    </row>
    <row r="274" customFormat="false" ht="15" hidden="false" customHeight="false" outlineLevel="0" collapsed="false">
      <c r="A274" s="4" t="s">
        <v>430</v>
      </c>
      <c r="B274" s="0" t="s">
        <v>184</v>
      </c>
      <c r="C274" s="23" t="n">
        <f aca="false">C271+C273</f>
        <v>9.252</v>
      </c>
      <c r="D274" s="23" t="n">
        <f aca="false">D271+D273</f>
        <v>14.3173427216995</v>
      </c>
      <c r="E274" s="23" t="n">
        <f aca="false">E271+E273</f>
        <v>9.96048315685068</v>
      </c>
      <c r="F274" s="23" t="n">
        <f aca="false">F271+F273</f>
        <v>5.71406885430472</v>
      </c>
      <c r="G274" s="23" t="n">
        <f aca="false">G271+G273</f>
        <v>5.79440276504727</v>
      </c>
    </row>
    <row r="275" customFormat="false" ht="15" hidden="false" customHeight="false" outlineLevel="0" collapsed="false">
      <c r="A275" s="4" t="s">
        <v>432</v>
      </c>
      <c r="B275" s="0" t="s">
        <v>184</v>
      </c>
      <c r="C275" s="23" t="n">
        <f aca="false">a25_tax</f>
        <v>1.344</v>
      </c>
      <c r="D275" s="23" t="n">
        <f aca="false">a26_tax</f>
        <v>2.0798215108046</v>
      </c>
      <c r="E275" s="23" t="n">
        <f aca="false">E274*tax</f>
        <v>1.4940724735276</v>
      </c>
      <c r="F275" s="23" t="n">
        <f aca="false">F274*tax</f>
        <v>0.857110328145708</v>
      </c>
      <c r="G275" s="23" t="n">
        <f aca="false">G274*tax</f>
        <v>0.869160414757091</v>
      </c>
    </row>
    <row r="276" customFormat="false" ht="17.15" hidden="false" customHeight="false" outlineLevel="0" collapsed="false">
      <c r="A276" s="4" t="s">
        <v>567</v>
      </c>
      <c r="B276" s="0" t="s">
        <v>184</v>
      </c>
      <c r="C276" s="23" t="n">
        <f aca="false">a25_mi</f>
        <v>0</v>
      </c>
      <c r="D276" s="23" t="n">
        <f aca="false">a26_mi</f>
        <v>0</v>
      </c>
      <c r="E276" s="23" t="n">
        <f aca="false">vmi*E267*(1-tax)</f>
        <v>-0.37806912</v>
      </c>
      <c r="F276" s="23" t="n">
        <f aca="false">vmi*F267*(1-tax)</f>
        <v>0</v>
      </c>
      <c r="G276" s="23" t="n">
        <f aca="false">vmi*G267*(1-tax)</f>
        <v>0.33081048</v>
      </c>
      <c r="K276" s="8" t="s">
        <v>568</v>
      </c>
    </row>
    <row r="277" customFormat="false" ht="15" hidden="false" customHeight="false" outlineLevel="0" collapsed="false">
      <c r="A277" s="4" t="s">
        <v>435</v>
      </c>
      <c r="B277" s="0" t="s">
        <v>184</v>
      </c>
      <c r="C277" s="23" t="n">
        <f aca="false">C274-C275-C276</f>
        <v>7.908</v>
      </c>
      <c r="D277" s="23" t="n">
        <f aca="false">D274-D275-D276</f>
        <v>12.2375212108949</v>
      </c>
      <c r="E277" s="23" t="n">
        <f aca="false">E274-E275-E276</f>
        <v>8.84447980332308</v>
      </c>
      <c r="F277" s="23" t="n">
        <f aca="false">F274-F275-F276</f>
        <v>4.85695852615902</v>
      </c>
      <c r="G277" s="23" t="n">
        <f aca="false">G274-G275-G276</f>
        <v>4.59443187029018</v>
      </c>
      <c r="H277" s="29" t="n">
        <f aca="false">H258*H281</f>
        <v>4.6470859730643</v>
      </c>
      <c r="I277" s="29" t="n">
        <f aca="false">I258*I281</f>
        <v>4.53890822762236</v>
      </c>
      <c r="J277" s="29" t="n">
        <f aca="false">J258*J281</f>
        <v>4.27355666969982</v>
      </c>
    </row>
    <row r="278" customFormat="false" ht="15" hidden="false" customHeight="false" outlineLevel="0" collapsed="false">
      <c r="A278" s="4" t="s">
        <v>569</v>
      </c>
      <c r="B278" s="4" t="s">
        <v>265</v>
      </c>
      <c r="C278" s="10" t="n">
        <f aca="false">a25_sh</f>
        <v>1.8739336492891</v>
      </c>
      <c r="D278" s="10" t="n">
        <f aca="false">a26_sh</f>
        <v>1.90613591916558</v>
      </c>
      <c r="E278" s="10" t="n">
        <f aca="false">q_sh*(1+sh_g)</f>
        <v>1.90705128205128</v>
      </c>
      <c r="F278" s="10" t="n">
        <f aca="false">E278*(1+sh_g)</f>
        <v>1.90705128205128</v>
      </c>
      <c r="G278" s="10" t="n">
        <f aca="false">F278*(1+sh_g)</f>
        <v>1.90705128205128</v>
      </c>
      <c r="H278" s="31" t="n">
        <f aca="false">G278*(1+sh_g)</f>
        <v>1.90705128205128</v>
      </c>
      <c r="I278" s="31" t="n">
        <f aca="false">H278*(1+sh_g)</f>
        <v>1.90705128205128</v>
      </c>
      <c r="J278" s="31" t="n">
        <f aca="false">I278*(1+sh_g)</f>
        <v>1.90705128205128</v>
      </c>
    </row>
    <row r="279" customFormat="false" ht="17.15" hidden="false" customHeight="false" outlineLevel="0" collapsed="false">
      <c r="A279" s="0" t="s">
        <v>442</v>
      </c>
      <c r="B279" s="0" t="s">
        <v>274</v>
      </c>
      <c r="C279" s="23" t="n">
        <f aca="false">C277/C278</f>
        <v>4.22</v>
      </c>
      <c r="D279" s="23" t="n">
        <f aca="false">D277/D278</f>
        <v>6.42006747150118</v>
      </c>
      <c r="E279" s="23" t="n">
        <f aca="false">E277/E278</f>
        <v>4.63777764476773</v>
      </c>
      <c r="F279" s="23" t="n">
        <f aca="false">F277/F278</f>
        <v>2.54684211791868</v>
      </c>
      <c r="G279" s="23" t="n">
        <f aca="false">G277/G278</f>
        <v>2.40918108156393</v>
      </c>
      <c r="H279" s="29" t="n">
        <f aca="false">H277/H278</f>
        <v>2.43679130016145</v>
      </c>
      <c r="I279" s="29" t="n">
        <f aca="false">I277/I278</f>
        <v>2.38006616305576</v>
      </c>
      <c r="J279" s="29" t="n">
        <f aca="false">J277/J278</f>
        <v>2.24092383352327</v>
      </c>
    </row>
    <row r="280" customFormat="false" ht="17.15" hidden="false" customHeight="false" outlineLevel="0" collapsed="false">
      <c r="A280" s="0" t="s">
        <v>570</v>
      </c>
      <c r="B280" s="0" t="s">
        <v>48</v>
      </c>
      <c r="D280" s="20" t="n">
        <f aca="false">D279/C279-1</f>
        <v>0.521343002725398</v>
      </c>
      <c r="E280" s="20" t="n">
        <f aca="false">E279/D279-1</f>
        <v>-0.277612320220165</v>
      </c>
      <c r="F280" s="20" t="n">
        <f aca="false">F279/E279-1</f>
        <v>-0.450848593228271</v>
      </c>
      <c r="G280" s="20" t="n">
        <f aca="false">G279/F279-1</f>
        <v>-0.0540516569072793</v>
      </c>
      <c r="H280" s="27" t="n">
        <f aca="false">H279/G279-1</f>
        <v>0.0114604164912333</v>
      </c>
      <c r="I280" s="27" t="n">
        <f aca="false">I279/H279-1</f>
        <v>-0.023278619347473</v>
      </c>
      <c r="J280" s="27" t="n">
        <f aca="false">J279/I279-1</f>
        <v>-0.0584615384615386</v>
      </c>
    </row>
    <row r="281" customFormat="false" ht="17.15" hidden="false" customHeight="false" outlineLevel="0" collapsed="false">
      <c r="A281" s="4" t="s">
        <v>571</v>
      </c>
      <c r="B281" s="0" t="s">
        <v>48</v>
      </c>
      <c r="C281" s="16" t="n">
        <f aca="false">C277/C258</f>
        <v>0.162746187565599</v>
      </c>
      <c r="D281" s="16" t="n">
        <f aca="false">D277/D258</f>
        <v>0.208646059676249</v>
      </c>
      <c r="E281" s="16" t="n">
        <f aca="false">E277/E258</f>
        <v>0.147319627643727</v>
      </c>
      <c r="F281" s="16" t="n">
        <f aca="false">F277/F258</f>
        <v>0.0786290729718224</v>
      </c>
      <c r="G281" s="16" t="n">
        <f aca="false">G277/G258</f>
        <v>0.0666740910782306</v>
      </c>
      <c r="H281" s="28" t="n">
        <f aca="false">$G281+($G$281*0.8-$G281)*1/3</f>
        <v>0.0622291516730152</v>
      </c>
      <c r="I281" s="28" t="n">
        <f aca="false">$G281+($G$281*0.8-$G281)*2/3</f>
        <v>0.0577842122677998</v>
      </c>
      <c r="J281" s="28" t="n">
        <f aca="false">$G281+($G$281*0.8-$G281)*3/3</f>
        <v>0.0533392728625844</v>
      </c>
    </row>
    <row r="284" customFormat="false" ht="17.15" hidden="false" customHeight="false" outlineLevel="0" collapsed="false">
      <c r="A284" s="1" t="s">
        <v>851</v>
      </c>
    </row>
    <row r="285" customFormat="false" ht="17.15" hidden="false" customHeight="false" outlineLevel="0" collapsed="false">
      <c r="A285" s="5" t="s">
        <v>24</v>
      </c>
      <c r="B285" s="5" t="s">
        <v>25</v>
      </c>
      <c r="C285" s="17" t="s">
        <v>394</v>
      </c>
      <c r="D285" s="17" t="s">
        <v>521</v>
      </c>
      <c r="E285" s="17" t="s">
        <v>480</v>
      </c>
      <c r="F285" s="17" t="s">
        <v>481</v>
      </c>
      <c r="G285" s="17" t="s">
        <v>482</v>
      </c>
      <c r="H285" s="17" t="s">
        <v>522</v>
      </c>
      <c r="I285" s="17" t="s">
        <v>523</v>
      </c>
      <c r="J285" s="17" t="s">
        <v>524</v>
      </c>
      <c r="K285" s="5" t="s">
        <v>357</v>
      </c>
    </row>
    <row r="286" customFormat="false" ht="17.15" hidden="false" customHeight="false" outlineLevel="0" collapsed="false">
      <c r="A286" s="6" t="s">
        <v>542</v>
      </c>
    </row>
    <row r="287" customFormat="false" ht="17.15" hidden="false" customHeight="false" outlineLevel="0" collapsed="false">
      <c r="A287" s="4" t="s">
        <v>543</v>
      </c>
      <c r="B287" s="4" t="s">
        <v>42</v>
      </c>
      <c r="D287" s="22" t="n">
        <f aca="false">cap_26</f>
        <v>3306</v>
      </c>
      <c r="E287" s="22" t="n">
        <f aca="false">D287*(1+capg27)*cap_adj_lo</f>
        <v>3140.7</v>
      </c>
      <c r="F287" s="22" t="n">
        <f aca="false">E287*(1+capg28)</f>
        <v>3140.7</v>
      </c>
      <c r="G287" s="22" t="n">
        <f aca="false">F287*(1+capg29)</f>
        <v>3140.7</v>
      </c>
    </row>
    <row r="288" customFormat="false" ht="15" hidden="false" customHeight="false" outlineLevel="0" collapsed="false">
      <c r="A288" s="4" t="s">
        <v>544</v>
      </c>
      <c r="B288" s="0" t="s">
        <v>48</v>
      </c>
      <c r="D288" s="20" t="n">
        <f aca="false">a26_ship/cap_26</f>
        <v>0.8725</v>
      </c>
      <c r="E288" s="20" t="n">
        <f aca="false">MIN(0.98,ut27_A+ut_adj)</f>
        <v>0.95</v>
      </c>
      <c r="F288" s="20" t="n">
        <f aca="false">MIN(0.98,ut28_A+ut_adj)</f>
        <v>0.94</v>
      </c>
      <c r="G288" s="20" t="n">
        <f aca="false">MIN(0.98,ut29_A+ut_adj)</f>
        <v>0.93</v>
      </c>
    </row>
    <row r="289" customFormat="false" ht="17.15" hidden="false" customHeight="false" outlineLevel="0" collapsed="false">
      <c r="A289" s="4" t="s">
        <v>545</v>
      </c>
      <c r="B289" s="4" t="s">
        <v>42</v>
      </c>
      <c r="D289" s="22" t="n">
        <f aca="false">D287*D288</f>
        <v>2884.485</v>
      </c>
      <c r="E289" s="22" t="n">
        <f aca="false">E287*E288</f>
        <v>2983.665</v>
      </c>
      <c r="F289" s="22" t="n">
        <f aca="false">F287*F288</f>
        <v>2952.258</v>
      </c>
      <c r="G289" s="22" t="n">
        <f aca="false">G287*G288</f>
        <v>2920.851</v>
      </c>
    </row>
    <row r="290" customFormat="false" ht="17.15" hidden="false" customHeight="false" outlineLevel="0" collapsed="false">
      <c r="A290" s="4" t="s">
        <v>546</v>
      </c>
      <c r="B290" s="0" t="s">
        <v>89</v>
      </c>
      <c r="D290" s="22" t="n">
        <f aca="false">asp_26</f>
        <v>643.469405492234</v>
      </c>
      <c r="E290" s="22" t="n">
        <f aca="false">D290*(1+asp27_A)*(1+asp_adj)</f>
        <v>682.077569821768</v>
      </c>
      <c r="F290" s="22" t="n">
        <f aca="false">E290*(1+asp28_A)</f>
        <v>695.719121218203</v>
      </c>
      <c r="G290" s="22" t="n">
        <f aca="false">F290*(1+asp29_A)</f>
        <v>702.676312430385</v>
      </c>
    </row>
    <row r="291" customFormat="false" ht="15" hidden="false" customHeight="false" outlineLevel="0" collapsed="false">
      <c r="A291" s="4" t="s">
        <v>547</v>
      </c>
      <c r="B291" s="0" t="s">
        <v>48</v>
      </c>
      <c r="E291" s="20" t="n">
        <f aca="false">E290/D290-1</f>
        <v>0.0600000000000001</v>
      </c>
      <c r="F291" s="20" t="n">
        <f aca="false">F290/E290-1</f>
        <v>0.02</v>
      </c>
      <c r="G291" s="20" t="n">
        <f aca="false">G290/F290-1</f>
        <v>0.01</v>
      </c>
    </row>
    <row r="292" customFormat="false" ht="15" hidden="false" customHeight="false" outlineLevel="0" collapsed="false">
      <c r="A292" s="4" t="s">
        <v>548</v>
      </c>
      <c r="B292" s="0" t="s">
        <v>35</v>
      </c>
      <c r="D292" s="23" t="n">
        <f aca="false">fx_26</f>
        <v>31.6</v>
      </c>
      <c r="E292" s="23" t="n">
        <f aca="false">fx</f>
        <v>32</v>
      </c>
      <c r="F292" s="23" t="n">
        <f aca="false">fx</f>
        <v>32</v>
      </c>
      <c r="G292" s="23" t="n">
        <f aca="false">fx</f>
        <v>32</v>
      </c>
    </row>
    <row r="293" customFormat="false" ht="17.15" hidden="false" customHeight="false" outlineLevel="0" collapsed="false">
      <c r="A293" s="0" t="s">
        <v>549</v>
      </c>
      <c r="B293" s="0" t="s">
        <v>184</v>
      </c>
      <c r="D293" s="23" t="n">
        <f aca="false">D289*D290*D292/1000000</f>
        <v>58.65206</v>
      </c>
      <c r="E293" s="23" t="n">
        <f aca="false">E289*E290*E292/1000000</f>
        <v>65.1229111155925</v>
      </c>
      <c r="F293" s="23" t="n">
        <f aca="false">F289*F290*F292/1000000</f>
        <v>65.7261549238211</v>
      </c>
      <c r="G293" s="23" t="n">
        <f aca="false">G289*G290*G292/1000000</f>
        <v>65.6772099148353</v>
      </c>
    </row>
    <row r="294" customFormat="false" ht="17.15" hidden="false" customHeight="false" outlineLevel="0" collapsed="false">
      <c r="A294" s="6" t="s">
        <v>550</v>
      </c>
    </row>
    <row r="295" customFormat="false" ht="17.15" hidden="false" customHeight="false" outlineLevel="0" collapsed="false">
      <c r="A295" s="0" t="s">
        <v>551</v>
      </c>
      <c r="B295" s="4" t="s">
        <v>42</v>
      </c>
      <c r="D295" s="22" t="n">
        <f aca="false">0</f>
        <v>0</v>
      </c>
      <c r="E295" s="22" t="n">
        <f aca="false">vcap27*vcap_adj</f>
        <v>144</v>
      </c>
      <c r="F295" s="22" t="n">
        <f aca="false">vcap28*vcap_adj</f>
        <v>360</v>
      </c>
      <c r="G295" s="22" t="n">
        <f aca="false">vcap29*vcap_adj</f>
        <v>504</v>
      </c>
    </row>
    <row r="296" customFormat="false" ht="17.15" hidden="false" customHeight="false" outlineLevel="0" collapsed="false">
      <c r="A296" s="0" t="s">
        <v>552</v>
      </c>
      <c r="B296" s="0" t="s">
        <v>48</v>
      </c>
      <c r="E296" s="20" t="n">
        <f aca="false">vut_A</f>
        <v>0.9</v>
      </c>
      <c r="F296" s="20" t="n">
        <f aca="false">vut_A</f>
        <v>0.9</v>
      </c>
      <c r="G296" s="20" t="n">
        <f aca="false">vut_A</f>
        <v>0.9</v>
      </c>
    </row>
    <row r="297" customFormat="false" ht="17.15" hidden="false" customHeight="false" outlineLevel="0" collapsed="false">
      <c r="A297" s="0" t="s">
        <v>553</v>
      </c>
      <c r="B297" s="4" t="s">
        <v>42</v>
      </c>
      <c r="D297" s="22" t="n">
        <f aca="false">0</f>
        <v>0</v>
      </c>
      <c r="E297" s="22" t="n">
        <f aca="false">E295*E296</f>
        <v>129.6</v>
      </c>
      <c r="F297" s="22" t="n">
        <f aca="false">F295*F296</f>
        <v>324</v>
      </c>
      <c r="G297" s="22" t="n">
        <f aca="false">G295*G296</f>
        <v>453.6</v>
      </c>
    </row>
    <row r="298" customFormat="false" ht="17.15" hidden="false" customHeight="false" outlineLevel="0" collapsed="false">
      <c r="A298" s="0" t="s">
        <v>554</v>
      </c>
      <c r="B298" s="0" t="s">
        <v>184</v>
      </c>
      <c r="D298" s="23" t="n">
        <f aca="false">0</f>
        <v>0</v>
      </c>
      <c r="E298" s="23" t="n">
        <f aca="false">E297*vasp*E292/1000000</f>
        <v>7.46496</v>
      </c>
      <c r="F298" s="23" t="n">
        <f aca="false">F297*vasp*F292/1000000</f>
        <v>18.6624</v>
      </c>
      <c r="G298" s="23" t="n">
        <f aca="false">G297*vasp*G292/1000000</f>
        <v>26.12736</v>
      </c>
    </row>
    <row r="299" customFormat="false" ht="17.15" hidden="false" customHeight="false" outlineLevel="0" collapsed="false">
      <c r="A299" s="4" t="s">
        <v>400</v>
      </c>
      <c r="B299" s="0" t="s">
        <v>184</v>
      </c>
      <c r="C299" s="23" t="n">
        <f aca="false">a25_rev</f>
        <v>48.591</v>
      </c>
      <c r="D299" s="23" t="n">
        <f aca="false">D293+D298</f>
        <v>58.65206</v>
      </c>
      <c r="E299" s="23" t="n">
        <f aca="false">E293+E298</f>
        <v>72.5878711155925</v>
      </c>
      <c r="F299" s="23" t="n">
        <f aca="false">F293+F298</f>
        <v>84.3885549238211</v>
      </c>
      <c r="G299" s="23" t="n">
        <f aca="false">G293+G298</f>
        <v>91.8045699148353</v>
      </c>
      <c r="H299" s="29" t="n">
        <f aca="false">G299*(1+H302)</f>
        <v>99.0191479048791</v>
      </c>
      <c r="I299" s="29" t="n">
        <f aca="false">H299*(1+I302)</f>
        <v>105.880494695352</v>
      </c>
      <c r="J299" s="29" t="n">
        <f aca="false">I299*(1+J302)</f>
        <v>112.233324377074</v>
      </c>
      <c r="K299" s="8" t="s">
        <v>555</v>
      </c>
    </row>
    <row r="300" customFormat="false" ht="17.15" hidden="false" customHeight="false" outlineLevel="0" collapsed="false">
      <c r="A300" s="0" t="s">
        <v>556</v>
      </c>
      <c r="B300" s="0" t="s">
        <v>48</v>
      </c>
      <c r="D300" s="20" t="n">
        <f aca="false">D298/D299</f>
        <v>0</v>
      </c>
      <c r="E300" s="20" t="n">
        <f aca="false">E298/E299</f>
        <v>0.102840321465172</v>
      </c>
      <c r="F300" s="20" t="n">
        <f aca="false">F298/F299</f>
        <v>0.221148472288059</v>
      </c>
      <c r="G300" s="20" t="n">
        <f aca="false">G298/G299</f>
        <v>0.284597597093888</v>
      </c>
    </row>
    <row r="301" customFormat="false" ht="17.15" hidden="false" customHeight="false" outlineLevel="0" collapsed="false">
      <c r="A301" s="0" t="s">
        <v>557</v>
      </c>
      <c r="B301" s="0" t="s">
        <v>48</v>
      </c>
      <c r="D301" s="20" t="n">
        <f aca="false">ai_sh26</f>
        <v>0.1</v>
      </c>
      <c r="E301" s="20" t="n">
        <f aca="false">ai_sh27_A</f>
        <v>0.25</v>
      </c>
      <c r="F301" s="20" t="n">
        <f aca="false">ai_sh27_A</f>
        <v>0.25</v>
      </c>
      <c r="G301" s="20" t="n">
        <f aca="false">ai_sh27_A</f>
        <v>0.25</v>
      </c>
    </row>
    <row r="302" customFormat="false" ht="15" hidden="false" customHeight="false" outlineLevel="0" collapsed="false">
      <c r="A302" s="4" t="s">
        <v>558</v>
      </c>
      <c r="B302" s="0" t="s">
        <v>48</v>
      </c>
      <c r="D302" s="20" t="n">
        <f aca="false">D299/C299-1</f>
        <v>0.207056039184211</v>
      </c>
      <c r="E302" s="20" t="n">
        <f aca="false">E299/D299-1</f>
        <v>0.237601392271515</v>
      </c>
      <c r="F302" s="20" t="n">
        <f aca="false">F299/E299-1</f>
        <v>0.162571013956818</v>
      </c>
      <c r="G302" s="20" t="n">
        <f aca="false">G299/F299-1</f>
        <v>0.0878793930967146</v>
      </c>
      <c r="H302" s="27" t="n">
        <f aca="false">$G302+(fade_gA-$G302)*1/3</f>
        <v>0.0785862620644764</v>
      </c>
      <c r="I302" s="27" t="n">
        <f aca="false">$G302+(fade_gA-$G302)*2/3</f>
        <v>0.0692931310322382</v>
      </c>
      <c r="J302" s="27" t="n">
        <f aca="false">$G302+(fade_gA-$G302)*3/3</f>
        <v>0.06</v>
      </c>
    </row>
    <row r="303" customFormat="false" ht="17.15" hidden="false" customHeight="false" outlineLevel="0" collapsed="false">
      <c r="A303" s="6" t="s">
        <v>559</v>
      </c>
    </row>
    <row r="304" customFormat="false" ht="15" hidden="false" customHeight="false" outlineLevel="0" collapsed="false">
      <c r="A304" s="4" t="s">
        <v>560</v>
      </c>
      <c r="B304" s="0" t="s">
        <v>184</v>
      </c>
      <c r="D304" s="23" t="n">
        <f aca="false">da_tot26*da_sh</f>
        <v>8.658</v>
      </c>
      <c r="E304" s="23" t="n">
        <f aca="false">D304*(1+dag_27+dag_adj)</f>
        <v>8.91774</v>
      </c>
      <c r="F304" s="23" t="n">
        <f aca="false">E304*(1+dag_28+dag_adj)</f>
        <v>9.0960948</v>
      </c>
      <c r="G304" s="23" t="n">
        <f aca="false">F304*(1+dag_29+dag_adj)</f>
        <v>9.0960948</v>
      </c>
    </row>
    <row r="305" customFormat="false" ht="17.15" hidden="false" customHeight="false" outlineLevel="0" collapsed="false">
      <c r="A305" s="4" t="s">
        <v>561</v>
      </c>
      <c r="B305" s="0" t="s">
        <v>562</v>
      </c>
      <c r="D305" s="23" t="n">
        <f aca="false">(D293-a26_gp-D304)/D289*1000</f>
        <v>10.7339918911001</v>
      </c>
      <c r="E305" s="23" t="n">
        <f aca="false">D305*(1+cc_g)</f>
        <v>10.9486717289221</v>
      </c>
      <c r="F305" s="23" t="n">
        <f aca="false">E305*(1+cc_g)</f>
        <v>11.1676451635006</v>
      </c>
      <c r="G305" s="23" t="n">
        <f aca="false">F305*(1+cc_g)</f>
        <v>11.3909980667706</v>
      </c>
      <c r="K305" s="8" t="s">
        <v>563</v>
      </c>
    </row>
    <row r="306" customFormat="false" ht="17.15" hidden="false" customHeight="false" outlineLevel="0" collapsed="false">
      <c r="A306" s="4" t="s">
        <v>564</v>
      </c>
      <c r="B306" s="0" t="s">
        <v>184</v>
      </c>
      <c r="D306" s="23" t="n">
        <f aca="false">D305*D289/1000</f>
        <v>30.9620386</v>
      </c>
      <c r="E306" s="23" t="n">
        <f aca="false">E305*E289/1000</f>
        <v>32.6671686340745</v>
      </c>
      <c r="F306" s="23" t="n">
        <f aca="false">F305*F289/1000</f>
        <v>32.9697697751059</v>
      </c>
      <c r="G306" s="23" t="n">
        <f aca="false">G305*G289/1000</f>
        <v>33.271408094325</v>
      </c>
    </row>
    <row r="307" customFormat="false" ht="17.15" hidden="false" customHeight="false" outlineLevel="0" collapsed="false">
      <c r="A307" s="0" t="s">
        <v>565</v>
      </c>
      <c r="B307" s="0" t="s">
        <v>48</v>
      </c>
      <c r="E307" s="20" t="n">
        <f aca="false">vgm27_A</f>
        <v>0.05</v>
      </c>
      <c r="F307" s="20" t="n">
        <f aca="false">vgm28_A</f>
        <v>0.2</v>
      </c>
      <c r="G307" s="20" t="n">
        <f aca="false">vgm29_A</f>
        <v>0.25</v>
      </c>
    </row>
    <row r="308" customFormat="false" ht="17.15" hidden="false" customHeight="false" outlineLevel="0" collapsed="false">
      <c r="A308" s="0" t="s">
        <v>566</v>
      </c>
      <c r="B308" s="0" t="s">
        <v>184</v>
      </c>
      <c r="D308" s="23" t="n">
        <f aca="false">0</f>
        <v>0</v>
      </c>
      <c r="E308" s="23" t="n">
        <f aca="false">E298*E307</f>
        <v>0.373248</v>
      </c>
      <c r="F308" s="23" t="n">
        <f aca="false">F298*F307</f>
        <v>3.73248</v>
      </c>
      <c r="G308" s="23" t="n">
        <f aca="false">G298*G307</f>
        <v>6.53184</v>
      </c>
    </row>
    <row r="309" customFormat="false" ht="15" hidden="false" customHeight="false" outlineLevel="0" collapsed="false">
      <c r="A309" s="4" t="s">
        <v>417</v>
      </c>
      <c r="B309" s="0" t="s">
        <v>184</v>
      </c>
      <c r="C309" s="23" t="n">
        <f aca="false">a25_gp</f>
        <v>13.654</v>
      </c>
      <c r="D309" s="23" t="n">
        <f aca="false">D293-D304-D306+D308</f>
        <v>19.0320214</v>
      </c>
      <c r="E309" s="23" t="n">
        <f aca="false">E293-E304-E306+E308</f>
        <v>23.911250481518</v>
      </c>
      <c r="F309" s="23" t="n">
        <f aca="false">F293-F304-F306+F308</f>
        <v>27.3927703487152</v>
      </c>
      <c r="G309" s="23" t="n">
        <f aca="false">G293-G304-G306+G308</f>
        <v>29.8415470205103</v>
      </c>
    </row>
    <row r="310" customFormat="false" ht="15" hidden="false" customHeight="false" outlineLevel="0" collapsed="false">
      <c r="A310" s="4" t="s">
        <v>420</v>
      </c>
      <c r="B310" s="0" t="s">
        <v>48</v>
      </c>
      <c r="C310" s="16" t="n">
        <f aca="false">C309/C299</f>
        <v>0.280998538824062</v>
      </c>
      <c r="D310" s="16" t="n">
        <f aca="false">D309/D299</f>
        <v>0.324490246378388</v>
      </c>
      <c r="E310" s="16" t="n">
        <f aca="false">E309/E299</f>
        <v>0.329411100147028</v>
      </c>
      <c r="F310" s="16" t="n">
        <f aca="false">F309/F299</f>
        <v>0.324602908219522</v>
      </c>
      <c r="G310" s="16" t="n">
        <f aca="false">G309/G299</f>
        <v>0.325055136669052</v>
      </c>
    </row>
    <row r="311" customFormat="false" ht="15" hidden="false" customHeight="false" outlineLevel="0" collapsed="false">
      <c r="A311" s="4" t="s">
        <v>422</v>
      </c>
      <c r="B311" s="0" t="s">
        <v>184</v>
      </c>
      <c r="C311" s="23" t="n">
        <f aca="false">a25_opx</f>
        <v>5.881</v>
      </c>
      <c r="D311" s="23" t="n">
        <f aca="false">a26_opx</f>
        <v>6.824187</v>
      </c>
      <c r="E311" s="23" t="n">
        <f aca="false">D311*(1+MAX(g_opx_min,phi*E302))</f>
        <v>7.63490516616059</v>
      </c>
      <c r="F311" s="23" t="n">
        <f aca="false">E311*(1+MAX(g_opx_min,phi*F302))</f>
        <v>8.25551230332403</v>
      </c>
      <c r="G311" s="23" t="n">
        <f aca="false">F311*(1+MAX(g_opx_min,phi*G302))</f>
        <v>8.61825700878331</v>
      </c>
    </row>
    <row r="312" customFormat="false" ht="15" hidden="false" customHeight="false" outlineLevel="0" collapsed="false">
      <c r="A312" s="4" t="s">
        <v>425</v>
      </c>
      <c r="B312" s="0" t="s">
        <v>184</v>
      </c>
      <c r="C312" s="23" t="n">
        <f aca="false">C309-C311</f>
        <v>7.773</v>
      </c>
      <c r="D312" s="23" t="n">
        <f aca="false">D309-D311</f>
        <v>12.2078344</v>
      </c>
      <c r="E312" s="23" t="n">
        <f aca="false">E309-E311</f>
        <v>16.2763453153574</v>
      </c>
      <c r="F312" s="23" t="n">
        <f aca="false">F309-F311</f>
        <v>19.1372580453912</v>
      </c>
      <c r="G312" s="23" t="n">
        <f aca="false">G309-G311</f>
        <v>21.223290011727</v>
      </c>
    </row>
    <row r="313" customFormat="false" ht="15" hidden="false" customHeight="false" outlineLevel="0" collapsed="false">
      <c r="A313" s="4" t="s">
        <v>531</v>
      </c>
      <c r="B313" s="0" t="s">
        <v>48</v>
      </c>
      <c r="C313" s="16" t="n">
        <f aca="false">C312/C299</f>
        <v>0.159967895289251</v>
      </c>
      <c r="D313" s="16" t="n">
        <f aca="false">D312/D299</f>
        <v>0.208139908470393</v>
      </c>
      <c r="E313" s="16" t="n">
        <f aca="false">E312/E299</f>
        <v>0.224229545035673</v>
      </c>
      <c r="F313" s="16" t="n">
        <f aca="false">F312/F299</f>
        <v>0.226775515502863</v>
      </c>
      <c r="G313" s="16" t="n">
        <f aca="false">G312/G299</f>
        <v>0.231179014633098</v>
      </c>
    </row>
    <row r="314" customFormat="false" ht="15" hidden="false" customHeight="false" outlineLevel="0" collapsed="false">
      <c r="A314" s="4" t="s">
        <v>428</v>
      </c>
      <c r="B314" s="0" t="s">
        <v>184</v>
      </c>
      <c r="C314" s="23" t="n">
        <f aca="false">a25_nonop</f>
        <v>1.479</v>
      </c>
      <c r="D314" s="23" t="n">
        <f aca="false">a26_nonop</f>
        <v>2.10950832169955</v>
      </c>
      <c r="E314" s="23" t="n">
        <f aca="false">nonop_f</f>
        <v>1.5</v>
      </c>
      <c r="F314" s="23" t="n">
        <f aca="false">nonop_f</f>
        <v>1.5</v>
      </c>
      <c r="G314" s="23" t="n">
        <f aca="false">nonop_f</f>
        <v>1.5</v>
      </c>
    </row>
    <row r="315" customFormat="false" ht="15" hidden="false" customHeight="false" outlineLevel="0" collapsed="false">
      <c r="A315" s="4" t="s">
        <v>430</v>
      </c>
      <c r="B315" s="0" t="s">
        <v>184</v>
      </c>
      <c r="C315" s="23" t="n">
        <f aca="false">C312+C314</f>
        <v>9.252</v>
      </c>
      <c r="D315" s="23" t="n">
        <f aca="false">D312+D314</f>
        <v>14.3173427216995</v>
      </c>
      <c r="E315" s="23" t="n">
        <f aca="false">E312+E314</f>
        <v>17.7763453153574</v>
      </c>
      <c r="F315" s="23" t="n">
        <f aca="false">F312+F314</f>
        <v>20.6372580453912</v>
      </c>
      <c r="G315" s="23" t="n">
        <f aca="false">G312+G314</f>
        <v>22.723290011727</v>
      </c>
    </row>
    <row r="316" customFormat="false" ht="15" hidden="false" customHeight="false" outlineLevel="0" collapsed="false">
      <c r="A316" s="4" t="s">
        <v>432</v>
      </c>
      <c r="B316" s="0" t="s">
        <v>184</v>
      </c>
      <c r="C316" s="23" t="n">
        <f aca="false">a25_tax</f>
        <v>1.344</v>
      </c>
      <c r="D316" s="23" t="n">
        <f aca="false">a26_tax</f>
        <v>2.0798215108046</v>
      </c>
      <c r="E316" s="23" t="n">
        <f aca="false">E315*tax</f>
        <v>2.66645179730361</v>
      </c>
      <c r="F316" s="23" t="n">
        <f aca="false">F315*tax</f>
        <v>3.09558870680868</v>
      </c>
      <c r="G316" s="23" t="n">
        <f aca="false">G315*tax</f>
        <v>3.40849350175905</v>
      </c>
    </row>
    <row r="317" customFormat="false" ht="17.15" hidden="false" customHeight="false" outlineLevel="0" collapsed="false">
      <c r="A317" s="4" t="s">
        <v>567</v>
      </c>
      <c r="B317" s="0" t="s">
        <v>184</v>
      </c>
      <c r="C317" s="23" t="n">
        <f aca="false">a25_mi</f>
        <v>0</v>
      </c>
      <c r="D317" s="23" t="n">
        <f aca="false">a26_mi</f>
        <v>0</v>
      </c>
      <c r="E317" s="23" t="n">
        <f aca="false">vmi*E308*(1-tax)</f>
        <v>0.12690432</v>
      </c>
      <c r="F317" s="23" t="n">
        <f aca="false">vmi*F308*(1-tax)</f>
        <v>1.2690432</v>
      </c>
      <c r="G317" s="23" t="n">
        <f aca="false">vmi*G308*(1-tax)</f>
        <v>2.2208256</v>
      </c>
      <c r="K317" s="8" t="s">
        <v>568</v>
      </c>
    </row>
    <row r="318" customFormat="false" ht="15" hidden="false" customHeight="false" outlineLevel="0" collapsed="false">
      <c r="A318" s="4" t="s">
        <v>435</v>
      </c>
      <c r="B318" s="0" t="s">
        <v>184</v>
      </c>
      <c r="C318" s="23" t="n">
        <f aca="false">C315-C316-C317</f>
        <v>7.908</v>
      </c>
      <c r="D318" s="23" t="n">
        <f aca="false">D315-D316-D317</f>
        <v>12.2375212108949</v>
      </c>
      <c r="E318" s="23" t="n">
        <f aca="false">E315-E316-E317</f>
        <v>14.9829891980538</v>
      </c>
      <c r="F318" s="23" t="n">
        <f aca="false">F315-F316-F317</f>
        <v>16.2726261385825</v>
      </c>
      <c r="G318" s="23" t="n">
        <f aca="false">G315-G316-G317</f>
        <v>17.093970909968</v>
      </c>
      <c r="H318" s="29" t="n">
        <f aca="false">H299*H322</f>
        <v>18.4373221876212</v>
      </c>
      <c r="I318" s="29" t="n">
        <f aca="false">I299*I322</f>
        <v>19.7149019698517</v>
      </c>
      <c r="J318" s="29" t="n">
        <f aca="false">J299*J322</f>
        <v>20.8977960880428</v>
      </c>
    </row>
    <row r="319" customFormat="false" ht="15" hidden="false" customHeight="false" outlineLevel="0" collapsed="false">
      <c r="A319" s="4" t="s">
        <v>569</v>
      </c>
      <c r="B319" s="4" t="s">
        <v>265</v>
      </c>
      <c r="C319" s="10" t="n">
        <f aca="false">a25_sh</f>
        <v>1.8739336492891</v>
      </c>
      <c r="D319" s="10" t="n">
        <f aca="false">a26_sh</f>
        <v>1.90613591916558</v>
      </c>
      <c r="E319" s="10" t="n">
        <f aca="false">q_sh*(1+sh_g)</f>
        <v>1.90705128205128</v>
      </c>
      <c r="F319" s="10" t="n">
        <f aca="false">E319*(1+sh_g)</f>
        <v>1.90705128205128</v>
      </c>
      <c r="G319" s="10" t="n">
        <f aca="false">F319*(1+sh_g)</f>
        <v>1.90705128205128</v>
      </c>
      <c r="H319" s="31" t="n">
        <f aca="false">G319*(1+sh_g)</f>
        <v>1.90705128205128</v>
      </c>
      <c r="I319" s="31" t="n">
        <f aca="false">H319*(1+sh_g)</f>
        <v>1.90705128205128</v>
      </c>
      <c r="J319" s="31" t="n">
        <f aca="false">I319*(1+sh_g)</f>
        <v>1.90705128205128</v>
      </c>
    </row>
    <row r="320" customFormat="false" ht="17.15" hidden="false" customHeight="false" outlineLevel="0" collapsed="false">
      <c r="A320" s="0" t="s">
        <v>442</v>
      </c>
      <c r="B320" s="0" t="s">
        <v>274</v>
      </c>
      <c r="C320" s="23" t="n">
        <f aca="false">C318/C319</f>
        <v>4.22</v>
      </c>
      <c r="D320" s="23" t="n">
        <f aca="false">D318/D319</f>
        <v>6.42006747150118</v>
      </c>
      <c r="E320" s="23" t="n">
        <f aca="false">E318/E319</f>
        <v>7.85662626855929</v>
      </c>
      <c r="F320" s="23" t="n">
        <f aca="false">F318/F319</f>
        <v>8.53287286594578</v>
      </c>
      <c r="G320" s="23" t="n">
        <f aca="false">G318/G319</f>
        <v>8.96356121665546</v>
      </c>
      <c r="H320" s="29" t="n">
        <f aca="false">H318/H319</f>
        <v>9.66797398745853</v>
      </c>
      <c r="I320" s="29" t="n">
        <f aca="false">I318/I319</f>
        <v>10.3378981757878</v>
      </c>
      <c r="J320" s="29" t="n">
        <f aca="false">J318/J319</f>
        <v>10.958172066335</v>
      </c>
    </row>
    <row r="321" customFormat="false" ht="17.15" hidden="false" customHeight="false" outlineLevel="0" collapsed="false">
      <c r="A321" s="0" t="s">
        <v>570</v>
      </c>
      <c r="B321" s="0" t="s">
        <v>48</v>
      </c>
      <c r="D321" s="20" t="n">
        <f aca="false">D320/C320-1</f>
        <v>0.521343002725398</v>
      </c>
      <c r="E321" s="20" t="n">
        <f aca="false">E320/D320-1</f>
        <v>0.223760700870361</v>
      </c>
      <c r="F321" s="20" t="n">
        <f aca="false">F320/E320-1</f>
        <v>0.0860734078815353</v>
      </c>
      <c r="G321" s="20" t="n">
        <f aca="false">G320/F320-1</f>
        <v>0.0504740147282092</v>
      </c>
      <c r="H321" s="27" t="n">
        <f aca="false">H320/G320-1</f>
        <v>0.0785862620644762</v>
      </c>
      <c r="I321" s="27" t="n">
        <f aca="false">I320/H320-1</f>
        <v>0.0692931310322384</v>
      </c>
      <c r="J321" s="27" t="n">
        <f aca="false">J320/I320-1</f>
        <v>0.0599999999999998</v>
      </c>
    </row>
    <row r="322" customFormat="false" ht="17.15" hidden="false" customHeight="false" outlineLevel="0" collapsed="false">
      <c r="A322" s="4" t="s">
        <v>571</v>
      </c>
      <c r="B322" s="0" t="s">
        <v>48</v>
      </c>
      <c r="C322" s="16" t="n">
        <f aca="false">C318/C299</f>
        <v>0.162746187565599</v>
      </c>
      <c r="D322" s="16" t="n">
        <f aca="false">D318/D299</f>
        <v>0.208646059676249</v>
      </c>
      <c r="E322" s="16" t="n">
        <f aca="false">E318/E299</f>
        <v>0.206411745761136</v>
      </c>
      <c r="F322" s="16" t="n">
        <f aca="false">F318/F299</f>
        <v>0.192829775948552</v>
      </c>
      <c r="G322" s="16" t="n">
        <f aca="false">G318/G299</f>
        <v>0.186199564202801</v>
      </c>
      <c r="H322" s="28" t="n">
        <f aca="false">$G322+($G$322*1-$G322)*1/3</f>
        <v>0.186199564202801</v>
      </c>
      <c r="I322" s="28" t="n">
        <f aca="false">$G322+($G$322*1-$G322)*2/3</f>
        <v>0.186199564202801</v>
      </c>
      <c r="J322" s="28" t="n">
        <f aca="false">$G322+($G$322*1-$G322)*3/3</f>
        <v>0.186199564202801</v>
      </c>
    </row>
    <row r="325" customFormat="false" ht="17.15" hidden="false" customHeight="false" outlineLevel="0" collapsed="false">
      <c r="A325" s="1" t="s">
        <v>852</v>
      </c>
    </row>
    <row r="326" customFormat="false" ht="17.15" hidden="false" customHeight="false" outlineLevel="0" collapsed="false">
      <c r="A326" s="5" t="s">
        <v>24</v>
      </c>
      <c r="B326" s="5" t="s">
        <v>25</v>
      </c>
      <c r="C326" s="17" t="s">
        <v>394</v>
      </c>
      <c r="D326" s="17" t="s">
        <v>521</v>
      </c>
      <c r="E326" s="17" t="s">
        <v>480</v>
      </c>
      <c r="F326" s="17" t="s">
        <v>481</v>
      </c>
      <c r="G326" s="17" t="s">
        <v>482</v>
      </c>
      <c r="H326" s="17" t="s">
        <v>522</v>
      </c>
      <c r="I326" s="17" t="s">
        <v>523</v>
      </c>
      <c r="J326" s="17" t="s">
        <v>524</v>
      </c>
      <c r="K326" s="5" t="s">
        <v>357</v>
      </c>
    </row>
    <row r="327" customFormat="false" ht="17.15" hidden="false" customHeight="false" outlineLevel="0" collapsed="false">
      <c r="A327" s="6" t="s">
        <v>542</v>
      </c>
    </row>
    <row r="328" customFormat="false" ht="17.15" hidden="false" customHeight="false" outlineLevel="0" collapsed="false">
      <c r="A328" s="4" t="s">
        <v>543</v>
      </c>
      <c r="B328" s="4" t="s">
        <v>42</v>
      </c>
      <c r="D328" s="22" t="n">
        <f aca="false">cap_26</f>
        <v>3306</v>
      </c>
      <c r="E328" s="22" t="n">
        <f aca="false">D328*(1+capg27)*cap_adj_lo</f>
        <v>3140.7</v>
      </c>
      <c r="F328" s="22" t="n">
        <f aca="false">E328*(1+capg28)</f>
        <v>3140.7</v>
      </c>
      <c r="G328" s="22" t="n">
        <f aca="false">F328*(1+capg29)</f>
        <v>3140.7</v>
      </c>
    </row>
    <row r="329" customFormat="false" ht="15" hidden="false" customHeight="false" outlineLevel="0" collapsed="false">
      <c r="A329" s="4" t="s">
        <v>544</v>
      </c>
      <c r="B329" s="0" t="s">
        <v>48</v>
      </c>
      <c r="D329" s="20" t="n">
        <f aca="false">a26_ship/cap_26</f>
        <v>0.8725</v>
      </c>
      <c r="E329" s="20" t="n">
        <f aca="false">MIN(0.98,ut27_B+ut_adj)</f>
        <v>0.9</v>
      </c>
      <c r="F329" s="20" t="n">
        <f aca="false">MIN(0.98,ut28_B+ut_adj)</f>
        <v>0.86</v>
      </c>
      <c r="G329" s="20" t="n">
        <f aca="false">MIN(0.98,ut29_B+ut_adj)</f>
        <v>0.87</v>
      </c>
    </row>
    <row r="330" customFormat="false" ht="17.15" hidden="false" customHeight="false" outlineLevel="0" collapsed="false">
      <c r="A330" s="4" t="s">
        <v>545</v>
      </c>
      <c r="B330" s="4" t="s">
        <v>42</v>
      </c>
      <c r="D330" s="22" t="n">
        <f aca="false">D328*D329</f>
        <v>2884.485</v>
      </c>
      <c r="E330" s="22" t="n">
        <f aca="false">E328*E329</f>
        <v>2826.63</v>
      </c>
      <c r="F330" s="22" t="n">
        <f aca="false">F328*F329</f>
        <v>2701.002</v>
      </c>
      <c r="G330" s="22" t="n">
        <f aca="false">G328*G329</f>
        <v>2732.409</v>
      </c>
    </row>
    <row r="331" customFormat="false" ht="17.15" hidden="false" customHeight="false" outlineLevel="0" collapsed="false">
      <c r="A331" s="4" t="s">
        <v>546</v>
      </c>
      <c r="B331" s="0" t="s">
        <v>89</v>
      </c>
      <c r="D331" s="22" t="n">
        <f aca="false">asp_26</f>
        <v>643.469405492234</v>
      </c>
      <c r="E331" s="22" t="n">
        <f aca="false">D331*(1+asp27_B)*(1+asp_adj)</f>
        <v>662.773487657001</v>
      </c>
      <c r="F331" s="22" t="n">
        <f aca="false">E331*(1+asp28_B)</f>
        <v>662.773487657001</v>
      </c>
      <c r="G331" s="22" t="n">
        <f aca="false">F331*(1+asp29_B)</f>
        <v>662.773487657001</v>
      </c>
    </row>
    <row r="332" customFormat="false" ht="15" hidden="false" customHeight="false" outlineLevel="0" collapsed="false">
      <c r="A332" s="4" t="s">
        <v>547</v>
      </c>
      <c r="B332" s="0" t="s">
        <v>48</v>
      </c>
      <c r="E332" s="20" t="n">
        <f aca="false">E331/D331-1</f>
        <v>0.03</v>
      </c>
      <c r="F332" s="20" t="n">
        <f aca="false">F331/E331-1</f>
        <v>0</v>
      </c>
      <c r="G332" s="20" t="n">
        <f aca="false">G331/F331-1</f>
        <v>0</v>
      </c>
    </row>
    <row r="333" customFormat="false" ht="15" hidden="false" customHeight="false" outlineLevel="0" collapsed="false">
      <c r="A333" s="4" t="s">
        <v>548</v>
      </c>
      <c r="B333" s="0" t="s">
        <v>35</v>
      </c>
      <c r="D333" s="23" t="n">
        <f aca="false">fx_26</f>
        <v>31.6</v>
      </c>
      <c r="E333" s="23" t="n">
        <f aca="false">fx</f>
        <v>32</v>
      </c>
      <c r="F333" s="23" t="n">
        <f aca="false">fx</f>
        <v>32</v>
      </c>
      <c r="G333" s="23" t="n">
        <f aca="false">fx</f>
        <v>32</v>
      </c>
    </row>
    <row r="334" customFormat="false" ht="17.15" hidden="false" customHeight="false" outlineLevel="0" collapsed="false">
      <c r="A334" s="0" t="s">
        <v>549</v>
      </c>
      <c r="B334" s="0" t="s">
        <v>184</v>
      </c>
      <c r="D334" s="23" t="n">
        <f aca="false">D330*D331*D333/1000000</f>
        <v>58.65206</v>
      </c>
      <c r="E334" s="23" t="n">
        <f aca="false">E330*E331*E333/1000000</f>
        <v>59.9492935493091</v>
      </c>
      <c r="F334" s="23" t="n">
        <f aca="false">F330*F331*F333/1000000</f>
        <v>57.2848805026731</v>
      </c>
      <c r="G334" s="23" t="n">
        <f aca="false">G330*G331*G333/1000000</f>
        <v>57.9509837643321</v>
      </c>
    </row>
    <row r="335" customFormat="false" ht="17.15" hidden="false" customHeight="false" outlineLevel="0" collapsed="false">
      <c r="A335" s="6" t="s">
        <v>550</v>
      </c>
    </row>
    <row r="336" customFormat="false" ht="17.15" hidden="false" customHeight="false" outlineLevel="0" collapsed="false">
      <c r="A336" s="0" t="s">
        <v>551</v>
      </c>
      <c r="B336" s="4" t="s">
        <v>42</v>
      </c>
      <c r="D336" s="22" t="n">
        <f aca="false">0</f>
        <v>0</v>
      </c>
      <c r="E336" s="22" t="n">
        <f aca="false">vcap27*vcap_adj</f>
        <v>144</v>
      </c>
      <c r="F336" s="22" t="n">
        <f aca="false">vcap28*vcap_adj</f>
        <v>360</v>
      </c>
      <c r="G336" s="22" t="n">
        <f aca="false">vcap29*vcap_adj</f>
        <v>504</v>
      </c>
    </row>
    <row r="337" customFormat="false" ht="17.15" hidden="false" customHeight="false" outlineLevel="0" collapsed="false">
      <c r="A337" s="0" t="s">
        <v>552</v>
      </c>
      <c r="B337" s="0" t="s">
        <v>48</v>
      </c>
      <c r="E337" s="20" t="n">
        <f aca="false">vut_B</f>
        <v>0.8</v>
      </c>
      <c r="F337" s="20" t="n">
        <f aca="false">vut_B</f>
        <v>0.8</v>
      </c>
      <c r="G337" s="20" t="n">
        <f aca="false">vut_B</f>
        <v>0.8</v>
      </c>
    </row>
    <row r="338" customFormat="false" ht="17.15" hidden="false" customHeight="false" outlineLevel="0" collapsed="false">
      <c r="A338" s="0" t="s">
        <v>553</v>
      </c>
      <c r="B338" s="4" t="s">
        <v>42</v>
      </c>
      <c r="D338" s="22" t="n">
        <f aca="false">0</f>
        <v>0</v>
      </c>
      <c r="E338" s="22" t="n">
        <f aca="false">E336*E337</f>
        <v>115.2</v>
      </c>
      <c r="F338" s="22" t="n">
        <f aca="false">F336*F337</f>
        <v>288</v>
      </c>
      <c r="G338" s="22" t="n">
        <f aca="false">G336*G337</f>
        <v>403.2</v>
      </c>
    </row>
    <row r="339" customFormat="false" ht="17.15" hidden="false" customHeight="false" outlineLevel="0" collapsed="false">
      <c r="A339" s="0" t="s">
        <v>554</v>
      </c>
      <c r="B339" s="0" t="s">
        <v>184</v>
      </c>
      <c r="D339" s="23" t="n">
        <f aca="false">0</f>
        <v>0</v>
      </c>
      <c r="E339" s="23" t="n">
        <f aca="false">E338*vasp*E333/1000000</f>
        <v>6.63552</v>
      </c>
      <c r="F339" s="23" t="n">
        <f aca="false">F338*vasp*F333/1000000</f>
        <v>16.5888</v>
      </c>
      <c r="G339" s="23" t="n">
        <f aca="false">G338*vasp*G333/1000000</f>
        <v>23.22432</v>
      </c>
    </row>
    <row r="340" customFormat="false" ht="17.15" hidden="false" customHeight="false" outlineLevel="0" collapsed="false">
      <c r="A340" s="4" t="s">
        <v>400</v>
      </c>
      <c r="B340" s="0" t="s">
        <v>184</v>
      </c>
      <c r="C340" s="23" t="n">
        <f aca="false">a25_rev</f>
        <v>48.591</v>
      </c>
      <c r="D340" s="23" t="n">
        <f aca="false">D334+D339</f>
        <v>58.65206</v>
      </c>
      <c r="E340" s="23" t="n">
        <f aca="false">E334+E339</f>
        <v>66.5848135493091</v>
      </c>
      <c r="F340" s="23" t="n">
        <f aca="false">F334+F339</f>
        <v>73.8736805026731</v>
      </c>
      <c r="G340" s="23" t="n">
        <f aca="false">G334+G339</f>
        <v>81.1753037643321</v>
      </c>
      <c r="H340" s="29" t="n">
        <f aca="false">G340*(1+H343)</f>
        <v>87.6065149028464</v>
      </c>
      <c r="I340" s="29" t="n">
        <f aca="false">H340*(1+I343)</f>
        <v>92.8290109914972</v>
      </c>
      <c r="J340" s="29" t="n">
        <f aca="false">I340*(1+J343)</f>
        <v>96.542171431157</v>
      </c>
      <c r="K340" s="8" t="s">
        <v>555</v>
      </c>
    </row>
    <row r="341" customFormat="false" ht="17.15" hidden="false" customHeight="false" outlineLevel="0" collapsed="false">
      <c r="A341" s="0" t="s">
        <v>556</v>
      </c>
      <c r="B341" s="0" t="s">
        <v>48</v>
      </c>
      <c r="D341" s="20" t="n">
        <f aca="false">D339/D340</f>
        <v>0</v>
      </c>
      <c r="E341" s="20" t="n">
        <f aca="false">E339/E340</f>
        <v>0.0996551562780318</v>
      </c>
      <c r="F341" s="20" t="n">
        <f aca="false">F339/F340</f>
        <v>0.224556295112435</v>
      </c>
      <c r="G341" s="20" t="n">
        <f aca="false">G339/G340</f>
        <v>0.286100808041628</v>
      </c>
    </row>
    <row r="342" customFormat="false" ht="17.15" hidden="false" customHeight="false" outlineLevel="0" collapsed="false">
      <c r="A342" s="0" t="s">
        <v>557</v>
      </c>
      <c r="B342" s="0" t="s">
        <v>48</v>
      </c>
      <c r="D342" s="20" t="n">
        <f aca="false">ai_sh26</f>
        <v>0.1</v>
      </c>
      <c r="E342" s="20" t="n">
        <f aca="false">ai_sh27_B</f>
        <v>0.2</v>
      </c>
      <c r="F342" s="20" t="n">
        <f aca="false">ai_sh27_B</f>
        <v>0.2</v>
      </c>
      <c r="G342" s="20" t="n">
        <f aca="false">ai_sh27_B</f>
        <v>0.2</v>
      </c>
    </row>
    <row r="343" customFormat="false" ht="15" hidden="false" customHeight="false" outlineLevel="0" collapsed="false">
      <c r="A343" s="4" t="s">
        <v>558</v>
      </c>
      <c r="B343" s="0" t="s">
        <v>48</v>
      </c>
      <c r="D343" s="20" t="n">
        <f aca="false">D340/C340-1</f>
        <v>0.207056039184211</v>
      </c>
      <c r="E343" s="20" t="n">
        <f aca="false">E340/D340-1</f>
        <v>0.13525106448621</v>
      </c>
      <c r="F343" s="20" t="n">
        <f aca="false">F340/E340-1</f>
        <v>0.109467408029405</v>
      </c>
      <c r="G343" s="20" t="n">
        <f aca="false">G340/F340-1</f>
        <v>0.0988393053111085</v>
      </c>
      <c r="H343" s="27" t="n">
        <f aca="false">$G343+(fade_gB-$G343)*1/3</f>
        <v>0.079226203540739</v>
      </c>
      <c r="I343" s="27" t="n">
        <f aca="false">$G343+(fade_gB-$G343)*2/3</f>
        <v>0.0596131017703695</v>
      </c>
      <c r="J343" s="27" t="n">
        <f aca="false">$G343+(fade_gB-$G343)*3/3</f>
        <v>0.04</v>
      </c>
    </row>
    <row r="344" customFormat="false" ht="17.15" hidden="false" customHeight="false" outlineLevel="0" collapsed="false">
      <c r="A344" s="6" t="s">
        <v>559</v>
      </c>
    </row>
    <row r="345" customFormat="false" ht="15" hidden="false" customHeight="false" outlineLevel="0" collapsed="false">
      <c r="A345" s="4" t="s">
        <v>560</v>
      </c>
      <c r="B345" s="0" t="s">
        <v>184</v>
      </c>
      <c r="D345" s="23" t="n">
        <f aca="false">da_tot26*da_sh</f>
        <v>8.658</v>
      </c>
      <c r="E345" s="23" t="n">
        <f aca="false">D345*(1+dag_27+dag_adj)</f>
        <v>8.91774</v>
      </c>
      <c r="F345" s="23" t="n">
        <f aca="false">E345*(1+dag_28+dag_adj)</f>
        <v>9.0960948</v>
      </c>
      <c r="G345" s="23" t="n">
        <f aca="false">F345*(1+dag_29+dag_adj)</f>
        <v>9.0960948</v>
      </c>
    </row>
    <row r="346" customFormat="false" ht="17.15" hidden="false" customHeight="false" outlineLevel="0" collapsed="false">
      <c r="A346" s="4" t="s">
        <v>561</v>
      </c>
      <c r="B346" s="0" t="s">
        <v>562</v>
      </c>
      <c r="D346" s="23" t="n">
        <f aca="false">(D334-a26_gp-D345)/D330*1000</f>
        <v>10.7339918911001</v>
      </c>
      <c r="E346" s="23" t="n">
        <f aca="false">D346*(1+cc_g)</f>
        <v>10.9486717289221</v>
      </c>
      <c r="F346" s="23" t="n">
        <f aca="false">E346*(1+cc_g)</f>
        <v>11.1676451635006</v>
      </c>
      <c r="G346" s="23" t="n">
        <f aca="false">F346*(1+cc_g)</f>
        <v>11.3909980667706</v>
      </c>
      <c r="K346" s="8" t="s">
        <v>563</v>
      </c>
    </row>
    <row r="347" customFormat="false" ht="17.15" hidden="false" customHeight="false" outlineLevel="0" collapsed="false">
      <c r="A347" s="4" t="s">
        <v>564</v>
      </c>
      <c r="B347" s="0" t="s">
        <v>184</v>
      </c>
      <c r="D347" s="23" t="n">
        <f aca="false">D346*D330/1000</f>
        <v>30.9620386</v>
      </c>
      <c r="E347" s="23" t="n">
        <f aca="false">E346*E330/1000</f>
        <v>30.9478439691232</v>
      </c>
      <c r="F347" s="23" t="n">
        <f aca="false">F346*F330/1000</f>
        <v>30.1638319219054</v>
      </c>
      <c r="G347" s="23" t="n">
        <f aca="false">G346*G330/1000</f>
        <v>31.1248656366266</v>
      </c>
    </row>
    <row r="348" customFormat="false" ht="17.15" hidden="false" customHeight="false" outlineLevel="0" collapsed="false">
      <c r="A348" s="0" t="s">
        <v>565</v>
      </c>
      <c r="B348" s="0" t="s">
        <v>48</v>
      </c>
      <c r="E348" s="20" t="n">
        <f aca="false">vgm27_B</f>
        <v>-0.05</v>
      </c>
      <c r="F348" s="20" t="n">
        <f aca="false">vgm28_B</f>
        <v>0.12</v>
      </c>
      <c r="G348" s="20" t="n">
        <f aca="false">vgm29_B</f>
        <v>0.18</v>
      </c>
    </row>
    <row r="349" customFormat="false" ht="17.15" hidden="false" customHeight="false" outlineLevel="0" collapsed="false">
      <c r="A349" s="0" t="s">
        <v>566</v>
      </c>
      <c r="B349" s="0" t="s">
        <v>184</v>
      </c>
      <c r="D349" s="23" t="n">
        <f aca="false">0</f>
        <v>0</v>
      </c>
      <c r="E349" s="23" t="n">
        <f aca="false">E339*E348</f>
        <v>-0.331776</v>
      </c>
      <c r="F349" s="23" t="n">
        <f aca="false">F339*F348</f>
        <v>1.990656</v>
      </c>
      <c r="G349" s="23" t="n">
        <f aca="false">G339*G348</f>
        <v>4.1803776</v>
      </c>
    </row>
    <row r="350" customFormat="false" ht="15" hidden="false" customHeight="false" outlineLevel="0" collapsed="false">
      <c r="A350" s="4" t="s">
        <v>417</v>
      </c>
      <c r="B350" s="0" t="s">
        <v>184</v>
      </c>
      <c r="C350" s="23" t="n">
        <f aca="false">a25_gp</f>
        <v>13.654</v>
      </c>
      <c r="D350" s="23" t="n">
        <f aca="false">D334-D345-D347+D349</f>
        <v>19.0320214</v>
      </c>
      <c r="E350" s="23" t="n">
        <f aca="false">E334-E345-E347+E349</f>
        <v>19.7519335801858</v>
      </c>
      <c r="F350" s="23" t="n">
        <f aca="false">F334-F345-F347+F349</f>
        <v>20.0156097807677</v>
      </c>
      <c r="G350" s="23" t="n">
        <f aca="false">G334-G345-G347+G349</f>
        <v>21.9104009277055</v>
      </c>
    </row>
    <row r="351" customFormat="false" ht="15" hidden="false" customHeight="false" outlineLevel="0" collapsed="false">
      <c r="A351" s="4" t="s">
        <v>420</v>
      </c>
      <c r="B351" s="0" t="s">
        <v>48</v>
      </c>
      <c r="C351" s="16" t="n">
        <f aca="false">C350/C340</f>
        <v>0.280998538824062</v>
      </c>
      <c r="D351" s="16" t="n">
        <f aca="false">D350/D340</f>
        <v>0.324490246378388</v>
      </c>
      <c r="E351" s="16" t="n">
        <f aca="false">E350/E340</f>
        <v>0.29664322128887</v>
      </c>
      <c r="F351" s="16" t="n">
        <f aca="false">F350/F340</f>
        <v>0.270943719665401</v>
      </c>
      <c r="G351" s="16" t="n">
        <f aca="false">G350/G340</f>
        <v>0.269914615796397</v>
      </c>
    </row>
    <row r="352" customFormat="false" ht="15" hidden="false" customHeight="false" outlineLevel="0" collapsed="false">
      <c r="A352" s="4" t="s">
        <v>422</v>
      </c>
      <c r="B352" s="0" t="s">
        <v>184</v>
      </c>
      <c r="C352" s="23" t="n">
        <f aca="false">a25_opx</f>
        <v>5.881</v>
      </c>
      <c r="D352" s="23" t="n">
        <f aca="false">a26_opx</f>
        <v>6.824187</v>
      </c>
      <c r="E352" s="23" t="n">
        <f aca="false">D352*(1+MAX(g_opx_min,phi*E343))</f>
        <v>7.28567627800148</v>
      </c>
      <c r="F352" s="23" t="n">
        <f aca="false">E352*(1+MAX(g_opx_min,phi*F343))</f>
        <v>7.68444832694855</v>
      </c>
      <c r="G352" s="23" t="n">
        <f aca="false">F352*(1+MAX(g_opx_min,phi*G343))</f>
        <v>8.0642110941159</v>
      </c>
    </row>
    <row r="353" customFormat="false" ht="15" hidden="false" customHeight="false" outlineLevel="0" collapsed="false">
      <c r="A353" s="4" t="s">
        <v>425</v>
      </c>
      <c r="B353" s="0" t="s">
        <v>184</v>
      </c>
      <c r="C353" s="23" t="n">
        <f aca="false">C350-C352</f>
        <v>7.773</v>
      </c>
      <c r="D353" s="23" t="n">
        <f aca="false">D350-D352</f>
        <v>12.2078344</v>
      </c>
      <c r="E353" s="23" t="n">
        <f aca="false">E350-E352</f>
        <v>12.4662573021844</v>
      </c>
      <c r="F353" s="23" t="n">
        <f aca="false">F350-F352</f>
        <v>12.3311614538191</v>
      </c>
      <c r="G353" s="23" t="n">
        <f aca="false">G350-G352</f>
        <v>13.8461898335896</v>
      </c>
    </row>
    <row r="354" customFormat="false" ht="15" hidden="false" customHeight="false" outlineLevel="0" collapsed="false">
      <c r="A354" s="4" t="s">
        <v>531</v>
      </c>
      <c r="B354" s="0" t="s">
        <v>48</v>
      </c>
      <c r="C354" s="16" t="n">
        <f aca="false">C353/C340</f>
        <v>0.159967895289251</v>
      </c>
      <c r="D354" s="16" t="n">
        <f aca="false">D353/D340</f>
        <v>0.208139908470393</v>
      </c>
      <c r="E354" s="16" t="n">
        <f aca="false">E353/E340</f>
        <v>0.187223732224654</v>
      </c>
      <c r="F354" s="16" t="n">
        <f aca="false">F353/F340</f>
        <v>0.16692225661307</v>
      </c>
      <c r="G354" s="16" t="n">
        <f aca="false">G353/G340</f>
        <v>0.170571456976469</v>
      </c>
    </row>
    <row r="355" customFormat="false" ht="15" hidden="false" customHeight="false" outlineLevel="0" collapsed="false">
      <c r="A355" s="4" t="s">
        <v>428</v>
      </c>
      <c r="B355" s="0" t="s">
        <v>184</v>
      </c>
      <c r="C355" s="23" t="n">
        <f aca="false">a25_nonop</f>
        <v>1.479</v>
      </c>
      <c r="D355" s="23" t="n">
        <f aca="false">a26_nonop</f>
        <v>2.10950832169955</v>
      </c>
      <c r="E355" s="23" t="n">
        <f aca="false">nonop_f</f>
        <v>1.5</v>
      </c>
      <c r="F355" s="23" t="n">
        <f aca="false">nonop_f</f>
        <v>1.5</v>
      </c>
      <c r="G355" s="23" t="n">
        <f aca="false">nonop_f</f>
        <v>1.5</v>
      </c>
    </row>
    <row r="356" customFormat="false" ht="15" hidden="false" customHeight="false" outlineLevel="0" collapsed="false">
      <c r="A356" s="4" t="s">
        <v>430</v>
      </c>
      <c r="B356" s="0" t="s">
        <v>184</v>
      </c>
      <c r="C356" s="23" t="n">
        <f aca="false">C353+C355</f>
        <v>9.252</v>
      </c>
      <c r="D356" s="23" t="n">
        <f aca="false">D353+D355</f>
        <v>14.3173427216995</v>
      </c>
      <c r="E356" s="23" t="n">
        <f aca="false">E353+E355</f>
        <v>13.9662573021844</v>
      </c>
      <c r="F356" s="23" t="n">
        <f aca="false">F353+F355</f>
        <v>13.8311614538191</v>
      </c>
      <c r="G356" s="23" t="n">
        <f aca="false">G353+G355</f>
        <v>15.3461898335896</v>
      </c>
    </row>
    <row r="357" customFormat="false" ht="15" hidden="false" customHeight="false" outlineLevel="0" collapsed="false">
      <c r="A357" s="4" t="s">
        <v>432</v>
      </c>
      <c r="B357" s="0" t="s">
        <v>184</v>
      </c>
      <c r="C357" s="23" t="n">
        <f aca="false">a25_tax</f>
        <v>1.344</v>
      </c>
      <c r="D357" s="23" t="n">
        <f aca="false">a26_tax</f>
        <v>2.0798215108046</v>
      </c>
      <c r="E357" s="23" t="n">
        <f aca="false">E356*tax</f>
        <v>2.09493859532766</v>
      </c>
      <c r="F357" s="23" t="n">
        <f aca="false">F356*tax</f>
        <v>2.07467421807287</v>
      </c>
      <c r="G357" s="23" t="n">
        <f aca="false">G356*tax</f>
        <v>2.30192847503844</v>
      </c>
    </row>
    <row r="358" customFormat="false" ht="17.15" hidden="false" customHeight="false" outlineLevel="0" collapsed="false">
      <c r="A358" s="4" t="s">
        <v>567</v>
      </c>
      <c r="B358" s="0" t="s">
        <v>184</v>
      </c>
      <c r="C358" s="23" t="n">
        <f aca="false">a25_mi</f>
        <v>0</v>
      </c>
      <c r="D358" s="23" t="n">
        <f aca="false">a26_mi</f>
        <v>0</v>
      </c>
      <c r="E358" s="23" t="n">
        <f aca="false">vmi*E349*(1-tax)</f>
        <v>-0.11280384</v>
      </c>
      <c r="F358" s="23" t="n">
        <f aca="false">vmi*F349*(1-tax)</f>
        <v>0.67682304</v>
      </c>
      <c r="G358" s="23" t="n">
        <f aca="false">vmi*G349*(1-tax)</f>
        <v>1.421328384</v>
      </c>
      <c r="K358" s="8" t="s">
        <v>568</v>
      </c>
    </row>
    <row r="359" customFormat="false" ht="15" hidden="false" customHeight="false" outlineLevel="0" collapsed="false">
      <c r="A359" s="4" t="s">
        <v>435</v>
      </c>
      <c r="B359" s="0" t="s">
        <v>184</v>
      </c>
      <c r="C359" s="23" t="n">
        <f aca="false">C356-C357-C358</f>
        <v>7.908</v>
      </c>
      <c r="D359" s="23" t="n">
        <f aca="false">D356-D357-D358</f>
        <v>12.2375212108949</v>
      </c>
      <c r="E359" s="23" t="n">
        <f aca="false">E356-E357-E358</f>
        <v>11.9841225468567</v>
      </c>
      <c r="F359" s="23" t="n">
        <f aca="false">F356-F357-F358</f>
        <v>11.0796641957463</v>
      </c>
      <c r="G359" s="23" t="n">
        <f aca="false">G356-G357-G358</f>
        <v>11.6229329745512</v>
      </c>
      <c r="H359" s="29" t="n">
        <f aca="false">H340*H363</f>
        <v>12.1256480338622</v>
      </c>
      <c r="I359" s="29" t="n">
        <f aca="false">I340*I363</f>
        <v>12.4054439543387</v>
      </c>
      <c r="J359" s="29" t="n">
        <f aca="false">J340*J363</f>
        <v>12.4408880799225</v>
      </c>
    </row>
    <row r="360" customFormat="false" ht="15" hidden="false" customHeight="false" outlineLevel="0" collapsed="false">
      <c r="A360" s="4" t="s">
        <v>569</v>
      </c>
      <c r="B360" s="4" t="s">
        <v>265</v>
      </c>
      <c r="C360" s="10" t="n">
        <f aca="false">a25_sh</f>
        <v>1.8739336492891</v>
      </c>
      <c r="D360" s="10" t="n">
        <f aca="false">a26_sh</f>
        <v>1.90613591916558</v>
      </c>
      <c r="E360" s="10" t="n">
        <f aca="false">q_sh*(1+sh_g)</f>
        <v>1.90705128205128</v>
      </c>
      <c r="F360" s="10" t="n">
        <f aca="false">E360*(1+sh_g)</f>
        <v>1.90705128205128</v>
      </c>
      <c r="G360" s="10" t="n">
        <f aca="false">F360*(1+sh_g)</f>
        <v>1.90705128205128</v>
      </c>
      <c r="H360" s="31" t="n">
        <f aca="false">G360*(1+sh_g)</f>
        <v>1.90705128205128</v>
      </c>
      <c r="I360" s="31" t="n">
        <f aca="false">H360*(1+sh_g)</f>
        <v>1.90705128205128</v>
      </c>
      <c r="J360" s="31" t="n">
        <f aca="false">I360*(1+sh_g)</f>
        <v>1.90705128205128</v>
      </c>
    </row>
    <row r="361" customFormat="false" ht="17.15" hidden="false" customHeight="false" outlineLevel="0" collapsed="false">
      <c r="A361" s="0" t="s">
        <v>442</v>
      </c>
      <c r="B361" s="0" t="s">
        <v>274</v>
      </c>
      <c r="C361" s="23" t="n">
        <f aca="false">C359/C360</f>
        <v>4.22</v>
      </c>
      <c r="D361" s="23" t="n">
        <f aca="false">D359/D360</f>
        <v>6.42006747150118</v>
      </c>
      <c r="E361" s="23" t="n">
        <f aca="false">E359/E360</f>
        <v>6.28411131868789</v>
      </c>
      <c r="F361" s="23" t="n">
        <f aca="false">F359/F360</f>
        <v>5.80984072113082</v>
      </c>
      <c r="G361" s="23" t="n">
        <f aca="false">G359/G360</f>
        <v>6.09471443371422</v>
      </c>
      <c r="H361" s="29" t="n">
        <f aca="false">H359/H360</f>
        <v>6.35832300263026</v>
      </c>
      <c r="I361" s="29" t="n">
        <f aca="false">I359/I360</f>
        <v>6.50503951891374</v>
      </c>
      <c r="J361" s="29" t="n">
        <f aca="false">J359/J360</f>
        <v>6.52362534611063</v>
      </c>
    </row>
    <row r="362" customFormat="false" ht="17.15" hidden="false" customHeight="false" outlineLevel="0" collapsed="false">
      <c r="A362" s="0" t="s">
        <v>570</v>
      </c>
      <c r="B362" s="0" t="s">
        <v>48</v>
      </c>
      <c r="D362" s="20" t="n">
        <f aca="false">D361/C361-1</f>
        <v>0.521343002725398</v>
      </c>
      <c r="E362" s="20" t="n">
        <f aca="false">E361/D361-1</f>
        <v>-0.0211767482844694</v>
      </c>
      <c r="F362" s="20" t="n">
        <f aca="false">F361/E361-1</f>
        <v>-0.0754713870434908</v>
      </c>
      <c r="G362" s="20" t="n">
        <f aca="false">G361/F361-1</f>
        <v>0.0490329642854575</v>
      </c>
      <c r="H362" s="27" t="n">
        <f aca="false">H361/G361-1</f>
        <v>0.0432519967560476</v>
      </c>
      <c r="I362" s="27" t="n">
        <f aca="false">I361/H361-1</f>
        <v>0.0230747189507017</v>
      </c>
      <c r="J362" s="27" t="n">
        <f aca="false">J361/I361-1</f>
        <v>0.00285714285714311</v>
      </c>
    </row>
    <row r="363" customFormat="false" ht="17.15" hidden="false" customHeight="false" outlineLevel="0" collapsed="false">
      <c r="A363" s="4" t="s">
        <v>571</v>
      </c>
      <c r="B363" s="0" t="s">
        <v>48</v>
      </c>
      <c r="C363" s="16" t="n">
        <f aca="false">C359/C340</f>
        <v>0.162746187565599</v>
      </c>
      <c r="D363" s="16" t="n">
        <f aca="false">D359/D340</f>
        <v>0.208646059676249</v>
      </c>
      <c r="E363" s="16" t="n">
        <f aca="false">E359/E340</f>
        <v>0.179982820526815</v>
      </c>
      <c r="F363" s="16" t="n">
        <f aca="false">F359/F340</f>
        <v>0.1499812127994</v>
      </c>
      <c r="G363" s="16" t="n">
        <f aca="false">G359/G340</f>
        <v>0.143183116484477</v>
      </c>
      <c r="H363" s="28" t="n">
        <f aca="false">$G363+($G$363*0.9-$G363)*1/3</f>
        <v>0.138410345934994</v>
      </c>
      <c r="I363" s="28" t="n">
        <f aca="false">$G363+($G$363*0.9-$G363)*2/3</f>
        <v>0.133637575385512</v>
      </c>
      <c r="J363" s="28" t="n">
        <f aca="false">$G363+($G$363*0.9-$G363)*3/3</f>
        <v>0.128864804836029</v>
      </c>
    </row>
    <row r="366" customFormat="false" ht="17.15" hidden="false" customHeight="false" outlineLevel="0" collapsed="false">
      <c r="A366" s="1" t="s">
        <v>853</v>
      </c>
    </row>
    <row r="367" customFormat="false" ht="17.15" hidden="false" customHeight="false" outlineLevel="0" collapsed="false">
      <c r="A367" s="5" t="s">
        <v>24</v>
      </c>
      <c r="B367" s="5" t="s">
        <v>25</v>
      </c>
      <c r="C367" s="17" t="s">
        <v>394</v>
      </c>
      <c r="D367" s="17" t="s">
        <v>521</v>
      </c>
      <c r="E367" s="17" t="s">
        <v>480</v>
      </c>
      <c r="F367" s="17" t="s">
        <v>481</v>
      </c>
      <c r="G367" s="17" t="s">
        <v>482</v>
      </c>
      <c r="H367" s="17" t="s">
        <v>522</v>
      </c>
      <c r="I367" s="17" t="s">
        <v>523</v>
      </c>
      <c r="J367" s="17" t="s">
        <v>524</v>
      </c>
      <c r="K367" s="5" t="s">
        <v>357</v>
      </c>
    </row>
    <row r="368" customFormat="false" ht="17.15" hidden="false" customHeight="false" outlineLevel="0" collapsed="false">
      <c r="A368" s="6" t="s">
        <v>542</v>
      </c>
    </row>
    <row r="369" customFormat="false" ht="17.15" hidden="false" customHeight="false" outlineLevel="0" collapsed="false">
      <c r="A369" s="4" t="s">
        <v>543</v>
      </c>
      <c r="B369" s="4" t="s">
        <v>42</v>
      </c>
      <c r="D369" s="22" t="n">
        <f aca="false">cap_26</f>
        <v>3306</v>
      </c>
      <c r="E369" s="22" t="n">
        <f aca="false">D369*(1+capg27)*cap_adj_lo</f>
        <v>3140.7</v>
      </c>
      <c r="F369" s="22" t="n">
        <f aca="false">E369*(1+capg28)</f>
        <v>3140.7</v>
      </c>
      <c r="G369" s="22" t="n">
        <f aca="false">F369*(1+capg29)</f>
        <v>3140.7</v>
      </c>
    </row>
    <row r="370" customFormat="false" ht="15" hidden="false" customHeight="false" outlineLevel="0" collapsed="false">
      <c r="A370" s="4" t="s">
        <v>544</v>
      </c>
      <c r="B370" s="0" t="s">
        <v>48</v>
      </c>
      <c r="D370" s="20" t="n">
        <f aca="false">a26_ship/cap_26</f>
        <v>0.8725</v>
      </c>
      <c r="E370" s="20" t="n">
        <f aca="false">MIN(0.98,ut27_C+ut_adj)</f>
        <v>0.8</v>
      </c>
      <c r="F370" s="20" t="n">
        <f aca="false">MIN(0.98,ut28_C+ut_adj)</f>
        <v>0.74</v>
      </c>
      <c r="G370" s="20" t="n">
        <f aca="false">MIN(0.98,ut29_C+ut_adj)</f>
        <v>0.78</v>
      </c>
    </row>
    <row r="371" customFormat="false" ht="17.15" hidden="false" customHeight="false" outlineLevel="0" collapsed="false">
      <c r="A371" s="4" t="s">
        <v>545</v>
      </c>
      <c r="B371" s="4" t="s">
        <v>42</v>
      </c>
      <c r="D371" s="22" t="n">
        <f aca="false">D369*D370</f>
        <v>2884.485</v>
      </c>
      <c r="E371" s="22" t="n">
        <f aca="false">E369*E370</f>
        <v>2512.56</v>
      </c>
      <c r="F371" s="22" t="n">
        <f aca="false">F369*F370</f>
        <v>2324.118</v>
      </c>
      <c r="G371" s="22" t="n">
        <f aca="false">G369*G370</f>
        <v>2449.746</v>
      </c>
    </row>
    <row r="372" customFormat="false" ht="17.15" hidden="false" customHeight="false" outlineLevel="0" collapsed="false">
      <c r="A372" s="4" t="s">
        <v>546</v>
      </c>
      <c r="B372" s="0" t="s">
        <v>89</v>
      </c>
      <c r="D372" s="22" t="n">
        <f aca="false">asp_26</f>
        <v>643.469405492234</v>
      </c>
      <c r="E372" s="22" t="n">
        <f aca="false">D372*(1+asp27_C)*(1+asp_adj)</f>
        <v>624.165323327467</v>
      </c>
      <c r="F372" s="22" t="n">
        <f aca="false">E372*(1+asp28_C)</f>
        <v>592.957057161093</v>
      </c>
      <c r="G372" s="22" t="n">
        <f aca="false">F372*(1+asp29_C)</f>
        <v>581.097916017871</v>
      </c>
    </row>
    <row r="373" customFormat="false" ht="15" hidden="false" customHeight="false" outlineLevel="0" collapsed="false">
      <c r="A373" s="4" t="s">
        <v>547</v>
      </c>
      <c r="B373" s="0" t="s">
        <v>48</v>
      </c>
      <c r="E373" s="20" t="n">
        <f aca="false">E372/D372-1</f>
        <v>-0.03</v>
      </c>
      <c r="F373" s="20" t="n">
        <f aca="false">F372/E372-1</f>
        <v>-0.05</v>
      </c>
      <c r="G373" s="20" t="n">
        <f aca="false">G372/F372-1</f>
        <v>-0.02</v>
      </c>
    </row>
    <row r="374" customFormat="false" ht="15" hidden="false" customHeight="false" outlineLevel="0" collapsed="false">
      <c r="A374" s="4" t="s">
        <v>548</v>
      </c>
      <c r="B374" s="0" t="s">
        <v>35</v>
      </c>
      <c r="D374" s="23" t="n">
        <f aca="false">fx_26</f>
        <v>31.6</v>
      </c>
      <c r="E374" s="23" t="n">
        <f aca="false">fx</f>
        <v>32</v>
      </c>
      <c r="F374" s="23" t="n">
        <f aca="false">fx</f>
        <v>32</v>
      </c>
      <c r="G374" s="23" t="n">
        <f aca="false">fx</f>
        <v>32</v>
      </c>
    </row>
    <row r="375" customFormat="false" ht="17.15" hidden="false" customHeight="false" outlineLevel="0" collapsed="false">
      <c r="A375" s="0" t="s">
        <v>549</v>
      </c>
      <c r="B375" s="0" t="s">
        <v>184</v>
      </c>
      <c r="D375" s="23" t="n">
        <f aca="false">D371*D372*D374/1000000</f>
        <v>58.65206</v>
      </c>
      <c r="E375" s="23" t="n">
        <f aca="false">E371*E372*E374/1000000</f>
        <v>50.1840903929491</v>
      </c>
      <c r="F375" s="23" t="n">
        <f aca="false">F371*F372*F374/1000000</f>
        <v>44.099269432804</v>
      </c>
      <c r="G375" s="23" t="n">
        <f aca="false">G371*G372*G374/1000000</f>
        <v>45.5533534519397</v>
      </c>
    </row>
    <row r="376" customFormat="false" ht="17.15" hidden="false" customHeight="false" outlineLevel="0" collapsed="false">
      <c r="A376" s="6" t="s">
        <v>550</v>
      </c>
    </row>
    <row r="377" customFormat="false" ht="17.15" hidden="false" customHeight="false" outlineLevel="0" collapsed="false">
      <c r="A377" s="0" t="s">
        <v>551</v>
      </c>
      <c r="B377" s="4" t="s">
        <v>42</v>
      </c>
      <c r="D377" s="22" t="n">
        <f aca="false">0</f>
        <v>0</v>
      </c>
      <c r="E377" s="22" t="n">
        <f aca="false">vcap27*vcap_adj</f>
        <v>144</v>
      </c>
      <c r="F377" s="22" t="n">
        <f aca="false">vcap28*vcap_adj</f>
        <v>360</v>
      </c>
      <c r="G377" s="22" t="n">
        <f aca="false">vcap29*vcap_adj</f>
        <v>504</v>
      </c>
    </row>
    <row r="378" customFormat="false" ht="17.15" hidden="false" customHeight="false" outlineLevel="0" collapsed="false">
      <c r="A378" s="0" t="s">
        <v>552</v>
      </c>
      <c r="B378" s="0" t="s">
        <v>48</v>
      </c>
      <c r="E378" s="20" t="n">
        <f aca="false">vut_C</f>
        <v>0.65</v>
      </c>
      <c r="F378" s="20" t="n">
        <f aca="false">vut_C</f>
        <v>0.65</v>
      </c>
      <c r="G378" s="20" t="n">
        <f aca="false">vut_C</f>
        <v>0.65</v>
      </c>
    </row>
    <row r="379" customFormat="false" ht="17.15" hidden="false" customHeight="false" outlineLevel="0" collapsed="false">
      <c r="A379" s="0" t="s">
        <v>553</v>
      </c>
      <c r="B379" s="4" t="s">
        <v>42</v>
      </c>
      <c r="D379" s="22" t="n">
        <f aca="false">0</f>
        <v>0</v>
      </c>
      <c r="E379" s="22" t="n">
        <f aca="false">E377*E378</f>
        <v>93.6</v>
      </c>
      <c r="F379" s="22" t="n">
        <f aca="false">F377*F378</f>
        <v>234</v>
      </c>
      <c r="G379" s="22" t="n">
        <f aca="false">G377*G378</f>
        <v>327.6</v>
      </c>
    </row>
    <row r="380" customFormat="false" ht="17.15" hidden="false" customHeight="false" outlineLevel="0" collapsed="false">
      <c r="A380" s="0" t="s">
        <v>554</v>
      </c>
      <c r="B380" s="0" t="s">
        <v>184</v>
      </c>
      <c r="D380" s="23" t="n">
        <f aca="false">0</f>
        <v>0</v>
      </c>
      <c r="E380" s="23" t="n">
        <f aca="false">E379*vasp*E374/1000000</f>
        <v>5.39136</v>
      </c>
      <c r="F380" s="23" t="n">
        <f aca="false">F379*vasp*F374/1000000</f>
        <v>13.4784</v>
      </c>
      <c r="G380" s="23" t="n">
        <f aca="false">G379*vasp*G374/1000000</f>
        <v>18.86976</v>
      </c>
    </row>
    <row r="381" customFormat="false" ht="17.15" hidden="false" customHeight="false" outlineLevel="0" collapsed="false">
      <c r="A381" s="4" t="s">
        <v>400</v>
      </c>
      <c r="B381" s="0" t="s">
        <v>184</v>
      </c>
      <c r="C381" s="23" t="n">
        <f aca="false">a25_rev</f>
        <v>48.591</v>
      </c>
      <c r="D381" s="23" t="n">
        <f aca="false">D375+D380</f>
        <v>58.65206</v>
      </c>
      <c r="E381" s="23" t="n">
        <f aca="false">E375+E380</f>
        <v>55.5754503929491</v>
      </c>
      <c r="F381" s="23" t="n">
        <f aca="false">F375+F380</f>
        <v>57.577669432804</v>
      </c>
      <c r="G381" s="23" t="n">
        <f aca="false">G375+G380</f>
        <v>64.4231134519397</v>
      </c>
      <c r="H381" s="29" t="n">
        <f aca="false">G381*(1+H384)</f>
        <v>69.9588028802093</v>
      </c>
      <c r="I381" s="29" t="n">
        <f aca="false">H381*(1+I384)</f>
        <v>73.6640684117548</v>
      </c>
      <c r="J381" s="29" t="n">
        <f aca="false">I381*(1+J384)</f>
        <v>75.1373497799899</v>
      </c>
      <c r="K381" s="8" t="s">
        <v>555</v>
      </c>
    </row>
    <row r="382" customFormat="false" ht="17.15" hidden="false" customHeight="false" outlineLevel="0" collapsed="false">
      <c r="A382" s="0" t="s">
        <v>556</v>
      </c>
      <c r="B382" s="0" t="s">
        <v>48</v>
      </c>
      <c r="D382" s="20" t="n">
        <f aca="false">D380/D381</f>
        <v>0</v>
      </c>
      <c r="E382" s="20" t="n">
        <f aca="false">E380/E381</f>
        <v>0.0970097401259029</v>
      </c>
      <c r="F382" s="20" t="n">
        <f aca="false">F380/F381</f>
        <v>0.234090753112714</v>
      </c>
      <c r="G382" s="20" t="n">
        <f aca="false">G380/G381</f>
        <v>0.292903571232661</v>
      </c>
    </row>
    <row r="383" customFormat="false" ht="17.15" hidden="false" customHeight="false" outlineLevel="0" collapsed="false">
      <c r="A383" s="0" t="s">
        <v>557</v>
      </c>
      <c r="B383" s="0" t="s">
        <v>48</v>
      </c>
      <c r="D383" s="20" t="n">
        <f aca="false">ai_sh26</f>
        <v>0.1</v>
      </c>
      <c r="E383" s="20" t="n">
        <f aca="false">ai_sh27_C</f>
        <v>0.15</v>
      </c>
      <c r="F383" s="20" t="n">
        <f aca="false">ai_sh27_C</f>
        <v>0.15</v>
      </c>
      <c r="G383" s="20" t="n">
        <f aca="false">ai_sh27_C</f>
        <v>0.15</v>
      </c>
    </row>
    <row r="384" customFormat="false" ht="15" hidden="false" customHeight="false" outlineLevel="0" collapsed="false">
      <c r="A384" s="4" t="s">
        <v>558</v>
      </c>
      <c r="B384" s="0" t="s">
        <v>48</v>
      </c>
      <c r="D384" s="20" t="n">
        <f aca="false">D381/C381-1</f>
        <v>0.207056039184211</v>
      </c>
      <c r="E384" s="20" t="n">
        <f aca="false">E381/D381-1</f>
        <v>-0.0524552693810054</v>
      </c>
      <c r="F384" s="20" t="n">
        <f aca="false">F381/E381-1</f>
        <v>0.0360270411791201</v>
      </c>
      <c r="G384" s="20" t="n">
        <f aca="false">G381/F381-1</f>
        <v>0.11889060614245</v>
      </c>
      <c r="H384" s="27" t="n">
        <f aca="false">$G384+(fade_gC-$G384)*1/3</f>
        <v>0.0859270707616335</v>
      </c>
      <c r="I384" s="27" t="n">
        <f aca="false">$G384+(fade_gC-$G384)*2/3</f>
        <v>0.0529635353808167</v>
      </c>
      <c r="J384" s="27" t="n">
        <f aca="false">$G384+(fade_gC-$G384)*3/3</f>
        <v>0.02</v>
      </c>
    </row>
    <row r="385" customFormat="false" ht="17.15" hidden="false" customHeight="false" outlineLevel="0" collapsed="false">
      <c r="A385" s="6" t="s">
        <v>559</v>
      </c>
    </row>
    <row r="386" customFormat="false" ht="15" hidden="false" customHeight="false" outlineLevel="0" collapsed="false">
      <c r="A386" s="4" t="s">
        <v>560</v>
      </c>
      <c r="B386" s="0" t="s">
        <v>184</v>
      </c>
      <c r="D386" s="23" t="n">
        <f aca="false">da_tot26*da_sh</f>
        <v>8.658</v>
      </c>
      <c r="E386" s="23" t="n">
        <f aca="false">D386*(1+dag_27+dag_adj)</f>
        <v>8.91774</v>
      </c>
      <c r="F386" s="23" t="n">
        <f aca="false">E386*(1+dag_28+dag_adj)</f>
        <v>9.0960948</v>
      </c>
      <c r="G386" s="23" t="n">
        <f aca="false">F386*(1+dag_29+dag_adj)</f>
        <v>9.0960948</v>
      </c>
    </row>
    <row r="387" customFormat="false" ht="17.15" hidden="false" customHeight="false" outlineLevel="0" collapsed="false">
      <c r="A387" s="4" t="s">
        <v>561</v>
      </c>
      <c r="B387" s="0" t="s">
        <v>562</v>
      </c>
      <c r="D387" s="23" t="n">
        <f aca="false">(D375-a26_gp-D386)/D371*1000</f>
        <v>10.7339918911001</v>
      </c>
      <c r="E387" s="23" t="n">
        <f aca="false">D387*(1+cc_g)</f>
        <v>10.9486717289221</v>
      </c>
      <c r="F387" s="23" t="n">
        <f aca="false">E387*(1+cc_g)</f>
        <v>11.1676451635006</v>
      </c>
      <c r="G387" s="23" t="n">
        <f aca="false">F387*(1+cc_g)</f>
        <v>11.3909980667706</v>
      </c>
      <c r="K387" s="8" t="s">
        <v>563</v>
      </c>
    </row>
    <row r="388" customFormat="false" ht="17.15" hidden="false" customHeight="false" outlineLevel="0" collapsed="false">
      <c r="A388" s="4" t="s">
        <v>564</v>
      </c>
      <c r="B388" s="0" t="s">
        <v>184</v>
      </c>
      <c r="D388" s="23" t="n">
        <f aca="false">D387*D371/1000</f>
        <v>30.9620386</v>
      </c>
      <c r="E388" s="23" t="n">
        <f aca="false">E387*E371/1000</f>
        <v>27.5091946392206</v>
      </c>
      <c r="F388" s="23" t="n">
        <f aca="false">F387*F371/1000</f>
        <v>25.9549251421047</v>
      </c>
      <c r="G388" s="23" t="n">
        <f aca="false">G387*G371/1000</f>
        <v>27.905051950079</v>
      </c>
    </row>
    <row r="389" customFormat="false" ht="17.15" hidden="false" customHeight="false" outlineLevel="0" collapsed="false">
      <c r="A389" s="0" t="s">
        <v>565</v>
      </c>
      <c r="B389" s="0" t="s">
        <v>48</v>
      </c>
      <c r="E389" s="20" t="n">
        <f aca="false">vgm27_C</f>
        <v>-0.2</v>
      </c>
      <c r="F389" s="20" t="n">
        <f aca="false">vgm28_C</f>
        <v>0</v>
      </c>
      <c r="G389" s="20" t="n">
        <f aca="false">vgm29_C</f>
        <v>0.05</v>
      </c>
    </row>
    <row r="390" customFormat="false" ht="17.15" hidden="false" customHeight="false" outlineLevel="0" collapsed="false">
      <c r="A390" s="0" t="s">
        <v>566</v>
      </c>
      <c r="B390" s="0" t="s">
        <v>184</v>
      </c>
      <c r="D390" s="23" t="n">
        <f aca="false">0</f>
        <v>0</v>
      </c>
      <c r="E390" s="23" t="n">
        <f aca="false">E380*E389</f>
        <v>-1.078272</v>
      </c>
      <c r="F390" s="23" t="n">
        <f aca="false">F380*F389</f>
        <v>0</v>
      </c>
      <c r="G390" s="23" t="n">
        <f aca="false">G380*G389</f>
        <v>0.943488</v>
      </c>
    </row>
    <row r="391" customFormat="false" ht="15" hidden="false" customHeight="false" outlineLevel="0" collapsed="false">
      <c r="A391" s="4" t="s">
        <v>417</v>
      </c>
      <c r="B391" s="0" t="s">
        <v>184</v>
      </c>
      <c r="C391" s="23" t="n">
        <f aca="false">a25_gp</f>
        <v>13.654</v>
      </c>
      <c r="D391" s="23" t="n">
        <f aca="false">D375-D386-D388+D390</f>
        <v>19.0320214</v>
      </c>
      <c r="E391" s="23" t="n">
        <f aca="false">E375-E386-E388+E390</f>
        <v>12.6788837537285</v>
      </c>
      <c r="F391" s="23" t="n">
        <f aca="false">F375-F386-F388+F390</f>
        <v>9.04824949069937</v>
      </c>
      <c r="G391" s="23" t="n">
        <f aca="false">G375-G386-G388+G390</f>
        <v>9.49569470186072</v>
      </c>
    </row>
    <row r="392" customFormat="false" ht="15" hidden="false" customHeight="false" outlineLevel="0" collapsed="false">
      <c r="A392" s="4" t="s">
        <v>420</v>
      </c>
      <c r="B392" s="0" t="s">
        <v>48</v>
      </c>
      <c r="C392" s="16" t="n">
        <f aca="false">C391/C381</f>
        <v>0.280998538824062</v>
      </c>
      <c r="D392" s="16" t="n">
        <f aca="false">D391/D381</f>
        <v>0.324490246378388</v>
      </c>
      <c r="E392" s="16" t="n">
        <f aca="false">E391/E381</f>
        <v>0.228138209660593</v>
      </c>
      <c r="F392" s="16" t="n">
        <f aca="false">F391/F381</f>
        <v>0.157148588677406</v>
      </c>
      <c r="G392" s="16" t="n">
        <f aca="false">G391/G381</f>
        <v>0.147395774483091</v>
      </c>
    </row>
    <row r="393" customFormat="false" ht="15" hidden="false" customHeight="false" outlineLevel="0" collapsed="false">
      <c r="A393" s="4" t="s">
        <v>422</v>
      </c>
      <c r="B393" s="0" t="s">
        <v>184</v>
      </c>
      <c r="C393" s="23" t="n">
        <f aca="false">a25_opx</f>
        <v>5.881</v>
      </c>
      <c r="D393" s="23" t="n">
        <f aca="false">a26_opx</f>
        <v>6.824187</v>
      </c>
      <c r="E393" s="23" t="n">
        <f aca="false">D393*(1+MAX(g_opx_min,phi*E384))</f>
        <v>7.02891261</v>
      </c>
      <c r="F393" s="23" t="n">
        <f aca="false">E393*(1+MAX(g_opx_min,phi*F384))</f>
        <v>7.2397799883</v>
      </c>
      <c r="G393" s="23" t="n">
        <f aca="false">F393*(1+MAX(g_opx_min,phi*G384))</f>
        <v>7.67015090387349</v>
      </c>
    </row>
    <row r="394" customFormat="false" ht="15" hidden="false" customHeight="false" outlineLevel="0" collapsed="false">
      <c r="A394" s="4" t="s">
        <v>425</v>
      </c>
      <c r="B394" s="0" t="s">
        <v>184</v>
      </c>
      <c r="C394" s="23" t="n">
        <f aca="false">C391-C393</f>
        <v>7.773</v>
      </c>
      <c r="D394" s="23" t="n">
        <f aca="false">D391-D393</f>
        <v>12.2078344</v>
      </c>
      <c r="E394" s="23" t="n">
        <f aca="false">E391-E393</f>
        <v>5.64997114372848</v>
      </c>
      <c r="F394" s="23" t="n">
        <f aca="false">F391-F393</f>
        <v>1.80846950239937</v>
      </c>
      <c r="G394" s="23" t="n">
        <f aca="false">G391-G393</f>
        <v>1.82554379798723</v>
      </c>
    </row>
    <row r="395" customFormat="false" ht="15" hidden="false" customHeight="false" outlineLevel="0" collapsed="false">
      <c r="A395" s="4" t="s">
        <v>531</v>
      </c>
      <c r="B395" s="0" t="s">
        <v>48</v>
      </c>
      <c r="C395" s="16" t="n">
        <f aca="false">C394/C381</f>
        <v>0.159967895289251</v>
      </c>
      <c r="D395" s="16" t="n">
        <f aca="false">D394/D381</f>
        <v>0.208139908470393</v>
      </c>
      <c r="E395" s="16" t="n">
        <f aca="false">E394/E381</f>
        <v>0.101663074321127</v>
      </c>
      <c r="F395" s="16" t="n">
        <f aca="false">F394/F381</f>
        <v>0.031409216806004</v>
      </c>
      <c r="G395" s="16" t="n">
        <f aca="false">G394/G381</f>
        <v>0.0283367831849528</v>
      </c>
    </row>
    <row r="396" customFormat="false" ht="15" hidden="false" customHeight="false" outlineLevel="0" collapsed="false">
      <c r="A396" s="4" t="s">
        <v>428</v>
      </c>
      <c r="B396" s="0" t="s">
        <v>184</v>
      </c>
      <c r="C396" s="23" t="n">
        <f aca="false">a25_nonop</f>
        <v>1.479</v>
      </c>
      <c r="D396" s="23" t="n">
        <f aca="false">a26_nonop</f>
        <v>2.10950832169955</v>
      </c>
      <c r="E396" s="23" t="n">
        <f aca="false">nonop_f</f>
        <v>1.5</v>
      </c>
      <c r="F396" s="23" t="n">
        <f aca="false">nonop_f</f>
        <v>1.5</v>
      </c>
      <c r="G396" s="23" t="n">
        <f aca="false">nonop_f</f>
        <v>1.5</v>
      </c>
    </row>
    <row r="397" customFormat="false" ht="15" hidden="false" customHeight="false" outlineLevel="0" collapsed="false">
      <c r="A397" s="4" t="s">
        <v>430</v>
      </c>
      <c r="B397" s="0" t="s">
        <v>184</v>
      </c>
      <c r="C397" s="23" t="n">
        <f aca="false">C394+C396</f>
        <v>9.252</v>
      </c>
      <c r="D397" s="23" t="n">
        <f aca="false">D394+D396</f>
        <v>14.3173427216995</v>
      </c>
      <c r="E397" s="23" t="n">
        <f aca="false">E394+E396</f>
        <v>7.14997114372848</v>
      </c>
      <c r="F397" s="23" t="n">
        <f aca="false">F394+F396</f>
        <v>3.30846950239937</v>
      </c>
      <c r="G397" s="23" t="n">
        <f aca="false">G394+G396</f>
        <v>3.32554379798723</v>
      </c>
    </row>
    <row r="398" customFormat="false" ht="15" hidden="false" customHeight="false" outlineLevel="0" collapsed="false">
      <c r="A398" s="4" t="s">
        <v>432</v>
      </c>
      <c r="B398" s="0" t="s">
        <v>184</v>
      </c>
      <c r="C398" s="23" t="n">
        <f aca="false">a25_tax</f>
        <v>1.344</v>
      </c>
      <c r="D398" s="23" t="n">
        <f aca="false">a26_tax</f>
        <v>2.0798215108046</v>
      </c>
      <c r="E398" s="23" t="n">
        <f aca="false">E397*tax</f>
        <v>1.07249567155927</v>
      </c>
      <c r="F398" s="23" t="n">
        <f aca="false">F397*tax</f>
        <v>0.496270425359905</v>
      </c>
      <c r="G398" s="23" t="n">
        <f aca="false">G397*tax</f>
        <v>0.498831569698084</v>
      </c>
    </row>
    <row r="399" customFormat="false" ht="17.15" hidden="false" customHeight="false" outlineLevel="0" collapsed="false">
      <c r="A399" s="4" t="s">
        <v>567</v>
      </c>
      <c r="B399" s="0" t="s">
        <v>184</v>
      </c>
      <c r="C399" s="23" t="n">
        <f aca="false">a25_mi</f>
        <v>0</v>
      </c>
      <c r="D399" s="23" t="n">
        <f aca="false">a26_mi</f>
        <v>0</v>
      </c>
      <c r="E399" s="23" t="n">
        <f aca="false">vmi*E390*(1-tax)</f>
        <v>-0.36661248</v>
      </c>
      <c r="F399" s="23" t="n">
        <f aca="false">vmi*F390*(1-tax)</f>
        <v>0</v>
      </c>
      <c r="G399" s="23" t="n">
        <f aca="false">vmi*G390*(1-tax)</f>
        <v>0.32078592</v>
      </c>
      <c r="K399" s="8" t="s">
        <v>568</v>
      </c>
    </row>
    <row r="400" customFormat="false" ht="15" hidden="false" customHeight="false" outlineLevel="0" collapsed="false">
      <c r="A400" s="4" t="s">
        <v>435</v>
      </c>
      <c r="B400" s="0" t="s">
        <v>184</v>
      </c>
      <c r="C400" s="23" t="n">
        <f aca="false">C397-C398-C399</f>
        <v>7.908</v>
      </c>
      <c r="D400" s="23" t="n">
        <f aca="false">D397-D398-D399</f>
        <v>12.2375212108949</v>
      </c>
      <c r="E400" s="23" t="n">
        <f aca="false">E397-E398-E399</f>
        <v>6.44408795216921</v>
      </c>
      <c r="F400" s="23" t="n">
        <f aca="false">F397-F398-F399</f>
        <v>2.81219907703946</v>
      </c>
      <c r="G400" s="23" t="n">
        <f aca="false">G397-G398-G399</f>
        <v>2.50592630828915</v>
      </c>
      <c r="H400" s="29" t="n">
        <f aca="false">H381*H404</f>
        <v>2.53983633447128</v>
      </c>
      <c r="I400" s="29" t="n">
        <f aca="false">I381*I404</f>
        <v>2.48332968560257</v>
      </c>
      <c r="J400" s="29" t="n">
        <f aca="false">J381*J404</f>
        <v>2.33815041167503</v>
      </c>
    </row>
    <row r="401" customFormat="false" ht="15" hidden="false" customHeight="false" outlineLevel="0" collapsed="false">
      <c r="A401" s="4" t="s">
        <v>569</v>
      </c>
      <c r="B401" s="4" t="s">
        <v>265</v>
      </c>
      <c r="C401" s="10" t="n">
        <f aca="false">a25_sh</f>
        <v>1.8739336492891</v>
      </c>
      <c r="D401" s="10" t="n">
        <f aca="false">a26_sh</f>
        <v>1.90613591916558</v>
      </c>
      <c r="E401" s="10" t="n">
        <f aca="false">q_sh*(1+sh_g)</f>
        <v>1.90705128205128</v>
      </c>
      <c r="F401" s="10" t="n">
        <f aca="false">E401*(1+sh_g)</f>
        <v>1.90705128205128</v>
      </c>
      <c r="G401" s="10" t="n">
        <f aca="false">F401*(1+sh_g)</f>
        <v>1.90705128205128</v>
      </c>
      <c r="H401" s="31" t="n">
        <f aca="false">G401*(1+sh_g)</f>
        <v>1.90705128205128</v>
      </c>
      <c r="I401" s="31" t="n">
        <f aca="false">H401*(1+sh_g)</f>
        <v>1.90705128205128</v>
      </c>
      <c r="J401" s="31" t="n">
        <f aca="false">I401*(1+sh_g)</f>
        <v>1.90705128205128</v>
      </c>
    </row>
    <row r="402" customFormat="false" ht="17.15" hidden="false" customHeight="false" outlineLevel="0" collapsed="false">
      <c r="A402" s="0" t="s">
        <v>442</v>
      </c>
      <c r="B402" s="0" t="s">
        <v>274</v>
      </c>
      <c r="C402" s="23" t="n">
        <f aca="false">C400/C401</f>
        <v>4.22</v>
      </c>
      <c r="D402" s="23" t="n">
        <f aca="false">D400/D401</f>
        <v>6.42006747150118</v>
      </c>
      <c r="E402" s="23" t="n">
        <f aca="false">E400/E401</f>
        <v>3.37908477491898</v>
      </c>
      <c r="F402" s="23" t="n">
        <f aca="false">F400/F401</f>
        <v>1.47463212106943</v>
      </c>
      <c r="G402" s="23" t="n">
        <f aca="false">G400/G401</f>
        <v>1.31403194653145</v>
      </c>
      <c r="H402" s="29" t="n">
        <f aca="false">H400/H401</f>
        <v>1.33181333841183</v>
      </c>
      <c r="I402" s="29" t="n">
        <f aca="false">I400/I401</f>
        <v>1.30218296118992</v>
      </c>
      <c r="J402" s="29" t="n">
        <f aca="false">J400/J401</f>
        <v>1.22605534192035</v>
      </c>
    </row>
    <row r="403" customFormat="false" ht="17.15" hidden="false" customHeight="false" outlineLevel="0" collapsed="false">
      <c r="A403" s="0" t="s">
        <v>570</v>
      </c>
      <c r="B403" s="0" t="s">
        <v>48</v>
      </c>
      <c r="D403" s="20" t="n">
        <f aca="false">D402/C402-1</f>
        <v>0.521343002725398</v>
      </c>
      <c r="E403" s="20" t="n">
        <f aca="false">E402/D402-1</f>
        <v>-0.473668339169516</v>
      </c>
      <c r="F403" s="20" t="n">
        <f aca="false">F402/E402-1</f>
        <v>-0.563600140483368</v>
      </c>
      <c r="G403" s="20" t="n">
        <f aca="false">G402/F402-1</f>
        <v>-0.108908637105715</v>
      </c>
      <c r="H403" s="27" t="n">
        <f aca="false">H402/G402-1</f>
        <v>0.0135319327108581</v>
      </c>
      <c r="I403" s="27" t="n">
        <f aca="false">I402/H402-1</f>
        <v>-0.0222481457178131</v>
      </c>
      <c r="J403" s="27" t="n">
        <f aca="false">J402/I402-1</f>
        <v>-0.0584615384615386</v>
      </c>
    </row>
    <row r="404" customFormat="false" ht="17.15" hidden="false" customHeight="false" outlineLevel="0" collapsed="false">
      <c r="A404" s="4" t="s">
        <v>571</v>
      </c>
      <c r="B404" s="0" t="s">
        <v>48</v>
      </c>
      <c r="C404" s="16" t="n">
        <f aca="false">C400/C381</f>
        <v>0.162746187565599</v>
      </c>
      <c r="D404" s="16" t="n">
        <f aca="false">D400/D381</f>
        <v>0.208646059676249</v>
      </c>
      <c r="E404" s="16" t="n">
        <f aca="false">E400/E381</f>
        <v>0.115952059886262</v>
      </c>
      <c r="F404" s="16" t="n">
        <f aca="false">F400/F381</f>
        <v>0.0488418358148629</v>
      </c>
      <c r="G404" s="16" t="n">
        <f aca="false">G400/G381</f>
        <v>0.0388979385505575</v>
      </c>
      <c r="H404" s="28" t="n">
        <f aca="false">$G404+($G$404*0.8-$G404)*1/3</f>
        <v>0.036304742647187</v>
      </c>
      <c r="I404" s="28" t="n">
        <f aca="false">$G404+($G$404*0.8-$G404)*2/3</f>
        <v>0.0337115467438165</v>
      </c>
      <c r="J404" s="28" t="n">
        <f aca="false">$G404+($G$404*0.8-$G404)*3/3</f>
        <v>0.031118350840446</v>
      </c>
    </row>
    <row r="407" customFormat="false" ht="17.15" hidden="false" customHeight="false" outlineLevel="0" collapsed="false">
      <c r="A407" s="1" t="s">
        <v>854</v>
      </c>
    </row>
    <row r="408" customFormat="false" ht="17.15" hidden="false" customHeight="false" outlineLevel="0" collapsed="false">
      <c r="A408" s="5" t="s">
        <v>24</v>
      </c>
      <c r="B408" s="5" t="s">
        <v>25</v>
      </c>
      <c r="C408" s="17" t="s">
        <v>394</v>
      </c>
      <c r="D408" s="17" t="s">
        <v>521</v>
      </c>
      <c r="E408" s="17" t="s">
        <v>480</v>
      </c>
      <c r="F408" s="17" t="s">
        <v>481</v>
      </c>
      <c r="G408" s="17" t="s">
        <v>482</v>
      </c>
      <c r="H408" s="17" t="s">
        <v>522</v>
      </c>
      <c r="I408" s="17" t="s">
        <v>523</v>
      </c>
      <c r="J408" s="17" t="s">
        <v>524</v>
      </c>
      <c r="K408" s="5" t="s">
        <v>357</v>
      </c>
    </row>
    <row r="409" customFormat="false" ht="17.15" hidden="false" customHeight="false" outlineLevel="0" collapsed="false">
      <c r="A409" s="6" t="s">
        <v>542</v>
      </c>
    </row>
    <row r="410" customFormat="false" ht="17.15" hidden="false" customHeight="false" outlineLevel="0" collapsed="false">
      <c r="A410" s="4" t="s">
        <v>543</v>
      </c>
      <c r="B410" s="4" t="s">
        <v>42</v>
      </c>
      <c r="D410" s="22" t="n">
        <f aca="false">cap_26</f>
        <v>3306</v>
      </c>
      <c r="E410" s="22" t="n">
        <f aca="false">D410*(1+capg27)*cap_adj_hi</f>
        <v>3471.3</v>
      </c>
      <c r="F410" s="22" t="n">
        <f aca="false">E410*(1+capg28)</f>
        <v>3471.3</v>
      </c>
      <c r="G410" s="22" t="n">
        <f aca="false">F410*(1+capg29)</f>
        <v>3471.3</v>
      </c>
    </row>
    <row r="411" customFormat="false" ht="15" hidden="false" customHeight="false" outlineLevel="0" collapsed="false">
      <c r="A411" s="4" t="s">
        <v>544</v>
      </c>
      <c r="B411" s="0" t="s">
        <v>48</v>
      </c>
      <c r="D411" s="20" t="n">
        <f aca="false">a26_ship/cap_26</f>
        <v>0.8725</v>
      </c>
      <c r="E411" s="20" t="n">
        <f aca="false">MIN(0.98,ut27_A+ut_adj)</f>
        <v>0.95</v>
      </c>
      <c r="F411" s="20" t="n">
        <f aca="false">MIN(0.98,ut28_A+ut_adj)</f>
        <v>0.94</v>
      </c>
      <c r="G411" s="20" t="n">
        <f aca="false">MIN(0.98,ut29_A+ut_adj)</f>
        <v>0.93</v>
      </c>
    </row>
    <row r="412" customFormat="false" ht="17.15" hidden="false" customHeight="false" outlineLevel="0" collapsed="false">
      <c r="A412" s="4" t="s">
        <v>545</v>
      </c>
      <c r="B412" s="4" t="s">
        <v>42</v>
      </c>
      <c r="D412" s="22" t="n">
        <f aca="false">D410*D411</f>
        <v>2884.485</v>
      </c>
      <c r="E412" s="22" t="n">
        <f aca="false">E410*E411</f>
        <v>3297.735</v>
      </c>
      <c r="F412" s="22" t="n">
        <f aca="false">F410*F411</f>
        <v>3263.022</v>
      </c>
      <c r="G412" s="22" t="n">
        <f aca="false">G410*G411</f>
        <v>3228.309</v>
      </c>
    </row>
    <row r="413" customFormat="false" ht="17.15" hidden="false" customHeight="false" outlineLevel="0" collapsed="false">
      <c r="A413" s="4" t="s">
        <v>546</v>
      </c>
      <c r="B413" s="0" t="s">
        <v>89</v>
      </c>
      <c r="D413" s="22" t="n">
        <f aca="false">asp_26</f>
        <v>643.469405492234</v>
      </c>
      <c r="E413" s="22" t="n">
        <f aca="false">D413*(1+asp27_A)*(1+asp_adj)</f>
        <v>682.077569821768</v>
      </c>
      <c r="F413" s="22" t="n">
        <f aca="false">E413*(1+asp28_A)</f>
        <v>695.719121218203</v>
      </c>
      <c r="G413" s="22" t="n">
        <f aca="false">F413*(1+asp29_A)</f>
        <v>702.676312430385</v>
      </c>
    </row>
    <row r="414" customFormat="false" ht="15" hidden="false" customHeight="false" outlineLevel="0" collapsed="false">
      <c r="A414" s="4" t="s">
        <v>547</v>
      </c>
      <c r="B414" s="0" t="s">
        <v>48</v>
      </c>
      <c r="E414" s="20" t="n">
        <f aca="false">E413/D413-1</f>
        <v>0.0600000000000001</v>
      </c>
      <c r="F414" s="20" t="n">
        <f aca="false">F413/E413-1</f>
        <v>0.02</v>
      </c>
      <c r="G414" s="20" t="n">
        <f aca="false">G413/F413-1</f>
        <v>0.01</v>
      </c>
    </row>
    <row r="415" customFormat="false" ht="15" hidden="false" customHeight="false" outlineLevel="0" collapsed="false">
      <c r="A415" s="4" t="s">
        <v>548</v>
      </c>
      <c r="B415" s="0" t="s">
        <v>35</v>
      </c>
      <c r="D415" s="23" t="n">
        <f aca="false">fx_26</f>
        <v>31.6</v>
      </c>
      <c r="E415" s="23" t="n">
        <f aca="false">fx</f>
        <v>32</v>
      </c>
      <c r="F415" s="23" t="n">
        <f aca="false">fx</f>
        <v>32</v>
      </c>
      <c r="G415" s="23" t="n">
        <f aca="false">fx</f>
        <v>32</v>
      </c>
    </row>
    <row r="416" customFormat="false" ht="17.15" hidden="false" customHeight="false" outlineLevel="0" collapsed="false">
      <c r="A416" s="0" t="s">
        <v>549</v>
      </c>
      <c r="B416" s="0" t="s">
        <v>184</v>
      </c>
      <c r="D416" s="23" t="n">
        <f aca="false">D412*D413*D415/1000000</f>
        <v>58.65206</v>
      </c>
      <c r="E416" s="23" t="n">
        <f aca="false">E412*E413*E415/1000000</f>
        <v>71.977954390918</v>
      </c>
      <c r="F416" s="23" t="n">
        <f aca="false">F412*F413*F415/1000000</f>
        <v>72.6446975473812</v>
      </c>
      <c r="G416" s="23" t="n">
        <f aca="false">G412*G413*G415/1000000</f>
        <v>72.5906004321864</v>
      </c>
    </row>
    <row r="417" customFormat="false" ht="17.15" hidden="false" customHeight="false" outlineLevel="0" collapsed="false">
      <c r="A417" s="6" t="s">
        <v>550</v>
      </c>
    </row>
    <row r="418" customFormat="false" ht="17.15" hidden="false" customHeight="false" outlineLevel="0" collapsed="false">
      <c r="A418" s="0" t="s">
        <v>551</v>
      </c>
      <c r="B418" s="4" t="s">
        <v>42</v>
      </c>
      <c r="D418" s="22" t="n">
        <f aca="false">0</f>
        <v>0</v>
      </c>
      <c r="E418" s="22" t="n">
        <f aca="false">vcap27*vcap_adj</f>
        <v>144</v>
      </c>
      <c r="F418" s="22" t="n">
        <f aca="false">vcap28*vcap_adj</f>
        <v>360</v>
      </c>
      <c r="G418" s="22" t="n">
        <f aca="false">vcap29*vcap_adj</f>
        <v>504</v>
      </c>
    </row>
    <row r="419" customFormat="false" ht="17.15" hidden="false" customHeight="false" outlineLevel="0" collapsed="false">
      <c r="A419" s="0" t="s">
        <v>552</v>
      </c>
      <c r="B419" s="0" t="s">
        <v>48</v>
      </c>
      <c r="E419" s="20" t="n">
        <f aca="false">vut_A</f>
        <v>0.9</v>
      </c>
      <c r="F419" s="20" t="n">
        <f aca="false">vut_A</f>
        <v>0.9</v>
      </c>
      <c r="G419" s="20" t="n">
        <f aca="false">vut_A</f>
        <v>0.9</v>
      </c>
    </row>
    <row r="420" customFormat="false" ht="17.15" hidden="false" customHeight="false" outlineLevel="0" collapsed="false">
      <c r="A420" s="0" t="s">
        <v>553</v>
      </c>
      <c r="B420" s="4" t="s">
        <v>42</v>
      </c>
      <c r="D420" s="22" t="n">
        <f aca="false">0</f>
        <v>0</v>
      </c>
      <c r="E420" s="22" t="n">
        <f aca="false">E418*E419</f>
        <v>129.6</v>
      </c>
      <c r="F420" s="22" t="n">
        <f aca="false">F418*F419</f>
        <v>324</v>
      </c>
      <c r="G420" s="22" t="n">
        <f aca="false">G418*G419</f>
        <v>453.6</v>
      </c>
    </row>
    <row r="421" customFormat="false" ht="17.15" hidden="false" customHeight="false" outlineLevel="0" collapsed="false">
      <c r="A421" s="0" t="s">
        <v>554</v>
      </c>
      <c r="B421" s="0" t="s">
        <v>184</v>
      </c>
      <c r="D421" s="23" t="n">
        <f aca="false">0</f>
        <v>0</v>
      </c>
      <c r="E421" s="23" t="n">
        <f aca="false">E420*vasp*E415/1000000</f>
        <v>7.46496</v>
      </c>
      <c r="F421" s="23" t="n">
        <f aca="false">F420*vasp*F415/1000000</f>
        <v>18.6624</v>
      </c>
      <c r="G421" s="23" t="n">
        <f aca="false">G420*vasp*G415/1000000</f>
        <v>26.12736</v>
      </c>
    </row>
    <row r="422" customFormat="false" ht="17.15" hidden="false" customHeight="false" outlineLevel="0" collapsed="false">
      <c r="A422" s="4" t="s">
        <v>400</v>
      </c>
      <c r="B422" s="0" t="s">
        <v>184</v>
      </c>
      <c r="C422" s="23" t="n">
        <f aca="false">a25_rev</f>
        <v>48.591</v>
      </c>
      <c r="D422" s="23" t="n">
        <f aca="false">D416+D421</f>
        <v>58.65206</v>
      </c>
      <c r="E422" s="23" t="n">
        <f aca="false">E416+E421</f>
        <v>79.442914390918</v>
      </c>
      <c r="F422" s="23" t="n">
        <f aca="false">F416+F421</f>
        <v>91.3070975473813</v>
      </c>
      <c r="G422" s="23" t="n">
        <f aca="false">G416+G421</f>
        <v>98.7179604321864</v>
      </c>
      <c r="H422" s="29" t="n">
        <f aca="false">G422*(1+H425)</f>
        <v>106.03389248443</v>
      </c>
      <c r="I422" s="29" t="n">
        <f aca="false">H422*(1+I425)</f>
        <v>113.143965072388</v>
      </c>
      <c r="J422" s="29" t="n">
        <f aca="false">I422*(1+J425)</f>
        <v>119.932602976731</v>
      </c>
      <c r="K422" s="8" t="s">
        <v>555</v>
      </c>
    </row>
    <row r="423" customFormat="false" ht="17.15" hidden="false" customHeight="false" outlineLevel="0" collapsed="false">
      <c r="A423" s="0" t="s">
        <v>556</v>
      </c>
      <c r="B423" s="0" t="s">
        <v>48</v>
      </c>
      <c r="D423" s="20" t="n">
        <f aca="false">D421/D422</f>
        <v>0</v>
      </c>
      <c r="E423" s="20" t="n">
        <f aca="false">E421/E422</f>
        <v>0.0939663412052945</v>
      </c>
      <c r="F423" s="20" t="n">
        <f aca="false">F421/F422</f>
        <v>0.204391558830524</v>
      </c>
      <c r="G423" s="20" t="n">
        <f aca="false">G421/G422</f>
        <v>0.264666732230028</v>
      </c>
    </row>
    <row r="424" customFormat="false" ht="17.15" hidden="false" customHeight="false" outlineLevel="0" collapsed="false">
      <c r="A424" s="0" t="s">
        <v>557</v>
      </c>
      <c r="B424" s="0" t="s">
        <v>48</v>
      </c>
      <c r="D424" s="20" t="n">
        <f aca="false">ai_sh26</f>
        <v>0.1</v>
      </c>
      <c r="E424" s="20" t="n">
        <f aca="false">ai_sh27_A</f>
        <v>0.25</v>
      </c>
      <c r="F424" s="20" t="n">
        <f aca="false">ai_sh27_A</f>
        <v>0.25</v>
      </c>
      <c r="G424" s="20" t="n">
        <f aca="false">ai_sh27_A</f>
        <v>0.25</v>
      </c>
    </row>
    <row r="425" customFormat="false" ht="15" hidden="false" customHeight="false" outlineLevel="0" collapsed="false">
      <c r="A425" s="4" t="s">
        <v>558</v>
      </c>
      <c r="B425" s="0" t="s">
        <v>48</v>
      </c>
      <c r="D425" s="20" t="n">
        <f aca="false">D422/C422-1</f>
        <v>0.207056039184211</v>
      </c>
      <c r="E425" s="20" t="n">
        <f aca="false">E422/D422-1</f>
        <v>0.354477820402523</v>
      </c>
      <c r="F425" s="20" t="n">
        <f aca="false">F422/E422-1</f>
        <v>0.149342244647303</v>
      </c>
      <c r="G425" s="20" t="n">
        <f aca="false">G422/F422-1</f>
        <v>0.0811641491611259</v>
      </c>
      <c r="H425" s="27" t="n">
        <f aca="false">$G425+(fade_gA-$G425)*1/3</f>
        <v>0.0741094327740839</v>
      </c>
      <c r="I425" s="27" t="n">
        <f aca="false">$G425+(fade_gA-$G425)*2/3</f>
        <v>0.067054716387042</v>
      </c>
      <c r="J425" s="27" t="n">
        <f aca="false">$G425+(fade_gA-$G425)*3/3</f>
        <v>0.06</v>
      </c>
    </row>
    <row r="426" customFormat="false" ht="17.15" hidden="false" customHeight="false" outlineLevel="0" collapsed="false">
      <c r="A426" s="6" t="s">
        <v>559</v>
      </c>
    </row>
    <row r="427" customFormat="false" ht="15" hidden="false" customHeight="false" outlineLevel="0" collapsed="false">
      <c r="A427" s="4" t="s">
        <v>560</v>
      </c>
      <c r="B427" s="0" t="s">
        <v>184</v>
      </c>
      <c r="D427" s="23" t="n">
        <f aca="false">da_tot26*da_sh</f>
        <v>8.658</v>
      </c>
      <c r="E427" s="23" t="n">
        <f aca="false">D427*(1+dag_27+dag_adj)</f>
        <v>8.91774</v>
      </c>
      <c r="F427" s="23" t="n">
        <f aca="false">E427*(1+dag_28+dag_adj)</f>
        <v>9.0960948</v>
      </c>
      <c r="G427" s="23" t="n">
        <f aca="false">F427*(1+dag_29+dag_adj)</f>
        <v>9.0960948</v>
      </c>
    </row>
    <row r="428" customFormat="false" ht="17.15" hidden="false" customHeight="false" outlineLevel="0" collapsed="false">
      <c r="A428" s="4" t="s">
        <v>561</v>
      </c>
      <c r="B428" s="0" t="s">
        <v>562</v>
      </c>
      <c r="D428" s="23" t="n">
        <f aca="false">(D416-a26_gp-D427)/D412*1000</f>
        <v>10.7339918911001</v>
      </c>
      <c r="E428" s="23" t="n">
        <f aca="false">D428*(1+cc_g)</f>
        <v>10.9486717289221</v>
      </c>
      <c r="F428" s="23" t="n">
        <f aca="false">E428*(1+cc_g)</f>
        <v>11.1676451635006</v>
      </c>
      <c r="G428" s="23" t="n">
        <f aca="false">F428*(1+cc_g)</f>
        <v>11.3909980667706</v>
      </c>
      <c r="K428" s="8" t="s">
        <v>563</v>
      </c>
    </row>
    <row r="429" customFormat="false" ht="17.15" hidden="false" customHeight="false" outlineLevel="0" collapsed="false">
      <c r="A429" s="4" t="s">
        <v>564</v>
      </c>
      <c r="B429" s="0" t="s">
        <v>184</v>
      </c>
      <c r="D429" s="23" t="n">
        <f aca="false">D428*D412/1000</f>
        <v>30.9620386</v>
      </c>
      <c r="E429" s="23" t="n">
        <f aca="false">E428*E412/1000</f>
        <v>36.1058179639771</v>
      </c>
      <c r="F429" s="23" t="n">
        <f aca="false">F428*F412/1000</f>
        <v>36.440271856696</v>
      </c>
      <c r="G429" s="23" t="n">
        <f aca="false">G428*G412/1000</f>
        <v>36.7736615779381</v>
      </c>
    </row>
    <row r="430" customFormat="false" ht="17.15" hidden="false" customHeight="false" outlineLevel="0" collapsed="false">
      <c r="A430" s="0" t="s">
        <v>565</v>
      </c>
      <c r="B430" s="0" t="s">
        <v>48</v>
      </c>
      <c r="E430" s="20" t="n">
        <f aca="false">vgm27_A</f>
        <v>0.05</v>
      </c>
      <c r="F430" s="20" t="n">
        <f aca="false">vgm28_A</f>
        <v>0.2</v>
      </c>
      <c r="G430" s="20" t="n">
        <f aca="false">vgm29_A</f>
        <v>0.25</v>
      </c>
    </row>
    <row r="431" customFormat="false" ht="17.15" hidden="false" customHeight="false" outlineLevel="0" collapsed="false">
      <c r="A431" s="0" t="s">
        <v>566</v>
      </c>
      <c r="B431" s="0" t="s">
        <v>184</v>
      </c>
      <c r="D431" s="23" t="n">
        <f aca="false">0</f>
        <v>0</v>
      </c>
      <c r="E431" s="23" t="n">
        <f aca="false">E421*E430</f>
        <v>0.373248</v>
      </c>
      <c r="F431" s="23" t="n">
        <f aca="false">F421*F430</f>
        <v>3.73248</v>
      </c>
      <c r="G431" s="23" t="n">
        <f aca="false">G421*G430</f>
        <v>6.53184</v>
      </c>
    </row>
    <row r="432" customFormat="false" ht="15" hidden="false" customHeight="false" outlineLevel="0" collapsed="false">
      <c r="A432" s="4" t="s">
        <v>417</v>
      </c>
      <c r="B432" s="0" t="s">
        <v>184</v>
      </c>
      <c r="C432" s="23" t="n">
        <f aca="false">a25_gp</f>
        <v>13.654</v>
      </c>
      <c r="D432" s="23" t="n">
        <f aca="false">D416-D427-D429+D431</f>
        <v>19.0320214</v>
      </c>
      <c r="E432" s="23" t="n">
        <f aca="false">E416-E427-E429+E431</f>
        <v>27.3276444269409</v>
      </c>
      <c r="F432" s="23" t="n">
        <f aca="false">F416-F427-F429+F431</f>
        <v>30.8408108906852</v>
      </c>
      <c r="G432" s="23" t="n">
        <f aca="false">G416-G427-G429+G431</f>
        <v>33.2526840542482</v>
      </c>
    </row>
    <row r="433" customFormat="false" ht="15" hidden="false" customHeight="false" outlineLevel="0" collapsed="false">
      <c r="A433" s="4" t="s">
        <v>420</v>
      </c>
      <c r="B433" s="0" t="s">
        <v>48</v>
      </c>
      <c r="C433" s="16" t="n">
        <f aca="false">C432/C422</f>
        <v>0.280998538824062</v>
      </c>
      <c r="D433" s="16" t="n">
        <f aca="false">D432/D422</f>
        <v>0.324490246378388</v>
      </c>
      <c r="E433" s="16" t="n">
        <f aca="false">E432/E422</f>
        <v>0.343990960508683</v>
      </c>
      <c r="F433" s="16" t="n">
        <f aca="false">F432/F422</f>
        <v>0.33777013747131</v>
      </c>
      <c r="G433" s="16" t="n">
        <f aca="false">G432/G422</f>
        <v>0.336845330967823</v>
      </c>
    </row>
    <row r="434" customFormat="false" ht="15" hidden="false" customHeight="false" outlineLevel="0" collapsed="false">
      <c r="A434" s="4" t="s">
        <v>422</v>
      </c>
      <c r="B434" s="0" t="s">
        <v>184</v>
      </c>
      <c r="C434" s="23" t="n">
        <f aca="false">a25_opx</f>
        <v>5.881</v>
      </c>
      <c r="D434" s="23" t="n">
        <f aca="false">a26_opx</f>
        <v>6.824187</v>
      </c>
      <c r="E434" s="23" t="n">
        <f aca="false">D434*(1+MAX(g_opx_min,phi*E425))</f>
        <v>8.03369846688962</v>
      </c>
      <c r="F434" s="23" t="n">
        <f aca="false">E434*(1+MAX(g_opx_min,phi*F425))</f>
        <v>8.63358374782206</v>
      </c>
      <c r="G434" s="23" t="n">
        <f aca="false">F434*(1+MAX(g_opx_min,phi*G425))</f>
        <v>8.98395248737372</v>
      </c>
    </row>
    <row r="435" customFormat="false" ht="15" hidden="false" customHeight="false" outlineLevel="0" collapsed="false">
      <c r="A435" s="4" t="s">
        <v>425</v>
      </c>
      <c r="B435" s="0" t="s">
        <v>184</v>
      </c>
      <c r="C435" s="23" t="n">
        <f aca="false">C432-C434</f>
        <v>7.773</v>
      </c>
      <c r="D435" s="23" t="n">
        <f aca="false">D432-D434</f>
        <v>12.2078344</v>
      </c>
      <c r="E435" s="23" t="n">
        <f aca="false">E432-E434</f>
        <v>19.2939459600513</v>
      </c>
      <c r="F435" s="23" t="n">
        <f aca="false">F432-F434</f>
        <v>22.2072271428632</v>
      </c>
      <c r="G435" s="23" t="n">
        <f aca="false">G432-G434</f>
        <v>24.2687315668745</v>
      </c>
    </row>
    <row r="436" customFormat="false" ht="15" hidden="false" customHeight="false" outlineLevel="0" collapsed="false">
      <c r="A436" s="4" t="s">
        <v>531</v>
      </c>
      <c r="B436" s="0" t="s">
        <v>48</v>
      </c>
      <c r="C436" s="16" t="n">
        <f aca="false">C435/C422</f>
        <v>0.159967895289251</v>
      </c>
      <c r="D436" s="16" t="n">
        <f aca="false">D435/D422</f>
        <v>0.208139908470393</v>
      </c>
      <c r="E436" s="16" t="n">
        <f aca="false">E435/E422</f>
        <v>0.242865535686553</v>
      </c>
      <c r="F436" s="16" t="n">
        <f aca="false">F435/F422</f>
        <v>0.243214686912366</v>
      </c>
      <c r="G436" s="16" t="n">
        <f aca="false">G435/G422</f>
        <v>0.245839069816943</v>
      </c>
    </row>
    <row r="437" customFormat="false" ht="15" hidden="false" customHeight="false" outlineLevel="0" collapsed="false">
      <c r="A437" s="4" t="s">
        <v>428</v>
      </c>
      <c r="B437" s="0" t="s">
        <v>184</v>
      </c>
      <c r="C437" s="23" t="n">
        <f aca="false">a25_nonop</f>
        <v>1.479</v>
      </c>
      <c r="D437" s="23" t="n">
        <f aca="false">a26_nonop</f>
        <v>2.10950832169955</v>
      </c>
      <c r="E437" s="23" t="n">
        <f aca="false">nonop_f</f>
        <v>1.5</v>
      </c>
      <c r="F437" s="23" t="n">
        <f aca="false">nonop_f</f>
        <v>1.5</v>
      </c>
      <c r="G437" s="23" t="n">
        <f aca="false">nonop_f</f>
        <v>1.5</v>
      </c>
    </row>
    <row r="438" customFormat="false" ht="15" hidden="false" customHeight="false" outlineLevel="0" collapsed="false">
      <c r="A438" s="4" t="s">
        <v>430</v>
      </c>
      <c r="B438" s="0" t="s">
        <v>184</v>
      </c>
      <c r="C438" s="23" t="n">
        <f aca="false">C435+C437</f>
        <v>9.252</v>
      </c>
      <c r="D438" s="23" t="n">
        <f aca="false">D435+D437</f>
        <v>14.3173427216995</v>
      </c>
      <c r="E438" s="23" t="n">
        <f aca="false">E435+E437</f>
        <v>20.7939459600513</v>
      </c>
      <c r="F438" s="23" t="n">
        <f aca="false">F435+F437</f>
        <v>23.7072271428632</v>
      </c>
      <c r="G438" s="23" t="n">
        <f aca="false">G435+G437</f>
        <v>25.7687315668745</v>
      </c>
    </row>
    <row r="439" customFormat="false" ht="15" hidden="false" customHeight="false" outlineLevel="0" collapsed="false">
      <c r="A439" s="4" t="s">
        <v>432</v>
      </c>
      <c r="B439" s="0" t="s">
        <v>184</v>
      </c>
      <c r="C439" s="23" t="n">
        <f aca="false">a25_tax</f>
        <v>1.344</v>
      </c>
      <c r="D439" s="23" t="n">
        <f aca="false">a26_tax</f>
        <v>2.0798215108046</v>
      </c>
      <c r="E439" s="23" t="n">
        <f aca="false">E438*tax</f>
        <v>3.1190918940077</v>
      </c>
      <c r="F439" s="23" t="n">
        <f aca="false">F438*tax</f>
        <v>3.55608407142948</v>
      </c>
      <c r="G439" s="23" t="n">
        <f aca="false">G438*tax</f>
        <v>3.86530973503118</v>
      </c>
    </row>
    <row r="440" customFormat="false" ht="17.15" hidden="false" customHeight="false" outlineLevel="0" collapsed="false">
      <c r="A440" s="4" t="s">
        <v>567</v>
      </c>
      <c r="B440" s="0" t="s">
        <v>184</v>
      </c>
      <c r="C440" s="23" t="n">
        <f aca="false">a25_mi</f>
        <v>0</v>
      </c>
      <c r="D440" s="23" t="n">
        <f aca="false">a26_mi</f>
        <v>0</v>
      </c>
      <c r="E440" s="23" t="n">
        <f aca="false">vmi*E431*(1-tax)</f>
        <v>0.12690432</v>
      </c>
      <c r="F440" s="23" t="n">
        <f aca="false">vmi*F431*(1-tax)</f>
        <v>1.2690432</v>
      </c>
      <c r="G440" s="23" t="n">
        <f aca="false">vmi*G431*(1-tax)</f>
        <v>2.2208256</v>
      </c>
      <c r="K440" s="8" t="s">
        <v>568</v>
      </c>
    </row>
    <row r="441" customFormat="false" ht="15" hidden="false" customHeight="false" outlineLevel="0" collapsed="false">
      <c r="A441" s="4" t="s">
        <v>435</v>
      </c>
      <c r="B441" s="0" t="s">
        <v>184</v>
      </c>
      <c r="C441" s="23" t="n">
        <f aca="false">C438-C439-C440</f>
        <v>7.908</v>
      </c>
      <c r="D441" s="23" t="n">
        <f aca="false">D438-D439-D440</f>
        <v>12.2375212108949</v>
      </c>
      <c r="E441" s="23" t="n">
        <f aca="false">E438-E439-E440</f>
        <v>17.5479497460436</v>
      </c>
      <c r="F441" s="23" t="n">
        <f aca="false">F438-F439-F440</f>
        <v>18.8820998714337</v>
      </c>
      <c r="G441" s="23" t="n">
        <f aca="false">G438-G439-G440</f>
        <v>19.6825962318434</v>
      </c>
      <c r="H441" s="29" t="n">
        <f aca="false">H422*H445</f>
        <v>21.1412622741066</v>
      </c>
      <c r="I441" s="29" t="n">
        <f aca="false">I422*I445</f>
        <v>22.5588836199609</v>
      </c>
      <c r="J441" s="29" t="n">
        <f aca="false">J422*J445</f>
        <v>23.9124166371585</v>
      </c>
    </row>
    <row r="442" customFormat="false" ht="15" hidden="false" customHeight="false" outlineLevel="0" collapsed="false">
      <c r="A442" s="4" t="s">
        <v>569</v>
      </c>
      <c r="B442" s="4" t="s">
        <v>265</v>
      </c>
      <c r="C442" s="10" t="n">
        <f aca="false">a25_sh</f>
        <v>1.8739336492891</v>
      </c>
      <c r="D442" s="10" t="n">
        <f aca="false">a26_sh</f>
        <v>1.90613591916558</v>
      </c>
      <c r="E442" s="10" t="n">
        <f aca="false">q_sh*(1+sh_g)</f>
        <v>1.90705128205128</v>
      </c>
      <c r="F442" s="10" t="n">
        <f aca="false">E442*(1+sh_g)</f>
        <v>1.90705128205128</v>
      </c>
      <c r="G442" s="10" t="n">
        <f aca="false">F442*(1+sh_g)</f>
        <v>1.90705128205128</v>
      </c>
      <c r="H442" s="31" t="n">
        <f aca="false">G442*(1+sh_g)</f>
        <v>1.90705128205128</v>
      </c>
      <c r="I442" s="31" t="n">
        <f aca="false">H442*(1+sh_g)</f>
        <v>1.90705128205128</v>
      </c>
      <c r="J442" s="31" t="n">
        <f aca="false">I442*(1+sh_g)</f>
        <v>1.90705128205128</v>
      </c>
    </row>
    <row r="443" customFormat="false" ht="17.15" hidden="false" customHeight="false" outlineLevel="0" collapsed="false">
      <c r="A443" s="0" t="s">
        <v>442</v>
      </c>
      <c r="B443" s="0" t="s">
        <v>274</v>
      </c>
      <c r="C443" s="23" t="n">
        <f aca="false">C441/C442</f>
        <v>4.22</v>
      </c>
      <c r="D443" s="23" t="n">
        <f aca="false">D441/D442</f>
        <v>6.42006747150118</v>
      </c>
      <c r="E443" s="23" t="n">
        <f aca="false">E441/E442</f>
        <v>9.20161398448001</v>
      </c>
      <c r="F443" s="23" t="n">
        <f aca="false">F441/F442</f>
        <v>9.90120194939044</v>
      </c>
      <c r="G443" s="23" t="n">
        <f aca="false">G441/G442</f>
        <v>10.3209580240926</v>
      </c>
      <c r="H443" s="29" t="n">
        <f aca="false">H441/H442</f>
        <v>11.0858383689433</v>
      </c>
      <c r="I443" s="29" t="n">
        <f aca="false">I441/I442</f>
        <v>11.8291961166854</v>
      </c>
      <c r="J443" s="29" t="n">
        <f aca="false">J441/J442</f>
        <v>12.5389478836865</v>
      </c>
    </row>
    <row r="444" customFormat="false" ht="17.15" hidden="false" customHeight="false" outlineLevel="0" collapsed="false">
      <c r="A444" s="0" t="s">
        <v>570</v>
      </c>
      <c r="B444" s="0" t="s">
        <v>48</v>
      </c>
      <c r="D444" s="20" t="n">
        <f aca="false">D443/C443-1</f>
        <v>0.521343002725398</v>
      </c>
      <c r="E444" s="20" t="n">
        <f aca="false">E443/D443-1</f>
        <v>0.433258143364719</v>
      </c>
      <c r="F444" s="20" t="n">
        <f aca="false">F443/E443-1</f>
        <v>0.0760288321255815</v>
      </c>
      <c r="G444" s="20" t="n">
        <f aca="false">G443/F443-1</f>
        <v>0.0423944564354681</v>
      </c>
      <c r="H444" s="27" t="n">
        <f aca="false">H443/G443-1</f>
        <v>0.0741094327740839</v>
      </c>
      <c r="I444" s="27" t="n">
        <f aca="false">I443/H443-1</f>
        <v>0.0670547163870419</v>
      </c>
      <c r="J444" s="27" t="n">
        <f aca="false">J443/I443-1</f>
        <v>0.0600000000000001</v>
      </c>
    </row>
    <row r="445" customFormat="false" ht="17.15" hidden="false" customHeight="false" outlineLevel="0" collapsed="false">
      <c r="A445" s="4" t="s">
        <v>571</v>
      </c>
      <c r="B445" s="0" t="s">
        <v>48</v>
      </c>
      <c r="C445" s="16" t="n">
        <f aca="false">C441/C422</f>
        <v>0.162746187565599</v>
      </c>
      <c r="D445" s="16" t="n">
        <f aca="false">D441/D422</f>
        <v>0.208646059676249</v>
      </c>
      <c r="E445" s="16" t="n">
        <f aca="false">E441/E422</f>
        <v>0.220887537681393</v>
      </c>
      <c r="F445" s="16" t="n">
        <f aca="false">F441/F422</f>
        <v>0.206797723053625</v>
      </c>
      <c r="G445" s="16" t="n">
        <f aca="false">G441/G422</f>
        <v>0.199382119987823</v>
      </c>
      <c r="H445" s="28" t="n">
        <f aca="false">$G445+($G$445*1-$G445)*1/3</f>
        <v>0.199382119987823</v>
      </c>
      <c r="I445" s="28" t="n">
        <f aca="false">$G445+($G$445*1-$G445)*2/3</f>
        <v>0.199382119987823</v>
      </c>
      <c r="J445" s="28" t="n">
        <f aca="false">$G445+($G$445*1-$G445)*3/3</f>
        <v>0.199382119987823</v>
      </c>
    </row>
    <row r="448" customFormat="false" ht="17.15" hidden="false" customHeight="false" outlineLevel="0" collapsed="false">
      <c r="A448" s="1" t="s">
        <v>855</v>
      </c>
    </row>
    <row r="449" customFormat="false" ht="17.15" hidden="false" customHeight="false" outlineLevel="0" collapsed="false">
      <c r="A449" s="5" t="s">
        <v>24</v>
      </c>
      <c r="B449" s="5" t="s">
        <v>25</v>
      </c>
      <c r="C449" s="17" t="s">
        <v>394</v>
      </c>
      <c r="D449" s="17" t="s">
        <v>521</v>
      </c>
      <c r="E449" s="17" t="s">
        <v>480</v>
      </c>
      <c r="F449" s="17" t="s">
        <v>481</v>
      </c>
      <c r="G449" s="17" t="s">
        <v>482</v>
      </c>
      <c r="H449" s="17" t="s">
        <v>522</v>
      </c>
      <c r="I449" s="17" t="s">
        <v>523</v>
      </c>
      <c r="J449" s="17" t="s">
        <v>524</v>
      </c>
      <c r="K449" s="5" t="s">
        <v>357</v>
      </c>
    </row>
    <row r="450" customFormat="false" ht="17.15" hidden="false" customHeight="false" outlineLevel="0" collapsed="false">
      <c r="A450" s="6" t="s">
        <v>542</v>
      </c>
    </row>
    <row r="451" customFormat="false" ht="17.15" hidden="false" customHeight="false" outlineLevel="0" collapsed="false">
      <c r="A451" s="4" t="s">
        <v>543</v>
      </c>
      <c r="B451" s="4" t="s">
        <v>42</v>
      </c>
      <c r="D451" s="22" t="n">
        <f aca="false">cap_26</f>
        <v>3306</v>
      </c>
      <c r="E451" s="22" t="n">
        <f aca="false">D451*(1+capg27)*cap_adj_hi</f>
        <v>3471.3</v>
      </c>
      <c r="F451" s="22" t="n">
        <f aca="false">E451*(1+capg28)</f>
        <v>3471.3</v>
      </c>
      <c r="G451" s="22" t="n">
        <f aca="false">F451*(1+capg29)</f>
        <v>3471.3</v>
      </c>
    </row>
    <row r="452" customFormat="false" ht="15" hidden="false" customHeight="false" outlineLevel="0" collapsed="false">
      <c r="A452" s="4" t="s">
        <v>544</v>
      </c>
      <c r="B452" s="0" t="s">
        <v>48</v>
      </c>
      <c r="D452" s="20" t="n">
        <f aca="false">a26_ship/cap_26</f>
        <v>0.8725</v>
      </c>
      <c r="E452" s="20" t="n">
        <f aca="false">MIN(0.98,ut27_B+ut_adj)</f>
        <v>0.9</v>
      </c>
      <c r="F452" s="20" t="n">
        <f aca="false">MIN(0.98,ut28_B+ut_adj)</f>
        <v>0.86</v>
      </c>
      <c r="G452" s="20" t="n">
        <f aca="false">MIN(0.98,ut29_B+ut_adj)</f>
        <v>0.87</v>
      </c>
    </row>
    <row r="453" customFormat="false" ht="17.15" hidden="false" customHeight="false" outlineLevel="0" collapsed="false">
      <c r="A453" s="4" t="s">
        <v>545</v>
      </c>
      <c r="B453" s="4" t="s">
        <v>42</v>
      </c>
      <c r="D453" s="22" t="n">
        <f aca="false">D451*D452</f>
        <v>2884.485</v>
      </c>
      <c r="E453" s="22" t="n">
        <f aca="false">E451*E452</f>
        <v>3124.17</v>
      </c>
      <c r="F453" s="22" t="n">
        <f aca="false">F451*F452</f>
        <v>2985.318</v>
      </c>
      <c r="G453" s="22" t="n">
        <f aca="false">G451*G452</f>
        <v>3020.031</v>
      </c>
    </row>
    <row r="454" customFormat="false" ht="17.15" hidden="false" customHeight="false" outlineLevel="0" collapsed="false">
      <c r="A454" s="4" t="s">
        <v>546</v>
      </c>
      <c r="B454" s="0" t="s">
        <v>89</v>
      </c>
      <c r="D454" s="22" t="n">
        <f aca="false">asp_26</f>
        <v>643.469405492234</v>
      </c>
      <c r="E454" s="22" t="n">
        <f aca="false">D454*(1+asp27_B)*(1+asp_adj)</f>
        <v>662.773487657001</v>
      </c>
      <c r="F454" s="22" t="n">
        <f aca="false">E454*(1+asp28_B)</f>
        <v>662.773487657001</v>
      </c>
      <c r="G454" s="22" t="n">
        <f aca="false">F454*(1+asp29_B)</f>
        <v>662.773487657001</v>
      </c>
    </row>
    <row r="455" customFormat="false" ht="15" hidden="false" customHeight="false" outlineLevel="0" collapsed="false">
      <c r="A455" s="4" t="s">
        <v>547</v>
      </c>
      <c r="B455" s="0" t="s">
        <v>48</v>
      </c>
      <c r="E455" s="20" t="n">
        <f aca="false">E454/D454-1</f>
        <v>0.03</v>
      </c>
      <c r="F455" s="20" t="n">
        <f aca="false">F454/E454-1</f>
        <v>0</v>
      </c>
      <c r="G455" s="20" t="n">
        <f aca="false">G454/F454-1</f>
        <v>0</v>
      </c>
    </row>
    <row r="456" customFormat="false" ht="15" hidden="false" customHeight="false" outlineLevel="0" collapsed="false">
      <c r="A456" s="4" t="s">
        <v>548</v>
      </c>
      <c r="B456" s="0" t="s">
        <v>35</v>
      </c>
      <c r="D456" s="23" t="n">
        <f aca="false">fx_26</f>
        <v>31.6</v>
      </c>
      <c r="E456" s="23" t="n">
        <f aca="false">fx</f>
        <v>32</v>
      </c>
      <c r="F456" s="23" t="n">
        <f aca="false">fx</f>
        <v>32</v>
      </c>
      <c r="G456" s="23" t="n">
        <f aca="false">fx</f>
        <v>32</v>
      </c>
    </row>
    <row r="457" customFormat="false" ht="17.15" hidden="false" customHeight="false" outlineLevel="0" collapsed="false">
      <c r="A457" s="0" t="s">
        <v>549</v>
      </c>
      <c r="B457" s="0" t="s">
        <v>184</v>
      </c>
      <c r="D457" s="23" t="n">
        <f aca="false">D453*D454*D456/1000000</f>
        <v>58.65206</v>
      </c>
      <c r="E457" s="23" t="n">
        <f aca="false">E453*E454*E456/1000000</f>
        <v>66.2597455018679</v>
      </c>
      <c r="F457" s="23" t="n">
        <f aca="false">F453*F454*F456/1000000</f>
        <v>63.3148679240071</v>
      </c>
      <c r="G457" s="23" t="n">
        <f aca="false">G453*G454*G456/1000000</f>
        <v>64.0510873184723</v>
      </c>
    </row>
    <row r="458" customFormat="false" ht="17.15" hidden="false" customHeight="false" outlineLevel="0" collapsed="false">
      <c r="A458" s="6" t="s">
        <v>550</v>
      </c>
    </row>
    <row r="459" customFormat="false" ht="17.15" hidden="false" customHeight="false" outlineLevel="0" collapsed="false">
      <c r="A459" s="0" t="s">
        <v>551</v>
      </c>
      <c r="B459" s="4" t="s">
        <v>42</v>
      </c>
      <c r="D459" s="22" t="n">
        <f aca="false">0</f>
        <v>0</v>
      </c>
      <c r="E459" s="22" t="n">
        <f aca="false">vcap27*vcap_adj</f>
        <v>144</v>
      </c>
      <c r="F459" s="22" t="n">
        <f aca="false">vcap28*vcap_adj</f>
        <v>360</v>
      </c>
      <c r="G459" s="22" t="n">
        <f aca="false">vcap29*vcap_adj</f>
        <v>504</v>
      </c>
    </row>
    <row r="460" customFormat="false" ht="17.15" hidden="false" customHeight="false" outlineLevel="0" collapsed="false">
      <c r="A460" s="0" t="s">
        <v>552</v>
      </c>
      <c r="B460" s="0" t="s">
        <v>48</v>
      </c>
      <c r="E460" s="20" t="n">
        <f aca="false">vut_B</f>
        <v>0.8</v>
      </c>
      <c r="F460" s="20" t="n">
        <f aca="false">vut_B</f>
        <v>0.8</v>
      </c>
      <c r="G460" s="20" t="n">
        <f aca="false">vut_B</f>
        <v>0.8</v>
      </c>
    </row>
    <row r="461" customFormat="false" ht="17.15" hidden="false" customHeight="false" outlineLevel="0" collapsed="false">
      <c r="A461" s="0" t="s">
        <v>553</v>
      </c>
      <c r="B461" s="4" t="s">
        <v>42</v>
      </c>
      <c r="D461" s="22" t="n">
        <f aca="false">0</f>
        <v>0</v>
      </c>
      <c r="E461" s="22" t="n">
        <f aca="false">E459*E460</f>
        <v>115.2</v>
      </c>
      <c r="F461" s="22" t="n">
        <f aca="false">F459*F460</f>
        <v>288</v>
      </c>
      <c r="G461" s="22" t="n">
        <f aca="false">G459*G460</f>
        <v>403.2</v>
      </c>
    </row>
    <row r="462" customFormat="false" ht="17.15" hidden="false" customHeight="false" outlineLevel="0" collapsed="false">
      <c r="A462" s="0" t="s">
        <v>554</v>
      </c>
      <c r="B462" s="0" t="s">
        <v>184</v>
      </c>
      <c r="D462" s="23" t="n">
        <f aca="false">0</f>
        <v>0</v>
      </c>
      <c r="E462" s="23" t="n">
        <f aca="false">E461*vasp*E456/1000000</f>
        <v>6.63552</v>
      </c>
      <c r="F462" s="23" t="n">
        <f aca="false">F461*vasp*F456/1000000</f>
        <v>16.5888</v>
      </c>
      <c r="G462" s="23" t="n">
        <f aca="false">G461*vasp*G456/1000000</f>
        <v>23.22432</v>
      </c>
    </row>
    <row r="463" customFormat="false" ht="17.15" hidden="false" customHeight="false" outlineLevel="0" collapsed="false">
      <c r="A463" s="4" t="s">
        <v>400</v>
      </c>
      <c r="B463" s="0" t="s">
        <v>184</v>
      </c>
      <c r="C463" s="23" t="n">
        <f aca="false">a25_rev</f>
        <v>48.591</v>
      </c>
      <c r="D463" s="23" t="n">
        <f aca="false">D457+D462</f>
        <v>58.65206</v>
      </c>
      <c r="E463" s="23" t="n">
        <f aca="false">E457+E462</f>
        <v>72.8952655018679</v>
      </c>
      <c r="F463" s="23" t="n">
        <f aca="false">F457+F462</f>
        <v>79.9036679240071</v>
      </c>
      <c r="G463" s="23" t="n">
        <f aca="false">G457+G462</f>
        <v>87.2754073184723</v>
      </c>
      <c r="H463" s="29" t="n">
        <f aca="false">G463*(1+H466)</f>
        <v>93.8069728224761</v>
      </c>
      <c r="I463" s="29" t="n">
        <f aca="false">H463*(1+I466)</f>
        <v>99.1933014980175</v>
      </c>
      <c r="J463" s="29" t="n">
        <f aca="false">I463*(1+J466)</f>
        <v>103.161033557938</v>
      </c>
      <c r="K463" s="8" t="s">
        <v>555</v>
      </c>
    </row>
    <row r="464" customFormat="false" ht="17.15" hidden="false" customHeight="false" outlineLevel="0" collapsed="false">
      <c r="A464" s="0" t="s">
        <v>556</v>
      </c>
      <c r="B464" s="0" t="s">
        <v>48</v>
      </c>
      <c r="D464" s="20" t="n">
        <f aca="false">D462/D463</f>
        <v>0</v>
      </c>
      <c r="E464" s="20" t="n">
        <f aca="false">E462/E463</f>
        <v>0.0910281340539183</v>
      </c>
      <c r="F464" s="20" t="n">
        <f aca="false">F462/F463</f>
        <v>0.207609993771211</v>
      </c>
      <c r="G464" s="20" t="n">
        <f aca="false">G462/G463</f>
        <v>0.266103828255459</v>
      </c>
    </row>
    <row r="465" customFormat="false" ht="17.15" hidden="false" customHeight="false" outlineLevel="0" collapsed="false">
      <c r="A465" s="0" t="s">
        <v>557</v>
      </c>
      <c r="B465" s="0" t="s">
        <v>48</v>
      </c>
      <c r="D465" s="20" t="n">
        <f aca="false">ai_sh26</f>
        <v>0.1</v>
      </c>
      <c r="E465" s="20" t="n">
        <f aca="false">ai_sh27_B</f>
        <v>0.2</v>
      </c>
      <c r="F465" s="20" t="n">
        <f aca="false">ai_sh27_B</f>
        <v>0.2</v>
      </c>
      <c r="G465" s="20" t="n">
        <f aca="false">ai_sh27_B</f>
        <v>0.2</v>
      </c>
    </row>
    <row r="466" customFormat="false" ht="15" hidden="false" customHeight="false" outlineLevel="0" collapsed="false">
      <c r="A466" s="4" t="s">
        <v>558</v>
      </c>
      <c r="B466" s="0" t="s">
        <v>48</v>
      </c>
      <c r="D466" s="20" t="n">
        <f aca="false">D463/C463-1</f>
        <v>0.207056039184211</v>
      </c>
      <c r="E466" s="20" t="n">
        <f aca="false">E463/D463-1</f>
        <v>0.242842374195688</v>
      </c>
      <c r="F466" s="20" t="n">
        <f aca="false">F463/E463-1</f>
        <v>0.0961434514832738</v>
      </c>
      <c r="G466" s="20" t="n">
        <f aca="false">G463/F463-1</f>
        <v>0.0922578347902143</v>
      </c>
      <c r="H466" s="27" t="n">
        <f aca="false">$G466+(fade_gB-$G466)*1/3</f>
        <v>0.0748385565268095</v>
      </c>
      <c r="I466" s="27" t="n">
        <f aca="false">$G466+(fade_gB-$G466)*2/3</f>
        <v>0.0574192782634048</v>
      </c>
      <c r="J466" s="27" t="n">
        <f aca="false">$G466+(fade_gB-$G466)*3/3</f>
        <v>0.04</v>
      </c>
    </row>
    <row r="467" customFormat="false" ht="17.15" hidden="false" customHeight="false" outlineLevel="0" collapsed="false">
      <c r="A467" s="6" t="s">
        <v>559</v>
      </c>
    </row>
    <row r="468" customFormat="false" ht="15" hidden="false" customHeight="false" outlineLevel="0" collapsed="false">
      <c r="A468" s="4" t="s">
        <v>560</v>
      </c>
      <c r="B468" s="0" t="s">
        <v>184</v>
      </c>
      <c r="D468" s="23" t="n">
        <f aca="false">da_tot26*da_sh</f>
        <v>8.658</v>
      </c>
      <c r="E468" s="23" t="n">
        <f aca="false">D468*(1+dag_27+dag_adj)</f>
        <v>8.91774</v>
      </c>
      <c r="F468" s="23" t="n">
        <f aca="false">E468*(1+dag_28+dag_adj)</f>
        <v>9.0960948</v>
      </c>
      <c r="G468" s="23" t="n">
        <f aca="false">F468*(1+dag_29+dag_adj)</f>
        <v>9.0960948</v>
      </c>
    </row>
    <row r="469" customFormat="false" ht="17.15" hidden="false" customHeight="false" outlineLevel="0" collapsed="false">
      <c r="A469" s="4" t="s">
        <v>561</v>
      </c>
      <c r="B469" s="0" t="s">
        <v>562</v>
      </c>
      <c r="D469" s="23" t="n">
        <f aca="false">(D457-a26_gp-D468)/D453*1000</f>
        <v>10.7339918911001</v>
      </c>
      <c r="E469" s="23" t="n">
        <f aca="false">D469*(1+cc_g)</f>
        <v>10.9486717289221</v>
      </c>
      <c r="F469" s="23" t="n">
        <f aca="false">E469*(1+cc_g)</f>
        <v>11.1676451635006</v>
      </c>
      <c r="G469" s="23" t="n">
        <f aca="false">F469*(1+cc_g)</f>
        <v>11.3909980667706</v>
      </c>
      <c r="K469" s="8" t="s">
        <v>563</v>
      </c>
    </row>
    <row r="470" customFormat="false" ht="17.15" hidden="false" customHeight="false" outlineLevel="0" collapsed="false">
      <c r="A470" s="4" t="s">
        <v>564</v>
      </c>
      <c r="B470" s="0" t="s">
        <v>184</v>
      </c>
      <c r="D470" s="23" t="n">
        <f aca="false">D469*D453/1000</f>
        <v>30.9620386</v>
      </c>
      <c r="E470" s="23" t="n">
        <f aca="false">E469*E453/1000</f>
        <v>34.2055117553467</v>
      </c>
      <c r="F470" s="23" t="n">
        <f aca="false">F469*F453/1000</f>
        <v>33.3389721242113</v>
      </c>
      <c r="G470" s="23" t="n">
        <f aca="false">G469*G453/1000</f>
        <v>34.4011672825873</v>
      </c>
    </row>
    <row r="471" customFormat="false" ht="17.15" hidden="false" customHeight="false" outlineLevel="0" collapsed="false">
      <c r="A471" s="0" t="s">
        <v>565</v>
      </c>
      <c r="B471" s="0" t="s">
        <v>48</v>
      </c>
      <c r="E471" s="20" t="n">
        <f aca="false">vgm27_B</f>
        <v>-0.05</v>
      </c>
      <c r="F471" s="20" t="n">
        <f aca="false">vgm28_B</f>
        <v>0.12</v>
      </c>
      <c r="G471" s="20" t="n">
        <f aca="false">vgm29_B</f>
        <v>0.18</v>
      </c>
    </row>
    <row r="472" customFormat="false" ht="17.15" hidden="false" customHeight="false" outlineLevel="0" collapsed="false">
      <c r="A472" s="0" t="s">
        <v>566</v>
      </c>
      <c r="B472" s="0" t="s">
        <v>184</v>
      </c>
      <c r="D472" s="23" t="n">
        <f aca="false">0</f>
        <v>0</v>
      </c>
      <c r="E472" s="23" t="n">
        <f aca="false">E462*E471</f>
        <v>-0.331776</v>
      </c>
      <c r="F472" s="23" t="n">
        <f aca="false">F462*F471</f>
        <v>1.990656</v>
      </c>
      <c r="G472" s="23" t="n">
        <f aca="false">G462*G471</f>
        <v>4.1803776</v>
      </c>
    </row>
    <row r="473" customFormat="false" ht="15" hidden="false" customHeight="false" outlineLevel="0" collapsed="false">
      <c r="A473" s="4" t="s">
        <v>417</v>
      </c>
      <c r="B473" s="0" t="s">
        <v>184</v>
      </c>
      <c r="C473" s="23" t="n">
        <f aca="false">a25_gp</f>
        <v>13.654</v>
      </c>
      <c r="D473" s="23" t="n">
        <f aca="false">D457-D468-D470+D472</f>
        <v>19.0320214</v>
      </c>
      <c r="E473" s="23" t="n">
        <f aca="false">E457-E468-E470+E472</f>
        <v>22.8047177465212</v>
      </c>
      <c r="F473" s="23" t="n">
        <f aca="false">F457-F468-F470+F472</f>
        <v>22.8704569997959</v>
      </c>
      <c r="G473" s="23" t="n">
        <f aca="false">G457-G468-G470+G472</f>
        <v>24.734202835885</v>
      </c>
    </row>
    <row r="474" customFormat="false" ht="15" hidden="false" customHeight="false" outlineLevel="0" collapsed="false">
      <c r="A474" s="4" t="s">
        <v>420</v>
      </c>
      <c r="B474" s="0" t="s">
        <v>48</v>
      </c>
      <c r="C474" s="16" t="n">
        <f aca="false">C473/C463</f>
        <v>0.280998538824062</v>
      </c>
      <c r="D474" s="16" t="n">
        <f aca="false">D473/D463</f>
        <v>0.324490246378388</v>
      </c>
      <c r="E474" s="16" t="n">
        <f aca="false">E473/E463</f>
        <v>0.312842234533556</v>
      </c>
      <c r="F474" s="16" t="n">
        <f aca="false">F473/F463</f>
        <v>0.286225371049887</v>
      </c>
      <c r="G474" s="16" t="n">
        <f aca="false">G473/G463</f>
        <v>0.283404037813638</v>
      </c>
    </row>
    <row r="475" customFormat="false" ht="15" hidden="false" customHeight="false" outlineLevel="0" collapsed="false">
      <c r="A475" s="4" t="s">
        <v>422</v>
      </c>
      <c r="B475" s="0" t="s">
        <v>184</v>
      </c>
      <c r="C475" s="23" t="n">
        <f aca="false">a25_opx</f>
        <v>5.881</v>
      </c>
      <c r="D475" s="23" t="n">
        <f aca="false">a26_opx</f>
        <v>6.824187</v>
      </c>
      <c r="E475" s="23" t="n">
        <f aca="false">D475*(1+MAX(g_opx_min,phi*E466))</f>
        <v>7.65278788651767</v>
      </c>
      <c r="F475" s="23" t="n">
        <f aca="false">E475*(1+MAX(g_opx_min,phi*F466))</f>
        <v>8.02067060695727</v>
      </c>
      <c r="G475" s="23" t="n">
        <f aca="false">F475*(1+MAX(g_opx_min,phi*G466))</f>
        <v>8.39065545883897</v>
      </c>
    </row>
    <row r="476" customFormat="false" ht="15" hidden="false" customHeight="false" outlineLevel="0" collapsed="false">
      <c r="A476" s="4" t="s">
        <v>425</v>
      </c>
      <c r="B476" s="0" t="s">
        <v>184</v>
      </c>
      <c r="C476" s="23" t="n">
        <f aca="false">C473-C475</f>
        <v>7.773</v>
      </c>
      <c r="D476" s="23" t="n">
        <f aca="false">D473-D475</f>
        <v>12.2078344</v>
      </c>
      <c r="E476" s="23" t="n">
        <f aca="false">E473-E475</f>
        <v>15.1519298600035</v>
      </c>
      <c r="F476" s="23" t="n">
        <f aca="false">F473-F475</f>
        <v>14.8497863928386</v>
      </c>
      <c r="G476" s="23" t="n">
        <f aca="false">G473-G475</f>
        <v>16.343547377046</v>
      </c>
    </row>
    <row r="477" customFormat="false" ht="15" hidden="false" customHeight="false" outlineLevel="0" collapsed="false">
      <c r="A477" s="4" t="s">
        <v>531</v>
      </c>
      <c r="B477" s="0" t="s">
        <v>48</v>
      </c>
      <c r="C477" s="16" t="n">
        <f aca="false">C476/C463</f>
        <v>0.159967895289251</v>
      </c>
      <c r="D477" s="16" t="n">
        <f aca="false">D476/D463</f>
        <v>0.208139908470393</v>
      </c>
      <c r="E477" s="16" t="n">
        <f aca="false">E476/E463</f>
        <v>0.207858902161695</v>
      </c>
      <c r="F477" s="16" t="n">
        <f aca="false">F476/F463</f>
        <v>0.18584611668843</v>
      </c>
      <c r="G477" s="16" t="n">
        <f aca="false">G476/G463</f>
        <v>0.187264063029894</v>
      </c>
    </row>
    <row r="478" customFormat="false" ht="15" hidden="false" customHeight="false" outlineLevel="0" collapsed="false">
      <c r="A478" s="4" t="s">
        <v>428</v>
      </c>
      <c r="B478" s="0" t="s">
        <v>184</v>
      </c>
      <c r="C478" s="23" t="n">
        <f aca="false">a25_nonop</f>
        <v>1.479</v>
      </c>
      <c r="D478" s="23" t="n">
        <f aca="false">a26_nonop</f>
        <v>2.10950832169955</v>
      </c>
      <c r="E478" s="23" t="n">
        <f aca="false">nonop_f</f>
        <v>1.5</v>
      </c>
      <c r="F478" s="23" t="n">
        <f aca="false">nonop_f</f>
        <v>1.5</v>
      </c>
      <c r="G478" s="23" t="n">
        <f aca="false">nonop_f</f>
        <v>1.5</v>
      </c>
    </row>
    <row r="479" customFormat="false" ht="15" hidden="false" customHeight="false" outlineLevel="0" collapsed="false">
      <c r="A479" s="4" t="s">
        <v>430</v>
      </c>
      <c r="B479" s="0" t="s">
        <v>184</v>
      </c>
      <c r="C479" s="23" t="n">
        <f aca="false">C476+C478</f>
        <v>9.252</v>
      </c>
      <c r="D479" s="23" t="n">
        <f aca="false">D476+D478</f>
        <v>14.3173427216995</v>
      </c>
      <c r="E479" s="23" t="n">
        <f aca="false">E476+E478</f>
        <v>16.6519298600035</v>
      </c>
      <c r="F479" s="23" t="n">
        <f aca="false">F476+F478</f>
        <v>16.3497863928386</v>
      </c>
      <c r="G479" s="23" t="n">
        <f aca="false">G476+G478</f>
        <v>17.843547377046</v>
      </c>
    </row>
    <row r="480" customFormat="false" ht="15" hidden="false" customHeight="false" outlineLevel="0" collapsed="false">
      <c r="A480" s="4" t="s">
        <v>432</v>
      </c>
      <c r="B480" s="0" t="s">
        <v>184</v>
      </c>
      <c r="C480" s="23" t="n">
        <f aca="false">a25_tax</f>
        <v>1.344</v>
      </c>
      <c r="D480" s="23" t="n">
        <f aca="false">a26_tax</f>
        <v>2.0798215108046</v>
      </c>
      <c r="E480" s="23" t="n">
        <f aca="false">E479*tax</f>
        <v>2.49778947900053</v>
      </c>
      <c r="F480" s="23" t="n">
        <f aca="false">F479*tax</f>
        <v>2.45246795892579</v>
      </c>
      <c r="G480" s="23" t="n">
        <f aca="false">G479*tax</f>
        <v>2.67653210655691</v>
      </c>
    </row>
    <row r="481" customFormat="false" ht="17.15" hidden="false" customHeight="false" outlineLevel="0" collapsed="false">
      <c r="A481" s="4" t="s">
        <v>567</v>
      </c>
      <c r="B481" s="0" t="s">
        <v>184</v>
      </c>
      <c r="C481" s="23" t="n">
        <f aca="false">a25_mi</f>
        <v>0</v>
      </c>
      <c r="D481" s="23" t="n">
        <f aca="false">a26_mi</f>
        <v>0</v>
      </c>
      <c r="E481" s="23" t="n">
        <f aca="false">vmi*E472*(1-tax)</f>
        <v>-0.11280384</v>
      </c>
      <c r="F481" s="23" t="n">
        <f aca="false">vmi*F472*(1-tax)</f>
        <v>0.67682304</v>
      </c>
      <c r="G481" s="23" t="n">
        <f aca="false">vmi*G472*(1-tax)</f>
        <v>1.421328384</v>
      </c>
      <c r="K481" s="8" t="s">
        <v>568</v>
      </c>
    </row>
    <row r="482" customFormat="false" ht="15" hidden="false" customHeight="false" outlineLevel="0" collapsed="false">
      <c r="A482" s="4" t="s">
        <v>435</v>
      </c>
      <c r="B482" s="0" t="s">
        <v>184</v>
      </c>
      <c r="C482" s="23" t="n">
        <f aca="false">C479-C480-C481</f>
        <v>7.908</v>
      </c>
      <c r="D482" s="23" t="n">
        <f aca="false">D479-D480-D481</f>
        <v>12.2375212108949</v>
      </c>
      <c r="E482" s="23" t="n">
        <f aca="false">E479-E480-E481</f>
        <v>14.266944221003</v>
      </c>
      <c r="F482" s="23" t="n">
        <f aca="false">F479-F480-F481</f>
        <v>13.2204953939128</v>
      </c>
      <c r="G482" s="23" t="n">
        <f aca="false">G479-G480-G481</f>
        <v>13.7456868864891</v>
      </c>
      <c r="H482" s="29" t="n">
        <f aca="false">H463*H486</f>
        <v>14.2819144431587</v>
      </c>
      <c r="I482" s="29" t="n">
        <f aca="false">I463*I486</f>
        <v>14.581214019163</v>
      </c>
      <c r="J482" s="29" t="n">
        <f aca="false">J463*J486</f>
        <v>14.6228746306464</v>
      </c>
    </row>
    <row r="483" customFormat="false" ht="15" hidden="false" customHeight="false" outlineLevel="0" collapsed="false">
      <c r="A483" s="4" t="s">
        <v>569</v>
      </c>
      <c r="B483" s="4" t="s">
        <v>265</v>
      </c>
      <c r="C483" s="10" t="n">
        <f aca="false">a25_sh</f>
        <v>1.8739336492891</v>
      </c>
      <c r="D483" s="10" t="n">
        <f aca="false">a26_sh</f>
        <v>1.90613591916558</v>
      </c>
      <c r="E483" s="10" t="n">
        <f aca="false">q_sh*(1+sh_g)</f>
        <v>1.90705128205128</v>
      </c>
      <c r="F483" s="10" t="n">
        <f aca="false">E483*(1+sh_g)</f>
        <v>1.90705128205128</v>
      </c>
      <c r="G483" s="10" t="n">
        <f aca="false">F483*(1+sh_g)</f>
        <v>1.90705128205128</v>
      </c>
      <c r="H483" s="31" t="n">
        <f aca="false">G483*(1+sh_g)</f>
        <v>1.90705128205128</v>
      </c>
      <c r="I483" s="31" t="n">
        <f aca="false">H483*(1+sh_g)</f>
        <v>1.90705128205128</v>
      </c>
      <c r="J483" s="31" t="n">
        <f aca="false">I483*(1+sh_g)</f>
        <v>1.90705128205128</v>
      </c>
    </row>
    <row r="484" customFormat="false" ht="17.15" hidden="false" customHeight="false" outlineLevel="0" collapsed="false">
      <c r="A484" s="0" t="s">
        <v>442</v>
      </c>
      <c r="B484" s="0" t="s">
        <v>274</v>
      </c>
      <c r="C484" s="23" t="n">
        <f aca="false">C482/C483</f>
        <v>4.22</v>
      </c>
      <c r="D484" s="23" t="n">
        <f aca="false">D482/D483</f>
        <v>6.42006747150118</v>
      </c>
      <c r="E484" s="23" t="n">
        <f aca="false">E482/E483</f>
        <v>7.48115394445872</v>
      </c>
      <c r="F484" s="23" t="n">
        <f aca="false">F482/F483</f>
        <v>6.93242783680806</v>
      </c>
      <c r="G484" s="23" t="n">
        <f aca="false">G482/G483</f>
        <v>7.2078223673691</v>
      </c>
      <c r="H484" s="29" t="n">
        <f aca="false">H482/H483</f>
        <v>7.48900387607649</v>
      </c>
      <c r="I484" s="29" t="n">
        <f aca="false">I482/I483</f>
        <v>7.64594751929221</v>
      </c>
      <c r="J484" s="29" t="n">
        <f aca="false">J482/J483</f>
        <v>7.66779308363305</v>
      </c>
    </row>
    <row r="485" customFormat="false" ht="17.15" hidden="false" customHeight="false" outlineLevel="0" collapsed="false">
      <c r="A485" s="0" t="s">
        <v>570</v>
      </c>
      <c r="B485" s="0" t="s">
        <v>48</v>
      </c>
      <c r="D485" s="20" t="n">
        <f aca="false">D484/C484-1</f>
        <v>0.521343002725398</v>
      </c>
      <c r="E485" s="20" t="n">
        <f aca="false">E484/D484-1</f>
        <v>0.165276529828966</v>
      </c>
      <c r="F485" s="20" t="n">
        <f aca="false">F484/E484-1</f>
        <v>-0.0733477898897008</v>
      </c>
      <c r="G485" s="20" t="n">
        <f aca="false">G484/F484-1</f>
        <v>0.0397255531602969</v>
      </c>
      <c r="H485" s="27" t="n">
        <f aca="false">H484/G484-1</f>
        <v>0.0390106046425824</v>
      </c>
      <c r="I485" s="27" t="n">
        <f aca="false">I484/H484-1</f>
        <v>0.020956544530184</v>
      </c>
      <c r="J485" s="27" t="n">
        <f aca="false">J484/I484-1</f>
        <v>0.00285714285714289</v>
      </c>
    </row>
    <row r="486" customFormat="false" ht="17.15" hidden="false" customHeight="false" outlineLevel="0" collapsed="false">
      <c r="A486" s="4" t="s">
        <v>571</v>
      </c>
      <c r="B486" s="0" t="s">
        <v>48</v>
      </c>
      <c r="C486" s="16" t="n">
        <f aca="false">C482/C463</f>
        <v>0.162746187565599</v>
      </c>
      <c r="D486" s="16" t="n">
        <f aca="false">D482/D463</f>
        <v>0.208646059676249</v>
      </c>
      <c r="E486" s="16" t="n">
        <f aca="false">E482/E463</f>
        <v>0.19571839299546</v>
      </c>
      <c r="F486" s="16" t="n">
        <f aca="false">F482/F463</f>
        <v>0.165455425731973</v>
      </c>
      <c r="G486" s="16" t="n">
        <f aca="false">G482/G463</f>
        <v>0.157497825662737</v>
      </c>
      <c r="H486" s="28" t="n">
        <f aca="false">$G486+($G$486*0.9-$G486)*1/3</f>
        <v>0.152247898140646</v>
      </c>
      <c r="I486" s="28" t="n">
        <f aca="false">$G486+($G$486*0.9-$G486)*2/3</f>
        <v>0.146997970618555</v>
      </c>
      <c r="J486" s="28" t="n">
        <f aca="false">$G486+($G$486*0.9-$G486)*3/3</f>
        <v>0.141748043096464</v>
      </c>
    </row>
    <row r="489" customFormat="false" ht="17.15" hidden="false" customHeight="false" outlineLevel="0" collapsed="false">
      <c r="A489" s="1" t="s">
        <v>856</v>
      </c>
    </row>
    <row r="490" customFormat="false" ht="17.15" hidden="false" customHeight="false" outlineLevel="0" collapsed="false">
      <c r="A490" s="5" t="s">
        <v>24</v>
      </c>
      <c r="B490" s="5" t="s">
        <v>25</v>
      </c>
      <c r="C490" s="17" t="s">
        <v>394</v>
      </c>
      <c r="D490" s="17" t="s">
        <v>521</v>
      </c>
      <c r="E490" s="17" t="s">
        <v>480</v>
      </c>
      <c r="F490" s="17" t="s">
        <v>481</v>
      </c>
      <c r="G490" s="17" t="s">
        <v>482</v>
      </c>
      <c r="H490" s="17" t="s">
        <v>522</v>
      </c>
      <c r="I490" s="17" t="s">
        <v>523</v>
      </c>
      <c r="J490" s="17" t="s">
        <v>524</v>
      </c>
      <c r="K490" s="5" t="s">
        <v>357</v>
      </c>
    </row>
    <row r="491" customFormat="false" ht="17.15" hidden="false" customHeight="false" outlineLevel="0" collapsed="false">
      <c r="A491" s="6" t="s">
        <v>542</v>
      </c>
    </row>
    <row r="492" customFormat="false" ht="17.15" hidden="false" customHeight="false" outlineLevel="0" collapsed="false">
      <c r="A492" s="4" t="s">
        <v>543</v>
      </c>
      <c r="B492" s="4" t="s">
        <v>42</v>
      </c>
      <c r="D492" s="22" t="n">
        <f aca="false">cap_26</f>
        <v>3306</v>
      </c>
      <c r="E492" s="22" t="n">
        <f aca="false">D492*(1+capg27)*cap_adj_hi</f>
        <v>3471.3</v>
      </c>
      <c r="F492" s="22" t="n">
        <f aca="false">E492*(1+capg28)</f>
        <v>3471.3</v>
      </c>
      <c r="G492" s="22" t="n">
        <f aca="false">F492*(1+capg29)</f>
        <v>3471.3</v>
      </c>
    </row>
    <row r="493" customFormat="false" ht="15" hidden="false" customHeight="false" outlineLevel="0" collapsed="false">
      <c r="A493" s="4" t="s">
        <v>544</v>
      </c>
      <c r="B493" s="0" t="s">
        <v>48</v>
      </c>
      <c r="D493" s="20" t="n">
        <f aca="false">a26_ship/cap_26</f>
        <v>0.8725</v>
      </c>
      <c r="E493" s="20" t="n">
        <f aca="false">MIN(0.98,ut27_C+ut_adj)</f>
        <v>0.8</v>
      </c>
      <c r="F493" s="20" t="n">
        <f aca="false">MIN(0.98,ut28_C+ut_adj)</f>
        <v>0.74</v>
      </c>
      <c r="G493" s="20" t="n">
        <f aca="false">MIN(0.98,ut29_C+ut_adj)</f>
        <v>0.78</v>
      </c>
    </row>
    <row r="494" customFormat="false" ht="17.15" hidden="false" customHeight="false" outlineLevel="0" collapsed="false">
      <c r="A494" s="4" t="s">
        <v>545</v>
      </c>
      <c r="B494" s="4" t="s">
        <v>42</v>
      </c>
      <c r="D494" s="22" t="n">
        <f aca="false">D492*D493</f>
        <v>2884.485</v>
      </c>
      <c r="E494" s="22" t="n">
        <f aca="false">E492*E493</f>
        <v>2777.04</v>
      </c>
      <c r="F494" s="22" t="n">
        <f aca="false">F492*F493</f>
        <v>2568.762</v>
      </c>
      <c r="G494" s="22" t="n">
        <f aca="false">G492*G493</f>
        <v>2707.614</v>
      </c>
    </row>
    <row r="495" customFormat="false" ht="17.15" hidden="false" customHeight="false" outlineLevel="0" collapsed="false">
      <c r="A495" s="4" t="s">
        <v>546</v>
      </c>
      <c r="B495" s="0" t="s">
        <v>89</v>
      </c>
      <c r="D495" s="22" t="n">
        <f aca="false">asp_26</f>
        <v>643.469405492234</v>
      </c>
      <c r="E495" s="22" t="n">
        <f aca="false">D495*(1+asp27_C)*(1+asp_adj)</f>
        <v>624.165323327467</v>
      </c>
      <c r="F495" s="22" t="n">
        <f aca="false">E495*(1+asp28_C)</f>
        <v>592.957057161093</v>
      </c>
      <c r="G495" s="22" t="n">
        <f aca="false">F495*(1+asp29_C)</f>
        <v>581.097916017871</v>
      </c>
    </row>
    <row r="496" customFormat="false" ht="15" hidden="false" customHeight="false" outlineLevel="0" collapsed="false">
      <c r="A496" s="4" t="s">
        <v>547</v>
      </c>
      <c r="B496" s="0" t="s">
        <v>48</v>
      </c>
      <c r="E496" s="20" t="n">
        <f aca="false">E495/D495-1</f>
        <v>-0.03</v>
      </c>
      <c r="F496" s="20" t="n">
        <f aca="false">F495/E495-1</f>
        <v>-0.05</v>
      </c>
      <c r="G496" s="20" t="n">
        <f aca="false">G495/F495-1</f>
        <v>-0.02</v>
      </c>
    </row>
    <row r="497" customFormat="false" ht="15" hidden="false" customHeight="false" outlineLevel="0" collapsed="false">
      <c r="A497" s="4" t="s">
        <v>548</v>
      </c>
      <c r="B497" s="0" t="s">
        <v>35</v>
      </c>
      <c r="D497" s="23" t="n">
        <f aca="false">fx_26</f>
        <v>31.6</v>
      </c>
      <c r="E497" s="23" t="n">
        <f aca="false">fx</f>
        <v>32</v>
      </c>
      <c r="F497" s="23" t="n">
        <f aca="false">fx</f>
        <v>32</v>
      </c>
      <c r="G497" s="23" t="n">
        <f aca="false">fx</f>
        <v>32</v>
      </c>
    </row>
    <row r="498" customFormat="false" ht="17.15" hidden="false" customHeight="false" outlineLevel="0" collapsed="false">
      <c r="A498" s="0" t="s">
        <v>549</v>
      </c>
      <c r="B498" s="0" t="s">
        <v>184</v>
      </c>
      <c r="D498" s="23" t="n">
        <f aca="false">D494*D495*D497/1000000</f>
        <v>58.65206</v>
      </c>
      <c r="E498" s="23" t="n">
        <f aca="false">E494*E495*E497/1000000</f>
        <v>55.4666262237859</v>
      </c>
      <c r="F498" s="23" t="n">
        <f aca="false">F494*F495*F497/1000000</f>
        <v>48.7412977941518</v>
      </c>
      <c r="G498" s="23" t="n">
        <f aca="false">G494*G495*G497/1000000</f>
        <v>50.348443288986</v>
      </c>
    </row>
    <row r="499" customFormat="false" ht="17.15" hidden="false" customHeight="false" outlineLevel="0" collapsed="false">
      <c r="A499" s="6" t="s">
        <v>550</v>
      </c>
    </row>
    <row r="500" customFormat="false" ht="17.15" hidden="false" customHeight="false" outlineLevel="0" collapsed="false">
      <c r="A500" s="0" t="s">
        <v>551</v>
      </c>
      <c r="B500" s="4" t="s">
        <v>42</v>
      </c>
      <c r="D500" s="22" t="n">
        <f aca="false">0</f>
        <v>0</v>
      </c>
      <c r="E500" s="22" t="n">
        <f aca="false">vcap27*vcap_adj</f>
        <v>144</v>
      </c>
      <c r="F500" s="22" t="n">
        <f aca="false">vcap28*vcap_adj</f>
        <v>360</v>
      </c>
      <c r="G500" s="22" t="n">
        <f aca="false">vcap29*vcap_adj</f>
        <v>504</v>
      </c>
    </row>
    <row r="501" customFormat="false" ht="17.15" hidden="false" customHeight="false" outlineLevel="0" collapsed="false">
      <c r="A501" s="0" t="s">
        <v>552</v>
      </c>
      <c r="B501" s="0" t="s">
        <v>48</v>
      </c>
      <c r="E501" s="20" t="n">
        <f aca="false">vut_C</f>
        <v>0.65</v>
      </c>
      <c r="F501" s="20" t="n">
        <f aca="false">vut_C</f>
        <v>0.65</v>
      </c>
      <c r="G501" s="20" t="n">
        <f aca="false">vut_C</f>
        <v>0.65</v>
      </c>
    </row>
    <row r="502" customFormat="false" ht="17.15" hidden="false" customHeight="false" outlineLevel="0" collapsed="false">
      <c r="A502" s="0" t="s">
        <v>553</v>
      </c>
      <c r="B502" s="4" t="s">
        <v>42</v>
      </c>
      <c r="D502" s="22" t="n">
        <f aca="false">0</f>
        <v>0</v>
      </c>
      <c r="E502" s="22" t="n">
        <f aca="false">E500*E501</f>
        <v>93.6</v>
      </c>
      <c r="F502" s="22" t="n">
        <f aca="false">F500*F501</f>
        <v>234</v>
      </c>
      <c r="G502" s="22" t="n">
        <f aca="false">G500*G501</f>
        <v>327.6</v>
      </c>
    </row>
    <row r="503" customFormat="false" ht="17.15" hidden="false" customHeight="false" outlineLevel="0" collapsed="false">
      <c r="A503" s="0" t="s">
        <v>554</v>
      </c>
      <c r="B503" s="0" t="s">
        <v>184</v>
      </c>
      <c r="D503" s="23" t="n">
        <f aca="false">0</f>
        <v>0</v>
      </c>
      <c r="E503" s="23" t="n">
        <f aca="false">E502*vasp*E497/1000000</f>
        <v>5.39136</v>
      </c>
      <c r="F503" s="23" t="n">
        <f aca="false">F502*vasp*F497/1000000</f>
        <v>13.4784</v>
      </c>
      <c r="G503" s="23" t="n">
        <f aca="false">G502*vasp*G497/1000000</f>
        <v>18.86976</v>
      </c>
    </row>
    <row r="504" customFormat="false" ht="17.15" hidden="false" customHeight="false" outlineLevel="0" collapsed="false">
      <c r="A504" s="4" t="s">
        <v>400</v>
      </c>
      <c r="B504" s="0" t="s">
        <v>184</v>
      </c>
      <c r="C504" s="23" t="n">
        <f aca="false">a25_rev</f>
        <v>48.591</v>
      </c>
      <c r="D504" s="23" t="n">
        <f aca="false">D498+D503</f>
        <v>58.65206</v>
      </c>
      <c r="E504" s="23" t="n">
        <f aca="false">E498+E503</f>
        <v>60.8579862237859</v>
      </c>
      <c r="F504" s="23" t="n">
        <f aca="false">F498+F503</f>
        <v>62.2196977941518</v>
      </c>
      <c r="G504" s="23" t="n">
        <f aca="false">G498+G503</f>
        <v>69.218203288986</v>
      </c>
      <c r="H504" s="29" t="n">
        <f aca="false">G504*(1+H507)</f>
        <v>74.8701254472563</v>
      </c>
      <c r="I504" s="29" t="n">
        <f aca="false">H504*(1+I507)</f>
        <v>78.6755379489215</v>
      </c>
      <c r="J504" s="29" t="n">
        <f aca="false">I504*(1+J507)</f>
        <v>80.2490487078999</v>
      </c>
      <c r="K504" s="8" t="s">
        <v>555</v>
      </c>
    </row>
    <row r="505" customFormat="false" ht="17.15" hidden="false" customHeight="false" outlineLevel="0" collapsed="false">
      <c r="A505" s="0" t="s">
        <v>556</v>
      </c>
      <c r="B505" s="0" t="s">
        <v>48</v>
      </c>
      <c r="D505" s="20" t="n">
        <f aca="false">D503/D504</f>
        <v>0</v>
      </c>
      <c r="E505" s="20" t="n">
        <f aca="false">E503/E504</f>
        <v>0.0885891948539833</v>
      </c>
      <c r="F505" s="20" t="n">
        <f aca="false">F503/F504</f>
        <v>0.216625931623648</v>
      </c>
      <c r="G505" s="20" t="n">
        <f aca="false">G503/G504</f>
        <v>0.272612681395655</v>
      </c>
    </row>
    <row r="506" customFormat="false" ht="17.15" hidden="false" customHeight="false" outlineLevel="0" collapsed="false">
      <c r="A506" s="0" t="s">
        <v>557</v>
      </c>
      <c r="B506" s="0" t="s">
        <v>48</v>
      </c>
      <c r="D506" s="20" t="n">
        <f aca="false">ai_sh26</f>
        <v>0.1</v>
      </c>
      <c r="E506" s="20" t="n">
        <f aca="false">ai_sh27_C</f>
        <v>0.15</v>
      </c>
      <c r="F506" s="20" t="n">
        <f aca="false">ai_sh27_C</f>
        <v>0.15</v>
      </c>
      <c r="G506" s="20" t="n">
        <f aca="false">ai_sh27_C</f>
        <v>0.15</v>
      </c>
    </row>
    <row r="507" customFormat="false" ht="15" hidden="false" customHeight="false" outlineLevel="0" collapsed="false">
      <c r="A507" s="4" t="s">
        <v>558</v>
      </c>
      <c r="B507" s="0" t="s">
        <v>48</v>
      </c>
      <c r="D507" s="20" t="n">
        <f aca="false">D504/C504-1</f>
        <v>0.207056039184211</v>
      </c>
      <c r="E507" s="20" t="n">
        <f aca="false">E504/D504-1</f>
        <v>0.0376103793078346</v>
      </c>
      <c r="F507" s="20" t="n">
        <f aca="false">F504/E504-1</f>
        <v>0.0223752321570203</v>
      </c>
      <c r="G507" s="20" t="n">
        <f aca="false">G504/F504-1</f>
        <v>0.112480544633761</v>
      </c>
      <c r="H507" s="27" t="n">
        <f aca="false">$G507+(fade_gC-$G507)*1/3</f>
        <v>0.0816536964225071</v>
      </c>
      <c r="I507" s="27" t="n">
        <f aca="false">$G507+(fade_gC-$G507)*2/3</f>
        <v>0.0508268482112536</v>
      </c>
      <c r="J507" s="27" t="n">
        <f aca="false">$G507+(fade_gC-$G507)*3/3</f>
        <v>0.02</v>
      </c>
    </row>
    <row r="508" customFormat="false" ht="17.15" hidden="false" customHeight="false" outlineLevel="0" collapsed="false">
      <c r="A508" s="6" t="s">
        <v>559</v>
      </c>
    </row>
    <row r="509" customFormat="false" ht="15" hidden="false" customHeight="false" outlineLevel="0" collapsed="false">
      <c r="A509" s="4" t="s">
        <v>560</v>
      </c>
      <c r="B509" s="0" t="s">
        <v>184</v>
      </c>
      <c r="D509" s="23" t="n">
        <f aca="false">da_tot26*da_sh</f>
        <v>8.658</v>
      </c>
      <c r="E509" s="23" t="n">
        <f aca="false">D509*(1+dag_27+dag_adj)</f>
        <v>8.91774</v>
      </c>
      <c r="F509" s="23" t="n">
        <f aca="false">E509*(1+dag_28+dag_adj)</f>
        <v>9.0960948</v>
      </c>
      <c r="G509" s="23" t="n">
        <f aca="false">F509*(1+dag_29+dag_adj)</f>
        <v>9.0960948</v>
      </c>
    </row>
    <row r="510" customFormat="false" ht="17.15" hidden="false" customHeight="false" outlineLevel="0" collapsed="false">
      <c r="A510" s="4" t="s">
        <v>561</v>
      </c>
      <c r="B510" s="0" t="s">
        <v>562</v>
      </c>
      <c r="D510" s="23" t="n">
        <f aca="false">(D498-a26_gp-D509)/D494*1000</f>
        <v>10.7339918911001</v>
      </c>
      <c r="E510" s="23" t="n">
        <f aca="false">D510*(1+cc_g)</f>
        <v>10.9486717289221</v>
      </c>
      <c r="F510" s="23" t="n">
        <f aca="false">E510*(1+cc_g)</f>
        <v>11.1676451635006</v>
      </c>
      <c r="G510" s="23" t="n">
        <f aca="false">F510*(1+cc_g)</f>
        <v>11.3909980667706</v>
      </c>
      <c r="K510" s="8" t="s">
        <v>563</v>
      </c>
    </row>
    <row r="511" customFormat="false" ht="17.15" hidden="false" customHeight="false" outlineLevel="0" collapsed="false">
      <c r="A511" s="4" t="s">
        <v>564</v>
      </c>
      <c r="B511" s="0" t="s">
        <v>184</v>
      </c>
      <c r="D511" s="23" t="n">
        <f aca="false">D510*D494/1000</f>
        <v>30.9620386</v>
      </c>
      <c r="E511" s="23" t="n">
        <f aca="false">E510*E494/1000</f>
        <v>30.404899338086</v>
      </c>
      <c r="F511" s="23" t="n">
        <f aca="false">F510*F494/1000</f>
        <v>28.6870225254841</v>
      </c>
      <c r="G511" s="23" t="n">
        <f aca="false">G510*G494/1000</f>
        <v>30.842425839561</v>
      </c>
    </row>
    <row r="512" customFormat="false" ht="17.15" hidden="false" customHeight="false" outlineLevel="0" collapsed="false">
      <c r="A512" s="0" t="s">
        <v>565</v>
      </c>
      <c r="B512" s="0" t="s">
        <v>48</v>
      </c>
      <c r="E512" s="20" t="n">
        <f aca="false">vgm27_C</f>
        <v>-0.2</v>
      </c>
      <c r="F512" s="20" t="n">
        <f aca="false">vgm28_C</f>
        <v>0</v>
      </c>
      <c r="G512" s="20" t="n">
        <f aca="false">vgm29_C</f>
        <v>0.05</v>
      </c>
    </row>
    <row r="513" customFormat="false" ht="17.15" hidden="false" customHeight="false" outlineLevel="0" collapsed="false">
      <c r="A513" s="0" t="s">
        <v>566</v>
      </c>
      <c r="B513" s="0" t="s">
        <v>184</v>
      </c>
      <c r="D513" s="23" t="n">
        <f aca="false">0</f>
        <v>0</v>
      </c>
      <c r="E513" s="23" t="n">
        <f aca="false">E503*E512</f>
        <v>-1.078272</v>
      </c>
      <c r="F513" s="23" t="n">
        <f aca="false">F503*F512</f>
        <v>0</v>
      </c>
      <c r="G513" s="23" t="n">
        <f aca="false">G503*G512</f>
        <v>0.943488</v>
      </c>
    </row>
    <row r="514" customFormat="false" ht="15" hidden="false" customHeight="false" outlineLevel="0" collapsed="false">
      <c r="A514" s="4" t="s">
        <v>417</v>
      </c>
      <c r="B514" s="0" t="s">
        <v>184</v>
      </c>
      <c r="C514" s="23" t="n">
        <f aca="false">a25_gp</f>
        <v>13.654</v>
      </c>
      <c r="D514" s="23" t="n">
        <f aca="false">D498-D509-D511+D513</f>
        <v>19.0320214</v>
      </c>
      <c r="E514" s="23" t="n">
        <f aca="false">E498-E509-E511+E513</f>
        <v>15.0657148856999</v>
      </c>
      <c r="F514" s="23" t="n">
        <f aca="false">F498-F509-F511+F513</f>
        <v>10.9581804686677</v>
      </c>
      <c r="G514" s="23" t="n">
        <f aca="false">G498-G509-G511+G513</f>
        <v>11.353410649425</v>
      </c>
    </row>
    <row r="515" customFormat="false" ht="15" hidden="false" customHeight="false" outlineLevel="0" collapsed="false">
      <c r="A515" s="4" t="s">
        <v>420</v>
      </c>
      <c r="B515" s="0" t="s">
        <v>48</v>
      </c>
      <c r="C515" s="16" t="n">
        <f aca="false">C514/C504</f>
        <v>0.280998538824062</v>
      </c>
      <c r="D515" s="16" t="n">
        <f aca="false">D514/D504</f>
        <v>0.324490246378388</v>
      </c>
      <c r="E515" s="16" t="n">
        <f aca="false">E514/E504</f>
        <v>0.247555264650075</v>
      </c>
      <c r="F515" s="16" t="n">
        <f aca="false">F514/F504</f>
        <v>0.176120760099508</v>
      </c>
      <c r="G515" s="16" t="n">
        <f aca="false">G514/G504</f>
        <v>0.164023480962436</v>
      </c>
    </row>
    <row r="516" customFormat="false" ht="15" hidden="false" customHeight="false" outlineLevel="0" collapsed="false">
      <c r="A516" s="4" t="s">
        <v>422</v>
      </c>
      <c r="B516" s="0" t="s">
        <v>184</v>
      </c>
      <c r="C516" s="23" t="n">
        <f aca="false">a25_opx</f>
        <v>5.881</v>
      </c>
      <c r="D516" s="23" t="n">
        <f aca="false">a26_opx</f>
        <v>6.824187</v>
      </c>
      <c r="E516" s="23" t="n">
        <f aca="false">D516*(1+MAX(g_opx_min,phi*E507))</f>
        <v>7.02891261</v>
      </c>
      <c r="F516" s="23" t="n">
        <f aca="false">E516*(1+MAX(g_opx_min,phi*F507))</f>
        <v>7.2397799883</v>
      </c>
      <c r="G516" s="23" t="n">
        <f aca="false">F516*(1+MAX(g_opx_min,phi*G507))</f>
        <v>7.6469471863563</v>
      </c>
    </row>
    <row r="517" customFormat="false" ht="15" hidden="false" customHeight="false" outlineLevel="0" collapsed="false">
      <c r="A517" s="4" t="s">
        <v>425</v>
      </c>
      <c r="B517" s="0" t="s">
        <v>184</v>
      </c>
      <c r="C517" s="23" t="n">
        <f aca="false">C514-C516</f>
        <v>7.773</v>
      </c>
      <c r="D517" s="23" t="n">
        <f aca="false">D514-D516</f>
        <v>12.2078344</v>
      </c>
      <c r="E517" s="23" t="n">
        <f aca="false">E514-E516</f>
        <v>8.03680227569991</v>
      </c>
      <c r="F517" s="23" t="n">
        <f aca="false">F514-F516</f>
        <v>3.71840048036772</v>
      </c>
      <c r="G517" s="23" t="n">
        <f aca="false">G514-G516</f>
        <v>3.7064634630687</v>
      </c>
    </row>
    <row r="518" customFormat="false" ht="15" hidden="false" customHeight="false" outlineLevel="0" collapsed="false">
      <c r="A518" s="4" t="s">
        <v>531</v>
      </c>
      <c r="B518" s="0" t="s">
        <v>48</v>
      </c>
      <c r="C518" s="16" t="n">
        <f aca="false">C517/C504</f>
        <v>0.159967895289251</v>
      </c>
      <c r="D518" s="16" t="n">
        <f aca="false">D517/D504</f>
        <v>0.208139908470393</v>
      </c>
      <c r="E518" s="16" t="n">
        <f aca="false">E517/E504</f>
        <v>0.13205830120877</v>
      </c>
      <c r="F518" s="16" t="n">
        <f aca="false">F517/F504</f>
        <v>0.0597624323517241</v>
      </c>
      <c r="G518" s="16" t="n">
        <f aca="false">G517/G504</f>
        <v>0.053547524884375</v>
      </c>
    </row>
    <row r="519" customFormat="false" ht="15" hidden="false" customHeight="false" outlineLevel="0" collapsed="false">
      <c r="A519" s="4" t="s">
        <v>428</v>
      </c>
      <c r="B519" s="0" t="s">
        <v>184</v>
      </c>
      <c r="C519" s="23" t="n">
        <f aca="false">a25_nonop</f>
        <v>1.479</v>
      </c>
      <c r="D519" s="23" t="n">
        <f aca="false">a26_nonop</f>
        <v>2.10950832169955</v>
      </c>
      <c r="E519" s="23" t="n">
        <f aca="false">nonop_f</f>
        <v>1.5</v>
      </c>
      <c r="F519" s="23" t="n">
        <f aca="false">nonop_f</f>
        <v>1.5</v>
      </c>
      <c r="G519" s="23" t="n">
        <f aca="false">nonop_f</f>
        <v>1.5</v>
      </c>
    </row>
    <row r="520" customFormat="false" ht="15" hidden="false" customHeight="false" outlineLevel="0" collapsed="false">
      <c r="A520" s="4" t="s">
        <v>430</v>
      </c>
      <c r="B520" s="0" t="s">
        <v>184</v>
      </c>
      <c r="C520" s="23" t="n">
        <f aca="false">C517+C519</f>
        <v>9.252</v>
      </c>
      <c r="D520" s="23" t="n">
        <f aca="false">D517+D519</f>
        <v>14.3173427216995</v>
      </c>
      <c r="E520" s="23" t="n">
        <f aca="false">E517+E519</f>
        <v>9.53680227569991</v>
      </c>
      <c r="F520" s="23" t="n">
        <f aca="false">F517+F519</f>
        <v>5.21840048036772</v>
      </c>
      <c r="G520" s="23" t="n">
        <f aca="false">G517+G519</f>
        <v>5.2064634630687</v>
      </c>
    </row>
    <row r="521" customFormat="false" ht="15" hidden="false" customHeight="false" outlineLevel="0" collapsed="false">
      <c r="A521" s="4" t="s">
        <v>432</v>
      </c>
      <c r="B521" s="0" t="s">
        <v>184</v>
      </c>
      <c r="C521" s="23" t="n">
        <f aca="false">a25_tax</f>
        <v>1.344</v>
      </c>
      <c r="D521" s="23" t="n">
        <f aca="false">a26_tax</f>
        <v>2.0798215108046</v>
      </c>
      <c r="E521" s="23" t="n">
        <f aca="false">E520*tax</f>
        <v>1.43052034135499</v>
      </c>
      <c r="F521" s="23" t="n">
        <f aca="false">F520*tax</f>
        <v>0.782760072055157</v>
      </c>
      <c r="G521" s="23" t="n">
        <f aca="false">G520*tax</f>
        <v>0.780969519460306</v>
      </c>
    </row>
    <row r="522" customFormat="false" ht="17.15" hidden="false" customHeight="false" outlineLevel="0" collapsed="false">
      <c r="A522" s="4" t="s">
        <v>567</v>
      </c>
      <c r="B522" s="0" t="s">
        <v>184</v>
      </c>
      <c r="C522" s="23" t="n">
        <f aca="false">a25_mi</f>
        <v>0</v>
      </c>
      <c r="D522" s="23" t="n">
        <f aca="false">a26_mi</f>
        <v>0</v>
      </c>
      <c r="E522" s="23" t="n">
        <f aca="false">vmi*E513*(1-tax)</f>
        <v>-0.36661248</v>
      </c>
      <c r="F522" s="23" t="n">
        <f aca="false">vmi*F513*(1-tax)</f>
        <v>0</v>
      </c>
      <c r="G522" s="23" t="n">
        <f aca="false">vmi*G513*(1-tax)</f>
        <v>0.32078592</v>
      </c>
      <c r="K522" s="8" t="s">
        <v>568</v>
      </c>
    </row>
    <row r="523" customFormat="false" ht="15" hidden="false" customHeight="false" outlineLevel="0" collapsed="false">
      <c r="A523" s="4" t="s">
        <v>435</v>
      </c>
      <c r="B523" s="0" t="s">
        <v>184</v>
      </c>
      <c r="C523" s="23" t="n">
        <f aca="false">C520-C521-C522</f>
        <v>7.908</v>
      </c>
      <c r="D523" s="23" t="n">
        <f aca="false">D520-D521-D522</f>
        <v>12.2375212108949</v>
      </c>
      <c r="E523" s="23" t="n">
        <f aca="false">E520-E521-E522</f>
        <v>8.47289441434493</v>
      </c>
      <c r="F523" s="23" t="n">
        <f aca="false">F520-F521-F522</f>
        <v>4.43564040831256</v>
      </c>
      <c r="G523" s="23" t="n">
        <f aca="false">G520-G521-G522</f>
        <v>4.1047080236084</v>
      </c>
      <c r="H523" s="29" t="n">
        <f aca="false">H504*H527</f>
        <v>4.14388109937307</v>
      </c>
      <c r="I523" s="29" t="n">
        <f aca="false">I504*I527</f>
        <v>4.04346569251522</v>
      </c>
      <c r="J523" s="29" t="n">
        <f aca="false">J504*J527</f>
        <v>3.80707846741433</v>
      </c>
    </row>
    <row r="524" customFormat="false" ht="15" hidden="false" customHeight="false" outlineLevel="0" collapsed="false">
      <c r="A524" s="4" t="s">
        <v>569</v>
      </c>
      <c r="B524" s="4" t="s">
        <v>265</v>
      </c>
      <c r="C524" s="10" t="n">
        <f aca="false">a25_sh</f>
        <v>1.8739336492891</v>
      </c>
      <c r="D524" s="10" t="n">
        <f aca="false">a26_sh</f>
        <v>1.90613591916558</v>
      </c>
      <c r="E524" s="10" t="n">
        <f aca="false">q_sh*(1+sh_g)</f>
        <v>1.90705128205128</v>
      </c>
      <c r="F524" s="10" t="n">
        <f aca="false">E524*(1+sh_g)</f>
        <v>1.90705128205128</v>
      </c>
      <c r="G524" s="10" t="n">
        <f aca="false">F524*(1+sh_g)</f>
        <v>1.90705128205128</v>
      </c>
      <c r="H524" s="31" t="n">
        <f aca="false">G524*(1+sh_g)</f>
        <v>1.90705128205128</v>
      </c>
      <c r="I524" s="31" t="n">
        <f aca="false">H524*(1+sh_g)</f>
        <v>1.90705128205128</v>
      </c>
      <c r="J524" s="31" t="n">
        <f aca="false">I524*(1+sh_g)</f>
        <v>1.90705128205128</v>
      </c>
    </row>
    <row r="525" customFormat="false" ht="17.15" hidden="false" customHeight="false" outlineLevel="0" collapsed="false">
      <c r="A525" s="0" t="s">
        <v>442</v>
      </c>
      <c r="B525" s="0" t="s">
        <v>274</v>
      </c>
      <c r="C525" s="23" t="n">
        <f aca="false">C523/C524</f>
        <v>4.22</v>
      </c>
      <c r="D525" s="23" t="n">
        <f aca="false">D523/D524</f>
        <v>6.42006747150118</v>
      </c>
      <c r="E525" s="23" t="n">
        <f aca="false">E523/E524</f>
        <v>4.44292950802625</v>
      </c>
      <c r="F525" s="23" t="n">
        <f aca="false">F523/F524</f>
        <v>2.32591564267818</v>
      </c>
      <c r="G525" s="23" t="n">
        <f aca="false">G523/G524</f>
        <v>2.15238471153919</v>
      </c>
      <c r="H525" s="29" t="n">
        <f aca="false">H523/H524</f>
        <v>2.17292588740235</v>
      </c>
      <c r="I525" s="29" t="n">
        <f aca="false">I523/I524</f>
        <v>2.12027108582311</v>
      </c>
      <c r="J525" s="29" t="n">
        <f aca="false">J523/J524</f>
        <v>1.99631677619037</v>
      </c>
    </row>
    <row r="526" customFormat="false" ht="17.15" hidden="false" customHeight="false" outlineLevel="0" collapsed="false">
      <c r="A526" s="0" t="s">
        <v>570</v>
      </c>
      <c r="B526" s="0" t="s">
        <v>48</v>
      </c>
      <c r="D526" s="20" t="n">
        <f aca="false">D525/C525-1</f>
        <v>0.521343002725398</v>
      </c>
      <c r="E526" s="20" t="n">
        <f aca="false">E525/D525-1</f>
        <v>-0.307962178318451</v>
      </c>
      <c r="F526" s="20" t="n">
        <f aca="false">F525/E525-1</f>
        <v>-0.476490536598349</v>
      </c>
      <c r="G526" s="20" t="n">
        <f aca="false">G525/F525-1</f>
        <v>-0.0746075773148741</v>
      </c>
      <c r="H526" s="27" t="n">
        <f aca="false">H525/G525-1</f>
        <v>0.00954344999433987</v>
      </c>
      <c r="I526" s="27" t="n">
        <f aca="false">I525/H525-1</f>
        <v>-0.0242322123752643</v>
      </c>
      <c r="J526" s="27" t="n">
        <f aca="false">J525/I525-1</f>
        <v>-0.0584615384615387</v>
      </c>
    </row>
    <row r="527" customFormat="false" ht="17.15" hidden="false" customHeight="false" outlineLevel="0" collapsed="false">
      <c r="A527" s="4" t="s">
        <v>571</v>
      </c>
      <c r="B527" s="0" t="s">
        <v>48</v>
      </c>
      <c r="C527" s="16" t="n">
        <f aca="false">C523/C504</f>
        <v>0.162746187565599</v>
      </c>
      <c r="D527" s="16" t="n">
        <f aca="false">D523/D504</f>
        <v>0.208646059676249</v>
      </c>
      <c r="E527" s="16" t="n">
        <f aca="false">E523/E504</f>
        <v>0.139224035169165</v>
      </c>
      <c r="F527" s="16" t="n">
        <f aca="false">F523/F504</f>
        <v>0.0712899703079155</v>
      </c>
      <c r="G527" s="16" t="n">
        <f aca="false">G523/G504</f>
        <v>0.0593009906147266</v>
      </c>
      <c r="H527" s="28" t="n">
        <f aca="false">$G527+($G$527*0.8-$G527)*1/3</f>
        <v>0.0553475912404115</v>
      </c>
      <c r="I527" s="28" t="n">
        <f aca="false">$G527+($G$527*0.8-$G527)*2/3</f>
        <v>0.0513941918660964</v>
      </c>
      <c r="J527" s="28" t="n">
        <f aca="false">$G527+($G$527*0.8-$G527)*3/3</f>
        <v>0.0474407924917813</v>
      </c>
    </row>
    <row r="530" customFormat="false" ht="17.15" hidden="false" customHeight="false" outlineLevel="0" collapsed="false">
      <c r="A530" s="1" t="s">
        <v>857</v>
      </c>
    </row>
    <row r="531" customFormat="false" ht="17.15" hidden="false" customHeight="false" outlineLevel="0" collapsed="false">
      <c r="A531" s="5" t="s">
        <v>24</v>
      </c>
      <c r="B531" s="5" t="s">
        <v>25</v>
      </c>
      <c r="C531" s="17" t="s">
        <v>394</v>
      </c>
      <c r="D531" s="17" t="s">
        <v>521</v>
      </c>
      <c r="E531" s="17" t="s">
        <v>480</v>
      </c>
      <c r="F531" s="17" t="s">
        <v>481</v>
      </c>
      <c r="G531" s="17" t="s">
        <v>482</v>
      </c>
      <c r="H531" s="17" t="s">
        <v>522</v>
      </c>
      <c r="I531" s="17" t="s">
        <v>523</v>
      </c>
      <c r="J531" s="17" t="s">
        <v>524</v>
      </c>
      <c r="K531" s="5" t="s">
        <v>357</v>
      </c>
    </row>
    <row r="532" customFormat="false" ht="17.15" hidden="false" customHeight="false" outlineLevel="0" collapsed="false">
      <c r="A532" s="6" t="s">
        <v>542</v>
      </c>
    </row>
    <row r="533" customFormat="false" ht="17.15" hidden="false" customHeight="false" outlineLevel="0" collapsed="false">
      <c r="A533" s="4" t="s">
        <v>543</v>
      </c>
      <c r="B533" s="4" t="s">
        <v>42</v>
      </c>
      <c r="D533" s="22" t="n">
        <f aca="false">cap_26</f>
        <v>3306</v>
      </c>
      <c r="E533" s="22" t="n">
        <f aca="false">D533*(1+capg27)*cap_adj</f>
        <v>3306</v>
      </c>
      <c r="F533" s="22" t="n">
        <f aca="false">E533*(1+capg28)</f>
        <v>3306</v>
      </c>
      <c r="G533" s="22" t="n">
        <f aca="false">F533*(1+capg29)</f>
        <v>3306</v>
      </c>
    </row>
    <row r="534" customFormat="false" ht="15" hidden="false" customHeight="false" outlineLevel="0" collapsed="false">
      <c r="A534" s="4" t="s">
        <v>544</v>
      </c>
      <c r="B534" s="0" t="s">
        <v>48</v>
      </c>
      <c r="D534" s="20" t="n">
        <f aca="false">a26_ship/cap_26</f>
        <v>0.8725</v>
      </c>
      <c r="E534" s="20" t="n">
        <f aca="false">MIN(0.98,ut27_A+ut_adj_lo)</f>
        <v>0.92</v>
      </c>
      <c r="F534" s="20" t="n">
        <f aca="false">MIN(0.98,ut28_A+ut_adj_lo)</f>
        <v>0.91</v>
      </c>
      <c r="G534" s="20" t="n">
        <f aca="false">MIN(0.98,ut29_A+ut_adj_lo)</f>
        <v>0.9</v>
      </c>
    </row>
    <row r="535" customFormat="false" ht="17.15" hidden="false" customHeight="false" outlineLevel="0" collapsed="false">
      <c r="A535" s="4" t="s">
        <v>545</v>
      </c>
      <c r="B535" s="4" t="s">
        <v>42</v>
      </c>
      <c r="D535" s="22" t="n">
        <f aca="false">D533*D534</f>
        <v>2884.485</v>
      </c>
      <c r="E535" s="22" t="n">
        <f aca="false">E533*E534</f>
        <v>3041.52</v>
      </c>
      <c r="F535" s="22" t="n">
        <f aca="false">F533*F534</f>
        <v>3008.46</v>
      </c>
      <c r="G535" s="22" t="n">
        <f aca="false">G533*G534</f>
        <v>2975.4</v>
      </c>
    </row>
    <row r="536" customFormat="false" ht="17.15" hidden="false" customHeight="false" outlineLevel="0" collapsed="false">
      <c r="A536" s="4" t="s">
        <v>546</v>
      </c>
      <c r="B536" s="0" t="s">
        <v>89</v>
      </c>
      <c r="D536" s="22" t="n">
        <f aca="false">asp_26</f>
        <v>643.469405492234</v>
      </c>
      <c r="E536" s="22" t="n">
        <f aca="false">D536*(1+asp27_A)*(1+asp_adj)</f>
        <v>682.077569821768</v>
      </c>
      <c r="F536" s="22" t="n">
        <f aca="false">E536*(1+asp28_A)</f>
        <v>695.719121218203</v>
      </c>
      <c r="G536" s="22" t="n">
        <f aca="false">F536*(1+asp29_A)</f>
        <v>702.676312430385</v>
      </c>
    </row>
    <row r="537" customFormat="false" ht="15" hidden="false" customHeight="false" outlineLevel="0" collapsed="false">
      <c r="A537" s="4" t="s">
        <v>547</v>
      </c>
      <c r="B537" s="0" t="s">
        <v>48</v>
      </c>
      <c r="E537" s="20" t="n">
        <f aca="false">E536/D536-1</f>
        <v>0.0600000000000001</v>
      </c>
      <c r="F537" s="20" t="n">
        <f aca="false">F536/E536-1</f>
        <v>0.02</v>
      </c>
      <c r="G537" s="20" t="n">
        <f aca="false">G536/F536-1</f>
        <v>0.01</v>
      </c>
    </row>
    <row r="538" customFormat="false" ht="15" hidden="false" customHeight="false" outlineLevel="0" collapsed="false">
      <c r="A538" s="4" t="s">
        <v>548</v>
      </c>
      <c r="B538" s="0" t="s">
        <v>35</v>
      </c>
      <c r="D538" s="23" t="n">
        <f aca="false">fx_26</f>
        <v>31.6</v>
      </c>
      <c r="E538" s="23" t="n">
        <f aca="false">fx</f>
        <v>32</v>
      </c>
      <c r="F538" s="23" t="n">
        <f aca="false">fx</f>
        <v>32</v>
      </c>
      <c r="G538" s="23" t="n">
        <f aca="false">fx</f>
        <v>32</v>
      </c>
    </row>
    <row r="539" customFormat="false" ht="17.15" hidden="false" customHeight="false" outlineLevel="0" collapsed="false">
      <c r="A539" s="0" t="s">
        <v>549</v>
      </c>
      <c r="B539" s="0" t="s">
        <v>184</v>
      </c>
      <c r="D539" s="23" t="n">
        <f aca="false">D535*D536*D538/1000000</f>
        <v>58.65206</v>
      </c>
      <c r="E539" s="23" t="n">
        <f aca="false">E535*E536*E538/1000000</f>
        <v>66.3856822452577</v>
      </c>
      <c r="F539" s="23" t="n">
        <f aca="false">F535*F536*F538/1000000</f>
        <v>66.9773807174437</v>
      </c>
      <c r="G539" s="23" t="n">
        <f aca="false">G535*G536*G538/1000000</f>
        <v>66.9037792001718</v>
      </c>
    </row>
    <row r="540" customFormat="false" ht="17.15" hidden="false" customHeight="false" outlineLevel="0" collapsed="false">
      <c r="A540" s="6" t="s">
        <v>550</v>
      </c>
    </row>
    <row r="541" customFormat="false" ht="17.15" hidden="false" customHeight="false" outlineLevel="0" collapsed="false">
      <c r="A541" s="0" t="s">
        <v>551</v>
      </c>
      <c r="B541" s="4" t="s">
        <v>42</v>
      </c>
      <c r="D541" s="22" t="n">
        <f aca="false">0</f>
        <v>0</v>
      </c>
      <c r="E541" s="22" t="n">
        <f aca="false">vcap27*vcap_adj</f>
        <v>144</v>
      </c>
      <c r="F541" s="22" t="n">
        <f aca="false">vcap28*vcap_adj</f>
        <v>360</v>
      </c>
      <c r="G541" s="22" t="n">
        <f aca="false">vcap29*vcap_adj</f>
        <v>504</v>
      </c>
    </row>
    <row r="542" customFormat="false" ht="17.15" hidden="false" customHeight="false" outlineLevel="0" collapsed="false">
      <c r="A542" s="0" t="s">
        <v>552</v>
      </c>
      <c r="B542" s="0" t="s">
        <v>48</v>
      </c>
      <c r="E542" s="20" t="n">
        <f aca="false">vut_A</f>
        <v>0.9</v>
      </c>
      <c r="F542" s="20" t="n">
        <f aca="false">vut_A</f>
        <v>0.9</v>
      </c>
      <c r="G542" s="20" t="n">
        <f aca="false">vut_A</f>
        <v>0.9</v>
      </c>
    </row>
    <row r="543" customFormat="false" ht="17.15" hidden="false" customHeight="false" outlineLevel="0" collapsed="false">
      <c r="A543" s="0" t="s">
        <v>553</v>
      </c>
      <c r="B543" s="4" t="s">
        <v>42</v>
      </c>
      <c r="D543" s="22" t="n">
        <f aca="false">0</f>
        <v>0</v>
      </c>
      <c r="E543" s="22" t="n">
        <f aca="false">E541*E542</f>
        <v>129.6</v>
      </c>
      <c r="F543" s="22" t="n">
        <f aca="false">F541*F542</f>
        <v>324</v>
      </c>
      <c r="G543" s="22" t="n">
        <f aca="false">G541*G542</f>
        <v>453.6</v>
      </c>
    </row>
    <row r="544" customFormat="false" ht="17.15" hidden="false" customHeight="false" outlineLevel="0" collapsed="false">
      <c r="A544" s="0" t="s">
        <v>554</v>
      </c>
      <c r="B544" s="0" t="s">
        <v>184</v>
      </c>
      <c r="D544" s="23" t="n">
        <f aca="false">0</f>
        <v>0</v>
      </c>
      <c r="E544" s="23" t="n">
        <f aca="false">E543*vasp*E538/1000000</f>
        <v>7.46496</v>
      </c>
      <c r="F544" s="23" t="n">
        <f aca="false">F543*vasp*F538/1000000</f>
        <v>18.6624</v>
      </c>
      <c r="G544" s="23" t="n">
        <f aca="false">G543*vasp*G538/1000000</f>
        <v>26.12736</v>
      </c>
    </row>
    <row r="545" customFormat="false" ht="17.15" hidden="false" customHeight="false" outlineLevel="0" collapsed="false">
      <c r="A545" s="4" t="s">
        <v>400</v>
      </c>
      <c r="B545" s="0" t="s">
        <v>184</v>
      </c>
      <c r="C545" s="23" t="n">
        <f aca="false">a25_rev</f>
        <v>48.591</v>
      </c>
      <c r="D545" s="23" t="n">
        <f aca="false">D539+D544</f>
        <v>58.65206</v>
      </c>
      <c r="E545" s="23" t="n">
        <f aca="false">E539+E544</f>
        <v>73.8506422452577</v>
      </c>
      <c r="F545" s="23" t="n">
        <f aca="false">F539+F544</f>
        <v>85.6397807174437</v>
      </c>
      <c r="G545" s="23" t="n">
        <f aca="false">G539+G544</f>
        <v>93.0311392001718</v>
      </c>
      <c r="H545" s="29" t="n">
        <f aca="false">G545*(1+H548)</f>
        <v>100.244620933015</v>
      </c>
      <c r="I545" s="29" t="n">
        <f aca="false">H545*(1+I548)</f>
        <v>107.13836119025</v>
      </c>
      <c r="J545" s="29" t="n">
        <f aca="false">I545*(1+J548)</f>
        <v>113.566662861665</v>
      </c>
      <c r="K545" s="8" t="s">
        <v>555</v>
      </c>
    </row>
    <row r="546" customFormat="false" ht="17.15" hidden="false" customHeight="false" outlineLevel="0" collapsed="false">
      <c r="A546" s="0" t="s">
        <v>556</v>
      </c>
      <c r="B546" s="0" t="s">
        <v>48</v>
      </c>
      <c r="D546" s="20" t="n">
        <f aca="false">D544/D545</f>
        <v>0</v>
      </c>
      <c r="E546" s="20" t="n">
        <f aca="false">E544/E545</f>
        <v>0.101081856203889</v>
      </c>
      <c r="F546" s="20" t="n">
        <f aca="false">F544/F545</f>
        <v>0.217917419260728</v>
      </c>
      <c r="G546" s="20" t="n">
        <f aca="false">G544/G545</f>
        <v>0.280845319369708</v>
      </c>
    </row>
    <row r="547" customFormat="false" ht="17.15" hidden="false" customHeight="false" outlineLevel="0" collapsed="false">
      <c r="A547" s="0" t="s">
        <v>557</v>
      </c>
      <c r="B547" s="0" t="s">
        <v>48</v>
      </c>
      <c r="D547" s="20" t="n">
        <f aca="false">ai_sh26</f>
        <v>0.1</v>
      </c>
      <c r="E547" s="20" t="n">
        <f aca="false">ai_sh27_A</f>
        <v>0.25</v>
      </c>
      <c r="F547" s="20" t="n">
        <f aca="false">ai_sh27_A</f>
        <v>0.25</v>
      </c>
      <c r="G547" s="20" t="n">
        <f aca="false">ai_sh27_A</f>
        <v>0.25</v>
      </c>
    </row>
    <row r="548" customFormat="false" ht="15" hidden="false" customHeight="false" outlineLevel="0" collapsed="false">
      <c r="A548" s="4" t="s">
        <v>558</v>
      </c>
      <c r="B548" s="0" t="s">
        <v>48</v>
      </c>
      <c r="D548" s="20" t="n">
        <f aca="false">D545/C545-1</f>
        <v>0.207056039184211</v>
      </c>
      <c r="E548" s="20" t="n">
        <f aca="false">E545/D545-1</f>
        <v>0.259131260611438</v>
      </c>
      <c r="F548" s="20" t="n">
        <f aca="false">F545/E545-1</f>
        <v>0.159634880804886</v>
      </c>
      <c r="G548" s="20" t="n">
        <f aca="false">G545/F545-1</f>
        <v>0.0863075362968855</v>
      </c>
      <c r="H548" s="27" t="n">
        <f aca="false">$G548+(fade_gA-$G548)*1/3</f>
        <v>0.077538357531257</v>
      </c>
      <c r="I548" s="27" t="n">
        <f aca="false">$G548+(fade_gA-$G548)*2/3</f>
        <v>0.0687691787656285</v>
      </c>
      <c r="J548" s="27" t="n">
        <f aca="false">$G548+(fade_gA-$G548)*3/3</f>
        <v>0.06</v>
      </c>
    </row>
    <row r="549" customFormat="false" ht="17.15" hidden="false" customHeight="false" outlineLevel="0" collapsed="false">
      <c r="A549" s="6" t="s">
        <v>559</v>
      </c>
    </row>
    <row r="550" customFormat="false" ht="15" hidden="false" customHeight="false" outlineLevel="0" collapsed="false">
      <c r="A550" s="4" t="s">
        <v>560</v>
      </c>
      <c r="B550" s="0" t="s">
        <v>184</v>
      </c>
      <c r="D550" s="23" t="n">
        <f aca="false">da_tot26*da_sh</f>
        <v>8.658</v>
      </c>
      <c r="E550" s="23" t="n">
        <f aca="false">D550*(1+dag_27+dag_adj)</f>
        <v>8.91774</v>
      </c>
      <c r="F550" s="23" t="n">
        <f aca="false">E550*(1+dag_28+dag_adj)</f>
        <v>9.0960948</v>
      </c>
      <c r="G550" s="23" t="n">
        <f aca="false">F550*(1+dag_29+dag_adj)</f>
        <v>9.0960948</v>
      </c>
    </row>
    <row r="551" customFormat="false" ht="17.15" hidden="false" customHeight="false" outlineLevel="0" collapsed="false">
      <c r="A551" s="4" t="s">
        <v>561</v>
      </c>
      <c r="B551" s="0" t="s">
        <v>562</v>
      </c>
      <c r="D551" s="23" t="n">
        <f aca="false">(D539-a26_gp-D550)/D535*1000</f>
        <v>10.7339918911001</v>
      </c>
      <c r="E551" s="23" t="n">
        <f aca="false">D551*(1+cc_g)</f>
        <v>10.9486717289221</v>
      </c>
      <c r="F551" s="23" t="n">
        <f aca="false">E551*(1+cc_g)</f>
        <v>11.1676451635006</v>
      </c>
      <c r="G551" s="23" t="n">
        <f aca="false">F551*(1+cc_g)</f>
        <v>11.3909980667706</v>
      </c>
      <c r="K551" s="8" t="s">
        <v>563</v>
      </c>
    </row>
    <row r="552" customFormat="false" ht="17.15" hidden="false" customHeight="false" outlineLevel="0" collapsed="false">
      <c r="A552" s="4" t="s">
        <v>564</v>
      </c>
      <c r="B552" s="0" t="s">
        <v>184</v>
      </c>
      <c r="D552" s="23" t="n">
        <f aca="false">D551*D535/1000</f>
        <v>30.9620386</v>
      </c>
      <c r="E552" s="23" t="n">
        <f aca="false">E551*E535/1000</f>
        <v>33.3006040369513</v>
      </c>
      <c r="F552" s="23" t="n">
        <f aca="false">F551*F535/1000</f>
        <v>33.597413768585</v>
      </c>
      <c r="G552" s="23" t="n">
        <f aca="false">G551*G535/1000</f>
        <v>33.8927756478692</v>
      </c>
    </row>
    <row r="553" customFormat="false" ht="17.15" hidden="false" customHeight="false" outlineLevel="0" collapsed="false">
      <c r="A553" s="0" t="s">
        <v>565</v>
      </c>
      <c r="B553" s="0" t="s">
        <v>48</v>
      </c>
      <c r="E553" s="20" t="n">
        <f aca="false">vgm27_A</f>
        <v>0.05</v>
      </c>
      <c r="F553" s="20" t="n">
        <f aca="false">vgm28_A</f>
        <v>0.2</v>
      </c>
      <c r="G553" s="20" t="n">
        <f aca="false">vgm29_A</f>
        <v>0.25</v>
      </c>
    </row>
    <row r="554" customFormat="false" ht="17.15" hidden="false" customHeight="false" outlineLevel="0" collapsed="false">
      <c r="A554" s="0" t="s">
        <v>566</v>
      </c>
      <c r="B554" s="0" t="s">
        <v>184</v>
      </c>
      <c r="D554" s="23" t="n">
        <f aca="false">0</f>
        <v>0</v>
      </c>
      <c r="E554" s="23" t="n">
        <f aca="false">E544*E553</f>
        <v>0.373248</v>
      </c>
      <c r="F554" s="23" t="n">
        <f aca="false">F544*F553</f>
        <v>3.73248</v>
      </c>
      <c r="G554" s="23" t="n">
        <f aca="false">G544*G553</f>
        <v>6.53184</v>
      </c>
    </row>
    <row r="555" customFormat="false" ht="15" hidden="false" customHeight="false" outlineLevel="0" collapsed="false">
      <c r="A555" s="4" t="s">
        <v>417</v>
      </c>
      <c r="B555" s="0" t="s">
        <v>184</v>
      </c>
      <c r="C555" s="23" t="n">
        <f aca="false">a25_gp</f>
        <v>13.654</v>
      </c>
      <c r="D555" s="23" t="n">
        <f aca="false">D539-D550-D552+D554</f>
        <v>19.0320214</v>
      </c>
      <c r="E555" s="23" t="n">
        <f aca="false">E539-E550-E552+E554</f>
        <v>24.5405862083064</v>
      </c>
      <c r="F555" s="23" t="n">
        <f aca="false">F539-F550-F552+F554</f>
        <v>28.0163521488587</v>
      </c>
      <c r="G555" s="23" t="n">
        <f aca="false">G539-G550-G552+G554</f>
        <v>30.4467487523025</v>
      </c>
    </row>
    <row r="556" customFormat="false" ht="15" hidden="false" customHeight="false" outlineLevel="0" collapsed="false">
      <c r="A556" s="4" t="s">
        <v>420</v>
      </c>
      <c r="B556" s="0" t="s">
        <v>48</v>
      </c>
      <c r="C556" s="16" t="n">
        <f aca="false">C555/C545</f>
        <v>0.280998538824062</v>
      </c>
      <c r="D556" s="16" t="n">
        <f aca="false">D555/D545</f>
        <v>0.324490246378388</v>
      </c>
      <c r="E556" s="16" t="n">
        <f aca="false">E555/E545</f>
        <v>0.332300240894415</v>
      </c>
      <c r="F556" s="16" t="n">
        <f aca="false">F555/F545</f>
        <v>0.327141801557091</v>
      </c>
      <c r="G556" s="16" t="n">
        <f aca="false">G555/G545</f>
        <v>0.327274813724374</v>
      </c>
    </row>
    <row r="557" customFormat="false" ht="15" hidden="false" customHeight="false" outlineLevel="0" collapsed="false">
      <c r="A557" s="4" t="s">
        <v>422</v>
      </c>
      <c r="B557" s="0" t="s">
        <v>184</v>
      </c>
      <c r="C557" s="23" t="n">
        <f aca="false">a25_opx</f>
        <v>5.881</v>
      </c>
      <c r="D557" s="23" t="n">
        <f aca="false">a26_opx</f>
        <v>6.824187</v>
      </c>
      <c r="E557" s="23" t="n">
        <f aca="false">D557*(1+MAX(g_opx_min,phi*E548))</f>
        <v>7.70836708997909</v>
      </c>
      <c r="F557" s="23" t="n">
        <f aca="false">E557*(1+MAX(g_opx_min,phi*F548))</f>
        <v>8.32362922078365</v>
      </c>
      <c r="G557" s="23" t="n">
        <f aca="false">F557*(1+MAX(g_opx_min,phi*G548))</f>
        <v>8.68282518633096</v>
      </c>
    </row>
    <row r="558" customFormat="false" ht="15" hidden="false" customHeight="false" outlineLevel="0" collapsed="false">
      <c r="A558" s="4" t="s">
        <v>425</v>
      </c>
      <c r="B558" s="0" t="s">
        <v>184</v>
      </c>
      <c r="C558" s="23" t="n">
        <f aca="false">C555-C557</f>
        <v>7.773</v>
      </c>
      <c r="D558" s="23" t="n">
        <f aca="false">D555-D557</f>
        <v>12.2078344</v>
      </c>
      <c r="E558" s="23" t="n">
        <f aca="false">E555-E557</f>
        <v>16.8322191183273</v>
      </c>
      <c r="F558" s="23" t="n">
        <f aca="false">F555-F557</f>
        <v>19.6927229280751</v>
      </c>
      <c r="G558" s="23" t="n">
        <f aca="false">G555-G557</f>
        <v>21.7639235659716</v>
      </c>
    </row>
    <row r="559" customFormat="false" ht="15" hidden="false" customHeight="false" outlineLevel="0" collapsed="false">
      <c r="A559" s="4" t="s">
        <v>531</v>
      </c>
      <c r="B559" s="0" t="s">
        <v>48</v>
      </c>
      <c r="C559" s="16" t="n">
        <f aca="false">C558/C545</f>
        <v>0.159967895289251</v>
      </c>
      <c r="D559" s="16" t="n">
        <f aca="false">D558/D545</f>
        <v>0.208139908470393</v>
      </c>
      <c r="E559" s="16" t="n">
        <f aca="false">E558/E545</f>
        <v>0.227922447342131</v>
      </c>
      <c r="F559" s="16" t="n">
        <f aca="false">F558/F545</f>
        <v>0.229948310973009</v>
      </c>
      <c r="G559" s="16" t="n">
        <f aca="false">G558/G545</f>
        <v>0.233942352561575</v>
      </c>
    </row>
    <row r="560" customFormat="false" ht="15" hidden="false" customHeight="false" outlineLevel="0" collapsed="false">
      <c r="A560" s="4" t="s">
        <v>428</v>
      </c>
      <c r="B560" s="0" t="s">
        <v>184</v>
      </c>
      <c r="C560" s="23" t="n">
        <f aca="false">a25_nonop</f>
        <v>1.479</v>
      </c>
      <c r="D560" s="23" t="n">
        <f aca="false">a26_nonop</f>
        <v>2.10950832169955</v>
      </c>
      <c r="E560" s="23" t="n">
        <f aca="false">nonop_f</f>
        <v>1.5</v>
      </c>
      <c r="F560" s="23" t="n">
        <f aca="false">nonop_f</f>
        <v>1.5</v>
      </c>
      <c r="G560" s="23" t="n">
        <f aca="false">nonop_f</f>
        <v>1.5</v>
      </c>
    </row>
    <row r="561" customFormat="false" ht="15" hidden="false" customHeight="false" outlineLevel="0" collapsed="false">
      <c r="A561" s="4" t="s">
        <v>430</v>
      </c>
      <c r="B561" s="0" t="s">
        <v>184</v>
      </c>
      <c r="C561" s="23" t="n">
        <f aca="false">C558+C560</f>
        <v>9.252</v>
      </c>
      <c r="D561" s="23" t="n">
        <f aca="false">D558+D560</f>
        <v>14.3173427216995</v>
      </c>
      <c r="E561" s="23" t="n">
        <f aca="false">E558+E560</f>
        <v>18.3322191183273</v>
      </c>
      <c r="F561" s="23" t="n">
        <f aca="false">F558+F560</f>
        <v>21.1927229280751</v>
      </c>
      <c r="G561" s="23" t="n">
        <f aca="false">G558+G560</f>
        <v>23.2639235659716</v>
      </c>
    </row>
    <row r="562" customFormat="false" ht="15" hidden="false" customHeight="false" outlineLevel="0" collapsed="false">
      <c r="A562" s="4" t="s">
        <v>432</v>
      </c>
      <c r="B562" s="0" t="s">
        <v>184</v>
      </c>
      <c r="C562" s="23" t="n">
        <f aca="false">a25_tax</f>
        <v>1.344</v>
      </c>
      <c r="D562" s="23" t="n">
        <f aca="false">a26_tax</f>
        <v>2.0798215108046</v>
      </c>
      <c r="E562" s="23" t="n">
        <f aca="false">E561*tax</f>
        <v>2.7498328677491</v>
      </c>
      <c r="F562" s="23" t="n">
        <f aca="false">F561*tax</f>
        <v>3.17890843921126</v>
      </c>
      <c r="G562" s="23" t="n">
        <f aca="false">G561*tax</f>
        <v>3.48958853489574</v>
      </c>
    </row>
    <row r="563" customFormat="false" ht="17.15" hidden="false" customHeight="false" outlineLevel="0" collapsed="false">
      <c r="A563" s="4" t="s">
        <v>567</v>
      </c>
      <c r="B563" s="0" t="s">
        <v>184</v>
      </c>
      <c r="C563" s="23" t="n">
        <f aca="false">a25_mi</f>
        <v>0</v>
      </c>
      <c r="D563" s="23" t="n">
        <f aca="false">a26_mi</f>
        <v>0</v>
      </c>
      <c r="E563" s="23" t="n">
        <f aca="false">vmi*E554*(1-tax)</f>
        <v>0.12690432</v>
      </c>
      <c r="F563" s="23" t="n">
        <f aca="false">vmi*F554*(1-tax)</f>
        <v>1.2690432</v>
      </c>
      <c r="G563" s="23" t="n">
        <f aca="false">vmi*G554*(1-tax)</f>
        <v>2.2208256</v>
      </c>
      <c r="K563" s="8" t="s">
        <v>568</v>
      </c>
    </row>
    <row r="564" customFormat="false" ht="15" hidden="false" customHeight="false" outlineLevel="0" collapsed="false">
      <c r="A564" s="4" t="s">
        <v>435</v>
      </c>
      <c r="B564" s="0" t="s">
        <v>184</v>
      </c>
      <c r="C564" s="23" t="n">
        <f aca="false">C561-C562-C563</f>
        <v>7.908</v>
      </c>
      <c r="D564" s="23" t="n">
        <f aca="false">D561-D562-D563</f>
        <v>12.2375212108949</v>
      </c>
      <c r="E564" s="23" t="n">
        <f aca="false">E561-E562-E563</f>
        <v>15.4554819305782</v>
      </c>
      <c r="F564" s="23" t="n">
        <f aca="false">F561-F562-F563</f>
        <v>16.7447712888638</v>
      </c>
      <c r="G564" s="23" t="n">
        <f aca="false">G561-G562-G563</f>
        <v>17.5535094310758</v>
      </c>
      <c r="H564" s="29" t="n">
        <f aca="false">H545*H568</f>
        <v>18.9145797212709</v>
      </c>
      <c r="I564" s="29" t="n">
        <f aca="false">I545*I568</f>
        <v>20.2153198353997</v>
      </c>
      <c r="J564" s="29" t="n">
        <f aca="false">J545*J568</f>
        <v>21.4282390255237</v>
      </c>
    </row>
    <row r="565" customFormat="false" ht="15" hidden="false" customHeight="false" outlineLevel="0" collapsed="false">
      <c r="A565" s="4" t="s">
        <v>569</v>
      </c>
      <c r="B565" s="4" t="s">
        <v>265</v>
      </c>
      <c r="C565" s="10" t="n">
        <f aca="false">a25_sh</f>
        <v>1.8739336492891</v>
      </c>
      <c r="D565" s="10" t="n">
        <f aca="false">a26_sh</f>
        <v>1.90613591916558</v>
      </c>
      <c r="E565" s="10" t="n">
        <f aca="false">q_sh*(1+sh_g)</f>
        <v>1.90705128205128</v>
      </c>
      <c r="F565" s="10" t="n">
        <f aca="false">E565*(1+sh_g)</f>
        <v>1.90705128205128</v>
      </c>
      <c r="G565" s="10" t="n">
        <f aca="false">F565*(1+sh_g)</f>
        <v>1.90705128205128</v>
      </c>
      <c r="H565" s="31" t="n">
        <f aca="false">G565*(1+sh_g)</f>
        <v>1.90705128205128</v>
      </c>
      <c r="I565" s="31" t="n">
        <f aca="false">H565*(1+sh_g)</f>
        <v>1.90705128205128</v>
      </c>
      <c r="J565" s="31" t="n">
        <f aca="false">I565*(1+sh_g)</f>
        <v>1.90705128205128</v>
      </c>
    </row>
    <row r="566" customFormat="false" ht="17.15" hidden="false" customHeight="false" outlineLevel="0" collapsed="false">
      <c r="A566" s="0" t="s">
        <v>442</v>
      </c>
      <c r="B566" s="0" t="s">
        <v>274</v>
      </c>
      <c r="C566" s="23" t="n">
        <f aca="false">C564/C565</f>
        <v>4.22</v>
      </c>
      <c r="D566" s="23" t="n">
        <f aca="false">D564/D565</f>
        <v>6.42006747150118</v>
      </c>
      <c r="E566" s="23" t="n">
        <f aca="false">E564/E565</f>
        <v>8.10438716359732</v>
      </c>
      <c r="F566" s="23" t="n">
        <f aca="false">F564/F565</f>
        <v>8.7804514993706</v>
      </c>
      <c r="G566" s="23" t="n">
        <f aca="false">G564/G565</f>
        <v>9.20452931511876</v>
      </c>
      <c r="H566" s="29" t="n">
        <f aca="false">H564/H565</f>
        <v>9.91823340006137</v>
      </c>
      <c r="I566" s="29" t="n">
        <f aca="false">I564/I565</f>
        <v>10.6003021657894</v>
      </c>
      <c r="J566" s="29" t="n">
        <f aca="false">J564/J565</f>
        <v>11.2363202957368</v>
      </c>
    </row>
    <row r="567" customFormat="false" ht="17.15" hidden="false" customHeight="false" outlineLevel="0" collapsed="false">
      <c r="A567" s="0" t="s">
        <v>570</v>
      </c>
      <c r="B567" s="0" t="s">
        <v>48</v>
      </c>
      <c r="D567" s="20" t="n">
        <f aca="false">D566/C566-1</f>
        <v>0.521343002725398</v>
      </c>
      <c r="E567" s="20" t="n">
        <f aca="false">E566/D566-1</f>
        <v>0.262352335014059</v>
      </c>
      <c r="F567" s="20" t="n">
        <f aca="false">F566/E566-1</f>
        <v>0.0834195506860744</v>
      </c>
      <c r="G567" s="20" t="n">
        <f aca="false">G566/F566-1</f>
        <v>0.0482979509400578</v>
      </c>
      <c r="H567" s="27" t="n">
        <f aca="false">H566/G566-1</f>
        <v>0.0775383575312569</v>
      </c>
      <c r="I567" s="27" t="n">
        <f aca="false">I566/H566-1</f>
        <v>0.0687691787656286</v>
      </c>
      <c r="J567" s="27" t="n">
        <f aca="false">J566/I566-1</f>
        <v>0.0599999999999998</v>
      </c>
    </row>
    <row r="568" customFormat="false" ht="17.15" hidden="false" customHeight="false" outlineLevel="0" collapsed="false">
      <c r="A568" s="4" t="s">
        <v>571</v>
      </c>
      <c r="B568" s="0" t="s">
        <v>48</v>
      </c>
      <c r="C568" s="16" t="n">
        <f aca="false">C564/C545</f>
        <v>0.162746187565599</v>
      </c>
      <c r="D568" s="16" t="n">
        <f aca="false">D564/D545</f>
        <v>0.208646059676249</v>
      </c>
      <c r="E568" s="16" t="n">
        <f aca="false">E564/E545</f>
        <v>0.209280264337453</v>
      </c>
      <c r="F568" s="16" t="n">
        <f aca="false">F564/F545</f>
        <v>0.195525620787269</v>
      </c>
      <c r="G568" s="16" t="n">
        <f aca="false">G564/G545</f>
        <v>0.188684236073973</v>
      </c>
      <c r="H568" s="28" t="n">
        <f aca="false">$G568+($G$568*1-$G568)*1/3</f>
        <v>0.188684236073973</v>
      </c>
      <c r="I568" s="28" t="n">
        <f aca="false">$G568+($G$568*1-$G568)*2/3</f>
        <v>0.188684236073973</v>
      </c>
      <c r="J568" s="28" t="n">
        <f aca="false">$G568+($G$568*1-$G568)*3/3</f>
        <v>0.188684236073973</v>
      </c>
    </row>
    <row r="571" customFormat="false" ht="17.15" hidden="false" customHeight="false" outlineLevel="0" collapsed="false">
      <c r="A571" s="1" t="s">
        <v>858</v>
      </c>
    </row>
    <row r="572" customFormat="false" ht="17.15" hidden="false" customHeight="false" outlineLevel="0" collapsed="false">
      <c r="A572" s="5" t="s">
        <v>24</v>
      </c>
      <c r="B572" s="5" t="s">
        <v>25</v>
      </c>
      <c r="C572" s="17" t="s">
        <v>394</v>
      </c>
      <c r="D572" s="17" t="s">
        <v>521</v>
      </c>
      <c r="E572" s="17" t="s">
        <v>480</v>
      </c>
      <c r="F572" s="17" t="s">
        <v>481</v>
      </c>
      <c r="G572" s="17" t="s">
        <v>482</v>
      </c>
      <c r="H572" s="17" t="s">
        <v>522</v>
      </c>
      <c r="I572" s="17" t="s">
        <v>523</v>
      </c>
      <c r="J572" s="17" t="s">
        <v>524</v>
      </c>
      <c r="K572" s="5" t="s">
        <v>357</v>
      </c>
    </row>
    <row r="573" customFormat="false" ht="17.15" hidden="false" customHeight="false" outlineLevel="0" collapsed="false">
      <c r="A573" s="6" t="s">
        <v>542</v>
      </c>
    </row>
    <row r="574" customFormat="false" ht="17.15" hidden="false" customHeight="false" outlineLevel="0" collapsed="false">
      <c r="A574" s="4" t="s">
        <v>543</v>
      </c>
      <c r="B574" s="4" t="s">
        <v>42</v>
      </c>
      <c r="D574" s="22" t="n">
        <f aca="false">cap_26</f>
        <v>3306</v>
      </c>
      <c r="E574" s="22" t="n">
        <f aca="false">D574*(1+capg27)*cap_adj</f>
        <v>3306</v>
      </c>
      <c r="F574" s="22" t="n">
        <f aca="false">E574*(1+capg28)</f>
        <v>3306</v>
      </c>
      <c r="G574" s="22" t="n">
        <f aca="false">F574*(1+capg29)</f>
        <v>3306</v>
      </c>
    </row>
    <row r="575" customFormat="false" ht="15" hidden="false" customHeight="false" outlineLevel="0" collapsed="false">
      <c r="A575" s="4" t="s">
        <v>544</v>
      </c>
      <c r="B575" s="0" t="s">
        <v>48</v>
      </c>
      <c r="D575" s="20" t="n">
        <f aca="false">a26_ship/cap_26</f>
        <v>0.8725</v>
      </c>
      <c r="E575" s="20" t="n">
        <f aca="false">MIN(0.98,ut27_B+ut_adj_lo)</f>
        <v>0.87</v>
      </c>
      <c r="F575" s="20" t="n">
        <f aca="false">MIN(0.98,ut28_B+ut_adj_lo)</f>
        <v>0.83</v>
      </c>
      <c r="G575" s="20" t="n">
        <f aca="false">MIN(0.98,ut29_B+ut_adj_lo)</f>
        <v>0.84</v>
      </c>
    </row>
    <row r="576" customFormat="false" ht="17.15" hidden="false" customHeight="false" outlineLevel="0" collapsed="false">
      <c r="A576" s="4" t="s">
        <v>545</v>
      </c>
      <c r="B576" s="4" t="s">
        <v>42</v>
      </c>
      <c r="D576" s="22" t="n">
        <f aca="false">D574*D575</f>
        <v>2884.485</v>
      </c>
      <c r="E576" s="22" t="n">
        <f aca="false">E574*E575</f>
        <v>2876.22</v>
      </c>
      <c r="F576" s="22" t="n">
        <f aca="false">F574*F575</f>
        <v>2743.98</v>
      </c>
      <c r="G576" s="22" t="n">
        <f aca="false">G574*G575</f>
        <v>2777.04</v>
      </c>
    </row>
    <row r="577" customFormat="false" ht="17.15" hidden="false" customHeight="false" outlineLevel="0" collapsed="false">
      <c r="A577" s="4" t="s">
        <v>546</v>
      </c>
      <c r="B577" s="0" t="s">
        <v>89</v>
      </c>
      <c r="D577" s="22" t="n">
        <f aca="false">asp_26</f>
        <v>643.469405492234</v>
      </c>
      <c r="E577" s="22" t="n">
        <f aca="false">D577*(1+asp27_B)*(1+asp_adj)</f>
        <v>662.773487657001</v>
      </c>
      <c r="F577" s="22" t="n">
        <f aca="false">E577*(1+asp28_B)</f>
        <v>662.773487657001</v>
      </c>
      <c r="G577" s="22" t="n">
        <f aca="false">F577*(1+asp29_B)</f>
        <v>662.773487657001</v>
      </c>
    </row>
    <row r="578" customFormat="false" ht="15" hidden="false" customHeight="false" outlineLevel="0" collapsed="false">
      <c r="A578" s="4" t="s">
        <v>547</v>
      </c>
      <c r="B578" s="0" t="s">
        <v>48</v>
      </c>
      <c r="E578" s="20" t="n">
        <f aca="false">E577/D577-1</f>
        <v>0.03</v>
      </c>
      <c r="F578" s="20" t="n">
        <f aca="false">F577/E577-1</f>
        <v>0</v>
      </c>
      <c r="G578" s="20" t="n">
        <f aca="false">G577/F577-1</f>
        <v>0</v>
      </c>
    </row>
    <row r="579" customFormat="false" ht="15" hidden="false" customHeight="false" outlineLevel="0" collapsed="false">
      <c r="A579" s="4" t="s">
        <v>548</v>
      </c>
      <c r="B579" s="0" t="s">
        <v>35</v>
      </c>
      <c r="D579" s="23" t="n">
        <f aca="false">fx_26</f>
        <v>31.6</v>
      </c>
      <c r="E579" s="23" t="n">
        <f aca="false">fx</f>
        <v>32</v>
      </c>
      <c r="F579" s="23" t="n">
        <f aca="false">fx</f>
        <v>32</v>
      </c>
      <c r="G579" s="23" t="n">
        <f aca="false">fx</f>
        <v>32</v>
      </c>
    </row>
    <row r="580" customFormat="false" ht="17.15" hidden="false" customHeight="false" outlineLevel="0" collapsed="false">
      <c r="A580" s="0" t="s">
        <v>549</v>
      </c>
      <c r="B580" s="0" t="s">
        <v>184</v>
      </c>
      <c r="D580" s="23" t="n">
        <f aca="false">D576*D577*D579/1000000</f>
        <v>58.65206</v>
      </c>
      <c r="E580" s="23" t="n">
        <f aca="false">E576*E577*E579/1000000</f>
        <v>61.0010355414022</v>
      </c>
      <c r="F580" s="23" t="n">
        <f aca="false">F576*F577*F579/1000000</f>
        <v>58.1963902291538</v>
      </c>
      <c r="G580" s="23" t="n">
        <f aca="false">G576*G577*G579/1000000</f>
        <v>58.8975515572159</v>
      </c>
    </row>
    <row r="581" customFormat="false" ht="17.15" hidden="false" customHeight="false" outlineLevel="0" collapsed="false">
      <c r="A581" s="6" t="s">
        <v>550</v>
      </c>
    </row>
    <row r="582" customFormat="false" ht="17.15" hidden="false" customHeight="false" outlineLevel="0" collapsed="false">
      <c r="A582" s="0" t="s">
        <v>551</v>
      </c>
      <c r="B582" s="4" t="s">
        <v>42</v>
      </c>
      <c r="D582" s="22" t="n">
        <f aca="false">0</f>
        <v>0</v>
      </c>
      <c r="E582" s="22" t="n">
        <f aca="false">vcap27*vcap_adj</f>
        <v>144</v>
      </c>
      <c r="F582" s="22" t="n">
        <f aca="false">vcap28*vcap_adj</f>
        <v>360</v>
      </c>
      <c r="G582" s="22" t="n">
        <f aca="false">vcap29*vcap_adj</f>
        <v>504</v>
      </c>
    </row>
    <row r="583" customFormat="false" ht="17.15" hidden="false" customHeight="false" outlineLevel="0" collapsed="false">
      <c r="A583" s="0" t="s">
        <v>552</v>
      </c>
      <c r="B583" s="0" t="s">
        <v>48</v>
      </c>
      <c r="E583" s="20" t="n">
        <f aca="false">vut_B</f>
        <v>0.8</v>
      </c>
      <c r="F583" s="20" t="n">
        <f aca="false">vut_B</f>
        <v>0.8</v>
      </c>
      <c r="G583" s="20" t="n">
        <f aca="false">vut_B</f>
        <v>0.8</v>
      </c>
    </row>
    <row r="584" customFormat="false" ht="17.15" hidden="false" customHeight="false" outlineLevel="0" collapsed="false">
      <c r="A584" s="0" t="s">
        <v>553</v>
      </c>
      <c r="B584" s="4" t="s">
        <v>42</v>
      </c>
      <c r="D584" s="22" t="n">
        <f aca="false">0</f>
        <v>0</v>
      </c>
      <c r="E584" s="22" t="n">
        <f aca="false">E582*E583</f>
        <v>115.2</v>
      </c>
      <c r="F584" s="22" t="n">
        <f aca="false">F582*F583</f>
        <v>288</v>
      </c>
      <c r="G584" s="22" t="n">
        <f aca="false">G582*G583</f>
        <v>403.2</v>
      </c>
    </row>
    <row r="585" customFormat="false" ht="17.15" hidden="false" customHeight="false" outlineLevel="0" collapsed="false">
      <c r="A585" s="0" t="s">
        <v>554</v>
      </c>
      <c r="B585" s="0" t="s">
        <v>184</v>
      </c>
      <c r="D585" s="23" t="n">
        <f aca="false">0</f>
        <v>0</v>
      </c>
      <c r="E585" s="23" t="n">
        <f aca="false">E584*vasp*E579/1000000</f>
        <v>6.63552</v>
      </c>
      <c r="F585" s="23" t="n">
        <f aca="false">F584*vasp*F579/1000000</f>
        <v>16.5888</v>
      </c>
      <c r="G585" s="23" t="n">
        <f aca="false">G584*vasp*G579/1000000</f>
        <v>23.22432</v>
      </c>
    </row>
    <row r="586" customFormat="false" ht="17.15" hidden="false" customHeight="false" outlineLevel="0" collapsed="false">
      <c r="A586" s="4" t="s">
        <v>400</v>
      </c>
      <c r="B586" s="0" t="s">
        <v>184</v>
      </c>
      <c r="C586" s="23" t="n">
        <f aca="false">a25_rev</f>
        <v>48.591</v>
      </c>
      <c r="D586" s="23" t="n">
        <f aca="false">D580+D585</f>
        <v>58.65206</v>
      </c>
      <c r="E586" s="23" t="n">
        <f aca="false">E580+E585</f>
        <v>67.6365555414022</v>
      </c>
      <c r="F586" s="23" t="n">
        <f aca="false">F580+F585</f>
        <v>74.7851902291538</v>
      </c>
      <c r="G586" s="23" t="n">
        <f aca="false">G580+G585</f>
        <v>82.1218715572159</v>
      </c>
      <c r="H586" s="29" t="n">
        <f aca="false">G586*(1+H589)</f>
        <v>88.5877863119458</v>
      </c>
      <c r="I586" s="29" t="n">
        <f aca="false">H586*(1+I589)</f>
        <v>93.8470482514606</v>
      </c>
      <c r="J586" s="29" t="n">
        <f aca="false">I586*(1+J589)</f>
        <v>97.600930181519</v>
      </c>
      <c r="K586" s="8" t="s">
        <v>555</v>
      </c>
    </row>
    <row r="587" customFormat="false" ht="17.15" hidden="false" customHeight="false" outlineLevel="0" collapsed="false">
      <c r="A587" s="0" t="s">
        <v>556</v>
      </c>
      <c r="B587" s="0" t="s">
        <v>48</v>
      </c>
      <c r="D587" s="20" t="n">
        <f aca="false">D585/D586</f>
        <v>0</v>
      </c>
      <c r="E587" s="20" t="n">
        <f aca="false">E585/E586</f>
        <v>0.098105528096241</v>
      </c>
      <c r="F587" s="20" t="n">
        <f aca="false">F585/F586</f>
        <v>0.221819319429011</v>
      </c>
      <c r="G587" s="20" t="n">
        <f aca="false">G585/G586</f>
        <v>0.282803101775623</v>
      </c>
    </row>
    <row r="588" customFormat="false" ht="17.15" hidden="false" customHeight="false" outlineLevel="0" collapsed="false">
      <c r="A588" s="0" t="s">
        <v>557</v>
      </c>
      <c r="B588" s="0" t="s">
        <v>48</v>
      </c>
      <c r="D588" s="20" t="n">
        <f aca="false">ai_sh26</f>
        <v>0.1</v>
      </c>
      <c r="E588" s="20" t="n">
        <f aca="false">ai_sh27_B</f>
        <v>0.2</v>
      </c>
      <c r="F588" s="20" t="n">
        <f aca="false">ai_sh27_B</f>
        <v>0.2</v>
      </c>
      <c r="G588" s="20" t="n">
        <f aca="false">ai_sh27_B</f>
        <v>0.2</v>
      </c>
    </row>
    <row r="589" customFormat="false" ht="15" hidden="false" customHeight="false" outlineLevel="0" collapsed="false">
      <c r="A589" s="4" t="s">
        <v>558</v>
      </c>
      <c r="B589" s="0" t="s">
        <v>48</v>
      </c>
      <c r="D589" s="20" t="n">
        <f aca="false">D586/C586-1</f>
        <v>0.207056039184211</v>
      </c>
      <c r="E589" s="20" t="n">
        <f aca="false">E586/D586-1</f>
        <v>0.153182949437789</v>
      </c>
      <c r="F589" s="20" t="n">
        <f aca="false">F586/E586-1</f>
        <v>0.105691879643039</v>
      </c>
      <c r="G589" s="20" t="n">
        <f aca="false">G586/F586-1</f>
        <v>0.0981033986218571</v>
      </c>
      <c r="H589" s="27" t="n">
        <f aca="false">$G589+(fade_gB-$G589)*1/3</f>
        <v>0.0787355990812381</v>
      </c>
      <c r="I589" s="27" t="n">
        <f aca="false">$G589+(fade_gB-$G589)*2/3</f>
        <v>0.059367799540619</v>
      </c>
      <c r="J589" s="27" t="n">
        <f aca="false">$G589+(fade_gB-$G589)*3/3</f>
        <v>0.04</v>
      </c>
    </row>
    <row r="590" customFormat="false" ht="17.15" hidden="false" customHeight="false" outlineLevel="0" collapsed="false">
      <c r="A590" s="6" t="s">
        <v>559</v>
      </c>
    </row>
    <row r="591" customFormat="false" ht="15" hidden="false" customHeight="false" outlineLevel="0" collapsed="false">
      <c r="A591" s="4" t="s">
        <v>560</v>
      </c>
      <c r="B591" s="0" t="s">
        <v>184</v>
      </c>
      <c r="D591" s="23" t="n">
        <f aca="false">da_tot26*da_sh</f>
        <v>8.658</v>
      </c>
      <c r="E591" s="23" t="n">
        <f aca="false">D591*(1+dag_27+dag_adj)</f>
        <v>8.91774</v>
      </c>
      <c r="F591" s="23" t="n">
        <f aca="false">E591*(1+dag_28+dag_adj)</f>
        <v>9.0960948</v>
      </c>
      <c r="G591" s="23" t="n">
        <f aca="false">F591*(1+dag_29+dag_adj)</f>
        <v>9.0960948</v>
      </c>
    </row>
    <row r="592" customFormat="false" ht="17.15" hidden="false" customHeight="false" outlineLevel="0" collapsed="false">
      <c r="A592" s="4" t="s">
        <v>561</v>
      </c>
      <c r="B592" s="0" t="s">
        <v>562</v>
      </c>
      <c r="D592" s="23" t="n">
        <f aca="false">(D580-a26_gp-D591)/D576*1000</f>
        <v>10.7339918911001</v>
      </c>
      <c r="E592" s="23" t="n">
        <f aca="false">D592*(1+cc_g)</f>
        <v>10.9486717289221</v>
      </c>
      <c r="F592" s="23" t="n">
        <f aca="false">E592*(1+cc_g)</f>
        <v>11.1676451635006</v>
      </c>
      <c r="G592" s="23" t="n">
        <f aca="false">F592*(1+cc_g)</f>
        <v>11.3909980667706</v>
      </c>
      <c r="K592" s="8" t="s">
        <v>563</v>
      </c>
    </row>
    <row r="593" customFormat="false" ht="17.15" hidden="false" customHeight="false" outlineLevel="0" collapsed="false">
      <c r="A593" s="4" t="s">
        <v>564</v>
      </c>
      <c r="B593" s="0" t="s">
        <v>184</v>
      </c>
      <c r="D593" s="23" t="n">
        <f aca="false">D592*D576/1000</f>
        <v>30.9620386</v>
      </c>
      <c r="E593" s="23" t="n">
        <f aca="false">E592*E576/1000</f>
        <v>31.4907886001605</v>
      </c>
      <c r="F593" s="23" t="n">
        <f aca="false">F592*F576/1000</f>
        <v>30.6437949757423</v>
      </c>
      <c r="G593" s="23" t="n">
        <f aca="false">G592*G576/1000</f>
        <v>31.6332572713446</v>
      </c>
    </row>
    <row r="594" customFormat="false" ht="17.15" hidden="false" customHeight="false" outlineLevel="0" collapsed="false">
      <c r="A594" s="0" t="s">
        <v>565</v>
      </c>
      <c r="B594" s="0" t="s">
        <v>48</v>
      </c>
      <c r="E594" s="20" t="n">
        <f aca="false">vgm27_B</f>
        <v>-0.05</v>
      </c>
      <c r="F594" s="20" t="n">
        <f aca="false">vgm28_B</f>
        <v>0.12</v>
      </c>
      <c r="G594" s="20" t="n">
        <f aca="false">vgm29_B</f>
        <v>0.18</v>
      </c>
    </row>
    <row r="595" customFormat="false" ht="17.15" hidden="false" customHeight="false" outlineLevel="0" collapsed="false">
      <c r="A595" s="0" t="s">
        <v>566</v>
      </c>
      <c r="B595" s="0" t="s">
        <v>184</v>
      </c>
      <c r="D595" s="23" t="n">
        <f aca="false">0</f>
        <v>0</v>
      </c>
      <c r="E595" s="23" t="n">
        <f aca="false">E585*E594</f>
        <v>-0.331776</v>
      </c>
      <c r="F595" s="23" t="n">
        <f aca="false">F585*F594</f>
        <v>1.990656</v>
      </c>
      <c r="G595" s="23" t="n">
        <f aca="false">G585*G594</f>
        <v>4.1803776</v>
      </c>
    </row>
    <row r="596" customFormat="false" ht="15" hidden="false" customHeight="false" outlineLevel="0" collapsed="false">
      <c r="A596" s="4" t="s">
        <v>417</v>
      </c>
      <c r="B596" s="0" t="s">
        <v>184</v>
      </c>
      <c r="C596" s="23" t="n">
        <f aca="false">a25_gp</f>
        <v>13.654</v>
      </c>
      <c r="D596" s="23" t="n">
        <f aca="false">D580-D591-D593+D595</f>
        <v>19.0320214</v>
      </c>
      <c r="E596" s="23" t="n">
        <f aca="false">E580-E591-E593+E595</f>
        <v>20.2607309412417</v>
      </c>
      <c r="F596" s="23" t="n">
        <f aca="false">F580-F591-F593+F595</f>
        <v>20.4471564534115</v>
      </c>
      <c r="G596" s="23" t="n">
        <f aca="false">G580-G591-G593+G595</f>
        <v>22.3485770858713</v>
      </c>
    </row>
    <row r="597" customFormat="false" ht="15" hidden="false" customHeight="false" outlineLevel="0" collapsed="false">
      <c r="A597" s="4" t="s">
        <v>420</v>
      </c>
      <c r="B597" s="0" t="s">
        <v>48</v>
      </c>
      <c r="C597" s="16" t="n">
        <f aca="false">C596/C586</f>
        <v>0.280998538824062</v>
      </c>
      <c r="D597" s="16" t="n">
        <f aca="false">D596/D586</f>
        <v>0.324490246378388</v>
      </c>
      <c r="E597" s="16" t="n">
        <f aca="false">E596/E586</f>
        <v>0.299552967756313</v>
      </c>
      <c r="F597" s="16" t="n">
        <f aca="false">F596/F586</f>
        <v>0.273411839840991</v>
      </c>
      <c r="G597" s="16" t="n">
        <f aca="false">G596/G586</f>
        <v>0.272139159301802</v>
      </c>
    </row>
    <row r="598" customFormat="false" ht="15" hidden="false" customHeight="false" outlineLevel="0" collapsed="false">
      <c r="A598" s="4" t="s">
        <v>422</v>
      </c>
      <c r="B598" s="0" t="s">
        <v>184</v>
      </c>
      <c r="C598" s="23" t="n">
        <f aca="false">a25_opx</f>
        <v>5.881</v>
      </c>
      <c r="D598" s="23" t="n">
        <f aca="false">a26_opx</f>
        <v>6.824187</v>
      </c>
      <c r="E598" s="23" t="n">
        <f aca="false">D598*(1+MAX(g_opx_min,phi*E589))</f>
        <v>7.34686154608751</v>
      </c>
      <c r="F598" s="23" t="n">
        <f aca="false">E598*(1+MAX(g_opx_min,phi*F589))</f>
        <v>7.73511334922909</v>
      </c>
      <c r="G598" s="23" t="n">
        <f aca="false">F598*(1+MAX(g_opx_min,phi*G589))</f>
        <v>8.11453380337142</v>
      </c>
    </row>
    <row r="599" customFormat="false" ht="15" hidden="false" customHeight="false" outlineLevel="0" collapsed="false">
      <c r="A599" s="4" t="s">
        <v>425</v>
      </c>
      <c r="B599" s="0" t="s">
        <v>184</v>
      </c>
      <c r="C599" s="23" t="n">
        <f aca="false">C596-C598</f>
        <v>7.773</v>
      </c>
      <c r="D599" s="23" t="n">
        <f aca="false">D596-D598</f>
        <v>12.2078344</v>
      </c>
      <c r="E599" s="23" t="n">
        <f aca="false">E596-E598</f>
        <v>12.9138693951542</v>
      </c>
      <c r="F599" s="23" t="n">
        <f aca="false">F596-F598</f>
        <v>12.7120431041824</v>
      </c>
      <c r="G599" s="23" t="n">
        <f aca="false">G596-G598</f>
        <v>14.2340432824999</v>
      </c>
    </row>
    <row r="600" customFormat="false" ht="15" hidden="false" customHeight="false" outlineLevel="0" collapsed="false">
      <c r="A600" s="4" t="s">
        <v>531</v>
      </c>
      <c r="B600" s="0" t="s">
        <v>48</v>
      </c>
      <c r="C600" s="16" t="n">
        <f aca="false">C599/C586</f>
        <v>0.159967895289251</v>
      </c>
      <c r="D600" s="16" t="n">
        <f aca="false">D599/D586</f>
        <v>0.208139908470393</v>
      </c>
      <c r="E600" s="16" t="n">
        <f aca="false">E599/E586</f>
        <v>0.190930322985612</v>
      </c>
      <c r="F600" s="16" t="n">
        <f aca="false">F599/F586</f>
        <v>0.169980755083067</v>
      </c>
      <c r="G600" s="16" t="n">
        <f aca="false">G599/G586</f>
        <v>0.173328286516007</v>
      </c>
    </row>
    <row r="601" customFormat="false" ht="15" hidden="false" customHeight="false" outlineLevel="0" collapsed="false">
      <c r="A601" s="4" t="s">
        <v>428</v>
      </c>
      <c r="B601" s="0" t="s">
        <v>184</v>
      </c>
      <c r="C601" s="23" t="n">
        <f aca="false">a25_nonop</f>
        <v>1.479</v>
      </c>
      <c r="D601" s="23" t="n">
        <f aca="false">a26_nonop</f>
        <v>2.10950832169955</v>
      </c>
      <c r="E601" s="23" t="n">
        <f aca="false">nonop_f</f>
        <v>1.5</v>
      </c>
      <c r="F601" s="23" t="n">
        <f aca="false">nonop_f</f>
        <v>1.5</v>
      </c>
      <c r="G601" s="23" t="n">
        <f aca="false">nonop_f</f>
        <v>1.5</v>
      </c>
    </row>
    <row r="602" customFormat="false" ht="15" hidden="false" customHeight="false" outlineLevel="0" collapsed="false">
      <c r="A602" s="4" t="s">
        <v>430</v>
      </c>
      <c r="B602" s="0" t="s">
        <v>184</v>
      </c>
      <c r="C602" s="23" t="n">
        <f aca="false">C599+C601</f>
        <v>9.252</v>
      </c>
      <c r="D602" s="23" t="n">
        <f aca="false">D599+D601</f>
        <v>14.3173427216995</v>
      </c>
      <c r="E602" s="23" t="n">
        <f aca="false">E599+E601</f>
        <v>14.4138693951542</v>
      </c>
      <c r="F602" s="23" t="n">
        <f aca="false">F599+F601</f>
        <v>14.2120431041824</v>
      </c>
      <c r="G602" s="23" t="n">
        <f aca="false">G599+G601</f>
        <v>15.7340432824999</v>
      </c>
    </row>
    <row r="603" customFormat="false" ht="15" hidden="false" customHeight="false" outlineLevel="0" collapsed="false">
      <c r="A603" s="4" t="s">
        <v>432</v>
      </c>
      <c r="B603" s="0" t="s">
        <v>184</v>
      </c>
      <c r="C603" s="23" t="n">
        <f aca="false">a25_tax</f>
        <v>1.344</v>
      </c>
      <c r="D603" s="23" t="n">
        <f aca="false">a26_tax</f>
        <v>2.0798215108046</v>
      </c>
      <c r="E603" s="23" t="n">
        <f aca="false">E602*tax</f>
        <v>2.16208040927313</v>
      </c>
      <c r="F603" s="23" t="n">
        <f aca="false">F602*tax</f>
        <v>2.13180646562736</v>
      </c>
      <c r="G603" s="23" t="n">
        <f aca="false">G602*tax</f>
        <v>2.36010649237498</v>
      </c>
    </row>
    <row r="604" customFormat="false" ht="17.15" hidden="false" customHeight="false" outlineLevel="0" collapsed="false">
      <c r="A604" s="4" t="s">
        <v>567</v>
      </c>
      <c r="B604" s="0" t="s">
        <v>184</v>
      </c>
      <c r="C604" s="23" t="n">
        <f aca="false">a25_mi</f>
        <v>0</v>
      </c>
      <c r="D604" s="23" t="n">
        <f aca="false">a26_mi</f>
        <v>0</v>
      </c>
      <c r="E604" s="23" t="n">
        <f aca="false">vmi*E595*(1-tax)</f>
        <v>-0.11280384</v>
      </c>
      <c r="F604" s="23" t="n">
        <f aca="false">vmi*F595*(1-tax)</f>
        <v>0.67682304</v>
      </c>
      <c r="G604" s="23" t="n">
        <f aca="false">vmi*G595*(1-tax)</f>
        <v>1.421328384</v>
      </c>
      <c r="K604" s="8" t="s">
        <v>568</v>
      </c>
    </row>
    <row r="605" customFormat="false" ht="15" hidden="false" customHeight="false" outlineLevel="0" collapsed="false">
      <c r="A605" s="4" t="s">
        <v>435</v>
      </c>
      <c r="B605" s="0" t="s">
        <v>184</v>
      </c>
      <c r="C605" s="23" t="n">
        <f aca="false">C602-C603-C604</f>
        <v>7.908</v>
      </c>
      <c r="D605" s="23" t="n">
        <f aca="false">D602-D603-D604</f>
        <v>12.2375212108949</v>
      </c>
      <c r="E605" s="23" t="n">
        <f aca="false">E602-E603-E604</f>
        <v>12.3645928258811</v>
      </c>
      <c r="F605" s="23" t="n">
        <f aca="false">F602-F603-F604</f>
        <v>11.403413598555</v>
      </c>
      <c r="G605" s="23" t="n">
        <f aca="false">G602-G603-G604</f>
        <v>11.9526084061249</v>
      </c>
      <c r="H605" s="29" t="n">
        <f aca="false">H586*H609</f>
        <v>12.4639140499124</v>
      </c>
      <c r="I605" s="29" t="n">
        <f aca="false">I586*I609</f>
        <v>12.7485633662116</v>
      </c>
      <c r="J605" s="29" t="n">
        <f aca="false">J586*J609</f>
        <v>12.7849878329722</v>
      </c>
    </row>
    <row r="606" customFormat="false" ht="15" hidden="false" customHeight="false" outlineLevel="0" collapsed="false">
      <c r="A606" s="4" t="s">
        <v>569</v>
      </c>
      <c r="B606" s="4" t="s">
        <v>265</v>
      </c>
      <c r="C606" s="10" t="n">
        <f aca="false">a25_sh</f>
        <v>1.8739336492891</v>
      </c>
      <c r="D606" s="10" t="n">
        <f aca="false">a26_sh</f>
        <v>1.90613591916558</v>
      </c>
      <c r="E606" s="10" t="n">
        <f aca="false">q_sh*(1+sh_g)</f>
        <v>1.90705128205128</v>
      </c>
      <c r="F606" s="10" t="n">
        <f aca="false">E606*(1+sh_g)</f>
        <v>1.90705128205128</v>
      </c>
      <c r="G606" s="10" t="n">
        <f aca="false">F606*(1+sh_g)</f>
        <v>1.90705128205128</v>
      </c>
      <c r="H606" s="31" t="n">
        <f aca="false">G606*(1+sh_g)</f>
        <v>1.90705128205128</v>
      </c>
      <c r="I606" s="31" t="n">
        <f aca="false">H606*(1+sh_g)</f>
        <v>1.90705128205128</v>
      </c>
      <c r="J606" s="31" t="n">
        <f aca="false">I606*(1+sh_g)</f>
        <v>1.90705128205128</v>
      </c>
    </row>
    <row r="607" customFormat="false" ht="17.15" hidden="false" customHeight="false" outlineLevel="0" collapsed="false">
      <c r="A607" s="0" t="s">
        <v>442</v>
      </c>
      <c r="B607" s="0" t="s">
        <v>274</v>
      </c>
      <c r="C607" s="23" t="n">
        <f aca="false">C605/C606</f>
        <v>4.22</v>
      </c>
      <c r="D607" s="23" t="n">
        <f aca="false">D605/D606</f>
        <v>6.42006747150118</v>
      </c>
      <c r="E607" s="23" t="n">
        <f aca="false">E605/E606</f>
        <v>6.48361842298303</v>
      </c>
      <c r="F607" s="23" t="n">
        <f aca="false">F605/F606</f>
        <v>5.97960511386415</v>
      </c>
      <c r="G607" s="23" t="n">
        <f aca="false">G605/G606</f>
        <v>6.26758625665708</v>
      </c>
      <c r="H607" s="29" t="n">
        <f aca="false">H605/H606</f>
        <v>6.53569946818937</v>
      </c>
      <c r="I607" s="29" t="n">
        <f aca="false">I605/I606</f>
        <v>6.68496095841682</v>
      </c>
      <c r="J607" s="29" t="n">
        <f aca="false">J605/J606</f>
        <v>6.70406084686944</v>
      </c>
    </row>
    <row r="608" customFormat="false" ht="17.15" hidden="false" customHeight="false" outlineLevel="0" collapsed="false">
      <c r="A608" s="0" t="s">
        <v>570</v>
      </c>
      <c r="B608" s="0" t="s">
        <v>48</v>
      </c>
      <c r="D608" s="20" t="n">
        <f aca="false">D607/C607-1</f>
        <v>0.521343002725398</v>
      </c>
      <c r="E608" s="20" t="n">
        <f aca="false">E607/D607-1</f>
        <v>0.00989879806776961</v>
      </c>
      <c r="F608" s="20" t="n">
        <f aca="false">F607/E607-1</f>
        <v>-0.0777364237433001</v>
      </c>
      <c r="G608" s="20" t="n">
        <f aca="false">G607/F607-1</f>
        <v>0.0481605619951766</v>
      </c>
      <c r="H608" s="27" t="n">
        <f aca="false">H607/G607-1</f>
        <v>0.0427777457785303</v>
      </c>
      <c r="I608" s="27" t="n">
        <f aca="false">I607/H607-1</f>
        <v>0.0228378754185286</v>
      </c>
      <c r="J608" s="27" t="n">
        <f aca="false">J607/I607-1</f>
        <v>0.00285714285714311</v>
      </c>
    </row>
    <row r="609" customFormat="false" ht="17.15" hidden="false" customHeight="false" outlineLevel="0" collapsed="false">
      <c r="A609" s="4" t="s">
        <v>571</v>
      </c>
      <c r="B609" s="0" t="s">
        <v>48</v>
      </c>
      <c r="C609" s="16" t="n">
        <f aca="false">C605/C586</f>
        <v>0.162746187565599</v>
      </c>
      <c r="D609" s="16" t="n">
        <f aca="false">D605/D586</f>
        <v>0.208646059676249</v>
      </c>
      <c r="E609" s="16" t="n">
        <f aca="false">E605/E586</f>
        <v>0.182809321481671</v>
      </c>
      <c r="F609" s="16" t="n">
        <f aca="false">F605/F586</f>
        <v>0.152482243658312</v>
      </c>
      <c r="G609" s="16" t="n">
        <f aca="false">G605/G586</f>
        <v>0.14554719929632</v>
      </c>
      <c r="H609" s="28" t="n">
        <f aca="false">$G609+($G$609*0.9-$G609)*1/3</f>
        <v>0.140695625986442</v>
      </c>
      <c r="I609" s="28" t="n">
        <f aca="false">$G609+($G$609*0.9-$G609)*2/3</f>
        <v>0.135844052676565</v>
      </c>
      <c r="J609" s="28" t="n">
        <f aca="false">$G609+($G$609*0.9-$G609)*3/3</f>
        <v>0.130992479366688</v>
      </c>
    </row>
    <row r="612" customFormat="false" ht="17.15" hidden="false" customHeight="false" outlineLevel="0" collapsed="false">
      <c r="A612" s="1" t="s">
        <v>859</v>
      </c>
    </row>
    <row r="613" customFormat="false" ht="17.15" hidden="false" customHeight="false" outlineLevel="0" collapsed="false">
      <c r="A613" s="5" t="s">
        <v>24</v>
      </c>
      <c r="B613" s="5" t="s">
        <v>25</v>
      </c>
      <c r="C613" s="17" t="s">
        <v>394</v>
      </c>
      <c r="D613" s="17" t="s">
        <v>521</v>
      </c>
      <c r="E613" s="17" t="s">
        <v>480</v>
      </c>
      <c r="F613" s="17" t="s">
        <v>481</v>
      </c>
      <c r="G613" s="17" t="s">
        <v>482</v>
      </c>
      <c r="H613" s="17" t="s">
        <v>522</v>
      </c>
      <c r="I613" s="17" t="s">
        <v>523</v>
      </c>
      <c r="J613" s="17" t="s">
        <v>524</v>
      </c>
      <c r="K613" s="5" t="s">
        <v>357</v>
      </c>
    </row>
    <row r="614" customFormat="false" ht="17.15" hidden="false" customHeight="false" outlineLevel="0" collapsed="false">
      <c r="A614" s="6" t="s">
        <v>542</v>
      </c>
    </row>
    <row r="615" customFormat="false" ht="17.15" hidden="false" customHeight="false" outlineLevel="0" collapsed="false">
      <c r="A615" s="4" t="s">
        <v>543</v>
      </c>
      <c r="B615" s="4" t="s">
        <v>42</v>
      </c>
      <c r="D615" s="22" t="n">
        <f aca="false">cap_26</f>
        <v>3306</v>
      </c>
      <c r="E615" s="22" t="n">
        <f aca="false">D615*(1+capg27)*cap_adj</f>
        <v>3306</v>
      </c>
      <c r="F615" s="22" t="n">
        <f aca="false">E615*(1+capg28)</f>
        <v>3306</v>
      </c>
      <c r="G615" s="22" t="n">
        <f aca="false">F615*(1+capg29)</f>
        <v>3306</v>
      </c>
    </row>
    <row r="616" customFormat="false" ht="15" hidden="false" customHeight="false" outlineLevel="0" collapsed="false">
      <c r="A616" s="4" t="s">
        <v>544</v>
      </c>
      <c r="B616" s="0" t="s">
        <v>48</v>
      </c>
      <c r="D616" s="20" t="n">
        <f aca="false">a26_ship/cap_26</f>
        <v>0.8725</v>
      </c>
      <c r="E616" s="20" t="n">
        <f aca="false">MIN(0.98,ut27_C+ut_adj_lo)</f>
        <v>0.77</v>
      </c>
      <c r="F616" s="20" t="n">
        <f aca="false">MIN(0.98,ut28_C+ut_adj_lo)</f>
        <v>0.71</v>
      </c>
      <c r="G616" s="20" t="n">
        <f aca="false">MIN(0.98,ut29_C+ut_adj_lo)</f>
        <v>0.75</v>
      </c>
    </row>
    <row r="617" customFormat="false" ht="17.15" hidden="false" customHeight="false" outlineLevel="0" collapsed="false">
      <c r="A617" s="4" t="s">
        <v>545</v>
      </c>
      <c r="B617" s="4" t="s">
        <v>42</v>
      </c>
      <c r="D617" s="22" t="n">
        <f aca="false">D615*D616</f>
        <v>2884.485</v>
      </c>
      <c r="E617" s="22" t="n">
        <f aca="false">E615*E616</f>
        <v>2545.62</v>
      </c>
      <c r="F617" s="22" t="n">
        <f aca="false">F615*F616</f>
        <v>2347.26</v>
      </c>
      <c r="G617" s="22" t="n">
        <f aca="false">G615*G616</f>
        <v>2479.5</v>
      </c>
    </row>
    <row r="618" customFormat="false" ht="17.15" hidden="false" customHeight="false" outlineLevel="0" collapsed="false">
      <c r="A618" s="4" t="s">
        <v>546</v>
      </c>
      <c r="B618" s="0" t="s">
        <v>89</v>
      </c>
      <c r="D618" s="22" t="n">
        <f aca="false">asp_26</f>
        <v>643.469405492234</v>
      </c>
      <c r="E618" s="22" t="n">
        <f aca="false">D618*(1+asp27_C)*(1+asp_adj)</f>
        <v>624.165323327467</v>
      </c>
      <c r="F618" s="22" t="n">
        <f aca="false">E618*(1+asp28_C)</f>
        <v>592.957057161093</v>
      </c>
      <c r="G618" s="22" t="n">
        <f aca="false">F618*(1+asp29_C)</f>
        <v>581.097916017871</v>
      </c>
    </row>
    <row r="619" customFormat="false" ht="15" hidden="false" customHeight="false" outlineLevel="0" collapsed="false">
      <c r="A619" s="4" t="s">
        <v>547</v>
      </c>
      <c r="B619" s="0" t="s">
        <v>48</v>
      </c>
      <c r="E619" s="20" t="n">
        <f aca="false">E618/D618-1</f>
        <v>-0.03</v>
      </c>
      <c r="F619" s="20" t="n">
        <f aca="false">F618/E618-1</f>
        <v>-0.05</v>
      </c>
      <c r="G619" s="20" t="n">
        <f aca="false">G618/F618-1</f>
        <v>-0.02</v>
      </c>
    </row>
    <row r="620" customFormat="false" ht="15" hidden="false" customHeight="false" outlineLevel="0" collapsed="false">
      <c r="A620" s="4" t="s">
        <v>548</v>
      </c>
      <c r="B620" s="0" t="s">
        <v>35</v>
      </c>
      <c r="D620" s="23" t="n">
        <f aca="false">fx_26</f>
        <v>31.6</v>
      </c>
      <c r="E620" s="23" t="n">
        <f aca="false">fx</f>
        <v>32</v>
      </c>
      <c r="F620" s="23" t="n">
        <f aca="false">fx</f>
        <v>32</v>
      </c>
      <c r="G620" s="23" t="n">
        <f aca="false">fx</f>
        <v>32</v>
      </c>
    </row>
    <row r="621" customFormat="false" ht="17.15" hidden="false" customHeight="false" outlineLevel="0" collapsed="false">
      <c r="A621" s="0" t="s">
        <v>549</v>
      </c>
      <c r="B621" s="0" t="s">
        <v>184</v>
      </c>
      <c r="D621" s="23" t="n">
        <f aca="false">D617*D618*D620/1000000</f>
        <v>58.65206</v>
      </c>
      <c r="E621" s="23" t="n">
        <f aca="false">E617*E618*E620/1000000</f>
        <v>50.8444073718037</v>
      </c>
      <c r="F621" s="23" t="n">
        <f aca="false">F617*F618*F620/1000000</f>
        <v>44.5383802237423</v>
      </c>
      <c r="G621" s="23" t="n">
        <f aca="false">G617*G618*G620/1000000</f>
        <v>46.106633048522</v>
      </c>
    </row>
    <row r="622" customFormat="false" ht="17.15" hidden="false" customHeight="false" outlineLevel="0" collapsed="false">
      <c r="A622" s="6" t="s">
        <v>550</v>
      </c>
    </row>
    <row r="623" customFormat="false" ht="17.15" hidden="false" customHeight="false" outlineLevel="0" collapsed="false">
      <c r="A623" s="0" t="s">
        <v>551</v>
      </c>
      <c r="B623" s="4" t="s">
        <v>42</v>
      </c>
      <c r="D623" s="22" t="n">
        <f aca="false">0</f>
        <v>0</v>
      </c>
      <c r="E623" s="22" t="n">
        <f aca="false">vcap27*vcap_adj</f>
        <v>144</v>
      </c>
      <c r="F623" s="22" t="n">
        <f aca="false">vcap28*vcap_adj</f>
        <v>360</v>
      </c>
      <c r="G623" s="22" t="n">
        <f aca="false">vcap29*vcap_adj</f>
        <v>504</v>
      </c>
    </row>
    <row r="624" customFormat="false" ht="17.15" hidden="false" customHeight="false" outlineLevel="0" collapsed="false">
      <c r="A624" s="0" t="s">
        <v>552</v>
      </c>
      <c r="B624" s="0" t="s">
        <v>48</v>
      </c>
      <c r="E624" s="20" t="n">
        <f aca="false">vut_C</f>
        <v>0.65</v>
      </c>
      <c r="F624" s="20" t="n">
        <f aca="false">vut_C</f>
        <v>0.65</v>
      </c>
      <c r="G624" s="20" t="n">
        <f aca="false">vut_C</f>
        <v>0.65</v>
      </c>
    </row>
    <row r="625" customFormat="false" ht="17.15" hidden="false" customHeight="false" outlineLevel="0" collapsed="false">
      <c r="A625" s="0" t="s">
        <v>553</v>
      </c>
      <c r="B625" s="4" t="s">
        <v>42</v>
      </c>
      <c r="D625" s="22" t="n">
        <f aca="false">0</f>
        <v>0</v>
      </c>
      <c r="E625" s="22" t="n">
        <f aca="false">E623*E624</f>
        <v>93.6</v>
      </c>
      <c r="F625" s="22" t="n">
        <f aca="false">F623*F624</f>
        <v>234</v>
      </c>
      <c r="G625" s="22" t="n">
        <f aca="false">G623*G624</f>
        <v>327.6</v>
      </c>
    </row>
    <row r="626" customFormat="false" ht="17.15" hidden="false" customHeight="false" outlineLevel="0" collapsed="false">
      <c r="A626" s="0" t="s">
        <v>554</v>
      </c>
      <c r="B626" s="0" t="s">
        <v>184</v>
      </c>
      <c r="D626" s="23" t="n">
        <f aca="false">0</f>
        <v>0</v>
      </c>
      <c r="E626" s="23" t="n">
        <f aca="false">E625*vasp*E620/1000000</f>
        <v>5.39136</v>
      </c>
      <c r="F626" s="23" t="n">
        <f aca="false">F625*vasp*F620/1000000</f>
        <v>13.4784</v>
      </c>
      <c r="G626" s="23" t="n">
        <f aca="false">G625*vasp*G620/1000000</f>
        <v>18.86976</v>
      </c>
    </row>
    <row r="627" customFormat="false" ht="17.15" hidden="false" customHeight="false" outlineLevel="0" collapsed="false">
      <c r="A627" s="4" t="s">
        <v>400</v>
      </c>
      <c r="B627" s="0" t="s">
        <v>184</v>
      </c>
      <c r="C627" s="23" t="n">
        <f aca="false">a25_rev</f>
        <v>48.591</v>
      </c>
      <c r="D627" s="23" t="n">
        <f aca="false">D621+D626</f>
        <v>58.65206</v>
      </c>
      <c r="E627" s="23" t="n">
        <f aca="false">E621+E626</f>
        <v>56.2357673718037</v>
      </c>
      <c r="F627" s="23" t="n">
        <f aca="false">F621+F626</f>
        <v>58.0167802237423</v>
      </c>
      <c r="G627" s="23" t="n">
        <f aca="false">G621+G626</f>
        <v>64.976393048522</v>
      </c>
      <c r="H627" s="29" t="n">
        <f aca="false">G627*(1+H630)</f>
        <v>70.6058879134141</v>
      </c>
      <c r="I627" s="29" t="n">
        <f aca="false">H627*(1+I630)</f>
        <v>74.3705613507839</v>
      </c>
      <c r="J627" s="29" t="n">
        <f aca="false">I627*(1+J630)</f>
        <v>75.8579725777996</v>
      </c>
      <c r="K627" s="8" t="s">
        <v>555</v>
      </c>
    </row>
    <row r="628" customFormat="false" ht="17.15" hidden="false" customHeight="false" outlineLevel="0" collapsed="false">
      <c r="A628" s="0" t="s">
        <v>556</v>
      </c>
      <c r="B628" s="0" t="s">
        <v>48</v>
      </c>
      <c r="D628" s="20" t="n">
        <f aca="false">D626/D627</f>
        <v>0</v>
      </c>
      <c r="E628" s="20" t="n">
        <f aca="false">E626/E627</f>
        <v>0.0958706576253319</v>
      </c>
      <c r="F628" s="20" t="n">
        <f aca="false">F626/F627</f>
        <v>0.232318993712171</v>
      </c>
      <c r="G628" s="20" t="n">
        <f aca="false">G626/G627</f>
        <v>0.290409472035617</v>
      </c>
    </row>
    <row r="629" customFormat="false" ht="17.15" hidden="false" customHeight="false" outlineLevel="0" collapsed="false">
      <c r="A629" s="0" t="s">
        <v>557</v>
      </c>
      <c r="B629" s="0" t="s">
        <v>48</v>
      </c>
      <c r="D629" s="20" t="n">
        <f aca="false">ai_sh26</f>
        <v>0.1</v>
      </c>
      <c r="E629" s="20" t="n">
        <f aca="false">ai_sh27_C</f>
        <v>0.15</v>
      </c>
      <c r="F629" s="20" t="n">
        <f aca="false">ai_sh27_C</f>
        <v>0.15</v>
      </c>
      <c r="G629" s="20" t="n">
        <f aca="false">ai_sh27_C</f>
        <v>0.15</v>
      </c>
    </row>
    <row r="630" customFormat="false" ht="15" hidden="false" customHeight="false" outlineLevel="0" collapsed="false">
      <c r="A630" s="4" t="s">
        <v>558</v>
      </c>
      <c r="B630" s="0" t="s">
        <v>48</v>
      </c>
      <c r="D630" s="20" t="n">
        <f aca="false">D627/C627-1</f>
        <v>0.207056039184211</v>
      </c>
      <c r="E630" s="20" t="n">
        <f aca="false">E627/D627-1</f>
        <v>-0.0411970632949005</v>
      </c>
      <c r="F630" s="20" t="n">
        <f aca="false">F627/E627-1</f>
        <v>0.0316704641045162</v>
      </c>
      <c r="G630" s="20" t="n">
        <f aca="false">G627/F627-1</f>
        <v>0.119958618833031</v>
      </c>
      <c r="H630" s="27" t="n">
        <f aca="false">$G630+(fade_gC-$G630)*1/3</f>
        <v>0.0866390792220209</v>
      </c>
      <c r="I630" s="27" t="n">
        <f aca="false">$G630+(fade_gC-$G630)*2/3</f>
        <v>0.0533195396110104</v>
      </c>
      <c r="J630" s="27" t="n">
        <f aca="false">$G630+(fade_gC-$G630)*3/3</f>
        <v>0.02</v>
      </c>
    </row>
    <row r="631" customFormat="false" ht="17.15" hidden="false" customHeight="false" outlineLevel="0" collapsed="false">
      <c r="A631" s="6" t="s">
        <v>559</v>
      </c>
    </row>
    <row r="632" customFormat="false" ht="15" hidden="false" customHeight="false" outlineLevel="0" collapsed="false">
      <c r="A632" s="4" t="s">
        <v>560</v>
      </c>
      <c r="B632" s="0" t="s">
        <v>184</v>
      </c>
      <c r="D632" s="23" t="n">
        <f aca="false">da_tot26*da_sh</f>
        <v>8.658</v>
      </c>
      <c r="E632" s="23" t="n">
        <f aca="false">D632*(1+dag_27+dag_adj)</f>
        <v>8.91774</v>
      </c>
      <c r="F632" s="23" t="n">
        <f aca="false">E632*(1+dag_28+dag_adj)</f>
        <v>9.0960948</v>
      </c>
      <c r="G632" s="23" t="n">
        <f aca="false">F632*(1+dag_29+dag_adj)</f>
        <v>9.0960948</v>
      </c>
    </row>
    <row r="633" customFormat="false" ht="17.15" hidden="false" customHeight="false" outlineLevel="0" collapsed="false">
      <c r="A633" s="4" t="s">
        <v>561</v>
      </c>
      <c r="B633" s="0" t="s">
        <v>562</v>
      </c>
      <c r="D633" s="23" t="n">
        <f aca="false">(D621-a26_gp-D632)/D617*1000</f>
        <v>10.7339918911001</v>
      </c>
      <c r="E633" s="23" t="n">
        <f aca="false">D633*(1+cc_g)</f>
        <v>10.9486717289221</v>
      </c>
      <c r="F633" s="23" t="n">
        <f aca="false">E633*(1+cc_g)</f>
        <v>11.1676451635006</v>
      </c>
      <c r="G633" s="23" t="n">
        <f aca="false">F633*(1+cc_g)</f>
        <v>11.3909980667706</v>
      </c>
      <c r="K633" s="8" t="s">
        <v>563</v>
      </c>
    </row>
    <row r="634" customFormat="false" ht="17.15" hidden="false" customHeight="false" outlineLevel="0" collapsed="false">
      <c r="A634" s="4" t="s">
        <v>564</v>
      </c>
      <c r="B634" s="0" t="s">
        <v>184</v>
      </c>
      <c r="D634" s="23" t="n">
        <f aca="false">D633*D617/1000</f>
        <v>30.9620386</v>
      </c>
      <c r="E634" s="23" t="n">
        <f aca="false">E633*E617/1000</f>
        <v>27.8711577265788</v>
      </c>
      <c r="F634" s="23" t="n">
        <f aca="false">F633*F617/1000</f>
        <v>26.2133667864784</v>
      </c>
      <c r="G634" s="23" t="n">
        <f aca="false">G633*G617/1000</f>
        <v>28.2439797065577</v>
      </c>
    </row>
    <row r="635" customFormat="false" ht="17.15" hidden="false" customHeight="false" outlineLevel="0" collapsed="false">
      <c r="A635" s="0" t="s">
        <v>565</v>
      </c>
      <c r="B635" s="0" t="s">
        <v>48</v>
      </c>
      <c r="E635" s="20" t="n">
        <f aca="false">vgm27_C</f>
        <v>-0.2</v>
      </c>
      <c r="F635" s="20" t="n">
        <f aca="false">vgm28_C</f>
        <v>0</v>
      </c>
      <c r="G635" s="20" t="n">
        <f aca="false">vgm29_C</f>
        <v>0.05</v>
      </c>
    </row>
    <row r="636" customFormat="false" ht="17.15" hidden="false" customHeight="false" outlineLevel="0" collapsed="false">
      <c r="A636" s="0" t="s">
        <v>566</v>
      </c>
      <c r="B636" s="0" t="s">
        <v>184</v>
      </c>
      <c r="D636" s="23" t="n">
        <f aca="false">0</f>
        <v>0</v>
      </c>
      <c r="E636" s="23" t="n">
        <f aca="false">E626*E635</f>
        <v>-1.078272</v>
      </c>
      <c r="F636" s="23" t="n">
        <f aca="false">F626*F635</f>
        <v>0</v>
      </c>
      <c r="G636" s="23" t="n">
        <f aca="false">G626*G635</f>
        <v>0.943488</v>
      </c>
    </row>
    <row r="637" customFormat="false" ht="15" hidden="false" customHeight="false" outlineLevel="0" collapsed="false">
      <c r="A637" s="4" t="s">
        <v>417</v>
      </c>
      <c r="B637" s="0" t="s">
        <v>184</v>
      </c>
      <c r="C637" s="23" t="n">
        <f aca="false">a25_gp</f>
        <v>13.654</v>
      </c>
      <c r="D637" s="23" t="n">
        <f aca="false">D621-D632-D634+D636</f>
        <v>19.0320214</v>
      </c>
      <c r="E637" s="23" t="n">
        <f aca="false">E621-E632-E634+E636</f>
        <v>12.9772376452249</v>
      </c>
      <c r="F637" s="23" t="n">
        <f aca="false">F621-F632-F634+F636</f>
        <v>9.22891863726394</v>
      </c>
      <c r="G637" s="23" t="n">
        <f aca="false">G621-G632-G634+G636</f>
        <v>9.71004654196428</v>
      </c>
    </row>
    <row r="638" customFormat="false" ht="15" hidden="false" customHeight="false" outlineLevel="0" collapsed="false">
      <c r="A638" s="4" t="s">
        <v>420</v>
      </c>
      <c r="B638" s="0" t="s">
        <v>48</v>
      </c>
      <c r="C638" s="16" t="n">
        <f aca="false">C637/C627</f>
        <v>0.280998538824062</v>
      </c>
      <c r="D638" s="16" t="n">
        <f aca="false">D637/D627</f>
        <v>0.324490246378388</v>
      </c>
      <c r="E638" s="16" t="n">
        <f aca="false">E637/E627</f>
        <v>0.230764836183806</v>
      </c>
      <c r="F638" s="16" t="n">
        <f aca="false">F637/F627</f>
        <v>0.159073264694671</v>
      </c>
      <c r="G638" s="16" t="n">
        <f aca="false">G637/G627</f>
        <v>0.149439605468915</v>
      </c>
    </row>
    <row r="639" customFormat="false" ht="15" hidden="false" customHeight="false" outlineLevel="0" collapsed="false">
      <c r="A639" s="4" t="s">
        <v>422</v>
      </c>
      <c r="B639" s="0" t="s">
        <v>184</v>
      </c>
      <c r="C639" s="23" t="n">
        <f aca="false">a25_opx</f>
        <v>5.881</v>
      </c>
      <c r="D639" s="23" t="n">
        <f aca="false">a26_opx</f>
        <v>6.824187</v>
      </c>
      <c r="E639" s="23" t="n">
        <f aca="false">D639*(1+MAX(g_opx_min,phi*E630))</f>
        <v>7.02891261</v>
      </c>
      <c r="F639" s="23" t="n">
        <f aca="false">E639*(1+MAX(g_opx_min,phi*F630))</f>
        <v>7.2397799883</v>
      </c>
      <c r="G639" s="23" t="n">
        <f aca="false">F639*(1+MAX(g_opx_min,phi*G630))</f>
        <v>7.67401699232575</v>
      </c>
    </row>
    <row r="640" customFormat="false" ht="15" hidden="false" customHeight="false" outlineLevel="0" collapsed="false">
      <c r="A640" s="4" t="s">
        <v>425</v>
      </c>
      <c r="B640" s="0" t="s">
        <v>184</v>
      </c>
      <c r="C640" s="23" t="n">
        <f aca="false">C637-C639</f>
        <v>7.773</v>
      </c>
      <c r="D640" s="23" t="n">
        <f aca="false">D637-D639</f>
        <v>12.2078344</v>
      </c>
      <c r="E640" s="23" t="n">
        <f aca="false">E637-E639</f>
        <v>5.9483250352249</v>
      </c>
      <c r="F640" s="23" t="n">
        <f aca="false">F637-F639</f>
        <v>1.98913864896394</v>
      </c>
      <c r="G640" s="23" t="n">
        <f aca="false">G637-G639</f>
        <v>2.03602954963854</v>
      </c>
    </row>
    <row r="641" customFormat="false" ht="15" hidden="false" customHeight="false" outlineLevel="0" collapsed="false">
      <c r="A641" s="4" t="s">
        <v>531</v>
      </c>
      <c r="B641" s="0" t="s">
        <v>48</v>
      </c>
      <c r="C641" s="16" t="n">
        <f aca="false">C640/C627</f>
        <v>0.159967895289251</v>
      </c>
      <c r="D641" s="16" t="n">
        <f aca="false">D640/D627</f>
        <v>0.208139908470393</v>
      </c>
      <c r="E641" s="16" t="n">
        <f aca="false">E640/E627</f>
        <v>0.105774764233187</v>
      </c>
      <c r="F641" s="16" t="n">
        <f aca="false">F640/F627</f>
        <v>0.0342855746439703</v>
      </c>
      <c r="G641" s="16" t="n">
        <f aca="false">G640/G627</f>
        <v>0.031334911867424</v>
      </c>
    </row>
    <row r="642" customFormat="false" ht="15" hidden="false" customHeight="false" outlineLevel="0" collapsed="false">
      <c r="A642" s="4" t="s">
        <v>428</v>
      </c>
      <c r="B642" s="0" t="s">
        <v>184</v>
      </c>
      <c r="C642" s="23" t="n">
        <f aca="false">a25_nonop</f>
        <v>1.479</v>
      </c>
      <c r="D642" s="23" t="n">
        <f aca="false">a26_nonop</f>
        <v>2.10950832169955</v>
      </c>
      <c r="E642" s="23" t="n">
        <f aca="false">nonop_f</f>
        <v>1.5</v>
      </c>
      <c r="F642" s="23" t="n">
        <f aca="false">nonop_f</f>
        <v>1.5</v>
      </c>
      <c r="G642" s="23" t="n">
        <f aca="false">nonop_f</f>
        <v>1.5</v>
      </c>
    </row>
    <row r="643" customFormat="false" ht="15" hidden="false" customHeight="false" outlineLevel="0" collapsed="false">
      <c r="A643" s="4" t="s">
        <v>430</v>
      </c>
      <c r="B643" s="0" t="s">
        <v>184</v>
      </c>
      <c r="C643" s="23" t="n">
        <f aca="false">C640+C642</f>
        <v>9.252</v>
      </c>
      <c r="D643" s="23" t="n">
        <f aca="false">D640+D642</f>
        <v>14.3173427216995</v>
      </c>
      <c r="E643" s="23" t="n">
        <f aca="false">E640+E642</f>
        <v>7.4483250352249</v>
      </c>
      <c r="F643" s="23" t="n">
        <f aca="false">F640+F642</f>
        <v>3.48913864896394</v>
      </c>
      <c r="G643" s="23" t="n">
        <f aca="false">G640+G642</f>
        <v>3.53602954963854</v>
      </c>
    </row>
    <row r="644" customFormat="false" ht="15" hidden="false" customHeight="false" outlineLevel="0" collapsed="false">
      <c r="A644" s="4" t="s">
        <v>432</v>
      </c>
      <c r="B644" s="0" t="s">
        <v>184</v>
      </c>
      <c r="C644" s="23" t="n">
        <f aca="false">a25_tax</f>
        <v>1.344</v>
      </c>
      <c r="D644" s="23" t="n">
        <f aca="false">a26_tax</f>
        <v>2.0798215108046</v>
      </c>
      <c r="E644" s="23" t="n">
        <f aca="false">E643*tax</f>
        <v>1.11724875528374</v>
      </c>
      <c r="F644" s="23" t="n">
        <f aca="false">F643*tax</f>
        <v>0.523370797344591</v>
      </c>
      <c r="G644" s="23" t="n">
        <f aca="false">G643*tax</f>
        <v>0.530404432445781</v>
      </c>
    </row>
    <row r="645" customFormat="false" ht="17.15" hidden="false" customHeight="false" outlineLevel="0" collapsed="false">
      <c r="A645" s="4" t="s">
        <v>567</v>
      </c>
      <c r="B645" s="0" t="s">
        <v>184</v>
      </c>
      <c r="C645" s="23" t="n">
        <f aca="false">a25_mi</f>
        <v>0</v>
      </c>
      <c r="D645" s="23" t="n">
        <f aca="false">a26_mi</f>
        <v>0</v>
      </c>
      <c r="E645" s="23" t="n">
        <f aca="false">vmi*E636*(1-tax)</f>
        <v>-0.36661248</v>
      </c>
      <c r="F645" s="23" t="n">
        <f aca="false">vmi*F636*(1-tax)</f>
        <v>0</v>
      </c>
      <c r="G645" s="23" t="n">
        <f aca="false">vmi*G636*(1-tax)</f>
        <v>0.32078592</v>
      </c>
      <c r="K645" s="8" t="s">
        <v>568</v>
      </c>
    </row>
    <row r="646" customFormat="false" ht="15" hidden="false" customHeight="false" outlineLevel="0" collapsed="false">
      <c r="A646" s="4" t="s">
        <v>435</v>
      </c>
      <c r="B646" s="0" t="s">
        <v>184</v>
      </c>
      <c r="C646" s="23" t="n">
        <f aca="false">C643-C644-C645</f>
        <v>7.908</v>
      </c>
      <c r="D646" s="23" t="n">
        <f aca="false">D643-D644-D645</f>
        <v>12.2375212108949</v>
      </c>
      <c r="E646" s="23" t="n">
        <f aca="false">E643-E644-E645</f>
        <v>6.69768875994117</v>
      </c>
      <c r="F646" s="23" t="n">
        <f aca="false">F643-F644-F645</f>
        <v>2.96576785161935</v>
      </c>
      <c r="G646" s="23" t="n">
        <f aca="false">G643-G644-G645</f>
        <v>2.68483919719276</v>
      </c>
      <c r="H646" s="29" t="n">
        <f aca="false">H627*H650</f>
        <v>2.72295444689028</v>
      </c>
      <c r="I646" s="29" t="n">
        <f aca="false">I627*I650</f>
        <v>2.66327390121021</v>
      </c>
      <c r="J646" s="29" t="n">
        <f aca="false">J627*J650</f>
        <v>2.50757481160099</v>
      </c>
    </row>
    <row r="647" customFormat="false" ht="15" hidden="false" customHeight="false" outlineLevel="0" collapsed="false">
      <c r="A647" s="4" t="s">
        <v>569</v>
      </c>
      <c r="B647" s="4" t="s">
        <v>265</v>
      </c>
      <c r="C647" s="10" t="n">
        <f aca="false">a25_sh</f>
        <v>1.8739336492891</v>
      </c>
      <c r="D647" s="10" t="n">
        <f aca="false">a26_sh</f>
        <v>1.90613591916558</v>
      </c>
      <c r="E647" s="10" t="n">
        <f aca="false">q_sh*(1+sh_g)</f>
        <v>1.90705128205128</v>
      </c>
      <c r="F647" s="10" t="n">
        <f aca="false">E647*(1+sh_g)</f>
        <v>1.90705128205128</v>
      </c>
      <c r="G647" s="10" t="n">
        <f aca="false">F647*(1+sh_g)</f>
        <v>1.90705128205128</v>
      </c>
      <c r="H647" s="31" t="n">
        <f aca="false">G647*(1+sh_g)</f>
        <v>1.90705128205128</v>
      </c>
      <c r="I647" s="31" t="n">
        <f aca="false">H647*(1+sh_g)</f>
        <v>1.90705128205128</v>
      </c>
      <c r="J647" s="31" t="n">
        <f aca="false">I647*(1+sh_g)</f>
        <v>1.90705128205128</v>
      </c>
    </row>
    <row r="648" customFormat="false" ht="17.15" hidden="false" customHeight="false" outlineLevel="0" collapsed="false">
      <c r="A648" s="0" t="s">
        <v>442</v>
      </c>
      <c r="B648" s="0" t="s">
        <v>274</v>
      </c>
      <c r="C648" s="23" t="n">
        <f aca="false">C646/C647</f>
        <v>4.22</v>
      </c>
      <c r="D648" s="23" t="n">
        <f aca="false">D646/D647</f>
        <v>6.42006747150118</v>
      </c>
      <c r="E648" s="23" t="n">
        <f aca="false">E646/E647</f>
        <v>3.51206536655739</v>
      </c>
      <c r="F648" s="23" t="n">
        <f aca="false">F646/F647</f>
        <v>1.55515894068107</v>
      </c>
      <c r="G648" s="23" t="n">
        <f aca="false">G646/G647</f>
        <v>1.40784845298175</v>
      </c>
      <c r="H648" s="29" t="n">
        <f aca="false">H646/H647</f>
        <v>1.42783493685675</v>
      </c>
      <c r="I648" s="29" t="n">
        <f aca="false">I646/I647</f>
        <v>1.39654026416401</v>
      </c>
      <c r="J648" s="29" t="n">
        <f aca="false">J646/J647</f>
        <v>1.3148963717975</v>
      </c>
    </row>
    <row r="649" customFormat="false" ht="17.15" hidden="false" customHeight="false" outlineLevel="0" collapsed="false">
      <c r="A649" s="0" t="s">
        <v>570</v>
      </c>
      <c r="B649" s="0" t="s">
        <v>48</v>
      </c>
      <c r="D649" s="20" t="n">
        <f aca="false">D648/C648-1</f>
        <v>0.521343002725398</v>
      </c>
      <c r="E649" s="20" t="n">
        <f aca="false">E648/D648-1</f>
        <v>-0.452955069063134</v>
      </c>
      <c r="F649" s="20" t="n">
        <f aca="false">F648/E648-1</f>
        <v>-0.557195331416774</v>
      </c>
      <c r="G649" s="20" t="n">
        <f aca="false">G648/F648-1</f>
        <v>-0.0947237506378663</v>
      </c>
      <c r="H649" s="27" t="n">
        <f aca="false">H648/G648-1</f>
        <v>0.0141964739405529</v>
      </c>
      <c r="I649" s="27" t="n">
        <f aca="false">I648/H648-1</f>
        <v>-0.0219175703612046</v>
      </c>
      <c r="J649" s="27" t="n">
        <f aca="false">J648/I648-1</f>
        <v>-0.0584615384615385</v>
      </c>
    </row>
    <row r="650" customFormat="false" ht="17.15" hidden="false" customHeight="false" outlineLevel="0" collapsed="false">
      <c r="A650" s="4" t="s">
        <v>571</v>
      </c>
      <c r="B650" s="0" t="s">
        <v>48</v>
      </c>
      <c r="C650" s="16" t="n">
        <f aca="false">C646/C627</f>
        <v>0.162746187565599</v>
      </c>
      <c r="D650" s="16" t="n">
        <f aca="false">D646/D627</f>
        <v>0.208646059676249</v>
      </c>
      <c r="E650" s="16" t="n">
        <f aca="false">E646/E627</f>
        <v>0.119100157656946</v>
      </c>
      <c r="F650" s="16" t="n">
        <f aca="false">F646/F627</f>
        <v>0.0511191389832706</v>
      </c>
      <c r="G650" s="16" t="n">
        <f aca="false">G646/G627</f>
        <v>0.0413202252576227</v>
      </c>
      <c r="H650" s="28" t="n">
        <f aca="false">$G650+($G$650*0.8-$G650)*1/3</f>
        <v>0.0385655435737812</v>
      </c>
      <c r="I650" s="28" t="n">
        <f aca="false">$G650+($G$650*0.8-$G650)*2/3</f>
        <v>0.0358108618899397</v>
      </c>
      <c r="J650" s="28" t="n">
        <f aca="false">$G650+($G$650*0.8-$G650)*3/3</f>
        <v>0.0330561802060982</v>
      </c>
    </row>
    <row r="653" customFormat="false" ht="17.15" hidden="false" customHeight="false" outlineLevel="0" collapsed="false">
      <c r="A653" s="1" t="s">
        <v>860</v>
      </c>
    </row>
    <row r="654" customFormat="false" ht="17.15" hidden="false" customHeight="false" outlineLevel="0" collapsed="false">
      <c r="A654" s="5" t="s">
        <v>24</v>
      </c>
      <c r="B654" s="5" t="s">
        <v>25</v>
      </c>
      <c r="C654" s="17" t="s">
        <v>394</v>
      </c>
      <c r="D654" s="17" t="s">
        <v>521</v>
      </c>
      <c r="E654" s="17" t="s">
        <v>480</v>
      </c>
      <c r="F654" s="17" t="s">
        <v>481</v>
      </c>
      <c r="G654" s="17" t="s">
        <v>482</v>
      </c>
      <c r="H654" s="17" t="s">
        <v>522</v>
      </c>
      <c r="I654" s="17" t="s">
        <v>523</v>
      </c>
      <c r="J654" s="17" t="s">
        <v>524</v>
      </c>
      <c r="K654" s="5" t="s">
        <v>357</v>
      </c>
    </row>
    <row r="655" customFormat="false" ht="17.15" hidden="false" customHeight="false" outlineLevel="0" collapsed="false">
      <c r="A655" s="6" t="s">
        <v>542</v>
      </c>
    </row>
    <row r="656" customFormat="false" ht="17.15" hidden="false" customHeight="false" outlineLevel="0" collapsed="false">
      <c r="A656" s="4" t="s">
        <v>543</v>
      </c>
      <c r="B656" s="4" t="s">
        <v>42</v>
      </c>
      <c r="D656" s="22" t="n">
        <f aca="false">cap_26</f>
        <v>3306</v>
      </c>
      <c r="E656" s="22" t="n">
        <f aca="false">D656*(1+capg27)*cap_adj</f>
        <v>3306</v>
      </c>
      <c r="F656" s="22" t="n">
        <f aca="false">E656*(1+capg28)</f>
        <v>3306</v>
      </c>
      <c r="G656" s="22" t="n">
        <f aca="false">F656*(1+capg29)</f>
        <v>3306</v>
      </c>
    </row>
    <row r="657" customFormat="false" ht="15" hidden="false" customHeight="false" outlineLevel="0" collapsed="false">
      <c r="A657" s="4" t="s">
        <v>544</v>
      </c>
      <c r="B657" s="0" t="s">
        <v>48</v>
      </c>
      <c r="D657" s="20" t="n">
        <f aca="false">a26_ship/cap_26</f>
        <v>0.8725</v>
      </c>
      <c r="E657" s="20" t="n">
        <f aca="false">MIN(0.98,ut27_A+ut_adj_hi)</f>
        <v>0.98</v>
      </c>
      <c r="F657" s="20" t="n">
        <f aca="false">MIN(0.98,ut28_A+ut_adj_hi)</f>
        <v>0.97</v>
      </c>
      <c r="G657" s="20" t="n">
        <f aca="false">MIN(0.98,ut29_A+ut_adj_hi)</f>
        <v>0.96</v>
      </c>
    </row>
    <row r="658" customFormat="false" ht="17.15" hidden="false" customHeight="false" outlineLevel="0" collapsed="false">
      <c r="A658" s="4" t="s">
        <v>545</v>
      </c>
      <c r="B658" s="4" t="s">
        <v>42</v>
      </c>
      <c r="D658" s="22" t="n">
        <f aca="false">D656*D657</f>
        <v>2884.485</v>
      </c>
      <c r="E658" s="22" t="n">
        <f aca="false">E656*E657</f>
        <v>3239.88</v>
      </c>
      <c r="F658" s="22" t="n">
        <f aca="false">F656*F657</f>
        <v>3206.82</v>
      </c>
      <c r="G658" s="22" t="n">
        <f aca="false">G656*G657</f>
        <v>3173.76</v>
      </c>
    </row>
    <row r="659" customFormat="false" ht="17.15" hidden="false" customHeight="false" outlineLevel="0" collapsed="false">
      <c r="A659" s="4" t="s">
        <v>546</v>
      </c>
      <c r="B659" s="0" t="s">
        <v>89</v>
      </c>
      <c r="D659" s="22" t="n">
        <f aca="false">asp_26</f>
        <v>643.469405492234</v>
      </c>
      <c r="E659" s="22" t="n">
        <f aca="false">D659*(1+asp27_A)*(1+asp_adj)</f>
        <v>682.077569821768</v>
      </c>
      <c r="F659" s="22" t="n">
        <f aca="false">E659*(1+asp28_A)</f>
        <v>695.719121218203</v>
      </c>
      <c r="G659" s="22" t="n">
        <f aca="false">F659*(1+asp29_A)</f>
        <v>702.676312430385</v>
      </c>
    </row>
    <row r="660" customFormat="false" ht="15" hidden="false" customHeight="false" outlineLevel="0" collapsed="false">
      <c r="A660" s="4" t="s">
        <v>547</v>
      </c>
      <c r="B660" s="0" t="s">
        <v>48</v>
      </c>
      <c r="E660" s="20" t="n">
        <f aca="false">E659/D659-1</f>
        <v>0.0600000000000001</v>
      </c>
      <c r="F660" s="20" t="n">
        <f aca="false">F659/E659-1</f>
        <v>0.02</v>
      </c>
      <c r="G660" s="20" t="n">
        <f aca="false">G659/F659-1</f>
        <v>0.01</v>
      </c>
    </row>
    <row r="661" customFormat="false" ht="15" hidden="false" customHeight="false" outlineLevel="0" collapsed="false">
      <c r="A661" s="4" t="s">
        <v>548</v>
      </c>
      <c r="B661" s="0" t="s">
        <v>35</v>
      </c>
      <c r="D661" s="23" t="n">
        <f aca="false">fx_26</f>
        <v>31.6</v>
      </c>
      <c r="E661" s="23" t="n">
        <f aca="false">fx</f>
        <v>32</v>
      </c>
      <c r="F661" s="23" t="n">
        <f aca="false">fx</f>
        <v>32</v>
      </c>
      <c r="G661" s="23" t="n">
        <f aca="false">fx</f>
        <v>32</v>
      </c>
    </row>
    <row r="662" customFormat="false" ht="17.15" hidden="false" customHeight="false" outlineLevel="0" collapsed="false">
      <c r="A662" s="0" t="s">
        <v>549</v>
      </c>
      <c r="B662" s="0" t="s">
        <v>184</v>
      </c>
      <c r="D662" s="23" t="n">
        <f aca="false">D658*D659*D661/1000000</f>
        <v>58.65206</v>
      </c>
      <c r="E662" s="23" t="n">
        <f aca="false">E658*E659*E661/1000000</f>
        <v>70.7151832612528</v>
      </c>
      <c r="F662" s="23" t="n">
        <f aca="false">F658*F659*F661/1000000</f>
        <v>71.3934717537587</v>
      </c>
      <c r="G662" s="23" t="n">
        <f aca="false">G658*G659*G661/1000000</f>
        <v>71.3640311468499</v>
      </c>
    </row>
    <row r="663" customFormat="false" ht="17.15" hidden="false" customHeight="false" outlineLevel="0" collapsed="false">
      <c r="A663" s="6" t="s">
        <v>550</v>
      </c>
    </row>
    <row r="664" customFormat="false" ht="17.15" hidden="false" customHeight="false" outlineLevel="0" collapsed="false">
      <c r="A664" s="0" t="s">
        <v>551</v>
      </c>
      <c r="B664" s="4" t="s">
        <v>42</v>
      </c>
      <c r="D664" s="22" t="n">
        <f aca="false">0</f>
        <v>0</v>
      </c>
      <c r="E664" s="22" t="n">
        <f aca="false">vcap27*vcap_adj</f>
        <v>144</v>
      </c>
      <c r="F664" s="22" t="n">
        <f aca="false">vcap28*vcap_adj</f>
        <v>360</v>
      </c>
      <c r="G664" s="22" t="n">
        <f aca="false">vcap29*vcap_adj</f>
        <v>504</v>
      </c>
    </row>
    <row r="665" customFormat="false" ht="17.15" hidden="false" customHeight="false" outlineLevel="0" collapsed="false">
      <c r="A665" s="0" t="s">
        <v>552</v>
      </c>
      <c r="B665" s="0" t="s">
        <v>48</v>
      </c>
      <c r="E665" s="20" t="n">
        <f aca="false">vut_A</f>
        <v>0.9</v>
      </c>
      <c r="F665" s="20" t="n">
        <f aca="false">vut_A</f>
        <v>0.9</v>
      </c>
      <c r="G665" s="20" t="n">
        <f aca="false">vut_A</f>
        <v>0.9</v>
      </c>
    </row>
    <row r="666" customFormat="false" ht="17.15" hidden="false" customHeight="false" outlineLevel="0" collapsed="false">
      <c r="A666" s="0" t="s">
        <v>553</v>
      </c>
      <c r="B666" s="4" t="s">
        <v>42</v>
      </c>
      <c r="D666" s="22" t="n">
        <f aca="false">0</f>
        <v>0</v>
      </c>
      <c r="E666" s="22" t="n">
        <f aca="false">E664*E665</f>
        <v>129.6</v>
      </c>
      <c r="F666" s="22" t="n">
        <f aca="false">F664*F665</f>
        <v>324</v>
      </c>
      <c r="G666" s="22" t="n">
        <f aca="false">G664*G665</f>
        <v>453.6</v>
      </c>
    </row>
    <row r="667" customFormat="false" ht="17.15" hidden="false" customHeight="false" outlineLevel="0" collapsed="false">
      <c r="A667" s="0" t="s">
        <v>554</v>
      </c>
      <c r="B667" s="0" t="s">
        <v>184</v>
      </c>
      <c r="D667" s="23" t="n">
        <f aca="false">0</f>
        <v>0</v>
      </c>
      <c r="E667" s="23" t="n">
        <f aca="false">E666*vasp*E661/1000000</f>
        <v>7.46496</v>
      </c>
      <c r="F667" s="23" t="n">
        <f aca="false">F666*vasp*F661/1000000</f>
        <v>18.6624</v>
      </c>
      <c r="G667" s="23" t="n">
        <f aca="false">G666*vasp*G661/1000000</f>
        <v>26.12736</v>
      </c>
    </row>
    <row r="668" customFormat="false" ht="17.15" hidden="false" customHeight="false" outlineLevel="0" collapsed="false">
      <c r="A668" s="4" t="s">
        <v>400</v>
      </c>
      <c r="B668" s="0" t="s">
        <v>184</v>
      </c>
      <c r="C668" s="23" t="n">
        <f aca="false">a25_rev</f>
        <v>48.591</v>
      </c>
      <c r="D668" s="23" t="n">
        <f aca="false">D662+D667</f>
        <v>58.65206</v>
      </c>
      <c r="E668" s="23" t="n">
        <f aca="false">E662+E667</f>
        <v>78.1801432612528</v>
      </c>
      <c r="F668" s="23" t="n">
        <f aca="false">F662+F667</f>
        <v>90.0558717537587</v>
      </c>
      <c r="G668" s="23" t="n">
        <f aca="false">G662+G667</f>
        <v>97.4913911468499</v>
      </c>
      <c r="H668" s="29" t="n">
        <f aca="false">G668*(1+H671)</f>
        <v>104.807510772236</v>
      </c>
      <c r="I668" s="29" t="n">
        <f aca="false">H668*(1+I671)</f>
        <v>111.884310435703</v>
      </c>
      <c r="J668" s="29" t="n">
        <f aca="false">I668*(1+J671)</f>
        <v>118.597369061845</v>
      </c>
      <c r="K668" s="8" t="s">
        <v>555</v>
      </c>
    </row>
    <row r="669" customFormat="false" ht="17.15" hidden="false" customHeight="false" outlineLevel="0" collapsed="false">
      <c r="A669" s="0" t="s">
        <v>556</v>
      </c>
      <c r="B669" s="0" t="s">
        <v>48</v>
      </c>
      <c r="D669" s="20" t="n">
        <f aca="false">D667/D668</f>
        <v>0</v>
      </c>
      <c r="E669" s="20" t="n">
        <f aca="false">E667/E668</f>
        <v>0.0954840921057732</v>
      </c>
      <c r="F669" s="20" t="n">
        <f aca="false">F667/F668</f>
        <v>0.207231351344074</v>
      </c>
      <c r="G669" s="20" t="n">
        <f aca="false">G667/G668</f>
        <v>0.26799658608466</v>
      </c>
    </row>
    <row r="670" customFormat="false" ht="17.15" hidden="false" customHeight="false" outlineLevel="0" collapsed="false">
      <c r="A670" s="0" t="s">
        <v>557</v>
      </c>
      <c r="B670" s="0" t="s">
        <v>48</v>
      </c>
      <c r="D670" s="20" t="n">
        <f aca="false">ai_sh26</f>
        <v>0.1</v>
      </c>
      <c r="E670" s="20" t="n">
        <f aca="false">ai_sh27_A</f>
        <v>0.25</v>
      </c>
      <c r="F670" s="20" t="n">
        <f aca="false">ai_sh27_A</f>
        <v>0.25</v>
      </c>
      <c r="G670" s="20" t="n">
        <f aca="false">ai_sh27_A</f>
        <v>0.25</v>
      </c>
    </row>
    <row r="671" customFormat="false" ht="15" hidden="false" customHeight="false" outlineLevel="0" collapsed="false">
      <c r="A671" s="4" t="s">
        <v>558</v>
      </c>
      <c r="B671" s="0" t="s">
        <v>48</v>
      </c>
      <c r="D671" s="20" t="n">
        <f aca="false">D668/C668-1</f>
        <v>0.207056039184211</v>
      </c>
      <c r="E671" s="20" t="n">
        <f aca="false">E668/D668-1</f>
        <v>0.3329479520626</v>
      </c>
      <c r="F671" s="20" t="n">
        <f aca="false">F668/E668-1</f>
        <v>0.151902107071115</v>
      </c>
      <c r="G671" s="20" t="n">
        <f aca="false">G668/F668-1</f>
        <v>0.082565625630967</v>
      </c>
      <c r="H671" s="27" t="n">
        <f aca="false">$G671+(fade_gA-$G671)*1/3</f>
        <v>0.0750437504206447</v>
      </c>
      <c r="I671" s="27" t="n">
        <f aca="false">$G671+(fade_gA-$G671)*2/3</f>
        <v>0.0675218752103223</v>
      </c>
      <c r="J671" s="27" t="n">
        <f aca="false">$G671+(fade_gA-$G671)*3/3</f>
        <v>0.06</v>
      </c>
    </row>
    <row r="672" customFormat="false" ht="17.15" hidden="false" customHeight="false" outlineLevel="0" collapsed="false">
      <c r="A672" s="6" t="s">
        <v>559</v>
      </c>
    </row>
    <row r="673" customFormat="false" ht="15" hidden="false" customHeight="false" outlineLevel="0" collapsed="false">
      <c r="A673" s="4" t="s">
        <v>560</v>
      </c>
      <c r="B673" s="0" t="s">
        <v>184</v>
      </c>
      <c r="D673" s="23" t="n">
        <f aca="false">da_tot26*da_sh</f>
        <v>8.658</v>
      </c>
      <c r="E673" s="23" t="n">
        <f aca="false">D673*(1+dag_27+dag_adj)</f>
        <v>8.91774</v>
      </c>
      <c r="F673" s="23" t="n">
        <f aca="false">E673*(1+dag_28+dag_adj)</f>
        <v>9.0960948</v>
      </c>
      <c r="G673" s="23" t="n">
        <f aca="false">F673*(1+dag_29+dag_adj)</f>
        <v>9.0960948</v>
      </c>
    </row>
    <row r="674" customFormat="false" ht="17.15" hidden="false" customHeight="false" outlineLevel="0" collapsed="false">
      <c r="A674" s="4" t="s">
        <v>561</v>
      </c>
      <c r="B674" s="0" t="s">
        <v>562</v>
      </c>
      <c r="D674" s="23" t="n">
        <f aca="false">(D662-a26_gp-D673)/D658*1000</f>
        <v>10.7339918911001</v>
      </c>
      <c r="E674" s="23" t="n">
        <f aca="false">D674*(1+cc_g)</f>
        <v>10.9486717289221</v>
      </c>
      <c r="F674" s="23" t="n">
        <f aca="false">E674*(1+cc_g)</f>
        <v>11.1676451635006</v>
      </c>
      <c r="G674" s="23" t="n">
        <f aca="false">F674*(1+cc_g)</f>
        <v>11.3909980667706</v>
      </c>
      <c r="K674" s="8" t="s">
        <v>563</v>
      </c>
    </row>
    <row r="675" customFormat="false" ht="17.15" hidden="false" customHeight="false" outlineLevel="0" collapsed="false">
      <c r="A675" s="4" t="s">
        <v>564</v>
      </c>
      <c r="B675" s="0" t="s">
        <v>184</v>
      </c>
      <c r="D675" s="23" t="n">
        <f aca="false">D674*D658/1000</f>
        <v>30.9620386</v>
      </c>
      <c r="E675" s="23" t="n">
        <f aca="false">E674*E658/1000</f>
        <v>35.4723825611003</v>
      </c>
      <c r="F675" s="23" t="n">
        <f aca="false">F674*F658/1000</f>
        <v>35.8126278632169</v>
      </c>
      <c r="G675" s="23" t="n">
        <f aca="false">G674*G658/1000</f>
        <v>36.1522940243939</v>
      </c>
    </row>
    <row r="676" customFormat="false" ht="17.15" hidden="false" customHeight="false" outlineLevel="0" collapsed="false">
      <c r="A676" s="0" t="s">
        <v>565</v>
      </c>
      <c r="B676" s="0" t="s">
        <v>48</v>
      </c>
      <c r="E676" s="20" t="n">
        <f aca="false">vgm27_A</f>
        <v>0.05</v>
      </c>
      <c r="F676" s="20" t="n">
        <f aca="false">vgm28_A</f>
        <v>0.2</v>
      </c>
      <c r="G676" s="20" t="n">
        <f aca="false">vgm29_A</f>
        <v>0.25</v>
      </c>
    </row>
    <row r="677" customFormat="false" ht="17.15" hidden="false" customHeight="false" outlineLevel="0" collapsed="false">
      <c r="A677" s="0" t="s">
        <v>566</v>
      </c>
      <c r="B677" s="0" t="s">
        <v>184</v>
      </c>
      <c r="D677" s="23" t="n">
        <f aca="false">0</f>
        <v>0</v>
      </c>
      <c r="E677" s="23" t="n">
        <f aca="false">E667*E676</f>
        <v>0.373248</v>
      </c>
      <c r="F677" s="23" t="n">
        <f aca="false">F667*F676</f>
        <v>3.73248</v>
      </c>
      <c r="G677" s="23" t="n">
        <f aca="false">G667*G676</f>
        <v>6.53184</v>
      </c>
    </row>
    <row r="678" customFormat="false" ht="15" hidden="false" customHeight="false" outlineLevel="0" collapsed="false">
      <c r="A678" s="4" t="s">
        <v>417</v>
      </c>
      <c r="B678" s="0" t="s">
        <v>184</v>
      </c>
      <c r="C678" s="23" t="n">
        <f aca="false">a25_gp</f>
        <v>13.654</v>
      </c>
      <c r="D678" s="23" t="n">
        <f aca="false">D662-D673-D675+D677</f>
        <v>19.0320214</v>
      </c>
      <c r="E678" s="23" t="n">
        <f aca="false">E662-E673-E675+E677</f>
        <v>26.6983087001525</v>
      </c>
      <c r="F678" s="23" t="n">
        <f aca="false">F662-F673-F675+F677</f>
        <v>30.2172290905417</v>
      </c>
      <c r="G678" s="23" t="n">
        <f aca="false">G662-G673-G675+G677</f>
        <v>32.647482322456</v>
      </c>
    </row>
    <row r="679" customFormat="false" ht="15" hidden="false" customHeight="false" outlineLevel="0" collapsed="false">
      <c r="A679" s="4" t="s">
        <v>420</v>
      </c>
      <c r="B679" s="0" t="s">
        <v>48</v>
      </c>
      <c r="C679" s="16" t="n">
        <f aca="false">C678/C668</f>
        <v>0.280998538824062</v>
      </c>
      <c r="D679" s="16" t="n">
        <f aca="false">D678/D668</f>
        <v>0.324490246378388</v>
      </c>
      <c r="E679" s="16" t="n">
        <f aca="false">E678/E668</f>
        <v>0.341497311036325</v>
      </c>
      <c r="F679" s="16" t="n">
        <f aca="false">F678/F668</f>
        <v>0.335538688395191</v>
      </c>
      <c r="G679" s="16" t="n">
        <f aca="false">G678/G668</f>
        <v>0.334875540685224</v>
      </c>
    </row>
    <row r="680" customFormat="false" ht="15" hidden="false" customHeight="false" outlineLevel="0" collapsed="false">
      <c r="A680" s="4" t="s">
        <v>422</v>
      </c>
      <c r="B680" s="0" t="s">
        <v>184</v>
      </c>
      <c r="C680" s="23" t="n">
        <f aca="false">a25_opx</f>
        <v>5.881</v>
      </c>
      <c r="D680" s="23" t="n">
        <f aca="false">a26_opx</f>
        <v>6.824187</v>
      </c>
      <c r="E680" s="23" t="n">
        <f aca="false">D680*(1+MAX(g_opx_min,phi*E671))</f>
        <v>7.96023654307111</v>
      </c>
      <c r="F680" s="23" t="n">
        <f aca="false">E680*(1+MAX(g_opx_min,phi*F671))</f>
        <v>8.5648248949096</v>
      </c>
      <c r="G680" s="23" t="n">
        <f aca="false">F680*(1+MAX(g_opx_min,phi*G671))</f>
        <v>8.91840495784355</v>
      </c>
    </row>
    <row r="681" customFormat="false" ht="15" hidden="false" customHeight="false" outlineLevel="0" collapsed="false">
      <c r="A681" s="4" t="s">
        <v>425</v>
      </c>
      <c r="B681" s="0" t="s">
        <v>184</v>
      </c>
      <c r="C681" s="23" t="n">
        <f aca="false">C678-C680</f>
        <v>7.773</v>
      </c>
      <c r="D681" s="23" t="n">
        <f aca="false">D678-D680</f>
        <v>12.2078344</v>
      </c>
      <c r="E681" s="23" t="n">
        <f aca="false">E678-E680</f>
        <v>18.7380721570814</v>
      </c>
      <c r="F681" s="23" t="n">
        <f aca="false">F678-F680</f>
        <v>21.6524041956321</v>
      </c>
      <c r="G681" s="23" t="n">
        <f aca="false">G678-G680</f>
        <v>23.7290773646125</v>
      </c>
    </row>
    <row r="682" customFormat="false" ht="15" hidden="false" customHeight="false" outlineLevel="0" collapsed="false">
      <c r="A682" s="4" t="s">
        <v>531</v>
      </c>
      <c r="B682" s="0" t="s">
        <v>48</v>
      </c>
      <c r="C682" s="16" t="n">
        <f aca="false">C681/C668</f>
        <v>0.159967895289251</v>
      </c>
      <c r="D682" s="16" t="n">
        <f aca="false">D681/D668</f>
        <v>0.208139908470393</v>
      </c>
      <c r="E682" s="16" t="n">
        <f aca="false">E681/E668</f>
        <v>0.239678150684181</v>
      </c>
      <c r="F682" s="16" t="n">
        <f aca="false">F681/F668</f>
        <v>0.240433008686393</v>
      </c>
      <c r="G682" s="16" t="n">
        <f aca="false">G681/G668</f>
        <v>0.243396643390489</v>
      </c>
    </row>
    <row r="683" customFormat="false" ht="15" hidden="false" customHeight="false" outlineLevel="0" collapsed="false">
      <c r="A683" s="4" t="s">
        <v>428</v>
      </c>
      <c r="B683" s="0" t="s">
        <v>184</v>
      </c>
      <c r="C683" s="23" t="n">
        <f aca="false">a25_nonop</f>
        <v>1.479</v>
      </c>
      <c r="D683" s="23" t="n">
        <f aca="false">a26_nonop</f>
        <v>2.10950832169955</v>
      </c>
      <c r="E683" s="23" t="n">
        <f aca="false">nonop_f</f>
        <v>1.5</v>
      </c>
      <c r="F683" s="23" t="n">
        <f aca="false">nonop_f</f>
        <v>1.5</v>
      </c>
      <c r="G683" s="23" t="n">
        <f aca="false">nonop_f</f>
        <v>1.5</v>
      </c>
    </row>
    <row r="684" customFormat="false" ht="15" hidden="false" customHeight="false" outlineLevel="0" collapsed="false">
      <c r="A684" s="4" t="s">
        <v>430</v>
      </c>
      <c r="B684" s="0" t="s">
        <v>184</v>
      </c>
      <c r="C684" s="23" t="n">
        <f aca="false">C681+C683</f>
        <v>9.252</v>
      </c>
      <c r="D684" s="23" t="n">
        <f aca="false">D681+D683</f>
        <v>14.3173427216995</v>
      </c>
      <c r="E684" s="23" t="n">
        <f aca="false">E681+E683</f>
        <v>20.2380721570814</v>
      </c>
      <c r="F684" s="23" t="n">
        <f aca="false">F681+F683</f>
        <v>23.1524041956321</v>
      </c>
      <c r="G684" s="23" t="n">
        <f aca="false">G681+G683</f>
        <v>25.2290773646125</v>
      </c>
    </row>
    <row r="685" customFormat="false" ht="15" hidden="false" customHeight="false" outlineLevel="0" collapsed="false">
      <c r="A685" s="4" t="s">
        <v>432</v>
      </c>
      <c r="B685" s="0" t="s">
        <v>184</v>
      </c>
      <c r="C685" s="23" t="n">
        <f aca="false">a25_tax</f>
        <v>1.344</v>
      </c>
      <c r="D685" s="23" t="n">
        <f aca="false">a26_tax</f>
        <v>2.0798215108046</v>
      </c>
      <c r="E685" s="23" t="n">
        <f aca="false">E684*tax</f>
        <v>3.03571082356221</v>
      </c>
      <c r="F685" s="23" t="n">
        <f aca="false">F684*tax</f>
        <v>3.47286062934482</v>
      </c>
      <c r="G685" s="23" t="n">
        <f aca="false">G684*tax</f>
        <v>3.78436160469187</v>
      </c>
    </row>
    <row r="686" customFormat="false" ht="17.15" hidden="false" customHeight="false" outlineLevel="0" collapsed="false">
      <c r="A686" s="4" t="s">
        <v>567</v>
      </c>
      <c r="B686" s="0" t="s">
        <v>184</v>
      </c>
      <c r="C686" s="23" t="n">
        <f aca="false">a25_mi</f>
        <v>0</v>
      </c>
      <c r="D686" s="23" t="n">
        <f aca="false">a26_mi</f>
        <v>0</v>
      </c>
      <c r="E686" s="23" t="n">
        <f aca="false">vmi*E677*(1-tax)</f>
        <v>0.12690432</v>
      </c>
      <c r="F686" s="23" t="n">
        <f aca="false">vmi*F677*(1-tax)</f>
        <v>1.2690432</v>
      </c>
      <c r="G686" s="23" t="n">
        <f aca="false">vmi*G677*(1-tax)</f>
        <v>2.2208256</v>
      </c>
      <c r="K686" s="8" t="s">
        <v>568</v>
      </c>
    </row>
    <row r="687" customFormat="false" ht="15" hidden="false" customHeight="false" outlineLevel="0" collapsed="false">
      <c r="A687" s="4" t="s">
        <v>435</v>
      </c>
      <c r="B687" s="0" t="s">
        <v>184</v>
      </c>
      <c r="C687" s="23" t="n">
        <f aca="false">C684-C685-C686</f>
        <v>7.908</v>
      </c>
      <c r="D687" s="23" t="n">
        <f aca="false">D684-D685-D686</f>
        <v>12.2375212108949</v>
      </c>
      <c r="E687" s="23" t="n">
        <f aca="false">E684-E685-E686</f>
        <v>17.0754570135192</v>
      </c>
      <c r="F687" s="23" t="n">
        <f aca="false">F684-F685-F686</f>
        <v>18.4105003662873</v>
      </c>
      <c r="G687" s="23" t="n">
        <f aca="false">G684-G685-G686</f>
        <v>19.2238901599206</v>
      </c>
      <c r="H687" s="29" t="n">
        <f aca="false">H668*H691</f>
        <v>20.6665229751956</v>
      </c>
      <c r="I687" s="29" t="n">
        <f aca="false">I668*I691</f>
        <v>22.061965360558</v>
      </c>
      <c r="J687" s="29" t="n">
        <f aca="false">J668*J691</f>
        <v>23.3856832821915</v>
      </c>
    </row>
    <row r="688" customFormat="false" ht="15" hidden="false" customHeight="false" outlineLevel="0" collapsed="false">
      <c r="A688" s="4" t="s">
        <v>569</v>
      </c>
      <c r="B688" s="4" t="s">
        <v>265</v>
      </c>
      <c r="C688" s="10" t="n">
        <f aca="false">a25_sh</f>
        <v>1.8739336492891</v>
      </c>
      <c r="D688" s="10" t="n">
        <f aca="false">a26_sh</f>
        <v>1.90613591916558</v>
      </c>
      <c r="E688" s="10" t="n">
        <f aca="false">q_sh*(1+sh_g)</f>
        <v>1.90705128205128</v>
      </c>
      <c r="F688" s="10" t="n">
        <f aca="false">E688*(1+sh_g)</f>
        <v>1.90705128205128</v>
      </c>
      <c r="G688" s="10" t="n">
        <f aca="false">F688*(1+sh_g)</f>
        <v>1.90705128205128</v>
      </c>
      <c r="H688" s="31" t="n">
        <f aca="false">G688*(1+sh_g)</f>
        <v>1.90705128205128</v>
      </c>
      <c r="I688" s="31" t="n">
        <f aca="false">H688*(1+sh_g)</f>
        <v>1.90705128205128</v>
      </c>
      <c r="J688" s="31" t="n">
        <f aca="false">I688*(1+sh_g)</f>
        <v>1.90705128205128</v>
      </c>
    </row>
    <row r="689" customFormat="false" ht="17.15" hidden="false" customHeight="false" outlineLevel="0" collapsed="false">
      <c r="A689" s="0" t="s">
        <v>442</v>
      </c>
      <c r="B689" s="0" t="s">
        <v>274</v>
      </c>
      <c r="C689" s="23" t="n">
        <f aca="false">C687/C688</f>
        <v>4.22</v>
      </c>
      <c r="D689" s="23" t="n">
        <f aca="false">D687/D688</f>
        <v>6.42006747150118</v>
      </c>
      <c r="E689" s="23" t="n">
        <f aca="false">E687/E688</f>
        <v>8.95385308944198</v>
      </c>
      <c r="F689" s="23" t="n">
        <f aca="false">F687/F688</f>
        <v>9.65390943576746</v>
      </c>
      <c r="G689" s="23" t="n">
        <f aca="false">G687/G688</f>
        <v>10.0804264367987</v>
      </c>
      <c r="H689" s="29" t="n">
        <f aca="false">H687/H688</f>
        <v>10.8368994424555</v>
      </c>
      <c r="I689" s="29" t="n">
        <f aca="false">I687/I688</f>
        <v>11.5686272142758</v>
      </c>
      <c r="J689" s="29" t="n">
        <f aca="false">J687/J688</f>
        <v>12.2627448471323</v>
      </c>
    </row>
    <row r="690" customFormat="false" ht="17.15" hidden="false" customHeight="false" outlineLevel="0" collapsed="false">
      <c r="A690" s="0" t="s">
        <v>570</v>
      </c>
      <c r="B690" s="0" t="s">
        <v>48</v>
      </c>
      <c r="D690" s="20" t="n">
        <f aca="false">D689/C689-1</f>
        <v>0.521343002725398</v>
      </c>
      <c r="E690" s="20" t="n">
        <f aca="false">E689/D689-1</f>
        <v>0.394666509221022</v>
      </c>
      <c r="F690" s="20" t="n">
        <f aca="false">F689/E689-1</f>
        <v>0.0781849265709926</v>
      </c>
      <c r="G690" s="20" t="n">
        <f aca="false">G689/F689-1</f>
        <v>0.0441807543222867</v>
      </c>
      <c r="H690" s="27" t="n">
        <f aca="false">H689/G689-1</f>
        <v>0.0750437504206449</v>
      </c>
      <c r="I690" s="27" t="n">
        <f aca="false">I689/H689-1</f>
        <v>0.0675218752103224</v>
      </c>
      <c r="J690" s="27" t="n">
        <f aca="false">J689/I689-1</f>
        <v>0.0600000000000001</v>
      </c>
    </row>
    <row r="691" customFormat="false" ht="17.15" hidden="false" customHeight="false" outlineLevel="0" collapsed="false">
      <c r="A691" s="4" t="s">
        <v>571</v>
      </c>
      <c r="B691" s="0" t="s">
        <v>48</v>
      </c>
      <c r="C691" s="16" t="n">
        <f aca="false">C687/C668</f>
        <v>0.162746187565599</v>
      </c>
      <c r="D691" s="16" t="n">
        <f aca="false">D687/D668</f>
        <v>0.208646059676249</v>
      </c>
      <c r="E691" s="16" t="n">
        <f aca="false">E687/E668</f>
        <v>0.218411687433963</v>
      </c>
      <c r="F691" s="16" t="n">
        <f aca="false">F687/F668</f>
        <v>0.204434202987091</v>
      </c>
      <c r="G691" s="16" t="n">
        <f aca="false">G687/G668</f>
        <v>0.197185514882683</v>
      </c>
      <c r="H691" s="28" t="n">
        <f aca="false">$G691+($G$691*1-$G691)*1/3</f>
        <v>0.197185514882683</v>
      </c>
      <c r="I691" s="28" t="n">
        <f aca="false">$G691+($G$691*1-$G691)*2/3</f>
        <v>0.197185514882683</v>
      </c>
      <c r="J691" s="28" t="n">
        <f aca="false">$G691+($G$691*1-$G691)*3/3</f>
        <v>0.197185514882683</v>
      </c>
    </row>
    <row r="694" customFormat="false" ht="17.15" hidden="false" customHeight="false" outlineLevel="0" collapsed="false">
      <c r="A694" s="1" t="s">
        <v>861</v>
      </c>
    </row>
    <row r="695" customFormat="false" ht="17.15" hidden="false" customHeight="false" outlineLevel="0" collapsed="false">
      <c r="A695" s="5" t="s">
        <v>24</v>
      </c>
      <c r="B695" s="5" t="s">
        <v>25</v>
      </c>
      <c r="C695" s="17" t="s">
        <v>394</v>
      </c>
      <c r="D695" s="17" t="s">
        <v>521</v>
      </c>
      <c r="E695" s="17" t="s">
        <v>480</v>
      </c>
      <c r="F695" s="17" t="s">
        <v>481</v>
      </c>
      <c r="G695" s="17" t="s">
        <v>482</v>
      </c>
      <c r="H695" s="17" t="s">
        <v>522</v>
      </c>
      <c r="I695" s="17" t="s">
        <v>523</v>
      </c>
      <c r="J695" s="17" t="s">
        <v>524</v>
      </c>
      <c r="K695" s="5" t="s">
        <v>357</v>
      </c>
    </row>
    <row r="696" customFormat="false" ht="17.15" hidden="false" customHeight="false" outlineLevel="0" collapsed="false">
      <c r="A696" s="6" t="s">
        <v>542</v>
      </c>
    </row>
    <row r="697" customFormat="false" ht="17.15" hidden="false" customHeight="false" outlineLevel="0" collapsed="false">
      <c r="A697" s="4" t="s">
        <v>543</v>
      </c>
      <c r="B697" s="4" t="s">
        <v>42</v>
      </c>
      <c r="D697" s="22" t="n">
        <f aca="false">cap_26</f>
        <v>3306</v>
      </c>
      <c r="E697" s="22" t="n">
        <f aca="false">D697*(1+capg27)*cap_adj</f>
        <v>3306</v>
      </c>
      <c r="F697" s="22" t="n">
        <f aca="false">E697*(1+capg28)</f>
        <v>3306</v>
      </c>
      <c r="G697" s="22" t="n">
        <f aca="false">F697*(1+capg29)</f>
        <v>3306</v>
      </c>
    </row>
    <row r="698" customFormat="false" ht="15" hidden="false" customHeight="false" outlineLevel="0" collapsed="false">
      <c r="A698" s="4" t="s">
        <v>544</v>
      </c>
      <c r="B698" s="0" t="s">
        <v>48</v>
      </c>
      <c r="D698" s="20" t="n">
        <f aca="false">a26_ship/cap_26</f>
        <v>0.8725</v>
      </c>
      <c r="E698" s="20" t="n">
        <f aca="false">MIN(0.98,ut27_B+ut_adj_hi)</f>
        <v>0.93</v>
      </c>
      <c r="F698" s="20" t="n">
        <f aca="false">MIN(0.98,ut28_B+ut_adj_hi)</f>
        <v>0.89</v>
      </c>
      <c r="G698" s="20" t="n">
        <f aca="false">MIN(0.98,ut29_B+ut_adj_hi)</f>
        <v>0.9</v>
      </c>
    </row>
    <row r="699" customFormat="false" ht="17.15" hidden="false" customHeight="false" outlineLevel="0" collapsed="false">
      <c r="A699" s="4" t="s">
        <v>545</v>
      </c>
      <c r="B699" s="4" t="s">
        <v>42</v>
      </c>
      <c r="D699" s="22" t="n">
        <f aca="false">D697*D698</f>
        <v>2884.485</v>
      </c>
      <c r="E699" s="22" t="n">
        <f aca="false">E697*E698</f>
        <v>3074.58</v>
      </c>
      <c r="F699" s="22" t="n">
        <f aca="false">F697*F698</f>
        <v>2942.34</v>
      </c>
      <c r="G699" s="22" t="n">
        <f aca="false">G697*G698</f>
        <v>2975.4</v>
      </c>
    </row>
    <row r="700" customFormat="false" ht="17.15" hidden="false" customHeight="false" outlineLevel="0" collapsed="false">
      <c r="A700" s="4" t="s">
        <v>546</v>
      </c>
      <c r="B700" s="0" t="s">
        <v>89</v>
      </c>
      <c r="D700" s="22" t="n">
        <f aca="false">asp_26</f>
        <v>643.469405492234</v>
      </c>
      <c r="E700" s="22" t="n">
        <f aca="false">D700*(1+asp27_B)*(1+asp_adj)</f>
        <v>662.773487657001</v>
      </c>
      <c r="F700" s="22" t="n">
        <f aca="false">E700*(1+asp28_B)</f>
        <v>662.773487657001</v>
      </c>
      <c r="G700" s="22" t="n">
        <f aca="false">F700*(1+asp29_B)</f>
        <v>662.773487657001</v>
      </c>
    </row>
    <row r="701" customFormat="false" ht="15" hidden="false" customHeight="false" outlineLevel="0" collapsed="false">
      <c r="A701" s="4" t="s">
        <v>547</v>
      </c>
      <c r="B701" s="0" t="s">
        <v>48</v>
      </c>
      <c r="E701" s="20" t="n">
        <f aca="false">E700/D700-1</f>
        <v>0.03</v>
      </c>
      <c r="F701" s="20" t="n">
        <f aca="false">F700/E700-1</f>
        <v>0</v>
      </c>
      <c r="G701" s="20" t="n">
        <f aca="false">G700/F700-1</f>
        <v>0</v>
      </c>
    </row>
    <row r="702" customFormat="false" ht="15" hidden="false" customHeight="false" outlineLevel="0" collapsed="false">
      <c r="A702" s="4" t="s">
        <v>548</v>
      </c>
      <c r="B702" s="0" t="s">
        <v>35</v>
      </c>
      <c r="D702" s="23" t="n">
        <f aca="false">fx_26</f>
        <v>31.6</v>
      </c>
      <c r="E702" s="23" t="n">
        <f aca="false">fx</f>
        <v>32</v>
      </c>
      <c r="F702" s="23" t="n">
        <f aca="false">fx</f>
        <v>32</v>
      </c>
      <c r="G702" s="23" t="n">
        <f aca="false">fx</f>
        <v>32</v>
      </c>
    </row>
    <row r="703" customFormat="false" ht="17.15" hidden="false" customHeight="false" outlineLevel="0" collapsed="false">
      <c r="A703" s="0" t="s">
        <v>549</v>
      </c>
      <c r="B703" s="0" t="s">
        <v>184</v>
      </c>
      <c r="D703" s="23" t="n">
        <f aca="false">D699*D700*D702/1000000</f>
        <v>58.65206</v>
      </c>
      <c r="E703" s="23" t="n">
        <f aca="false">E699*E700*E702/1000000</f>
        <v>65.2080035097748</v>
      </c>
      <c r="F703" s="23" t="n">
        <f aca="false">F699*F700*F702/1000000</f>
        <v>62.4033581975264</v>
      </c>
      <c r="G703" s="23" t="n">
        <f aca="false">G699*G700*G702/1000000</f>
        <v>63.1045195255885</v>
      </c>
    </row>
    <row r="704" customFormat="false" ht="17.15" hidden="false" customHeight="false" outlineLevel="0" collapsed="false">
      <c r="A704" s="6" t="s">
        <v>550</v>
      </c>
    </row>
    <row r="705" customFormat="false" ht="17.15" hidden="false" customHeight="false" outlineLevel="0" collapsed="false">
      <c r="A705" s="0" t="s">
        <v>551</v>
      </c>
      <c r="B705" s="4" t="s">
        <v>42</v>
      </c>
      <c r="D705" s="22" t="n">
        <f aca="false">0</f>
        <v>0</v>
      </c>
      <c r="E705" s="22" t="n">
        <f aca="false">vcap27*vcap_adj</f>
        <v>144</v>
      </c>
      <c r="F705" s="22" t="n">
        <f aca="false">vcap28*vcap_adj</f>
        <v>360</v>
      </c>
      <c r="G705" s="22" t="n">
        <f aca="false">vcap29*vcap_adj</f>
        <v>504</v>
      </c>
    </row>
    <row r="706" customFormat="false" ht="17.15" hidden="false" customHeight="false" outlineLevel="0" collapsed="false">
      <c r="A706" s="0" t="s">
        <v>552</v>
      </c>
      <c r="B706" s="0" t="s">
        <v>48</v>
      </c>
      <c r="E706" s="20" t="n">
        <f aca="false">vut_B</f>
        <v>0.8</v>
      </c>
      <c r="F706" s="20" t="n">
        <f aca="false">vut_B</f>
        <v>0.8</v>
      </c>
      <c r="G706" s="20" t="n">
        <f aca="false">vut_B</f>
        <v>0.8</v>
      </c>
    </row>
    <row r="707" customFormat="false" ht="17.15" hidden="false" customHeight="false" outlineLevel="0" collapsed="false">
      <c r="A707" s="0" t="s">
        <v>553</v>
      </c>
      <c r="B707" s="4" t="s">
        <v>42</v>
      </c>
      <c r="D707" s="22" t="n">
        <f aca="false">0</f>
        <v>0</v>
      </c>
      <c r="E707" s="22" t="n">
        <f aca="false">E705*E706</f>
        <v>115.2</v>
      </c>
      <c r="F707" s="22" t="n">
        <f aca="false">F705*F706</f>
        <v>288</v>
      </c>
      <c r="G707" s="22" t="n">
        <f aca="false">G705*G706</f>
        <v>403.2</v>
      </c>
    </row>
    <row r="708" customFormat="false" ht="17.15" hidden="false" customHeight="false" outlineLevel="0" collapsed="false">
      <c r="A708" s="0" t="s">
        <v>554</v>
      </c>
      <c r="B708" s="0" t="s">
        <v>184</v>
      </c>
      <c r="D708" s="23" t="n">
        <f aca="false">0</f>
        <v>0</v>
      </c>
      <c r="E708" s="23" t="n">
        <f aca="false">E707*vasp*E702/1000000</f>
        <v>6.63552</v>
      </c>
      <c r="F708" s="23" t="n">
        <f aca="false">F707*vasp*F702/1000000</f>
        <v>16.5888</v>
      </c>
      <c r="G708" s="23" t="n">
        <f aca="false">G707*vasp*G702/1000000</f>
        <v>23.22432</v>
      </c>
    </row>
    <row r="709" customFormat="false" ht="17.15" hidden="false" customHeight="false" outlineLevel="0" collapsed="false">
      <c r="A709" s="4" t="s">
        <v>400</v>
      </c>
      <c r="B709" s="0" t="s">
        <v>184</v>
      </c>
      <c r="C709" s="23" t="n">
        <f aca="false">a25_rev</f>
        <v>48.591</v>
      </c>
      <c r="D709" s="23" t="n">
        <f aca="false">D703+D708</f>
        <v>58.65206</v>
      </c>
      <c r="E709" s="23" t="n">
        <f aca="false">E703+E708</f>
        <v>71.8435235097748</v>
      </c>
      <c r="F709" s="23" t="n">
        <f aca="false">F703+F708</f>
        <v>78.9921581975264</v>
      </c>
      <c r="G709" s="23" t="n">
        <f aca="false">G703+G708</f>
        <v>86.3288395255885</v>
      </c>
      <c r="H709" s="29" t="n">
        <f aca="false">G709*(1+H712)</f>
        <v>92.82529208123</v>
      </c>
      <c r="I709" s="29" t="n">
        <f aca="false">H709*(1+I712)</f>
        <v>98.1744610310534</v>
      </c>
      <c r="J709" s="29" t="n">
        <f aca="false">I709*(1+J712)</f>
        <v>102.101439472296</v>
      </c>
      <c r="K709" s="8" t="s">
        <v>555</v>
      </c>
    </row>
    <row r="710" customFormat="false" ht="17.15" hidden="false" customHeight="false" outlineLevel="0" collapsed="false">
      <c r="A710" s="0" t="s">
        <v>556</v>
      </c>
      <c r="B710" s="0" t="s">
        <v>48</v>
      </c>
      <c r="D710" s="20" t="n">
        <f aca="false">D708/D709</f>
        <v>0</v>
      </c>
      <c r="E710" s="20" t="n">
        <f aca="false">E708/E709</f>
        <v>0.0923607261425199</v>
      </c>
      <c r="F710" s="20" t="n">
        <f aca="false">F708/F709</f>
        <v>0.210005655985729</v>
      </c>
      <c r="G710" s="20" t="n">
        <f aca="false">G708/G709</f>
        <v>0.269021570631865</v>
      </c>
    </row>
    <row r="711" customFormat="false" ht="17.15" hidden="false" customHeight="false" outlineLevel="0" collapsed="false">
      <c r="A711" s="0" t="s">
        <v>557</v>
      </c>
      <c r="B711" s="0" t="s">
        <v>48</v>
      </c>
      <c r="D711" s="20" t="n">
        <f aca="false">ai_sh26</f>
        <v>0.1</v>
      </c>
      <c r="E711" s="20" t="n">
        <f aca="false">ai_sh27_B</f>
        <v>0.2</v>
      </c>
      <c r="F711" s="20" t="n">
        <f aca="false">ai_sh27_B</f>
        <v>0.2</v>
      </c>
      <c r="G711" s="20" t="n">
        <f aca="false">ai_sh27_B</f>
        <v>0.2</v>
      </c>
    </row>
    <row r="712" customFormat="false" ht="15" hidden="false" customHeight="false" outlineLevel="0" collapsed="false">
      <c r="A712" s="4" t="s">
        <v>558</v>
      </c>
      <c r="B712" s="0" t="s">
        <v>48</v>
      </c>
      <c r="D712" s="20" t="n">
        <f aca="false">D709/C709-1</f>
        <v>0.207056039184211</v>
      </c>
      <c r="E712" s="20" t="n">
        <f aca="false">E709/D709-1</f>
        <v>0.224910489244108</v>
      </c>
      <c r="F712" s="20" t="n">
        <f aca="false">F709/E709-1</f>
        <v>0.0995028408758236</v>
      </c>
      <c r="G712" s="20" t="n">
        <f aca="false">G709/F709-1</f>
        <v>0.0928786033382723</v>
      </c>
      <c r="H712" s="27" t="n">
        <f aca="false">$G712+(fade_gB-$G712)*1/3</f>
        <v>0.0752524022255148</v>
      </c>
      <c r="I712" s="27" t="n">
        <f aca="false">$G712+(fade_gB-$G712)*2/3</f>
        <v>0.0576262011127574</v>
      </c>
      <c r="J712" s="27" t="n">
        <f aca="false">$G712+(fade_gB-$G712)*3/3</f>
        <v>0.04</v>
      </c>
    </row>
    <row r="713" customFormat="false" ht="17.15" hidden="false" customHeight="false" outlineLevel="0" collapsed="false">
      <c r="A713" s="6" t="s">
        <v>559</v>
      </c>
    </row>
    <row r="714" customFormat="false" ht="15" hidden="false" customHeight="false" outlineLevel="0" collapsed="false">
      <c r="A714" s="4" t="s">
        <v>560</v>
      </c>
      <c r="B714" s="0" t="s">
        <v>184</v>
      </c>
      <c r="D714" s="23" t="n">
        <f aca="false">da_tot26*da_sh</f>
        <v>8.658</v>
      </c>
      <c r="E714" s="23" t="n">
        <f aca="false">D714*(1+dag_27+dag_adj)</f>
        <v>8.91774</v>
      </c>
      <c r="F714" s="23" t="n">
        <f aca="false">E714*(1+dag_28+dag_adj)</f>
        <v>9.0960948</v>
      </c>
      <c r="G714" s="23" t="n">
        <f aca="false">F714*(1+dag_29+dag_adj)</f>
        <v>9.0960948</v>
      </c>
    </row>
    <row r="715" customFormat="false" ht="17.15" hidden="false" customHeight="false" outlineLevel="0" collapsed="false">
      <c r="A715" s="4" t="s">
        <v>561</v>
      </c>
      <c r="B715" s="0" t="s">
        <v>562</v>
      </c>
      <c r="D715" s="23" t="n">
        <f aca="false">(D703-a26_gp-D714)/D699*1000</f>
        <v>10.7339918911001</v>
      </c>
      <c r="E715" s="23" t="n">
        <f aca="false">D715*(1+cc_g)</f>
        <v>10.9486717289221</v>
      </c>
      <c r="F715" s="23" t="n">
        <f aca="false">E715*(1+cc_g)</f>
        <v>11.1676451635006</v>
      </c>
      <c r="G715" s="23" t="n">
        <f aca="false">F715*(1+cc_g)</f>
        <v>11.3909980667706</v>
      </c>
      <c r="K715" s="8" t="s">
        <v>563</v>
      </c>
    </row>
    <row r="716" customFormat="false" ht="17.15" hidden="false" customHeight="false" outlineLevel="0" collapsed="false">
      <c r="A716" s="4" t="s">
        <v>564</v>
      </c>
      <c r="B716" s="0" t="s">
        <v>184</v>
      </c>
      <c r="D716" s="23" t="n">
        <f aca="false">D715*D699/1000</f>
        <v>30.9620386</v>
      </c>
      <c r="E716" s="23" t="n">
        <f aca="false">E715*E699/1000</f>
        <v>33.6625671243095</v>
      </c>
      <c r="F716" s="23" t="n">
        <f aca="false">F715*F699/1000</f>
        <v>32.8590090703743</v>
      </c>
      <c r="G716" s="23" t="n">
        <f aca="false">G715*G699/1000</f>
        <v>33.8927756478692</v>
      </c>
    </row>
    <row r="717" customFormat="false" ht="17.15" hidden="false" customHeight="false" outlineLevel="0" collapsed="false">
      <c r="A717" s="0" t="s">
        <v>565</v>
      </c>
      <c r="B717" s="0" t="s">
        <v>48</v>
      </c>
      <c r="E717" s="20" t="n">
        <f aca="false">vgm27_B</f>
        <v>-0.05</v>
      </c>
      <c r="F717" s="20" t="n">
        <f aca="false">vgm28_B</f>
        <v>0.12</v>
      </c>
      <c r="G717" s="20" t="n">
        <f aca="false">vgm29_B</f>
        <v>0.18</v>
      </c>
    </row>
    <row r="718" customFormat="false" ht="17.15" hidden="false" customHeight="false" outlineLevel="0" collapsed="false">
      <c r="A718" s="0" t="s">
        <v>566</v>
      </c>
      <c r="B718" s="0" t="s">
        <v>184</v>
      </c>
      <c r="D718" s="23" t="n">
        <f aca="false">0</f>
        <v>0</v>
      </c>
      <c r="E718" s="23" t="n">
        <f aca="false">E708*E717</f>
        <v>-0.331776</v>
      </c>
      <c r="F718" s="23" t="n">
        <f aca="false">F708*F717</f>
        <v>1.990656</v>
      </c>
      <c r="G718" s="23" t="n">
        <f aca="false">G708*G717</f>
        <v>4.1803776</v>
      </c>
    </row>
    <row r="719" customFormat="false" ht="15" hidden="false" customHeight="false" outlineLevel="0" collapsed="false">
      <c r="A719" s="4" t="s">
        <v>417</v>
      </c>
      <c r="B719" s="0" t="s">
        <v>184</v>
      </c>
      <c r="C719" s="23" t="n">
        <f aca="false">a25_gp</f>
        <v>13.654</v>
      </c>
      <c r="D719" s="23" t="n">
        <f aca="false">D703-D714-D716+D718</f>
        <v>19.0320214</v>
      </c>
      <c r="E719" s="23" t="n">
        <f aca="false">E703-E714-E716+E718</f>
        <v>22.2959203854653</v>
      </c>
      <c r="F719" s="23" t="n">
        <f aca="false">F703-F714-F716+F718</f>
        <v>22.4389103271521</v>
      </c>
      <c r="G719" s="23" t="n">
        <f aca="false">G703-G714-G716+G718</f>
        <v>24.2960266777192</v>
      </c>
    </row>
    <row r="720" customFormat="false" ht="15" hidden="false" customHeight="false" outlineLevel="0" collapsed="false">
      <c r="A720" s="4" t="s">
        <v>420</v>
      </c>
      <c r="B720" s="0" t="s">
        <v>48</v>
      </c>
      <c r="C720" s="16" t="n">
        <f aca="false">C719/C709</f>
        <v>0.280998538824062</v>
      </c>
      <c r="D720" s="16" t="n">
        <f aca="false">D719/D709</f>
        <v>0.324490246378388</v>
      </c>
      <c r="E720" s="16" t="n">
        <f aca="false">E719/E709</f>
        <v>0.310340018087111</v>
      </c>
      <c r="F720" s="16" t="n">
        <f aca="false">F719/F709</f>
        <v>0.284065036823551</v>
      </c>
      <c r="G720" s="16" t="n">
        <f aca="false">G719/G709</f>
        <v>0.281435807677198</v>
      </c>
    </row>
    <row r="721" customFormat="false" ht="15" hidden="false" customHeight="false" outlineLevel="0" collapsed="false">
      <c r="A721" s="4" t="s">
        <v>422</v>
      </c>
      <c r="B721" s="0" t="s">
        <v>184</v>
      </c>
      <c r="C721" s="23" t="n">
        <f aca="false">a25_opx</f>
        <v>5.881</v>
      </c>
      <c r="D721" s="23" t="n">
        <f aca="false">a26_opx</f>
        <v>6.824187</v>
      </c>
      <c r="E721" s="23" t="n">
        <f aca="false">D721*(1+MAX(g_opx_min,phi*E712))</f>
        <v>7.59160261843164</v>
      </c>
      <c r="F721" s="23" t="n">
        <f aca="false">E721*(1+MAX(g_opx_min,phi*F712))</f>
        <v>7.96929563209878</v>
      </c>
      <c r="G721" s="23" t="n">
        <f aca="false">F721*(1+MAX(g_opx_min,phi*G712))</f>
        <v>8.33938415604835</v>
      </c>
    </row>
    <row r="722" customFormat="false" ht="15" hidden="false" customHeight="false" outlineLevel="0" collapsed="false">
      <c r="A722" s="4" t="s">
        <v>425</v>
      </c>
      <c r="B722" s="0" t="s">
        <v>184</v>
      </c>
      <c r="C722" s="23" t="n">
        <f aca="false">C719-C721</f>
        <v>7.773</v>
      </c>
      <c r="D722" s="23" t="n">
        <f aca="false">D719-D721</f>
        <v>12.2078344</v>
      </c>
      <c r="E722" s="23" t="n">
        <f aca="false">E719-E721</f>
        <v>14.7043177670337</v>
      </c>
      <c r="F722" s="23" t="n">
        <f aca="false">F719-F721</f>
        <v>14.4696146950533</v>
      </c>
      <c r="G722" s="23" t="n">
        <f aca="false">G719-G721</f>
        <v>15.9566425216709</v>
      </c>
    </row>
    <row r="723" customFormat="false" ht="15" hidden="false" customHeight="false" outlineLevel="0" collapsed="false">
      <c r="A723" s="4" t="s">
        <v>531</v>
      </c>
      <c r="B723" s="0" t="s">
        <v>48</v>
      </c>
      <c r="C723" s="16" t="n">
        <f aca="false">C722/C709</f>
        <v>0.159967895289251</v>
      </c>
      <c r="D723" s="16" t="n">
        <f aca="false">D722/D709</f>
        <v>0.208139908470393</v>
      </c>
      <c r="E723" s="16" t="n">
        <f aca="false">E722/E709</f>
        <v>0.204671444949844</v>
      </c>
      <c r="F723" s="16" t="n">
        <f aca="false">F722/F709</f>
        <v>0.183177862527453</v>
      </c>
      <c r="G723" s="16" t="n">
        <f aca="false">G722/G709</f>
        <v>0.184835596184995</v>
      </c>
    </row>
    <row r="724" customFormat="false" ht="15" hidden="false" customHeight="false" outlineLevel="0" collapsed="false">
      <c r="A724" s="4" t="s">
        <v>428</v>
      </c>
      <c r="B724" s="0" t="s">
        <v>184</v>
      </c>
      <c r="C724" s="23" t="n">
        <f aca="false">a25_nonop</f>
        <v>1.479</v>
      </c>
      <c r="D724" s="23" t="n">
        <f aca="false">a26_nonop</f>
        <v>2.10950832169955</v>
      </c>
      <c r="E724" s="23" t="n">
        <f aca="false">nonop_f</f>
        <v>1.5</v>
      </c>
      <c r="F724" s="23" t="n">
        <f aca="false">nonop_f</f>
        <v>1.5</v>
      </c>
      <c r="G724" s="23" t="n">
        <f aca="false">nonop_f</f>
        <v>1.5</v>
      </c>
    </row>
    <row r="725" customFormat="false" ht="15" hidden="false" customHeight="false" outlineLevel="0" collapsed="false">
      <c r="A725" s="4" t="s">
        <v>430</v>
      </c>
      <c r="B725" s="0" t="s">
        <v>184</v>
      </c>
      <c r="C725" s="23" t="n">
        <f aca="false">C722+C724</f>
        <v>9.252</v>
      </c>
      <c r="D725" s="23" t="n">
        <f aca="false">D722+D724</f>
        <v>14.3173427216995</v>
      </c>
      <c r="E725" s="23" t="n">
        <f aca="false">E722+E724</f>
        <v>16.2043177670337</v>
      </c>
      <c r="F725" s="23" t="n">
        <f aca="false">F722+F724</f>
        <v>15.9696146950533</v>
      </c>
      <c r="G725" s="23" t="n">
        <f aca="false">G722+G724</f>
        <v>17.4566425216709</v>
      </c>
    </row>
    <row r="726" customFormat="false" ht="15" hidden="false" customHeight="false" outlineLevel="0" collapsed="false">
      <c r="A726" s="4" t="s">
        <v>432</v>
      </c>
      <c r="B726" s="0" t="s">
        <v>184</v>
      </c>
      <c r="C726" s="23" t="n">
        <f aca="false">a25_tax</f>
        <v>1.344</v>
      </c>
      <c r="D726" s="23" t="n">
        <f aca="false">a26_tax</f>
        <v>2.0798215108046</v>
      </c>
      <c r="E726" s="23" t="n">
        <f aca="false">E725*tax</f>
        <v>2.43064766505505</v>
      </c>
      <c r="F726" s="23" t="n">
        <f aca="false">F725*tax</f>
        <v>2.39544220425799</v>
      </c>
      <c r="G726" s="23" t="n">
        <f aca="false">G725*tax</f>
        <v>2.61849637825063</v>
      </c>
    </row>
    <row r="727" customFormat="false" ht="17.15" hidden="false" customHeight="false" outlineLevel="0" collapsed="false">
      <c r="A727" s="4" t="s">
        <v>567</v>
      </c>
      <c r="B727" s="0" t="s">
        <v>184</v>
      </c>
      <c r="C727" s="23" t="n">
        <f aca="false">a25_mi</f>
        <v>0</v>
      </c>
      <c r="D727" s="23" t="n">
        <f aca="false">a26_mi</f>
        <v>0</v>
      </c>
      <c r="E727" s="23" t="n">
        <f aca="false">vmi*E718*(1-tax)</f>
        <v>-0.11280384</v>
      </c>
      <c r="F727" s="23" t="n">
        <f aca="false">vmi*F718*(1-tax)</f>
        <v>0.67682304</v>
      </c>
      <c r="G727" s="23" t="n">
        <f aca="false">vmi*G718*(1-tax)</f>
        <v>1.421328384</v>
      </c>
      <c r="K727" s="8" t="s">
        <v>568</v>
      </c>
    </row>
    <row r="728" customFormat="false" ht="15" hidden="false" customHeight="false" outlineLevel="0" collapsed="false">
      <c r="A728" s="4" t="s">
        <v>435</v>
      </c>
      <c r="B728" s="0" t="s">
        <v>184</v>
      </c>
      <c r="C728" s="23" t="n">
        <f aca="false">C725-C726-C727</f>
        <v>7.908</v>
      </c>
      <c r="D728" s="23" t="n">
        <f aca="false">D725-D726-D727</f>
        <v>12.2375212108949</v>
      </c>
      <c r="E728" s="23" t="n">
        <f aca="false">E725-E726-E727</f>
        <v>13.8864739419786</v>
      </c>
      <c r="F728" s="23" t="n">
        <f aca="false">F725-F726-F727</f>
        <v>12.8973494507953</v>
      </c>
      <c r="G728" s="23" t="n">
        <f aca="false">G725-G726-G727</f>
        <v>13.4168177594203</v>
      </c>
      <c r="H728" s="29" t="n">
        <f aca="false">H709*H732</f>
        <v>13.9455833418373</v>
      </c>
      <c r="I728" s="29" t="n">
        <f aca="false">I709*I732</f>
        <v>14.2406207344691</v>
      </c>
      <c r="J728" s="29" t="n">
        <f aca="false">J709*J732</f>
        <v>14.2813082222819</v>
      </c>
    </row>
    <row r="729" customFormat="false" ht="15" hidden="false" customHeight="false" outlineLevel="0" collapsed="false">
      <c r="A729" s="4" t="s">
        <v>569</v>
      </c>
      <c r="B729" s="4" t="s">
        <v>265</v>
      </c>
      <c r="C729" s="10" t="n">
        <f aca="false">a25_sh</f>
        <v>1.8739336492891</v>
      </c>
      <c r="D729" s="10" t="n">
        <f aca="false">a26_sh</f>
        <v>1.90613591916558</v>
      </c>
      <c r="E729" s="10" t="n">
        <f aca="false">q_sh*(1+sh_g)</f>
        <v>1.90705128205128</v>
      </c>
      <c r="F729" s="10" t="n">
        <f aca="false">E729*(1+sh_g)</f>
        <v>1.90705128205128</v>
      </c>
      <c r="G729" s="10" t="n">
        <f aca="false">F729*(1+sh_g)</f>
        <v>1.90705128205128</v>
      </c>
      <c r="H729" s="31" t="n">
        <f aca="false">G729*(1+sh_g)</f>
        <v>1.90705128205128</v>
      </c>
      <c r="I729" s="31" t="n">
        <f aca="false">H729*(1+sh_g)</f>
        <v>1.90705128205128</v>
      </c>
      <c r="J729" s="31" t="n">
        <f aca="false">I729*(1+sh_g)</f>
        <v>1.90705128205128</v>
      </c>
    </row>
    <row r="730" customFormat="false" ht="17.15" hidden="false" customHeight="false" outlineLevel="0" collapsed="false">
      <c r="A730" s="0" t="s">
        <v>442</v>
      </c>
      <c r="B730" s="0" t="s">
        <v>274</v>
      </c>
      <c r="C730" s="23" t="n">
        <f aca="false">C728/C729</f>
        <v>4.22</v>
      </c>
      <c r="D730" s="23" t="n">
        <f aca="false">D728/D729</f>
        <v>6.42006747150118</v>
      </c>
      <c r="E730" s="23" t="n">
        <f aca="false">E728/E729</f>
        <v>7.28164684016358</v>
      </c>
      <c r="F730" s="23" t="n">
        <f aca="false">F728/F729</f>
        <v>6.76297988008089</v>
      </c>
      <c r="G730" s="23" t="n">
        <f aca="false">G728/G729</f>
        <v>7.03537334611617</v>
      </c>
      <c r="H730" s="29" t="n">
        <f aca="false">H728/H729</f>
        <v>7.31264202126594</v>
      </c>
      <c r="I730" s="29" t="n">
        <f aca="false">I728/I729</f>
        <v>7.46735070446112</v>
      </c>
      <c r="J730" s="29" t="n">
        <f aca="false">J728/J729</f>
        <v>7.48868599218815</v>
      </c>
    </row>
    <row r="731" customFormat="false" ht="17.15" hidden="false" customHeight="false" outlineLevel="0" collapsed="false">
      <c r="A731" s="0" t="s">
        <v>570</v>
      </c>
      <c r="B731" s="0" t="s">
        <v>48</v>
      </c>
      <c r="D731" s="20" t="n">
        <f aca="false">D730/C730-1</f>
        <v>0.521343002725398</v>
      </c>
      <c r="E731" s="20" t="n">
        <f aca="false">E730/D730-1</f>
        <v>0.134200983476727</v>
      </c>
      <c r="F731" s="20" t="n">
        <f aca="false">F730/E730-1</f>
        <v>-0.0712293484520374</v>
      </c>
      <c r="G731" s="20" t="n">
        <f aca="false">G730/F730-1</f>
        <v>0.0402771368339516</v>
      </c>
      <c r="H731" s="27" t="n">
        <f aca="false">H730/G730-1</f>
        <v>0.0394106554846643</v>
      </c>
      <c r="I731" s="27" t="n">
        <f aca="false">I730/H730-1</f>
        <v>0.0211563321088695</v>
      </c>
      <c r="J731" s="27" t="n">
        <f aca="false">J730/I730-1</f>
        <v>0.00285714285714289</v>
      </c>
    </row>
    <row r="732" customFormat="false" ht="17.15" hidden="false" customHeight="false" outlineLevel="0" collapsed="false">
      <c r="A732" s="4" t="s">
        <v>571</v>
      </c>
      <c r="B732" s="0" t="s">
        <v>48</v>
      </c>
      <c r="C732" s="16" t="n">
        <f aca="false">C728/C709</f>
        <v>0.162746187565599</v>
      </c>
      <c r="D732" s="16" t="n">
        <f aca="false">D728/D709</f>
        <v>0.208646059676249</v>
      </c>
      <c r="E732" s="16" t="n">
        <f aca="false">E728/E709</f>
        <v>0.193287762954573</v>
      </c>
      <c r="F732" s="16" t="n">
        <f aca="false">F728/F709</f>
        <v>0.16327379508412</v>
      </c>
      <c r="G732" s="16" t="n">
        <f aca="false">G728/G709</f>
        <v>0.155415245162</v>
      </c>
      <c r="H732" s="28" t="n">
        <f aca="false">$G732+($G$732*0.9-$G732)*1/3</f>
        <v>0.150234736989933</v>
      </c>
      <c r="I732" s="28" t="n">
        <f aca="false">$G732+($G$732*0.9-$G732)*2/3</f>
        <v>0.145054228817866</v>
      </c>
      <c r="J732" s="28" t="n">
        <f aca="false">$G732+($G$732*0.9-$G732)*3/3</f>
        <v>0.1398737206458</v>
      </c>
    </row>
    <row r="735" customFormat="false" ht="17.15" hidden="false" customHeight="false" outlineLevel="0" collapsed="false">
      <c r="A735" s="1" t="s">
        <v>862</v>
      </c>
    </row>
    <row r="736" customFormat="false" ht="17.15" hidden="false" customHeight="false" outlineLevel="0" collapsed="false">
      <c r="A736" s="5" t="s">
        <v>24</v>
      </c>
      <c r="B736" s="5" t="s">
        <v>25</v>
      </c>
      <c r="C736" s="17" t="s">
        <v>394</v>
      </c>
      <c r="D736" s="17" t="s">
        <v>521</v>
      </c>
      <c r="E736" s="17" t="s">
        <v>480</v>
      </c>
      <c r="F736" s="17" t="s">
        <v>481</v>
      </c>
      <c r="G736" s="17" t="s">
        <v>482</v>
      </c>
      <c r="H736" s="17" t="s">
        <v>522</v>
      </c>
      <c r="I736" s="17" t="s">
        <v>523</v>
      </c>
      <c r="J736" s="17" t="s">
        <v>524</v>
      </c>
      <c r="K736" s="5" t="s">
        <v>357</v>
      </c>
    </row>
    <row r="737" customFormat="false" ht="17.15" hidden="false" customHeight="false" outlineLevel="0" collapsed="false">
      <c r="A737" s="6" t="s">
        <v>542</v>
      </c>
    </row>
    <row r="738" customFormat="false" ht="17.15" hidden="false" customHeight="false" outlineLevel="0" collapsed="false">
      <c r="A738" s="4" t="s">
        <v>543</v>
      </c>
      <c r="B738" s="4" t="s">
        <v>42</v>
      </c>
      <c r="D738" s="22" t="n">
        <f aca="false">cap_26</f>
        <v>3306</v>
      </c>
      <c r="E738" s="22" t="n">
        <f aca="false">D738*(1+capg27)*cap_adj</f>
        <v>3306</v>
      </c>
      <c r="F738" s="22" t="n">
        <f aca="false">E738*(1+capg28)</f>
        <v>3306</v>
      </c>
      <c r="G738" s="22" t="n">
        <f aca="false">F738*(1+capg29)</f>
        <v>3306</v>
      </c>
    </row>
    <row r="739" customFormat="false" ht="15" hidden="false" customHeight="false" outlineLevel="0" collapsed="false">
      <c r="A739" s="4" t="s">
        <v>544</v>
      </c>
      <c r="B739" s="0" t="s">
        <v>48</v>
      </c>
      <c r="D739" s="20" t="n">
        <f aca="false">a26_ship/cap_26</f>
        <v>0.8725</v>
      </c>
      <c r="E739" s="20" t="n">
        <f aca="false">MIN(0.98,ut27_C+ut_adj_hi)</f>
        <v>0.83</v>
      </c>
      <c r="F739" s="20" t="n">
        <f aca="false">MIN(0.98,ut28_C+ut_adj_hi)</f>
        <v>0.77</v>
      </c>
      <c r="G739" s="20" t="n">
        <f aca="false">MIN(0.98,ut29_C+ut_adj_hi)</f>
        <v>0.81</v>
      </c>
    </row>
    <row r="740" customFormat="false" ht="17.15" hidden="false" customHeight="false" outlineLevel="0" collapsed="false">
      <c r="A740" s="4" t="s">
        <v>545</v>
      </c>
      <c r="B740" s="4" t="s">
        <v>42</v>
      </c>
      <c r="D740" s="22" t="n">
        <f aca="false">D738*D739</f>
        <v>2884.485</v>
      </c>
      <c r="E740" s="22" t="n">
        <f aca="false">E738*E739</f>
        <v>2743.98</v>
      </c>
      <c r="F740" s="22" t="n">
        <f aca="false">F738*F739</f>
        <v>2545.62</v>
      </c>
      <c r="G740" s="22" t="n">
        <f aca="false">G738*G739</f>
        <v>2677.86</v>
      </c>
    </row>
    <row r="741" customFormat="false" ht="17.15" hidden="false" customHeight="false" outlineLevel="0" collapsed="false">
      <c r="A741" s="4" t="s">
        <v>546</v>
      </c>
      <c r="B741" s="0" t="s">
        <v>89</v>
      </c>
      <c r="D741" s="22" t="n">
        <f aca="false">asp_26</f>
        <v>643.469405492234</v>
      </c>
      <c r="E741" s="22" t="n">
        <f aca="false">D741*(1+asp27_C)*(1+asp_adj)</f>
        <v>624.165323327467</v>
      </c>
      <c r="F741" s="22" t="n">
        <f aca="false">E741*(1+asp28_C)</f>
        <v>592.957057161093</v>
      </c>
      <c r="G741" s="22" t="n">
        <f aca="false">F741*(1+asp29_C)</f>
        <v>581.097916017871</v>
      </c>
    </row>
    <row r="742" customFormat="false" ht="15" hidden="false" customHeight="false" outlineLevel="0" collapsed="false">
      <c r="A742" s="4" t="s">
        <v>547</v>
      </c>
      <c r="B742" s="0" t="s">
        <v>48</v>
      </c>
      <c r="E742" s="20" t="n">
        <f aca="false">E741/D741-1</f>
        <v>-0.03</v>
      </c>
      <c r="F742" s="20" t="n">
        <f aca="false">F741/E741-1</f>
        <v>-0.05</v>
      </c>
      <c r="G742" s="20" t="n">
        <f aca="false">G741/F741-1</f>
        <v>-0.02</v>
      </c>
    </row>
    <row r="743" customFormat="false" ht="15" hidden="false" customHeight="false" outlineLevel="0" collapsed="false">
      <c r="A743" s="4" t="s">
        <v>548</v>
      </c>
      <c r="B743" s="0" t="s">
        <v>35</v>
      </c>
      <c r="D743" s="23" t="n">
        <f aca="false">fx_26</f>
        <v>31.6</v>
      </c>
      <c r="E743" s="23" t="n">
        <f aca="false">fx</f>
        <v>32</v>
      </c>
      <c r="F743" s="23" t="n">
        <f aca="false">fx</f>
        <v>32</v>
      </c>
      <c r="G743" s="23" t="n">
        <f aca="false">fx</f>
        <v>32</v>
      </c>
    </row>
    <row r="744" customFormat="false" ht="17.15" hidden="false" customHeight="false" outlineLevel="0" collapsed="false">
      <c r="A744" s="0" t="s">
        <v>549</v>
      </c>
      <c r="B744" s="0" t="s">
        <v>184</v>
      </c>
      <c r="D744" s="23" t="n">
        <f aca="false">D740*D741*D743/1000000</f>
        <v>58.65206</v>
      </c>
      <c r="E744" s="23" t="n">
        <f aca="false">E740*E741*E743/1000000</f>
        <v>54.8063092449313</v>
      </c>
      <c r="F744" s="23" t="n">
        <f aca="false">F740*F741*F743/1000000</f>
        <v>48.3021870032135</v>
      </c>
      <c r="G744" s="23" t="n">
        <f aca="false">G740*G741*G743/1000000</f>
        <v>49.7951636924038</v>
      </c>
    </row>
    <row r="745" customFormat="false" ht="17.15" hidden="false" customHeight="false" outlineLevel="0" collapsed="false">
      <c r="A745" s="6" t="s">
        <v>550</v>
      </c>
    </row>
    <row r="746" customFormat="false" ht="17.15" hidden="false" customHeight="false" outlineLevel="0" collapsed="false">
      <c r="A746" s="0" t="s">
        <v>551</v>
      </c>
      <c r="B746" s="4" t="s">
        <v>42</v>
      </c>
      <c r="D746" s="22" t="n">
        <f aca="false">0</f>
        <v>0</v>
      </c>
      <c r="E746" s="22" t="n">
        <f aca="false">vcap27*vcap_adj</f>
        <v>144</v>
      </c>
      <c r="F746" s="22" t="n">
        <f aca="false">vcap28*vcap_adj</f>
        <v>360</v>
      </c>
      <c r="G746" s="22" t="n">
        <f aca="false">vcap29*vcap_adj</f>
        <v>504</v>
      </c>
    </row>
    <row r="747" customFormat="false" ht="17.15" hidden="false" customHeight="false" outlineLevel="0" collapsed="false">
      <c r="A747" s="0" t="s">
        <v>552</v>
      </c>
      <c r="B747" s="0" t="s">
        <v>48</v>
      </c>
      <c r="E747" s="20" t="n">
        <f aca="false">vut_C</f>
        <v>0.65</v>
      </c>
      <c r="F747" s="20" t="n">
        <f aca="false">vut_C</f>
        <v>0.65</v>
      </c>
      <c r="G747" s="20" t="n">
        <f aca="false">vut_C</f>
        <v>0.65</v>
      </c>
    </row>
    <row r="748" customFormat="false" ht="17.15" hidden="false" customHeight="false" outlineLevel="0" collapsed="false">
      <c r="A748" s="0" t="s">
        <v>553</v>
      </c>
      <c r="B748" s="4" t="s">
        <v>42</v>
      </c>
      <c r="D748" s="22" t="n">
        <f aca="false">0</f>
        <v>0</v>
      </c>
      <c r="E748" s="22" t="n">
        <f aca="false">E746*E747</f>
        <v>93.6</v>
      </c>
      <c r="F748" s="22" t="n">
        <f aca="false">F746*F747</f>
        <v>234</v>
      </c>
      <c r="G748" s="22" t="n">
        <f aca="false">G746*G747</f>
        <v>327.6</v>
      </c>
    </row>
    <row r="749" customFormat="false" ht="17.15" hidden="false" customHeight="false" outlineLevel="0" collapsed="false">
      <c r="A749" s="0" t="s">
        <v>554</v>
      </c>
      <c r="B749" s="0" t="s">
        <v>184</v>
      </c>
      <c r="D749" s="23" t="n">
        <f aca="false">0</f>
        <v>0</v>
      </c>
      <c r="E749" s="23" t="n">
        <f aca="false">E748*vasp*E743/1000000</f>
        <v>5.39136</v>
      </c>
      <c r="F749" s="23" t="n">
        <f aca="false">F748*vasp*F743/1000000</f>
        <v>13.4784</v>
      </c>
      <c r="G749" s="23" t="n">
        <f aca="false">G748*vasp*G743/1000000</f>
        <v>18.86976</v>
      </c>
    </row>
    <row r="750" customFormat="false" ht="17.15" hidden="false" customHeight="false" outlineLevel="0" collapsed="false">
      <c r="A750" s="4" t="s">
        <v>400</v>
      </c>
      <c r="B750" s="0" t="s">
        <v>184</v>
      </c>
      <c r="C750" s="23" t="n">
        <f aca="false">a25_rev</f>
        <v>48.591</v>
      </c>
      <c r="D750" s="23" t="n">
        <f aca="false">D744+D749</f>
        <v>58.65206</v>
      </c>
      <c r="E750" s="23" t="n">
        <f aca="false">E744+E749</f>
        <v>60.1976692449313</v>
      </c>
      <c r="F750" s="23" t="n">
        <f aca="false">F744+F749</f>
        <v>61.7805870032135</v>
      </c>
      <c r="G750" s="23" t="n">
        <f aca="false">G744+G749</f>
        <v>68.6649236924038</v>
      </c>
      <c r="H750" s="29" t="n">
        <f aca="false">G750*(1+H753)</f>
        <v>74.2236714193312</v>
      </c>
      <c r="I750" s="29" t="n">
        <f aca="false">H750*(1+I753)</f>
        <v>77.9702853511757</v>
      </c>
      <c r="J750" s="29" t="n">
        <f aca="false">I750*(1+J753)</f>
        <v>79.5296910581992</v>
      </c>
      <c r="K750" s="8" t="s">
        <v>555</v>
      </c>
    </row>
    <row r="751" customFormat="false" ht="17.15" hidden="false" customHeight="false" outlineLevel="0" collapsed="false">
      <c r="A751" s="0" t="s">
        <v>556</v>
      </c>
      <c r="B751" s="0" t="s">
        <v>48</v>
      </c>
      <c r="D751" s="20" t="n">
        <f aca="false">D749/D750</f>
        <v>0</v>
      </c>
      <c r="E751" s="20" t="n">
        <f aca="false">E749/E750</f>
        <v>0.0895609426016766</v>
      </c>
      <c r="F751" s="20" t="n">
        <f aca="false">F749/F750</f>
        <v>0.2181656189071</v>
      </c>
      <c r="G751" s="20" t="n">
        <f aca="false">G749/G750</f>
        <v>0.274809305614761</v>
      </c>
    </row>
    <row r="752" customFormat="false" ht="17.15" hidden="false" customHeight="false" outlineLevel="0" collapsed="false">
      <c r="A752" s="0" t="s">
        <v>557</v>
      </c>
      <c r="B752" s="0" t="s">
        <v>48</v>
      </c>
      <c r="D752" s="20" t="n">
        <f aca="false">ai_sh26</f>
        <v>0.1</v>
      </c>
      <c r="E752" s="20" t="n">
        <f aca="false">ai_sh27_C</f>
        <v>0.15</v>
      </c>
      <c r="F752" s="20" t="n">
        <f aca="false">ai_sh27_C</f>
        <v>0.15</v>
      </c>
      <c r="G752" s="20" t="n">
        <f aca="false">ai_sh27_C</f>
        <v>0.15</v>
      </c>
    </row>
    <row r="753" customFormat="false" ht="15" hidden="false" customHeight="false" outlineLevel="0" collapsed="false">
      <c r="A753" s="4" t="s">
        <v>558</v>
      </c>
      <c r="B753" s="0" t="s">
        <v>48</v>
      </c>
      <c r="D753" s="20" t="n">
        <f aca="false">D750/C750-1</f>
        <v>0.207056039184211</v>
      </c>
      <c r="E753" s="20" t="n">
        <f aca="false">E750/D750-1</f>
        <v>0.0263521732217293</v>
      </c>
      <c r="F753" s="20" t="n">
        <f aca="false">F750/E750-1</f>
        <v>0.0262953329944005</v>
      </c>
      <c r="G753" s="20" t="n">
        <f aca="false">G750/F750-1</f>
        <v>0.111432037523893</v>
      </c>
      <c r="H753" s="27" t="n">
        <f aca="false">$G753+(fade_gC-$G753)*1/3</f>
        <v>0.0809546916825954</v>
      </c>
      <c r="I753" s="27" t="n">
        <f aca="false">$G753+(fade_gC-$G753)*2/3</f>
        <v>0.0504773458412977</v>
      </c>
      <c r="J753" s="27" t="n">
        <f aca="false">$G753+(fade_gC-$G753)*3/3</f>
        <v>0.02</v>
      </c>
    </row>
    <row r="754" customFormat="false" ht="17.15" hidden="false" customHeight="false" outlineLevel="0" collapsed="false">
      <c r="A754" s="6" t="s">
        <v>559</v>
      </c>
    </row>
    <row r="755" customFormat="false" ht="15" hidden="false" customHeight="false" outlineLevel="0" collapsed="false">
      <c r="A755" s="4" t="s">
        <v>560</v>
      </c>
      <c r="B755" s="0" t="s">
        <v>184</v>
      </c>
      <c r="D755" s="23" t="n">
        <f aca="false">da_tot26*da_sh</f>
        <v>8.658</v>
      </c>
      <c r="E755" s="23" t="n">
        <f aca="false">D755*(1+dag_27+dag_adj)</f>
        <v>8.91774</v>
      </c>
      <c r="F755" s="23" t="n">
        <f aca="false">E755*(1+dag_28+dag_adj)</f>
        <v>9.0960948</v>
      </c>
      <c r="G755" s="23" t="n">
        <f aca="false">F755*(1+dag_29+dag_adj)</f>
        <v>9.0960948</v>
      </c>
    </row>
    <row r="756" customFormat="false" ht="17.15" hidden="false" customHeight="false" outlineLevel="0" collapsed="false">
      <c r="A756" s="4" t="s">
        <v>561</v>
      </c>
      <c r="B756" s="0" t="s">
        <v>562</v>
      </c>
      <c r="D756" s="23" t="n">
        <f aca="false">(D744-a26_gp-D755)/D740*1000</f>
        <v>10.7339918911001</v>
      </c>
      <c r="E756" s="23" t="n">
        <f aca="false">D756*(1+cc_g)</f>
        <v>10.9486717289221</v>
      </c>
      <c r="F756" s="23" t="n">
        <f aca="false">E756*(1+cc_g)</f>
        <v>11.1676451635006</v>
      </c>
      <c r="G756" s="23" t="n">
        <f aca="false">F756*(1+cc_g)</f>
        <v>11.3909980667706</v>
      </c>
      <c r="K756" s="8" t="s">
        <v>563</v>
      </c>
    </row>
    <row r="757" customFormat="false" ht="17.15" hidden="false" customHeight="false" outlineLevel="0" collapsed="false">
      <c r="A757" s="4" t="s">
        <v>564</v>
      </c>
      <c r="B757" s="0" t="s">
        <v>184</v>
      </c>
      <c r="D757" s="23" t="n">
        <f aca="false">D756*D740/1000</f>
        <v>30.9620386</v>
      </c>
      <c r="E757" s="23" t="n">
        <f aca="false">E756*E740/1000</f>
        <v>30.0429362507278</v>
      </c>
      <c r="F757" s="23" t="n">
        <f aca="false">F756*F740/1000</f>
        <v>28.4285808811104</v>
      </c>
      <c r="G757" s="23" t="n">
        <f aca="false">G756*G740/1000</f>
        <v>30.5034980830823</v>
      </c>
    </row>
    <row r="758" customFormat="false" ht="17.15" hidden="false" customHeight="false" outlineLevel="0" collapsed="false">
      <c r="A758" s="0" t="s">
        <v>565</v>
      </c>
      <c r="B758" s="0" t="s">
        <v>48</v>
      </c>
      <c r="E758" s="20" t="n">
        <f aca="false">vgm27_C</f>
        <v>-0.2</v>
      </c>
      <c r="F758" s="20" t="n">
        <f aca="false">vgm28_C</f>
        <v>0</v>
      </c>
      <c r="G758" s="20" t="n">
        <f aca="false">vgm29_C</f>
        <v>0.05</v>
      </c>
    </row>
    <row r="759" customFormat="false" ht="17.15" hidden="false" customHeight="false" outlineLevel="0" collapsed="false">
      <c r="A759" s="0" t="s">
        <v>566</v>
      </c>
      <c r="B759" s="0" t="s">
        <v>184</v>
      </c>
      <c r="D759" s="23" t="n">
        <f aca="false">0</f>
        <v>0</v>
      </c>
      <c r="E759" s="23" t="n">
        <f aca="false">E749*E758</f>
        <v>-1.078272</v>
      </c>
      <c r="F759" s="23" t="n">
        <f aca="false">F749*F758</f>
        <v>0</v>
      </c>
      <c r="G759" s="23" t="n">
        <f aca="false">G749*G758</f>
        <v>0.943488</v>
      </c>
    </row>
    <row r="760" customFormat="false" ht="15" hidden="false" customHeight="false" outlineLevel="0" collapsed="false">
      <c r="A760" s="4" t="s">
        <v>417</v>
      </c>
      <c r="B760" s="0" t="s">
        <v>184</v>
      </c>
      <c r="C760" s="23" t="n">
        <f aca="false">a25_gp</f>
        <v>13.654</v>
      </c>
      <c r="D760" s="23" t="n">
        <f aca="false">D744-D755-D757+D759</f>
        <v>19.0320214</v>
      </c>
      <c r="E760" s="23" t="n">
        <f aca="false">E744-E755-E757+E759</f>
        <v>14.7673609942035</v>
      </c>
      <c r="F760" s="23" t="n">
        <f aca="false">F744-F755-F757+F759</f>
        <v>10.7775113221031</v>
      </c>
      <c r="G760" s="23" t="n">
        <f aca="false">G744-G755-G757+G759</f>
        <v>11.1390588093214</v>
      </c>
    </row>
    <row r="761" customFormat="false" ht="15" hidden="false" customHeight="false" outlineLevel="0" collapsed="false">
      <c r="A761" s="4" t="s">
        <v>420</v>
      </c>
      <c r="B761" s="0" t="s">
        <v>48</v>
      </c>
      <c r="C761" s="16" t="n">
        <f aca="false">C760/C750</f>
        <v>0.280998538824062</v>
      </c>
      <c r="D761" s="16" t="n">
        <f aca="false">D760/D750</f>
        <v>0.324490246378388</v>
      </c>
      <c r="E761" s="16" t="n">
        <f aca="false">E760/E750</f>
        <v>0.24531449771117</v>
      </c>
      <c r="F761" s="16" t="n">
        <f aca="false">F760/F750</f>
        <v>0.174448185828059</v>
      </c>
      <c r="G761" s="16" t="n">
        <f aca="false">G760/G750</f>
        <v>0.162223420784981</v>
      </c>
    </row>
    <row r="762" customFormat="false" ht="15" hidden="false" customHeight="false" outlineLevel="0" collapsed="false">
      <c r="A762" s="4" t="s">
        <v>422</v>
      </c>
      <c r="B762" s="0" t="s">
        <v>184</v>
      </c>
      <c r="C762" s="23" t="n">
        <f aca="false">a25_opx</f>
        <v>5.881</v>
      </c>
      <c r="D762" s="23" t="n">
        <f aca="false">a26_opx</f>
        <v>6.824187</v>
      </c>
      <c r="E762" s="23" t="n">
        <f aca="false">D762*(1+MAX(g_opx_min,phi*E753))</f>
        <v>7.02891261</v>
      </c>
      <c r="F762" s="23" t="n">
        <f aca="false">E762*(1+MAX(g_opx_min,phi*F753))</f>
        <v>7.2397799883</v>
      </c>
      <c r="G762" s="23" t="n">
        <f aca="false">F762*(1+MAX(g_opx_min,phi*G753))</f>
        <v>7.64315170596049</v>
      </c>
    </row>
    <row r="763" customFormat="false" ht="15" hidden="false" customHeight="false" outlineLevel="0" collapsed="false">
      <c r="A763" s="4" t="s">
        <v>425</v>
      </c>
      <c r="B763" s="0" t="s">
        <v>184</v>
      </c>
      <c r="C763" s="23" t="n">
        <f aca="false">C760-C762</f>
        <v>7.773</v>
      </c>
      <c r="D763" s="23" t="n">
        <f aca="false">D760-D762</f>
        <v>12.2078344</v>
      </c>
      <c r="E763" s="23" t="n">
        <f aca="false">E760-E762</f>
        <v>7.73844838420347</v>
      </c>
      <c r="F763" s="23" t="n">
        <f aca="false">F760-F762</f>
        <v>3.53773133380314</v>
      </c>
      <c r="G763" s="23" t="n">
        <f aca="false">G760-G762</f>
        <v>3.49590710336094</v>
      </c>
    </row>
    <row r="764" customFormat="false" ht="15" hidden="false" customHeight="false" outlineLevel="0" collapsed="false">
      <c r="A764" s="4" t="s">
        <v>531</v>
      </c>
      <c r="B764" s="0" t="s">
        <v>48</v>
      </c>
      <c r="C764" s="16" t="n">
        <f aca="false">C763/C750</f>
        <v>0.159967895289251</v>
      </c>
      <c r="D764" s="16" t="n">
        <f aca="false">D763/D750</f>
        <v>0.208139908470393</v>
      </c>
      <c r="E764" s="16" t="n">
        <f aca="false">E763/E750</f>
        <v>0.128550631299651</v>
      </c>
      <c r="F764" s="16" t="n">
        <f aca="false">F763/F750</f>
        <v>0.0572628313424592</v>
      </c>
      <c r="G764" s="16" t="n">
        <f aca="false">G763/G750</f>
        <v>0.0509125608152053</v>
      </c>
    </row>
    <row r="765" customFormat="false" ht="15" hidden="false" customHeight="false" outlineLevel="0" collapsed="false">
      <c r="A765" s="4" t="s">
        <v>428</v>
      </c>
      <c r="B765" s="0" t="s">
        <v>184</v>
      </c>
      <c r="C765" s="23" t="n">
        <f aca="false">a25_nonop</f>
        <v>1.479</v>
      </c>
      <c r="D765" s="23" t="n">
        <f aca="false">a26_nonop</f>
        <v>2.10950832169955</v>
      </c>
      <c r="E765" s="23" t="n">
        <f aca="false">nonop_f</f>
        <v>1.5</v>
      </c>
      <c r="F765" s="23" t="n">
        <f aca="false">nonop_f</f>
        <v>1.5</v>
      </c>
      <c r="G765" s="23" t="n">
        <f aca="false">nonop_f</f>
        <v>1.5</v>
      </c>
    </row>
    <row r="766" customFormat="false" ht="15" hidden="false" customHeight="false" outlineLevel="0" collapsed="false">
      <c r="A766" s="4" t="s">
        <v>430</v>
      </c>
      <c r="B766" s="0" t="s">
        <v>184</v>
      </c>
      <c r="C766" s="23" t="n">
        <f aca="false">C763+C765</f>
        <v>9.252</v>
      </c>
      <c r="D766" s="23" t="n">
        <f aca="false">D763+D765</f>
        <v>14.3173427216995</v>
      </c>
      <c r="E766" s="23" t="n">
        <f aca="false">E763+E765</f>
        <v>9.23844838420347</v>
      </c>
      <c r="F766" s="23" t="n">
        <f aca="false">F763+F765</f>
        <v>5.03773133380314</v>
      </c>
      <c r="G766" s="23" t="n">
        <f aca="false">G763+G765</f>
        <v>4.99590710336094</v>
      </c>
    </row>
    <row r="767" customFormat="false" ht="15" hidden="false" customHeight="false" outlineLevel="0" collapsed="false">
      <c r="A767" s="4" t="s">
        <v>432</v>
      </c>
      <c r="B767" s="0" t="s">
        <v>184</v>
      </c>
      <c r="C767" s="23" t="n">
        <f aca="false">a25_tax</f>
        <v>1.344</v>
      </c>
      <c r="D767" s="23" t="n">
        <f aca="false">a26_tax</f>
        <v>2.0798215108046</v>
      </c>
      <c r="E767" s="23" t="n">
        <f aca="false">E766*tax</f>
        <v>1.38576725763052</v>
      </c>
      <c r="F767" s="23" t="n">
        <f aca="false">F766*tax</f>
        <v>0.755659700070472</v>
      </c>
      <c r="G767" s="23" t="n">
        <f aca="false">G766*tax</f>
        <v>0.74938606550414</v>
      </c>
    </row>
    <row r="768" customFormat="false" ht="17.15" hidden="false" customHeight="false" outlineLevel="0" collapsed="false">
      <c r="A768" s="4" t="s">
        <v>567</v>
      </c>
      <c r="B768" s="0" t="s">
        <v>184</v>
      </c>
      <c r="C768" s="23" t="n">
        <f aca="false">a25_mi</f>
        <v>0</v>
      </c>
      <c r="D768" s="23" t="n">
        <f aca="false">a26_mi</f>
        <v>0</v>
      </c>
      <c r="E768" s="23" t="n">
        <f aca="false">vmi*E759*(1-tax)</f>
        <v>-0.36661248</v>
      </c>
      <c r="F768" s="23" t="n">
        <f aca="false">vmi*F759*(1-tax)</f>
        <v>0</v>
      </c>
      <c r="G768" s="23" t="n">
        <f aca="false">vmi*G759*(1-tax)</f>
        <v>0.32078592</v>
      </c>
      <c r="K768" s="8" t="s">
        <v>568</v>
      </c>
    </row>
    <row r="769" customFormat="false" ht="15" hidden="false" customHeight="false" outlineLevel="0" collapsed="false">
      <c r="A769" s="4" t="s">
        <v>435</v>
      </c>
      <c r="B769" s="0" t="s">
        <v>184</v>
      </c>
      <c r="C769" s="23" t="n">
        <f aca="false">C766-C767-C768</f>
        <v>7.908</v>
      </c>
      <c r="D769" s="23" t="n">
        <f aca="false">D766-D767-D768</f>
        <v>12.2375212108949</v>
      </c>
      <c r="E769" s="23" t="n">
        <f aca="false">E766-E767-E768</f>
        <v>8.21929360657295</v>
      </c>
      <c r="F769" s="23" t="n">
        <f aca="false">F766-F767-F768</f>
        <v>4.28207163373267</v>
      </c>
      <c r="G769" s="23" t="n">
        <f aca="false">G766-G767-G768</f>
        <v>3.92573511785679</v>
      </c>
      <c r="H769" s="29" t="n">
        <f aca="false">H750*H773</f>
        <v>3.96063900768707</v>
      </c>
      <c r="I769" s="29" t="n">
        <f aca="false">I750*I773</f>
        <v>3.86337858458558</v>
      </c>
      <c r="J769" s="29" t="n">
        <f aca="false">J750*J773</f>
        <v>3.63751952887134</v>
      </c>
    </row>
    <row r="770" customFormat="false" ht="15" hidden="false" customHeight="false" outlineLevel="0" collapsed="false">
      <c r="A770" s="4" t="s">
        <v>569</v>
      </c>
      <c r="B770" s="4" t="s">
        <v>265</v>
      </c>
      <c r="C770" s="10" t="n">
        <f aca="false">a25_sh</f>
        <v>1.8739336492891</v>
      </c>
      <c r="D770" s="10" t="n">
        <f aca="false">a26_sh</f>
        <v>1.90613591916558</v>
      </c>
      <c r="E770" s="10" t="n">
        <f aca="false">q_sh*(1+sh_g)</f>
        <v>1.90705128205128</v>
      </c>
      <c r="F770" s="10" t="n">
        <f aca="false">E770*(1+sh_g)</f>
        <v>1.90705128205128</v>
      </c>
      <c r="G770" s="10" t="n">
        <f aca="false">F770*(1+sh_g)</f>
        <v>1.90705128205128</v>
      </c>
      <c r="H770" s="31" t="n">
        <f aca="false">G770*(1+sh_g)</f>
        <v>1.90705128205128</v>
      </c>
      <c r="I770" s="31" t="n">
        <f aca="false">H770*(1+sh_g)</f>
        <v>1.90705128205128</v>
      </c>
      <c r="J770" s="31" t="n">
        <f aca="false">I770*(1+sh_g)</f>
        <v>1.90705128205128</v>
      </c>
    </row>
    <row r="771" customFormat="false" ht="17.15" hidden="false" customHeight="false" outlineLevel="0" collapsed="false">
      <c r="A771" s="0" t="s">
        <v>442</v>
      </c>
      <c r="B771" s="0" t="s">
        <v>274</v>
      </c>
      <c r="C771" s="23" t="n">
        <f aca="false">C769/C770</f>
        <v>4.22</v>
      </c>
      <c r="D771" s="23" t="n">
        <f aca="false">D769/D770</f>
        <v>6.42006747150118</v>
      </c>
      <c r="E771" s="23" t="n">
        <f aca="false">E769/E770</f>
        <v>4.30994891638783</v>
      </c>
      <c r="F771" s="23" t="n">
        <f aca="false">F769/F770</f>
        <v>2.24538882306654</v>
      </c>
      <c r="G771" s="23" t="n">
        <f aca="false">G769/G770</f>
        <v>2.05853673406945</v>
      </c>
      <c r="H771" s="29" t="n">
        <f aca="false">H769/H770</f>
        <v>2.07683927798045</v>
      </c>
      <c r="I771" s="29" t="n">
        <f aca="false">I769/I770</f>
        <v>2.02583885443815</v>
      </c>
      <c r="J771" s="29" t="n">
        <f aca="false">J769/J770</f>
        <v>1.90740519833254</v>
      </c>
    </row>
    <row r="772" customFormat="false" ht="17.15" hidden="false" customHeight="false" outlineLevel="0" collapsed="false">
      <c r="A772" s="0" t="s">
        <v>570</v>
      </c>
      <c r="B772" s="0" t="s">
        <v>48</v>
      </c>
      <c r="D772" s="20" t="n">
        <f aca="false">D771/C771-1</f>
        <v>0.521343002725398</v>
      </c>
      <c r="E772" s="20" t="n">
        <f aca="false">E771/D771-1</f>
        <v>-0.328675448424835</v>
      </c>
      <c r="F772" s="20" t="n">
        <f aca="false">F771/E771-1</f>
        <v>-0.479021940485456</v>
      </c>
      <c r="G772" s="20" t="n">
        <f aca="false">G771/F771-1</f>
        <v>-0.0832159165831748</v>
      </c>
      <c r="H772" s="27" t="n">
        <f aca="false">H771/G771-1</f>
        <v>0.00889104557042231</v>
      </c>
      <c r="I772" s="27" t="n">
        <f aca="false">I771/H771-1</f>
        <v>-0.0245567502902235</v>
      </c>
      <c r="J772" s="27" t="n">
        <f aca="false">J771/I771-1</f>
        <v>-0.0584615384615385</v>
      </c>
    </row>
    <row r="773" customFormat="false" ht="17.15" hidden="false" customHeight="false" outlineLevel="0" collapsed="false">
      <c r="A773" s="4" t="s">
        <v>571</v>
      </c>
      <c r="B773" s="0" t="s">
        <v>48</v>
      </c>
      <c r="C773" s="16" t="n">
        <f aca="false">C769/C750</f>
        <v>0.162746187565599</v>
      </c>
      <c r="D773" s="16" t="n">
        <f aca="false">D769/D750</f>
        <v>0.208646059676249</v>
      </c>
      <c r="E773" s="16" t="n">
        <f aca="false">E769/E750</f>
        <v>0.136538402726697</v>
      </c>
      <c r="F773" s="16" t="n">
        <f aca="false">F769/F750</f>
        <v>0.069310957396859</v>
      </c>
      <c r="G773" s="16" t="n">
        <f aca="false">G769/G750</f>
        <v>0.0571723509872784</v>
      </c>
      <c r="H773" s="28" t="n">
        <f aca="false">$G773+($G$773*0.8-$G773)*1/3</f>
        <v>0.0533608609214598</v>
      </c>
      <c r="I773" s="28" t="n">
        <f aca="false">$G773+($G$773*0.8-$G773)*2/3</f>
        <v>0.0495493708556413</v>
      </c>
      <c r="J773" s="28" t="n">
        <f aca="false">$G773+($G$773*0.8-$G773)*3/3</f>
        <v>0.0457378807898227</v>
      </c>
    </row>
    <row r="776" customFormat="false" ht="17.15" hidden="false" customHeight="false" outlineLevel="0" collapsed="false">
      <c r="A776" s="1" t="s">
        <v>863</v>
      </c>
    </row>
    <row r="777" customFormat="false" ht="17.15" hidden="false" customHeight="false" outlineLevel="0" collapsed="false">
      <c r="A777" s="5" t="s">
        <v>24</v>
      </c>
      <c r="B777" s="5" t="s">
        <v>25</v>
      </c>
      <c r="C777" s="17" t="s">
        <v>394</v>
      </c>
      <c r="D777" s="17" t="s">
        <v>521</v>
      </c>
      <c r="E777" s="17" t="s">
        <v>480</v>
      </c>
      <c r="F777" s="17" t="s">
        <v>481</v>
      </c>
      <c r="G777" s="17" t="s">
        <v>482</v>
      </c>
      <c r="H777" s="17" t="s">
        <v>522</v>
      </c>
      <c r="I777" s="17" t="s">
        <v>523</v>
      </c>
      <c r="J777" s="17" t="s">
        <v>524</v>
      </c>
      <c r="K777" s="5" t="s">
        <v>357</v>
      </c>
    </row>
    <row r="778" customFormat="false" ht="17.15" hidden="false" customHeight="false" outlineLevel="0" collapsed="false">
      <c r="A778" s="6" t="s">
        <v>542</v>
      </c>
    </row>
    <row r="779" customFormat="false" ht="17.15" hidden="false" customHeight="false" outlineLevel="0" collapsed="false">
      <c r="A779" s="4" t="s">
        <v>543</v>
      </c>
      <c r="B779" s="4" t="s">
        <v>42</v>
      </c>
      <c r="D779" s="22" t="n">
        <f aca="false">cap_26</f>
        <v>3306</v>
      </c>
      <c r="E779" s="22" t="n">
        <f aca="false">D779*(1+capg27)*cap_adj</f>
        <v>3306</v>
      </c>
      <c r="F779" s="22" t="n">
        <f aca="false">E779*(1+capg28)</f>
        <v>3306</v>
      </c>
      <c r="G779" s="22" t="n">
        <f aca="false">F779*(1+capg29)</f>
        <v>3306</v>
      </c>
    </row>
    <row r="780" customFormat="false" ht="15" hidden="false" customHeight="false" outlineLevel="0" collapsed="false">
      <c r="A780" s="4" t="s">
        <v>544</v>
      </c>
      <c r="B780" s="0" t="s">
        <v>48</v>
      </c>
      <c r="D780" s="20" t="n">
        <f aca="false">a26_ship/cap_26</f>
        <v>0.8725</v>
      </c>
      <c r="E780" s="20" t="n">
        <f aca="false">MIN(0.98,ut27_A+ut_adj)</f>
        <v>0.95</v>
      </c>
      <c r="F780" s="20" t="n">
        <f aca="false">MIN(0.98,ut28_A+ut_adj)</f>
        <v>0.94</v>
      </c>
      <c r="G780" s="20" t="n">
        <f aca="false">MIN(0.98,ut29_A+ut_adj)</f>
        <v>0.93</v>
      </c>
    </row>
    <row r="781" customFormat="false" ht="17.15" hidden="false" customHeight="false" outlineLevel="0" collapsed="false">
      <c r="A781" s="4" t="s">
        <v>545</v>
      </c>
      <c r="B781" s="4" t="s">
        <v>42</v>
      </c>
      <c r="D781" s="22" t="n">
        <f aca="false">D779*D780</f>
        <v>2884.485</v>
      </c>
      <c r="E781" s="22" t="n">
        <f aca="false">E779*E780</f>
        <v>3140.7</v>
      </c>
      <c r="F781" s="22" t="n">
        <f aca="false">F779*F780</f>
        <v>3107.64</v>
      </c>
      <c r="G781" s="22" t="n">
        <f aca="false">G779*G780</f>
        <v>3074.58</v>
      </c>
    </row>
    <row r="782" customFormat="false" ht="17.15" hidden="false" customHeight="false" outlineLevel="0" collapsed="false">
      <c r="A782" s="4" t="s">
        <v>546</v>
      </c>
      <c r="B782" s="0" t="s">
        <v>89</v>
      </c>
      <c r="D782" s="22" t="n">
        <f aca="false">asp_26</f>
        <v>643.469405492234</v>
      </c>
      <c r="E782" s="22" t="n">
        <f aca="false">D782*(1+asp27_A)*(1+asp_adj_lo)</f>
        <v>661.615242727115</v>
      </c>
      <c r="F782" s="22" t="n">
        <f aca="false">E782*(1+asp28_A)</f>
        <v>674.847547581657</v>
      </c>
      <c r="G782" s="22" t="n">
        <f aca="false">F782*(1+asp29_A)</f>
        <v>681.596023057474</v>
      </c>
    </row>
    <row r="783" customFormat="false" ht="15" hidden="false" customHeight="false" outlineLevel="0" collapsed="false">
      <c r="A783" s="4" t="s">
        <v>547</v>
      </c>
      <c r="B783" s="0" t="s">
        <v>48</v>
      </c>
      <c r="E783" s="20" t="n">
        <f aca="false">E782/D782-1</f>
        <v>0.0282</v>
      </c>
      <c r="F783" s="20" t="n">
        <f aca="false">F782/E782-1</f>
        <v>0.02</v>
      </c>
      <c r="G783" s="20" t="n">
        <f aca="false">G782/F782-1</f>
        <v>0.01</v>
      </c>
    </row>
    <row r="784" customFormat="false" ht="15" hidden="false" customHeight="false" outlineLevel="0" collapsed="false">
      <c r="A784" s="4" t="s">
        <v>548</v>
      </c>
      <c r="B784" s="0" t="s">
        <v>35</v>
      </c>
      <c r="D784" s="23" t="n">
        <f aca="false">fx_26</f>
        <v>31.6</v>
      </c>
      <c r="E784" s="23" t="n">
        <f aca="false">fx</f>
        <v>32</v>
      </c>
      <c r="F784" s="23" t="n">
        <f aca="false">fx</f>
        <v>32</v>
      </c>
      <c r="G784" s="23" t="n">
        <f aca="false">fx</f>
        <v>32</v>
      </c>
    </row>
    <row r="785" customFormat="false" ht="17.15" hidden="false" customHeight="false" outlineLevel="0" collapsed="false">
      <c r="A785" s="0" t="s">
        <v>549</v>
      </c>
      <c r="B785" s="0" t="s">
        <v>184</v>
      </c>
      <c r="D785" s="23" t="n">
        <f aca="false">D781*D782*D784/1000000</f>
        <v>58.65206</v>
      </c>
      <c r="E785" s="23" t="n">
        <f aca="false">E781*E782*E784/1000000</f>
        <v>66.4939197706576</v>
      </c>
      <c r="F785" s="23" t="n">
        <f aca="false">F781*F782*F784/1000000</f>
        <v>67.1098634485332</v>
      </c>
      <c r="G785" s="23" t="n">
        <f aca="false">G781*G782*G784/1000000</f>
        <v>67.0598880183055</v>
      </c>
    </row>
    <row r="786" customFormat="false" ht="17.15" hidden="false" customHeight="false" outlineLevel="0" collapsed="false">
      <c r="A786" s="6" t="s">
        <v>550</v>
      </c>
    </row>
    <row r="787" customFormat="false" ht="17.15" hidden="false" customHeight="false" outlineLevel="0" collapsed="false">
      <c r="A787" s="0" t="s">
        <v>551</v>
      </c>
      <c r="B787" s="4" t="s">
        <v>42</v>
      </c>
      <c r="D787" s="22" t="n">
        <f aca="false">0</f>
        <v>0</v>
      </c>
      <c r="E787" s="22" t="n">
        <f aca="false">vcap27*vcap_adj</f>
        <v>144</v>
      </c>
      <c r="F787" s="22" t="n">
        <f aca="false">vcap28*vcap_adj</f>
        <v>360</v>
      </c>
      <c r="G787" s="22" t="n">
        <f aca="false">vcap29*vcap_adj</f>
        <v>504</v>
      </c>
    </row>
    <row r="788" customFormat="false" ht="17.15" hidden="false" customHeight="false" outlineLevel="0" collapsed="false">
      <c r="A788" s="0" t="s">
        <v>552</v>
      </c>
      <c r="B788" s="0" t="s">
        <v>48</v>
      </c>
      <c r="E788" s="20" t="n">
        <f aca="false">vut_A</f>
        <v>0.9</v>
      </c>
      <c r="F788" s="20" t="n">
        <f aca="false">vut_A</f>
        <v>0.9</v>
      </c>
      <c r="G788" s="20" t="n">
        <f aca="false">vut_A</f>
        <v>0.9</v>
      </c>
    </row>
    <row r="789" customFormat="false" ht="17.15" hidden="false" customHeight="false" outlineLevel="0" collapsed="false">
      <c r="A789" s="0" t="s">
        <v>553</v>
      </c>
      <c r="B789" s="4" t="s">
        <v>42</v>
      </c>
      <c r="D789" s="22" t="n">
        <f aca="false">0</f>
        <v>0</v>
      </c>
      <c r="E789" s="22" t="n">
        <f aca="false">E787*E788</f>
        <v>129.6</v>
      </c>
      <c r="F789" s="22" t="n">
        <f aca="false">F787*F788</f>
        <v>324</v>
      </c>
      <c r="G789" s="22" t="n">
        <f aca="false">G787*G788</f>
        <v>453.6</v>
      </c>
    </row>
    <row r="790" customFormat="false" ht="17.15" hidden="false" customHeight="false" outlineLevel="0" collapsed="false">
      <c r="A790" s="0" t="s">
        <v>554</v>
      </c>
      <c r="B790" s="0" t="s">
        <v>184</v>
      </c>
      <c r="D790" s="23" t="n">
        <f aca="false">0</f>
        <v>0</v>
      </c>
      <c r="E790" s="23" t="n">
        <f aca="false">E789*vasp*E784/1000000</f>
        <v>7.46496</v>
      </c>
      <c r="F790" s="23" t="n">
        <f aca="false">F789*vasp*F784/1000000</f>
        <v>18.6624</v>
      </c>
      <c r="G790" s="23" t="n">
        <f aca="false">G789*vasp*G784/1000000</f>
        <v>26.12736</v>
      </c>
    </row>
    <row r="791" customFormat="false" ht="17.15" hidden="false" customHeight="false" outlineLevel="0" collapsed="false">
      <c r="A791" s="4" t="s">
        <v>400</v>
      </c>
      <c r="B791" s="0" t="s">
        <v>184</v>
      </c>
      <c r="C791" s="23" t="n">
        <f aca="false">a25_rev</f>
        <v>48.591</v>
      </c>
      <c r="D791" s="23" t="n">
        <f aca="false">D785+D790</f>
        <v>58.65206</v>
      </c>
      <c r="E791" s="23" t="n">
        <f aca="false">E785+E790</f>
        <v>73.9588797706576</v>
      </c>
      <c r="F791" s="23" t="n">
        <f aca="false">F785+F790</f>
        <v>85.7722634485332</v>
      </c>
      <c r="G791" s="23" t="n">
        <f aca="false">G785+G790</f>
        <v>93.1872480183055</v>
      </c>
      <c r="H791" s="29" t="n">
        <f aca="false">G791*(1+H794)</f>
        <v>100.421664711575</v>
      </c>
      <c r="I791" s="29" t="n">
        <f aca="false">H791*(1+I794)</f>
        <v>107.332338164748</v>
      </c>
      <c r="J791" s="29" t="n">
        <f aca="false">I791*(1+J794)</f>
        <v>113.772278454633</v>
      </c>
      <c r="K791" s="8" t="s">
        <v>555</v>
      </c>
    </row>
    <row r="792" customFormat="false" ht="17.15" hidden="false" customHeight="false" outlineLevel="0" collapsed="false">
      <c r="A792" s="0" t="s">
        <v>556</v>
      </c>
      <c r="B792" s="0" t="s">
        <v>48</v>
      </c>
      <c r="D792" s="20" t="n">
        <f aca="false">D790/D791</f>
        <v>0</v>
      </c>
      <c r="E792" s="20" t="n">
        <f aca="false">E790/E791</f>
        <v>0.100933924677448</v>
      </c>
      <c r="F792" s="20" t="n">
        <f aca="false">F790/F791</f>
        <v>0.217580826827523</v>
      </c>
      <c r="G792" s="20" t="n">
        <f aca="false">G790/G791</f>
        <v>0.280374842648724</v>
      </c>
    </row>
    <row r="793" customFormat="false" ht="17.15" hidden="false" customHeight="false" outlineLevel="0" collapsed="false">
      <c r="A793" s="0" t="s">
        <v>557</v>
      </c>
      <c r="B793" s="0" t="s">
        <v>48</v>
      </c>
      <c r="D793" s="20" t="n">
        <f aca="false">ai_sh26</f>
        <v>0.1</v>
      </c>
      <c r="E793" s="20" t="n">
        <f aca="false">ai_sh27_A</f>
        <v>0.25</v>
      </c>
      <c r="F793" s="20" t="n">
        <f aca="false">ai_sh27_A</f>
        <v>0.25</v>
      </c>
      <c r="G793" s="20" t="n">
        <f aca="false">ai_sh27_A</f>
        <v>0.25</v>
      </c>
    </row>
    <row r="794" customFormat="false" ht="15" hidden="false" customHeight="false" outlineLevel="0" collapsed="false">
      <c r="A794" s="4" t="s">
        <v>558</v>
      </c>
      <c r="B794" s="0" t="s">
        <v>48</v>
      </c>
      <c r="D794" s="20" t="n">
        <f aca="false">D791/C791-1</f>
        <v>0.207056039184211</v>
      </c>
      <c r="E794" s="20" t="n">
        <f aca="false">E791/D791-1</f>
        <v>0.260976677897717</v>
      </c>
      <c r="F794" s="20" t="n">
        <f aca="false">F791/E791-1</f>
        <v>0.159729078029687</v>
      </c>
      <c r="G794" s="20" t="n">
        <f aca="false">G791/F791-1</f>
        <v>0.0864496781552426</v>
      </c>
      <c r="H794" s="27" t="n">
        <f aca="false">$G794+(fade_gA-$G794)*1/3</f>
        <v>0.0776331187701618</v>
      </c>
      <c r="I794" s="27" t="n">
        <f aca="false">$G794+(fade_gA-$G794)*2/3</f>
        <v>0.0688165593850809</v>
      </c>
      <c r="J794" s="27" t="n">
        <f aca="false">$G794+(fade_gA-$G794)*3/3</f>
        <v>0.06</v>
      </c>
    </row>
    <row r="795" customFormat="false" ht="17.15" hidden="false" customHeight="false" outlineLevel="0" collapsed="false">
      <c r="A795" s="6" t="s">
        <v>559</v>
      </c>
    </row>
    <row r="796" customFormat="false" ht="15" hidden="false" customHeight="false" outlineLevel="0" collapsed="false">
      <c r="A796" s="4" t="s">
        <v>560</v>
      </c>
      <c r="B796" s="0" t="s">
        <v>184</v>
      </c>
      <c r="D796" s="23" t="n">
        <f aca="false">da_tot26*da_sh</f>
        <v>8.658</v>
      </c>
      <c r="E796" s="23" t="n">
        <f aca="false">D796*(1+dag_27+dag_adj)</f>
        <v>8.91774</v>
      </c>
      <c r="F796" s="23" t="n">
        <f aca="false">E796*(1+dag_28+dag_adj)</f>
        <v>9.0960948</v>
      </c>
      <c r="G796" s="23" t="n">
        <f aca="false">F796*(1+dag_29+dag_adj)</f>
        <v>9.0960948</v>
      </c>
    </row>
    <row r="797" customFormat="false" ht="17.15" hidden="false" customHeight="false" outlineLevel="0" collapsed="false">
      <c r="A797" s="4" t="s">
        <v>561</v>
      </c>
      <c r="B797" s="0" t="s">
        <v>562</v>
      </c>
      <c r="D797" s="23" t="n">
        <f aca="false">(D785-a26_gp-D796)/D781*1000</f>
        <v>10.7339918911001</v>
      </c>
      <c r="E797" s="23" t="n">
        <f aca="false">D797*(1+cc_g)</f>
        <v>10.9486717289221</v>
      </c>
      <c r="F797" s="23" t="n">
        <f aca="false">E797*(1+cc_g)</f>
        <v>11.1676451635006</v>
      </c>
      <c r="G797" s="23" t="n">
        <f aca="false">F797*(1+cc_g)</f>
        <v>11.3909980667706</v>
      </c>
      <c r="K797" s="8" t="s">
        <v>563</v>
      </c>
    </row>
    <row r="798" customFormat="false" ht="17.15" hidden="false" customHeight="false" outlineLevel="0" collapsed="false">
      <c r="A798" s="4" t="s">
        <v>564</v>
      </c>
      <c r="B798" s="0" t="s">
        <v>184</v>
      </c>
      <c r="D798" s="23" t="n">
        <f aca="false">D797*D781/1000</f>
        <v>30.9620386</v>
      </c>
      <c r="E798" s="23" t="n">
        <f aca="false">E797*E781/1000</f>
        <v>34.3864932990258</v>
      </c>
      <c r="F798" s="23" t="n">
        <f aca="false">F797*F781/1000</f>
        <v>34.705020815901</v>
      </c>
      <c r="G798" s="23" t="n">
        <f aca="false">G797*G781/1000</f>
        <v>35.0225348361316</v>
      </c>
    </row>
    <row r="799" customFormat="false" ht="17.15" hidden="false" customHeight="false" outlineLevel="0" collapsed="false">
      <c r="A799" s="0" t="s">
        <v>565</v>
      </c>
      <c r="B799" s="0" t="s">
        <v>48</v>
      </c>
      <c r="E799" s="20" t="n">
        <f aca="false">vgm27_A</f>
        <v>0.05</v>
      </c>
      <c r="F799" s="20" t="n">
        <f aca="false">vgm28_A</f>
        <v>0.2</v>
      </c>
      <c r="G799" s="20" t="n">
        <f aca="false">vgm29_A</f>
        <v>0.25</v>
      </c>
    </row>
    <row r="800" customFormat="false" ht="17.15" hidden="false" customHeight="false" outlineLevel="0" collapsed="false">
      <c r="A800" s="0" t="s">
        <v>566</v>
      </c>
      <c r="B800" s="0" t="s">
        <v>184</v>
      </c>
      <c r="D800" s="23" t="n">
        <f aca="false">0</f>
        <v>0</v>
      </c>
      <c r="E800" s="23" t="n">
        <f aca="false">E790*E799</f>
        <v>0.373248</v>
      </c>
      <c r="F800" s="23" t="n">
        <f aca="false">F790*F799</f>
        <v>3.73248</v>
      </c>
      <c r="G800" s="23" t="n">
        <f aca="false">G790*G799</f>
        <v>6.53184</v>
      </c>
    </row>
    <row r="801" customFormat="false" ht="15" hidden="false" customHeight="false" outlineLevel="0" collapsed="false">
      <c r="A801" s="4" t="s">
        <v>417</v>
      </c>
      <c r="B801" s="0" t="s">
        <v>184</v>
      </c>
      <c r="C801" s="23" t="n">
        <f aca="false">a25_gp</f>
        <v>13.654</v>
      </c>
      <c r="D801" s="23" t="n">
        <f aca="false">D785-D796-D798+D800</f>
        <v>19.0320214</v>
      </c>
      <c r="E801" s="23" t="n">
        <f aca="false">E785-E796-E798+E800</f>
        <v>23.5629344716318</v>
      </c>
      <c r="F801" s="23" t="n">
        <f aca="false">F785-F796-F798+F800</f>
        <v>27.0412278326322</v>
      </c>
      <c r="G801" s="23" t="n">
        <f aca="false">G785-G796-G798+G800</f>
        <v>29.473098382174</v>
      </c>
    </row>
    <row r="802" customFormat="false" ht="15" hidden="false" customHeight="false" outlineLevel="0" collapsed="false">
      <c r="A802" s="4" t="s">
        <v>420</v>
      </c>
      <c r="B802" s="0" t="s">
        <v>48</v>
      </c>
      <c r="C802" s="16" t="n">
        <f aca="false">C801/C791</f>
        <v>0.280998538824062</v>
      </c>
      <c r="D802" s="16" t="n">
        <f aca="false">D801/D791</f>
        <v>0.324490246378388</v>
      </c>
      <c r="E802" s="16" t="n">
        <f aca="false">E801/E791</f>
        <v>0.31859506991857</v>
      </c>
      <c r="F802" s="16" t="n">
        <f aca="false">F801/F791</f>
        <v>0.315267742104743</v>
      </c>
      <c r="G802" s="16" t="n">
        <f aca="false">G801/G791</f>
        <v>0.316278235584168</v>
      </c>
    </row>
    <row r="803" customFormat="false" ht="15" hidden="false" customHeight="false" outlineLevel="0" collapsed="false">
      <c r="A803" s="4" t="s">
        <v>422</v>
      </c>
      <c r="B803" s="0" t="s">
        <v>184</v>
      </c>
      <c r="C803" s="23" t="n">
        <f aca="false">a25_opx</f>
        <v>5.881</v>
      </c>
      <c r="D803" s="23" t="n">
        <f aca="false">a26_opx</f>
        <v>6.824187</v>
      </c>
      <c r="E803" s="23" t="n">
        <f aca="false">D803*(1+MAX(g_opx_min,phi*E794))</f>
        <v>7.71466382630639</v>
      </c>
      <c r="F803" s="23" t="n">
        <f aca="false">E803*(1+MAX(g_opx_min,phi*F794))</f>
        <v>8.33079189644884</v>
      </c>
      <c r="G803" s="23" t="n">
        <f aca="false">F803*(1+MAX(g_opx_min,phi*G794))</f>
        <v>8.690889035562</v>
      </c>
    </row>
    <row r="804" customFormat="false" ht="15" hidden="false" customHeight="false" outlineLevel="0" collapsed="false">
      <c r="A804" s="4" t="s">
        <v>425</v>
      </c>
      <c r="B804" s="0" t="s">
        <v>184</v>
      </c>
      <c r="C804" s="23" t="n">
        <f aca="false">C801-C803</f>
        <v>7.773</v>
      </c>
      <c r="D804" s="23" t="n">
        <f aca="false">D801-D803</f>
        <v>12.2078344</v>
      </c>
      <c r="E804" s="23" t="n">
        <f aca="false">E801-E803</f>
        <v>15.8482706453254</v>
      </c>
      <c r="F804" s="23" t="n">
        <f aca="false">F801-F803</f>
        <v>18.7104359361833</v>
      </c>
      <c r="G804" s="23" t="n">
        <f aca="false">G801-G803</f>
        <v>20.782209346612</v>
      </c>
    </row>
    <row r="805" customFormat="false" ht="15" hidden="false" customHeight="false" outlineLevel="0" collapsed="false">
      <c r="A805" s="4" t="s">
        <v>531</v>
      </c>
      <c r="B805" s="0" t="s">
        <v>48</v>
      </c>
      <c r="C805" s="16" t="n">
        <f aca="false">C804/C791</f>
        <v>0.159967895289251</v>
      </c>
      <c r="D805" s="16" t="n">
        <f aca="false">D804/D791</f>
        <v>0.208139908470393</v>
      </c>
      <c r="E805" s="16" t="n">
        <f aca="false">E804/E791</f>
        <v>0.2142848930983</v>
      </c>
      <c r="F805" s="16" t="n">
        <f aca="false">F804/F791</f>
        <v>0.218140867267778</v>
      </c>
      <c r="G805" s="16" t="n">
        <f aca="false">G804/G791</f>
        <v>0.223015592675615</v>
      </c>
    </row>
    <row r="806" customFormat="false" ht="15" hidden="false" customHeight="false" outlineLevel="0" collapsed="false">
      <c r="A806" s="4" t="s">
        <v>428</v>
      </c>
      <c r="B806" s="0" t="s">
        <v>184</v>
      </c>
      <c r="C806" s="23" t="n">
        <f aca="false">a25_nonop</f>
        <v>1.479</v>
      </c>
      <c r="D806" s="23" t="n">
        <f aca="false">a26_nonop</f>
        <v>2.10950832169955</v>
      </c>
      <c r="E806" s="23" t="n">
        <f aca="false">nonop_f</f>
        <v>1.5</v>
      </c>
      <c r="F806" s="23" t="n">
        <f aca="false">nonop_f</f>
        <v>1.5</v>
      </c>
      <c r="G806" s="23" t="n">
        <f aca="false">nonop_f</f>
        <v>1.5</v>
      </c>
    </row>
    <row r="807" customFormat="false" ht="15" hidden="false" customHeight="false" outlineLevel="0" collapsed="false">
      <c r="A807" s="4" t="s">
        <v>430</v>
      </c>
      <c r="B807" s="0" t="s">
        <v>184</v>
      </c>
      <c r="C807" s="23" t="n">
        <f aca="false">C804+C806</f>
        <v>9.252</v>
      </c>
      <c r="D807" s="23" t="n">
        <f aca="false">D804+D806</f>
        <v>14.3173427216995</v>
      </c>
      <c r="E807" s="23" t="n">
        <f aca="false">E804+E806</f>
        <v>17.3482706453254</v>
      </c>
      <c r="F807" s="23" t="n">
        <f aca="false">F804+F806</f>
        <v>20.2104359361833</v>
      </c>
      <c r="G807" s="23" t="n">
        <f aca="false">G804+G806</f>
        <v>22.282209346612</v>
      </c>
    </row>
    <row r="808" customFormat="false" ht="15" hidden="false" customHeight="false" outlineLevel="0" collapsed="false">
      <c r="A808" s="4" t="s">
        <v>432</v>
      </c>
      <c r="B808" s="0" t="s">
        <v>184</v>
      </c>
      <c r="C808" s="23" t="n">
        <f aca="false">a25_tax</f>
        <v>1.344</v>
      </c>
      <c r="D808" s="23" t="n">
        <f aca="false">a26_tax</f>
        <v>2.0798215108046</v>
      </c>
      <c r="E808" s="23" t="n">
        <f aca="false">E807*tax</f>
        <v>2.60224059679881</v>
      </c>
      <c r="F808" s="23" t="n">
        <f aca="false">F807*tax</f>
        <v>3.0315653904275</v>
      </c>
      <c r="G808" s="23" t="n">
        <f aca="false">G807*tax</f>
        <v>3.3423314019918</v>
      </c>
    </row>
    <row r="809" customFormat="false" ht="17.15" hidden="false" customHeight="false" outlineLevel="0" collapsed="false">
      <c r="A809" s="4" t="s">
        <v>567</v>
      </c>
      <c r="B809" s="0" t="s">
        <v>184</v>
      </c>
      <c r="C809" s="23" t="n">
        <f aca="false">a25_mi</f>
        <v>0</v>
      </c>
      <c r="D809" s="23" t="n">
        <f aca="false">a26_mi</f>
        <v>0</v>
      </c>
      <c r="E809" s="23" t="n">
        <f aca="false">vmi*E800*(1-tax)</f>
        <v>0.12690432</v>
      </c>
      <c r="F809" s="23" t="n">
        <f aca="false">vmi*F800*(1-tax)</f>
        <v>1.2690432</v>
      </c>
      <c r="G809" s="23" t="n">
        <f aca="false">vmi*G800*(1-tax)</f>
        <v>2.2208256</v>
      </c>
      <c r="K809" s="8" t="s">
        <v>568</v>
      </c>
    </row>
    <row r="810" customFormat="false" ht="15" hidden="false" customHeight="false" outlineLevel="0" collapsed="false">
      <c r="A810" s="4" t="s">
        <v>435</v>
      </c>
      <c r="B810" s="0" t="s">
        <v>184</v>
      </c>
      <c r="C810" s="23" t="n">
        <f aca="false">C807-C808-C809</f>
        <v>7.908</v>
      </c>
      <c r="D810" s="23" t="n">
        <f aca="false">D807-D808-D809</f>
        <v>12.2375212108949</v>
      </c>
      <c r="E810" s="23" t="n">
        <f aca="false">E807-E808-E809</f>
        <v>14.6191257285266</v>
      </c>
      <c r="F810" s="23" t="n">
        <f aca="false">F807-F808-F809</f>
        <v>15.9098273457558</v>
      </c>
      <c r="G810" s="23" t="n">
        <f aca="false">G807-G808-G809</f>
        <v>16.7190523446202</v>
      </c>
      <c r="H810" s="29" t="n">
        <f aca="false">H791*H814</f>
        <v>18.0170045210146</v>
      </c>
      <c r="I810" s="29" t="n">
        <f aca="false">I791*I814</f>
        <v>19.2568727825763</v>
      </c>
      <c r="J810" s="29" t="n">
        <f aca="false">J791*J814</f>
        <v>20.4122851495309</v>
      </c>
    </row>
    <row r="811" customFormat="false" ht="15" hidden="false" customHeight="false" outlineLevel="0" collapsed="false">
      <c r="A811" s="4" t="s">
        <v>569</v>
      </c>
      <c r="B811" s="4" t="s">
        <v>265</v>
      </c>
      <c r="C811" s="10" t="n">
        <f aca="false">a25_sh</f>
        <v>1.8739336492891</v>
      </c>
      <c r="D811" s="10" t="n">
        <f aca="false">a26_sh</f>
        <v>1.90613591916558</v>
      </c>
      <c r="E811" s="10" t="n">
        <f aca="false">q_sh*(1+sh_g)</f>
        <v>1.90705128205128</v>
      </c>
      <c r="F811" s="10" t="n">
        <f aca="false">E811*(1+sh_g)</f>
        <v>1.90705128205128</v>
      </c>
      <c r="G811" s="10" t="n">
        <f aca="false">F811*(1+sh_g)</f>
        <v>1.90705128205128</v>
      </c>
      <c r="H811" s="31" t="n">
        <f aca="false">G811*(1+sh_g)</f>
        <v>1.90705128205128</v>
      </c>
      <c r="I811" s="31" t="n">
        <f aca="false">H811*(1+sh_g)</f>
        <v>1.90705128205128</v>
      </c>
      <c r="J811" s="31" t="n">
        <f aca="false">I811*(1+sh_g)</f>
        <v>1.90705128205128</v>
      </c>
    </row>
    <row r="812" customFormat="false" ht="17.15" hidden="false" customHeight="false" outlineLevel="0" collapsed="false">
      <c r="A812" s="0" t="s">
        <v>442</v>
      </c>
      <c r="B812" s="0" t="s">
        <v>274</v>
      </c>
      <c r="C812" s="23" t="n">
        <f aca="false">C810/C811</f>
        <v>4.22</v>
      </c>
      <c r="D812" s="23" t="n">
        <f aca="false">D810/D811</f>
        <v>6.42006747150118</v>
      </c>
      <c r="E812" s="23" t="n">
        <f aca="false">E810/E811</f>
        <v>7.66582727277361</v>
      </c>
      <c r="F812" s="23" t="n">
        <f aca="false">F810/F811</f>
        <v>8.34263215441314</v>
      </c>
      <c r="G812" s="23" t="n">
        <f aca="false">G810/G811</f>
        <v>8.76696526306134</v>
      </c>
      <c r="H812" s="29" t="n">
        <f aca="false">H810/H811</f>
        <v>9.44757211858246</v>
      </c>
      <c r="I812" s="29" t="n">
        <f aca="false">I810/I811</f>
        <v>10.0977215263257</v>
      </c>
      <c r="J812" s="29" t="n">
        <f aca="false">J810/J811</f>
        <v>10.7035848179053</v>
      </c>
    </row>
    <row r="813" customFormat="false" ht="17.15" hidden="false" customHeight="false" outlineLevel="0" collapsed="false">
      <c r="A813" s="0" t="s">
        <v>570</v>
      </c>
      <c r="B813" s="0" t="s">
        <v>48</v>
      </c>
      <c r="D813" s="20" t="n">
        <f aca="false">D812/C812-1</f>
        <v>0.521343002725398</v>
      </c>
      <c r="E813" s="20" t="n">
        <f aca="false">E812/D812-1</f>
        <v>0.194041543457663</v>
      </c>
      <c r="F813" s="20" t="n">
        <f aca="false">F812/E812-1</f>
        <v>0.0882885639809963</v>
      </c>
      <c r="G813" s="20" t="n">
        <f aca="false">G812/F812-1</f>
        <v>0.0508632168833822</v>
      </c>
      <c r="H813" s="27" t="n">
        <f aca="false">H812/G812-1</f>
        <v>0.0776331187701618</v>
      </c>
      <c r="I813" s="27" t="n">
        <f aca="false">I812/H812-1</f>
        <v>0.0688165593850809</v>
      </c>
      <c r="J813" s="27" t="n">
        <f aca="false">J812/I812-1</f>
        <v>0.0600000000000003</v>
      </c>
    </row>
    <row r="814" customFormat="false" ht="17.15" hidden="false" customHeight="false" outlineLevel="0" collapsed="false">
      <c r="A814" s="4" t="s">
        <v>571</v>
      </c>
      <c r="B814" s="0" t="s">
        <v>48</v>
      </c>
      <c r="C814" s="16" t="n">
        <f aca="false">C810/C791</f>
        <v>0.162746187565599</v>
      </c>
      <c r="D814" s="16" t="n">
        <f aca="false">D810/D791</f>
        <v>0.208646059676249</v>
      </c>
      <c r="E814" s="16" t="n">
        <f aca="false">E810/E791</f>
        <v>0.197665591662011</v>
      </c>
      <c r="F814" s="16" t="n">
        <f aca="false">F810/F791</f>
        <v>0.185489186201812</v>
      </c>
      <c r="G814" s="16" t="n">
        <f aca="false">G810/G791</f>
        <v>0.179413521701337</v>
      </c>
      <c r="H814" s="28" t="n">
        <f aca="false">$G814+($G$814*1-$G814)*1/3</f>
        <v>0.179413521701337</v>
      </c>
      <c r="I814" s="28" t="n">
        <f aca="false">$G814+($G$814*1-$G814)*2/3</f>
        <v>0.179413521701337</v>
      </c>
      <c r="J814" s="28" t="n">
        <f aca="false">$G814+($G$814*1-$G814)*3/3</f>
        <v>0.179413521701337</v>
      </c>
    </row>
    <row r="817" customFormat="false" ht="17.15" hidden="false" customHeight="false" outlineLevel="0" collapsed="false">
      <c r="A817" s="1" t="s">
        <v>864</v>
      </c>
    </row>
    <row r="818" customFormat="false" ht="17.15" hidden="false" customHeight="false" outlineLevel="0" collapsed="false">
      <c r="A818" s="5" t="s">
        <v>24</v>
      </c>
      <c r="B818" s="5" t="s">
        <v>25</v>
      </c>
      <c r="C818" s="17" t="s">
        <v>394</v>
      </c>
      <c r="D818" s="17" t="s">
        <v>521</v>
      </c>
      <c r="E818" s="17" t="s">
        <v>480</v>
      </c>
      <c r="F818" s="17" t="s">
        <v>481</v>
      </c>
      <c r="G818" s="17" t="s">
        <v>482</v>
      </c>
      <c r="H818" s="17" t="s">
        <v>522</v>
      </c>
      <c r="I818" s="17" t="s">
        <v>523</v>
      </c>
      <c r="J818" s="17" t="s">
        <v>524</v>
      </c>
      <c r="K818" s="5" t="s">
        <v>357</v>
      </c>
    </row>
    <row r="819" customFormat="false" ht="17.15" hidden="false" customHeight="false" outlineLevel="0" collapsed="false">
      <c r="A819" s="6" t="s">
        <v>542</v>
      </c>
    </row>
    <row r="820" customFormat="false" ht="17.15" hidden="false" customHeight="false" outlineLevel="0" collapsed="false">
      <c r="A820" s="4" t="s">
        <v>543</v>
      </c>
      <c r="B820" s="4" t="s">
        <v>42</v>
      </c>
      <c r="D820" s="22" t="n">
        <f aca="false">cap_26</f>
        <v>3306</v>
      </c>
      <c r="E820" s="22" t="n">
        <f aca="false">D820*(1+capg27)*cap_adj</f>
        <v>3306</v>
      </c>
      <c r="F820" s="22" t="n">
        <f aca="false">E820*(1+capg28)</f>
        <v>3306</v>
      </c>
      <c r="G820" s="22" t="n">
        <f aca="false">F820*(1+capg29)</f>
        <v>3306</v>
      </c>
    </row>
    <row r="821" customFormat="false" ht="15" hidden="false" customHeight="false" outlineLevel="0" collapsed="false">
      <c r="A821" s="4" t="s">
        <v>544</v>
      </c>
      <c r="B821" s="0" t="s">
        <v>48</v>
      </c>
      <c r="D821" s="20" t="n">
        <f aca="false">a26_ship/cap_26</f>
        <v>0.8725</v>
      </c>
      <c r="E821" s="20" t="n">
        <f aca="false">MIN(0.98,ut27_B+ut_adj)</f>
        <v>0.9</v>
      </c>
      <c r="F821" s="20" t="n">
        <f aca="false">MIN(0.98,ut28_B+ut_adj)</f>
        <v>0.86</v>
      </c>
      <c r="G821" s="20" t="n">
        <f aca="false">MIN(0.98,ut29_B+ut_adj)</f>
        <v>0.87</v>
      </c>
    </row>
    <row r="822" customFormat="false" ht="17.15" hidden="false" customHeight="false" outlineLevel="0" collapsed="false">
      <c r="A822" s="4" t="s">
        <v>545</v>
      </c>
      <c r="B822" s="4" t="s">
        <v>42</v>
      </c>
      <c r="D822" s="22" t="n">
        <f aca="false">D820*D821</f>
        <v>2884.485</v>
      </c>
      <c r="E822" s="22" t="n">
        <f aca="false">E820*E821</f>
        <v>2975.4</v>
      </c>
      <c r="F822" s="22" t="n">
        <f aca="false">F820*F821</f>
        <v>2843.16</v>
      </c>
      <c r="G822" s="22" t="n">
        <f aca="false">G820*G821</f>
        <v>2876.22</v>
      </c>
    </row>
    <row r="823" customFormat="false" ht="17.15" hidden="false" customHeight="false" outlineLevel="0" collapsed="false">
      <c r="A823" s="4" t="s">
        <v>546</v>
      </c>
      <c r="B823" s="0" t="s">
        <v>89</v>
      </c>
      <c r="D823" s="22" t="n">
        <f aca="false">asp_26</f>
        <v>643.469405492234</v>
      </c>
      <c r="E823" s="22" t="n">
        <f aca="false">D823*(1+asp27_B)*(1+asp_adj_lo)</f>
        <v>642.890283027291</v>
      </c>
      <c r="F823" s="22" t="n">
        <f aca="false">E823*(1+asp28_B)</f>
        <v>642.890283027291</v>
      </c>
      <c r="G823" s="22" t="n">
        <f aca="false">F823*(1+asp29_B)</f>
        <v>642.890283027291</v>
      </c>
    </row>
    <row r="824" customFormat="false" ht="15" hidden="false" customHeight="false" outlineLevel="0" collapsed="false">
      <c r="A824" s="4" t="s">
        <v>547</v>
      </c>
      <c r="B824" s="0" t="s">
        <v>48</v>
      </c>
      <c r="E824" s="20" t="n">
        <f aca="false">E823/D823-1</f>
        <v>-0.000900000000000012</v>
      </c>
      <c r="F824" s="20" t="n">
        <f aca="false">F823/E823-1</f>
        <v>0</v>
      </c>
      <c r="G824" s="20" t="n">
        <f aca="false">G823/F823-1</f>
        <v>0</v>
      </c>
    </row>
    <row r="825" customFormat="false" ht="15" hidden="false" customHeight="false" outlineLevel="0" collapsed="false">
      <c r="A825" s="4" t="s">
        <v>548</v>
      </c>
      <c r="B825" s="0" t="s">
        <v>35</v>
      </c>
      <c r="D825" s="23" t="n">
        <f aca="false">fx_26</f>
        <v>31.6</v>
      </c>
      <c r="E825" s="23" t="n">
        <f aca="false">fx</f>
        <v>32</v>
      </c>
      <c r="F825" s="23" t="n">
        <f aca="false">fx</f>
        <v>32</v>
      </c>
      <c r="G825" s="23" t="n">
        <f aca="false">fx</f>
        <v>32</v>
      </c>
    </row>
    <row r="826" customFormat="false" ht="17.15" hidden="false" customHeight="false" outlineLevel="0" collapsed="false">
      <c r="A826" s="0" t="s">
        <v>549</v>
      </c>
      <c r="B826" s="0" t="s">
        <v>184</v>
      </c>
      <c r="D826" s="23" t="n">
        <f aca="false">D822*D823*D825/1000000</f>
        <v>58.65206</v>
      </c>
      <c r="E826" s="23" t="n">
        <f aca="false">E822*E823*E825/1000000</f>
        <v>61.2113839398208</v>
      </c>
      <c r="F826" s="23" t="n">
        <f aca="false">F822*F823*F825/1000000</f>
        <v>58.4908779869399</v>
      </c>
      <c r="G826" s="23" t="n">
        <f aca="false">G822*G823*G825/1000000</f>
        <v>59.1710044751601</v>
      </c>
    </row>
    <row r="827" customFormat="false" ht="17.15" hidden="false" customHeight="false" outlineLevel="0" collapsed="false">
      <c r="A827" s="6" t="s">
        <v>550</v>
      </c>
    </row>
    <row r="828" customFormat="false" ht="17.15" hidden="false" customHeight="false" outlineLevel="0" collapsed="false">
      <c r="A828" s="0" t="s">
        <v>551</v>
      </c>
      <c r="B828" s="4" t="s">
        <v>42</v>
      </c>
      <c r="D828" s="22" t="n">
        <f aca="false">0</f>
        <v>0</v>
      </c>
      <c r="E828" s="22" t="n">
        <f aca="false">vcap27*vcap_adj</f>
        <v>144</v>
      </c>
      <c r="F828" s="22" t="n">
        <f aca="false">vcap28*vcap_adj</f>
        <v>360</v>
      </c>
      <c r="G828" s="22" t="n">
        <f aca="false">vcap29*vcap_adj</f>
        <v>504</v>
      </c>
    </row>
    <row r="829" customFormat="false" ht="17.15" hidden="false" customHeight="false" outlineLevel="0" collapsed="false">
      <c r="A829" s="0" t="s">
        <v>552</v>
      </c>
      <c r="B829" s="0" t="s">
        <v>48</v>
      </c>
      <c r="E829" s="20" t="n">
        <f aca="false">vut_B</f>
        <v>0.8</v>
      </c>
      <c r="F829" s="20" t="n">
        <f aca="false">vut_B</f>
        <v>0.8</v>
      </c>
      <c r="G829" s="20" t="n">
        <f aca="false">vut_B</f>
        <v>0.8</v>
      </c>
    </row>
    <row r="830" customFormat="false" ht="17.15" hidden="false" customHeight="false" outlineLevel="0" collapsed="false">
      <c r="A830" s="0" t="s">
        <v>553</v>
      </c>
      <c r="B830" s="4" t="s">
        <v>42</v>
      </c>
      <c r="D830" s="22" t="n">
        <f aca="false">0</f>
        <v>0</v>
      </c>
      <c r="E830" s="22" t="n">
        <f aca="false">E828*E829</f>
        <v>115.2</v>
      </c>
      <c r="F830" s="22" t="n">
        <f aca="false">F828*F829</f>
        <v>288</v>
      </c>
      <c r="G830" s="22" t="n">
        <f aca="false">G828*G829</f>
        <v>403.2</v>
      </c>
    </row>
    <row r="831" customFormat="false" ht="17.15" hidden="false" customHeight="false" outlineLevel="0" collapsed="false">
      <c r="A831" s="0" t="s">
        <v>554</v>
      </c>
      <c r="B831" s="0" t="s">
        <v>184</v>
      </c>
      <c r="D831" s="23" t="n">
        <f aca="false">0</f>
        <v>0</v>
      </c>
      <c r="E831" s="23" t="n">
        <f aca="false">E830*vasp*E825/1000000</f>
        <v>6.63552</v>
      </c>
      <c r="F831" s="23" t="n">
        <f aca="false">F830*vasp*F825/1000000</f>
        <v>16.5888</v>
      </c>
      <c r="G831" s="23" t="n">
        <f aca="false">G830*vasp*G825/1000000</f>
        <v>23.22432</v>
      </c>
    </row>
    <row r="832" customFormat="false" ht="17.15" hidden="false" customHeight="false" outlineLevel="0" collapsed="false">
      <c r="A832" s="4" t="s">
        <v>400</v>
      </c>
      <c r="B832" s="0" t="s">
        <v>184</v>
      </c>
      <c r="C832" s="23" t="n">
        <f aca="false">a25_rev</f>
        <v>48.591</v>
      </c>
      <c r="D832" s="23" t="n">
        <f aca="false">D826+D831</f>
        <v>58.65206</v>
      </c>
      <c r="E832" s="23" t="n">
        <f aca="false">E826+E831</f>
        <v>67.8469039398208</v>
      </c>
      <c r="F832" s="23" t="n">
        <f aca="false">F826+F831</f>
        <v>75.0796779869399</v>
      </c>
      <c r="G832" s="23" t="n">
        <f aca="false">G826+G831</f>
        <v>82.3953244751601</v>
      </c>
      <c r="H832" s="29" t="n">
        <f aca="false">G832*(1+H835)</f>
        <v>88.8462432342358</v>
      </c>
      <c r="I832" s="29" t="n">
        <f aca="false">H832*(1+I835)</f>
        <v>94.1011560843062</v>
      </c>
      <c r="J832" s="29" t="n">
        <f aca="false">I832*(1+J835)</f>
        <v>97.8652023276784</v>
      </c>
      <c r="K832" s="8" t="s">
        <v>555</v>
      </c>
    </row>
    <row r="833" customFormat="false" ht="17.15" hidden="false" customHeight="false" outlineLevel="0" collapsed="false">
      <c r="A833" s="0" t="s">
        <v>556</v>
      </c>
      <c r="B833" s="0" t="s">
        <v>48</v>
      </c>
      <c r="D833" s="20" t="n">
        <f aca="false">D831/D832</f>
        <v>0</v>
      </c>
      <c r="E833" s="20" t="n">
        <f aca="false">E831/E832</f>
        <v>0.0978013677070011</v>
      </c>
      <c r="F833" s="20" t="n">
        <f aca="false">F831/F832</f>
        <v>0.220949269426617</v>
      </c>
      <c r="G833" s="20" t="n">
        <f aca="false">G831/G832</f>
        <v>0.281864537192295</v>
      </c>
    </row>
    <row r="834" customFormat="false" ht="17.15" hidden="false" customHeight="false" outlineLevel="0" collapsed="false">
      <c r="A834" s="0" t="s">
        <v>557</v>
      </c>
      <c r="B834" s="0" t="s">
        <v>48</v>
      </c>
      <c r="D834" s="20" t="n">
        <f aca="false">ai_sh26</f>
        <v>0.1</v>
      </c>
      <c r="E834" s="20" t="n">
        <f aca="false">ai_sh27_B</f>
        <v>0.2</v>
      </c>
      <c r="F834" s="20" t="n">
        <f aca="false">ai_sh27_B</f>
        <v>0.2</v>
      </c>
      <c r="G834" s="20" t="n">
        <f aca="false">ai_sh27_B</f>
        <v>0.2</v>
      </c>
    </row>
    <row r="835" customFormat="false" ht="15" hidden="false" customHeight="false" outlineLevel="0" collapsed="false">
      <c r="A835" s="4" t="s">
        <v>558</v>
      </c>
      <c r="B835" s="0" t="s">
        <v>48</v>
      </c>
      <c r="D835" s="20" t="n">
        <f aca="false">D832/C832-1</f>
        <v>0.207056039184211</v>
      </c>
      <c r="E835" s="20" t="n">
        <f aca="false">E832/D832-1</f>
        <v>0.156769326428106</v>
      </c>
      <c r="F835" s="20" t="n">
        <f aca="false">F832/E832-1</f>
        <v>0.106604334569702</v>
      </c>
      <c r="G835" s="20" t="n">
        <f aca="false">G832/F832-1</f>
        <v>0.0974384371959187</v>
      </c>
      <c r="H835" s="27" t="n">
        <f aca="false">$G835+(fade_gB-$G835)*1/3</f>
        <v>0.0782922914639458</v>
      </c>
      <c r="I835" s="27" t="n">
        <f aca="false">$G835+(fade_gB-$G835)*2/3</f>
        <v>0.0591461457319729</v>
      </c>
      <c r="J835" s="27" t="n">
        <f aca="false">$G835+(fade_gB-$G835)*3/3</f>
        <v>0.04</v>
      </c>
    </row>
    <row r="836" customFormat="false" ht="17.15" hidden="false" customHeight="false" outlineLevel="0" collapsed="false">
      <c r="A836" s="6" t="s">
        <v>559</v>
      </c>
    </row>
    <row r="837" customFormat="false" ht="15" hidden="false" customHeight="false" outlineLevel="0" collapsed="false">
      <c r="A837" s="4" t="s">
        <v>560</v>
      </c>
      <c r="B837" s="0" t="s">
        <v>184</v>
      </c>
      <c r="D837" s="23" t="n">
        <f aca="false">da_tot26*da_sh</f>
        <v>8.658</v>
      </c>
      <c r="E837" s="23" t="n">
        <f aca="false">D837*(1+dag_27+dag_adj)</f>
        <v>8.91774</v>
      </c>
      <c r="F837" s="23" t="n">
        <f aca="false">E837*(1+dag_28+dag_adj)</f>
        <v>9.0960948</v>
      </c>
      <c r="G837" s="23" t="n">
        <f aca="false">F837*(1+dag_29+dag_adj)</f>
        <v>9.0960948</v>
      </c>
    </row>
    <row r="838" customFormat="false" ht="17.15" hidden="false" customHeight="false" outlineLevel="0" collapsed="false">
      <c r="A838" s="4" t="s">
        <v>561</v>
      </c>
      <c r="B838" s="0" t="s">
        <v>562</v>
      </c>
      <c r="D838" s="23" t="n">
        <f aca="false">(D826-a26_gp-D837)/D822*1000</f>
        <v>10.7339918911001</v>
      </c>
      <c r="E838" s="23" t="n">
        <f aca="false">D838*(1+cc_g)</f>
        <v>10.9486717289221</v>
      </c>
      <c r="F838" s="23" t="n">
        <f aca="false">E838*(1+cc_g)</f>
        <v>11.1676451635006</v>
      </c>
      <c r="G838" s="23" t="n">
        <f aca="false">F838*(1+cc_g)</f>
        <v>11.3909980667706</v>
      </c>
      <c r="K838" s="8" t="s">
        <v>563</v>
      </c>
    </row>
    <row r="839" customFormat="false" ht="17.15" hidden="false" customHeight="false" outlineLevel="0" collapsed="false">
      <c r="A839" s="4" t="s">
        <v>564</v>
      </c>
      <c r="B839" s="0" t="s">
        <v>184</v>
      </c>
      <c r="D839" s="23" t="n">
        <f aca="false">D838*D822/1000</f>
        <v>30.9620386</v>
      </c>
      <c r="E839" s="23" t="n">
        <f aca="false">E838*E822/1000</f>
        <v>32.576677862235</v>
      </c>
      <c r="F839" s="23" t="n">
        <f aca="false">F838*F822/1000</f>
        <v>31.7514020230583</v>
      </c>
      <c r="G839" s="23" t="n">
        <f aca="false">G838*G822/1000</f>
        <v>32.7630164596069</v>
      </c>
    </row>
    <row r="840" customFormat="false" ht="17.15" hidden="false" customHeight="false" outlineLevel="0" collapsed="false">
      <c r="A840" s="0" t="s">
        <v>565</v>
      </c>
      <c r="B840" s="0" t="s">
        <v>48</v>
      </c>
      <c r="E840" s="20" t="n">
        <f aca="false">vgm27_B</f>
        <v>-0.05</v>
      </c>
      <c r="F840" s="20" t="n">
        <f aca="false">vgm28_B</f>
        <v>0.12</v>
      </c>
      <c r="G840" s="20" t="n">
        <f aca="false">vgm29_B</f>
        <v>0.18</v>
      </c>
    </row>
    <row r="841" customFormat="false" ht="17.15" hidden="false" customHeight="false" outlineLevel="0" collapsed="false">
      <c r="A841" s="0" t="s">
        <v>566</v>
      </c>
      <c r="B841" s="0" t="s">
        <v>184</v>
      </c>
      <c r="D841" s="23" t="n">
        <f aca="false">0</f>
        <v>0</v>
      </c>
      <c r="E841" s="23" t="n">
        <f aca="false">E831*E840</f>
        <v>-0.331776</v>
      </c>
      <c r="F841" s="23" t="n">
        <f aca="false">F831*F840</f>
        <v>1.990656</v>
      </c>
      <c r="G841" s="23" t="n">
        <f aca="false">G831*G840</f>
        <v>4.1803776</v>
      </c>
    </row>
    <row r="842" customFormat="false" ht="15" hidden="false" customHeight="false" outlineLevel="0" collapsed="false">
      <c r="A842" s="4" t="s">
        <v>417</v>
      </c>
      <c r="B842" s="0" t="s">
        <v>184</v>
      </c>
      <c r="C842" s="23" t="n">
        <f aca="false">a25_gp</f>
        <v>13.654</v>
      </c>
      <c r="D842" s="23" t="n">
        <f aca="false">D826-D837-D839+D841</f>
        <v>19.0320214</v>
      </c>
      <c r="E842" s="23" t="n">
        <f aca="false">E826-E837-E839+E841</f>
        <v>19.3851900775859</v>
      </c>
      <c r="F842" s="23" t="n">
        <f aca="false">F826-F837-F839+F841</f>
        <v>19.6340371638816</v>
      </c>
      <c r="G842" s="23" t="n">
        <f aca="false">G826-G837-G839+G841</f>
        <v>21.4922708155532</v>
      </c>
    </row>
    <row r="843" customFormat="false" ht="15" hidden="false" customHeight="false" outlineLevel="0" collapsed="false">
      <c r="A843" s="4" t="s">
        <v>420</v>
      </c>
      <c r="B843" s="0" t="s">
        <v>48</v>
      </c>
      <c r="C843" s="16" t="n">
        <f aca="false">C842/C832</f>
        <v>0.280998538824062</v>
      </c>
      <c r="D843" s="16" t="n">
        <f aca="false">D842/D832</f>
        <v>0.324490246378388</v>
      </c>
      <c r="E843" s="16" t="n">
        <f aca="false">E842/E832</f>
        <v>0.285719597386201</v>
      </c>
      <c r="F843" s="16" t="n">
        <f aca="false">F842/F832</f>
        <v>0.261509341679608</v>
      </c>
      <c r="G843" s="16" t="n">
        <f aca="false">G842/G832</f>
        <v>0.260843330036676</v>
      </c>
    </row>
    <row r="844" customFormat="false" ht="15" hidden="false" customHeight="false" outlineLevel="0" collapsed="false">
      <c r="A844" s="4" t="s">
        <v>422</v>
      </c>
      <c r="B844" s="0" t="s">
        <v>184</v>
      </c>
      <c r="C844" s="23" t="n">
        <f aca="false">a25_opx</f>
        <v>5.881</v>
      </c>
      <c r="D844" s="23" t="n">
        <f aca="false">a26_opx</f>
        <v>6.824187</v>
      </c>
      <c r="E844" s="23" t="n">
        <f aca="false">D844*(1+MAX(g_opx_min,phi*E835))</f>
        <v>7.35909859970472</v>
      </c>
      <c r="F844" s="23" t="n">
        <f aca="false">E844*(1+MAX(g_opx_min,phi*F835))</f>
        <v>7.75135450433189</v>
      </c>
      <c r="G844" s="23" t="n">
        <f aca="false">F844*(1+MAX(g_opx_min,phi*G835))</f>
        <v>8.12899443885871</v>
      </c>
    </row>
    <row r="845" customFormat="false" ht="15" hidden="false" customHeight="false" outlineLevel="0" collapsed="false">
      <c r="A845" s="4" t="s">
        <v>425</v>
      </c>
      <c r="B845" s="0" t="s">
        <v>184</v>
      </c>
      <c r="C845" s="23" t="n">
        <f aca="false">C842-C844</f>
        <v>7.773</v>
      </c>
      <c r="D845" s="23" t="n">
        <f aca="false">D842-D844</f>
        <v>12.2078344</v>
      </c>
      <c r="E845" s="23" t="n">
        <f aca="false">E842-E844</f>
        <v>12.0260914778812</v>
      </c>
      <c r="F845" s="23" t="n">
        <f aca="false">F842-F844</f>
        <v>11.8826826595497</v>
      </c>
      <c r="G845" s="23" t="n">
        <f aca="false">G842-G844</f>
        <v>13.3632763766945</v>
      </c>
    </row>
    <row r="846" customFormat="false" ht="15" hidden="false" customHeight="false" outlineLevel="0" collapsed="false">
      <c r="A846" s="4" t="s">
        <v>531</v>
      </c>
      <c r="B846" s="0" t="s">
        <v>48</v>
      </c>
      <c r="C846" s="16" t="n">
        <f aca="false">C845/C832</f>
        <v>0.159967895289251</v>
      </c>
      <c r="D846" s="16" t="n">
        <f aca="false">D845/D832</f>
        <v>0.208139908470393</v>
      </c>
      <c r="E846" s="16" t="n">
        <f aca="false">E845/E832</f>
        <v>0.17725335688933</v>
      </c>
      <c r="F846" s="16" t="n">
        <f aca="false">F845/F832</f>
        <v>0.158267629512432</v>
      </c>
      <c r="G846" s="16" t="n">
        <f aca="false">G845/G832</f>
        <v>0.162184886846621</v>
      </c>
    </row>
    <row r="847" customFormat="false" ht="15" hidden="false" customHeight="false" outlineLevel="0" collapsed="false">
      <c r="A847" s="4" t="s">
        <v>428</v>
      </c>
      <c r="B847" s="0" t="s">
        <v>184</v>
      </c>
      <c r="C847" s="23" t="n">
        <f aca="false">a25_nonop</f>
        <v>1.479</v>
      </c>
      <c r="D847" s="23" t="n">
        <f aca="false">a26_nonop</f>
        <v>2.10950832169955</v>
      </c>
      <c r="E847" s="23" t="n">
        <f aca="false">nonop_f</f>
        <v>1.5</v>
      </c>
      <c r="F847" s="23" t="n">
        <f aca="false">nonop_f</f>
        <v>1.5</v>
      </c>
      <c r="G847" s="23" t="n">
        <f aca="false">nonop_f</f>
        <v>1.5</v>
      </c>
    </row>
    <row r="848" customFormat="false" ht="15" hidden="false" customHeight="false" outlineLevel="0" collapsed="false">
      <c r="A848" s="4" t="s">
        <v>430</v>
      </c>
      <c r="B848" s="0" t="s">
        <v>184</v>
      </c>
      <c r="C848" s="23" t="n">
        <f aca="false">C845+C847</f>
        <v>9.252</v>
      </c>
      <c r="D848" s="23" t="n">
        <f aca="false">D845+D847</f>
        <v>14.3173427216995</v>
      </c>
      <c r="E848" s="23" t="n">
        <f aca="false">E845+E847</f>
        <v>13.5260914778812</v>
      </c>
      <c r="F848" s="23" t="n">
        <f aca="false">F845+F847</f>
        <v>13.3826826595497</v>
      </c>
      <c r="G848" s="23" t="n">
        <f aca="false">G845+G847</f>
        <v>14.8632763766945</v>
      </c>
    </row>
    <row r="849" customFormat="false" ht="15" hidden="false" customHeight="false" outlineLevel="0" collapsed="false">
      <c r="A849" s="4" t="s">
        <v>432</v>
      </c>
      <c r="B849" s="0" t="s">
        <v>184</v>
      </c>
      <c r="C849" s="23" t="n">
        <f aca="false">a25_tax</f>
        <v>1.344</v>
      </c>
      <c r="D849" s="23" t="n">
        <f aca="false">a26_tax</f>
        <v>2.0798215108046</v>
      </c>
      <c r="E849" s="23" t="n">
        <f aca="false">E848*tax</f>
        <v>2.02891372168217</v>
      </c>
      <c r="F849" s="23" t="n">
        <f aca="false">F848*tax</f>
        <v>2.00740239893245</v>
      </c>
      <c r="G849" s="23" t="n">
        <f aca="false">G848*tax</f>
        <v>2.22949145650417</v>
      </c>
    </row>
    <row r="850" customFormat="false" ht="17.15" hidden="false" customHeight="false" outlineLevel="0" collapsed="false">
      <c r="A850" s="4" t="s">
        <v>567</v>
      </c>
      <c r="B850" s="0" t="s">
        <v>184</v>
      </c>
      <c r="C850" s="23" t="n">
        <f aca="false">a25_mi</f>
        <v>0</v>
      </c>
      <c r="D850" s="23" t="n">
        <f aca="false">a26_mi</f>
        <v>0</v>
      </c>
      <c r="E850" s="23" t="n">
        <f aca="false">vmi*E841*(1-tax)</f>
        <v>-0.11280384</v>
      </c>
      <c r="F850" s="23" t="n">
        <f aca="false">vmi*F841*(1-tax)</f>
        <v>0.67682304</v>
      </c>
      <c r="G850" s="23" t="n">
        <f aca="false">vmi*G841*(1-tax)</f>
        <v>1.421328384</v>
      </c>
      <c r="K850" s="8" t="s">
        <v>568</v>
      </c>
    </row>
    <row r="851" customFormat="false" ht="15" hidden="false" customHeight="false" outlineLevel="0" collapsed="false">
      <c r="A851" s="4" t="s">
        <v>435</v>
      </c>
      <c r="B851" s="0" t="s">
        <v>184</v>
      </c>
      <c r="C851" s="23" t="n">
        <f aca="false">C848-C849-C850</f>
        <v>7.908</v>
      </c>
      <c r="D851" s="23" t="n">
        <f aca="false">D848-D849-D850</f>
        <v>12.2375212108949</v>
      </c>
      <c r="E851" s="23" t="n">
        <f aca="false">E848-E849-E850</f>
        <v>11.609981596199</v>
      </c>
      <c r="F851" s="23" t="n">
        <f aca="false">F848-F849-F850</f>
        <v>10.6984572206172</v>
      </c>
      <c r="G851" s="23" t="n">
        <f aca="false">G848-G849-G850</f>
        <v>11.2124565361903</v>
      </c>
      <c r="H851" s="29" t="n">
        <f aca="false">H832*H855</f>
        <v>11.6872952696369</v>
      </c>
      <c r="I851" s="29" t="n">
        <f aca="false">I832*I855</f>
        <v>11.9517070582169</v>
      </c>
      <c r="J851" s="29" t="n">
        <f aca="false">J832*J855</f>
        <v>11.9858547926689</v>
      </c>
    </row>
    <row r="852" customFormat="false" ht="15" hidden="false" customHeight="false" outlineLevel="0" collapsed="false">
      <c r="A852" s="4" t="s">
        <v>569</v>
      </c>
      <c r="B852" s="4" t="s">
        <v>265</v>
      </c>
      <c r="C852" s="10" t="n">
        <f aca="false">a25_sh</f>
        <v>1.8739336492891</v>
      </c>
      <c r="D852" s="10" t="n">
        <f aca="false">a26_sh</f>
        <v>1.90613591916558</v>
      </c>
      <c r="E852" s="10" t="n">
        <f aca="false">q_sh*(1+sh_g)</f>
        <v>1.90705128205128</v>
      </c>
      <c r="F852" s="10" t="n">
        <f aca="false">E852*(1+sh_g)</f>
        <v>1.90705128205128</v>
      </c>
      <c r="G852" s="10" t="n">
        <f aca="false">F852*(1+sh_g)</f>
        <v>1.90705128205128</v>
      </c>
      <c r="H852" s="31" t="n">
        <f aca="false">G852*(1+sh_g)</f>
        <v>1.90705128205128</v>
      </c>
      <c r="I852" s="31" t="n">
        <f aca="false">H852*(1+sh_g)</f>
        <v>1.90705128205128</v>
      </c>
      <c r="J852" s="31" t="n">
        <f aca="false">I852*(1+sh_g)</f>
        <v>1.90705128205128</v>
      </c>
    </row>
    <row r="853" customFormat="false" ht="17.15" hidden="false" customHeight="false" outlineLevel="0" collapsed="false">
      <c r="A853" s="0" t="s">
        <v>442</v>
      </c>
      <c r="B853" s="0" t="s">
        <v>274</v>
      </c>
      <c r="C853" s="23" t="n">
        <f aca="false">C851/C852</f>
        <v>4.22</v>
      </c>
      <c r="D853" s="23" t="n">
        <f aca="false">D851/D852</f>
        <v>6.42006747150118</v>
      </c>
      <c r="E853" s="23" t="n">
        <f aca="false">E851/E852</f>
        <v>6.08792312271274</v>
      </c>
      <c r="F853" s="23" t="n">
        <f aca="false">F851/F852</f>
        <v>5.609947315685</v>
      </c>
      <c r="G853" s="23" t="n">
        <f aca="false">G851/G852</f>
        <v>5.8794730072124</v>
      </c>
      <c r="H853" s="29" t="n">
        <f aca="false">H851/H852</f>
        <v>6.12846407416256</v>
      </c>
      <c r="I853" s="29" t="n">
        <f aca="false">I851/I852</f>
        <v>6.26711361708179</v>
      </c>
      <c r="J853" s="29" t="n">
        <f aca="false">J851/J852</f>
        <v>6.28501965598774</v>
      </c>
    </row>
    <row r="854" customFormat="false" ht="17.15" hidden="false" customHeight="false" outlineLevel="0" collapsed="false">
      <c r="A854" s="0" t="s">
        <v>570</v>
      </c>
      <c r="B854" s="0" t="s">
        <v>48</v>
      </c>
      <c r="D854" s="20" t="n">
        <f aca="false">D853/C853-1</f>
        <v>0.521343002725398</v>
      </c>
      <c r="E854" s="20" t="n">
        <f aca="false">E853/D853-1</f>
        <v>-0.0517353361569536</v>
      </c>
      <c r="F854" s="20" t="n">
        <f aca="false">F853/E853-1</f>
        <v>-0.078512129242322</v>
      </c>
      <c r="G854" s="20" t="n">
        <f aca="false">G853/F853-1</f>
        <v>0.0480442464715891</v>
      </c>
      <c r="H854" s="27" t="n">
        <f aca="false">H853/G853-1</f>
        <v>0.0423492150818143</v>
      </c>
      <c r="I854" s="27" t="n">
        <f aca="false">I853/H853-1</f>
        <v>0.0226238648446635</v>
      </c>
      <c r="J854" s="27" t="n">
        <f aca="false">J853/I853-1</f>
        <v>0.00285714285714289</v>
      </c>
    </row>
    <row r="855" customFormat="false" ht="17.15" hidden="false" customHeight="false" outlineLevel="0" collapsed="false">
      <c r="A855" s="4" t="s">
        <v>571</v>
      </c>
      <c r="B855" s="0" t="s">
        <v>48</v>
      </c>
      <c r="C855" s="16" t="n">
        <f aca="false">C851/C832</f>
        <v>0.162746187565599</v>
      </c>
      <c r="D855" s="16" t="n">
        <f aca="false">D851/D832</f>
        <v>0.208646059676249</v>
      </c>
      <c r="E855" s="16" t="n">
        <f aca="false">E851/E832</f>
        <v>0.171120285849696</v>
      </c>
      <c r="F855" s="16" t="n">
        <f aca="false">F851/F832</f>
        <v>0.142494713715717</v>
      </c>
      <c r="G855" s="16" t="n">
        <f aca="false">G851/G832</f>
        <v>0.136081223147201</v>
      </c>
      <c r="H855" s="28" t="n">
        <f aca="false">$G855+($G$855*0.9-$G855)*1/3</f>
        <v>0.131545182375628</v>
      </c>
      <c r="I855" s="28" t="n">
        <f aca="false">$G855+($G$855*0.9-$G855)*2/3</f>
        <v>0.127009141604054</v>
      </c>
      <c r="J855" s="28" t="n">
        <f aca="false">$G855+($G$855*0.9-$G855)*3/3</f>
        <v>0.122473100832481</v>
      </c>
    </row>
    <row r="858" customFormat="false" ht="17.15" hidden="false" customHeight="false" outlineLevel="0" collapsed="false">
      <c r="A858" s="1" t="s">
        <v>865</v>
      </c>
    </row>
    <row r="859" customFormat="false" ht="17.15" hidden="false" customHeight="false" outlineLevel="0" collapsed="false">
      <c r="A859" s="5" t="s">
        <v>24</v>
      </c>
      <c r="B859" s="5" t="s">
        <v>25</v>
      </c>
      <c r="C859" s="17" t="s">
        <v>394</v>
      </c>
      <c r="D859" s="17" t="s">
        <v>521</v>
      </c>
      <c r="E859" s="17" t="s">
        <v>480</v>
      </c>
      <c r="F859" s="17" t="s">
        <v>481</v>
      </c>
      <c r="G859" s="17" t="s">
        <v>482</v>
      </c>
      <c r="H859" s="17" t="s">
        <v>522</v>
      </c>
      <c r="I859" s="17" t="s">
        <v>523</v>
      </c>
      <c r="J859" s="17" t="s">
        <v>524</v>
      </c>
      <c r="K859" s="5" t="s">
        <v>357</v>
      </c>
    </row>
    <row r="860" customFormat="false" ht="17.15" hidden="false" customHeight="false" outlineLevel="0" collapsed="false">
      <c r="A860" s="6" t="s">
        <v>542</v>
      </c>
    </row>
    <row r="861" customFormat="false" ht="17.15" hidden="false" customHeight="false" outlineLevel="0" collapsed="false">
      <c r="A861" s="4" t="s">
        <v>543</v>
      </c>
      <c r="B861" s="4" t="s">
        <v>42</v>
      </c>
      <c r="D861" s="22" t="n">
        <f aca="false">cap_26</f>
        <v>3306</v>
      </c>
      <c r="E861" s="22" t="n">
        <f aca="false">D861*(1+capg27)*cap_adj</f>
        <v>3306</v>
      </c>
      <c r="F861" s="22" t="n">
        <f aca="false">E861*(1+capg28)</f>
        <v>3306</v>
      </c>
      <c r="G861" s="22" t="n">
        <f aca="false">F861*(1+capg29)</f>
        <v>3306</v>
      </c>
    </row>
    <row r="862" customFormat="false" ht="15" hidden="false" customHeight="false" outlineLevel="0" collapsed="false">
      <c r="A862" s="4" t="s">
        <v>544</v>
      </c>
      <c r="B862" s="0" t="s">
        <v>48</v>
      </c>
      <c r="D862" s="20" t="n">
        <f aca="false">a26_ship/cap_26</f>
        <v>0.8725</v>
      </c>
      <c r="E862" s="20" t="n">
        <f aca="false">MIN(0.98,ut27_C+ut_adj)</f>
        <v>0.8</v>
      </c>
      <c r="F862" s="20" t="n">
        <f aca="false">MIN(0.98,ut28_C+ut_adj)</f>
        <v>0.74</v>
      </c>
      <c r="G862" s="20" t="n">
        <f aca="false">MIN(0.98,ut29_C+ut_adj)</f>
        <v>0.78</v>
      </c>
    </row>
    <row r="863" customFormat="false" ht="17.15" hidden="false" customHeight="false" outlineLevel="0" collapsed="false">
      <c r="A863" s="4" t="s">
        <v>545</v>
      </c>
      <c r="B863" s="4" t="s">
        <v>42</v>
      </c>
      <c r="D863" s="22" t="n">
        <f aca="false">D861*D862</f>
        <v>2884.485</v>
      </c>
      <c r="E863" s="22" t="n">
        <f aca="false">E861*E862</f>
        <v>2644.8</v>
      </c>
      <c r="F863" s="22" t="n">
        <f aca="false">F861*F862</f>
        <v>2446.44</v>
      </c>
      <c r="G863" s="22" t="n">
        <f aca="false">G861*G862</f>
        <v>2578.68</v>
      </c>
    </row>
    <row r="864" customFormat="false" ht="17.15" hidden="false" customHeight="false" outlineLevel="0" collapsed="false">
      <c r="A864" s="4" t="s">
        <v>546</v>
      </c>
      <c r="B864" s="0" t="s">
        <v>89</v>
      </c>
      <c r="D864" s="22" t="n">
        <f aca="false">asp_26</f>
        <v>643.469405492234</v>
      </c>
      <c r="E864" s="22" t="n">
        <f aca="false">D864*(1+asp27_C)*(1+asp_adj_lo)</f>
        <v>605.440363627643</v>
      </c>
      <c r="F864" s="22" t="n">
        <f aca="false">E864*(1+asp28_C)</f>
        <v>575.168345446261</v>
      </c>
      <c r="G864" s="22" t="n">
        <f aca="false">F864*(1+asp29_C)</f>
        <v>563.664978537335</v>
      </c>
    </row>
    <row r="865" customFormat="false" ht="15" hidden="false" customHeight="false" outlineLevel="0" collapsed="false">
      <c r="A865" s="4" t="s">
        <v>547</v>
      </c>
      <c r="B865" s="0" t="s">
        <v>48</v>
      </c>
      <c r="E865" s="20" t="n">
        <f aca="false">E864/D864-1</f>
        <v>-0.0591</v>
      </c>
      <c r="F865" s="20" t="n">
        <f aca="false">F864/E864-1</f>
        <v>-0.0499999999999999</v>
      </c>
      <c r="G865" s="20" t="n">
        <f aca="false">G864/F864-1</f>
        <v>-0.0200000000000001</v>
      </c>
    </row>
    <row r="866" customFormat="false" ht="15" hidden="false" customHeight="false" outlineLevel="0" collapsed="false">
      <c r="A866" s="4" t="s">
        <v>548</v>
      </c>
      <c r="B866" s="0" t="s">
        <v>35</v>
      </c>
      <c r="D866" s="23" t="n">
        <f aca="false">fx_26</f>
        <v>31.6</v>
      </c>
      <c r="E866" s="23" t="n">
        <f aca="false">fx</f>
        <v>32</v>
      </c>
      <c r="F866" s="23" t="n">
        <f aca="false">fx</f>
        <v>32</v>
      </c>
      <c r="G866" s="23" t="n">
        <f aca="false">fx</f>
        <v>32</v>
      </c>
    </row>
    <row r="867" customFormat="false" ht="17.15" hidden="false" customHeight="false" outlineLevel="0" collapsed="false">
      <c r="A867" s="0" t="s">
        <v>549</v>
      </c>
      <c r="B867" s="0" t="s">
        <v>184</v>
      </c>
      <c r="D867" s="23" t="n">
        <f aca="false">D863*D864*D866/1000000</f>
        <v>58.65206</v>
      </c>
      <c r="E867" s="23" t="n">
        <f aca="false">E863*E864*E866/1000000</f>
        <v>51.2405975591165</v>
      </c>
      <c r="F867" s="23" t="n">
        <f aca="false">F863*F864*F866/1000000</f>
        <v>45.0276751050736</v>
      </c>
      <c r="G867" s="23" t="n">
        <f aca="false">G863*G864*G866/1000000</f>
        <v>46.512371419349</v>
      </c>
    </row>
    <row r="868" customFormat="false" ht="17.15" hidden="false" customHeight="false" outlineLevel="0" collapsed="false">
      <c r="A868" s="6" t="s">
        <v>550</v>
      </c>
    </row>
    <row r="869" customFormat="false" ht="17.15" hidden="false" customHeight="false" outlineLevel="0" collapsed="false">
      <c r="A869" s="0" t="s">
        <v>551</v>
      </c>
      <c r="B869" s="4" t="s">
        <v>42</v>
      </c>
      <c r="D869" s="22" t="n">
        <f aca="false">0</f>
        <v>0</v>
      </c>
      <c r="E869" s="22" t="n">
        <f aca="false">vcap27*vcap_adj</f>
        <v>144</v>
      </c>
      <c r="F869" s="22" t="n">
        <f aca="false">vcap28*vcap_adj</f>
        <v>360</v>
      </c>
      <c r="G869" s="22" t="n">
        <f aca="false">vcap29*vcap_adj</f>
        <v>504</v>
      </c>
    </row>
    <row r="870" customFormat="false" ht="17.15" hidden="false" customHeight="false" outlineLevel="0" collapsed="false">
      <c r="A870" s="0" t="s">
        <v>552</v>
      </c>
      <c r="B870" s="0" t="s">
        <v>48</v>
      </c>
      <c r="E870" s="20" t="n">
        <f aca="false">vut_C</f>
        <v>0.65</v>
      </c>
      <c r="F870" s="20" t="n">
        <f aca="false">vut_C</f>
        <v>0.65</v>
      </c>
      <c r="G870" s="20" t="n">
        <f aca="false">vut_C</f>
        <v>0.65</v>
      </c>
    </row>
    <row r="871" customFormat="false" ht="17.15" hidden="false" customHeight="false" outlineLevel="0" collapsed="false">
      <c r="A871" s="0" t="s">
        <v>553</v>
      </c>
      <c r="B871" s="4" t="s">
        <v>42</v>
      </c>
      <c r="D871" s="22" t="n">
        <f aca="false">0</f>
        <v>0</v>
      </c>
      <c r="E871" s="22" t="n">
        <f aca="false">E869*E870</f>
        <v>93.6</v>
      </c>
      <c r="F871" s="22" t="n">
        <f aca="false">F869*F870</f>
        <v>234</v>
      </c>
      <c r="G871" s="22" t="n">
        <f aca="false">G869*G870</f>
        <v>327.6</v>
      </c>
    </row>
    <row r="872" customFormat="false" ht="17.15" hidden="false" customHeight="false" outlineLevel="0" collapsed="false">
      <c r="A872" s="0" t="s">
        <v>554</v>
      </c>
      <c r="B872" s="0" t="s">
        <v>184</v>
      </c>
      <c r="D872" s="23" t="n">
        <f aca="false">0</f>
        <v>0</v>
      </c>
      <c r="E872" s="23" t="n">
        <f aca="false">E871*vasp*E866/1000000</f>
        <v>5.39136</v>
      </c>
      <c r="F872" s="23" t="n">
        <f aca="false">F871*vasp*F866/1000000</f>
        <v>13.4784</v>
      </c>
      <c r="G872" s="23" t="n">
        <f aca="false">G871*vasp*G866/1000000</f>
        <v>18.86976</v>
      </c>
    </row>
    <row r="873" customFormat="false" ht="17.15" hidden="false" customHeight="false" outlineLevel="0" collapsed="false">
      <c r="A873" s="4" t="s">
        <v>400</v>
      </c>
      <c r="B873" s="0" t="s">
        <v>184</v>
      </c>
      <c r="C873" s="23" t="n">
        <f aca="false">a25_rev</f>
        <v>48.591</v>
      </c>
      <c r="D873" s="23" t="n">
        <f aca="false">D867+D872</f>
        <v>58.65206</v>
      </c>
      <c r="E873" s="23" t="n">
        <f aca="false">E867+E872</f>
        <v>56.6319575591165</v>
      </c>
      <c r="F873" s="23" t="n">
        <f aca="false">F867+F872</f>
        <v>58.5060751050736</v>
      </c>
      <c r="G873" s="23" t="n">
        <f aca="false">G867+G872</f>
        <v>65.382131419349</v>
      </c>
      <c r="H873" s="29" t="n">
        <f aca="false">G873*(1+H876)</f>
        <v>70.940799023516</v>
      </c>
      <c r="I873" s="29" t="n">
        <f aca="false">H873*(1+I876)</f>
        <v>74.6658346232011</v>
      </c>
      <c r="J873" s="29" t="n">
        <f aca="false">I873*(1+J876)</f>
        <v>76.1591513156651</v>
      </c>
      <c r="K873" s="8" t="s">
        <v>555</v>
      </c>
    </row>
    <row r="874" customFormat="false" ht="17.15" hidden="false" customHeight="false" outlineLevel="0" collapsed="false">
      <c r="A874" s="0" t="s">
        <v>556</v>
      </c>
      <c r="B874" s="0" t="s">
        <v>48</v>
      </c>
      <c r="D874" s="20" t="n">
        <f aca="false">D872/D873</f>
        <v>0</v>
      </c>
      <c r="E874" s="20" t="n">
        <f aca="false">E872/E873</f>
        <v>0.0951999583339869</v>
      </c>
      <c r="F874" s="20" t="n">
        <f aca="false">F872/F873</f>
        <v>0.230376075916793</v>
      </c>
      <c r="G874" s="20" t="n">
        <f aca="false">G872/G873</f>
        <v>0.288607293619304</v>
      </c>
    </row>
    <row r="875" customFormat="false" ht="17.15" hidden="false" customHeight="false" outlineLevel="0" collapsed="false">
      <c r="A875" s="0" t="s">
        <v>557</v>
      </c>
      <c r="B875" s="0" t="s">
        <v>48</v>
      </c>
      <c r="D875" s="20" t="n">
        <f aca="false">ai_sh26</f>
        <v>0.1</v>
      </c>
      <c r="E875" s="20" t="n">
        <f aca="false">ai_sh27_C</f>
        <v>0.15</v>
      </c>
      <c r="F875" s="20" t="n">
        <f aca="false">ai_sh27_C</f>
        <v>0.15</v>
      </c>
      <c r="G875" s="20" t="n">
        <f aca="false">ai_sh27_C</f>
        <v>0.15</v>
      </c>
    </row>
    <row r="876" customFormat="false" ht="15" hidden="false" customHeight="false" outlineLevel="0" collapsed="false">
      <c r="A876" s="4" t="s">
        <v>558</v>
      </c>
      <c r="B876" s="0" t="s">
        <v>48</v>
      </c>
      <c r="D876" s="20" t="n">
        <f aca="false">D873/C873-1</f>
        <v>0.207056039184211</v>
      </c>
      <c r="E876" s="20" t="n">
        <f aca="false">E873/D873-1</f>
        <v>-0.0344421396432374</v>
      </c>
      <c r="F876" s="20" t="n">
        <f aca="false">F873/E873-1</f>
        <v>0.0330929324489764</v>
      </c>
      <c r="G876" s="20" t="n">
        <f aca="false">G873/F873-1</f>
        <v>0.117527219214866</v>
      </c>
      <c r="H876" s="27" t="n">
        <f aca="false">$G876+(fade_gC-$G876)*1/3</f>
        <v>0.085018146143244</v>
      </c>
      <c r="I876" s="27" t="n">
        <f aca="false">$G876+(fade_gC-$G876)*2/3</f>
        <v>0.052509073071622</v>
      </c>
      <c r="J876" s="27" t="n">
        <f aca="false">$G876+(fade_gC-$G876)*3/3</f>
        <v>0.02</v>
      </c>
    </row>
    <row r="877" customFormat="false" ht="17.15" hidden="false" customHeight="false" outlineLevel="0" collapsed="false">
      <c r="A877" s="6" t="s">
        <v>559</v>
      </c>
    </row>
    <row r="878" customFormat="false" ht="15" hidden="false" customHeight="false" outlineLevel="0" collapsed="false">
      <c r="A878" s="4" t="s">
        <v>560</v>
      </c>
      <c r="B878" s="0" t="s">
        <v>184</v>
      </c>
      <c r="D878" s="23" t="n">
        <f aca="false">da_tot26*da_sh</f>
        <v>8.658</v>
      </c>
      <c r="E878" s="23" t="n">
        <f aca="false">D878*(1+dag_27+dag_adj)</f>
        <v>8.91774</v>
      </c>
      <c r="F878" s="23" t="n">
        <f aca="false">E878*(1+dag_28+dag_adj)</f>
        <v>9.0960948</v>
      </c>
      <c r="G878" s="23" t="n">
        <f aca="false">F878*(1+dag_29+dag_adj)</f>
        <v>9.0960948</v>
      </c>
    </row>
    <row r="879" customFormat="false" ht="17.15" hidden="false" customHeight="false" outlineLevel="0" collapsed="false">
      <c r="A879" s="4" t="s">
        <v>561</v>
      </c>
      <c r="B879" s="0" t="s">
        <v>562</v>
      </c>
      <c r="D879" s="23" t="n">
        <f aca="false">(D867-a26_gp-D878)/D863*1000</f>
        <v>10.7339918911001</v>
      </c>
      <c r="E879" s="23" t="n">
        <f aca="false">D879*(1+cc_g)</f>
        <v>10.9486717289221</v>
      </c>
      <c r="F879" s="23" t="n">
        <f aca="false">E879*(1+cc_g)</f>
        <v>11.1676451635006</v>
      </c>
      <c r="G879" s="23" t="n">
        <f aca="false">F879*(1+cc_g)</f>
        <v>11.3909980667706</v>
      </c>
      <c r="K879" s="8" t="s">
        <v>563</v>
      </c>
    </row>
    <row r="880" customFormat="false" ht="17.15" hidden="false" customHeight="false" outlineLevel="0" collapsed="false">
      <c r="A880" s="4" t="s">
        <v>564</v>
      </c>
      <c r="B880" s="0" t="s">
        <v>184</v>
      </c>
      <c r="D880" s="23" t="n">
        <f aca="false">D879*D863/1000</f>
        <v>30.9620386</v>
      </c>
      <c r="E880" s="23" t="n">
        <f aca="false">E879*E863/1000</f>
        <v>28.9570469886533</v>
      </c>
      <c r="F880" s="23" t="n">
        <f aca="false">F879*F863/1000</f>
        <v>27.3209738337944</v>
      </c>
      <c r="G880" s="23" t="n">
        <f aca="false">G879*G863/1000</f>
        <v>29.37373889482</v>
      </c>
    </row>
    <row r="881" customFormat="false" ht="17.15" hidden="false" customHeight="false" outlineLevel="0" collapsed="false">
      <c r="A881" s="0" t="s">
        <v>565</v>
      </c>
      <c r="B881" s="0" t="s">
        <v>48</v>
      </c>
      <c r="E881" s="20" t="n">
        <f aca="false">vgm27_C</f>
        <v>-0.2</v>
      </c>
      <c r="F881" s="20" t="n">
        <f aca="false">vgm28_C</f>
        <v>0</v>
      </c>
      <c r="G881" s="20" t="n">
        <f aca="false">vgm29_C</f>
        <v>0.05</v>
      </c>
    </row>
    <row r="882" customFormat="false" ht="17.15" hidden="false" customHeight="false" outlineLevel="0" collapsed="false">
      <c r="A882" s="0" t="s">
        <v>566</v>
      </c>
      <c r="B882" s="0" t="s">
        <v>184</v>
      </c>
      <c r="D882" s="23" t="n">
        <f aca="false">0</f>
        <v>0</v>
      </c>
      <c r="E882" s="23" t="n">
        <f aca="false">E872*E881</f>
        <v>-1.078272</v>
      </c>
      <c r="F882" s="23" t="n">
        <f aca="false">F872*F881</f>
        <v>0</v>
      </c>
      <c r="G882" s="23" t="n">
        <f aca="false">G872*G881</f>
        <v>0.943488</v>
      </c>
    </row>
    <row r="883" customFormat="false" ht="15" hidden="false" customHeight="false" outlineLevel="0" collapsed="false">
      <c r="A883" s="4" t="s">
        <v>417</v>
      </c>
      <c r="B883" s="0" t="s">
        <v>184</v>
      </c>
      <c r="C883" s="23" t="n">
        <f aca="false">a25_gp</f>
        <v>13.654</v>
      </c>
      <c r="D883" s="23" t="n">
        <f aca="false">D867-D878-D880+D882</f>
        <v>19.0320214</v>
      </c>
      <c r="E883" s="23" t="n">
        <f aca="false">E867-E878-E880+E882</f>
        <v>12.2875385704632</v>
      </c>
      <c r="F883" s="23" t="n">
        <f aca="false">F867-F878-F880+F882</f>
        <v>8.61060647127921</v>
      </c>
      <c r="G883" s="23" t="n">
        <f aca="false">G867-G878-G880+G882</f>
        <v>8.98602572452898</v>
      </c>
    </row>
    <row r="884" customFormat="false" ht="15" hidden="false" customHeight="false" outlineLevel="0" collapsed="false">
      <c r="A884" s="4" t="s">
        <v>420</v>
      </c>
      <c r="B884" s="0" t="s">
        <v>48</v>
      </c>
      <c r="C884" s="16" t="n">
        <f aca="false">C883/C873</f>
        <v>0.280998538824062</v>
      </c>
      <c r="D884" s="16" t="n">
        <f aca="false">D883/D873</f>
        <v>0.324490246378388</v>
      </c>
      <c r="E884" s="16" t="n">
        <f aca="false">E883/E873</f>
        <v>0.216971814149927</v>
      </c>
      <c r="F884" s="16" t="n">
        <f aca="false">F883/F873</f>
        <v>0.147174570432473</v>
      </c>
      <c r="G884" s="16" t="n">
        <f aca="false">G883/G873</f>
        <v>0.137438555909018</v>
      </c>
    </row>
    <row r="885" customFormat="false" ht="15" hidden="false" customHeight="false" outlineLevel="0" collapsed="false">
      <c r="A885" s="4" t="s">
        <v>422</v>
      </c>
      <c r="B885" s="0" t="s">
        <v>184</v>
      </c>
      <c r="C885" s="23" t="n">
        <f aca="false">a25_opx</f>
        <v>5.881</v>
      </c>
      <c r="D885" s="23" t="n">
        <f aca="false">a26_opx</f>
        <v>6.824187</v>
      </c>
      <c r="E885" s="23" t="n">
        <f aca="false">D885*(1+MAX(g_opx_min,phi*E876))</f>
        <v>7.02891261</v>
      </c>
      <c r="F885" s="23" t="n">
        <f aca="false">E885*(1+MAX(g_opx_min,phi*F876))</f>
        <v>7.2397799883</v>
      </c>
      <c r="G885" s="23" t="n">
        <f aca="false">F885*(1+MAX(g_opx_min,phi*G876))</f>
        <v>7.66521559317617</v>
      </c>
    </row>
    <row r="886" customFormat="false" ht="15" hidden="false" customHeight="false" outlineLevel="0" collapsed="false">
      <c r="A886" s="4" t="s">
        <v>425</v>
      </c>
      <c r="B886" s="0" t="s">
        <v>184</v>
      </c>
      <c r="C886" s="23" t="n">
        <f aca="false">C883-C885</f>
        <v>7.773</v>
      </c>
      <c r="D886" s="23" t="n">
        <f aca="false">D883-D885</f>
        <v>12.2078344</v>
      </c>
      <c r="E886" s="23" t="n">
        <f aca="false">E883-E885</f>
        <v>5.25862596046316</v>
      </c>
      <c r="F886" s="23" t="n">
        <f aca="false">F883-F885</f>
        <v>1.37082648297921</v>
      </c>
      <c r="G886" s="23" t="n">
        <f aca="false">G883-G885</f>
        <v>1.32081013135281</v>
      </c>
    </row>
    <row r="887" customFormat="false" ht="15" hidden="false" customHeight="false" outlineLevel="0" collapsed="false">
      <c r="A887" s="4" t="s">
        <v>531</v>
      </c>
      <c r="B887" s="0" t="s">
        <v>48</v>
      </c>
      <c r="C887" s="16" t="n">
        <f aca="false">C886/C873</f>
        <v>0.159967895289251</v>
      </c>
      <c r="D887" s="16" t="n">
        <f aca="false">D886/D873</f>
        <v>0.208139908470393</v>
      </c>
      <c r="E887" s="16" t="n">
        <f aca="false">E886/E873</f>
        <v>0.0928561573202522</v>
      </c>
      <c r="F887" s="16" t="n">
        <f aca="false">F886/F873</f>
        <v>0.0234304981237808</v>
      </c>
      <c r="G887" s="16" t="n">
        <f aca="false">G886/G873</f>
        <v>0.0202013929904086</v>
      </c>
    </row>
    <row r="888" customFormat="false" ht="15" hidden="false" customHeight="false" outlineLevel="0" collapsed="false">
      <c r="A888" s="4" t="s">
        <v>428</v>
      </c>
      <c r="B888" s="0" t="s">
        <v>184</v>
      </c>
      <c r="C888" s="23" t="n">
        <f aca="false">a25_nonop</f>
        <v>1.479</v>
      </c>
      <c r="D888" s="23" t="n">
        <f aca="false">a26_nonop</f>
        <v>2.10950832169955</v>
      </c>
      <c r="E888" s="23" t="n">
        <f aca="false">nonop_f</f>
        <v>1.5</v>
      </c>
      <c r="F888" s="23" t="n">
        <f aca="false">nonop_f</f>
        <v>1.5</v>
      </c>
      <c r="G888" s="23" t="n">
        <f aca="false">nonop_f</f>
        <v>1.5</v>
      </c>
    </row>
    <row r="889" customFormat="false" ht="15" hidden="false" customHeight="false" outlineLevel="0" collapsed="false">
      <c r="A889" s="4" t="s">
        <v>430</v>
      </c>
      <c r="B889" s="0" t="s">
        <v>184</v>
      </c>
      <c r="C889" s="23" t="n">
        <f aca="false">C886+C888</f>
        <v>9.252</v>
      </c>
      <c r="D889" s="23" t="n">
        <f aca="false">D886+D888</f>
        <v>14.3173427216995</v>
      </c>
      <c r="E889" s="23" t="n">
        <f aca="false">E886+E888</f>
        <v>6.75862596046316</v>
      </c>
      <c r="F889" s="23" t="n">
        <f aca="false">F886+F888</f>
        <v>2.87082648297921</v>
      </c>
      <c r="G889" s="23" t="n">
        <f aca="false">G886+G888</f>
        <v>2.82081013135281</v>
      </c>
    </row>
    <row r="890" customFormat="false" ht="15" hidden="false" customHeight="false" outlineLevel="0" collapsed="false">
      <c r="A890" s="4" t="s">
        <v>432</v>
      </c>
      <c r="B890" s="0" t="s">
        <v>184</v>
      </c>
      <c r="C890" s="23" t="n">
        <f aca="false">a25_tax</f>
        <v>1.344</v>
      </c>
      <c r="D890" s="23" t="n">
        <f aca="false">a26_tax</f>
        <v>2.0798215108046</v>
      </c>
      <c r="E890" s="23" t="n">
        <f aca="false">E889*tax</f>
        <v>1.01379389406947</v>
      </c>
      <c r="F890" s="23" t="n">
        <f aca="false">F889*tax</f>
        <v>0.430623972446881</v>
      </c>
      <c r="G890" s="23" t="n">
        <f aca="false">G889*tax</f>
        <v>0.423121519702921</v>
      </c>
    </row>
    <row r="891" customFormat="false" ht="17.15" hidden="false" customHeight="false" outlineLevel="0" collapsed="false">
      <c r="A891" s="4" t="s">
        <v>567</v>
      </c>
      <c r="B891" s="0" t="s">
        <v>184</v>
      </c>
      <c r="C891" s="23" t="n">
        <f aca="false">a25_mi</f>
        <v>0</v>
      </c>
      <c r="D891" s="23" t="n">
        <f aca="false">a26_mi</f>
        <v>0</v>
      </c>
      <c r="E891" s="23" t="n">
        <f aca="false">vmi*E882*(1-tax)</f>
        <v>-0.36661248</v>
      </c>
      <c r="F891" s="23" t="n">
        <f aca="false">vmi*F882*(1-tax)</f>
        <v>0</v>
      </c>
      <c r="G891" s="23" t="n">
        <f aca="false">vmi*G882*(1-tax)</f>
        <v>0.32078592</v>
      </c>
      <c r="K891" s="8" t="s">
        <v>568</v>
      </c>
    </row>
    <row r="892" customFormat="false" ht="15" hidden="false" customHeight="false" outlineLevel="0" collapsed="false">
      <c r="A892" s="4" t="s">
        <v>435</v>
      </c>
      <c r="B892" s="0" t="s">
        <v>184</v>
      </c>
      <c r="C892" s="23" t="n">
        <f aca="false">C889-C890-C891</f>
        <v>7.908</v>
      </c>
      <c r="D892" s="23" t="n">
        <f aca="false">D889-D890-D891</f>
        <v>12.2375212108949</v>
      </c>
      <c r="E892" s="23" t="n">
        <f aca="false">E889-E890-E891</f>
        <v>6.11144454639369</v>
      </c>
      <c r="F892" s="23" t="n">
        <f aca="false">F889-F890-F891</f>
        <v>2.44020251053233</v>
      </c>
      <c r="G892" s="23" t="n">
        <f aca="false">G889-G890-G891</f>
        <v>2.07690269164989</v>
      </c>
      <c r="H892" s="29" t="n">
        <f aca="false">H873*H896</f>
        <v>2.10324530099962</v>
      </c>
      <c r="I892" s="29" t="n">
        <f aca="false">I873*I896</f>
        <v>2.0555644220404</v>
      </c>
      <c r="J892" s="29" t="n">
        <f aca="false">J873*J896</f>
        <v>1.93539296352111</v>
      </c>
    </row>
    <row r="893" customFormat="false" ht="15" hidden="false" customHeight="false" outlineLevel="0" collapsed="false">
      <c r="A893" s="4" t="s">
        <v>569</v>
      </c>
      <c r="B893" s="4" t="s">
        <v>265</v>
      </c>
      <c r="C893" s="10" t="n">
        <f aca="false">a25_sh</f>
        <v>1.8739336492891</v>
      </c>
      <c r="D893" s="10" t="n">
        <f aca="false">a26_sh</f>
        <v>1.90613591916558</v>
      </c>
      <c r="E893" s="10" t="n">
        <f aca="false">q_sh*(1+sh_g)</f>
        <v>1.90705128205128</v>
      </c>
      <c r="F893" s="10" t="n">
        <f aca="false">E893*(1+sh_g)</f>
        <v>1.90705128205128</v>
      </c>
      <c r="G893" s="10" t="n">
        <f aca="false">F893*(1+sh_g)</f>
        <v>1.90705128205128</v>
      </c>
      <c r="H893" s="31" t="n">
        <f aca="false">G893*(1+sh_g)</f>
        <v>1.90705128205128</v>
      </c>
      <c r="I893" s="31" t="n">
        <f aca="false">H893*(1+sh_g)</f>
        <v>1.90705128205128</v>
      </c>
      <c r="J893" s="31" t="n">
        <f aca="false">I893*(1+sh_g)</f>
        <v>1.90705128205128</v>
      </c>
    </row>
    <row r="894" customFormat="false" ht="17.15" hidden="false" customHeight="false" outlineLevel="0" collapsed="false">
      <c r="A894" s="0" t="s">
        <v>442</v>
      </c>
      <c r="B894" s="0" t="s">
        <v>274</v>
      </c>
      <c r="C894" s="23" t="n">
        <f aca="false">C892/C893</f>
        <v>4.22</v>
      </c>
      <c r="D894" s="23" t="n">
        <f aca="false">D892/D893</f>
        <v>6.42006747150118</v>
      </c>
      <c r="E894" s="23" t="n">
        <f aca="false">E892/E893</f>
        <v>3.20465663609215</v>
      </c>
      <c r="F894" s="23" t="n">
        <f aca="false">F892/F893</f>
        <v>1.27956837527073</v>
      </c>
      <c r="G894" s="23" t="n">
        <f aca="false">G892/G893</f>
        <v>1.08906494083154</v>
      </c>
      <c r="H894" s="29" t="n">
        <f aca="false">H892/H893</f>
        <v>1.10287820825526</v>
      </c>
      <c r="I894" s="29" t="n">
        <f aca="false">I892/I893</f>
        <v>1.07787579777581</v>
      </c>
      <c r="J894" s="29" t="n">
        <f aca="false">J892/J893</f>
        <v>1.01486152036737</v>
      </c>
    </row>
    <row r="895" customFormat="false" ht="17.15" hidden="false" customHeight="false" outlineLevel="0" collapsed="false">
      <c r="A895" s="0" t="s">
        <v>570</v>
      </c>
      <c r="B895" s="0" t="s">
        <v>48</v>
      </c>
      <c r="D895" s="20" t="n">
        <f aca="false">D894/C894-1</f>
        <v>0.521343002725398</v>
      </c>
      <c r="E895" s="20" t="n">
        <f aca="false">E894/D894-1</f>
        <v>-0.500837545661678</v>
      </c>
      <c r="F895" s="20" t="n">
        <f aca="false">F894/E894-1</f>
        <v>-0.600715920432876</v>
      </c>
      <c r="G895" s="20" t="n">
        <f aca="false">G894/F894-1</f>
        <v>-0.148881011848146</v>
      </c>
      <c r="H895" s="27" t="n">
        <f aca="false">H894/G894-1</f>
        <v>0.0126836030670279</v>
      </c>
      <c r="I895" s="27" t="n">
        <f aca="false">I894/H894-1</f>
        <v>-0.0226701464334937</v>
      </c>
      <c r="J895" s="27" t="n">
        <f aca="false">J894/I894-1</f>
        <v>-0.0584615384615385</v>
      </c>
    </row>
    <row r="896" customFormat="false" ht="17.15" hidden="false" customHeight="false" outlineLevel="0" collapsed="false">
      <c r="A896" s="4" t="s">
        <v>571</v>
      </c>
      <c r="B896" s="0" t="s">
        <v>48</v>
      </c>
      <c r="C896" s="16" t="n">
        <f aca="false">C892/C873</f>
        <v>0.162746187565599</v>
      </c>
      <c r="D896" s="16" t="n">
        <f aca="false">D892/D873</f>
        <v>0.208646059676249</v>
      </c>
      <c r="E896" s="16" t="n">
        <f aca="false">E892/E873</f>
        <v>0.107915120892901</v>
      </c>
      <c r="F896" s="16" t="n">
        <f aca="false">F892/F873</f>
        <v>0.0417085320823498</v>
      </c>
      <c r="G896" s="16" t="n">
        <f aca="false">G892/G873</f>
        <v>0.0317656008845753</v>
      </c>
      <c r="H896" s="28" t="n">
        <f aca="false">$G896+($G$896*0.8-$G896)*1/3</f>
        <v>0.0296478941589369</v>
      </c>
      <c r="I896" s="28" t="n">
        <f aca="false">$G896+($G$896*0.8-$G896)*2/3</f>
        <v>0.0275301874332986</v>
      </c>
      <c r="J896" s="28" t="n">
        <f aca="false">$G896+($G$896*0.8-$G896)*3/3</f>
        <v>0.0254124807076602</v>
      </c>
    </row>
    <row r="899" customFormat="false" ht="17.15" hidden="false" customHeight="false" outlineLevel="0" collapsed="false">
      <c r="A899" s="1" t="s">
        <v>866</v>
      </c>
    </row>
    <row r="900" customFormat="false" ht="17.15" hidden="false" customHeight="false" outlineLevel="0" collapsed="false">
      <c r="A900" s="5" t="s">
        <v>24</v>
      </c>
      <c r="B900" s="5" t="s">
        <v>25</v>
      </c>
      <c r="C900" s="17" t="s">
        <v>394</v>
      </c>
      <c r="D900" s="17" t="s">
        <v>521</v>
      </c>
      <c r="E900" s="17" t="s">
        <v>480</v>
      </c>
      <c r="F900" s="17" t="s">
        <v>481</v>
      </c>
      <c r="G900" s="17" t="s">
        <v>482</v>
      </c>
      <c r="H900" s="17" t="s">
        <v>522</v>
      </c>
      <c r="I900" s="17" t="s">
        <v>523</v>
      </c>
      <c r="J900" s="17" t="s">
        <v>524</v>
      </c>
      <c r="K900" s="5" t="s">
        <v>357</v>
      </c>
    </row>
    <row r="901" customFormat="false" ht="17.15" hidden="false" customHeight="false" outlineLevel="0" collapsed="false">
      <c r="A901" s="6" t="s">
        <v>542</v>
      </c>
    </row>
    <row r="902" customFormat="false" ht="17.15" hidden="false" customHeight="false" outlineLevel="0" collapsed="false">
      <c r="A902" s="4" t="s">
        <v>543</v>
      </c>
      <c r="B902" s="4" t="s">
        <v>42</v>
      </c>
      <c r="D902" s="22" t="n">
        <f aca="false">cap_26</f>
        <v>3306</v>
      </c>
      <c r="E902" s="22" t="n">
        <f aca="false">D902*(1+capg27)*cap_adj</f>
        <v>3306</v>
      </c>
      <c r="F902" s="22" t="n">
        <f aca="false">E902*(1+capg28)</f>
        <v>3306</v>
      </c>
      <c r="G902" s="22" t="n">
        <f aca="false">F902*(1+capg29)</f>
        <v>3306</v>
      </c>
    </row>
    <row r="903" customFormat="false" ht="15" hidden="false" customHeight="false" outlineLevel="0" collapsed="false">
      <c r="A903" s="4" t="s">
        <v>544</v>
      </c>
      <c r="B903" s="0" t="s">
        <v>48</v>
      </c>
      <c r="D903" s="20" t="n">
        <f aca="false">a26_ship/cap_26</f>
        <v>0.8725</v>
      </c>
      <c r="E903" s="20" t="n">
        <f aca="false">MIN(0.98,ut27_A+ut_adj)</f>
        <v>0.95</v>
      </c>
      <c r="F903" s="20" t="n">
        <f aca="false">MIN(0.98,ut28_A+ut_adj)</f>
        <v>0.94</v>
      </c>
      <c r="G903" s="20" t="n">
        <f aca="false">MIN(0.98,ut29_A+ut_adj)</f>
        <v>0.93</v>
      </c>
    </row>
    <row r="904" customFormat="false" ht="17.15" hidden="false" customHeight="false" outlineLevel="0" collapsed="false">
      <c r="A904" s="4" t="s">
        <v>545</v>
      </c>
      <c r="B904" s="4" t="s">
        <v>42</v>
      </c>
      <c r="D904" s="22" t="n">
        <f aca="false">D902*D903</f>
        <v>2884.485</v>
      </c>
      <c r="E904" s="22" t="n">
        <f aca="false">E902*E903</f>
        <v>3140.7</v>
      </c>
      <c r="F904" s="22" t="n">
        <f aca="false">F902*F903</f>
        <v>3107.64</v>
      </c>
      <c r="G904" s="22" t="n">
        <f aca="false">G902*G903</f>
        <v>3074.58</v>
      </c>
    </row>
    <row r="905" customFormat="false" ht="17.15" hidden="false" customHeight="false" outlineLevel="0" collapsed="false">
      <c r="A905" s="4" t="s">
        <v>546</v>
      </c>
      <c r="B905" s="0" t="s">
        <v>89</v>
      </c>
      <c r="D905" s="22" t="n">
        <f aca="false">asp_26</f>
        <v>643.469405492234</v>
      </c>
      <c r="E905" s="22" t="n">
        <f aca="false">D905*(1+asp27_A)*(1+asp_adj_hi)</f>
        <v>702.539896916421</v>
      </c>
      <c r="F905" s="22" t="n">
        <f aca="false">E905*(1+asp28_A)</f>
        <v>716.590694854749</v>
      </c>
      <c r="G905" s="22" t="n">
        <f aca="false">F905*(1+asp29_A)</f>
        <v>723.756601803297</v>
      </c>
    </row>
    <row r="906" customFormat="false" ht="15" hidden="false" customHeight="false" outlineLevel="0" collapsed="false">
      <c r="A906" s="4" t="s">
        <v>547</v>
      </c>
      <c r="B906" s="0" t="s">
        <v>48</v>
      </c>
      <c r="E906" s="20" t="n">
        <f aca="false">E905/D905-1</f>
        <v>0.0917999999999999</v>
      </c>
      <c r="F906" s="20" t="n">
        <f aca="false">F905/E905-1</f>
        <v>0.02</v>
      </c>
      <c r="G906" s="20" t="n">
        <f aca="false">G905/F905-1</f>
        <v>0.01</v>
      </c>
    </row>
    <row r="907" customFormat="false" ht="15" hidden="false" customHeight="false" outlineLevel="0" collapsed="false">
      <c r="A907" s="4" t="s">
        <v>548</v>
      </c>
      <c r="B907" s="0" t="s">
        <v>35</v>
      </c>
      <c r="D907" s="23" t="n">
        <f aca="false">fx_26</f>
        <v>31.6</v>
      </c>
      <c r="E907" s="23" t="n">
        <f aca="false">fx</f>
        <v>32</v>
      </c>
      <c r="F907" s="23" t="n">
        <f aca="false">fx</f>
        <v>32</v>
      </c>
      <c r="G907" s="23" t="n">
        <f aca="false">fx</f>
        <v>32</v>
      </c>
    </row>
    <row r="908" customFormat="false" ht="17.15" hidden="false" customHeight="false" outlineLevel="0" collapsed="false">
      <c r="A908" s="0" t="s">
        <v>549</v>
      </c>
      <c r="B908" s="0" t="s">
        <v>184</v>
      </c>
      <c r="D908" s="23" t="n">
        <f aca="false">D904*D905*D907/1000000</f>
        <v>58.65206</v>
      </c>
      <c r="E908" s="23" t="n">
        <f aca="false">E904*E905*E907/1000000</f>
        <v>70.6069457358529</v>
      </c>
      <c r="F908" s="23" t="n">
        <f aca="false">F904*F905*F907/1000000</f>
        <v>71.2609890226692</v>
      </c>
      <c r="G908" s="23" t="n">
        <f aca="false">G904*G905*G907/1000000</f>
        <v>71.2079223287162</v>
      </c>
    </row>
    <row r="909" customFormat="false" ht="17.15" hidden="false" customHeight="false" outlineLevel="0" collapsed="false">
      <c r="A909" s="6" t="s">
        <v>550</v>
      </c>
    </row>
    <row r="910" customFormat="false" ht="17.15" hidden="false" customHeight="false" outlineLevel="0" collapsed="false">
      <c r="A910" s="0" t="s">
        <v>551</v>
      </c>
      <c r="B910" s="4" t="s">
        <v>42</v>
      </c>
      <c r="D910" s="22" t="n">
        <f aca="false">0</f>
        <v>0</v>
      </c>
      <c r="E910" s="22" t="n">
        <f aca="false">vcap27*vcap_adj</f>
        <v>144</v>
      </c>
      <c r="F910" s="22" t="n">
        <f aca="false">vcap28*vcap_adj</f>
        <v>360</v>
      </c>
      <c r="G910" s="22" t="n">
        <f aca="false">vcap29*vcap_adj</f>
        <v>504</v>
      </c>
    </row>
    <row r="911" customFormat="false" ht="17.15" hidden="false" customHeight="false" outlineLevel="0" collapsed="false">
      <c r="A911" s="0" t="s">
        <v>552</v>
      </c>
      <c r="B911" s="0" t="s">
        <v>48</v>
      </c>
      <c r="E911" s="20" t="n">
        <f aca="false">vut_A</f>
        <v>0.9</v>
      </c>
      <c r="F911" s="20" t="n">
        <f aca="false">vut_A</f>
        <v>0.9</v>
      </c>
      <c r="G911" s="20" t="n">
        <f aca="false">vut_A</f>
        <v>0.9</v>
      </c>
    </row>
    <row r="912" customFormat="false" ht="17.15" hidden="false" customHeight="false" outlineLevel="0" collapsed="false">
      <c r="A912" s="0" t="s">
        <v>553</v>
      </c>
      <c r="B912" s="4" t="s">
        <v>42</v>
      </c>
      <c r="D912" s="22" t="n">
        <f aca="false">0</f>
        <v>0</v>
      </c>
      <c r="E912" s="22" t="n">
        <f aca="false">E910*E911</f>
        <v>129.6</v>
      </c>
      <c r="F912" s="22" t="n">
        <f aca="false">F910*F911</f>
        <v>324</v>
      </c>
      <c r="G912" s="22" t="n">
        <f aca="false">G910*G911</f>
        <v>453.6</v>
      </c>
    </row>
    <row r="913" customFormat="false" ht="17.15" hidden="false" customHeight="false" outlineLevel="0" collapsed="false">
      <c r="A913" s="0" t="s">
        <v>554</v>
      </c>
      <c r="B913" s="0" t="s">
        <v>184</v>
      </c>
      <c r="D913" s="23" t="n">
        <f aca="false">0</f>
        <v>0</v>
      </c>
      <c r="E913" s="23" t="n">
        <f aca="false">E912*vasp*E907/1000000</f>
        <v>7.46496</v>
      </c>
      <c r="F913" s="23" t="n">
        <f aca="false">F912*vasp*F907/1000000</f>
        <v>18.6624</v>
      </c>
      <c r="G913" s="23" t="n">
        <f aca="false">G912*vasp*G907/1000000</f>
        <v>26.12736</v>
      </c>
    </row>
    <row r="914" customFormat="false" ht="17.15" hidden="false" customHeight="false" outlineLevel="0" collapsed="false">
      <c r="A914" s="4" t="s">
        <v>400</v>
      </c>
      <c r="B914" s="0" t="s">
        <v>184</v>
      </c>
      <c r="C914" s="23" t="n">
        <f aca="false">a25_rev</f>
        <v>48.591</v>
      </c>
      <c r="D914" s="23" t="n">
        <f aca="false">D908+D913</f>
        <v>58.65206</v>
      </c>
      <c r="E914" s="23" t="n">
        <f aca="false">E908+E913</f>
        <v>78.0719057358529</v>
      </c>
      <c r="F914" s="23" t="n">
        <f aca="false">F908+F913</f>
        <v>89.9233890226692</v>
      </c>
      <c r="G914" s="23" t="n">
        <f aca="false">G908+G913</f>
        <v>97.3352823287162</v>
      </c>
      <c r="H914" s="29" t="n">
        <f aca="false">G914*(1+H917)</f>
        <v>104.630531406726</v>
      </c>
      <c r="I914" s="29" t="n">
        <f aca="false">H914*(1+I917)</f>
        <v>111.690460210424</v>
      </c>
      <c r="J914" s="29" t="n">
        <f aca="false">I914*(1+J917)</f>
        <v>118.39188782305</v>
      </c>
      <c r="K914" s="8" t="s">
        <v>555</v>
      </c>
    </row>
    <row r="915" customFormat="false" ht="17.15" hidden="false" customHeight="false" outlineLevel="0" collapsed="false">
      <c r="A915" s="0" t="s">
        <v>556</v>
      </c>
      <c r="B915" s="0" t="s">
        <v>48</v>
      </c>
      <c r="D915" s="20" t="n">
        <f aca="false">D913/D914</f>
        <v>0</v>
      </c>
      <c r="E915" s="20" t="n">
        <f aca="false">E913/E914</f>
        <v>0.0956164695819878</v>
      </c>
      <c r="F915" s="20" t="n">
        <f aca="false">F913/F914</f>
        <v>0.20753666207237</v>
      </c>
      <c r="G915" s="20" t="n">
        <f aca="false">G913/G914</f>
        <v>0.268426405871654</v>
      </c>
    </row>
    <row r="916" customFormat="false" ht="17.15" hidden="false" customHeight="false" outlineLevel="0" collapsed="false">
      <c r="A916" s="0" t="s">
        <v>557</v>
      </c>
      <c r="B916" s="0" t="s">
        <v>48</v>
      </c>
      <c r="D916" s="20" t="n">
        <f aca="false">ai_sh26</f>
        <v>0.1</v>
      </c>
      <c r="E916" s="20" t="n">
        <f aca="false">ai_sh27_A</f>
        <v>0.25</v>
      </c>
      <c r="F916" s="20" t="n">
        <f aca="false">ai_sh27_A</f>
        <v>0.25</v>
      </c>
      <c r="G916" s="20" t="n">
        <f aca="false">ai_sh27_A</f>
        <v>0.25</v>
      </c>
    </row>
    <row r="917" customFormat="false" ht="15" hidden="false" customHeight="false" outlineLevel="0" collapsed="false">
      <c r="A917" s="4" t="s">
        <v>558</v>
      </c>
      <c r="B917" s="0" t="s">
        <v>48</v>
      </c>
      <c r="D917" s="20" t="n">
        <f aca="false">D914/C914-1</f>
        <v>0.207056039184211</v>
      </c>
      <c r="E917" s="20" t="n">
        <f aca="false">E914/D914-1</f>
        <v>0.331102534776321</v>
      </c>
      <c r="F917" s="20" t="n">
        <f aca="false">F914/E914-1</f>
        <v>0.151802151812643</v>
      </c>
      <c r="G917" s="20" t="n">
        <f aca="false">G914/F914-1</f>
        <v>0.0824245325560236</v>
      </c>
      <c r="H917" s="27" t="n">
        <f aca="false">$G917+(fade_gA-$G917)*1/3</f>
        <v>0.0749496883706824</v>
      </c>
      <c r="I917" s="27" t="n">
        <f aca="false">$G917+(fade_gA-$G917)*2/3</f>
        <v>0.0674748441853412</v>
      </c>
      <c r="J917" s="27" t="n">
        <f aca="false">$G917+(fade_gA-$G917)*3/3</f>
        <v>0.06</v>
      </c>
    </row>
    <row r="918" customFormat="false" ht="17.15" hidden="false" customHeight="false" outlineLevel="0" collapsed="false">
      <c r="A918" s="6" t="s">
        <v>559</v>
      </c>
    </row>
    <row r="919" customFormat="false" ht="15" hidden="false" customHeight="false" outlineLevel="0" collapsed="false">
      <c r="A919" s="4" t="s">
        <v>560</v>
      </c>
      <c r="B919" s="0" t="s">
        <v>184</v>
      </c>
      <c r="D919" s="23" t="n">
        <f aca="false">da_tot26*da_sh</f>
        <v>8.658</v>
      </c>
      <c r="E919" s="23" t="n">
        <f aca="false">D919*(1+dag_27+dag_adj)</f>
        <v>8.91774</v>
      </c>
      <c r="F919" s="23" t="n">
        <f aca="false">E919*(1+dag_28+dag_adj)</f>
        <v>9.0960948</v>
      </c>
      <c r="G919" s="23" t="n">
        <f aca="false">F919*(1+dag_29+dag_adj)</f>
        <v>9.0960948</v>
      </c>
    </row>
    <row r="920" customFormat="false" ht="17.15" hidden="false" customHeight="false" outlineLevel="0" collapsed="false">
      <c r="A920" s="4" t="s">
        <v>561</v>
      </c>
      <c r="B920" s="0" t="s">
        <v>562</v>
      </c>
      <c r="D920" s="23" t="n">
        <f aca="false">(D908-a26_gp-D919)/D904*1000</f>
        <v>10.7339918911001</v>
      </c>
      <c r="E920" s="23" t="n">
        <f aca="false">D920*(1+cc_g)</f>
        <v>10.9486717289221</v>
      </c>
      <c r="F920" s="23" t="n">
        <f aca="false">E920*(1+cc_g)</f>
        <v>11.1676451635006</v>
      </c>
      <c r="G920" s="23" t="n">
        <f aca="false">F920*(1+cc_g)</f>
        <v>11.3909980667706</v>
      </c>
      <c r="K920" s="8" t="s">
        <v>563</v>
      </c>
    </row>
    <row r="921" customFormat="false" ht="17.15" hidden="false" customHeight="false" outlineLevel="0" collapsed="false">
      <c r="A921" s="4" t="s">
        <v>564</v>
      </c>
      <c r="B921" s="0" t="s">
        <v>184</v>
      </c>
      <c r="D921" s="23" t="n">
        <f aca="false">D920*D904/1000</f>
        <v>30.9620386</v>
      </c>
      <c r="E921" s="23" t="n">
        <f aca="false">E920*E904/1000</f>
        <v>34.3864932990258</v>
      </c>
      <c r="F921" s="23" t="n">
        <f aca="false">F920*F904/1000</f>
        <v>34.705020815901</v>
      </c>
      <c r="G921" s="23" t="n">
        <f aca="false">G920*G904/1000</f>
        <v>35.0225348361316</v>
      </c>
    </row>
    <row r="922" customFormat="false" ht="17.15" hidden="false" customHeight="false" outlineLevel="0" collapsed="false">
      <c r="A922" s="0" t="s">
        <v>565</v>
      </c>
      <c r="B922" s="0" t="s">
        <v>48</v>
      </c>
      <c r="E922" s="20" t="n">
        <f aca="false">vgm27_A</f>
        <v>0.05</v>
      </c>
      <c r="F922" s="20" t="n">
        <f aca="false">vgm28_A</f>
        <v>0.2</v>
      </c>
      <c r="G922" s="20" t="n">
        <f aca="false">vgm29_A</f>
        <v>0.25</v>
      </c>
    </row>
    <row r="923" customFormat="false" ht="17.15" hidden="false" customHeight="false" outlineLevel="0" collapsed="false">
      <c r="A923" s="0" t="s">
        <v>566</v>
      </c>
      <c r="B923" s="0" t="s">
        <v>184</v>
      </c>
      <c r="D923" s="23" t="n">
        <f aca="false">0</f>
        <v>0</v>
      </c>
      <c r="E923" s="23" t="n">
        <f aca="false">E913*E922</f>
        <v>0.373248</v>
      </c>
      <c r="F923" s="23" t="n">
        <f aca="false">F913*F922</f>
        <v>3.73248</v>
      </c>
      <c r="G923" s="23" t="n">
        <f aca="false">G913*G922</f>
        <v>6.53184</v>
      </c>
    </row>
    <row r="924" customFormat="false" ht="15" hidden="false" customHeight="false" outlineLevel="0" collapsed="false">
      <c r="A924" s="4" t="s">
        <v>417</v>
      </c>
      <c r="B924" s="0" t="s">
        <v>184</v>
      </c>
      <c r="C924" s="23" t="n">
        <f aca="false">a25_gp</f>
        <v>13.654</v>
      </c>
      <c r="D924" s="23" t="n">
        <f aca="false">D908-D919-D921+D923</f>
        <v>19.0320214</v>
      </c>
      <c r="E924" s="23" t="n">
        <f aca="false">E908-E919-E921+E923</f>
        <v>27.6759604368271</v>
      </c>
      <c r="F924" s="23" t="n">
        <f aca="false">F908-F919-F921+F923</f>
        <v>31.1923534067682</v>
      </c>
      <c r="G924" s="23" t="n">
        <f aca="false">G908-G919-G921+G923</f>
        <v>33.6211326925846</v>
      </c>
    </row>
    <row r="925" customFormat="false" ht="15" hidden="false" customHeight="false" outlineLevel="0" collapsed="false">
      <c r="A925" s="4" t="s">
        <v>420</v>
      </c>
      <c r="B925" s="0" t="s">
        <v>48</v>
      </c>
      <c r="C925" s="16" t="n">
        <f aca="false">C924/C914</f>
        <v>0.280998538824062</v>
      </c>
      <c r="D925" s="16" t="n">
        <f aca="false">D924/D914</f>
        <v>0.324490246378388</v>
      </c>
      <c r="E925" s="16" t="n">
        <f aca="false">E924/E914</f>
        <v>0.354493209509519</v>
      </c>
      <c r="F925" s="16" t="n">
        <f aca="false">F924/F914</f>
        <v>0.346876977678241</v>
      </c>
      <c r="G925" s="16" t="n">
        <f aca="false">G924/G914</f>
        <v>0.345415679578972</v>
      </c>
    </row>
    <row r="926" customFormat="false" ht="15" hidden="false" customHeight="false" outlineLevel="0" collapsed="false">
      <c r="A926" s="4" t="s">
        <v>422</v>
      </c>
      <c r="B926" s="0" t="s">
        <v>184</v>
      </c>
      <c r="C926" s="23" t="n">
        <f aca="false">a25_opx</f>
        <v>5.881</v>
      </c>
      <c r="D926" s="23" t="n">
        <f aca="false">a26_opx</f>
        <v>6.824187</v>
      </c>
      <c r="E926" s="23" t="n">
        <f aca="false">D926*(1+MAX(g_opx_min,phi*E917))</f>
        <v>7.95393980674381</v>
      </c>
      <c r="F926" s="23" t="n">
        <f aca="false">E926*(1+MAX(g_opx_min,phi*F917))</f>
        <v>8.55765239576979</v>
      </c>
      <c r="G926" s="23" t="n">
        <f aca="false">F926*(1+MAX(g_opx_min,phi*G917))</f>
        <v>8.91033264501892</v>
      </c>
    </row>
    <row r="927" customFormat="false" ht="15" hidden="false" customHeight="false" outlineLevel="0" collapsed="false">
      <c r="A927" s="4" t="s">
        <v>425</v>
      </c>
      <c r="B927" s="0" t="s">
        <v>184</v>
      </c>
      <c r="C927" s="23" t="n">
        <f aca="false">C924-C926</f>
        <v>7.773</v>
      </c>
      <c r="D927" s="23" t="n">
        <f aca="false">D924-D926</f>
        <v>12.2078344</v>
      </c>
      <c r="E927" s="23" t="n">
        <f aca="false">E924-E926</f>
        <v>19.7220206300833</v>
      </c>
      <c r="F927" s="23" t="n">
        <f aca="false">F924-F926</f>
        <v>22.6347010109984</v>
      </c>
      <c r="G927" s="23" t="n">
        <f aca="false">G924-G926</f>
        <v>24.7108000475657</v>
      </c>
    </row>
    <row r="928" customFormat="false" ht="15" hidden="false" customHeight="false" outlineLevel="0" collapsed="false">
      <c r="A928" s="4" t="s">
        <v>531</v>
      </c>
      <c r="B928" s="0" t="s">
        <v>48</v>
      </c>
      <c r="C928" s="16" t="n">
        <f aca="false">C927/C914</f>
        <v>0.159967895289251</v>
      </c>
      <c r="D928" s="16" t="n">
        <f aca="false">D927/D914</f>
        <v>0.208139908470393</v>
      </c>
      <c r="E928" s="16" t="n">
        <f aca="false">E927/E914</f>
        <v>0.252613541890606</v>
      </c>
      <c r="F928" s="16" t="n">
        <f aca="false">F927/F914</f>
        <v>0.251710942581272</v>
      </c>
      <c r="G928" s="16" t="n">
        <f aca="false">G927/G914</f>
        <v>0.253872999146533</v>
      </c>
    </row>
    <row r="929" customFormat="false" ht="15" hidden="false" customHeight="false" outlineLevel="0" collapsed="false">
      <c r="A929" s="4" t="s">
        <v>428</v>
      </c>
      <c r="B929" s="0" t="s">
        <v>184</v>
      </c>
      <c r="C929" s="23" t="n">
        <f aca="false">a25_nonop</f>
        <v>1.479</v>
      </c>
      <c r="D929" s="23" t="n">
        <f aca="false">a26_nonop</f>
        <v>2.10950832169955</v>
      </c>
      <c r="E929" s="23" t="n">
        <f aca="false">nonop_f</f>
        <v>1.5</v>
      </c>
      <c r="F929" s="23" t="n">
        <f aca="false">nonop_f</f>
        <v>1.5</v>
      </c>
      <c r="G929" s="23" t="n">
        <f aca="false">nonop_f</f>
        <v>1.5</v>
      </c>
    </row>
    <row r="930" customFormat="false" ht="15" hidden="false" customHeight="false" outlineLevel="0" collapsed="false">
      <c r="A930" s="4" t="s">
        <v>430</v>
      </c>
      <c r="B930" s="0" t="s">
        <v>184</v>
      </c>
      <c r="C930" s="23" t="n">
        <f aca="false">C927+C929</f>
        <v>9.252</v>
      </c>
      <c r="D930" s="23" t="n">
        <f aca="false">D927+D929</f>
        <v>14.3173427216995</v>
      </c>
      <c r="E930" s="23" t="n">
        <f aca="false">E927+E929</f>
        <v>21.2220206300833</v>
      </c>
      <c r="F930" s="23" t="n">
        <f aca="false">F927+F929</f>
        <v>24.1347010109984</v>
      </c>
      <c r="G930" s="23" t="n">
        <f aca="false">G927+G929</f>
        <v>26.2108000475657</v>
      </c>
    </row>
    <row r="931" customFormat="false" ht="15" hidden="false" customHeight="false" outlineLevel="0" collapsed="false">
      <c r="A931" s="4" t="s">
        <v>432</v>
      </c>
      <c r="B931" s="0" t="s">
        <v>184</v>
      </c>
      <c r="C931" s="23" t="n">
        <f aca="false">a25_tax</f>
        <v>1.344</v>
      </c>
      <c r="D931" s="23" t="n">
        <f aca="false">a26_tax</f>
        <v>2.0798215108046</v>
      </c>
      <c r="E931" s="23" t="n">
        <f aca="false">E930*tax</f>
        <v>3.18330309451249</v>
      </c>
      <c r="F931" s="23" t="n">
        <f aca="false">F930*tax</f>
        <v>3.62020515164977</v>
      </c>
      <c r="G931" s="23" t="n">
        <f aca="false">G930*tax</f>
        <v>3.93162000713485</v>
      </c>
    </row>
    <row r="932" customFormat="false" ht="17.15" hidden="false" customHeight="false" outlineLevel="0" collapsed="false">
      <c r="A932" s="4" t="s">
        <v>567</v>
      </c>
      <c r="B932" s="0" t="s">
        <v>184</v>
      </c>
      <c r="C932" s="23" t="n">
        <f aca="false">a25_mi</f>
        <v>0</v>
      </c>
      <c r="D932" s="23" t="n">
        <f aca="false">a26_mi</f>
        <v>0</v>
      </c>
      <c r="E932" s="23" t="n">
        <f aca="false">vmi*E923*(1-tax)</f>
        <v>0.12690432</v>
      </c>
      <c r="F932" s="23" t="n">
        <f aca="false">vmi*F923*(1-tax)</f>
        <v>1.2690432</v>
      </c>
      <c r="G932" s="23" t="n">
        <f aca="false">vmi*G923*(1-tax)</f>
        <v>2.2208256</v>
      </c>
      <c r="K932" s="8" t="s">
        <v>568</v>
      </c>
    </row>
    <row r="933" customFormat="false" ht="15" hidden="false" customHeight="false" outlineLevel="0" collapsed="false">
      <c r="A933" s="4" t="s">
        <v>435</v>
      </c>
      <c r="B933" s="0" t="s">
        <v>184</v>
      </c>
      <c r="C933" s="23" t="n">
        <f aca="false">C930-C931-C932</f>
        <v>7.908</v>
      </c>
      <c r="D933" s="23" t="n">
        <f aca="false">D930-D931-D932</f>
        <v>12.2375212108949</v>
      </c>
      <c r="E933" s="23" t="n">
        <f aca="false">E930-E931-E932</f>
        <v>17.9118132155708</v>
      </c>
      <c r="F933" s="23" t="n">
        <f aca="false">F930-F931-F932</f>
        <v>19.2454526593487</v>
      </c>
      <c r="G933" s="23" t="n">
        <f aca="false">G930-G931-G932</f>
        <v>20.0583544404308</v>
      </c>
      <c r="H933" s="29" t="n">
        <f aca="false">H914*H937</f>
        <v>21.5617218549698</v>
      </c>
      <c r="I933" s="29" t="n">
        <f aca="false">I914*I937</f>
        <v>23.0165956775016</v>
      </c>
      <c r="J933" s="29" t="n">
        <f aca="false">J914*J937</f>
        <v>24.3975914181517</v>
      </c>
    </row>
    <row r="934" customFormat="false" ht="15" hidden="false" customHeight="false" outlineLevel="0" collapsed="false">
      <c r="A934" s="4" t="s">
        <v>569</v>
      </c>
      <c r="B934" s="4" t="s">
        <v>265</v>
      </c>
      <c r="C934" s="10" t="n">
        <f aca="false">a25_sh</f>
        <v>1.8739336492891</v>
      </c>
      <c r="D934" s="10" t="n">
        <f aca="false">a26_sh</f>
        <v>1.90613591916558</v>
      </c>
      <c r="E934" s="10" t="n">
        <f aca="false">q_sh*(1+sh_g)</f>
        <v>1.90705128205128</v>
      </c>
      <c r="F934" s="10" t="n">
        <f aca="false">E934*(1+sh_g)</f>
        <v>1.90705128205128</v>
      </c>
      <c r="G934" s="10" t="n">
        <f aca="false">F934*(1+sh_g)</f>
        <v>1.90705128205128</v>
      </c>
      <c r="H934" s="31" t="n">
        <f aca="false">G934*(1+sh_g)</f>
        <v>1.90705128205128</v>
      </c>
      <c r="I934" s="31" t="n">
        <f aca="false">H934*(1+sh_g)</f>
        <v>1.90705128205128</v>
      </c>
      <c r="J934" s="31" t="n">
        <f aca="false">I934*(1+sh_g)</f>
        <v>1.90705128205128</v>
      </c>
    </row>
    <row r="935" customFormat="false" ht="17.15" hidden="false" customHeight="false" outlineLevel="0" collapsed="false">
      <c r="A935" s="0" t="s">
        <v>442</v>
      </c>
      <c r="B935" s="0" t="s">
        <v>274</v>
      </c>
      <c r="C935" s="23" t="n">
        <f aca="false">C933/C934</f>
        <v>4.22</v>
      </c>
      <c r="D935" s="23" t="n">
        <f aca="false">D933/D934</f>
        <v>6.42006747150118</v>
      </c>
      <c r="E935" s="23" t="n">
        <f aca="false">E933/E934</f>
        <v>9.3924129802657</v>
      </c>
      <c r="F935" s="23" t="n">
        <f aca="false">F933/F934</f>
        <v>10.0917331591879</v>
      </c>
      <c r="G935" s="23" t="n">
        <f aca="false">G933/G934</f>
        <v>10.5179942612007</v>
      </c>
      <c r="H935" s="29" t="n">
        <f aca="false">H933/H934</f>
        <v>11.3063146533623</v>
      </c>
      <c r="I935" s="29" t="n">
        <f aca="false">I933/I934</f>
        <v>12.0692064729084</v>
      </c>
      <c r="J935" s="29" t="n">
        <f aca="false">J933/J934</f>
        <v>12.7933588612829</v>
      </c>
    </row>
    <row r="936" customFormat="false" ht="17.15" hidden="false" customHeight="false" outlineLevel="0" collapsed="false">
      <c r="A936" s="0" t="s">
        <v>570</v>
      </c>
      <c r="B936" s="0" t="s">
        <v>48</v>
      </c>
      <c r="D936" s="20" t="n">
        <f aca="false">D935/C935-1</f>
        <v>0.521343002725398</v>
      </c>
      <c r="E936" s="20" t="n">
        <f aca="false">E935/D935-1</f>
        <v>0.462977300777418</v>
      </c>
      <c r="F936" s="20" t="n">
        <f aca="false">F935/E935-1</f>
        <v>0.0744558592548594</v>
      </c>
      <c r="G936" s="20" t="n">
        <f aca="false">G935/F935-1</f>
        <v>0.0422386417961069</v>
      </c>
      <c r="H936" s="27" t="n">
        <f aca="false">H935/G935-1</f>
        <v>0.0749496883706822</v>
      </c>
      <c r="I936" s="27" t="n">
        <f aca="false">I935/H935-1</f>
        <v>0.0674748441853412</v>
      </c>
      <c r="J936" s="27" t="n">
        <f aca="false">J935/I935-1</f>
        <v>0.0600000000000001</v>
      </c>
    </row>
    <row r="937" customFormat="false" ht="17.15" hidden="false" customHeight="false" outlineLevel="0" collapsed="false">
      <c r="A937" s="4" t="s">
        <v>571</v>
      </c>
      <c r="B937" s="0" t="s">
        <v>48</v>
      </c>
      <c r="C937" s="16" t="n">
        <f aca="false">C933/C914</f>
        <v>0.162746187565599</v>
      </c>
      <c r="D937" s="16" t="n">
        <f aca="false">D933/D914</f>
        <v>0.208646059676249</v>
      </c>
      <c r="E937" s="16" t="n">
        <f aca="false">E933/E914</f>
        <v>0.229427129346289</v>
      </c>
      <c r="F937" s="16" t="n">
        <f aca="false">F933/F914</f>
        <v>0.214020544249027</v>
      </c>
      <c r="G937" s="16" t="n">
        <f aca="false">G933/G914</f>
        <v>0.206074857549503</v>
      </c>
      <c r="H937" s="28" t="n">
        <f aca="false">$G937+($G$937*1-$G937)*1/3</f>
        <v>0.206074857549503</v>
      </c>
      <c r="I937" s="28" t="n">
        <f aca="false">$G937+($G$937*1-$G937)*2/3</f>
        <v>0.206074857549503</v>
      </c>
      <c r="J937" s="28" t="n">
        <f aca="false">$G937+($G$937*1-$G937)*3/3</f>
        <v>0.206074857549503</v>
      </c>
    </row>
    <row r="940" customFormat="false" ht="17.15" hidden="false" customHeight="false" outlineLevel="0" collapsed="false">
      <c r="A940" s="1" t="s">
        <v>867</v>
      </c>
    </row>
    <row r="941" customFormat="false" ht="17.15" hidden="false" customHeight="false" outlineLevel="0" collapsed="false">
      <c r="A941" s="5" t="s">
        <v>24</v>
      </c>
      <c r="B941" s="5" t="s">
        <v>25</v>
      </c>
      <c r="C941" s="17" t="s">
        <v>394</v>
      </c>
      <c r="D941" s="17" t="s">
        <v>521</v>
      </c>
      <c r="E941" s="17" t="s">
        <v>480</v>
      </c>
      <c r="F941" s="17" t="s">
        <v>481</v>
      </c>
      <c r="G941" s="17" t="s">
        <v>482</v>
      </c>
      <c r="H941" s="17" t="s">
        <v>522</v>
      </c>
      <c r="I941" s="17" t="s">
        <v>523</v>
      </c>
      <c r="J941" s="17" t="s">
        <v>524</v>
      </c>
      <c r="K941" s="5" t="s">
        <v>357</v>
      </c>
    </row>
    <row r="942" customFormat="false" ht="17.15" hidden="false" customHeight="false" outlineLevel="0" collapsed="false">
      <c r="A942" s="6" t="s">
        <v>542</v>
      </c>
    </row>
    <row r="943" customFormat="false" ht="17.15" hidden="false" customHeight="false" outlineLevel="0" collapsed="false">
      <c r="A943" s="4" t="s">
        <v>543</v>
      </c>
      <c r="B943" s="4" t="s">
        <v>42</v>
      </c>
      <c r="D943" s="22" t="n">
        <f aca="false">cap_26</f>
        <v>3306</v>
      </c>
      <c r="E943" s="22" t="n">
        <f aca="false">D943*(1+capg27)*cap_adj</f>
        <v>3306</v>
      </c>
      <c r="F943" s="22" t="n">
        <f aca="false">E943*(1+capg28)</f>
        <v>3306</v>
      </c>
      <c r="G943" s="22" t="n">
        <f aca="false">F943*(1+capg29)</f>
        <v>3306</v>
      </c>
    </row>
    <row r="944" customFormat="false" ht="15" hidden="false" customHeight="false" outlineLevel="0" collapsed="false">
      <c r="A944" s="4" t="s">
        <v>544</v>
      </c>
      <c r="B944" s="0" t="s">
        <v>48</v>
      </c>
      <c r="D944" s="20" t="n">
        <f aca="false">a26_ship/cap_26</f>
        <v>0.8725</v>
      </c>
      <c r="E944" s="20" t="n">
        <f aca="false">MIN(0.98,ut27_B+ut_adj)</f>
        <v>0.9</v>
      </c>
      <c r="F944" s="20" t="n">
        <f aca="false">MIN(0.98,ut28_B+ut_adj)</f>
        <v>0.86</v>
      </c>
      <c r="G944" s="20" t="n">
        <f aca="false">MIN(0.98,ut29_B+ut_adj)</f>
        <v>0.87</v>
      </c>
    </row>
    <row r="945" customFormat="false" ht="17.15" hidden="false" customHeight="false" outlineLevel="0" collapsed="false">
      <c r="A945" s="4" t="s">
        <v>545</v>
      </c>
      <c r="B945" s="4" t="s">
        <v>42</v>
      </c>
      <c r="D945" s="22" t="n">
        <f aca="false">D943*D944</f>
        <v>2884.485</v>
      </c>
      <c r="E945" s="22" t="n">
        <f aca="false">E943*E944</f>
        <v>2975.4</v>
      </c>
      <c r="F945" s="22" t="n">
        <f aca="false">F943*F944</f>
        <v>2843.16</v>
      </c>
      <c r="G945" s="22" t="n">
        <f aca="false">G943*G944</f>
        <v>2876.22</v>
      </c>
    </row>
    <row r="946" customFormat="false" ht="17.15" hidden="false" customHeight="false" outlineLevel="0" collapsed="false">
      <c r="A946" s="4" t="s">
        <v>546</v>
      </c>
      <c r="B946" s="0" t="s">
        <v>89</v>
      </c>
      <c r="D946" s="22" t="n">
        <f aca="false">asp_26</f>
        <v>643.469405492234</v>
      </c>
      <c r="E946" s="22" t="n">
        <f aca="false">D946*(1+asp27_B)*(1+asp_adj_hi)</f>
        <v>682.656692286711</v>
      </c>
      <c r="F946" s="22" t="n">
        <f aca="false">E946*(1+asp28_B)</f>
        <v>682.656692286711</v>
      </c>
      <c r="G946" s="22" t="n">
        <f aca="false">F946*(1+asp29_B)</f>
        <v>682.656692286711</v>
      </c>
    </row>
    <row r="947" customFormat="false" ht="15" hidden="false" customHeight="false" outlineLevel="0" collapsed="false">
      <c r="A947" s="4" t="s">
        <v>547</v>
      </c>
      <c r="B947" s="0" t="s">
        <v>48</v>
      </c>
      <c r="E947" s="20" t="n">
        <f aca="false">E946/D946-1</f>
        <v>0.0609</v>
      </c>
      <c r="F947" s="20" t="n">
        <f aca="false">F946/E946-1</f>
        <v>0</v>
      </c>
      <c r="G947" s="20" t="n">
        <f aca="false">G946/F946-1</f>
        <v>0</v>
      </c>
    </row>
    <row r="948" customFormat="false" ht="15" hidden="false" customHeight="false" outlineLevel="0" collapsed="false">
      <c r="A948" s="4" t="s">
        <v>548</v>
      </c>
      <c r="B948" s="0" t="s">
        <v>35</v>
      </c>
      <c r="D948" s="23" t="n">
        <f aca="false">fx_26</f>
        <v>31.6</v>
      </c>
      <c r="E948" s="23" t="n">
        <f aca="false">fx</f>
        <v>32</v>
      </c>
      <c r="F948" s="23" t="n">
        <f aca="false">fx</f>
        <v>32</v>
      </c>
      <c r="G948" s="23" t="n">
        <f aca="false">fx</f>
        <v>32</v>
      </c>
    </row>
    <row r="949" customFormat="false" ht="17.15" hidden="false" customHeight="false" outlineLevel="0" collapsed="false">
      <c r="A949" s="0" t="s">
        <v>549</v>
      </c>
      <c r="B949" s="0" t="s">
        <v>184</v>
      </c>
      <c r="D949" s="23" t="n">
        <f aca="false">D945*D946*D948/1000000</f>
        <v>58.65206</v>
      </c>
      <c r="E949" s="23" t="n">
        <f aca="false">E945*E946*E948/1000000</f>
        <v>64.9976551113561</v>
      </c>
      <c r="F949" s="23" t="n">
        <f aca="false">F945*F946*F948/1000000</f>
        <v>62.1088704397403</v>
      </c>
      <c r="G949" s="23" t="n">
        <f aca="false">G945*G946*G948/1000000</f>
        <v>62.8310666076443</v>
      </c>
    </row>
    <row r="950" customFormat="false" ht="17.15" hidden="false" customHeight="false" outlineLevel="0" collapsed="false">
      <c r="A950" s="6" t="s">
        <v>550</v>
      </c>
    </row>
    <row r="951" customFormat="false" ht="17.15" hidden="false" customHeight="false" outlineLevel="0" collapsed="false">
      <c r="A951" s="0" t="s">
        <v>551</v>
      </c>
      <c r="B951" s="4" t="s">
        <v>42</v>
      </c>
      <c r="D951" s="22" t="n">
        <f aca="false">0</f>
        <v>0</v>
      </c>
      <c r="E951" s="22" t="n">
        <f aca="false">vcap27*vcap_adj</f>
        <v>144</v>
      </c>
      <c r="F951" s="22" t="n">
        <f aca="false">vcap28*vcap_adj</f>
        <v>360</v>
      </c>
      <c r="G951" s="22" t="n">
        <f aca="false">vcap29*vcap_adj</f>
        <v>504</v>
      </c>
    </row>
    <row r="952" customFormat="false" ht="17.15" hidden="false" customHeight="false" outlineLevel="0" collapsed="false">
      <c r="A952" s="0" t="s">
        <v>552</v>
      </c>
      <c r="B952" s="0" t="s">
        <v>48</v>
      </c>
      <c r="E952" s="20" t="n">
        <f aca="false">vut_B</f>
        <v>0.8</v>
      </c>
      <c r="F952" s="20" t="n">
        <f aca="false">vut_B</f>
        <v>0.8</v>
      </c>
      <c r="G952" s="20" t="n">
        <f aca="false">vut_B</f>
        <v>0.8</v>
      </c>
    </row>
    <row r="953" customFormat="false" ht="17.15" hidden="false" customHeight="false" outlineLevel="0" collapsed="false">
      <c r="A953" s="0" t="s">
        <v>553</v>
      </c>
      <c r="B953" s="4" t="s">
        <v>42</v>
      </c>
      <c r="D953" s="22" t="n">
        <f aca="false">0</f>
        <v>0</v>
      </c>
      <c r="E953" s="22" t="n">
        <f aca="false">E951*E952</f>
        <v>115.2</v>
      </c>
      <c r="F953" s="22" t="n">
        <f aca="false">F951*F952</f>
        <v>288</v>
      </c>
      <c r="G953" s="22" t="n">
        <f aca="false">G951*G952</f>
        <v>403.2</v>
      </c>
    </row>
    <row r="954" customFormat="false" ht="17.15" hidden="false" customHeight="false" outlineLevel="0" collapsed="false">
      <c r="A954" s="0" t="s">
        <v>554</v>
      </c>
      <c r="B954" s="0" t="s">
        <v>184</v>
      </c>
      <c r="D954" s="23" t="n">
        <f aca="false">0</f>
        <v>0</v>
      </c>
      <c r="E954" s="23" t="n">
        <f aca="false">E953*vasp*E948/1000000</f>
        <v>6.63552</v>
      </c>
      <c r="F954" s="23" t="n">
        <f aca="false">F953*vasp*F948/1000000</f>
        <v>16.5888</v>
      </c>
      <c r="G954" s="23" t="n">
        <f aca="false">G953*vasp*G948/1000000</f>
        <v>23.22432</v>
      </c>
    </row>
    <row r="955" customFormat="false" ht="17.15" hidden="false" customHeight="false" outlineLevel="0" collapsed="false">
      <c r="A955" s="4" t="s">
        <v>400</v>
      </c>
      <c r="B955" s="0" t="s">
        <v>184</v>
      </c>
      <c r="C955" s="23" t="n">
        <f aca="false">a25_rev</f>
        <v>48.591</v>
      </c>
      <c r="D955" s="23" t="n">
        <f aca="false">D949+D954</f>
        <v>58.65206</v>
      </c>
      <c r="E955" s="23" t="n">
        <f aca="false">E949+E954</f>
        <v>71.6331751113561</v>
      </c>
      <c r="F955" s="23" t="n">
        <f aca="false">F949+F954</f>
        <v>78.6976704397403</v>
      </c>
      <c r="G955" s="23" t="n">
        <f aca="false">G949+G954</f>
        <v>86.0553866076443</v>
      </c>
      <c r="H955" s="29" t="n">
        <f aca="false">G955*(1+H958)</f>
        <v>92.5665346859353</v>
      </c>
      <c r="I955" s="29" t="n">
        <f aca="false">H955*(1+I958)</f>
        <v>97.9197636232955</v>
      </c>
      <c r="J955" s="29" t="n">
        <f aca="false">I955*(1+J958)</f>
        <v>101.836554168227</v>
      </c>
      <c r="K955" s="8" t="s">
        <v>555</v>
      </c>
    </row>
    <row r="956" customFormat="false" ht="17.15" hidden="false" customHeight="false" outlineLevel="0" collapsed="false">
      <c r="A956" s="0" t="s">
        <v>556</v>
      </c>
      <c r="B956" s="0" t="s">
        <v>48</v>
      </c>
      <c r="D956" s="20" t="n">
        <f aca="false">D954/D955</f>
        <v>0</v>
      </c>
      <c r="E956" s="20" t="n">
        <f aca="false">E954/E955</f>
        <v>0.0926319402942123</v>
      </c>
      <c r="F956" s="20" t="n">
        <f aca="false">F954/F955</f>
        <v>0.210791500019079</v>
      </c>
      <c r="G956" s="20" t="n">
        <f aca="false">G954/G955</f>
        <v>0.269876423958068</v>
      </c>
    </row>
    <row r="957" customFormat="false" ht="17.15" hidden="false" customHeight="false" outlineLevel="0" collapsed="false">
      <c r="A957" s="0" t="s">
        <v>557</v>
      </c>
      <c r="B957" s="0" t="s">
        <v>48</v>
      </c>
      <c r="D957" s="20" t="n">
        <f aca="false">ai_sh26</f>
        <v>0.1</v>
      </c>
      <c r="E957" s="20" t="n">
        <f aca="false">ai_sh27_B</f>
        <v>0.2</v>
      </c>
      <c r="F957" s="20" t="n">
        <f aca="false">ai_sh27_B</f>
        <v>0.2</v>
      </c>
      <c r="G957" s="20" t="n">
        <f aca="false">ai_sh27_B</f>
        <v>0.2</v>
      </c>
    </row>
    <row r="958" customFormat="false" ht="15" hidden="false" customHeight="false" outlineLevel="0" collapsed="false">
      <c r="A958" s="4" t="s">
        <v>558</v>
      </c>
      <c r="B958" s="0" t="s">
        <v>48</v>
      </c>
      <c r="D958" s="20" t="n">
        <f aca="false">D955/C955-1</f>
        <v>0.207056039184211</v>
      </c>
      <c r="E958" s="20" t="n">
        <f aca="false">E955/D955-1</f>
        <v>0.221324112253792</v>
      </c>
      <c r="F958" s="20" t="n">
        <f aca="false">F955/E955-1</f>
        <v>0.0986204411210612</v>
      </c>
      <c r="G958" s="20" t="n">
        <f aca="false">G955/F955-1</f>
        <v>0.0934934430306655</v>
      </c>
      <c r="H958" s="27" t="n">
        <f aca="false">$G958+(fade_gB-$G958)*1/3</f>
        <v>0.075662295353777</v>
      </c>
      <c r="I958" s="27" t="n">
        <f aca="false">$G958+(fade_gB-$G958)*2/3</f>
        <v>0.0578311476768885</v>
      </c>
      <c r="J958" s="27" t="n">
        <f aca="false">$G958+(fade_gB-$G958)*3/3</f>
        <v>0.04</v>
      </c>
    </row>
    <row r="959" customFormat="false" ht="17.15" hidden="false" customHeight="false" outlineLevel="0" collapsed="false">
      <c r="A959" s="6" t="s">
        <v>559</v>
      </c>
    </row>
    <row r="960" customFormat="false" ht="15" hidden="false" customHeight="false" outlineLevel="0" collapsed="false">
      <c r="A960" s="4" t="s">
        <v>560</v>
      </c>
      <c r="B960" s="0" t="s">
        <v>184</v>
      </c>
      <c r="D960" s="23" t="n">
        <f aca="false">da_tot26*da_sh</f>
        <v>8.658</v>
      </c>
      <c r="E960" s="23" t="n">
        <f aca="false">D960*(1+dag_27+dag_adj)</f>
        <v>8.91774</v>
      </c>
      <c r="F960" s="23" t="n">
        <f aca="false">E960*(1+dag_28+dag_adj)</f>
        <v>9.0960948</v>
      </c>
      <c r="G960" s="23" t="n">
        <f aca="false">F960*(1+dag_29+dag_adj)</f>
        <v>9.0960948</v>
      </c>
    </row>
    <row r="961" customFormat="false" ht="17.15" hidden="false" customHeight="false" outlineLevel="0" collapsed="false">
      <c r="A961" s="4" t="s">
        <v>561</v>
      </c>
      <c r="B961" s="0" t="s">
        <v>562</v>
      </c>
      <c r="D961" s="23" t="n">
        <f aca="false">(D949-a26_gp-D960)/D945*1000</f>
        <v>10.7339918911001</v>
      </c>
      <c r="E961" s="23" t="n">
        <f aca="false">D961*(1+cc_g)</f>
        <v>10.9486717289221</v>
      </c>
      <c r="F961" s="23" t="n">
        <f aca="false">E961*(1+cc_g)</f>
        <v>11.1676451635006</v>
      </c>
      <c r="G961" s="23" t="n">
        <f aca="false">F961*(1+cc_g)</f>
        <v>11.3909980667706</v>
      </c>
      <c r="K961" s="8" t="s">
        <v>563</v>
      </c>
    </row>
    <row r="962" customFormat="false" ht="17.15" hidden="false" customHeight="false" outlineLevel="0" collapsed="false">
      <c r="A962" s="4" t="s">
        <v>564</v>
      </c>
      <c r="B962" s="0" t="s">
        <v>184</v>
      </c>
      <c r="D962" s="23" t="n">
        <f aca="false">D961*D945/1000</f>
        <v>30.9620386</v>
      </c>
      <c r="E962" s="23" t="n">
        <f aca="false">E961*E945/1000</f>
        <v>32.576677862235</v>
      </c>
      <c r="F962" s="23" t="n">
        <f aca="false">F961*F945/1000</f>
        <v>31.7514020230583</v>
      </c>
      <c r="G962" s="23" t="n">
        <f aca="false">G961*G945/1000</f>
        <v>32.7630164596069</v>
      </c>
    </row>
    <row r="963" customFormat="false" ht="17.15" hidden="false" customHeight="false" outlineLevel="0" collapsed="false">
      <c r="A963" s="0" t="s">
        <v>565</v>
      </c>
      <c r="B963" s="0" t="s">
        <v>48</v>
      </c>
      <c r="E963" s="20" t="n">
        <f aca="false">vgm27_B</f>
        <v>-0.05</v>
      </c>
      <c r="F963" s="20" t="n">
        <f aca="false">vgm28_B</f>
        <v>0.12</v>
      </c>
      <c r="G963" s="20" t="n">
        <f aca="false">vgm29_B</f>
        <v>0.18</v>
      </c>
    </row>
    <row r="964" customFormat="false" ht="17.15" hidden="false" customHeight="false" outlineLevel="0" collapsed="false">
      <c r="A964" s="0" t="s">
        <v>566</v>
      </c>
      <c r="B964" s="0" t="s">
        <v>184</v>
      </c>
      <c r="D964" s="23" t="n">
        <f aca="false">0</f>
        <v>0</v>
      </c>
      <c r="E964" s="23" t="n">
        <f aca="false">E954*E963</f>
        <v>-0.331776</v>
      </c>
      <c r="F964" s="23" t="n">
        <f aca="false">F954*F963</f>
        <v>1.990656</v>
      </c>
      <c r="G964" s="23" t="n">
        <f aca="false">G954*G963</f>
        <v>4.1803776</v>
      </c>
    </row>
    <row r="965" customFormat="false" ht="15" hidden="false" customHeight="false" outlineLevel="0" collapsed="false">
      <c r="A965" s="4" t="s">
        <v>417</v>
      </c>
      <c r="B965" s="0" t="s">
        <v>184</v>
      </c>
      <c r="C965" s="23" t="n">
        <f aca="false">a25_gp</f>
        <v>13.654</v>
      </c>
      <c r="D965" s="23" t="n">
        <f aca="false">D949-D960-D962+D964</f>
        <v>19.0320214</v>
      </c>
      <c r="E965" s="23" t="n">
        <f aca="false">E949-E960-E962+E964</f>
        <v>23.1714612491212</v>
      </c>
      <c r="F965" s="23" t="n">
        <f aca="false">F949-F960-F962+F964</f>
        <v>23.252029616682</v>
      </c>
      <c r="G965" s="23" t="n">
        <f aca="false">G949-G960-G962+G964</f>
        <v>25.1523329480373</v>
      </c>
    </row>
    <row r="966" customFormat="false" ht="15" hidden="false" customHeight="false" outlineLevel="0" collapsed="false">
      <c r="A966" s="4" t="s">
        <v>420</v>
      </c>
      <c r="B966" s="0" t="s">
        <v>48</v>
      </c>
      <c r="C966" s="16" t="n">
        <f aca="false">C965/C955</f>
        <v>0.280998538824062</v>
      </c>
      <c r="D966" s="16" t="n">
        <f aca="false">D965/D955</f>
        <v>0.324490246378388</v>
      </c>
      <c r="E966" s="16" t="n">
        <f aca="false">E965/E955</f>
        <v>0.323473882221476</v>
      </c>
      <c r="F966" s="16" t="n">
        <f aca="false">F965/F955</f>
        <v>0.295460202147741</v>
      </c>
      <c r="G966" s="16" t="n">
        <f aca="false">G965/G955</f>
        <v>0.292280750102435</v>
      </c>
    </row>
    <row r="967" customFormat="false" ht="15" hidden="false" customHeight="false" outlineLevel="0" collapsed="false">
      <c r="A967" s="4" t="s">
        <v>422</v>
      </c>
      <c r="B967" s="0" t="s">
        <v>184</v>
      </c>
      <c r="C967" s="23" t="n">
        <f aca="false">a25_opx</f>
        <v>5.881</v>
      </c>
      <c r="D967" s="23" t="n">
        <f aca="false">a26_opx</f>
        <v>6.824187</v>
      </c>
      <c r="E967" s="23" t="n">
        <f aca="false">D967*(1+MAX(g_opx_min,phi*E958))</f>
        <v>7.57936556481443</v>
      </c>
      <c r="F967" s="23" t="n">
        <f aca="false">E967*(1+MAX(g_opx_min,phi*F958))</f>
        <v>7.95310575252432</v>
      </c>
      <c r="G967" s="23" t="n">
        <f aca="false">F967*(1+MAX(g_opx_min,phi*G958))</f>
        <v>8.32488737231957</v>
      </c>
    </row>
    <row r="968" customFormat="false" ht="15" hidden="false" customHeight="false" outlineLevel="0" collapsed="false">
      <c r="A968" s="4" t="s">
        <v>425</v>
      </c>
      <c r="B968" s="0" t="s">
        <v>184</v>
      </c>
      <c r="C968" s="23" t="n">
        <f aca="false">C965-C967</f>
        <v>7.773</v>
      </c>
      <c r="D968" s="23" t="n">
        <f aca="false">D965-D967</f>
        <v>12.2078344</v>
      </c>
      <c r="E968" s="23" t="n">
        <f aca="false">E965-E967</f>
        <v>15.5920956843067</v>
      </c>
      <c r="F968" s="23" t="n">
        <f aca="false">F965-F967</f>
        <v>15.2989238641576</v>
      </c>
      <c r="G968" s="23" t="n">
        <f aca="false">G965-G967</f>
        <v>16.8274455757178</v>
      </c>
    </row>
    <row r="969" customFormat="false" ht="15" hidden="false" customHeight="false" outlineLevel="0" collapsed="false">
      <c r="A969" s="4" t="s">
        <v>531</v>
      </c>
      <c r="B969" s="0" t="s">
        <v>48</v>
      </c>
      <c r="C969" s="16" t="n">
        <f aca="false">C968/C955</f>
        <v>0.159967895289251</v>
      </c>
      <c r="D969" s="16" t="n">
        <f aca="false">D968/D955</f>
        <v>0.208139908470393</v>
      </c>
      <c r="E969" s="16" t="n">
        <f aca="false">E968/E955</f>
        <v>0.217665846307501</v>
      </c>
      <c r="F969" s="16" t="n">
        <f aca="false">F968/F955</f>
        <v>0.194401229142764</v>
      </c>
      <c r="G969" s="16" t="n">
        <f aca="false">G968/G955</f>
        <v>0.195542036809849</v>
      </c>
    </row>
    <row r="970" customFormat="false" ht="15" hidden="false" customHeight="false" outlineLevel="0" collapsed="false">
      <c r="A970" s="4" t="s">
        <v>428</v>
      </c>
      <c r="B970" s="0" t="s">
        <v>184</v>
      </c>
      <c r="C970" s="23" t="n">
        <f aca="false">a25_nonop</f>
        <v>1.479</v>
      </c>
      <c r="D970" s="23" t="n">
        <f aca="false">a26_nonop</f>
        <v>2.10950832169955</v>
      </c>
      <c r="E970" s="23" t="n">
        <f aca="false">nonop_f</f>
        <v>1.5</v>
      </c>
      <c r="F970" s="23" t="n">
        <f aca="false">nonop_f</f>
        <v>1.5</v>
      </c>
      <c r="G970" s="23" t="n">
        <f aca="false">nonop_f</f>
        <v>1.5</v>
      </c>
    </row>
    <row r="971" customFormat="false" ht="15" hidden="false" customHeight="false" outlineLevel="0" collapsed="false">
      <c r="A971" s="4" t="s">
        <v>430</v>
      </c>
      <c r="B971" s="0" t="s">
        <v>184</v>
      </c>
      <c r="C971" s="23" t="n">
        <f aca="false">C968+C970</f>
        <v>9.252</v>
      </c>
      <c r="D971" s="23" t="n">
        <f aca="false">D968+D970</f>
        <v>14.3173427216995</v>
      </c>
      <c r="E971" s="23" t="n">
        <f aca="false">E968+E970</f>
        <v>17.0920956843068</v>
      </c>
      <c r="F971" s="23" t="n">
        <f aca="false">F968+F970</f>
        <v>16.7989238641576</v>
      </c>
      <c r="G971" s="23" t="n">
        <f aca="false">G968+G970</f>
        <v>18.3274455757178</v>
      </c>
    </row>
    <row r="972" customFormat="false" ht="15" hidden="false" customHeight="false" outlineLevel="0" collapsed="false">
      <c r="A972" s="4" t="s">
        <v>432</v>
      </c>
      <c r="B972" s="0" t="s">
        <v>184</v>
      </c>
      <c r="C972" s="23" t="n">
        <f aca="false">a25_tax</f>
        <v>1.344</v>
      </c>
      <c r="D972" s="23" t="n">
        <f aca="false">a26_tax</f>
        <v>2.0798215108046</v>
      </c>
      <c r="E972" s="23" t="n">
        <f aca="false">E971*tax</f>
        <v>2.56381435264601</v>
      </c>
      <c r="F972" s="23" t="n">
        <f aca="false">F971*tax</f>
        <v>2.51983857962365</v>
      </c>
      <c r="G972" s="23" t="n">
        <f aca="false">G971*tax</f>
        <v>2.74911683635766</v>
      </c>
    </row>
    <row r="973" customFormat="false" ht="17.15" hidden="false" customHeight="false" outlineLevel="0" collapsed="false">
      <c r="A973" s="4" t="s">
        <v>567</v>
      </c>
      <c r="B973" s="0" t="s">
        <v>184</v>
      </c>
      <c r="C973" s="23" t="n">
        <f aca="false">a25_mi</f>
        <v>0</v>
      </c>
      <c r="D973" s="23" t="n">
        <f aca="false">a26_mi</f>
        <v>0</v>
      </c>
      <c r="E973" s="23" t="n">
        <f aca="false">vmi*E964*(1-tax)</f>
        <v>-0.11280384</v>
      </c>
      <c r="F973" s="23" t="n">
        <f aca="false">vmi*F964*(1-tax)</f>
        <v>0.67682304</v>
      </c>
      <c r="G973" s="23" t="n">
        <f aca="false">vmi*G964*(1-tax)</f>
        <v>1.421328384</v>
      </c>
      <c r="K973" s="8" t="s">
        <v>568</v>
      </c>
    </row>
    <row r="974" customFormat="false" ht="15" hidden="false" customHeight="false" outlineLevel="0" collapsed="false">
      <c r="A974" s="4" t="s">
        <v>435</v>
      </c>
      <c r="B974" s="0" t="s">
        <v>184</v>
      </c>
      <c r="C974" s="23" t="n">
        <f aca="false">C971-C972-C973</f>
        <v>7.908</v>
      </c>
      <c r="D974" s="23" t="n">
        <f aca="false">D971-D972-D973</f>
        <v>12.2375212108949</v>
      </c>
      <c r="E974" s="23" t="n">
        <f aca="false">E971-E972-E973</f>
        <v>14.6410851716607</v>
      </c>
      <c r="F974" s="23" t="n">
        <f aca="false">F971-F972-F973</f>
        <v>13.602262244534</v>
      </c>
      <c r="G974" s="23" t="n">
        <f aca="false">G971-G972-G973</f>
        <v>14.1570003553601</v>
      </c>
      <c r="H974" s="29" t="n">
        <f aca="false">H955*H978</f>
        <v>14.7205464476518</v>
      </c>
      <c r="I974" s="29" t="n">
        <f aca="false">I955*I978</f>
        <v>15.0348921106281</v>
      </c>
      <c r="J974" s="29" t="n">
        <f aca="false">J955*J978</f>
        <v>15.0778489452299</v>
      </c>
    </row>
    <row r="975" customFormat="false" ht="15" hidden="false" customHeight="false" outlineLevel="0" collapsed="false">
      <c r="A975" s="4" t="s">
        <v>569</v>
      </c>
      <c r="B975" s="4" t="s">
        <v>265</v>
      </c>
      <c r="C975" s="10" t="n">
        <f aca="false">a25_sh</f>
        <v>1.8739336492891</v>
      </c>
      <c r="D975" s="10" t="n">
        <f aca="false">a26_sh</f>
        <v>1.90613591916558</v>
      </c>
      <c r="E975" s="10" t="n">
        <f aca="false">q_sh*(1+sh_g)</f>
        <v>1.90705128205128</v>
      </c>
      <c r="F975" s="10" t="n">
        <f aca="false">E975*(1+sh_g)</f>
        <v>1.90705128205128</v>
      </c>
      <c r="G975" s="10" t="n">
        <f aca="false">F975*(1+sh_g)</f>
        <v>1.90705128205128</v>
      </c>
      <c r="H975" s="31" t="n">
        <f aca="false">G975*(1+sh_g)</f>
        <v>1.90705128205128</v>
      </c>
      <c r="I975" s="31" t="n">
        <f aca="false">H975*(1+sh_g)</f>
        <v>1.90705128205128</v>
      </c>
      <c r="J975" s="31" t="n">
        <f aca="false">I975*(1+sh_g)</f>
        <v>1.90705128205128</v>
      </c>
    </row>
    <row r="976" customFormat="false" ht="17.15" hidden="false" customHeight="false" outlineLevel="0" collapsed="false">
      <c r="A976" s="0" t="s">
        <v>442</v>
      </c>
      <c r="B976" s="0" t="s">
        <v>274</v>
      </c>
      <c r="C976" s="23" t="n">
        <f aca="false">C974/C975</f>
        <v>4.22</v>
      </c>
      <c r="D976" s="23" t="n">
        <f aca="false">D974/D975</f>
        <v>6.42006747150118</v>
      </c>
      <c r="E976" s="23" t="n">
        <f aca="false">E974/E975</f>
        <v>7.67734214043387</v>
      </c>
      <c r="F976" s="23" t="n">
        <f aca="false">F974/F975</f>
        <v>7.13261482402455</v>
      </c>
      <c r="G976" s="23" t="n">
        <f aca="false">G974/G975</f>
        <v>7.42350270734848</v>
      </c>
      <c r="H976" s="29" t="n">
        <f aca="false">H974/H975</f>
        <v>7.71900922969307</v>
      </c>
      <c r="I976" s="29" t="n">
        <f aca="false">I974/I975</f>
        <v>7.8838425857411</v>
      </c>
      <c r="J976" s="29" t="n">
        <f aca="false">J974/J975</f>
        <v>7.90636785027179</v>
      </c>
    </row>
    <row r="977" customFormat="false" ht="17.15" hidden="false" customHeight="false" outlineLevel="0" collapsed="false">
      <c r="A977" s="0" t="s">
        <v>570</v>
      </c>
      <c r="B977" s="0" t="s">
        <v>48</v>
      </c>
      <c r="D977" s="20" t="n">
        <f aca="false">D976/C976-1</f>
        <v>0.521343002725398</v>
      </c>
      <c r="E977" s="20" t="n">
        <f aca="false">E976/D976-1</f>
        <v>0.19583511770145</v>
      </c>
      <c r="F977" s="20" t="n">
        <f aca="false">F976/E976-1</f>
        <v>-0.0709525909416523</v>
      </c>
      <c r="G977" s="20" t="n">
        <f aca="false">G976/F976-1</f>
        <v>0.0407827831027889</v>
      </c>
      <c r="H977" s="27" t="n">
        <f aca="false">H976/G976-1</f>
        <v>0.0398068855086511</v>
      </c>
      <c r="I977" s="27" t="n">
        <f aca="false">I976/H976-1</f>
        <v>0.0213542115500993</v>
      </c>
      <c r="J977" s="27" t="n">
        <f aca="false">J976/I976-1</f>
        <v>0.00285714285714289</v>
      </c>
    </row>
    <row r="978" customFormat="false" ht="17.15" hidden="false" customHeight="false" outlineLevel="0" collapsed="false">
      <c r="A978" s="4" t="s">
        <v>571</v>
      </c>
      <c r="B978" s="0" t="s">
        <v>48</v>
      </c>
      <c r="C978" s="16" t="n">
        <f aca="false">C974/C955</f>
        <v>0.162746187565599</v>
      </c>
      <c r="D978" s="16" t="n">
        <f aca="false">D974/D955</f>
        <v>0.208646059676249</v>
      </c>
      <c r="E978" s="16" t="n">
        <f aca="false">E974/E955</f>
        <v>0.204389727928445</v>
      </c>
      <c r="F978" s="16" t="n">
        <f aca="false">F974/F955</f>
        <v>0.172841993524439</v>
      </c>
      <c r="G978" s="16" t="n">
        <f aca="false">G974/G955</f>
        <v>0.164510333558859</v>
      </c>
      <c r="H978" s="28" t="n">
        <f aca="false">$G978+($G$978*0.9-$G978)*1/3</f>
        <v>0.159026655773563</v>
      </c>
      <c r="I978" s="28" t="n">
        <f aca="false">$G978+($G$978*0.9-$G978)*2/3</f>
        <v>0.153542977988268</v>
      </c>
      <c r="J978" s="28" t="n">
        <f aca="false">$G978+($G$978*0.9-$G978)*3/3</f>
        <v>0.148059300202973</v>
      </c>
    </row>
    <row r="981" customFormat="false" ht="17.15" hidden="false" customHeight="false" outlineLevel="0" collapsed="false">
      <c r="A981" s="1" t="s">
        <v>868</v>
      </c>
    </row>
    <row r="982" customFormat="false" ht="17.15" hidden="false" customHeight="false" outlineLevel="0" collapsed="false">
      <c r="A982" s="5" t="s">
        <v>24</v>
      </c>
      <c r="B982" s="5" t="s">
        <v>25</v>
      </c>
      <c r="C982" s="17" t="s">
        <v>394</v>
      </c>
      <c r="D982" s="17" t="s">
        <v>521</v>
      </c>
      <c r="E982" s="17" t="s">
        <v>480</v>
      </c>
      <c r="F982" s="17" t="s">
        <v>481</v>
      </c>
      <c r="G982" s="17" t="s">
        <v>482</v>
      </c>
      <c r="H982" s="17" t="s">
        <v>522</v>
      </c>
      <c r="I982" s="17" t="s">
        <v>523</v>
      </c>
      <c r="J982" s="17" t="s">
        <v>524</v>
      </c>
      <c r="K982" s="5" t="s">
        <v>357</v>
      </c>
    </row>
    <row r="983" customFormat="false" ht="17.15" hidden="false" customHeight="false" outlineLevel="0" collapsed="false">
      <c r="A983" s="6" t="s">
        <v>542</v>
      </c>
    </row>
    <row r="984" customFormat="false" ht="17.15" hidden="false" customHeight="false" outlineLevel="0" collapsed="false">
      <c r="A984" s="4" t="s">
        <v>543</v>
      </c>
      <c r="B984" s="4" t="s">
        <v>42</v>
      </c>
      <c r="D984" s="22" t="n">
        <f aca="false">cap_26</f>
        <v>3306</v>
      </c>
      <c r="E984" s="22" t="n">
        <f aca="false">D984*(1+capg27)*cap_adj</f>
        <v>3306</v>
      </c>
      <c r="F984" s="22" t="n">
        <f aca="false">E984*(1+capg28)</f>
        <v>3306</v>
      </c>
      <c r="G984" s="22" t="n">
        <f aca="false">F984*(1+capg29)</f>
        <v>3306</v>
      </c>
    </row>
    <row r="985" customFormat="false" ht="15" hidden="false" customHeight="false" outlineLevel="0" collapsed="false">
      <c r="A985" s="4" t="s">
        <v>544</v>
      </c>
      <c r="B985" s="0" t="s">
        <v>48</v>
      </c>
      <c r="D985" s="20" t="n">
        <f aca="false">a26_ship/cap_26</f>
        <v>0.8725</v>
      </c>
      <c r="E985" s="20" t="n">
        <f aca="false">MIN(0.98,ut27_C+ut_adj)</f>
        <v>0.8</v>
      </c>
      <c r="F985" s="20" t="n">
        <f aca="false">MIN(0.98,ut28_C+ut_adj)</f>
        <v>0.74</v>
      </c>
      <c r="G985" s="20" t="n">
        <f aca="false">MIN(0.98,ut29_C+ut_adj)</f>
        <v>0.78</v>
      </c>
    </row>
    <row r="986" customFormat="false" ht="17.15" hidden="false" customHeight="false" outlineLevel="0" collapsed="false">
      <c r="A986" s="4" t="s">
        <v>545</v>
      </c>
      <c r="B986" s="4" t="s">
        <v>42</v>
      </c>
      <c r="D986" s="22" t="n">
        <f aca="false">D984*D985</f>
        <v>2884.485</v>
      </c>
      <c r="E986" s="22" t="n">
        <f aca="false">E984*E985</f>
        <v>2644.8</v>
      </c>
      <c r="F986" s="22" t="n">
        <f aca="false">F984*F985</f>
        <v>2446.44</v>
      </c>
      <c r="G986" s="22" t="n">
        <f aca="false">G984*G985</f>
        <v>2578.68</v>
      </c>
    </row>
    <row r="987" customFormat="false" ht="17.15" hidden="false" customHeight="false" outlineLevel="0" collapsed="false">
      <c r="A987" s="4" t="s">
        <v>546</v>
      </c>
      <c r="B987" s="0" t="s">
        <v>89</v>
      </c>
      <c r="D987" s="22" t="n">
        <f aca="false">asp_26</f>
        <v>643.469405492234</v>
      </c>
      <c r="E987" s="22" t="n">
        <f aca="false">D987*(1+asp27_C)*(1+asp_adj_hi)</f>
        <v>642.890283027291</v>
      </c>
      <c r="F987" s="22" t="n">
        <f aca="false">E987*(1+asp28_C)</f>
        <v>610.745768875926</v>
      </c>
      <c r="G987" s="22" t="n">
        <f aca="false">F987*(1+asp29_C)</f>
        <v>598.530853498408</v>
      </c>
    </row>
    <row r="988" customFormat="false" ht="15" hidden="false" customHeight="false" outlineLevel="0" collapsed="false">
      <c r="A988" s="4" t="s">
        <v>547</v>
      </c>
      <c r="B988" s="0" t="s">
        <v>48</v>
      </c>
      <c r="E988" s="20" t="n">
        <f aca="false">E987/D987-1</f>
        <v>-0.000900000000000012</v>
      </c>
      <c r="F988" s="20" t="n">
        <f aca="false">F987/E987-1</f>
        <v>-0.05</v>
      </c>
      <c r="G988" s="20" t="n">
        <f aca="false">G987/F987-1</f>
        <v>-0.02</v>
      </c>
    </row>
    <row r="989" customFormat="false" ht="15" hidden="false" customHeight="false" outlineLevel="0" collapsed="false">
      <c r="A989" s="4" t="s">
        <v>548</v>
      </c>
      <c r="B989" s="0" t="s">
        <v>35</v>
      </c>
      <c r="D989" s="23" t="n">
        <f aca="false">fx_26</f>
        <v>31.6</v>
      </c>
      <c r="E989" s="23" t="n">
        <f aca="false">fx</f>
        <v>32</v>
      </c>
      <c r="F989" s="23" t="n">
        <f aca="false">fx</f>
        <v>32</v>
      </c>
      <c r="G989" s="23" t="n">
        <f aca="false">fx</f>
        <v>32</v>
      </c>
    </row>
    <row r="990" customFormat="false" ht="17.15" hidden="false" customHeight="false" outlineLevel="0" collapsed="false">
      <c r="A990" s="0" t="s">
        <v>549</v>
      </c>
      <c r="B990" s="0" t="s">
        <v>184</v>
      </c>
      <c r="D990" s="23" t="n">
        <f aca="false">D986*D987*D989/1000000</f>
        <v>58.65206</v>
      </c>
      <c r="E990" s="23" t="n">
        <f aca="false">E986*E987*E989/1000000</f>
        <v>54.4101190576185</v>
      </c>
      <c r="F990" s="23" t="n">
        <f aca="false">F986*F987*F989/1000000</f>
        <v>47.8128921218823</v>
      </c>
      <c r="G990" s="23" t="n">
        <f aca="false">G986*G987*G989/1000000</f>
        <v>49.3894253215768</v>
      </c>
    </row>
    <row r="991" customFormat="false" ht="17.15" hidden="false" customHeight="false" outlineLevel="0" collapsed="false">
      <c r="A991" s="6" t="s">
        <v>550</v>
      </c>
    </row>
    <row r="992" customFormat="false" ht="17.15" hidden="false" customHeight="false" outlineLevel="0" collapsed="false">
      <c r="A992" s="0" t="s">
        <v>551</v>
      </c>
      <c r="B992" s="4" t="s">
        <v>42</v>
      </c>
      <c r="D992" s="22" t="n">
        <f aca="false">0</f>
        <v>0</v>
      </c>
      <c r="E992" s="22" t="n">
        <f aca="false">vcap27*vcap_adj</f>
        <v>144</v>
      </c>
      <c r="F992" s="22" t="n">
        <f aca="false">vcap28*vcap_adj</f>
        <v>360</v>
      </c>
      <c r="G992" s="22" t="n">
        <f aca="false">vcap29*vcap_adj</f>
        <v>504</v>
      </c>
    </row>
    <row r="993" customFormat="false" ht="17.15" hidden="false" customHeight="false" outlineLevel="0" collapsed="false">
      <c r="A993" s="0" t="s">
        <v>552</v>
      </c>
      <c r="B993" s="0" t="s">
        <v>48</v>
      </c>
      <c r="E993" s="20" t="n">
        <f aca="false">vut_C</f>
        <v>0.65</v>
      </c>
      <c r="F993" s="20" t="n">
        <f aca="false">vut_C</f>
        <v>0.65</v>
      </c>
      <c r="G993" s="20" t="n">
        <f aca="false">vut_C</f>
        <v>0.65</v>
      </c>
    </row>
    <row r="994" customFormat="false" ht="17.15" hidden="false" customHeight="false" outlineLevel="0" collapsed="false">
      <c r="A994" s="0" t="s">
        <v>553</v>
      </c>
      <c r="B994" s="4" t="s">
        <v>42</v>
      </c>
      <c r="D994" s="22" t="n">
        <f aca="false">0</f>
        <v>0</v>
      </c>
      <c r="E994" s="22" t="n">
        <f aca="false">E992*E993</f>
        <v>93.6</v>
      </c>
      <c r="F994" s="22" t="n">
        <f aca="false">F992*F993</f>
        <v>234</v>
      </c>
      <c r="G994" s="22" t="n">
        <f aca="false">G992*G993</f>
        <v>327.6</v>
      </c>
    </row>
    <row r="995" customFormat="false" ht="17.15" hidden="false" customHeight="false" outlineLevel="0" collapsed="false">
      <c r="A995" s="0" t="s">
        <v>554</v>
      </c>
      <c r="B995" s="0" t="s">
        <v>184</v>
      </c>
      <c r="D995" s="23" t="n">
        <f aca="false">0</f>
        <v>0</v>
      </c>
      <c r="E995" s="23" t="n">
        <f aca="false">E994*vasp*E989/1000000</f>
        <v>5.39136</v>
      </c>
      <c r="F995" s="23" t="n">
        <f aca="false">F994*vasp*F989/1000000</f>
        <v>13.4784</v>
      </c>
      <c r="G995" s="23" t="n">
        <f aca="false">G994*vasp*G989/1000000</f>
        <v>18.86976</v>
      </c>
    </row>
    <row r="996" customFormat="false" ht="17.15" hidden="false" customHeight="false" outlineLevel="0" collapsed="false">
      <c r="A996" s="4" t="s">
        <v>400</v>
      </c>
      <c r="B996" s="0" t="s">
        <v>184</v>
      </c>
      <c r="C996" s="23" t="n">
        <f aca="false">a25_rev</f>
        <v>48.591</v>
      </c>
      <c r="D996" s="23" t="n">
        <f aca="false">D990+D995</f>
        <v>58.65206</v>
      </c>
      <c r="E996" s="23" t="n">
        <f aca="false">E990+E995</f>
        <v>59.8014790576185</v>
      </c>
      <c r="F996" s="23" t="n">
        <f aca="false">F990+F995</f>
        <v>61.2912921218823</v>
      </c>
      <c r="G996" s="23" t="n">
        <f aca="false">G990+G995</f>
        <v>68.2591853215768</v>
      </c>
      <c r="H996" s="29" t="n">
        <f aca="false">G996*(1+H999)</f>
        <v>73.8876047590977</v>
      </c>
      <c r="I996" s="29" t="n">
        <f aca="false">H996*(1+I999)</f>
        <v>77.6727406533215</v>
      </c>
      <c r="J996" s="29" t="n">
        <f aca="false">I996*(1+J999)</f>
        <v>79.2261954663879</v>
      </c>
      <c r="K996" s="8" t="s">
        <v>555</v>
      </c>
    </row>
    <row r="997" customFormat="false" ht="17.15" hidden="false" customHeight="false" outlineLevel="0" collapsed="false">
      <c r="A997" s="0" t="s">
        <v>556</v>
      </c>
      <c r="B997" s="0" t="s">
        <v>48</v>
      </c>
      <c r="D997" s="20" t="n">
        <f aca="false">D995/D996</f>
        <v>0</v>
      </c>
      <c r="E997" s="20" t="n">
        <f aca="false">E995/E996</f>
        <v>0.0901542919165167</v>
      </c>
      <c r="F997" s="20" t="n">
        <f aca="false">F995/F996</f>
        <v>0.219907258166416</v>
      </c>
      <c r="G997" s="20" t="n">
        <f aca="false">G995/G996</f>
        <v>0.276442795370358</v>
      </c>
    </row>
    <row r="998" customFormat="false" ht="17.15" hidden="false" customHeight="false" outlineLevel="0" collapsed="false">
      <c r="A998" s="0" t="s">
        <v>557</v>
      </c>
      <c r="B998" s="0" t="s">
        <v>48</v>
      </c>
      <c r="D998" s="20" t="n">
        <f aca="false">ai_sh26</f>
        <v>0.1</v>
      </c>
      <c r="E998" s="20" t="n">
        <f aca="false">ai_sh27_C</f>
        <v>0.15</v>
      </c>
      <c r="F998" s="20" t="n">
        <f aca="false">ai_sh27_C</f>
        <v>0.15</v>
      </c>
      <c r="G998" s="20" t="n">
        <f aca="false">ai_sh27_C</f>
        <v>0.15</v>
      </c>
    </row>
    <row r="999" customFormat="false" ht="15" hidden="false" customHeight="false" outlineLevel="0" collapsed="false">
      <c r="A999" s="4" t="s">
        <v>558</v>
      </c>
      <c r="B999" s="0" t="s">
        <v>48</v>
      </c>
      <c r="D999" s="20" t="n">
        <f aca="false">D996/C996-1</f>
        <v>0.207056039184211</v>
      </c>
      <c r="E999" s="20" t="n">
        <f aca="false">E996/D996-1</f>
        <v>0.0195972495700665</v>
      </c>
      <c r="F999" s="20" t="n">
        <f aca="false">F996/E996-1</f>
        <v>0.0249126457696527</v>
      </c>
      <c r="G999" s="20" t="n">
        <f aca="false">G996/F996-1</f>
        <v>0.113684880159458</v>
      </c>
      <c r="H999" s="27" t="n">
        <f aca="false">$G999+(fade_gC-$G999)*1/3</f>
        <v>0.0824565867729718</v>
      </c>
      <c r="I999" s="27" t="n">
        <f aca="false">$G999+(fade_gC-$G999)*2/3</f>
        <v>0.0512282933864859</v>
      </c>
      <c r="J999" s="27" t="n">
        <f aca="false">$G999+(fade_gC-$G999)*3/3</f>
        <v>0.02</v>
      </c>
    </row>
    <row r="1000" customFormat="false" ht="17.15" hidden="false" customHeight="false" outlineLevel="0" collapsed="false">
      <c r="A1000" s="6" t="s">
        <v>559</v>
      </c>
    </row>
    <row r="1001" customFormat="false" ht="15" hidden="false" customHeight="false" outlineLevel="0" collapsed="false">
      <c r="A1001" s="4" t="s">
        <v>560</v>
      </c>
      <c r="B1001" s="0" t="s">
        <v>184</v>
      </c>
      <c r="D1001" s="23" t="n">
        <f aca="false">da_tot26*da_sh</f>
        <v>8.658</v>
      </c>
      <c r="E1001" s="23" t="n">
        <f aca="false">D1001*(1+dag_27+dag_adj)</f>
        <v>8.91774</v>
      </c>
      <c r="F1001" s="23" t="n">
        <f aca="false">E1001*(1+dag_28+dag_adj)</f>
        <v>9.0960948</v>
      </c>
      <c r="G1001" s="23" t="n">
        <f aca="false">F1001*(1+dag_29+dag_adj)</f>
        <v>9.0960948</v>
      </c>
    </row>
    <row r="1002" customFormat="false" ht="17.15" hidden="false" customHeight="false" outlineLevel="0" collapsed="false">
      <c r="A1002" s="4" t="s">
        <v>561</v>
      </c>
      <c r="B1002" s="0" t="s">
        <v>562</v>
      </c>
      <c r="D1002" s="23" t="n">
        <f aca="false">(D990-a26_gp-D1001)/D986*1000</f>
        <v>10.7339918911001</v>
      </c>
      <c r="E1002" s="23" t="n">
        <f aca="false">D1002*(1+cc_g)</f>
        <v>10.9486717289221</v>
      </c>
      <c r="F1002" s="23" t="n">
        <f aca="false">E1002*(1+cc_g)</f>
        <v>11.1676451635006</v>
      </c>
      <c r="G1002" s="23" t="n">
        <f aca="false">F1002*(1+cc_g)</f>
        <v>11.3909980667706</v>
      </c>
      <c r="K1002" s="8" t="s">
        <v>563</v>
      </c>
    </row>
    <row r="1003" customFormat="false" ht="17.15" hidden="false" customHeight="false" outlineLevel="0" collapsed="false">
      <c r="A1003" s="4" t="s">
        <v>564</v>
      </c>
      <c r="B1003" s="0" t="s">
        <v>184</v>
      </c>
      <c r="D1003" s="23" t="n">
        <f aca="false">D1002*D986/1000</f>
        <v>30.9620386</v>
      </c>
      <c r="E1003" s="23" t="n">
        <f aca="false">E1002*E986/1000</f>
        <v>28.9570469886533</v>
      </c>
      <c r="F1003" s="23" t="n">
        <f aca="false">F1002*F986/1000</f>
        <v>27.3209738337944</v>
      </c>
      <c r="G1003" s="23" t="n">
        <f aca="false">G1002*G986/1000</f>
        <v>29.37373889482</v>
      </c>
    </row>
    <row r="1004" customFormat="false" ht="17.15" hidden="false" customHeight="false" outlineLevel="0" collapsed="false">
      <c r="A1004" s="0" t="s">
        <v>565</v>
      </c>
      <c r="B1004" s="0" t="s">
        <v>48</v>
      </c>
      <c r="E1004" s="20" t="n">
        <f aca="false">vgm27_C</f>
        <v>-0.2</v>
      </c>
      <c r="F1004" s="20" t="n">
        <f aca="false">vgm28_C</f>
        <v>0</v>
      </c>
      <c r="G1004" s="20" t="n">
        <f aca="false">vgm29_C</f>
        <v>0.05</v>
      </c>
    </row>
    <row r="1005" customFormat="false" ht="17.15" hidden="false" customHeight="false" outlineLevel="0" collapsed="false">
      <c r="A1005" s="0" t="s">
        <v>566</v>
      </c>
      <c r="B1005" s="0" t="s">
        <v>184</v>
      </c>
      <c r="D1005" s="23" t="n">
        <f aca="false">0</f>
        <v>0</v>
      </c>
      <c r="E1005" s="23" t="n">
        <f aca="false">E995*E1004</f>
        <v>-1.078272</v>
      </c>
      <c r="F1005" s="23" t="n">
        <f aca="false">F995*F1004</f>
        <v>0</v>
      </c>
      <c r="G1005" s="23" t="n">
        <f aca="false">G995*G1004</f>
        <v>0.943488</v>
      </c>
    </row>
    <row r="1006" customFormat="false" ht="15" hidden="false" customHeight="false" outlineLevel="0" collapsed="false">
      <c r="A1006" s="4" t="s">
        <v>417</v>
      </c>
      <c r="B1006" s="0" t="s">
        <v>184</v>
      </c>
      <c r="C1006" s="23" t="n">
        <f aca="false">a25_gp</f>
        <v>13.654</v>
      </c>
      <c r="D1006" s="23" t="n">
        <f aca="false">D990-D1001-D1003+D1005</f>
        <v>19.0320214</v>
      </c>
      <c r="E1006" s="23" t="n">
        <f aca="false">E990-E1001-E1003+E1005</f>
        <v>15.4570600689652</v>
      </c>
      <c r="F1006" s="23" t="n">
        <f aca="false">F990-F1001-F1003+F1005</f>
        <v>11.3958234880879</v>
      </c>
      <c r="G1006" s="23" t="n">
        <f aca="false">G990-G1001-G1003+G1005</f>
        <v>11.8630796267567</v>
      </c>
    </row>
    <row r="1007" customFormat="false" ht="15" hidden="false" customHeight="false" outlineLevel="0" collapsed="false">
      <c r="A1007" s="4" t="s">
        <v>420</v>
      </c>
      <c r="B1007" s="0" t="s">
        <v>48</v>
      </c>
      <c r="C1007" s="16" t="n">
        <f aca="false">C1006/C996</f>
        <v>0.280998538824062</v>
      </c>
      <c r="D1007" s="16" t="n">
        <f aca="false">D1006/D996</f>
        <v>0.324490246378388</v>
      </c>
      <c r="E1007" s="16" t="n">
        <f aca="false">E1006/E996</f>
        <v>0.258472872453078</v>
      </c>
      <c r="F1007" s="16" t="n">
        <f aca="false">F1006/F996</f>
        <v>0.185928915732865</v>
      </c>
      <c r="G1007" s="16" t="n">
        <f aca="false">G1006/G996</f>
        <v>0.173794626625976</v>
      </c>
    </row>
    <row r="1008" customFormat="false" ht="15" hidden="false" customHeight="false" outlineLevel="0" collapsed="false">
      <c r="A1008" s="4" t="s">
        <v>422</v>
      </c>
      <c r="B1008" s="0" t="s">
        <v>184</v>
      </c>
      <c r="C1008" s="23" t="n">
        <f aca="false">a25_opx</f>
        <v>5.881</v>
      </c>
      <c r="D1008" s="23" t="n">
        <f aca="false">a26_opx</f>
        <v>6.824187</v>
      </c>
      <c r="E1008" s="23" t="n">
        <f aca="false">D1008*(1+MAX(g_opx_min,phi*E999))</f>
        <v>7.02891261</v>
      </c>
      <c r="F1008" s="23" t="n">
        <f aca="false">E1008*(1+MAX(g_opx_min,phi*F999))</f>
        <v>7.2397799883</v>
      </c>
      <c r="G1008" s="23" t="n">
        <f aca="false">F1008*(1+MAX(g_opx_min,phi*G999))</f>
        <v>7.65130674847536</v>
      </c>
    </row>
    <row r="1009" customFormat="false" ht="15" hidden="false" customHeight="false" outlineLevel="0" collapsed="false">
      <c r="A1009" s="4" t="s">
        <v>425</v>
      </c>
      <c r="B1009" s="0" t="s">
        <v>184</v>
      </c>
      <c r="C1009" s="23" t="n">
        <f aca="false">C1006-C1008</f>
        <v>7.773</v>
      </c>
      <c r="D1009" s="23" t="n">
        <f aca="false">D1006-D1008</f>
        <v>12.2078344</v>
      </c>
      <c r="E1009" s="23" t="n">
        <f aca="false">E1006-E1008</f>
        <v>8.42814745896522</v>
      </c>
      <c r="F1009" s="23" t="n">
        <f aca="false">F1006-F1008</f>
        <v>4.15604349978788</v>
      </c>
      <c r="G1009" s="23" t="n">
        <f aca="false">G1006-G1008</f>
        <v>4.21177287828139</v>
      </c>
    </row>
    <row r="1010" customFormat="false" ht="15" hidden="false" customHeight="false" outlineLevel="0" collapsed="false">
      <c r="A1010" s="4" t="s">
        <v>531</v>
      </c>
      <c r="B1010" s="0" t="s">
        <v>48</v>
      </c>
      <c r="C1010" s="16" t="n">
        <f aca="false">C1009/C996</f>
        <v>0.159967895289251</v>
      </c>
      <c r="D1010" s="16" t="n">
        <f aca="false">D1009/D996</f>
        <v>0.208139908470393</v>
      </c>
      <c r="E1010" s="16" t="n">
        <f aca="false">E1009/E996</f>
        <v>0.140935434905293</v>
      </c>
      <c r="F1010" s="16" t="n">
        <f aca="false">F1009/F996</f>
        <v>0.0678080581418202</v>
      </c>
      <c r="G1010" s="16" t="n">
        <f aca="false">G1009/G996</f>
        <v>0.0617026537665114</v>
      </c>
    </row>
    <row r="1011" customFormat="false" ht="15" hidden="false" customHeight="false" outlineLevel="0" collapsed="false">
      <c r="A1011" s="4" t="s">
        <v>428</v>
      </c>
      <c r="B1011" s="0" t="s">
        <v>184</v>
      </c>
      <c r="C1011" s="23" t="n">
        <f aca="false">a25_nonop</f>
        <v>1.479</v>
      </c>
      <c r="D1011" s="23" t="n">
        <f aca="false">a26_nonop</f>
        <v>2.10950832169955</v>
      </c>
      <c r="E1011" s="23" t="n">
        <f aca="false">nonop_f</f>
        <v>1.5</v>
      </c>
      <c r="F1011" s="23" t="n">
        <f aca="false">nonop_f</f>
        <v>1.5</v>
      </c>
      <c r="G1011" s="23" t="n">
        <f aca="false">nonop_f</f>
        <v>1.5</v>
      </c>
    </row>
    <row r="1012" customFormat="false" ht="15" hidden="false" customHeight="false" outlineLevel="0" collapsed="false">
      <c r="A1012" s="4" t="s">
        <v>430</v>
      </c>
      <c r="B1012" s="0" t="s">
        <v>184</v>
      </c>
      <c r="C1012" s="23" t="n">
        <f aca="false">C1009+C1011</f>
        <v>9.252</v>
      </c>
      <c r="D1012" s="23" t="n">
        <f aca="false">D1009+D1011</f>
        <v>14.3173427216995</v>
      </c>
      <c r="E1012" s="23" t="n">
        <f aca="false">E1009+E1011</f>
        <v>9.92814745896522</v>
      </c>
      <c r="F1012" s="23" t="n">
        <f aca="false">F1009+F1011</f>
        <v>5.65604349978788</v>
      </c>
      <c r="G1012" s="23" t="n">
        <f aca="false">G1009+G1011</f>
        <v>5.71177287828139</v>
      </c>
    </row>
    <row r="1013" customFormat="false" ht="15" hidden="false" customHeight="false" outlineLevel="0" collapsed="false">
      <c r="A1013" s="4" t="s">
        <v>432</v>
      </c>
      <c r="B1013" s="0" t="s">
        <v>184</v>
      </c>
      <c r="C1013" s="23" t="n">
        <f aca="false">a25_tax</f>
        <v>1.344</v>
      </c>
      <c r="D1013" s="23" t="n">
        <f aca="false">a26_tax</f>
        <v>2.0798215108046</v>
      </c>
      <c r="E1013" s="23" t="n">
        <f aca="false">E1012*tax</f>
        <v>1.48922211884478</v>
      </c>
      <c r="F1013" s="23" t="n">
        <f aca="false">F1012*tax</f>
        <v>0.848406524968182</v>
      </c>
      <c r="G1013" s="23" t="n">
        <f aca="false">G1012*tax</f>
        <v>0.856765931742208</v>
      </c>
    </row>
    <row r="1014" customFormat="false" ht="17.15" hidden="false" customHeight="false" outlineLevel="0" collapsed="false">
      <c r="A1014" s="4" t="s">
        <v>567</v>
      </c>
      <c r="B1014" s="0" t="s">
        <v>184</v>
      </c>
      <c r="C1014" s="23" t="n">
        <f aca="false">a25_mi</f>
        <v>0</v>
      </c>
      <c r="D1014" s="23" t="n">
        <f aca="false">a26_mi</f>
        <v>0</v>
      </c>
      <c r="E1014" s="23" t="n">
        <f aca="false">vmi*E1005*(1-tax)</f>
        <v>-0.36661248</v>
      </c>
      <c r="F1014" s="23" t="n">
        <f aca="false">vmi*F1005*(1-tax)</f>
        <v>0</v>
      </c>
      <c r="G1014" s="23" t="n">
        <f aca="false">vmi*G1005*(1-tax)</f>
        <v>0.32078592</v>
      </c>
      <c r="K1014" s="8" t="s">
        <v>568</v>
      </c>
    </row>
    <row r="1015" customFormat="false" ht="15" hidden="false" customHeight="false" outlineLevel="0" collapsed="false">
      <c r="A1015" s="4" t="s">
        <v>435</v>
      </c>
      <c r="B1015" s="0" t="s">
        <v>184</v>
      </c>
      <c r="C1015" s="23" t="n">
        <f aca="false">C1012-C1013-C1014</f>
        <v>7.908</v>
      </c>
      <c r="D1015" s="23" t="n">
        <f aca="false">D1012-D1013-D1014</f>
        <v>12.2375212108949</v>
      </c>
      <c r="E1015" s="23" t="n">
        <f aca="false">E1012-E1013-E1014</f>
        <v>8.80553782012044</v>
      </c>
      <c r="F1015" s="23" t="n">
        <f aca="false">F1012-F1013-F1014</f>
        <v>4.8076369748197</v>
      </c>
      <c r="G1015" s="23" t="n">
        <f aca="false">G1012-G1013-G1014</f>
        <v>4.53422102653918</v>
      </c>
      <c r="H1015" s="29" t="n">
        <f aca="false">H996*H1019</f>
        <v>4.58089092165772</v>
      </c>
      <c r="I1015" s="29" t="n">
        <f aca="false">I996*I1019</f>
        <v>4.47159342106647</v>
      </c>
      <c r="J1015" s="29" t="n">
        <f aca="false">J996*J1019</f>
        <v>4.21017719029643</v>
      </c>
    </row>
    <row r="1016" customFormat="false" ht="15" hidden="false" customHeight="false" outlineLevel="0" collapsed="false">
      <c r="A1016" s="4" t="s">
        <v>569</v>
      </c>
      <c r="B1016" s="4" t="s">
        <v>265</v>
      </c>
      <c r="C1016" s="10" t="n">
        <f aca="false">a25_sh</f>
        <v>1.8739336492891</v>
      </c>
      <c r="D1016" s="10" t="n">
        <f aca="false">a26_sh</f>
        <v>1.90613591916558</v>
      </c>
      <c r="E1016" s="10" t="n">
        <f aca="false">q_sh*(1+sh_g)</f>
        <v>1.90705128205128</v>
      </c>
      <c r="F1016" s="10" t="n">
        <f aca="false">E1016*(1+sh_g)</f>
        <v>1.90705128205128</v>
      </c>
      <c r="G1016" s="10" t="n">
        <f aca="false">F1016*(1+sh_g)</f>
        <v>1.90705128205128</v>
      </c>
      <c r="H1016" s="31" t="n">
        <f aca="false">G1016*(1+sh_g)</f>
        <v>1.90705128205128</v>
      </c>
      <c r="I1016" s="31" t="n">
        <f aca="false">H1016*(1+sh_g)</f>
        <v>1.90705128205128</v>
      </c>
      <c r="J1016" s="31" t="n">
        <f aca="false">I1016*(1+sh_g)</f>
        <v>1.90705128205128</v>
      </c>
    </row>
    <row r="1017" customFormat="false" ht="17.15" hidden="false" customHeight="false" outlineLevel="0" collapsed="false">
      <c r="A1017" s="0" t="s">
        <v>442</v>
      </c>
      <c r="B1017" s="0" t="s">
        <v>274</v>
      </c>
      <c r="C1017" s="23" t="n">
        <f aca="false">C1015/C1016</f>
        <v>4.22</v>
      </c>
      <c r="D1017" s="23" t="n">
        <f aca="false">D1015/D1016</f>
        <v>6.42006747150118</v>
      </c>
      <c r="E1017" s="23" t="n">
        <f aca="false">E1015/E1016</f>
        <v>4.61735764685307</v>
      </c>
      <c r="F1017" s="23" t="n">
        <f aca="false">F1015/F1016</f>
        <v>2.52097938847688</v>
      </c>
      <c r="G1017" s="23" t="n">
        <f aca="false">G1015/G1016</f>
        <v>2.37760833660542</v>
      </c>
      <c r="H1017" s="29" t="n">
        <f aca="false">H1015/H1016</f>
        <v>2.40208061774321</v>
      </c>
      <c r="I1017" s="29" t="n">
        <f aca="false">I1015/I1016</f>
        <v>2.34476831491216</v>
      </c>
      <c r="J1017" s="29" t="n">
        <f aca="false">J1015/J1016</f>
        <v>2.20768955188653</v>
      </c>
    </row>
    <row r="1018" customFormat="false" ht="17.15" hidden="false" customHeight="false" outlineLevel="0" collapsed="false">
      <c r="A1018" s="0" t="s">
        <v>570</v>
      </c>
      <c r="B1018" s="0" t="s">
        <v>48</v>
      </c>
      <c r="D1018" s="20" t="n">
        <f aca="false">D1017/C1017-1</f>
        <v>0.521343002725398</v>
      </c>
      <c r="E1018" s="20" t="n">
        <f aca="false">E1017/D1017-1</f>
        <v>-0.28079297182629</v>
      </c>
      <c r="F1018" s="20" t="n">
        <f aca="false">F1017/E1017-1</f>
        <v>-0.454021199723387</v>
      </c>
      <c r="G1018" s="20" t="n">
        <f aca="false">G1017/F1017-1</f>
        <v>-0.0568711717861715</v>
      </c>
      <c r="H1018" s="27" t="n">
        <f aca="false">H1017/G1017-1</f>
        <v>0.0102928143214405</v>
      </c>
      <c r="I1018" s="27" t="n">
        <f aca="false">I1017/H1017-1</f>
        <v>-0.0238594418554059</v>
      </c>
      <c r="J1018" s="27" t="n">
        <f aca="false">J1017/I1017-1</f>
        <v>-0.0584615384615383</v>
      </c>
    </row>
    <row r="1019" customFormat="false" ht="17.15" hidden="false" customHeight="false" outlineLevel="0" collapsed="false">
      <c r="A1019" s="4" t="s">
        <v>571</v>
      </c>
      <c r="B1019" s="0" t="s">
        <v>48</v>
      </c>
      <c r="C1019" s="16" t="n">
        <f aca="false">C1015/C996</f>
        <v>0.162746187565599</v>
      </c>
      <c r="D1019" s="16" t="n">
        <f aca="false">D1015/D996</f>
        <v>0.208646059676249</v>
      </c>
      <c r="E1019" s="16" t="n">
        <f aca="false">E1015/E996</f>
        <v>0.147246154424313</v>
      </c>
      <c r="F1019" s="16" t="n">
        <f aca="false">F1015/F996</f>
        <v>0.0784391519313928</v>
      </c>
      <c r="G1019" s="16" t="n">
        <f aca="false">G1015/G996</f>
        <v>0.0664265330032573</v>
      </c>
      <c r="H1019" s="28" t="n">
        <f aca="false">$G1019+($G$1019*0.8-$G1019)*1/3</f>
        <v>0.0619980974697068</v>
      </c>
      <c r="I1019" s="28" t="n">
        <f aca="false">$G1019+($G$1019*0.8-$G1019)*2/3</f>
        <v>0.0575696619361564</v>
      </c>
      <c r="J1019" s="28" t="n">
        <f aca="false">$G1019+($G$1019*0.8-$G1019)*3/3</f>
        <v>0.0531412264026059</v>
      </c>
    </row>
    <row r="1022" customFormat="false" ht="17.15" hidden="false" customHeight="false" outlineLevel="0" collapsed="false">
      <c r="A1022" s="1" t="s">
        <v>869</v>
      </c>
    </row>
    <row r="1023" customFormat="false" ht="17.15" hidden="false" customHeight="false" outlineLevel="0" collapsed="false">
      <c r="A1023" s="5" t="s">
        <v>24</v>
      </c>
      <c r="B1023" s="5" t="s">
        <v>25</v>
      </c>
      <c r="C1023" s="17" t="s">
        <v>394</v>
      </c>
      <c r="D1023" s="17" t="s">
        <v>521</v>
      </c>
      <c r="E1023" s="17" t="s">
        <v>480</v>
      </c>
      <c r="F1023" s="17" t="s">
        <v>481</v>
      </c>
      <c r="G1023" s="17" t="s">
        <v>482</v>
      </c>
      <c r="H1023" s="17" t="s">
        <v>522</v>
      </c>
      <c r="I1023" s="17" t="s">
        <v>523</v>
      </c>
      <c r="J1023" s="17" t="s">
        <v>524</v>
      </c>
      <c r="K1023" s="5" t="s">
        <v>357</v>
      </c>
    </row>
    <row r="1024" customFormat="false" ht="17.15" hidden="false" customHeight="false" outlineLevel="0" collapsed="false">
      <c r="A1024" s="6" t="s">
        <v>542</v>
      </c>
    </row>
    <row r="1025" customFormat="false" ht="17.15" hidden="false" customHeight="false" outlineLevel="0" collapsed="false">
      <c r="A1025" s="4" t="s">
        <v>543</v>
      </c>
      <c r="B1025" s="4" t="s">
        <v>42</v>
      </c>
      <c r="D1025" s="22" t="n">
        <f aca="false">cap_26</f>
        <v>3306</v>
      </c>
      <c r="E1025" s="22" t="n">
        <f aca="false">D1025*(1+capg27)*cap_adj</f>
        <v>3306</v>
      </c>
      <c r="F1025" s="22" t="n">
        <f aca="false">E1025*(1+capg28)</f>
        <v>3306</v>
      </c>
      <c r="G1025" s="22" t="n">
        <f aca="false">F1025*(1+capg29)</f>
        <v>3306</v>
      </c>
    </row>
    <row r="1026" customFormat="false" ht="15" hidden="false" customHeight="false" outlineLevel="0" collapsed="false">
      <c r="A1026" s="4" t="s">
        <v>544</v>
      </c>
      <c r="B1026" s="0" t="s">
        <v>48</v>
      </c>
      <c r="D1026" s="20" t="n">
        <f aca="false">a26_ship/cap_26</f>
        <v>0.8725</v>
      </c>
      <c r="E1026" s="20" t="n">
        <f aca="false">MIN(0.98,ut27_A+ut_adj)</f>
        <v>0.95</v>
      </c>
      <c r="F1026" s="20" t="n">
        <f aca="false">MIN(0.98,ut28_A+ut_adj)</f>
        <v>0.94</v>
      </c>
      <c r="G1026" s="20" t="n">
        <f aca="false">MIN(0.98,ut29_A+ut_adj)</f>
        <v>0.93</v>
      </c>
    </row>
    <row r="1027" customFormat="false" ht="17.15" hidden="false" customHeight="false" outlineLevel="0" collapsed="false">
      <c r="A1027" s="4" t="s">
        <v>545</v>
      </c>
      <c r="B1027" s="4" t="s">
        <v>42</v>
      </c>
      <c r="D1027" s="22" t="n">
        <f aca="false">D1025*D1026</f>
        <v>2884.485</v>
      </c>
      <c r="E1027" s="22" t="n">
        <f aca="false">E1025*E1026</f>
        <v>3140.7</v>
      </c>
      <c r="F1027" s="22" t="n">
        <f aca="false">F1025*F1026</f>
        <v>3107.64</v>
      </c>
      <c r="G1027" s="22" t="n">
        <f aca="false">G1025*G1026</f>
        <v>3074.58</v>
      </c>
    </row>
    <row r="1028" customFormat="false" ht="17.15" hidden="false" customHeight="false" outlineLevel="0" collapsed="false">
      <c r="A1028" s="4" t="s">
        <v>546</v>
      </c>
      <c r="B1028" s="0" t="s">
        <v>89</v>
      </c>
      <c r="D1028" s="22" t="n">
        <f aca="false">asp_26</f>
        <v>643.469405492234</v>
      </c>
      <c r="E1028" s="22" t="n">
        <f aca="false">D1028*(1+asp27_A)*(1+asp_adj)</f>
        <v>682.077569821768</v>
      </c>
      <c r="F1028" s="22" t="n">
        <f aca="false">E1028*(1+asp28_A)</f>
        <v>695.719121218203</v>
      </c>
      <c r="G1028" s="22" t="n">
        <f aca="false">F1028*(1+asp29_A)</f>
        <v>702.676312430385</v>
      </c>
    </row>
    <row r="1029" customFormat="false" ht="15" hidden="false" customHeight="false" outlineLevel="0" collapsed="false">
      <c r="A1029" s="4" t="s">
        <v>547</v>
      </c>
      <c r="B1029" s="0" t="s">
        <v>48</v>
      </c>
      <c r="E1029" s="20" t="n">
        <f aca="false">E1028/D1028-1</f>
        <v>0.0600000000000001</v>
      </c>
      <c r="F1029" s="20" t="n">
        <f aca="false">F1028/E1028-1</f>
        <v>0.02</v>
      </c>
      <c r="G1029" s="20" t="n">
        <f aca="false">G1028/F1028-1</f>
        <v>0.01</v>
      </c>
    </row>
    <row r="1030" customFormat="false" ht="15" hidden="false" customHeight="false" outlineLevel="0" collapsed="false">
      <c r="A1030" s="4" t="s">
        <v>548</v>
      </c>
      <c r="B1030" s="0" t="s">
        <v>35</v>
      </c>
      <c r="D1030" s="23" t="n">
        <f aca="false">fx_26</f>
        <v>31.6</v>
      </c>
      <c r="E1030" s="23" t="n">
        <f aca="false">fx</f>
        <v>32</v>
      </c>
      <c r="F1030" s="23" t="n">
        <f aca="false">fx</f>
        <v>32</v>
      </c>
      <c r="G1030" s="23" t="n">
        <f aca="false">fx</f>
        <v>32</v>
      </c>
    </row>
    <row r="1031" customFormat="false" ht="17.15" hidden="false" customHeight="false" outlineLevel="0" collapsed="false">
      <c r="A1031" s="0" t="s">
        <v>549</v>
      </c>
      <c r="B1031" s="0" t="s">
        <v>184</v>
      </c>
      <c r="D1031" s="23" t="n">
        <f aca="false">D1027*D1028*D1030/1000000</f>
        <v>58.65206</v>
      </c>
      <c r="E1031" s="23" t="n">
        <f aca="false">E1027*E1028*E1030/1000000</f>
        <v>68.5504327532552</v>
      </c>
      <c r="F1031" s="23" t="n">
        <f aca="false">F1027*F1028*F1030/1000000</f>
        <v>69.1854262356012</v>
      </c>
      <c r="G1031" s="23" t="n">
        <f aca="false">G1027*G1028*G1030/1000000</f>
        <v>69.1339051735108</v>
      </c>
    </row>
    <row r="1032" customFormat="false" ht="17.15" hidden="false" customHeight="false" outlineLevel="0" collapsed="false">
      <c r="A1032" s="6" t="s">
        <v>550</v>
      </c>
    </row>
    <row r="1033" customFormat="false" ht="17.15" hidden="false" customHeight="false" outlineLevel="0" collapsed="false">
      <c r="A1033" s="0" t="s">
        <v>551</v>
      </c>
      <c r="B1033" s="4" t="s">
        <v>42</v>
      </c>
      <c r="D1033" s="22" t="n">
        <f aca="false">0</f>
        <v>0</v>
      </c>
      <c r="E1033" s="22" t="n">
        <f aca="false">vcap27*vcap_adj</f>
        <v>144</v>
      </c>
      <c r="F1033" s="22" t="n">
        <f aca="false">vcap28*vcap_adj</f>
        <v>360</v>
      </c>
      <c r="G1033" s="22" t="n">
        <f aca="false">vcap29*vcap_adj</f>
        <v>504</v>
      </c>
    </row>
    <row r="1034" customFormat="false" ht="17.15" hidden="false" customHeight="false" outlineLevel="0" collapsed="false">
      <c r="A1034" s="0" t="s">
        <v>552</v>
      </c>
      <c r="B1034" s="0" t="s">
        <v>48</v>
      </c>
      <c r="E1034" s="20" t="n">
        <f aca="false">vut_A</f>
        <v>0.9</v>
      </c>
      <c r="F1034" s="20" t="n">
        <f aca="false">vut_A</f>
        <v>0.9</v>
      </c>
      <c r="G1034" s="20" t="n">
        <f aca="false">vut_A</f>
        <v>0.9</v>
      </c>
    </row>
    <row r="1035" customFormat="false" ht="17.15" hidden="false" customHeight="false" outlineLevel="0" collapsed="false">
      <c r="A1035" s="0" t="s">
        <v>553</v>
      </c>
      <c r="B1035" s="4" t="s">
        <v>42</v>
      </c>
      <c r="D1035" s="22" t="n">
        <f aca="false">0</f>
        <v>0</v>
      </c>
      <c r="E1035" s="22" t="n">
        <f aca="false">E1033*E1034</f>
        <v>129.6</v>
      </c>
      <c r="F1035" s="22" t="n">
        <f aca="false">F1033*F1034</f>
        <v>324</v>
      </c>
      <c r="G1035" s="22" t="n">
        <f aca="false">G1033*G1034</f>
        <v>453.6</v>
      </c>
    </row>
    <row r="1036" customFormat="false" ht="17.15" hidden="false" customHeight="false" outlineLevel="0" collapsed="false">
      <c r="A1036" s="0" t="s">
        <v>554</v>
      </c>
      <c r="B1036" s="0" t="s">
        <v>184</v>
      </c>
      <c r="D1036" s="23" t="n">
        <f aca="false">0</f>
        <v>0</v>
      </c>
      <c r="E1036" s="23" t="n">
        <f aca="false">E1035*vasp*E1030/1000000</f>
        <v>7.46496</v>
      </c>
      <c r="F1036" s="23" t="n">
        <f aca="false">F1035*vasp*F1030/1000000</f>
        <v>18.6624</v>
      </c>
      <c r="G1036" s="23" t="n">
        <f aca="false">G1035*vasp*G1030/1000000</f>
        <v>26.12736</v>
      </c>
    </row>
    <row r="1037" customFormat="false" ht="17.15" hidden="false" customHeight="false" outlineLevel="0" collapsed="false">
      <c r="A1037" s="4" t="s">
        <v>400</v>
      </c>
      <c r="B1037" s="0" t="s">
        <v>184</v>
      </c>
      <c r="C1037" s="23" t="n">
        <f aca="false">a25_rev</f>
        <v>48.591</v>
      </c>
      <c r="D1037" s="23" t="n">
        <f aca="false">D1031+D1036</f>
        <v>58.65206</v>
      </c>
      <c r="E1037" s="23" t="n">
        <f aca="false">E1031+E1036</f>
        <v>76.0153927532552</v>
      </c>
      <c r="F1037" s="23" t="n">
        <f aca="false">F1031+F1036</f>
        <v>87.8478262356012</v>
      </c>
      <c r="G1037" s="23" t="n">
        <f aca="false">G1031+G1036</f>
        <v>95.2612651735108</v>
      </c>
      <c r="H1037" s="29" t="n">
        <f aca="false">G1037*(1+H1040)</f>
        <v>102.525860976128</v>
      </c>
      <c r="I1037" s="29" t="n">
        <f aca="false">H1037*(1+I1040)</f>
        <v>109.51093266638</v>
      </c>
      <c r="J1037" s="29" t="n">
        <f aca="false">I1037*(1+J1040)</f>
        <v>116.081588626363</v>
      </c>
      <c r="K1037" s="8" t="s">
        <v>555</v>
      </c>
    </row>
    <row r="1038" customFormat="false" ht="17.15" hidden="false" customHeight="false" outlineLevel="0" collapsed="false">
      <c r="A1038" s="0" t="s">
        <v>556</v>
      </c>
      <c r="B1038" s="0" t="s">
        <v>48</v>
      </c>
      <c r="D1038" s="20" t="n">
        <f aca="false">D1036/D1037</f>
        <v>0</v>
      </c>
      <c r="E1038" s="20" t="n">
        <f aca="false">E1036/E1037</f>
        <v>0.0982032681753174</v>
      </c>
      <c r="F1038" s="20" t="n">
        <f aca="false">F1036/F1037</f>
        <v>0.212440088727396</v>
      </c>
      <c r="G1038" s="20" t="n">
        <f aca="false">G1036/G1037</f>
        <v>0.274270554274196</v>
      </c>
    </row>
    <row r="1039" customFormat="false" ht="17.15" hidden="false" customHeight="false" outlineLevel="0" collapsed="false">
      <c r="A1039" s="0" t="s">
        <v>557</v>
      </c>
      <c r="B1039" s="0" t="s">
        <v>48</v>
      </c>
      <c r="D1039" s="20" t="n">
        <f aca="false">ai_sh26</f>
        <v>0.1</v>
      </c>
      <c r="E1039" s="20" t="n">
        <f aca="false">ai_sh27_A</f>
        <v>0.25</v>
      </c>
      <c r="F1039" s="20" t="n">
        <f aca="false">ai_sh27_A</f>
        <v>0.25</v>
      </c>
      <c r="G1039" s="20" t="n">
        <f aca="false">ai_sh27_A</f>
        <v>0.25</v>
      </c>
    </row>
    <row r="1040" customFormat="false" ht="15" hidden="false" customHeight="false" outlineLevel="0" collapsed="false">
      <c r="A1040" s="4" t="s">
        <v>558</v>
      </c>
      <c r="B1040" s="0" t="s">
        <v>48</v>
      </c>
      <c r="D1040" s="20" t="n">
        <f aca="false">D1037/C1037-1</f>
        <v>0.207056039184211</v>
      </c>
      <c r="E1040" s="20" t="n">
        <f aca="false">E1037/D1037-1</f>
        <v>0.296039606337019</v>
      </c>
      <c r="F1040" s="20" t="n">
        <f aca="false">F1037/E1037-1</f>
        <v>0.155658387778826</v>
      </c>
      <c r="G1040" s="20" t="n">
        <f aca="false">G1037/F1037-1</f>
        <v>0.0843895547059683</v>
      </c>
      <c r="H1040" s="27" t="n">
        <f aca="false">$G1040+(fade_gA-$G1040)*1/3</f>
        <v>0.0762597031373122</v>
      </c>
      <c r="I1040" s="27" t="n">
        <f aca="false">$G1040+(fade_gA-$G1040)*2/3</f>
        <v>0.0681298515686561</v>
      </c>
      <c r="J1040" s="27" t="n">
        <f aca="false">$G1040+(fade_gA-$G1040)*3/3</f>
        <v>0.06</v>
      </c>
    </row>
    <row r="1041" customFormat="false" ht="17.15" hidden="false" customHeight="false" outlineLevel="0" collapsed="false">
      <c r="A1041" s="6" t="s">
        <v>559</v>
      </c>
    </row>
    <row r="1042" customFormat="false" ht="15" hidden="false" customHeight="false" outlineLevel="0" collapsed="false">
      <c r="A1042" s="4" t="s">
        <v>560</v>
      </c>
      <c r="B1042" s="0" t="s">
        <v>184</v>
      </c>
      <c r="D1042" s="23" t="n">
        <f aca="false">da_tot26*da_sh</f>
        <v>8.658</v>
      </c>
      <c r="E1042" s="23" t="n">
        <f aca="false">D1042*(1+dag_27+dag_adj_lo)</f>
        <v>8.48484</v>
      </c>
      <c r="F1042" s="23" t="n">
        <f aca="false">E1042*(1+dag_28+dag_adj_lo)</f>
        <v>8.2302948</v>
      </c>
      <c r="G1042" s="23" t="n">
        <f aca="false">F1042*(1+dag_29+dag_adj_lo)</f>
        <v>7.81878006</v>
      </c>
    </row>
    <row r="1043" customFormat="false" ht="17.15" hidden="false" customHeight="false" outlineLevel="0" collapsed="false">
      <c r="A1043" s="4" t="s">
        <v>561</v>
      </c>
      <c r="B1043" s="0" t="s">
        <v>562</v>
      </c>
      <c r="D1043" s="23" t="n">
        <f aca="false">(D1031-a26_gp-D1042)/D1027*1000</f>
        <v>10.7339918911001</v>
      </c>
      <c r="E1043" s="23" t="n">
        <f aca="false">D1043*(1+cc_g)</f>
        <v>10.9486717289221</v>
      </c>
      <c r="F1043" s="23" t="n">
        <f aca="false">E1043*(1+cc_g)</f>
        <v>11.1676451635006</v>
      </c>
      <c r="G1043" s="23" t="n">
        <f aca="false">F1043*(1+cc_g)</f>
        <v>11.3909980667706</v>
      </c>
      <c r="K1043" s="8" t="s">
        <v>563</v>
      </c>
    </row>
    <row r="1044" customFormat="false" ht="17.15" hidden="false" customHeight="false" outlineLevel="0" collapsed="false">
      <c r="A1044" s="4" t="s">
        <v>564</v>
      </c>
      <c r="B1044" s="0" t="s">
        <v>184</v>
      </c>
      <c r="D1044" s="23" t="n">
        <f aca="false">D1043*D1027/1000</f>
        <v>30.9620386</v>
      </c>
      <c r="E1044" s="23" t="n">
        <f aca="false">E1043*E1027/1000</f>
        <v>34.3864932990258</v>
      </c>
      <c r="F1044" s="23" t="n">
        <f aca="false">F1043*F1027/1000</f>
        <v>34.705020815901</v>
      </c>
      <c r="G1044" s="23" t="n">
        <f aca="false">G1043*G1027/1000</f>
        <v>35.0225348361316</v>
      </c>
    </row>
    <row r="1045" customFormat="false" ht="17.15" hidden="false" customHeight="false" outlineLevel="0" collapsed="false">
      <c r="A1045" s="0" t="s">
        <v>565</v>
      </c>
      <c r="B1045" s="0" t="s">
        <v>48</v>
      </c>
      <c r="E1045" s="20" t="n">
        <f aca="false">vgm27_A</f>
        <v>0.05</v>
      </c>
      <c r="F1045" s="20" t="n">
        <f aca="false">vgm28_A</f>
        <v>0.2</v>
      </c>
      <c r="G1045" s="20" t="n">
        <f aca="false">vgm29_A</f>
        <v>0.25</v>
      </c>
    </row>
    <row r="1046" customFormat="false" ht="17.15" hidden="false" customHeight="false" outlineLevel="0" collapsed="false">
      <c r="A1046" s="0" t="s">
        <v>566</v>
      </c>
      <c r="B1046" s="0" t="s">
        <v>184</v>
      </c>
      <c r="D1046" s="23" t="n">
        <f aca="false">0</f>
        <v>0</v>
      </c>
      <c r="E1046" s="23" t="n">
        <f aca="false">E1036*E1045</f>
        <v>0.373248</v>
      </c>
      <c r="F1046" s="23" t="n">
        <f aca="false">F1036*F1045</f>
        <v>3.73248</v>
      </c>
      <c r="G1046" s="23" t="n">
        <f aca="false">G1036*G1045</f>
        <v>6.53184</v>
      </c>
    </row>
    <row r="1047" customFormat="false" ht="15" hidden="false" customHeight="false" outlineLevel="0" collapsed="false">
      <c r="A1047" s="4" t="s">
        <v>417</v>
      </c>
      <c r="B1047" s="0" t="s">
        <v>184</v>
      </c>
      <c r="C1047" s="23" t="n">
        <f aca="false">a25_gp</f>
        <v>13.654</v>
      </c>
      <c r="D1047" s="23" t="n">
        <f aca="false">D1031-D1042-D1044+D1046</f>
        <v>19.0320214</v>
      </c>
      <c r="E1047" s="23" t="n">
        <f aca="false">E1031-E1042-E1044+E1046</f>
        <v>26.0523474542294</v>
      </c>
      <c r="F1047" s="23" t="n">
        <f aca="false">F1031-F1042-F1044+F1046</f>
        <v>29.9825906197002</v>
      </c>
      <c r="G1047" s="23" t="n">
        <f aca="false">G1031-G1042-G1044+G1046</f>
        <v>32.8244302773793</v>
      </c>
    </row>
    <row r="1048" customFormat="false" ht="15" hidden="false" customHeight="false" outlineLevel="0" collapsed="false">
      <c r="A1048" s="4" t="s">
        <v>420</v>
      </c>
      <c r="B1048" s="0" t="s">
        <v>48</v>
      </c>
      <c r="C1048" s="16" t="n">
        <f aca="false">C1047/C1037</f>
        <v>0.280998538824062</v>
      </c>
      <c r="D1048" s="16" t="n">
        <f aca="false">D1047/D1037</f>
        <v>0.324490246378388</v>
      </c>
      <c r="E1048" s="16" t="n">
        <f aca="false">E1047/E1037</f>
        <v>0.34272463129665</v>
      </c>
      <c r="F1048" s="16" t="n">
        <f aca="false">F1047/F1037</f>
        <v>0.341301451663575</v>
      </c>
      <c r="G1048" s="16" t="n">
        <f aca="false">G1047/G1037</f>
        <v>0.34457268877956</v>
      </c>
    </row>
    <row r="1049" customFormat="false" ht="15" hidden="false" customHeight="false" outlineLevel="0" collapsed="false">
      <c r="A1049" s="4" t="s">
        <v>422</v>
      </c>
      <c r="B1049" s="0" t="s">
        <v>184</v>
      </c>
      <c r="C1049" s="23" t="n">
        <f aca="false">a25_opx</f>
        <v>5.881</v>
      </c>
      <c r="D1049" s="23" t="n">
        <f aca="false">a26_opx</f>
        <v>6.824187</v>
      </c>
      <c r="E1049" s="23" t="n">
        <f aca="false">D1049*(1+MAX(g_opx_min,phi*E1040))</f>
        <v>7.8343018165251</v>
      </c>
      <c r="F1049" s="23" t="n">
        <f aca="false">E1049*(1+MAX(g_opx_min,phi*F1040))</f>
        <v>8.44403921159161</v>
      </c>
      <c r="G1049" s="23" t="n">
        <f aca="false">F1049*(1+MAX(g_opx_min,phi*G1040))</f>
        <v>8.80033356608459</v>
      </c>
    </row>
    <row r="1050" customFormat="false" ht="15" hidden="false" customHeight="false" outlineLevel="0" collapsed="false">
      <c r="A1050" s="4" t="s">
        <v>425</v>
      </c>
      <c r="B1050" s="0" t="s">
        <v>184</v>
      </c>
      <c r="C1050" s="23" t="n">
        <f aca="false">C1047-C1049</f>
        <v>7.773</v>
      </c>
      <c r="D1050" s="23" t="n">
        <f aca="false">D1047-D1049</f>
        <v>12.2078344</v>
      </c>
      <c r="E1050" s="23" t="n">
        <f aca="false">E1047-E1049</f>
        <v>18.2180456377043</v>
      </c>
      <c r="F1050" s="23" t="n">
        <f aca="false">F1047-F1049</f>
        <v>21.5385514081086</v>
      </c>
      <c r="G1050" s="23" t="n">
        <f aca="false">G1047-G1049</f>
        <v>24.0240967112947</v>
      </c>
    </row>
    <row r="1051" customFormat="false" ht="15" hidden="false" customHeight="false" outlineLevel="0" collapsed="false">
      <c r="A1051" s="4" t="s">
        <v>531</v>
      </c>
      <c r="B1051" s="0" t="s">
        <v>48</v>
      </c>
      <c r="C1051" s="16" t="n">
        <f aca="false">C1050/C1037</f>
        <v>0.159967895289251</v>
      </c>
      <c r="D1051" s="16" t="n">
        <f aca="false">D1050/D1037</f>
        <v>0.208139908470393</v>
      </c>
      <c r="E1051" s="16" t="n">
        <f aca="false">E1050/E1037</f>
        <v>0.239662586455875</v>
      </c>
      <c r="F1051" s="16" t="n">
        <f aca="false">F1050/F1037</f>
        <v>0.245180243280509</v>
      </c>
      <c r="G1051" s="16" t="n">
        <f aca="false">G1050/G1037</f>
        <v>0.252191661191322</v>
      </c>
    </row>
    <row r="1052" customFormat="false" ht="15" hidden="false" customHeight="false" outlineLevel="0" collapsed="false">
      <c r="A1052" s="4" t="s">
        <v>428</v>
      </c>
      <c r="B1052" s="0" t="s">
        <v>184</v>
      </c>
      <c r="C1052" s="23" t="n">
        <f aca="false">a25_nonop</f>
        <v>1.479</v>
      </c>
      <c r="D1052" s="23" t="n">
        <f aca="false">a26_nonop</f>
        <v>2.10950832169955</v>
      </c>
      <c r="E1052" s="23" t="n">
        <f aca="false">nonop_f</f>
        <v>1.5</v>
      </c>
      <c r="F1052" s="23" t="n">
        <f aca="false">nonop_f</f>
        <v>1.5</v>
      </c>
      <c r="G1052" s="23" t="n">
        <f aca="false">nonop_f</f>
        <v>1.5</v>
      </c>
    </row>
    <row r="1053" customFormat="false" ht="15" hidden="false" customHeight="false" outlineLevel="0" collapsed="false">
      <c r="A1053" s="4" t="s">
        <v>430</v>
      </c>
      <c r="B1053" s="0" t="s">
        <v>184</v>
      </c>
      <c r="C1053" s="23" t="n">
        <f aca="false">C1050+C1052</f>
        <v>9.252</v>
      </c>
      <c r="D1053" s="23" t="n">
        <f aca="false">D1050+D1052</f>
        <v>14.3173427216995</v>
      </c>
      <c r="E1053" s="23" t="n">
        <f aca="false">E1050+E1052</f>
        <v>19.7180456377043</v>
      </c>
      <c r="F1053" s="23" t="n">
        <f aca="false">F1050+F1052</f>
        <v>23.0385514081086</v>
      </c>
      <c r="G1053" s="23" t="n">
        <f aca="false">G1050+G1052</f>
        <v>25.5240967112947</v>
      </c>
    </row>
    <row r="1054" customFormat="false" ht="15" hidden="false" customHeight="false" outlineLevel="0" collapsed="false">
      <c r="A1054" s="4" t="s">
        <v>432</v>
      </c>
      <c r="B1054" s="0" t="s">
        <v>184</v>
      </c>
      <c r="C1054" s="23" t="n">
        <f aca="false">a25_tax</f>
        <v>1.344</v>
      </c>
      <c r="D1054" s="23" t="n">
        <f aca="false">a26_tax</f>
        <v>2.0798215108046</v>
      </c>
      <c r="E1054" s="23" t="n">
        <f aca="false">E1053*tax</f>
        <v>2.95770684565565</v>
      </c>
      <c r="F1054" s="23" t="n">
        <f aca="false">F1053*tax</f>
        <v>3.45578271121629</v>
      </c>
      <c r="G1054" s="23" t="n">
        <f aca="false">G1053*tax</f>
        <v>3.8286145066942</v>
      </c>
    </row>
    <row r="1055" customFormat="false" ht="17.15" hidden="false" customHeight="false" outlineLevel="0" collapsed="false">
      <c r="A1055" s="4" t="s">
        <v>567</v>
      </c>
      <c r="B1055" s="0" t="s">
        <v>184</v>
      </c>
      <c r="C1055" s="23" t="n">
        <f aca="false">a25_mi</f>
        <v>0</v>
      </c>
      <c r="D1055" s="23" t="n">
        <f aca="false">a26_mi</f>
        <v>0</v>
      </c>
      <c r="E1055" s="23" t="n">
        <f aca="false">vmi*E1046*(1-tax)</f>
        <v>0.12690432</v>
      </c>
      <c r="F1055" s="23" t="n">
        <f aca="false">vmi*F1046*(1-tax)</f>
        <v>1.2690432</v>
      </c>
      <c r="G1055" s="23" t="n">
        <f aca="false">vmi*G1046*(1-tax)</f>
        <v>2.2208256</v>
      </c>
      <c r="K1055" s="8" t="s">
        <v>568</v>
      </c>
    </row>
    <row r="1056" customFormat="false" ht="15" hidden="false" customHeight="false" outlineLevel="0" collapsed="false">
      <c r="A1056" s="4" t="s">
        <v>435</v>
      </c>
      <c r="B1056" s="0" t="s">
        <v>184</v>
      </c>
      <c r="C1056" s="23" t="n">
        <f aca="false">C1053-C1054-C1055</f>
        <v>7.908</v>
      </c>
      <c r="D1056" s="23" t="n">
        <f aca="false">D1053-D1054-D1055</f>
        <v>12.2375212108949</v>
      </c>
      <c r="E1056" s="23" t="n">
        <f aca="false">E1053-E1054-E1055</f>
        <v>16.6334344720487</v>
      </c>
      <c r="F1056" s="23" t="n">
        <f aca="false">F1053-F1054-F1055</f>
        <v>18.3137254968923</v>
      </c>
      <c r="G1056" s="23" t="n">
        <f aca="false">G1053-G1054-G1055</f>
        <v>19.4746566046005</v>
      </c>
      <c r="H1056" s="29" t="n">
        <f aca="false">H1037*H1060</f>
        <v>20.9597881359684</v>
      </c>
      <c r="I1056" s="29" t="n">
        <f aca="false">I1037*I1060</f>
        <v>22.3877753905824</v>
      </c>
      <c r="J1056" s="29" t="n">
        <f aca="false">J1037*J1060</f>
        <v>23.7310419140174</v>
      </c>
    </row>
    <row r="1057" customFormat="false" ht="15" hidden="false" customHeight="false" outlineLevel="0" collapsed="false">
      <c r="A1057" s="4" t="s">
        <v>569</v>
      </c>
      <c r="B1057" s="4" t="s">
        <v>265</v>
      </c>
      <c r="C1057" s="10" t="n">
        <f aca="false">a25_sh</f>
        <v>1.8739336492891</v>
      </c>
      <c r="D1057" s="10" t="n">
        <f aca="false">a26_sh</f>
        <v>1.90613591916558</v>
      </c>
      <c r="E1057" s="10" t="n">
        <f aca="false">q_sh*(1+sh_g)</f>
        <v>1.90705128205128</v>
      </c>
      <c r="F1057" s="10" t="n">
        <f aca="false">E1057*(1+sh_g)</f>
        <v>1.90705128205128</v>
      </c>
      <c r="G1057" s="10" t="n">
        <f aca="false">F1057*(1+sh_g)</f>
        <v>1.90705128205128</v>
      </c>
      <c r="H1057" s="31" t="n">
        <f aca="false">G1057*(1+sh_g)</f>
        <v>1.90705128205128</v>
      </c>
      <c r="I1057" s="31" t="n">
        <f aca="false">H1057*(1+sh_g)</f>
        <v>1.90705128205128</v>
      </c>
      <c r="J1057" s="31" t="n">
        <f aca="false">I1057*(1+sh_g)</f>
        <v>1.90705128205128</v>
      </c>
    </row>
    <row r="1058" customFormat="false" ht="17.15" hidden="false" customHeight="false" outlineLevel="0" collapsed="false">
      <c r="A1058" s="0" t="s">
        <v>442</v>
      </c>
      <c r="B1058" s="0" t="s">
        <v>274</v>
      </c>
      <c r="C1058" s="23" t="n">
        <f aca="false">C1056/C1057</f>
        <v>4.22</v>
      </c>
      <c r="D1058" s="23" t="n">
        <f aca="false">D1056/D1057</f>
        <v>6.42006747150118</v>
      </c>
      <c r="E1058" s="23" t="n">
        <f aca="false">E1056/E1057</f>
        <v>8.72206984080536</v>
      </c>
      <c r="F1058" s="23" t="n">
        <f aca="false">F1056/F1057</f>
        <v>9.60316362189983</v>
      </c>
      <c r="G1058" s="23" t="n">
        <f aca="false">G1056/G1057</f>
        <v>10.2119207741771</v>
      </c>
      <c r="H1058" s="29" t="n">
        <f aca="false">H1056/H1057</f>
        <v>10.9906788208776</v>
      </c>
      <c r="I1058" s="29" t="n">
        <f aca="false">I1056/I1057</f>
        <v>11.7394721375827</v>
      </c>
      <c r="J1058" s="29" t="n">
        <f aca="false">J1056/J1057</f>
        <v>12.4438404658377</v>
      </c>
    </row>
    <row r="1059" customFormat="false" ht="17.15" hidden="false" customHeight="false" outlineLevel="0" collapsed="false">
      <c r="A1059" s="0" t="s">
        <v>570</v>
      </c>
      <c r="B1059" s="0" t="s">
        <v>48</v>
      </c>
      <c r="D1059" s="20" t="n">
        <f aca="false">D1058/C1058-1</f>
        <v>0.521343002725398</v>
      </c>
      <c r="E1059" s="20" t="n">
        <f aca="false">E1058/D1058-1</f>
        <v>0.35856357889116</v>
      </c>
      <c r="F1059" s="20" t="n">
        <f aca="false">F1058/E1058-1</f>
        <v>0.10101888624789</v>
      </c>
      <c r="G1059" s="20" t="n">
        <f aca="false">G1058/F1058-1</f>
        <v>0.0633913131386177</v>
      </c>
      <c r="H1059" s="27" t="n">
        <f aca="false">H1058/G1058-1</f>
        <v>0.0762597031373122</v>
      </c>
      <c r="I1059" s="27" t="n">
        <f aca="false">I1058/H1058-1</f>
        <v>0.0681298515686559</v>
      </c>
      <c r="J1059" s="27" t="n">
        <f aca="false">J1058/I1058-1</f>
        <v>0.0600000000000001</v>
      </c>
    </row>
    <row r="1060" customFormat="false" ht="17.15" hidden="false" customHeight="false" outlineLevel="0" collapsed="false">
      <c r="A1060" s="4" t="s">
        <v>571</v>
      </c>
      <c r="B1060" s="0" t="s">
        <v>48</v>
      </c>
      <c r="C1060" s="16" t="n">
        <f aca="false">C1056/C1037</f>
        <v>0.162746187565599</v>
      </c>
      <c r="D1060" s="16" t="n">
        <f aca="false">D1056/D1037</f>
        <v>0.208646059676249</v>
      </c>
      <c r="E1060" s="16" t="n">
        <f aca="false">E1056/E1037</f>
        <v>0.218816661594324</v>
      </c>
      <c r="F1060" s="16" t="n">
        <f aca="false">F1056/F1037</f>
        <v>0.208471014954614</v>
      </c>
      <c r="G1060" s="16" t="n">
        <f aca="false">G1056/G1037</f>
        <v>0.204434158722635</v>
      </c>
      <c r="H1060" s="28" t="n">
        <f aca="false">$G1060+($G$1060*1-$G1060)*1/3</f>
        <v>0.204434158722635</v>
      </c>
      <c r="I1060" s="28" t="n">
        <f aca="false">$G1060+($G$1060*1-$G1060)*2/3</f>
        <v>0.204434158722635</v>
      </c>
      <c r="J1060" s="28" t="n">
        <f aca="false">$G1060+($G$1060*1-$G1060)*3/3</f>
        <v>0.204434158722635</v>
      </c>
    </row>
    <row r="1063" customFormat="false" ht="17.15" hidden="false" customHeight="false" outlineLevel="0" collapsed="false">
      <c r="A1063" s="1" t="s">
        <v>870</v>
      </c>
    </row>
    <row r="1064" customFormat="false" ht="17.15" hidden="false" customHeight="false" outlineLevel="0" collapsed="false">
      <c r="A1064" s="5" t="s">
        <v>24</v>
      </c>
      <c r="B1064" s="5" t="s">
        <v>25</v>
      </c>
      <c r="C1064" s="17" t="s">
        <v>394</v>
      </c>
      <c r="D1064" s="17" t="s">
        <v>521</v>
      </c>
      <c r="E1064" s="17" t="s">
        <v>480</v>
      </c>
      <c r="F1064" s="17" t="s">
        <v>481</v>
      </c>
      <c r="G1064" s="17" t="s">
        <v>482</v>
      </c>
      <c r="H1064" s="17" t="s">
        <v>522</v>
      </c>
      <c r="I1064" s="17" t="s">
        <v>523</v>
      </c>
      <c r="J1064" s="17" t="s">
        <v>524</v>
      </c>
      <c r="K1064" s="5" t="s">
        <v>357</v>
      </c>
    </row>
    <row r="1065" customFormat="false" ht="17.15" hidden="false" customHeight="false" outlineLevel="0" collapsed="false">
      <c r="A1065" s="6" t="s">
        <v>542</v>
      </c>
    </row>
    <row r="1066" customFormat="false" ht="17.15" hidden="false" customHeight="false" outlineLevel="0" collapsed="false">
      <c r="A1066" s="4" t="s">
        <v>543</v>
      </c>
      <c r="B1066" s="4" t="s">
        <v>42</v>
      </c>
      <c r="D1066" s="22" t="n">
        <f aca="false">cap_26</f>
        <v>3306</v>
      </c>
      <c r="E1066" s="22" t="n">
        <f aca="false">D1066*(1+capg27)*cap_adj</f>
        <v>3306</v>
      </c>
      <c r="F1066" s="22" t="n">
        <f aca="false">E1066*(1+capg28)</f>
        <v>3306</v>
      </c>
      <c r="G1066" s="22" t="n">
        <f aca="false">F1066*(1+capg29)</f>
        <v>3306</v>
      </c>
    </row>
    <row r="1067" customFormat="false" ht="15" hidden="false" customHeight="false" outlineLevel="0" collapsed="false">
      <c r="A1067" s="4" t="s">
        <v>544</v>
      </c>
      <c r="B1067" s="0" t="s">
        <v>48</v>
      </c>
      <c r="D1067" s="20" t="n">
        <f aca="false">a26_ship/cap_26</f>
        <v>0.8725</v>
      </c>
      <c r="E1067" s="20" t="n">
        <f aca="false">MIN(0.98,ut27_B+ut_adj)</f>
        <v>0.9</v>
      </c>
      <c r="F1067" s="20" t="n">
        <f aca="false">MIN(0.98,ut28_B+ut_adj)</f>
        <v>0.86</v>
      </c>
      <c r="G1067" s="20" t="n">
        <f aca="false">MIN(0.98,ut29_B+ut_adj)</f>
        <v>0.87</v>
      </c>
    </row>
    <row r="1068" customFormat="false" ht="17.15" hidden="false" customHeight="false" outlineLevel="0" collapsed="false">
      <c r="A1068" s="4" t="s">
        <v>545</v>
      </c>
      <c r="B1068" s="4" t="s">
        <v>42</v>
      </c>
      <c r="D1068" s="22" t="n">
        <f aca="false">D1066*D1067</f>
        <v>2884.485</v>
      </c>
      <c r="E1068" s="22" t="n">
        <f aca="false">E1066*E1067</f>
        <v>2975.4</v>
      </c>
      <c r="F1068" s="22" t="n">
        <f aca="false">F1066*F1067</f>
        <v>2843.16</v>
      </c>
      <c r="G1068" s="22" t="n">
        <f aca="false">G1066*G1067</f>
        <v>2876.22</v>
      </c>
    </row>
    <row r="1069" customFormat="false" ht="17.15" hidden="false" customHeight="false" outlineLevel="0" collapsed="false">
      <c r="A1069" s="4" t="s">
        <v>546</v>
      </c>
      <c r="B1069" s="0" t="s">
        <v>89</v>
      </c>
      <c r="D1069" s="22" t="n">
        <f aca="false">asp_26</f>
        <v>643.469405492234</v>
      </c>
      <c r="E1069" s="22" t="n">
        <f aca="false">D1069*(1+asp27_B)*(1+asp_adj)</f>
        <v>662.773487657001</v>
      </c>
      <c r="F1069" s="22" t="n">
        <f aca="false">E1069*(1+asp28_B)</f>
        <v>662.773487657001</v>
      </c>
      <c r="G1069" s="22" t="n">
        <f aca="false">F1069*(1+asp29_B)</f>
        <v>662.773487657001</v>
      </c>
    </row>
    <row r="1070" customFormat="false" ht="15" hidden="false" customHeight="false" outlineLevel="0" collapsed="false">
      <c r="A1070" s="4" t="s">
        <v>547</v>
      </c>
      <c r="B1070" s="0" t="s">
        <v>48</v>
      </c>
      <c r="E1070" s="20" t="n">
        <f aca="false">E1069/D1069-1</f>
        <v>0.03</v>
      </c>
      <c r="F1070" s="20" t="n">
        <f aca="false">F1069/E1069-1</f>
        <v>0</v>
      </c>
      <c r="G1070" s="20" t="n">
        <f aca="false">G1069/F1069-1</f>
        <v>0</v>
      </c>
    </row>
    <row r="1071" customFormat="false" ht="15" hidden="false" customHeight="false" outlineLevel="0" collapsed="false">
      <c r="A1071" s="4" t="s">
        <v>548</v>
      </c>
      <c r="B1071" s="0" t="s">
        <v>35</v>
      </c>
      <c r="D1071" s="23" t="n">
        <f aca="false">fx_26</f>
        <v>31.6</v>
      </c>
      <c r="E1071" s="23" t="n">
        <f aca="false">fx</f>
        <v>32</v>
      </c>
      <c r="F1071" s="23" t="n">
        <f aca="false">fx</f>
        <v>32</v>
      </c>
      <c r="G1071" s="23" t="n">
        <f aca="false">fx</f>
        <v>32</v>
      </c>
    </row>
    <row r="1072" customFormat="false" ht="17.15" hidden="false" customHeight="false" outlineLevel="0" collapsed="false">
      <c r="A1072" s="0" t="s">
        <v>549</v>
      </c>
      <c r="B1072" s="0" t="s">
        <v>184</v>
      </c>
      <c r="D1072" s="23" t="n">
        <f aca="false">D1068*D1069*D1071/1000000</f>
        <v>58.65206</v>
      </c>
      <c r="E1072" s="23" t="n">
        <f aca="false">E1068*E1069*E1071/1000000</f>
        <v>63.1045195255885</v>
      </c>
      <c r="F1072" s="23" t="n">
        <f aca="false">F1068*F1069*F1071/1000000</f>
        <v>60.2998742133401</v>
      </c>
      <c r="G1072" s="23" t="n">
        <f aca="false">G1068*G1069*G1071/1000000</f>
        <v>61.0010355414022</v>
      </c>
    </row>
    <row r="1073" customFormat="false" ht="17.15" hidden="false" customHeight="false" outlineLevel="0" collapsed="false">
      <c r="A1073" s="6" t="s">
        <v>550</v>
      </c>
    </row>
    <row r="1074" customFormat="false" ht="17.15" hidden="false" customHeight="false" outlineLevel="0" collapsed="false">
      <c r="A1074" s="0" t="s">
        <v>551</v>
      </c>
      <c r="B1074" s="4" t="s">
        <v>42</v>
      </c>
      <c r="D1074" s="22" t="n">
        <f aca="false">0</f>
        <v>0</v>
      </c>
      <c r="E1074" s="22" t="n">
        <f aca="false">vcap27*vcap_adj</f>
        <v>144</v>
      </c>
      <c r="F1074" s="22" t="n">
        <f aca="false">vcap28*vcap_adj</f>
        <v>360</v>
      </c>
      <c r="G1074" s="22" t="n">
        <f aca="false">vcap29*vcap_adj</f>
        <v>504</v>
      </c>
    </row>
    <row r="1075" customFormat="false" ht="17.15" hidden="false" customHeight="false" outlineLevel="0" collapsed="false">
      <c r="A1075" s="0" t="s">
        <v>552</v>
      </c>
      <c r="B1075" s="0" t="s">
        <v>48</v>
      </c>
      <c r="E1075" s="20" t="n">
        <f aca="false">vut_B</f>
        <v>0.8</v>
      </c>
      <c r="F1075" s="20" t="n">
        <f aca="false">vut_B</f>
        <v>0.8</v>
      </c>
      <c r="G1075" s="20" t="n">
        <f aca="false">vut_B</f>
        <v>0.8</v>
      </c>
    </row>
    <row r="1076" customFormat="false" ht="17.15" hidden="false" customHeight="false" outlineLevel="0" collapsed="false">
      <c r="A1076" s="0" t="s">
        <v>553</v>
      </c>
      <c r="B1076" s="4" t="s">
        <v>42</v>
      </c>
      <c r="D1076" s="22" t="n">
        <f aca="false">0</f>
        <v>0</v>
      </c>
      <c r="E1076" s="22" t="n">
        <f aca="false">E1074*E1075</f>
        <v>115.2</v>
      </c>
      <c r="F1076" s="22" t="n">
        <f aca="false">F1074*F1075</f>
        <v>288</v>
      </c>
      <c r="G1076" s="22" t="n">
        <f aca="false">G1074*G1075</f>
        <v>403.2</v>
      </c>
    </row>
    <row r="1077" customFormat="false" ht="17.15" hidden="false" customHeight="false" outlineLevel="0" collapsed="false">
      <c r="A1077" s="0" t="s">
        <v>554</v>
      </c>
      <c r="B1077" s="0" t="s">
        <v>184</v>
      </c>
      <c r="D1077" s="23" t="n">
        <f aca="false">0</f>
        <v>0</v>
      </c>
      <c r="E1077" s="23" t="n">
        <f aca="false">E1076*vasp*E1071/1000000</f>
        <v>6.63552</v>
      </c>
      <c r="F1077" s="23" t="n">
        <f aca="false">F1076*vasp*F1071/1000000</f>
        <v>16.5888</v>
      </c>
      <c r="G1077" s="23" t="n">
        <f aca="false">G1076*vasp*G1071/1000000</f>
        <v>23.22432</v>
      </c>
    </row>
    <row r="1078" customFormat="false" ht="17.15" hidden="false" customHeight="false" outlineLevel="0" collapsed="false">
      <c r="A1078" s="4" t="s">
        <v>400</v>
      </c>
      <c r="B1078" s="0" t="s">
        <v>184</v>
      </c>
      <c r="C1078" s="23" t="n">
        <f aca="false">a25_rev</f>
        <v>48.591</v>
      </c>
      <c r="D1078" s="23" t="n">
        <f aca="false">D1072+D1077</f>
        <v>58.65206</v>
      </c>
      <c r="E1078" s="23" t="n">
        <f aca="false">E1072+E1077</f>
        <v>69.7400395255885</v>
      </c>
      <c r="F1078" s="23" t="n">
        <f aca="false">F1072+F1077</f>
        <v>76.8886742133401</v>
      </c>
      <c r="G1078" s="23" t="n">
        <f aca="false">G1072+G1077</f>
        <v>84.2253555414022</v>
      </c>
      <c r="H1078" s="29" t="n">
        <f aca="false">G1078*(1+H1081)</f>
        <v>90.7061896343453</v>
      </c>
      <c r="I1078" s="29" t="n">
        <f aca="false">H1078*(1+I1081)</f>
        <v>96.0100687533499</v>
      </c>
      <c r="J1078" s="29" t="n">
        <f aca="false">I1078*(1+J1081)</f>
        <v>99.8504715034839</v>
      </c>
      <c r="K1078" s="8" t="s">
        <v>555</v>
      </c>
    </row>
    <row r="1079" customFormat="false" ht="17.15" hidden="false" customHeight="false" outlineLevel="0" collapsed="false">
      <c r="A1079" s="0" t="s">
        <v>556</v>
      </c>
      <c r="B1079" s="0" t="s">
        <v>48</v>
      </c>
      <c r="D1079" s="20" t="n">
        <f aca="false">D1077/D1078</f>
        <v>0</v>
      </c>
      <c r="E1079" s="20" t="n">
        <f aca="false">E1077/E1078</f>
        <v>0.0951464903825491</v>
      </c>
      <c r="F1079" s="20" t="n">
        <f aca="false">F1077/F1078</f>
        <v>0.215750891398799</v>
      </c>
      <c r="G1079" s="20" t="n">
        <f aca="false">G1077/G1078</f>
        <v>0.275740242955505</v>
      </c>
    </row>
    <row r="1080" customFormat="false" ht="17.15" hidden="false" customHeight="false" outlineLevel="0" collapsed="false">
      <c r="A1080" s="0" t="s">
        <v>557</v>
      </c>
      <c r="B1080" s="0" t="s">
        <v>48</v>
      </c>
      <c r="D1080" s="20" t="n">
        <f aca="false">ai_sh26</f>
        <v>0.1</v>
      </c>
      <c r="E1080" s="20" t="n">
        <f aca="false">ai_sh27_B</f>
        <v>0.2</v>
      </c>
      <c r="F1080" s="20" t="n">
        <f aca="false">ai_sh27_B</f>
        <v>0.2</v>
      </c>
      <c r="G1080" s="20" t="n">
        <f aca="false">ai_sh27_B</f>
        <v>0.2</v>
      </c>
    </row>
    <row r="1081" customFormat="false" ht="15" hidden="false" customHeight="false" outlineLevel="0" collapsed="false">
      <c r="A1081" s="4" t="s">
        <v>558</v>
      </c>
      <c r="B1081" s="0" t="s">
        <v>48</v>
      </c>
      <c r="D1081" s="20" t="n">
        <f aca="false">D1078/C1078-1</f>
        <v>0.207056039184211</v>
      </c>
      <c r="E1081" s="20" t="n">
        <f aca="false">E1078/D1078-1</f>
        <v>0.189046719340949</v>
      </c>
      <c r="F1081" s="20" t="n">
        <f aca="false">F1078/E1078-1</f>
        <v>0.10250402403527</v>
      </c>
      <c r="G1081" s="20" t="n">
        <f aca="false">G1078/F1078-1</f>
        <v>0.095419532240929</v>
      </c>
      <c r="H1081" s="27" t="n">
        <f aca="false">$G1081+(fade_gB-$G1081)*1/3</f>
        <v>0.076946354827286</v>
      </c>
      <c r="I1081" s="27" t="n">
        <f aca="false">$G1081+(fade_gB-$G1081)*2/3</f>
        <v>0.058473177413643</v>
      </c>
      <c r="J1081" s="27" t="n">
        <f aca="false">$G1081+(fade_gB-$G1081)*3/3</f>
        <v>0.04</v>
      </c>
    </row>
    <row r="1082" customFormat="false" ht="17.15" hidden="false" customHeight="false" outlineLevel="0" collapsed="false">
      <c r="A1082" s="6" t="s">
        <v>559</v>
      </c>
    </row>
    <row r="1083" customFormat="false" ht="15" hidden="false" customHeight="false" outlineLevel="0" collapsed="false">
      <c r="A1083" s="4" t="s">
        <v>560</v>
      </c>
      <c r="B1083" s="0" t="s">
        <v>184</v>
      </c>
      <c r="D1083" s="23" t="n">
        <f aca="false">da_tot26*da_sh</f>
        <v>8.658</v>
      </c>
      <c r="E1083" s="23" t="n">
        <f aca="false">D1083*(1+dag_27+dag_adj_lo)</f>
        <v>8.48484</v>
      </c>
      <c r="F1083" s="23" t="n">
        <f aca="false">E1083*(1+dag_28+dag_adj_lo)</f>
        <v>8.2302948</v>
      </c>
      <c r="G1083" s="23" t="n">
        <f aca="false">F1083*(1+dag_29+dag_adj_lo)</f>
        <v>7.81878006</v>
      </c>
    </row>
    <row r="1084" customFormat="false" ht="17.15" hidden="false" customHeight="false" outlineLevel="0" collapsed="false">
      <c r="A1084" s="4" t="s">
        <v>561</v>
      </c>
      <c r="B1084" s="0" t="s">
        <v>562</v>
      </c>
      <c r="D1084" s="23" t="n">
        <f aca="false">(D1072-a26_gp-D1083)/D1068*1000</f>
        <v>10.7339918911001</v>
      </c>
      <c r="E1084" s="23" t="n">
        <f aca="false">D1084*(1+cc_g)</f>
        <v>10.9486717289221</v>
      </c>
      <c r="F1084" s="23" t="n">
        <f aca="false">E1084*(1+cc_g)</f>
        <v>11.1676451635006</v>
      </c>
      <c r="G1084" s="23" t="n">
        <f aca="false">F1084*(1+cc_g)</f>
        <v>11.3909980667706</v>
      </c>
      <c r="K1084" s="8" t="s">
        <v>563</v>
      </c>
    </row>
    <row r="1085" customFormat="false" ht="17.15" hidden="false" customHeight="false" outlineLevel="0" collapsed="false">
      <c r="A1085" s="4" t="s">
        <v>564</v>
      </c>
      <c r="B1085" s="0" t="s">
        <v>184</v>
      </c>
      <c r="D1085" s="23" t="n">
        <f aca="false">D1084*D1068/1000</f>
        <v>30.9620386</v>
      </c>
      <c r="E1085" s="23" t="n">
        <f aca="false">E1084*E1068/1000</f>
        <v>32.576677862235</v>
      </c>
      <c r="F1085" s="23" t="n">
        <f aca="false">F1084*F1068/1000</f>
        <v>31.7514020230583</v>
      </c>
      <c r="G1085" s="23" t="n">
        <f aca="false">G1084*G1068/1000</f>
        <v>32.7630164596069</v>
      </c>
    </row>
    <row r="1086" customFormat="false" ht="17.15" hidden="false" customHeight="false" outlineLevel="0" collapsed="false">
      <c r="A1086" s="0" t="s">
        <v>565</v>
      </c>
      <c r="B1086" s="0" t="s">
        <v>48</v>
      </c>
      <c r="E1086" s="20" t="n">
        <f aca="false">vgm27_B</f>
        <v>-0.05</v>
      </c>
      <c r="F1086" s="20" t="n">
        <f aca="false">vgm28_B</f>
        <v>0.12</v>
      </c>
      <c r="G1086" s="20" t="n">
        <f aca="false">vgm29_B</f>
        <v>0.18</v>
      </c>
    </row>
    <row r="1087" customFormat="false" ht="17.15" hidden="false" customHeight="false" outlineLevel="0" collapsed="false">
      <c r="A1087" s="0" t="s">
        <v>566</v>
      </c>
      <c r="B1087" s="0" t="s">
        <v>184</v>
      </c>
      <c r="D1087" s="23" t="n">
        <f aca="false">0</f>
        <v>0</v>
      </c>
      <c r="E1087" s="23" t="n">
        <f aca="false">E1077*E1086</f>
        <v>-0.331776</v>
      </c>
      <c r="F1087" s="23" t="n">
        <f aca="false">F1077*F1086</f>
        <v>1.990656</v>
      </c>
      <c r="G1087" s="23" t="n">
        <f aca="false">G1077*G1086</f>
        <v>4.1803776</v>
      </c>
    </row>
    <row r="1088" customFormat="false" ht="15" hidden="false" customHeight="false" outlineLevel="0" collapsed="false">
      <c r="A1088" s="4" t="s">
        <v>417</v>
      </c>
      <c r="B1088" s="0" t="s">
        <v>184</v>
      </c>
      <c r="C1088" s="23" t="n">
        <f aca="false">a25_gp</f>
        <v>13.654</v>
      </c>
      <c r="D1088" s="23" t="n">
        <f aca="false">D1072-D1083-D1085+D1087</f>
        <v>19.0320214</v>
      </c>
      <c r="E1088" s="23" t="n">
        <f aca="false">E1072-E1083-E1085+E1087</f>
        <v>21.7112256633535</v>
      </c>
      <c r="F1088" s="23" t="n">
        <f aca="false">F1072-F1083-F1085+F1087</f>
        <v>22.3088333902818</v>
      </c>
      <c r="G1088" s="23" t="n">
        <f aca="false">G1072-G1083-G1085+G1087</f>
        <v>24.5996166217953</v>
      </c>
    </row>
    <row r="1089" customFormat="false" ht="15" hidden="false" customHeight="false" outlineLevel="0" collapsed="false">
      <c r="A1089" s="4" t="s">
        <v>420</v>
      </c>
      <c r="B1089" s="0" t="s">
        <v>48</v>
      </c>
      <c r="C1089" s="16" t="n">
        <f aca="false">C1088/C1078</f>
        <v>0.280998538824062</v>
      </c>
      <c r="D1089" s="16" t="n">
        <f aca="false">D1088/D1078</f>
        <v>0.324490246378388</v>
      </c>
      <c r="E1089" s="16" t="n">
        <f aca="false">E1088/E1078</f>
        <v>0.311316509297179</v>
      </c>
      <c r="F1089" s="16" t="n">
        <f aca="false">F1088/F1078</f>
        <v>0.290144596958224</v>
      </c>
      <c r="G1089" s="16" t="n">
        <f aca="false">G1088/G1078</f>
        <v>0.292069014890688</v>
      </c>
    </row>
    <row r="1090" customFormat="false" ht="15" hidden="false" customHeight="false" outlineLevel="0" collapsed="false">
      <c r="A1090" s="4" t="s">
        <v>422</v>
      </c>
      <c r="B1090" s="0" t="s">
        <v>184</v>
      </c>
      <c r="C1090" s="23" t="n">
        <f aca="false">a25_opx</f>
        <v>5.881</v>
      </c>
      <c r="D1090" s="23" t="n">
        <f aca="false">a26_opx</f>
        <v>6.824187</v>
      </c>
      <c r="E1090" s="23" t="n">
        <f aca="false">D1090*(1+MAX(g_opx_min,phi*E1081))</f>
        <v>7.46923208225958</v>
      </c>
      <c r="F1090" s="23" t="n">
        <f aca="false">E1090*(1+MAX(g_opx_min,phi*F1081))</f>
        <v>7.85204525470205</v>
      </c>
      <c r="G1090" s="23" t="n">
        <f aca="false">F1090*(1+MAX(g_opx_min,phi*G1081))</f>
        <v>8.22666449737119</v>
      </c>
    </row>
    <row r="1091" customFormat="false" ht="15" hidden="false" customHeight="false" outlineLevel="0" collapsed="false">
      <c r="A1091" s="4" t="s">
        <v>425</v>
      </c>
      <c r="B1091" s="0" t="s">
        <v>184</v>
      </c>
      <c r="C1091" s="23" t="n">
        <f aca="false">C1088-C1090</f>
        <v>7.773</v>
      </c>
      <c r="D1091" s="23" t="n">
        <f aca="false">D1088-D1090</f>
        <v>12.2078344</v>
      </c>
      <c r="E1091" s="23" t="n">
        <f aca="false">E1088-E1090</f>
        <v>14.241993581094</v>
      </c>
      <c r="F1091" s="23" t="n">
        <f aca="false">F1088-F1090</f>
        <v>14.4567881355797</v>
      </c>
      <c r="G1091" s="23" t="n">
        <f aca="false">G1088-G1090</f>
        <v>16.3729521244241</v>
      </c>
    </row>
    <row r="1092" customFormat="false" ht="15" hidden="false" customHeight="false" outlineLevel="0" collapsed="false">
      <c r="A1092" s="4" t="s">
        <v>531</v>
      </c>
      <c r="B1092" s="0" t="s">
        <v>48</v>
      </c>
      <c r="C1092" s="16" t="n">
        <f aca="false">C1091/C1078</f>
        <v>0.159967895289251</v>
      </c>
      <c r="D1092" s="16" t="n">
        <f aca="false">D1091/D1078</f>
        <v>0.208139908470393</v>
      </c>
      <c r="E1092" s="16" t="n">
        <f aca="false">E1091/E1078</f>
        <v>0.204215450377948</v>
      </c>
      <c r="F1092" s="16" t="n">
        <f aca="false">F1091/F1078</f>
        <v>0.188022335974568</v>
      </c>
      <c r="G1092" s="16" t="n">
        <f aca="false">G1091/G1078</f>
        <v>0.194394574165682</v>
      </c>
    </row>
    <row r="1093" customFormat="false" ht="15" hidden="false" customHeight="false" outlineLevel="0" collapsed="false">
      <c r="A1093" s="4" t="s">
        <v>428</v>
      </c>
      <c r="B1093" s="0" t="s">
        <v>184</v>
      </c>
      <c r="C1093" s="23" t="n">
        <f aca="false">a25_nonop</f>
        <v>1.479</v>
      </c>
      <c r="D1093" s="23" t="n">
        <f aca="false">a26_nonop</f>
        <v>2.10950832169955</v>
      </c>
      <c r="E1093" s="23" t="n">
        <f aca="false">nonop_f</f>
        <v>1.5</v>
      </c>
      <c r="F1093" s="23" t="n">
        <f aca="false">nonop_f</f>
        <v>1.5</v>
      </c>
      <c r="G1093" s="23" t="n">
        <f aca="false">nonop_f</f>
        <v>1.5</v>
      </c>
    </row>
    <row r="1094" customFormat="false" ht="15" hidden="false" customHeight="false" outlineLevel="0" collapsed="false">
      <c r="A1094" s="4" t="s">
        <v>430</v>
      </c>
      <c r="B1094" s="0" t="s">
        <v>184</v>
      </c>
      <c r="C1094" s="23" t="n">
        <f aca="false">C1091+C1093</f>
        <v>9.252</v>
      </c>
      <c r="D1094" s="23" t="n">
        <f aca="false">D1091+D1093</f>
        <v>14.3173427216995</v>
      </c>
      <c r="E1094" s="23" t="n">
        <f aca="false">E1091+E1093</f>
        <v>15.741993581094</v>
      </c>
      <c r="F1094" s="23" t="n">
        <f aca="false">F1091+F1093</f>
        <v>15.9567881355797</v>
      </c>
      <c r="G1094" s="23" t="n">
        <f aca="false">G1091+G1093</f>
        <v>17.8729521244241</v>
      </c>
    </row>
    <row r="1095" customFormat="false" ht="15" hidden="false" customHeight="false" outlineLevel="0" collapsed="false">
      <c r="A1095" s="4" t="s">
        <v>432</v>
      </c>
      <c r="B1095" s="0" t="s">
        <v>184</v>
      </c>
      <c r="C1095" s="23" t="n">
        <f aca="false">a25_tax</f>
        <v>1.344</v>
      </c>
      <c r="D1095" s="23" t="n">
        <f aca="false">a26_tax</f>
        <v>2.0798215108046</v>
      </c>
      <c r="E1095" s="23" t="n">
        <f aca="false">E1094*tax</f>
        <v>2.36129903716409</v>
      </c>
      <c r="F1095" s="23" t="n">
        <f aca="false">F1094*tax</f>
        <v>2.39351822033696</v>
      </c>
      <c r="G1095" s="23" t="n">
        <f aca="false">G1094*tax</f>
        <v>2.68094281866361</v>
      </c>
    </row>
    <row r="1096" customFormat="false" ht="17.15" hidden="false" customHeight="false" outlineLevel="0" collapsed="false">
      <c r="A1096" s="4" t="s">
        <v>567</v>
      </c>
      <c r="B1096" s="0" t="s">
        <v>184</v>
      </c>
      <c r="C1096" s="23" t="n">
        <f aca="false">a25_mi</f>
        <v>0</v>
      </c>
      <c r="D1096" s="23" t="n">
        <f aca="false">a26_mi</f>
        <v>0</v>
      </c>
      <c r="E1096" s="23" t="n">
        <f aca="false">vmi*E1087*(1-tax)</f>
        <v>-0.11280384</v>
      </c>
      <c r="F1096" s="23" t="n">
        <f aca="false">vmi*F1087*(1-tax)</f>
        <v>0.67682304</v>
      </c>
      <c r="G1096" s="23" t="n">
        <f aca="false">vmi*G1087*(1-tax)</f>
        <v>1.421328384</v>
      </c>
      <c r="K1096" s="8" t="s">
        <v>568</v>
      </c>
    </row>
    <row r="1097" customFormat="false" ht="15" hidden="false" customHeight="false" outlineLevel="0" collapsed="false">
      <c r="A1097" s="4" t="s">
        <v>435</v>
      </c>
      <c r="B1097" s="0" t="s">
        <v>184</v>
      </c>
      <c r="C1097" s="23" t="n">
        <f aca="false">C1094-C1095-C1096</f>
        <v>7.908</v>
      </c>
      <c r="D1097" s="23" t="n">
        <f aca="false">D1094-D1095-D1096</f>
        <v>12.2375212108949</v>
      </c>
      <c r="E1097" s="23" t="n">
        <f aca="false">E1094-E1095-E1096</f>
        <v>13.4934983839299</v>
      </c>
      <c r="F1097" s="23" t="n">
        <f aca="false">F1094-F1095-F1096</f>
        <v>12.8864468752428</v>
      </c>
      <c r="G1097" s="23" t="n">
        <f aca="false">G1094-G1095-G1096</f>
        <v>13.7706809217605</v>
      </c>
      <c r="H1097" s="29" t="n">
        <f aca="false">H1078*H1101</f>
        <v>14.3359418014403</v>
      </c>
      <c r="I1097" s="29" t="n">
        <f aca="false">I1078*I1101</f>
        <v>14.650961253588</v>
      </c>
      <c r="J1097" s="29" t="n">
        <f aca="false">J1078*J1101</f>
        <v>14.6928211428839</v>
      </c>
    </row>
    <row r="1098" customFormat="false" ht="15" hidden="false" customHeight="false" outlineLevel="0" collapsed="false">
      <c r="A1098" s="4" t="s">
        <v>569</v>
      </c>
      <c r="B1098" s="4" t="s">
        <v>265</v>
      </c>
      <c r="C1098" s="10" t="n">
        <f aca="false">a25_sh</f>
        <v>1.8739336492891</v>
      </c>
      <c r="D1098" s="10" t="n">
        <f aca="false">a26_sh</f>
        <v>1.90613591916558</v>
      </c>
      <c r="E1098" s="10" t="n">
        <f aca="false">q_sh*(1+sh_g)</f>
        <v>1.90705128205128</v>
      </c>
      <c r="F1098" s="10" t="n">
        <f aca="false">E1098*(1+sh_g)</f>
        <v>1.90705128205128</v>
      </c>
      <c r="G1098" s="10" t="n">
        <f aca="false">F1098*(1+sh_g)</f>
        <v>1.90705128205128</v>
      </c>
      <c r="H1098" s="31" t="n">
        <f aca="false">G1098*(1+sh_g)</f>
        <v>1.90705128205128</v>
      </c>
      <c r="I1098" s="31" t="n">
        <f aca="false">H1098*(1+sh_g)</f>
        <v>1.90705128205128</v>
      </c>
      <c r="J1098" s="31" t="n">
        <f aca="false">I1098*(1+sh_g)</f>
        <v>1.90705128205128</v>
      </c>
    </row>
    <row r="1099" customFormat="false" ht="17.15" hidden="false" customHeight="false" outlineLevel="0" collapsed="false">
      <c r="A1099" s="0" t="s">
        <v>442</v>
      </c>
      <c r="B1099" s="0" t="s">
        <v>274</v>
      </c>
      <c r="C1099" s="23" t="n">
        <f aca="false">C1097/C1098</f>
        <v>4.22</v>
      </c>
      <c r="D1099" s="23" t="n">
        <f aca="false">D1097/D1098</f>
        <v>6.42006747150118</v>
      </c>
      <c r="E1099" s="23" t="n">
        <f aca="false">E1097/E1098</f>
        <v>7.07558234585902</v>
      </c>
      <c r="F1099" s="23" t="n">
        <f aca="false">F1097/F1098</f>
        <v>6.75726289928696</v>
      </c>
      <c r="G1099" s="23" t="n">
        <f aca="false">G1097/G1098</f>
        <v>7.2209284833433</v>
      </c>
      <c r="H1099" s="29" t="n">
        <f aca="false">H1097/H1098</f>
        <v>7.51733418831825</v>
      </c>
      <c r="I1099" s="29" t="n">
        <f aca="false">I1097/I1098</f>
        <v>7.68252085902428</v>
      </c>
      <c r="J1099" s="29" t="n">
        <f aca="false">J1097/J1098</f>
        <v>7.70447091862149</v>
      </c>
    </row>
    <row r="1100" customFormat="false" ht="17.15" hidden="false" customHeight="false" outlineLevel="0" collapsed="false">
      <c r="A1100" s="0" t="s">
        <v>570</v>
      </c>
      <c r="B1100" s="0" t="s">
        <v>48</v>
      </c>
      <c r="D1100" s="20" t="n">
        <f aca="false">D1099/C1099-1</f>
        <v>0.521343002725398</v>
      </c>
      <c r="E1100" s="20" t="n">
        <f aca="false">E1099/D1099-1</f>
        <v>0.102104047545868</v>
      </c>
      <c r="F1100" s="20" t="n">
        <f aca="false">F1099/E1099-1</f>
        <v>-0.0449884449098885</v>
      </c>
      <c r="G1100" s="20" t="n">
        <f aca="false">G1099/F1099-1</f>
        <v>0.068617366375558</v>
      </c>
      <c r="H1100" s="27" t="n">
        <f aca="false">H1099/G1099-1</f>
        <v>0.0410481429997098</v>
      </c>
      <c r="I1100" s="27" t="n">
        <f aca="false">I1099/H1099-1</f>
        <v>0.0219741023304139</v>
      </c>
      <c r="J1100" s="27" t="n">
        <f aca="false">J1099/I1099-1</f>
        <v>0.00285714285714311</v>
      </c>
    </row>
    <row r="1101" customFormat="false" ht="17.15" hidden="false" customHeight="false" outlineLevel="0" collapsed="false">
      <c r="A1101" s="4" t="s">
        <v>571</v>
      </c>
      <c r="B1101" s="0" t="s">
        <v>48</v>
      </c>
      <c r="C1101" s="16" t="n">
        <f aca="false">C1097/C1078</f>
        <v>0.162746187565599</v>
      </c>
      <c r="D1101" s="16" t="n">
        <f aca="false">D1097/D1078</f>
        <v>0.208646059676249</v>
      </c>
      <c r="E1101" s="16" t="n">
        <f aca="false">E1097/E1078</f>
        <v>0.193482803791342</v>
      </c>
      <c r="F1101" s="16" t="n">
        <f aca="false">F1097/F1078</f>
        <v>0.167598765449996</v>
      </c>
      <c r="G1101" s="16" t="n">
        <f aca="false">G1097/G1078</f>
        <v>0.163498044421923</v>
      </c>
      <c r="H1101" s="28" t="n">
        <f aca="false">$G1101+($G$1101*0.9-$G1101)*1/3</f>
        <v>0.158048109607859</v>
      </c>
      <c r="I1101" s="28" t="n">
        <f aca="false">$G1101+($G$1101*0.9-$G1101)*2/3</f>
        <v>0.152598174793795</v>
      </c>
      <c r="J1101" s="28" t="n">
        <f aca="false">$G1101+($G$1101*0.9-$G1101)*3/3</f>
        <v>0.147148239979731</v>
      </c>
    </row>
    <row r="1104" customFormat="false" ht="17.15" hidden="false" customHeight="false" outlineLevel="0" collapsed="false">
      <c r="A1104" s="1" t="s">
        <v>871</v>
      </c>
    </row>
    <row r="1105" customFormat="false" ht="17.15" hidden="false" customHeight="false" outlineLevel="0" collapsed="false">
      <c r="A1105" s="5" t="s">
        <v>24</v>
      </c>
      <c r="B1105" s="5" t="s">
        <v>25</v>
      </c>
      <c r="C1105" s="17" t="s">
        <v>394</v>
      </c>
      <c r="D1105" s="17" t="s">
        <v>521</v>
      </c>
      <c r="E1105" s="17" t="s">
        <v>480</v>
      </c>
      <c r="F1105" s="17" t="s">
        <v>481</v>
      </c>
      <c r="G1105" s="17" t="s">
        <v>482</v>
      </c>
      <c r="H1105" s="17" t="s">
        <v>522</v>
      </c>
      <c r="I1105" s="17" t="s">
        <v>523</v>
      </c>
      <c r="J1105" s="17" t="s">
        <v>524</v>
      </c>
      <c r="K1105" s="5" t="s">
        <v>357</v>
      </c>
    </row>
    <row r="1106" customFormat="false" ht="17.15" hidden="false" customHeight="false" outlineLevel="0" collapsed="false">
      <c r="A1106" s="6" t="s">
        <v>542</v>
      </c>
    </row>
    <row r="1107" customFormat="false" ht="17.15" hidden="false" customHeight="false" outlineLevel="0" collapsed="false">
      <c r="A1107" s="4" t="s">
        <v>543</v>
      </c>
      <c r="B1107" s="4" t="s">
        <v>42</v>
      </c>
      <c r="D1107" s="22" t="n">
        <f aca="false">cap_26</f>
        <v>3306</v>
      </c>
      <c r="E1107" s="22" t="n">
        <f aca="false">D1107*(1+capg27)*cap_adj</f>
        <v>3306</v>
      </c>
      <c r="F1107" s="22" t="n">
        <f aca="false">E1107*(1+capg28)</f>
        <v>3306</v>
      </c>
      <c r="G1107" s="22" t="n">
        <f aca="false">F1107*(1+capg29)</f>
        <v>3306</v>
      </c>
    </row>
    <row r="1108" customFormat="false" ht="15" hidden="false" customHeight="false" outlineLevel="0" collapsed="false">
      <c r="A1108" s="4" t="s">
        <v>544</v>
      </c>
      <c r="B1108" s="0" t="s">
        <v>48</v>
      </c>
      <c r="D1108" s="20" t="n">
        <f aca="false">a26_ship/cap_26</f>
        <v>0.8725</v>
      </c>
      <c r="E1108" s="20" t="n">
        <f aca="false">MIN(0.98,ut27_C+ut_adj)</f>
        <v>0.8</v>
      </c>
      <c r="F1108" s="20" t="n">
        <f aca="false">MIN(0.98,ut28_C+ut_adj)</f>
        <v>0.74</v>
      </c>
      <c r="G1108" s="20" t="n">
        <f aca="false">MIN(0.98,ut29_C+ut_adj)</f>
        <v>0.78</v>
      </c>
    </row>
    <row r="1109" customFormat="false" ht="17.15" hidden="false" customHeight="false" outlineLevel="0" collapsed="false">
      <c r="A1109" s="4" t="s">
        <v>545</v>
      </c>
      <c r="B1109" s="4" t="s">
        <v>42</v>
      </c>
      <c r="D1109" s="22" t="n">
        <f aca="false">D1107*D1108</f>
        <v>2884.485</v>
      </c>
      <c r="E1109" s="22" t="n">
        <f aca="false">E1107*E1108</f>
        <v>2644.8</v>
      </c>
      <c r="F1109" s="22" t="n">
        <f aca="false">F1107*F1108</f>
        <v>2446.44</v>
      </c>
      <c r="G1109" s="22" t="n">
        <f aca="false">G1107*G1108</f>
        <v>2578.68</v>
      </c>
    </row>
    <row r="1110" customFormat="false" ht="17.15" hidden="false" customHeight="false" outlineLevel="0" collapsed="false">
      <c r="A1110" s="4" t="s">
        <v>546</v>
      </c>
      <c r="B1110" s="0" t="s">
        <v>89</v>
      </c>
      <c r="D1110" s="22" t="n">
        <f aca="false">asp_26</f>
        <v>643.469405492234</v>
      </c>
      <c r="E1110" s="22" t="n">
        <f aca="false">D1110*(1+asp27_C)*(1+asp_adj)</f>
        <v>624.165323327467</v>
      </c>
      <c r="F1110" s="22" t="n">
        <f aca="false">E1110*(1+asp28_C)</f>
        <v>592.957057161093</v>
      </c>
      <c r="G1110" s="22" t="n">
        <f aca="false">F1110*(1+asp29_C)</f>
        <v>581.097916017871</v>
      </c>
    </row>
    <row r="1111" customFormat="false" ht="15" hidden="false" customHeight="false" outlineLevel="0" collapsed="false">
      <c r="A1111" s="4" t="s">
        <v>547</v>
      </c>
      <c r="B1111" s="0" t="s">
        <v>48</v>
      </c>
      <c r="E1111" s="20" t="n">
        <f aca="false">E1110/D1110-1</f>
        <v>-0.03</v>
      </c>
      <c r="F1111" s="20" t="n">
        <f aca="false">F1110/E1110-1</f>
        <v>-0.05</v>
      </c>
      <c r="G1111" s="20" t="n">
        <f aca="false">G1110/F1110-1</f>
        <v>-0.02</v>
      </c>
    </row>
    <row r="1112" customFormat="false" ht="15" hidden="false" customHeight="false" outlineLevel="0" collapsed="false">
      <c r="A1112" s="4" t="s">
        <v>548</v>
      </c>
      <c r="B1112" s="0" t="s">
        <v>35</v>
      </c>
      <c r="D1112" s="23" t="n">
        <f aca="false">fx_26</f>
        <v>31.6</v>
      </c>
      <c r="E1112" s="23" t="n">
        <f aca="false">fx</f>
        <v>32</v>
      </c>
      <c r="F1112" s="23" t="n">
        <f aca="false">fx</f>
        <v>32</v>
      </c>
      <c r="G1112" s="23" t="n">
        <f aca="false">fx</f>
        <v>32</v>
      </c>
    </row>
    <row r="1113" customFormat="false" ht="17.15" hidden="false" customHeight="false" outlineLevel="0" collapsed="false">
      <c r="A1113" s="0" t="s">
        <v>549</v>
      </c>
      <c r="B1113" s="0" t="s">
        <v>184</v>
      </c>
      <c r="D1113" s="23" t="n">
        <f aca="false">D1109*D1110*D1112/1000000</f>
        <v>58.65206</v>
      </c>
      <c r="E1113" s="23" t="n">
        <f aca="false">E1109*E1110*E1112/1000000</f>
        <v>52.8253583083675</v>
      </c>
      <c r="F1113" s="23" t="n">
        <f aca="false">F1109*F1110*F1112/1000000</f>
        <v>46.4202836134779</v>
      </c>
      <c r="G1113" s="23" t="n">
        <f aca="false">G1109*G1110*G1112/1000000</f>
        <v>47.9508983704629</v>
      </c>
    </row>
    <row r="1114" customFormat="false" ht="17.15" hidden="false" customHeight="false" outlineLevel="0" collapsed="false">
      <c r="A1114" s="6" t="s">
        <v>550</v>
      </c>
    </row>
    <row r="1115" customFormat="false" ht="17.15" hidden="false" customHeight="false" outlineLevel="0" collapsed="false">
      <c r="A1115" s="0" t="s">
        <v>551</v>
      </c>
      <c r="B1115" s="4" t="s">
        <v>42</v>
      </c>
      <c r="D1115" s="22" t="n">
        <f aca="false">0</f>
        <v>0</v>
      </c>
      <c r="E1115" s="22" t="n">
        <f aca="false">vcap27*vcap_adj</f>
        <v>144</v>
      </c>
      <c r="F1115" s="22" t="n">
        <f aca="false">vcap28*vcap_adj</f>
        <v>360</v>
      </c>
      <c r="G1115" s="22" t="n">
        <f aca="false">vcap29*vcap_adj</f>
        <v>504</v>
      </c>
    </row>
    <row r="1116" customFormat="false" ht="17.15" hidden="false" customHeight="false" outlineLevel="0" collapsed="false">
      <c r="A1116" s="0" t="s">
        <v>552</v>
      </c>
      <c r="B1116" s="0" t="s">
        <v>48</v>
      </c>
      <c r="E1116" s="20" t="n">
        <f aca="false">vut_C</f>
        <v>0.65</v>
      </c>
      <c r="F1116" s="20" t="n">
        <f aca="false">vut_C</f>
        <v>0.65</v>
      </c>
      <c r="G1116" s="20" t="n">
        <f aca="false">vut_C</f>
        <v>0.65</v>
      </c>
    </row>
    <row r="1117" customFormat="false" ht="17.15" hidden="false" customHeight="false" outlineLevel="0" collapsed="false">
      <c r="A1117" s="0" t="s">
        <v>553</v>
      </c>
      <c r="B1117" s="4" t="s">
        <v>42</v>
      </c>
      <c r="D1117" s="22" t="n">
        <f aca="false">0</f>
        <v>0</v>
      </c>
      <c r="E1117" s="22" t="n">
        <f aca="false">E1115*E1116</f>
        <v>93.6</v>
      </c>
      <c r="F1117" s="22" t="n">
        <f aca="false">F1115*F1116</f>
        <v>234</v>
      </c>
      <c r="G1117" s="22" t="n">
        <f aca="false">G1115*G1116</f>
        <v>327.6</v>
      </c>
    </row>
    <row r="1118" customFormat="false" ht="17.15" hidden="false" customHeight="false" outlineLevel="0" collapsed="false">
      <c r="A1118" s="0" t="s">
        <v>554</v>
      </c>
      <c r="B1118" s="0" t="s">
        <v>184</v>
      </c>
      <c r="D1118" s="23" t="n">
        <f aca="false">0</f>
        <v>0</v>
      </c>
      <c r="E1118" s="23" t="n">
        <f aca="false">E1117*vasp*E1112/1000000</f>
        <v>5.39136</v>
      </c>
      <c r="F1118" s="23" t="n">
        <f aca="false">F1117*vasp*F1112/1000000</f>
        <v>13.4784</v>
      </c>
      <c r="G1118" s="23" t="n">
        <f aca="false">G1117*vasp*G1112/1000000</f>
        <v>18.86976</v>
      </c>
    </row>
    <row r="1119" customFormat="false" ht="17.15" hidden="false" customHeight="false" outlineLevel="0" collapsed="false">
      <c r="A1119" s="4" t="s">
        <v>400</v>
      </c>
      <c r="B1119" s="0" t="s">
        <v>184</v>
      </c>
      <c r="C1119" s="23" t="n">
        <f aca="false">a25_rev</f>
        <v>48.591</v>
      </c>
      <c r="D1119" s="23" t="n">
        <f aca="false">D1113+D1118</f>
        <v>58.65206</v>
      </c>
      <c r="E1119" s="23" t="n">
        <f aca="false">E1113+E1118</f>
        <v>58.2167183083675</v>
      </c>
      <c r="F1119" s="23" t="n">
        <f aca="false">F1113+F1118</f>
        <v>59.8986836134779</v>
      </c>
      <c r="G1119" s="23" t="n">
        <f aca="false">G1113+G1118</f>
        <v>66.8206583704629</v>
      </c>
      <c r="H1119" s="29" t="n">
        <f aca="false">G1119*(1+H1122)</f>
        <v>72.4140545845787</v>
      </c>
      <c r="I1119" s="29" t="n">
        <f aca="false">H1119*(1+I1122)</f>
        <v>76.1689980934585</v>
      </c>
      <c r="J1119" s="29" t="n">
        <f aca="false">I1119*(1+J1122)</f>
        <v>77.6923780553276</v>
      </c>
      <c r="K1119" s="8" t="s">
        <v>555</v>
      </c>
    </row>
    <row r="1120" customFormat="false" ht="17.15" hidden="false" customHeight="false" outlineLevel="0" collapsed="false">
      <c r="A1120" s="0" t="s">
        <v>556</v>
      </c>
      <c r="B1120" s="0" t="s">
        <v>48</v>
      </c>
      <c r="D1120" s="20" t="n">
        <f aca="false">D1118/D1119</f>
        <v>0</v>
      </c>
      <c r="E1120" s="20" t="n">
        <f aca="false">E1118/E1119</f>
        <v>0.0926084491991212</v>
      </c>
      <c r="F1120" s="20" t="n">
        <f aca="false">F1118/F1119</f>
        <v>0.225019970171218</v>
      </c>
      <c r="G1120" s="20" t="n">
        <f aca="false">G1118/G1119</f>
        <v>0.28239410475999</v>
      </c>
    </row>
    <row r="1121" customFormat="false" ht="17.15" hidden="false" customHeight="false" outlineLevel="0" collapsed="false">
      <c r="A1121" s="0" t="s">
        <v>557</v>
      </c>
      <c r="B1121" s="0" t="s">
        <v>48</v>
      </c>
      <c r="D1121" s="20" t="n">
        <f aca="false">ai_sh26</f>
        <v>0.1</v>
      </c>
      <c r="E1121" s="20" t="n">
        <f aca="false">ai_sh27_C</f>
        <v>0.15</v>
      </c>
      <c r="F1121" s="20" t="n">
        <f aca="false">ai_sh27_C</f>
        <v>0.15</v>
      </c>
      <c r="G1121" s="20" t="n">
        <f aca="false">ai_sh27_C</f>
        <v>0.15</v>
      </c>
    </row>
    <row r="1122" customFormat="false" ht="15" hidden="false" customHeight="false" outlineLevel="0" collapsed="false">
      <c r="A1122" s="4" t="s">
        <v>558</v>
      </c>
      <c r="B1122" s="0" t="s">
        <v>48</v>
      </c>
      <c r="D1122" s="20" t="n">
        <f aca="false">D1119/C1119-1</f>
        <v>0.207056039184211</v>
      </c>
      <c r="E1122" s="20" t="n">
        <f aca="false">E1119/D1119-1</f>
        <v>-0.0074224450365854</v>
      </c>
      <c r="F1122" s="20" t="n">
        <f aca="false">F1119/E1119-1</f>
        <v>0.028891448264075</v>
      </c>
      <c r="G1122" s="20" t="n">
        <f aca="false">G1119/F1119-1</f>
        <v>0.115561383646625</v>
      </c>
      <c r="H1122" s="27" t="n">
        <f aca="false">$G1122+(fade_gC-$G1122)*1/3</f>
        <v>0.0837075890977501</v>
      </c>
      <c r="I1122" s="27" t="n">
        <f aca="false">$G1122+(fade_gC-$G1122)*2/3</f>
        <v>0.0518537945488751</v>
      </c>
      <c r="J1122" s="27" t="n">
        <f aca="false">$G1122+(fade_gC-$G1122)*3/3</f>
        <v>0.02</v>
      </c>
    </row>
    <row r="1123" customFormat="false" ht="17.15" hidden="false" customHeight="false" outlineLevel="0" collapsed="false">
      <c r="A1123" s="6" t="s">
        <v>559</v>
      </c>
    </row>
    <row r="1124" customFormat="false" ht="15" hidden="false" customHeight="false" outlineLevel="0" collapsed="false">
      <c r="A1124" s="4" t="s">
        <v>560</v>
      </c>
      <c r="B1124" s="0" t="s">
        <v>184</v>
      </c>
      <c r="D1124" s="23" t="n">
        <f aca="false">da_tot26*da_sh</f>
        <v>8.658</v>
      </c>
      <c r="E1124" s="23" t="n">
        <f aca="false">D1124*(1+dag_27+dag_adj_lo)</f>
        <v>8.48484</v>
      </c>
      <c r="F1124" s="23" t="n">
        <f aca="false">E1124*(1+dag_28+dag_adj_lo)</f>
        <v>8.2302948</v>
      </c>
      <c r="G1124" s="23" t="n">
        <f aca="false">F1124*(1+dag_29+dag_adj_lo)</f>
        <v>7.81878006</v>
      </c>
    </row>
    <row r="1125" customFormat="false" ht="17.15" hidden="false" customHeight="false" outlineLevel="0" collapsed="false">
      <c r="A1125" s="4" t="s">
        <v>561</v>
      </c>
      <c r="B1125" s="0" t="s">
        <v>562</v>
      </c>
      <c r="D1125" s="23" t="n">
        <f aca="false">(D1113-a26_gp-D1124)/D1109*1000</f>
        <v>10.7339918911001</v>
      </c>
      <c r="E1125" s="23" t="n">
        <f aca="false">D1125*(1+cc_g)</f>
        <v>10.9486717289221</v>
      </c>
      <c r="F1125" s="23" t="n">
        <f aca="false">E1125*(1+cc_g)</f>
        <v>11.1676451635006</v>
      </c>
      <c r="G1125" s="23" t="n">
        <f aca="false">F1125*(1+cc_g)</f>
        <v>11.3909980667706</v>
      </c>
      <c r="K1125" s="8" t="s">
        <v>563</v>
      </c>
    </row>
    <row r="1126" customFormat="false" ht="17.15" hidden="false" customHeight="false" outlineLevel="0" collapsed="false">
      <c r="A1126" s="4" t="s">
        <v>564</v>
      </c>
      <c r="B1126" s="0" t="s">
        <v>184</v>
      </c>
      <c r="D1126" s="23" t="n">
        <f aca="false">D1125*D1109/1000</f>
        <v>30.9620386</v>
      </c>
      <c r="E1126" s="23" t="n">
        <f aca="false">E1125*E1109/1000</f>
        <v>28.9570469886533</v>
      </c>
      <c r="F1126" s="23" t="n">
        <f aca="false">F1125*F1109/1000</f>
        <v>27.3209738337944</v>
      </c>
      <c r="G1126" s="23" t="n">
        <f aca="false">G1125*G1109/1000</f>
        <v>29.37373889482</v>
      </c>
    </row>
    <row r="1127" customFormat="false" ht="17.15" hidden="false" customHeight="false" outlineLevel="0" collapsed="false">
      <c r="A1127" s="0" t="s">
        <v>565</v>
      </c>
      <c r="B1127" s="0" t="s">
        <v>48</v>
      </c>
      <c r="E1127" s="20" t="n">
        <f aca="false">vgm27_C</f>
        <v>-0.2</v>
      </c>
      <c r="F1127" s="20" t="n">
        <f aca="false">vgm28_C</f>
        <v>0</v>
      </c>
      <c r="G1127" s="20" t="n">
        <f aca="false">vgm29_C</f>
        <v>0.05</v>
      </c>
    </row>
    <row r="1128" customFormat="false" ht="17.15" hidden="false" customHeight="false" outlineLevel="0" collapsed="false">
      <c r="A1128" s="0" t="s">
        <v>566</v>
      </c>
      <c r="B1128" s="0" t="s">
        <v>184</v>
      </c>
      <c r="D1128" s="23" t="n">
        <f aca="false">0</f>
        <v>0</v>
      </c>
      <c r="E1128" s="23" t="n">
        <f aca="false">E1118*E1127</f>
        <v>-1.078272</v>
      </c>
      <c r="F1128" s="23" t="n">
        <f aca="false">F1118*F1127</f>
        <v>0</v>
      </c>
      <c r="G1128" s="23" t="n">
        <f aca="false">G1118*G1127</f>
        <v>0.943488</v>
      </c>
    </row>
    <row r="1129" customFormat="false" ht="15" hidden="false" customHeight="false" outlineLevel="0" collapsed="false">
      <c r="A1129" s="4" t="s">
        <v>417</v>
      </c>
      <c r="B1129" s="0" t="s">
        <v>184</v>
      </c>
      <c r="C1129" s="23" t="n">
        <f aca="false">a25_gp</f>
        <v>13.654</v>
      </c>
      <c r="D1129" s="23" t="n">
        <f aca="false">D1113-D1124-D1126+D1128</f>
        <v>19.0320214</v>
      </c>
      <c r="E1129" s="23" t="n">
        <f aca="false">E1113-E1124-E1126+E1128</f>
        <v>14.3051993197142</v>
      </c>
      <c r="F1129" s="23" t="n">
        <f aca="false">F1113-F1124-F1126+F1128</f>
        <v>10.8690149796835</v>
      </c>
      <c r="G1129" s="23" t="n">
        <f aca="false">G1113-G1124-G1126+G1128</f>
        <v>11.7018674156429</v>
      </c>
    </row>
    <row r="1130" customFormat="false" ht="15" hidden="false" customHeight="false" outlineLevel="0" collapsed="false">
      <c r="A1130" s="4" t="s">
        <v>420</v>
      </c>
      <c r="B1130" s="0" t="s">
        <v>48</v>
      </c>
      <c r="C1130" s="16" t="n">
        <f aca="false">C1129/C1119</f>
        <v>0.280998538824062</v>
      </c>
      <c r="D1130" s="16" t="n">
        <f aca="false">D1129/D1119</f>
        <v>0.324490246378388</v>
      </c>
      <c r="E1130" s="16" t="n">
        <f aca="false">E1129/E1119</f>
        <v>0.245723217237034</v>
      </c>
      <c r="F1130" s="16" t="n">
        <f aca="false">F1129/F1119</f>
        <v>0.18145665854396</v>
      </c>
      <c r="G1130" s="16" t="n">
        <f aca="false">G1129/G1119</f>
        <v>0.175123497747749</v>
      </c>
    </row>
    <row r="1131" customFormat="false" ht="15" hidden="false" customHeight="false" outlineLevel="0" collapsed="false">
      <c r="A1131" s="4" t="s">
        <v>422</v>
      </c>
      <c r="B1131" s="0" t="s">
        <v>184</v>
      </c>
      <c r="C1131" s="23" t="n">
        <f aca="false">a25_opx</f>
        <v>5.881</v>
      </c>
      <c r="D1131" s="23" t="n">
        <f aca="false">a26_opx</f>
        <v>6.824187</v>
      </c>
      <c r="E1131" s="23" t="n">
        <f aca="false">D1131*(1+MAX(g_opx_min,phi*E1122))</f>
        <v>7.02891261</v>
      </c>
      <c r="F1131" s="23" t="n">
        <f aca="false">E1131*(1+MAX(g_opx_min,phi*F1122))</f>
        <v>7.2397799883</v>
      </c>
      <c r="G1131" s="23" t="n">
        <f aca="false">F1131*(1+MAX(g_opx_min,phi*G1122))</f>
        <v>7.65809948467255</v>
      </c>
    </row>
    <row r="1132" customFormat="false" ht="15" hidden="false" customHeight="false" outlineLevel="0" collapsed="false">
      <c r="A1132" s="4" t="s">
        <v>425</v>
      </c>
      <c r="B1132" s="0" t="s">
        <v>184</v>
      </c>
      <c r="C1132" s="23" t="n">
        <f aca="false">C1129-C1131</f>
        <v>7.773</v>
      </c>
      <c r="D1132" s="23" t="n">
        <f aca="false">D1129-D1131</f>
        <v>12.2078344</v>
      </c>
      <c r="E1132" s="23" t="n">
        <f aca="false">E1129-E1131</f>
        <v>7.2762867097142</v>
      </c>
      <c r="F1132" s="23" t="n">
        <f aca="false">F1129-F1131</f>
        <v>3.62923499138354</v>
      </c>
      <c r="G1132" s="23" t="n">
        <f aca="false">G1129-G1131</f>
        <v>4.04376793097031</v>
      </c>
    </row>
    <row r="1133" customFormat="false" ht="15" hidden="false" customHeight="false" outlineLevel="0" collapsed="false">
      <c r="A1133" s="4" t="s">
        <v>531</v>
      </c>
      <c r="B1133" s="0" t="s">
        <v>48</v>
      </c>
      <c r="C1133" s="16" t="n">
        <f aca="false">C1132/C1119</f>
        <v>0.159967895289251</v>
      </c>
      <c r="D1133" s="16" t="n">
        <f aca="false">D1132/D1119</f>
        <v>0.208139908470393</v>
      </c>
      <c r="E1133" s="16" t="n">
        <f aca="false">E1132/E1119</f>
        <v>0.12498620535724</v>
      </c>
      <c r="F1133" s="16" t="n">
        <f aca="false">F1132/F1119</f>
        <v>0.0605895617807354</v>
      </c>
      <c r="G1133" s="16" t="n">
        <f aca="false">G1132/G1119</f>
        <v>0.0605167328425755</v>
      </c>
    </row>
    <row r="1134" customFormat="false" ht="15" hidden="false" customHeight="false" outlineLevel="0" collapsed="false">
      <c r="A1134" s="4" t="s">
        <v>428</v>
      </c>
      <c r="B1134" s="0" t="s">
        <v>184</v>
      </c>
      <c r="C1134" s="23" t="n">
        <f aca="false">a25_nonop</f>
        <v>1.479</v>
      </c>
      <c r="D1134" s="23" t="n">
        <f aca="false">a26_nonop</f>
        <v>2.10950832169955</v>
      </c>
      <c r="E1134" s="23" t="n">
        <f aca="false">nonop_f</f>
        <v>1.5</v>
      </c>
      <c r="F1134" s="23" t="n">
        <f aca="false">nonop_f</f>
        <v>1.5</v>
      </c>
      <c r="G1134" s="23" t="n">
        <f aca="false">nonop_f</f>
        <v>1.5</v>
      </c>
    </row>
    <row r="1135" customFormat="false" ht="15" hidden="false" customHeight="false" outlineLevel="0" collapsed="false">
      <c r="A1135" s="4" t="s">
        <v>430</v>
      </c>
      <c r="B1135" s="0" t="s">
        <v>184</v>
      </c>
      <c r="C1135" s="23" t="n">
        <f aca="false">C1132+C1134</f>
        <v>9.252</v>
      </c>
      <c r="D1135" s="23" t="n">
        <f aca="false">D1132+D1134</f>
        <v>14.3173427216995</v>
      </c>
      <c r="E1135" s="23" t="n">
        <f aca="false">E1132+E1134</f>
        <v>8.7762867097142</v>
      </c>
      <c r="F1135" s="23" t="n">
        <f aca="false">F1132+F1134</f>
        <v>5.12923499138354</v>
      </c>
      <c r="G1135" s="23" t="n">
        <f aca="false">G1132+G1134</f>
        <v>5.54376793097031</v>
      </c>
    </row>
    <row r="1136" customFormat="false" ht="15" hidden="false" customHeight="false" outlineLevel="0" collapsed="false">
      <c r="A1136" s="4" t="s">
        <v>432</v>
      </c>
      <c r="B1136" s="0" t="s">
        <v>184</v>
      </c>
      <c r="C1136" s="23" t="n">
        <f aca="false">a25_tax</f>
        <v>1.344</v>
      </c>
      <c r="D1136" s="23" t="n">
        <f aca="false">a26_tax</f>
        <v>2.0798215108046</v>
      </c>
      <c r="E1136" s="23" t="n">
        <f aca="false">E1135*tax</f>
        <v>1.31644300645713</v>
      </c>
      <c r="F1136" s="23" t="n">
        <f aca="false">F1135*tax</f>
        <v>0.769385248707532</v>
      </c>
      <c r="G1136" s="23" t="n">
        <f aca="false">G1135*tax</f>
        <v>0.831565189645546</v>
      </c>
    </row>
    <row r="1137" customFormat="false" ht="17.15" hidden="false" customHeight="false" outlineLevel="0" collapsed="false">
      <c r="A1137" s="4" t="s">
        <v>567</v>
      </c>
      <c r="B1137" s="0" t="s">
        <v>184</v>
      </c>
      <c r="C1137" s="23" t="n">
        <f aca="false">a25_mi</f>
        <v>0</v>
      </c>
      <c r="D1137" s="23" t="n">
        <f aca="false">a26_mi</f>
        <v>0</v>
      </c>
      <c r="E1137" s="23" t="n">
        <f aca="false">vmi*E1128*(1-tax)</f>
        <v>-0.36661248</v>
      </c>
      <c r="F1137" s="23" t="n">
        <f aca="false">vmi*F1128*(1-tax)</f>
        <v>0</v>
      </c>
      <c r="G1137" s="23" t="n">
        <f aca="false">vmi*G1128*(1-tax)</f>
        <v>0.32078592</v>
      </c>
      <c r="K1137" s="8" t="s">
        <v>568</v>
      </c>
    </row>
    <row r="1138" customFormat="false" ht="15" hidden="false" customHeight="false" outlineLevel="0" collapsed="false">
      <c r="A1138" s="4" t="s">
        <v>435</v>
      </c>
      <c r="B1138" s="0" t="s">
        <v>184</v>
      </c>
      <c r="C1138" s="23" t="n">
        <f aca="false">C1135-C1136-C1137</f>
        <v>7.908</v>
      </c>
      <c r="D1138" s="23" t="n">
        <f aca="false">D1135-D1136-D1137</f>
        <v>12.2375212108949</v>
      </c>
      <c r="E1138" s="23" t="n">
        <f aca="false">E1135-E1136-E1137</f>
        <v>7.82645618325707</v>
      </c>
      <c r="F1138" s="23" t="n">
        <f aca="false">F1135-F1136-F1137</f>
        <v>4.35984974267601</v>
      </c>
      <c r="G1138" s="23" t="n">
        <f aca="false">G1135-G1136-G1137</f>
        <v>4.39141682132476</v>
      </c>
      <c r="H1138" s="29" t="n">
        <f aca="false">H1119*H1142</f>
        <v>4.44174428708375</v>
      </c>
      <c r="I1138" s="29" t="n">
        <f aca="false">I1119*I1142</f>
        <v>4.33834661258592</v>
      </c>
      <c r="J1138" s="29" t="n">
        <f aca="false">J1119*J1142</f>
        <v>4.08472019523474</v>
      </c>
    </row>
    <row r="1139" customFormat="false" ht="15" hidden="false" customHeight="false" outlineLevel="0" collapsed="false">
      <c r="A1139" s="4" t="s">
        <v>569</v>
      </c>
      <c r="B1139" s="4" t="s">
        <v>265</v>
      </c>
      <c r="C1139" s="10" t="n">
        <f aca="false">a25_sh</f>
        <v>1.8739336492891</v>
      </c>
      <c r="D1139" s="10" t="n">
        <f aca="false">a26_sh</f>
        <v>1.90613591916558</v>
      </c>
      <c r="E1139" s="10" t="n">
        <f aca="false">q_sh*(1+sh_g)</f>
        <v>1.90705128205128</v>
      </c>
      <c r="F1139" s="10" t="n">
        <f aca="false">E1139*(1+sh_g)</f>
        <v>1.90705128205128</v>
      </c>
      <c r="G1139" s="10" t="n">
        <f aca="false">F1139*(1+sh_g)</f>
        <v>1.90705128205128</v>
      </c>
      <c r="H1139" s="31" t="n">
        <f aca="false">G1139*(1+sh_g)</f>
        <v>1.90705128205128</v>
      </c>
      <c r="I1139" s="31" t="n">
        <f aca="false">H1139*(1+sh_g)</f>
        <v>1.90705128205128</v>
      </c>
      <c r="J1139" s="31" t="n">
        <f aca="false">I1139*(1+sh_g)</f>
        <v>1.90705128205128</v>
      </c>
    </row>
    <row r="1140" customFormat="false" ht="17.15" hidden="false" customHeight="false" outlineLevel="0" collapsed="false">
      <c r="A1140" s="0" t="s">
        <v>442</v>
      </c>
      <c r="B1140" s="0" t="s">
        <v>274</v>
      </c>
      <c r="C1140" s="23" t="n">
        <f aca="false">C1138/C1139</f>
        <v>4.22</v>
      </c>
      <c r="D1140" s="23" t="n">
        <f aca="false">D1138/D1139</f>
        <v>6.42006747150118</v>
      </c>
      <c r="E1140" s="23" t="n">
        <f aca="false">E1138/E1139</f>
        <v>4.10395685575833</v>
      </c>
      <c r="F1140" s="23" t="n">
        <f aca="false">F1138/F1139</f>
        <v>2.28617331044524</v>
      </c>
      <c r="G1140" s="23" t="n">
        <f aca="false">G1138/G1139</f>
        <v>2.3027261315182</v>
      </c>
      <c r="H1140" s="29" t="n">
        <f aca="false">H1138/H1139</f>
        <v>2.32911633205064</v>
      </c>
      <c r="I1140" s="29" t="n">
        <f aca="false">I1138/I1139</f>
        <v>2.27489771954085</v>
      </c>
      <c r="J1140" s="29" t="n">
        <f aca="false">J1138/J1139</f>
        <v>2.14190369901385</v>
      </c>
    </row>
    <row r="1141" customFormat="false" ht="17.15" hidden="false" customHeight="false" outlineLevel="0" collapsed="false">
      <c r="A1141" s="0" t="s">
        <v>570</v>
      </c>
      <c r="B1141" s="0" t="s">
        <v>48</v>
      </c>
      <c r="D1141" s="20" t="n">
        <f aca="false">D1140/C1140-1</f>
        <v>0.521343002725398</v>
      </c>
      <c r="E1141" s="20" t="n">
        <f aca="false">E1140/D1140-1</f>
        <v>-0.360761101970364</v>
      </c>
      <c r="F1141" s="20" t="n">
        <f aca="false">F1140/E1140-1</f>
        <v>-0.442934370219446</v>
      </c>
      <c r="G1141" s="20" t="n">
        <f aca="false">G1140/F1140-1</f>
        <v>0.00724040517721503</v>
      </c>
      <c r="H1141" s="27" t="n">
        <f aca="false">H1140/G1140-1</f>
        <v>0.0114604164912333</v>
      </c>
      <c r="I1141" s="27" t="n">
        <f aca="false">I1140/H1140-1</f>
        <v>-0.0232786193474731</v>
      </c>
      <c r="J1141" s="27" t="n">
        <f aca="false">J1140/I1140-1</f>
        <v>-0.0584615384615386</v>
      </c>
    </row>
    <row r="1142" customFormat="false" ht="17.15" hidden="false" customHeight="false" outlineLevel="0" collapsed="false">
      <c r="A1142" s="4" t="s">
        <v>571</v>
      </c>
      <c r="B1142" s="0" t="s">
        <v>48</v>
      </c>
      <c r="C1142" s="16" t="n">
        <f aca="false">C1138/C1119</f>
        <v>0.162746187565599</v>
      </c>
      <c r="D1142" s="16" t="n">
        <f aca="false">D1138/D1119</f>
        <v>0.208646059676249</v>
      </c>
      <c r="E1142" s="16" t="n">
        <f aca="false">E1138/E1119</f>
        <v>0.134436574418386</v>
      </c>
      <c r="F1142" s="16" t="n">
        <f aca="false">F1138/F1119</f>
        <v>0.0727870710950815</v>
      </c>
      <c r="G1142" s="16" t="n">
        <f aca="false">G1138/G1119</f>
        <v>0.0657194485719992</v>
      </c>
      <c r="H1142" s="28" t="n">
        <f aca="false">$G1142+($G$1142*0.8-$G1142)*1/3</f>
        <v>0.0613381520005326</v>
      </c>
      <c r="I1142" s="28" t="n">
        <f aca="false">$G1142+($G$1142*0.8-$G1142)*2/3</f>
        <v>0.056956855429066</v>
      </c>
      <c r="J1142" s="28" t="n">
        <f aca="false">$G1142+($G$1142*0.8-$G1142)*3/3</f>
        <v>0.0525755588575994</v>
      </c>
    </row>
    <row r="1145" customFormat="false" ht="17.15" hidden="false" customHeight="false" outlineLevel="0" collapsed="false">
      <c r="A1145" s="1" t="s">
        <v>872</v>
      </c>
    </row>
    <row r="1146" customFormat="false" ht="17.15" hidden="false" customHeight="false" outlineLevel="0" collapsed="false">
      <c r="A1146" s="5" t="s">
        <v>24</v>
      </c>
      <c r="B1146" s="5" t="s">
        <v>25</v>
      </c>
      <c r="C1146" s="17" t="s">
        <v>394</v>
      </c>
      <c r="D1146" s="17" t="s">
        <v>521</v>
      </c>
      <c r="E1146" s="17" t="s">
        <v>480</v>
      </c>
      <c r="F1146" s="17" t="s">
        <v>481</v>
      </c>
      <c r="G1146" s="17" t="s">
        <v>482</v>
      </c>
      <c r="H1146" s="17" t="s">
        <v>522</v>
      </c>
      <c r="I1146" s="17" t="s">
        <v>523</v>
      </c>
      <c r="J1146" s="17" t="s">
        <v>524</v>
      </c>
      <c r="K1146" s="5" t="s">
        <v>357</v>
      </c>
    </row>
    <row r="1147" customFormat="false" ht="17.15" hidden="false" customHeight="false" outlineLevel="0" collapsed="false">
      <c r="A1147" s="6" t="s">
        <v>542</v>
      </c>
    </row>
    <row r="1148" customFormat="false" ht="17.15" hidden="false" customHeight="false" outlineLevel="0" collapsed="false">
      <c r="A1148" s="4" t="s">
        <v>543</v>
      </c>
      <c r="B1148" s="4" t="s">
        <v>42</v>
      </c>
      <c r="D1148" s="22" t="n">
        <f aca="false">cap_26</f>
        <v>3306</v>
      </c>
      <c r="E1148" s="22" t="n">
        <f aca="false">D1148*(1+capg27)*cap_adj</f>
        <v>3306</v>
      </c>
      <c r="F1148" s="22" t="n">
        <f aca="false">E1148*(1+capg28)</f>
        <v>3306</v>
      </c>
      <c r="G1148" s="22" t="n">
        <f aca="false">F1148*(1+capg29)</f>
        <v>3306</v>
      </c>
    </row>
    <row r="1149" customFormat="false" ht="15" hidden="false" customHeight="false" outlineLevel="0" collapsed="false">
      <c r="A1149" s="4" t="s">
        <v>544</v>
      </c>
      <c r="B1149" s="0" t="s">
        <v>48</v>
      </c>
      <c r="D1149" s="20" t="n">
        <f aca="false">a26_ship/cap_26</f>
        <v>0.8725</v>
      </c>
      <c r="E1149" s="20" t="n">
        <f aca="false">MIN(0.98,ut27_A+ut_adj)</f>
        <v>0.95</v>
      </c>
      <c r="F1149" s="20" t="n">
        <f aca="false">MIN(0.98,ut28_A+ut_adj)</f>
        <v>0.94</v>
      </c>
      <c r="G1149" s="20" t="n">
        <f aca="false">MIN(0.98,ut29_A+ut_adj)</f>
        <v>0.93</v>
      </c>
    </row>
    <row r="1150" customFormat="false" ht="17.15" hidden="false" customHeight="false" outlineLevel="0" collapsed="false">
      <c r="A1150" s="4" t="s">
        <v>545</v>
      </c>
      <c r="B1150" s="4" t="s">
        <v>42</v>
      </c>
      <c r="D1150" s="22" t="n">
        <f aca="false">D1148*D1149</f>
        <v>2884.485</v>
      </c>
      <c r="E1150" s="22" t="n">
        <f aca="false">E1148*E1149</f>
        <v>3140.7</v>
      </c>
      <c r="F1150" s="22" t="n">
        <f aca="false">F1148*F1149</f>
        <v>3107.64</v>
      </c>
      <c r="G1150" s="22" t="n">
        <f aca="false">G1148*G1149</f>
        <v>3074.58</v>
      </c>
    </row>
    <row r="1151" customFormat="false" ht="17.15" hidden="false" customHeight="false" outlineLevel="0" collapsed="false">
      <c r="A1151" s="4" t="s">
        <v>546</v>
      </c>
      <c r="B1151" s="0" t="s">
        <v>89</v>
      </c>
      <c r="D1151" s="22" t="n">
        <f aca="false">asp_26</f>
        <v>643.469405492234</v>
      </c>
      <c r="E1151" s="22" t="n">
        <f aca="false">D1151*(1+asp27_A)*(1+asp_adj)</f>
        <v>682.077569821768</v>
      </c>
      <c r="F1151" s="22" t="n">
        <f aca="false">E1151*(1+asp28_A)</f>
        <v>695.719121218203</v>
      </c>
      <c r="G1151" s="22" t="n">
        <f aca="false">F1151*(1+asp29_A)</f>
        <v>702.676312430385</v>
      </c>
    </row>
    <row r="1152" customFormat="false" ht="15" hidden="false" customHeight="false" outlineLevel="0" collapsed="false">
      <c r="A1152" s="4" t="s">
        <v>547</v>
      </c>
      <c r="B1152" s="0" t="s">
        <v>48</v>
      </c>
      <c r="E1152" s="20" t="n">
        <f aca="false">E1151/D1151-1</f>
        <v>0.0600000000000001</v>
      </c>
      <c r="F1152" s="20" t="n">
        <f aca="false">F1151/E1151-1</f>
        <v>0.02</v>
      </c>
      <c r="G1152" s="20" t="n">
        <f aca="false">G1151/F1151-1</f>
        <v>0.01</v>
      </c>
    </row>
    <row r="1153" customFormat="false" ht="15" hidden="false" customHeight="false" outlineLevel="0" collapsed="false">
      <c r="A1153" s="4" t="s">
        <v>548</v>
      </c>
      <c r="B1153" s="0" t="s">
        <v>35</v>
      </c>
      <c r="D1153" s="23" t="n">
        <f aca="false">fx_26</f>
        <v>31.6</v>
      </c>
      <c r="E1153" s="23" t="n">
        <f aca="false">fx</f>
        <v>32</v>
      </c>
      <c r="F1153" s="23" t="n">
        <f aca="false">fx</f>
        <v>32</v>
      </c>
      <c r="G1153" s="23" t="n">
        <f aca="false">fx</f>
        <v>32</v>
      </c>
    </row>
    <row r="1154" customFormat="false" ht="17.15" hidden="false" customHeight="false" outlineLevel="0" collapsed="false">
      <c r="A1154" s="0" t="s">
        <v>549</v>
      </c>
      <c r="B1154" s="0" t="s">
        <v>184</v>
      </c>
      <c r="D1154" s="23" t="n">
        <f aca="false">D1150*D1151*D1153/1000000</f>
        <v>58.65206</v>
      </c>
      <c r="E1154" s="23" t="n">
        <f aca="false">E1150*E1151*E1153/1000000</f>
        <v>68.5504327532552</v>
      </c>
      <c r="F1154" s="23" t="n">
        <f aca="false">F1150*F1151*F1153/1000000</f>
        <v>69.1854262356012</v>
      </c>
      <c r="G1154" s="23" t="n">
        <f aca="false">G1150*G1151*G1153/1000000</f>
        <v>69.1339051735108</v>
      </c>
    </row>
    <row r="1155" customFormat="false" ht="17.15" hidden="false" customHeight="false" outlineLevel="0" collapsed="false">
      <c r="A1155" s="6" t="s">
        <v>550</v>
      </c>
    </row>
    <row r="1156" customFormat="false" ht="17.15" hidden="false" customHeight="false" outlineLevel="0" collapsed="false">
      <c r="A1156" s="0" t="s">
        <v>551</v>
      </c>
      <c r="B1156" s="4" t="s">
        <v>42</v>
      </c>
      <c r="D1156" s="22" t="n">
        <f aca="false">0</f>
        <v>0</v>
      </c>
      <c r="E1156" s="22" t="n">
        <f aca="false">vcap27*vcap_adj</f>
        <v>144</v>
      </c>
      <c r="F1156" s="22" t="n">
        <f aca="false">vcap28*vcap_adj</f>
        <v>360</v>
      </c>
      <c r="G1156" s="22" t="n">
        <f aca="false">vcap29*vcap_adj</f>
        <v>504</v>
      </c>
    </row>
    <row r="1157" customFormat="false" ht="17.15" hidden="false" customHeight="false" outlineLevel="0" collapsed="false">
      <c r="A1157" s="0" t="s">
        <v>552</v>
      </c>
      <c r="B1157" s="0" t="s">
        <v>48</v>
      </c>
      <c r="E1157" s="20" t="n">
        <f aca="false">vut_A</f>
        <v>0.9</v>
      </c>
      <c r="F1157" s="20" t="n">
        <f aca="false">vut_A</f>
        <v>0.9</v>
      </c>
      <c r="G1157" s="20" t="n">
        <f aca="false">vut_A</f>
        <v>0.9</v>
      </c>
    </row>
    <row r="1158" customFormat="false" ht="17.15" hidden="false" customHeight="false" outlineLevel="0" collapsed="false">
      <c r="A1158" s="0" t="s">
        <v>553</v>
      </c>
      <c r="B1158" s="4" t="s">
        <v>42</v>
      </c>
      <c r="D1158" s="22" t="n">
        <f aca="false">0</f>
        <v>0</v>
      </c>
      <c r="E1158" s="22" t="n">
        <f aca="false">E1156*E1157</f>
        <v>129.6</v>
      </c>
      <c r="F1158" s="22" t="n">
        <f aca="false">F1156*F1157</f>
        <v>324</v>
      </c>
      <c r="G1158" s="22" t="n">
        <f aca="false">G1156*G1157</f>
        <v>453.6</v>
      </c>
    </row>
    <row r="1159" customFormat="false" ht="17.15" hidden="false" customHeight="false" outlineLevel="0" collapsed="false">
      <c r="A1159" s="0" t="s">
        <v>554</v>
      </c>
      <c r="B1159" s="0" t="s">
        <v>184</v>
      </c>
      <c r="D1159" s="23" t="n">
        <f aca="false">0</f>
        <v>0</v>
      </c>
      <c r="E1159" s="23" t="n">
        <f aca="false">E1158*vasp*E1153/1000000</f>
        <v>7.46496</v>
      </c>
      <c r="F1159" s="23" t="n">
        <f aca="false">F1158*vasp*F1153/1000000</f>
        <v>18.6624</v>
      </c>
      <c r="G1159" s="23" t="n">
        <f aca="false">G1158*vasp*G1153/1000000</f>
        <v>26.12736</v>
      </c>
    </row>
    <row r="1160" customFormat="false" ht="17.15" hidden="false" customHeight="false" outlineLevel="0" collapsed="false">
      <c r="A1160" s="4" t="s">
        <v>400</v>
      </c>
      <c r="B1160" s="0" t="s">
        <v>184</v>
      </c>
      <c r="C1160" s="23" t="n">
        <f aca="false">a25_rev</f>
        <v>48.591</v>
      </c>
      <c r="D1160" s="23" t="n">
        <f aca="false">D1154+D1159</f>
        <v>58.65206</v>
      </c>
      <c r="E1160" s="23" t="n">
        <f aca="false">E1154+E1159</f>
        <v>76.0153927532552</v>
      </c>
      <c r="F1160" s="23" t="n">
        <f aca="false">F1154+F1159</f>
        <v>87.8478262356012</v>
      </c>
      <c r="G1160" s="23" t="n">
        <f aca="false">G1154+G1159</f>
        <v>95.2612651735108</v>
      </c>
      <c r="H1160" s="29" t="n">
        <f aca="false">G1160*(1+H1163)</f>
        <v>102.525860976128</v>
      </c>
      <c r="I1160" s="29" t="n">
        <f aca="false">H1160*(1+I1163)</f>
        <v>109.51093266638</v>
      </c>
      <c r="J1160" s="29" t="n">
        <f aca="false">I1160*(1+J1163)</f>
        <v>116.081588626363</v>
      </c>
      <c r="K1160" s="8" t="s">
        <v>555</v>
      </c>
    </row>
    <row r="1161" customFormat="false" ht="17.15" hidden="false" customHeight="false" outlineLevel="0" collapsed="false">
      <c r="A1161" s="0" t="s">
        <v>556</v>
      </c>
      <c r="B1161" s="0" t="s">
        <v>48</v>
      </c>
      <c r="D1161" s="20" t="n">
        <f aca="false">D1159/D1160</f>
        <v>0</v>
      </c>
      <c r="E1161" s="20" t="n">
        <f aca="false">E1159/E1160</f>
        <v>0.0982032681753174</v>
      </c>
      <c r="F1161" s="20" t="n">
        <f aca="false">F1159/F1160</f>
        <v>0.212440088727396</v>
      </c>
      <c r="G1161" s="20" t="n">
        <f aca="false">G1159/G1160</f>
        <v>0.274270554274196</v>
      </c>
    </row>
    <row r="1162" customFormat="false" ht="17.15" hidden="false" customHeight="false" outlineLevel="0" collapsed="false">
      <c r="A1162" s="0" t="s">
        <v>557</v>
      </c>
      <c r="B1162" s="0" t="s">
        <v>48</v>
      </c>
      <c r="D1162" s="20" t="n">
        <f aca="false">ai_sh26</f>
        <v>0.1</v>
      </c>
      <c r="E1162" s="20" t="n">
        <f aca="false">ai_sh27_A</f>
        <v>0.25</v>
      </c>
      <c r="F1162" s="20" t="n">
        <f aca="false">ai_sh27_A</f>
        <v>0.25</v>
      </c>
      <c r="G1162" s="20" t="n">
        <f aca="false">ai_sh27_A</f>
        <v>0.25</v>
      </c>
    </row>
    <row r="1163" customFormat="false" ht="15" hidden="false" customHeight="false" outlineLevel="0" collapsed="false">
      <c r="A1163" s="4" t="s">
        <v>558</v>
      </c>
      <c r="B1163" s="0" t="s">
        <v>48</v>
      </c>
      <c r="D1163" s="20" t="n">
        <f aca="false">D1160/C1160-1</f>
        <v>0.207056039184211</v>
      </c>
      <c r="E1163" s="20" t="n">
        <f aca="false">E1160/D1160-1</f>
        <v>0.296039606337019</v>
      </c>
      <c r="F1163" s="20" t="n">
        <f aca="false">F1160/E1160-1</f>
        <v>0.155658387778826</v>
      </c>
      <c r="G1163" s="20" t="n">
        <f aca="false">G1160/F1160-1</f>
        <v>0.0843895547059683</v>
      </c>
      <c r="H1163" s="27" t="n">
        <f aca="false">$G1163+(fade_gA-$G1163)*1/3</f>
        <v>0.0762597031373122</v>
      </c>
      <c r="I1163" s="27" t="n">
        <f aca="false">$G1163+(fade_gA-$G1163)*2/3</f>
        <v>0.0681298515686561</v>
      </c>
      <c r="J1163" s="27" t="n">
        <f aca="false">$G1163+(fade_gA-$G1163)*3/3</f>
        <v>0.06</v>
      </c>
    </row>
    <row r="1164" customFormat="false" ht="17.15" hidden="false" customHeight="false" outlineLevel="0" collapsed="false">
      <c r="A1164" s="6" t="s">
        <v>559</v>
      </c>
    </row>
    <row r="1165" customFormat="false" ht="15" hidden="false" customHeight="false" outlineLevel="0" collapsed="false">
      <c r="A1165" s="4" t="s">
        <v>560</v>
      </c>
      <c r="B1165" s="0" t="s">
        <v>184</v>
      </c>
      <c r="D1165" s="23" t="n">
        <f aca="false">da_tot26*da_sh</f>
        <v>8.658</v>
      </c>
      <c r="E1165" s="23" t="n">
        <f aca="false">D1165*(1+dag_27+dag_adj_hi)</f>
        <v>9.35064</v>
      </c>
      <c r="F1165" s="23" t="n">
        <f aca="false">E1165*(1+dag_28+dag_adj_hi)</f>
        <v>10.0051848</v>
      </c>
      <c r="G1165" s="23" t="n">
        <f aca="false">F1165*(1+dag_29+dag_adj_hi)</f>
        <v>10.50544404</v>
      </c>
    </row>
    <row r="1166" customFormat="false" ht="17.15" hidden="false" customHeight="false" outlineLevel="0" collapsed="false">
      <c r="A1166" s="4" t="s">
        <v>561</v>
      </c>
      <c r="B1166" s="0" t="s">
        <v>562</v>
      </c>
      <c r="D1166" s="23" t="n">
        <f aca="false">(D1154-a26_gp-D1165)/D1150*1000</f>
        <v>10.7339918911001</v>
      </c>
      <c r="E1166" s="23" t="n">
        <f aca="false">D1166*(1+cc_g)</f>
        <v>10.9486717289221</v>
      </c>
      <c r="F1166" s="23" t="n">
        <f aca="false">E1166*(1+cc_g)</f>
        <v>11.1676451635006</v>
      </c>
      <c r="G1166" s="23" t="n">
        <f aca="false">F1166*(1+cc_g)</f>
        <v>11.3909980667706</v>
      </c>
      <c r="K1166" s="8" t="s">
        <v>563</v>
      </c>
    </row>
    <row r="1167" customFormat="false" ht="17.15" hidden="false" customHeight="false" outlineLevel="0" collapsed="false">
      <c r="A1167" s="4" t="s">
        <v>564</v>
      </c>
      <c r="B1167" s="0" t="s">
        <v>184</v>
      </c>
      <c r="D1167" s="23" t="n">
        <f aca="false">D1166*D1150/1000</f>
        <v>30.9620386</v>
      </c>
      <c r="E1167" s="23" t="n">
        <f aca="false">E1166*E1150/1000</f>
        <v>34.3864932990258</v>
      </c>
      <c r="F1167" s="23" t="n">
        <f aca="false">F1166*F1150/1000</f>
        <v>34.705020815901</v>
      </c>
      <c r="G1167" s="23" t="n">
        <f aca="false">G1166*G1150/1000</f>
        <v>35.0225348361316</v>
      </c>
    </row>
    <row r="1168" customFormat="false" ht="17.15" hidden="false" customHeight="false" outlineLevel="0" collapsed="false">
      <c r="A1168" s="0" t="s">
        <v>565</v>
      </c>
      <c r="B1168" s="0" t="s">
        <v>48</v>
      </c>
      <c r="E1168" s="20" t="n">
        <f aca="false">vgm27_A</f>
        <v>0.05</v>
      </c>
      <c r="F1168" s="20" t="n">
        <f aca="false">vgm28_A</f>
        <v>0.2</v>
      </c>
      <c r="G1168" s="20" t="n">
        <f aca="false">vgm29_A</f>
        <v>0.25</v>
      </c>
    </row>
    <row r="1169" customFormat="false" ht="17.15" hidden="false" customHeight="false" outlineLevel="0" collapsed="false">
      <c r="A1169" s="0" t="s">
        <v>566</v>
      </c>
      <c r="B1169" s="0" t="s">
        <v>184</v>
      </c>
      <c r="D1169" s="23" t="n">
        <f aca="false">0</f>
        <v>0</v>
      </c>
      <c r="E1169" s="23" t="n">
        <f aca="false">E1159*E1168</f>
        <v>0.373248</v>
      </c>
      <c r="F1169" s="23" t="n">
        <f aca="false">F1159*F1168</f>
        <v>3.73248</v>
      </c>
      <c r="G1169" s="23" t="n">
        <f aca="false">G1159*G1168</f>
        <v>6.53184</v>
      </c>
    </row>
    <row r="1170" customFormat="false" ht="15" hidden="false" customHeight="false" outlineLevel="0" collapsed="false">
      <c r="A1170" s="4" t="s">
        <v>417</v>
      </c>
      <c r="B1170" s="0" t="s">
        <v>184</v>
      </c>
      <c r="C1170" s="23" t="n">
        <f aca="false">a25_gp</f>
        <v>13.654</v>
      </c>
      <c r="D1170" s="23" t="n">
        <f aca="false">D1154-D1165-D1167+D1169</f>
        <v>19.0320214</v>
      </c>
      <c r="E1170" s="23" t="n">
        <f aca="false">E1154-E1165-E1167+E1169</f>
        <v>25.1865474542294</v>
      </c>
      <c r="F1170" s="23" t="n">
        <f aca="false">F1154-F1165-F1167+F1169</f>
        <v>28.2077006197002</v>
      </c>
      <c r="G1170" s="23" t="n">
        <f aca="false">G1154-G1165-G1167+G1169</f>
        <v>30.1377662973793</v>
      </c>
    </row>
    <row r="1171" customFormat="false" ht="15" hidden="false" customHeight="false" outlineLevel="0" collapsed="false">
      <c r="A1171" s="4" t="s">
        <v>420</v>
      </c>
      <c r="B1171" s="0" t="s">
        <v>48</v>
      </c>
      <c r="C1171" s="16" t="n">
        <f aca="false">C1170/C1160</f>
        <v>0.280998538824062</v>
      </c>
      <c r="D1171" s="16" t="n">
        <f aca="false">D1170/D1160</f>
        <v>0.324490246378388</v>
      </c>
      <c r="E1171" s="16" t="n">
        <f aca="false">E1170/E1160</f>
        <v>0.33133483288029</v>
      </c>
      <c r="F1171" s="16" t="n">
        <f aca="false">F1170/F1160</f>
        <v>0.321097309158787</v>
      </c>
      <c r="G1171" s="16" t="n">
        <f aca="false">G1170/G1160</f>
        <v>0.316369578364152</v>
      </c>
    </row>
    <row r="1172" customFormat="false" ht="15" hidden="false" customHeight="false" outlineLevel="0" collapsed="false">
      <c r="A1172" s="4" t="s">
        <v>422</v>
      </c>
      <c r="B1172" s="0" t="s">
        <v>184</v>
      </c>
      <c r="C1172" s="23" t="n">
        <f aca="false">a25_opx</f>
        <v>5.881</v>
      </c>
      <c r="D1172" s="23" t="n">
        <f aca="false">a26_opx</f>
        <v>6.824187</v>
      </c>
      <c r="E1172" s="23" t="n">
        <f aca="false">D1172*(1+MAX(g_opx_min,phi*E1163))</f>
        <v>7.8343018165251</v>
      </c>
      <c r="F1172" s="23" t="n">
        <f aca="false">E1172*(1+MAX(g_opx_min,phi*F1163))</f>
        <v>8.44403921159161</v>
      </c>
      <c r="G1172" s="23" t="n">
        <f aca="false">F1172*(1+MAX(g_opx_min,phi*G1163))</f>
        <v>8.80033356608459</v>
      </c>
    </row>
    <row r="1173" customFormat="false" ht="15" hidden="false" customHeight="false" outlineLevel="0" collapsed="false">
      <c r="A1173" s="4" t="s">
        <v>425</v>
      </c>
      <c r="B1173" s="0" t="s">
        <v>184</v>
      </c>
      <c r="C1173" s="23" t="n">
        <f aca="false">C1170-C1172</f>
        <v>7.773</v>
      </c>
      <c r="D1173" s="23" t="n">
        <f aca="false">D1170-D1172</f>
        <v>12.2078344</v>
      </c>
      <c r="E1173" s="23" t="n">
        <f aca="false">E1170-E1172</f>
        <v>17.3522456377043</v>
      </c>
      <c r="F1173" s="23" t="n">
        <f aca="false">F1170-F1172</f>
        <v>19.7636614081086</v>
      </c>
      <c r="G1173" s="23" t="n">
        <f aca="false">G1170-G1172</f>
        <v>21.3374327312947</v>
      </c>
    </row>
    <row r="1174" customFormat="false" ht="15" hidden="false" customHeight="false" outlineLevel="0" collapsed="false">
      <c r="A1174" s="4" t="s">
        <v>531</v>
      </c>
      <c r="B1174" s="0" t="s">
        <v>48</v>
      </c>
      <c r="C1174" s="16" t="n">
        <f aca="false">C1173/C1160</f>
        <v>0.159967895289251</v>
      </c>
      <c r="D1174" s="16" t="n">
        <f aca="false">D1173/D1160</f>
        <v>0.208139908470393</v>
      </c>
      <c r="E1174" s="16" t="n">
        <f aca="false">E1173/E1160</f>
        <v>0.228272788039515</v>
      </c>
      <c r="F1174" s="16" t="n">
        <f aca="false">F1173/F1160</f>
        <v>0.22497610077572</v>
      </c>
      <c r="G1174" s="16" t="n">
        <f aca="false">G1173/G1160</f>
        <v>0.223988550775914</v>
      </c>
    </row>
    <row r="1175" customFormat="false" ht="15" hidden="false" customHeight="false" outlineLevel="0" collapsed="false">
      <c r="A1175" s="4" t="s">
        <v>428</v>
      </c>
      <c r="B1175" s="0" t="s">
        <v>184</v>
      </c>
      <c r="C1175" s="23" t="n">
        <f aca="false">a25_nonop</f>
        <v>1.479</v>
      </c>
      <c r="D1175" s="23" t="n">
        <f aca="false">a26_nonop</f>
        <v>2.10950832169955</v>
      </c>
      <c r="E1175" s="23" t="n">
        <f aca="false">nonop_f</f>
        <v>1.5</v>
      </c>
      <c r="F1175" s="23" t="n">
        <f aca="false">nonop_f</f>
        <v>1.5</v>
      </c>
      <c r="G1175" s="23" t="n">
        <f aca="false">nonop_f</f>
        <v>1.5</v>
      </c>
    </row>
    <row r="1176" customFormat="false" ht="15" hidden="false" customHeight="false" outlineLevel="0" collapsed="false">
      <c r="A1176" s="4" t="s">
        <v>430</v>
      </c>
      <c r="B1176" s="0" t="s">
        <v>184</v>
      </c>
      <c r="C1176" s="23" t="n">
        <f aca="false">C1173+C1175</f>
        <v>9.252</v>
      </c>
      <c r="D1176" s="23" t="n">
        <f aca="false">D1173+D1175</f>
        <v>14.3173427216995</v>
      </c>
      <c r="E1176" s="23" t="n">
        <f aca="false">E1173+E1175</f>
        <v>18.8522456377043</v>
      </c>
      <c r="F1176" s="23" t="n">
        <f aca="false">F1173+F1175</f>
        <v>21.2636614081086</v>
      </c>
      <c r="G1176" s="23" t="n">
        <f aca="false">G1173+G1175</f>
        <v>22.8374327312947</v>
      </c>
    </row>
    <row r="1177" customFormat="false" ht="15" hidden="false" customHeight="false" outlineLevel="0" collapsed="false">
      <c r="A1177" s="4" t="s">
        <v>432</v>
      </c>
      <c r="B1177" s="0" t="s">
        <v>184</v>
      </c>
      <c r="C1177" s="23" t="n">
        <f aca="false">a25_tax</f>
        <v>1.344</v>
      </c>
      <c r="D1177" s="23" t="n">
        <f aca="false">a26_tax</f>
        <v>2.0798215108046</v>
      </c>
      <c r="E1177" s="23" t="n">
        <f aca="false">E1176*tax</f>
        <v>2.82783684565565</v>
      </c>
      <c r="F1177" s="23" t="n">
        <f aca="false">F1176*tax</f>
        <v>3.18954921121629</v>
      </c>
      <c r="G1177" s="23" t="n">
        <f aca="false">G1176*tax</f>
        <v>3.4256149096942</v>
      </c>
    </row>
    <row r="1178" customFormat="false" ht="17.15" hidden="false" customHeight="false" outlineLevel="0" collapsed="false">
      <c r="A1178" s="4" t="s">
        <v>567</v>
      </c>
      <c r="B1178" s="0" t="s">
        <v>184</v>
      </c>
      <c r="C1178" s="23" t="n">
        <f aca="false">a25_mi</f>
        <v>0</v>
      </c>
      <c r="D1178" s="23" t="n">
        <f aca="false">a26_mi</f>
        <v>0</v>
      </c>
      <c r="E1178" s="23" t="n">
        <f aca="false">vmi*E1169*(1-tax)</f>
        <v>0.12690432</v>
      </c>
      <c r="F1178" s="23" t="n">
        <f aca="false">vmi*F1169*(1-tax)</f>
        <v>1.2690432</v>
      </c>
      <c r="G1178" s="23" t="n">
        <f aca="false">vmi*G1169*(1-tax)</f>
        <v>2.2208256</v>
      </c>
      <c r="K1178" s="8" t="s">
        <v>568</v>
      </c>
    </row>
    <row r="1179" customFormat="false" ht="15" hidden="false" customHeight="false" outlineLevel="0" collapsed="false">
      <c r="A1179" s="4" t="s">
        <v>435</v>
      </c>
      <c r="B1179" s="0" t="s">
        <v>184</v>
      </c>
      <c r="C1179" s="23" t="n">
        <f aca="false">C1176-C1177-C1178</f>
        <v>7.908</v>
      </c>
      <c r="D1179" s="23" t="n">
        <f aca="false">D1176-D1177-D1178</f>
        <v>12.2375212108949</v>
      </c>
      <c r="E1179" s="23" t="n">
        <f aca="false">E1176-E1177-E1178</f>
        <v>15.8975044720487</v>
      </c>
      <c r="F1179" s="23" t="n">
        <f aca="false">F1176-F1177-F1178</f>
        <v>16.8050689968923</v>
      </c>
      <c r="G1179" s="23" t="n">
        <f aca="false">G1176-G1177-G1178</f>
        <v>17.1909922216005</v>
      </c>
      <c r="H1179" s="29" t="n">
        <f aca="false">H1160*H1183</f>
        <v>18.5019721850556</v>
      </c>
      <c r="I1179" s="29" t="n">
        <f aca="false">I1160*I1183</f>
        <v>19.7625088037508</v>
      </c>
      <c r="J1179" s="29" t="n">
        <f aca="false">J1160*J1183</f>
        <v>20.9482593319759</v>
      </c>
    </row>
    <row r="1180" customFormat="false" ht="15" hidden="false" customHeight="false" outlineLevel="0" collapsed="false">
      <c r="A1180" s="4" t="s">
        <v>569</v>
      </c>
      <c r="B1180" s="4" t="s">
        <v>265</v>
      </c>
      <c r="C1180" s="10" t="n">
        <f aca="false">a25_sh</f>
        <v>1.8739336492891</v>
      </c>
      <c r="D1180" s="10" t="n">
        <f aca="false">a26_sh</f>
        <v>1.90613591916558</v>
      </c>
      <c r="E1180" s="10" t="n">
        <f aca="false">q_sh*(1+sh_g)</f>
        <v>1.90705128205128</v>
      </c>
      <c r="F1180" s="10" t="n">
        <f aca="false">E1180*(1+sh_g)</f>
        <v>1.90705128205128</v>
      </c>
      <c r="G1180" s="10" t="n">
        <f aca="false">F1180*(1+sh_g)</f>
        <v>1.90705128205128</v>
      </c>
      <c r="H1180" s="31" t="n">
        <f aca="false">G1180*(1+sh_g)</f>
        <v>1.90705128205128</v>
      </c>
      <c r="I1180" s="31" t="n">
        <f aca="false">H1180*(1+sh_g)</f>
        <v>1.90705128205128</v>
      </c>
      <c r="J1180" s="31" t="n">
        <f aca="false">I1180*(1+sh_g)</f>
        <v>1.90705128205128</v>
      </c>
    </row>
    <row r="1181" customFormat="false" ht="17.15" hidden="false" customHeight="false" outlineLevel="0" collapsed="false">
      <c r="A1181" s="0" t="s">
        <v>442</v>
      </c>
      <c r="B1181" s="0" t="s">
        <v>274</v>
      </c>
      <c r="C1181" s="23" t="n">
        <f aca="false">C1179/C1180</f>
        <v>4.22</v>
      </c>
      <c r="D1181" s="23" t="n">
        <f aca="false">D1179/D1180</f>
        <v>6.42006747150118</v>
      </c>
      <c r="E1181" s="23" t="n">
        <f aca="false">E1179/E1180</f>
        <v>8.33617041223394</v>
      </c>
      <c r="F1181" s="23" t="n">
        <f aca="false">F1179/F1180</f>
        <v>8.8120697933284</v>
      </c>
      <c r="G1181" s="23" t="n">
        <f aca="false">G1179/G1180</f>
        <v>9.01443625737706</v>
      </c>
      <c r="H1181" s="29" t="n">
        <f aca="false">H1179/H1180</f>
        <v>9.70187449031486</v>
      </c>
      <c r="I1181" s="29" t="n">
        <f aca="false">I1179/I1180</f>
        <v>10.3628617592777</v>
      </c>
      <c r="J1181" s="29" t="n">
        <f aca="false">J1179/J1180</f>
        <v>10.9846334648344</v>
      </c>
    </row>
    <row r="1182" customFormat="false" ht="17.15" hidden="false" customHeight="false" outlineLevel="0" collapsed="false">
      <c r="A1182" s="0" t="s">
        <v>570</v>
      </c>
      <c r="B1182" s="0" t="s">
        <v>48</v>
      </c>
      <c r="D1182" s="20" t="n">
        <f aca="false">D1181/C1181-1</f>
        <v>0.521343002725398</v>
      </c>
      <c r="E1182" s="20" t="n">
        <f aca="false">E1181/D1181-1</f>
        <v>0.298455265343921</v>
      </c>
      <c r="F1182" s="20" t="n">
        <f aca="false">F1181/E1181-1</f>
        <v>0.0570884899852873</v>
      </c>
      <c r="G1182" s="20" t="n">
        <f aca="false">G1181/F1181-1</f>
        <v>0.0229646914737187</v>
      </c>
      <c r="H1182" s="27" t="n">
        <f aca="false">H1181/G1181-1</f>
        <v>0.0762597031373122</v>
      </c>
      <c r="I1182" s="27" t="n">
        <f aca="false">I1181/H1181-1</f>
        <v>0.0681298515686561</v>
      </c>
      <c r="J1182" s="27" t="n">
        <f aca="false">J1181/I1181-1</f>
        <v>0.0600000000000001</v>
      </c>
    </row>
    <row r="1183" customFormat="false" ht="17.15" hidden="false" customHeight="false" outlineLevel="0" collapsed="false">
      <c r="A1183" s="4" t="s">
        <v>571</v>
      </c>
      <c r="B1183" s="0" t="s">
        <v>48</v>
      </c>
      <c r="C1183" s="16" t="n">
        <f aca="false">C1179/C1160</f>
        <v>0.162746187565599</v>
      </c>
      <c r="D1183" s="16" t="n">
        <f aca="false">D1179/D1160</f>
        <v>0.208646059676249</v>
      </c>
      <c r="E1183" s="16" t="n">
        <f aca="false">E1179/E1160</f>
        <v>0.209135332940418</v>
      </c>
      <c r="F1183" s="16" t="n">
        <f aca="false">F1179/F1160</f>
        <v>0.191297493825543</v>
      </c>
      <c r="G1183" s="16" t="n">
        <f aca="false">G1179/G1160</f>
        <v>0.180461514869538</v>
      </c>
      <c r="H1183" s="28" t="n">
        <f aca="false">$G1183+($G$1183*1-$G1183)*1/3</f>
        <v>0.180461514869538</v>
      </c>
      <c r="I1183" s="28" t="n">
        <f aca="false">$G1183+($G$1183*1-$G1183)*2/3</f>
        <v>0.180461514869538</v>
      </c>
      <c r="J1183" s="28" t="n">
        <f aca="false">$G1183+($G$1183*1-$G1183)*3/3</f>
        <v>0.180461514869538</v>
      </c>
    </row>
    <row r="1186" customFormat="false" ht="17.15" hidden="false" customHeight="false" outlineLevel="0" collapsed="false">
      <c r="A1186" s="1" t="s">
        <v>873</v>
      </c>
    </row>
    <row r="1187" customFormat="false" ht="17.15" hidden="false" customHeight="false" outlineLevel="0" collapsed="false">
      <c r="A1187" s="5" t="s">
        <v>24</v>
      </c>
      <c r="B1187" s="5" t="s">
        <v>25</v>
      </c>
      <c r="C1187" s="17" t="s">
        <v>394</v>
      </c>
      <c r="D1187" s="17" t="s">
        <v>521</v>
      </c>
      <c r="E1187" s="17" t="s">
        <v>480</v>
      </c>
      <c r="F1187" s="17" t="s">
        <v>481</v>
      </c>
      <c r="G1187" s="17" t="s">
        <v>482</v>
      </c>
      <c r="H1187" s="17" t="s">
        <v>522</v>
      </c>
      <c r="I1187" s="17" t="s">
        <v>523</v>
      </c>
      <c r="J1187" s="17" t="s">
        <v>524</v>
      </c>
      <c r="K1187" s="5" t="s">
        <v>357</v>
      </c>
    </row>
    <row r="1188" customFormat="false" ht="17.15" hidden="false" customHeight="false" outlineLevel="0" collapsed="false">
      <c r="A1188" s="6" t="s">
        <v>542</v>
      </c>
    </row>
    <row r="1189" customFormat="false" ht="17.15" hidden="false" customHeight="false" outlineLevel="0" collapsed="false">
      <c r="A1189" s="4" t="s">
        <v>543</v>
      </c>
      <c r="B1189" s="4" t="s">
        <v>42</v>
      </c>
      <c r="D1189" s="22" t="n">
        <f aca="false">cap_26</f>
        <v>3306</v>
      </c>
      <c r="E1189" s="22" t="n">
        <f aca="false">D1189*(1+capg27)*cap_adj</f>
        <v>3306</v>
      </c>
      <c r="F1189" s="22" t="n">
        <f aca="false">E1189*(1+capg28)</f>
        <v>3306</v>
      </c>
      <c r="G1189" s="22" t="n">
        <f aca="false">F1189*(1+capg29)</f>
        <v>3306</v>
      </c>
    </row>
    <row r="1190" customFormat="false" ht="15" hidden="false" customHeight="false" outlineLevel="0" collapsed="false">
      <c r="A1190" s="4" t="s">
        <v>544</v>
      </c>
      <c r="B1190" s="0" t="s">
        <v>48</v>
      </c>
      <c r="D1190" s="20" t="n">
        <f aca="false">a26_ship/cap_26</f>
        <v>0.8725</v>
      </c>
      <c r="E1190" s="20" t="n">
        <f aca="false">MIN(0.98,ut27_B+ut_adj)</f>
        <v>0.9</v>
      </c>
      <c r="F1190" s="20" t="n">
        <f aca="false">MIN(0.98,ut28_B+ut_adj)</f>
        <v>0.86</v>
      </c>
      <c r="G1190" s="20" t="n">
        <f aca="false">MIN(0.98,ut29_B+ut_adj)</f>
        <v>0.87</v>
      </c>
    </row>
    <row r="1191" customFormat="false" ht="17.15" hidden="false" customHeight="false" outlineLevel="0" collapsed="false">
      <c r="A1191" s="4" t="s">
        <v>545</v>
      </c>
      <c r="B1191" s="4" t="s">
        <v>42</v>
      </c>
      <c r="D1191" s="22" t="n">
        <f aca="false">D1189*D1190</f>
        <v>2884.485</v>
      </c>
      <c r="E1191" s="22" t="n">
        <f aca="false">E1189*E1190</f>
        <v>2975.4</v>
      </c>
      <c r="F1191" s="22" t="n">
        <f aca="false">F1189*F1190</f>
        <v>2843.16</v>
      </c>
      <c r="G1191" s="22" t="n">
        <f aca="false">G1189*G1190</f>
        <v>2876.22</v>
      </c>
    </row>
    <row r="1192" customFormat="false" ht="17.15" hidden="false" customHeight="false" outlineLevel="0" collapsed="false">
      <c r="A1192" s="4" t="s">
        <v>546</v>
      </c>
      <c r="B1192" s="0" t="s">
        <v>89</v>
      </c>
      <c r="D1192" s="22" t="n">
        <f aca="false">asp_26</f>
        <v>643.469405492234</v>
      </c>
      <c r="E1192" s="22" t="n">
        <f aca="false">D1192*(1+asp27_B)*(1+asp_adj)</f>
        <v>662.773487657001</v>
      </c>
      <c r="F1192" s="22" t="n">
        <f aca="false">E1192*(1+asp28_B)</f>
        <v>662.773487657001</v>
      </c>
      <c r="G1192" s="22" t="n">
        <f aca="false">F1192*(1+asp29_B)</f>
        <v>662.773487657001</v>
      </c>
    </row>
    <row r="1193" customFormat="false" ht="15" hidden="false" customHeight="false" outlineLevel="0" collapsed="false">
      <c r="A1193" s="4" t="s">
        <v>547</v>
      </c>
      <c r="B1193" s="0" t="s">
        <v>48</v>
      </c>
      <c r="E1193" s="20" t="n">
        <f aca="false">E1192/D1192-1</f>
        <v>0.03</v>
      </c>
      <c r="F1193" s="20" t="n">
        <f aca="false">F1192/E1192-1</f>
        <v>0</v>
      </c>
      <c r="G1193" s="20" t="n">
        <f aca="false">G1192/F1192-1</f>
        <v>0</v>
      </c>
    </row>
    <row r="1194" customFormat="false" ht="15" hidden="false" customHeight="false" outlineLevel="0" collapsed="false">
      <c r="A1194" s="4" t="s">
        <v>548</v>
      </c>
      <c r="B1194" s="0" t="s">
        <v>35</v>
      </c>
      <c r="D1194" s="23" t="n">
        <f aca="false">fx_26</f>
        <v>31.6</v>
      </c>
      <c r="E1194" s="23" t="n">
        <f aca="false">fx</f>
        <v>32</v>
      </c>
      <c r="F1194" s="23" t="n">
        <f aca="false">fx</f>
        <v>32</v>
      </c>
      <c r="G1194" s="23" t="n">
        <f aca="false">fx</f>
        <v>32</v>
      </c>
    </row>
    <row r="1195" customFormat="false" ht="17.15" hidden="false" customHeight="false" outlineLevel="0" collapsed="false">
      <c r="A1195" s="0" t="s">
        <v>549</v>
      </c>
      <c r="B1195" s="0" t="s">
        <v>184</v>
      </c>
      <c r="D1195" s="23" t="n">
        <f aca="false">D1191*D1192*D1194/1000000</f>
        <v>58.65206</v>
      </c>
      <c r="E1195" s="23" t="n">
        <f aca="false">E1191*E1192*E1194/1000000</f>
        <v>63.1045195255885</v>
      </c>
      <c r="F1195" s="23" t="n">
        <f aca="false">F1191*F1192*F1194/1000000</f>
        <v>60.2998742133401</v>
      </c>
      <c r="G1195" s="23" t="n">
        <f aca="false">G1191*G1192*G1194/1000000</f>
        <v>61.0010355414022</v>
      </c>
    </row>
    <row r="1196" customFormat="false" ht="17.15" hidden="false" customHeight="false" outlineLevel="0" collapsed="false">
      <c r="A1196" s="6" t="s">
        <v>550</v>
      </c>
    </row>
    <row r="1197" customFormat="false" ht="17.15" hidden="false" customHeight="false" outlineLevel="0" collapsed="false">
      <c r="A1197" s="0" t="s">
        <v>551</v>
      </c>
      <c r="B1197" s="4" t="s">
        <v>42</v>
      </c>
      <c r="D1197" s="22" t="n">
        <f aca="false">0</f>
        <v>0</v>
      </c>
      <c r="E1197" s="22" t="n">
        <f aca="false">vcap27*vcap_adj</f>
        <v>144</v>
      </c>
      <c r="F1197" s="22" t="n">
        <f aca="false">vcap28*vcap_adj</f>
        <v>360</v>
      </c>
      <c r="G1197" s="22" t="n">
        <f aca="false">vcap29*vcap_adj</f>
        <v>504</v>
      </c>
    </row>
    <row r="1198" customFormat="false" ht="17.15" hidden="false" customHeight="false" outlineLevel="0" collapsed="false">
      <c r="A1198" s="0" t="s">
        <v>552</v>
      </c>
      <c r="B1198" s="0" t="s">
        <v>48</v>
      </c>
      <c r="E1198" s="20" t="n">
        <f aca="false">vut_B</f>
        <v>0.8</v>
      </c>
      <c r="F1198" s="20" t="n">
        <f aca="false">vut_B</f>
        <v>0.8</v>
      </c>
      <c r="G1198" s="20" t="n">
        <f aca="false">vut_B</f>
        <v>0.8</v>
      </c>
    </row>
    <row r="1199" customFormat="false" ht="17.15" hidden="false" customHeight="false" outlineLevel="0" collapsed="false">
      <c r="A1199" s="0" t="s">
        <v>553</v>
      </c>
      <c r="B1199" s="4" t="s">
        <v>42</v>
      </c>
      <c r="D1199" s="22" t="n">
        <f aca="false">0</f>
        <v>0</v>
      </c>
      <c r="E1199" s="22" t="n">
        <f aca="false">E1197*E1198</f>
        <v>115.2</v>
      </c>
      <c r="F1199" s="22" t="n">
        <f aca="false">F1197*F1198</f>
        <v>288</v>
      </c>
      <c r="G1199" s="22" t="n">
        <f aca="false">G1197*G1198</f>
        <v>403.2</v>
      </c>
    </row>
    <row r="1200" customFormat="false" ht="17.15" hidden="false" customHeight="false" outlineLevel="0" collapsed="false">
      <c r="A1200" s="0" t="s">
        <v>554</v>
      </c>
      <c r="B1200" s="0" t="s">
        <v>184</v>
      </c>
      <c r="D1200" s="23" t="n">
        <f aca="false">0</f>
        <v>0</v>
      </c>
      <c r="E1200" s="23" t="n">
        <f aca="false">E1199*vasp*E1194/1000000</f>
        <v>6.63552</v>
      </c>
      <c r="F1200" s="23" t="n">
        <f aca="false">F1199*vasp*F1194/1000000</f>
        <v>16.5888</v>
      </c>
      <c r="G1200" s="23" t="n">
        <f aca="false">G1199*vasp*G1194/1000000</f>
        <v>23.22432</v>
      </c>
    </row>
    <row r="1201" customFormat="false" ht="17.15" hidden="false" customHeight="false" outlineLevel="0" collapsed="false">
      <c r="A1201" s="4" t="s">
        <v>400</v>
      </c>
      <c r="B1201" s="0" t="s">
        <v>184</v>
      </c>
      <c r="C1201" s="23" t="n">
        <f aca="false">a25_rev</f>
        <v>48.591</v>
      </c>
      <c r="D1201" s="23" t="n">
        <f aca="false">D1195+D1200</f>
        <v>58.65206</v>
      </c>
      <c r="E1201" s="23" t="n">
        <f aca="false">E1195+E1200</f>
        <v>69.7400395255885</v>
      </c>
      <c r="F1201" s="23" t="n">
        <f aca="false">F1195+F1200</f>
        <v>76.8886742133401</v>
      </c>
      <c r="G1201" s="23" t="n">
        <f aca="false">G1195+G1200</f>
        <v>84.2253555414022</v>
      </c>
      <c r="H1201" s="29" t="n">
        <f aca="false">G1201*(1+H1204)</f>
        <v>90.7061896343453</v>
      </c>
      <c r="I1201" s="29" t="n">
        <f aca="false">H1201*(1+I1204)</f>
        <v>96.0100687533499</v>
      </c>
      <c r="J1201" s="29" t="n">
        <f aca="false">I1201*(1+J1204)</f>
        <v>99.8504715034839</v>
      </c>
      <c r="K1201" s="8" t="s">
        <v>555</v>
      </c>
    </row>
    <row r="1202" customFormat="false" ht="17.15" hidden="false" customHeight="false" outlineLevel="0" collapsed="false">
      <c r="A1202" s="0" t="s">
        <v>556</v>
      </c>
      <c r="B1202" s="0" t="s">
        <v>48</v>
      </c>
      <c r="D1202" s="20" t="n">
        <f aca="false">D1200/D1201</f>
        <v>0</v>
      </c>
      <c r="E1202" s="20" t="n">
        <f aca="false">E1200/E1201</f>
        <v>0.0951464903825491</v>
      </c>
      <c r="F1202" s="20" t="n">
        <f aca="false">F1200/F1201</f>
        <v>0.215750891398799</v>
      </c>
      <c r="G1202" s="20" t="n">
        <f aca="false">G1200/G1201</f>
        <v>0.275740242955505</v>
      </c>
    </row>
    <row r="1203" customFormat="false" ht="17.15" hidden="false" customHeight="false" outlineLevel="0" collapsed="false">
      <c r="A1203" s="0" t="s">
        <v>557</v>
      </c>
      <c r="B1203" s="0" t="s">
        <v>48</v>
      </c>
      <c r="D1203" s="20" t="n">
        <f aca="false">ai_sh26</f>
        <v>0.1</v>
      </c>
      <c r="E1203" s="20" t="n">
        <f aca="false">ai_sh27_B</f>
        <v>0.2</v>
      </c>
      <c r="F1203" s="20" t="n">
        <f aca="false">ai_sh27_B</f>
        <v>0.2</v>
      </c>
      <c r="G1203" s="20" t="n">
        <f aca="false">ai_sh27_B</f>
        <v>0.2</v>
      </c>
    </row>
    <row r="1204" customFormat="false" ht="15" hidden="false" customHeight="false" outlineLevel="0" collapsed="false">
      <c r="A1204" s="4" t="s">
        <v>558</v>
      </c>
      <c r="B1204" s="0" t="s">
        <v>48</v>
      </c>
      <c r="D1204" s="20" t="n">
        <f aca="false">D1201/C1201-1</f>
        <v>0.207056039184211</v>
      </c>
      <c r="E1204" s="20" t="n">
        <f aca="false">E1201/D1201-1</f>
        <v>0.189046719340949</v>
      </c>
      <c r="F1204" s="20" t="n">
        <f aca="false">F1201/E1201-1</f>
        <v>0.10250402403527</v>
      </c>
      <c r="G1204" s="20" t="n">
        <f aca="false">G1201/F1201-1</f>
        <v>0.095419532240929</v>
      </c>
      <c r="H1204" s="27" t="n">
        <f aca="false">$G1204+(fade_gB-$G1204)*1/3</f>
        <v>0.076946354827286</v>
      </c>
      <c r="I1204" s="27" t="n">
        <f aca="false">$G1204+(fade_gB-$G1204)*2/3</f>
        <v>0.058473177413643</v>
      </c>
      <c r="J1204" s="27" t="n">
        <f aca="false">$G1204+(fade_gB-$G1204)*3/3</f>
        <v>0.04</v>
      </c>
    </row>
    <row r="1205" customFormat="false" ht="17.15" hidden="false" customHeight="false" outlineLevel="0" collapsed="false">
      <c r="A1205" s="6" t="s">
        <v>559</v>
      </c>
    </row>
    <row r="1206" customFormat="false" ht="15" hidden="false" customHeight="false" outlineLevel="0" collapsed="false">
      <c r="A1206" s="4" t="s">
        <v>560</v>
      </c>
      <c r="B1206" s="0" t="s">
        <v>184</v>
      </c>
      <c r="D1206" s="23" t="n">
        <f aca="false">da_tot26*da_sh</f>
        <v>8.658</v>
      </c>
      <c r="E1206" s="23" t="n">
        <f aca="false">D1206*(1+dag_27+dag_adj_hi)</f>
        <v>9.35064</v>
      </c>
      <c r="F1206" s="23" t="n">
        <f aca="false">E1206*(1+dag_28+dag_adj_hi)</f>
        <v>10.0051848</v>
      </c>
      <c r="G1206" s="23" t="n">
        <f aca="false">F1206*(1+dag_29+dag_adj_hi)</f>
        <v>10.50544404</v>
      </c>
    </row>
    <row r="1207" customFormat="false" ht="17.15" hidden="false" customHeight="false" outlineLevel="0" collapsed="false">
      <c r="A1207" s="4" t="s">
        <v>561</v>
      </c>
      <c r="B1207" s="0" t="s">
        <v>562</v>
      </c>
      <c r="D1207" s="23" t="n">
        <f aca="false">(D1195-a26_gp-D1206)/D1191*1000</f>
        <v>10.7339918911001</v>
      </c>
      <c r="E1207" s="23" t="n">
        <f aca="false">D1207*(1+cc_g)</f>
        <v>10.9486717289221</v>
      </c>
      <c r="F1207" s="23" t="n">
        <f aca="false">E1207*(1+cc_g)</f>
        <v>11.1676451635006</v>
      </c>
      <c r="G1207" s="23" t="n">
        <f aca="false">F1207*(1+cc_g)</f>
        <v>11.3909980667706</v>
      </c>
      <c r="K1207" s="8" t="s">
        <v>563</v>
      </c>
    </row>
    <row r="1208" customFormat="false" ht="17.15" hidden="false" customHeight="false" outlineLevel="0" collapsed="false">
      <c r="A1208" s="4" t="s">
        <v>564</v>
      </c>
      <c r="B1208" s="0" t="s">
        <v>184</v>
      </c>
      <c r="D1208" s="23" t="n">
        <f aca="false">D1207*D1191/1000</f>
        <v>30.9620386</v>
      </c>
      <c r="E1208" s="23" t="n">
        <f aca="false">E1207*E1191/1000</f>
        <v>32.576677862235</v>
      </c>
      <c r="F1208" s="23" t="n">
        <f aca="false">F1207*F1191/1000</f>
        <v>31.7514020230583</v>
      </c>
      <c r="G1208" s="23" t="n">
        <f aca="false">G1207*G1191/1000</f>
        <v>32.7630164596069</v>
      </c>
    </row>
    <row r="1209" customFormat="false" ht="17.15" hidden="false" customHeight="false" outlineLevel="0" collapsed="false">
      <c r="A1209" s="0" t="s">
        <v>565</v>
      </c>
      <c r="B1209" s="0" t="s">
        <v>48</v>
      </c>
      <c r="E1209" s="20" t="n">
        <f aca="false">vgm27_B</f>
        <v>-0.05</v>
      </c>
      <c r="F1209" s="20" t="n">
        <f aca="false">vgm28_B</f>
        <v>0.12</v>
      </c>
      <c r="G1209" s="20" t="n">
        <f aca="false">vgm29_B</f>
        <v>0.18</v>
      </c>
    </row>
    <row r="1210" customFormat="false" ht="17.15" hidden="false" customHeight="false" outlineLevel="0" collapsed="false">
      <c r="A1210" s="0" t="s">
        <v>566</v>
      </c>
      <c r="B1210" s="0" t="s">
        <v>184</v>
      </c>
      <c r="D1210" s="23" t="n">
        <f aca="false">0</f>
        <v>0</v>
      </c>
      <c r="E1210" s="23" t="n">
        <f aca="false">E1200*E1209</f>
        <v>-0.331776</v>
      </c>
      <c r="F1210" s="23" t="n">
        <f aca="false">F1200*F1209</f>
        <v>1.990656</v>
      </c>
      <c r="G1210" s="23" t="n">
        <f aca="false">G1200*G1209</f>
        <v>4.1803776</v>
      </c>
    </row>
    <row r="1211" customFormat="false" ht="15" hidden="false" customHeight="false" outlineLevel="0" collapsed="false">
      <c r="A1211" s="4" t="s">
        <v>417</v>
      </c>
      <c r="B1211" s="0" t="s">
        <v>184</v>
      </c>
      <c r="C1211" s="23" t="n">
        <f aca="false">a25_gp</f>
        <v>13.654</v>
      </c>
      <c r="D1211" s="23" t="n">
        <f aca="false">D1195-D1206-D1208+D1210</f>
        <v>19.0320214</v>
      </c>
      <c r="E1211" s="23" t="n">
        <f aca="false">E1195-E1206-E1208+E1210</f>
        <v>20.8454256633535</v>
      </c>
      <c r="F1211" s="23" t="n">
        <f aca="false">F1195-F1206-F1208+F1210</f>
        <v>20.5339433902818</v>
      </c>
      <c r="G1211" s="23" t="n">
        <f aca="false">G1195-G1206-G1208+G1210</f>
        <v>21.9129526417953</v>
      </c>
    </row>
    <row r="1212" customFormat="false" ht="15" hidden="false" customHeight="false" outlineLevel="0" collapsed="false">
      <c r="A1212" s="4" t="s">
        <v>420</v>
      </c>
      <c r="B1212" s="0" t="s">
        <v>48</v>
      </c>
      <c r="C1212" s="16" t="n">
        <f aca="false">C1211/C1201</f>
        <v>0.280998538824062</v>
      </c>
      <c r="D1212" s="16" t="n">
        <f aca="false">D1211/D1201</f>
        <v>0.324490246378388</v>
      </c>
      <c r="E1212" s="16" t="n">
        <f aca="false">E1211/E1201</f>
        <v>0.298901833224587</v>
      </c>
      <c r="F1212" s="16" t="n">
        <f aca="false">F1211/F1201</f>
        <v>0.267060703027692</v>
      </c>
      <c r="G1212" s="16" t="n">
        <f aca="false">G1211/G1201</f>
        <v>0.260170497363156</v>
      </c>
    </row>
    <row r="1213" customFormat="false" ht="15" hidden="false" customHeight="false" outlineLevel="0" collapsed="false">
      <c r="A1213" s="4" t="s">
        <v>422</v>
      </c>
      <c r="B1213" s="0" t="s">
        <v>184</v>
      </c>
      <c r="C1213" s="23" t="n">
        <f aca="false">a25_opx</f>
        <v>5.881</v>
      </c>
      <c r="D1213" s="23" t="n">
        <f aca="false">a26_opx</f>
        <v>6.824187</v>
      </c>
      <c r="E1213" s="23" t="n">
        <f aca="false">D1213*(1+MAX(g_opx_min,phi*E1204))</f>
        <v>7.46923208225958</v>
      </c>
      <c r="F1213" s="23" t="n">
        <f aca="false">E1213*(1+MAX(g_opx_min,phi*F1204))</f>
        <v>7.85204525470205</v>
      </c>
      <c r="G1213" s="23" t="n">
        <f aca="false">F1213*(1+MAX(g_opx_min,phi*G1204))</f>
        <v>8.22666449737119</v>
      </c>
    </row>
    <row r="1214" customFormat="false" ht="15" hidden="false" customHeight="false" outlineLevel="0" collapsed="false">
      <c r="A1214" s="4" t="s">
        <v>425</v>
      </c>
      <c r="B1214" s="0" t="s">
        <v>184</v>
      </c>
      <c r="C1214" s="23" t="n">
        <f aca="false">C1211-C1213</f>
        <v>7.773</v>
      </c>
      <c r="D1214" s="23" t="n">
        <f aca="false">D1211-D1213</f>
        <v>12.2078344</v>
      </c>
      <c r="E1214" s="23" t="n">
        <f aca="false">E1211-E1213</f>
        <v>13.376193581094</v>
      </c>
      <c r="F1214" s="23" t="n">
        <f aca="false">F1211-F1213</f>
        <v>12.6818981355797</v>
      </c>
      <c r="G1214" s="23" t="n">
        <f aca="false">G1211-G1213</f>
        <v>13.6862881444241</v>
      </c>
    </row>
    <row r="1215" customFormat="false" ht="15" hidden="false" customHeight="false" outlineLevel="0" collapsed="false">
      <c r="A1215" s="4" t="s">
        <v>531</v>
      </c>
      <c r="B1215" s="0" t="s">
        <v>48</v>
      </c>
      <c r="C1215" s="16" t="n">
        <f aca="false">C1214/C1201</f>
        <v>0.159967895289251</v>
      </c>
      <c r="D1215" s="16" t="n">
        <f aca="false">D1214/D1201</f>
        <v>0.208139908470393</v>
      </c>
      <c r="E1215" s="16" t="n">
        <f aca="false">E1214/E1201</f>
        <v>0.191800774305355</v>
      </c>
      <c r="F1215" s="16" t="n">
        <f aca="false">F1214/F1201</f>
        <v>0.164938442044035</v>
      </c>
      <c r="G1215" s="16" t="n">
        <f aca="false">G1214/G1201</f>
        <v>0.162496056638151</v>
      </c>
    </row>
    <row r="1216" customFormat="false" ht="15" hidden="false" customHeight="false" outlineLevel="0" collapsed="false">
      <c r="A1216" s="4" t="s">
        <v>428</v>
      </c>
      <c r="B1216" s="0" t="s">
        <v>184</v>
      </c>
      <c r="C1216" s="23" t="n">
        <f aca="false">a25_nonop</f>
        <v>1.479</v>
      </c>
      <c r="D1216" s="23" t="n">
        <f aca="false">a26_nonop</f>
        <v>2.10950832169955</v>
      </c>
      <c r="E1216" s="23" t="n">
        <f aca="false">nonop_f</f>
        <v>1.5</v>
      </c>
      <c r="F1216" s="23" t="n">
        <f aca="false">nonop_f</f>
        <v>1.5</v>
      </c>
      <c r="G1216" s="23" t="n">
        <f aca="false">nonop_f</f>
        <v>1.5</v>
      </c>
    </row>
    <row r="1217" customFormat="false" ht="15" hidden="false" customHeight="false" outlineLevel="0" collapsed="false">
      <c r="A1217" s="4" t="s">
        <v>430</v>
      </c>
      <c r="B1217" s="0" t="s">
        <v>184</v>
      </c>
      <c r="C1217" s="23" t="n">
        <f aca="false">C1214+C1216</f>
        <v>9.252</v>
      </c>
      <c r="D1217" s="23" t="n">
        <f aca="false">D1214+D1216</f>
        <v>14.3173427216995</v>
      </c>
      <c r="E1217" s="23" t="n">
        <f aca="false">E1214+E1216</f>
        <v>14.876193581094</v>
      </c>
      <c r="F1217" s="23" t="n">
        <f aca="false">F1214+F1216</f>
        <v>14.1818981355797</v>
      </c>
      <c r="G1217" s="23" t="n">
        <f aca="false">G1214+G1216</f>
        <v>15.1862881444241</v>
      </c>
    </row>
    <row r="1218" customFormat="false" ht="15" hidden="false" customHeight="false" outlineLevel="0" collapsed="false">
      <c r="A1218" s="4" t="s">
        <v>432</v>
      </c>
      <c r="B1218" s="0" t="s">
        <v>184</v>
      </c>
      <c r="C1218" s="23" t="n">
        <f aca="false">a25_tax</f>
        <v>1.344</v>
      </c>
      <c r="D1218" s="23" t="n">
        <f aca="false">a26_tax</f>
        <v>2.0798215108046</v>
      </c>
      <c r="E1218" s="23" t="n">
        <f aca="false">E1217*tax</f>
        <v>2.23142903716409</v>
      </c>
      <c r="F1218" s="23" t="n">
        <f aca="false">F1217*tax</f>
        <v>2.12728472033696</v>
      </c>
      <c r="G1218" s="23" t="n">
        <f aca="false">G1217*tax</f>
        <v>2.27794322166361</v>
      </c>
    </row>
    <row r="1219" customFormat="false" ht="17.15" hidden="false" customHeight="false" outlineLevel="0" collapsed="false">
      <c r="A1219" s="4" t="s">
        <v>567</v>
      </c>
      <c r="B1219" s="0" t="s">
        <v>184</v>
      </c>
      <c r="C1219" s="23" t="n">
        <f aca="false">a25_mi</f>
        <v>0</v>
      </c>
      <c r="D1219" s="23" t="n">
        <f aca="false">a26_mi</f>
        <v>0</v>
      </c>
      <c r="E1219" s="23" t="n">
        <f aca="false">vmi*E1210*(1-tax)</f>
        <v>-0.11280384</v>
      </c>
      <c r="F1219" s="23" t="n">
        <f aca="false">vmi*F1210*(1-tax)</f>
        <v>0.67682304</v>
      </c>
      <c r="G1219" s="23" t="n">
        <f aca="false">vmi*G1210*(1-tax)</f>
        <v>1.421328384</v>
      </c>
      <c r="K1219" s="8" t="s">
        <v>568</v>
      </c>
    </row>
    <row r="1220" customFormat="false" ht="15" hidden="false" customHeight="false" outlineLevel="0" collapsed="false">
      <c r="A1220" s="4" t="s">
        <v>435</v>
      </c>
      <c r="B1220" s="0" t="s">
        <v>184</v>
      </c>
      <c r="C1220" s="23" t="n">
        <f aca="false">C1217-C1218-C1219</f>
        <v>7.908</v>
      </c>
      <c r="D1220" s="23" t="n">
        <f aca="false">D1217-D1218-D1219</f>
        <v>12.2375212108949</v>
      </c>
      <c r="E1220" s="23" t="n">
        <f aca="false">E1217-E1218-E1219</f>
        <v>12.7575683839299</v>
      </c>
      <c r="F1220" s="23" t="n">
        <f aca="false">F1217-F1218-F1219</f>
        <v>11.3777903752428</v>
      </c>
      <c r="G1220" s="23" t="n">
        <f aca="false">G1217-G1218-G1219</f>
        <v>11.4870165387605</v>
      </c>
      <c r="H1220" s="29" t="n">
        <f aca="false">H1201*H1224</f>
        <v>11.9585372362835</v>
      </c>
      <c r="I1220" s="29" t="n">
        <f aca="false">I1201*I1224</f>
        <v>12.2213153572357</v>
      </c>
      <c r="J1220" s="29" t="n">
        <f aca="false">J1201*J1224</f>
        <v>12.2562334011135</v>
      </c>
    </row>
    <row r="1221" customFormat="false" ht="15" hidden="false" customHeight="false" outlineLevel="0" collapsed="false">
      <c r="A1221" s="4" t="s">
        <v>569</v>
      </c>
      <c r="B1221" s="4" t="s">
        <v>265</v>
      </c>
      <c r="C1221" s="10" t="n">
        <f aca="false">a25_sh</f>
        <v>1.8739336492891</v>
      </c>
      <c r="D1221" s="10" t="n">
        <f aca="false">a26_sh</f>
        <v>1.90613591916558</v>
      </c>
      <c r="E1221" s="10" t="n">
        <f aca="false">q_sh*(1+sh_g)</f>
        <v>1.90705128205128</v>
      </c>
      <c r="F1221" s="10" t="n">
        <f aca="false">E1221*(1+sh_g)</f>
        <v>1.90705128205128</v>
      </c>
      <c r="G1221" s="10" t="n">
        <f aca="false">F1221*(1+sh_g)</f>
        <v>1.90705128205128</v>
      </c>
      <c r="H1221" s="31" t="n">
        <f aca="false">G1221*(1+sh_g)</f>
        <v>1.90705128205128</v>
      </c>
      <c r="I1221" s="31" t="n">
        <f aca="false">H1221*(1+sh_g)</f>
        <v>1.90705128205128</v>
      </c>
      <c r="J1221" s="31" t="n">
        <f aca="false">I1221*(1+sh_g)</f>
        <v>1.90705128205128</v>
      </c>
    </row>
    <row r="1222" customFormat="false" ht="17.15" hidden="false" customHeight="false" outlineLevel="0" collapsed="false">
      <c r="A1222" s="0" t="s">
        <v>442</v>
      </c>
      <c r="B1222" s="0" t="s">
        <v>274</v>
      </c>
      <c r="C1222" s="23" t="n">
        <f aca="false">C1220/C1221</f>
        <v>4.22</v>
      </c>
      <c r="D1222" s="23" t="n">
        <f aca="false">D1220/D1221</f>
        <v>6.42006747150118</v>
      </c>
      <c r="E1222" s="23" t="n">
        <f aca="false">E1220/E1221</f>
        <v>6.68968291728759</v>
      </c>
      <c r="F1222" s="23" t="n">
        <f aca="false">F1220/F1221</f>
        <v>5.96616907071553</v>
      </c>
      <c r="G1222" s="23" t="n">
        <f aca="false">G1220/G1221</f>
        <v>6.0234439665433</v>
      </c>
      <c r="H1222" s="29" t="n">
        <f aca="false">H1220/H1221</f>
        <v>6.27069515583271</v>
      </c>
      <c r="I1222" s="29" t="n">
        <f aca="false">I1220/I1221</f>
        <v>6.40848805286981</v>
      </c>
      <c r="J1222" s="29" t="n">
        <f aca="false">J1220/J1221</f>
        <v>6.42679801873515</v>
      </c>
    </row>
    <row r="1223" customFormat="false" ht="17.15" hidden="false" customHeight="false" outlineLevel="0" collapsed="false">
      <c r="A1223" s="0" t="s">
        <v>570</v>
      </c>
      <c r="B1223" s="0" t="s">
        <v>48</v>
      </c>
      <c r="D1223" s="20" t="n">
        <f aca="false">D1222/C1222-1</f>
        <v>0.521343002725398</v>
      </c>
      <c r="E1223" s="20" t="n">
        <f aca="false">E1222/D1222-1</f>
        <v>0.0419957339986283</v>
      </c>
      <c r="F1223" s="20" t="n">
        <f aca="false">F1222/E1222-1</f>
        <v>-0.108153683144285</v>
      </c>
      <c r="G1223" s="20" t="n">
        <f aca="false">G1222/F1222-1</f>
        <v>0.00959994514887241</v>
      </c>
      <c r="H1223" s="27" t="n">
        <f aca="false">H1222/G1222-1</f>
        <v>0.0410481429997098</v>
      </c>
      <c r="I1223" s="27" t="n">
        <f aca="false">I1222/H1222-1</f>
        <v>0.0219741023304143</v>
      </c>
      <c r="J1223" s="27" t="n">
        <f aca="false">J1222/I1222-1</f>
        <v>0.00285714285714289</v>
      </c>
    </row>
    <row r="1224" customFormat="false" ht="17.15" hidden="false" customHeight="false" outlineLevel="0" collapsed="false">
      <c r="A1224" s="4" t="s">
        <v>571</v>
      </c>
      <c r="B1224" s="0" t="s">
        <v>48</v>
      </c>
      <c r="C1224" s="16" t="n">
        <f aca="false">C1220/C1201</f>
        <v>0.162746187565599</v>
      </c>
      <c r="D1224" s="16" t="n">
        <f aca="false">D1220/D1201</f>
        <v>0.208646059676249</v>
      </c>
      <c r="E1224" s="16" t="n">
        <f aca="false">E1220/E1201</f>
        <v>0.182930329129638</v>
      </c>
      <c r="F1224" s="16" t="n">
        <f aca="false">F1220/F1201</f>
        <v>0.147977455609044</v>
      </c>
      <c r="G1224" s="16" t="n">
        <f aca="false">G1220/G1201</f>
        <v>0.136384304523521</v>
      </c>
      <c r="H1224" s="28" t="n">
        <f aca="false">$G1224+($G$1224*0.9-$G1224)*1/3</f>
        <v>0.131838161039404</v>
      </c>
      <c r="I1224" s="28" t="n">
        <f aca="false">$G1224+($G$1224*0.9-$G1224)*2/3</f>
        <v>0.127292017555287</v>
      </c>
      <c r="J1224" s="28" t="n">
        <f aca="false">$G1224+($G$1224*0.9-$G1224)*3/3</f>
        <v>0.122745874071169</v>
      </c>
    </row>
    <row r="1227" customFormat="false" ht="17.15" hidden="false" customHeight="false" outlineLevel="0" collapsed="false">
      <c r="A1227" s="1" t="s">
        <v>874</v>
      </c>
    </row>
    <row r="1228" customFormat="false" ht="17.15" hidden="false" customHeight="false" outlineLevel="0" collapsed="false">
      <c r="A1228" s="5" t="s">
        <v>24</v>
      </c>
      <c r="B1228" s="5" t="s">
        <v>25</v>
      </c>
      <c r="C1228" s="17" t="s">
        <v>394</v>
      </c>
      <c r="D1228" s="17" t="s">
        <v>521</v>
      </c>
      <c r="E1228" s="17" t="s">
        <v>480</v>
      </c>
      <c r="F1228" s="17" t="s">
        <v>481</v>
      </c>
      <c r="G1228" s="17" t="s">
        <v>482</v>
      </c>
      <c r="H1228" s="17" t="s">
        <v>522</v>
      </c>
      <c r="I1228" s="17" t="s">
        <v>523</v>
      </c>
      <c r="J1228" s="17" t="s">
        <v>524</v>
      </c>
      <c r="K1228" s="5" t="s">
        <v>357</v>
      </c>
    </row>
    <row r="1229" customFormat="false" ht="17.15" hidden="false" customHeight="false" outlineLevel="0" collapsed="false">
      <c r="A1229" s="6" t="s">
        <v>542</v>
      </c>
    </row>
    <row r="1230" customFormat="false" ht="17.15" hidden="false" customHeight="false" outlineLevel="0" collapsed="false">
      <c r="A1230" s="4" t="s">
        <v>543</v>
      </c>
      <c r="B1230" s="4" t="s">
        <v>42</v>
      </c>
      <c r="D1230" s="22" t="n">
        <f aca="false">cap_26</f>
        <v>3306</v>
      </c>
      <c r="E1230" s="22" t="n">
        <f aca="false">D1230*(1+capg27)*cap_adj</f>
        <v>3306</v>
      </c>
      <c r="F1230" s="22" t="n">
        <f aca="false">E1230*(1+capg28)</f>
        <v>3306</v>
      </c>
      <c r="G1230" s="22" t="n">
        <f aca="false">F1230*(1+capg29)</f>
        <v>3306</v>
      </c>
    </row>
    <row r="1231" customFormat="false" ht="15" hidden="false" customHeight="false" outlineLevel="0" collapsed="false">
      <c r="A1231" s="4" t="s">
        <v>544</v>
      </c>
      <c r="B1231" s="0" t="s">
        <v>48</v>
      </c>
      <c r="D1231" s="20" t="n">
        <f aca="false">a26_ship/cap_26</f>
        <v>0.8725</v>
      </c>
      <c r="E1231" s="20" t="n">
        <f aca="false">MIN(0.98,ut27_C+ut_adj)</f>
        <v>0.8</v>
      </c>
      <c r="F1231" s="20" t="n">
        <f aca="false">MIN(0.98,ut28_C+ut_adj)</f>
        <v>0.74</v>
      </c>
      <c r="G1231" s="20" t="n">
        <f aca="false">MIN(0.98,ut29_C+ut_adj)</f>
        <v>0.78</v>
      </c>
    </row>
    <row r="1232" customFormat="false" ht="17.15" hidden="false" customHeight="false" outlineLevel="0" collapsed="false">
      <c r="A1232" s="4" t="s">
        <v>545</v>
      </c>
      <c r="B1232" s="4" t="s">
        <v>42</v>
      </c>
      <c r="D1232" s="22" t="n">
        <f aca="false">D1230*D1231</f>
        <v>2884.485</v>
      </c>
      <c r="E1232" s="22" t="n">
        <f aca="false">E1230*E1231</f>
        <v>2644.8</v>
      </c>
      <c r="F1232" s="22" t="n">
        <f aca="false">F1230*F1231</f>
        <v>2446.44</v>
      </c>
      <c r="G1232" s="22" t="n">
        <f aca="false">G1230*G1231</f>
        <v>2578.68</v>
      </c>
    </row>
    <row r="1233" customFormat="false" ht="17.15" hidden="false" customHeight="false" outlineLevel="0" collapsed="false">
      <c r="A1233" s="4" t="s">
        <v>546</v>
      </c>
      <c r="B1233" s="0" t="s">
        <v>89</v>
      </c>
      <c r="D1233" s="22" t="n">
        <f aca="false">asp_26</f>
        <v>643.469405492234</v>
      </c>
      <c r="E1233" s="22" t="n">
        <f aca="false">D1233*(1+asp27_C)*(1+asp_adj)</f>
        <v>624.165323327467</v>
      </c>
      <c r="F1233" s="22" t="n">
        <f aca="false">E1233*(1+asp28_C)</f>
        <v>592.957057161093</v>
      </c>
      <c r="G1233" s="22" t="n">
        <f aca="false">F1233*(1+asp29_C)</f>
        <v>581.097916017871</v>
      </c>
    </row>
    <row r="1234" customFormat="false" ht="15" hidden="false" customHeight="false" outlineLevel="0" collapsed="false">
      <c r="A1234" s="4" t="s">
        <v>547</v>
      </c>
      <c r="B1234" s="0" t="s">
        <v>48</v>
      </c>
      <c r="E1234" s="20" t="n">
        <f aca="false">E1233/D1233-1</f>
        <v>-0.03</v>
      </c>
      <c r="F1234" s="20" t="n">
        <f aca="false">F1233/E1233-1</f>
        <v>-0.05</v>
      </c>
      <c r="G1234" s="20" t="n">
        <f aca="false">G1233/F1233-1</f>
        <v>-0.02</v>
      </c>
    </row>
    <row r="1235" customFormat="false" ht="15" hidden="false" customHeight="false" outlineLevel="0" collapsed="false">
      <c r="A1235" s="4" t="s">
        <v>548</v>
      </c>
      <c r="B1235" s="0" t="s">
        <v>35</v>
      </c>
      <c r="D1235" s="23" t="n">
        <f aca="false">fx_26</f>
        <v>31.6</v>
      </c>
      <c r="E1235" s="23" t="n">
        <f aca="false">fx</f>
        <v>32</v>
      </c>
      <c r="F1235" s="23" t="n">
        <f aca="false">fx</f>
        <v>32</v>
      </c>
      <c r="G1235" s="23" t="n">
        <f aca="false">fx</f>
        <v>32</v>
      </c>
    </row>
    <row r="1236" customFormat="false" ht="17.15" hidden="false" customHeight="false" outlineLevel="0" collapsed="false">
      <c r="A1236" s="0" t="s">
        <v>549</v>
      </c>
      <c r="B1236" s="0" t="s">
        <v>184</v>
      </c>
      <c r="D1236" s="23" t="n">
        <f aca="false">D1232*D1233*D1235/1000000</f>
        <v>58.65206</v>
      </c>
      <c r="E1236" s="23" t="n">
        <f aca="false">E1232*E1233*E1235/1000000</f>
        <v>52.8253583083675</v>
      </c>
      <c r="F1236" s="23" t="n">
        <f aca="false">F1232*F1233*F1235/1000000</f>
        <v>46.4202836134779</v>
      </c>
      <c r="G1236" s="23" t="n">
        <f aca="false">G1232*G1233*G1235/1000000</f>
        <v>47.9508983704629</v>
      </c>
    </row>
    <row r="1237" customFormat="false" ht="17.15" hidden="false" customHeight="false" outlineLevel="0" collapsed="false">
      <c r="A1237" s="6" t="s">
        <v>550</v>
      </c>
    </row>
    <row r="1238" customFormat="false" ht="17.15" hidden="false" customHeight="false" outlineLevel="0" collapsed="false">
      <c r="A1238" s="0" t="s">
        <v>551</v>
      </c>
      <c r="B1238" s="4" t="s">
        <v>42</v>
      </c>
      <c r="D1238" s="22" t="n">
        <f aca="false">0</f>
        <v>0</v>
      </c>
      <c r="E1238" s="22" t="n">
        <f aca="false">vcap27*vcap_adj</f>
        <v>144</v>
      </c>
      <c r="F1238" s="22" t="n">
        <f aca="false">vcap28*vcap_adj</f>
        <v>360</v>
      </c>
      <c r="G1238" s="22" t="n">
        <f aca="false">vcap29*vcap_adj</f>
        <v>504</v>
      </c>
    </row>
    <row r="1239" customFormat="false" ht="17.15" hidden="false" customHeight="false" outlineLevel="0" collapsed="false">
      <c r="A1239" s="0" t="s">
        <v>552</v>
      </c>
      <c r="B1239" s="0" t="s">
        <v>48</v>
      </c>
      <c r="E1239" s="20" t="n">
        <f aca="false">vut_C</f>
        <v>0.65</v>
      </c>
      <c r="F1239" s="20" t="n">
        <f aca="false">vut_C</f>
        <v>0.65</v>
      </c>
      <c r="G1239" s="20" t="n">
        <f aca="false">vut_C</f>
        <v>0.65</v>
      </c>
    </row>
    <row r="1240" customFormat="false" ht="17.15" hidden="false" customHeight="false" outlineLevel="0" collapsed="false">
      <c r="A1240" s="0" t="s">
        <v>553</v>
      </c>
      <c r="B1240" s="4" t="s">
        <v>42</v>
      </c>
      <c r="D1240" s="22" t="n">
        <f aca="false">0</f>
        <v>0</v>
      </c>
      <c r="E1240" s="22" t="n">
        <f aca="false">E1238*E1239</f>
        <v>93.6</v>
      </c>
      <c r="F1240" s="22" t="n">
        <f aca="false">F1238*F1239</f>
        <v>234</v>
      </c>
      <c r="G1240" s="22" t="n">
        <f aca="false">G1238*G1239</f>
        <v>327.6</v>
      </c>
    </row>
    <row r="1241" customFormat="false" ht="17.15" hidden="false" customHeight="false" outlineLevel="0" collapsed="false">
      <c r="A1241" s="0" t="s">
        <v>554</v>
      </c>
      <c r="B1241" s="0" t="s">
        <v>184</v>
      </c>
      <c r="D1241" s="23" t="n">
        <f aca="false">0</f>
        <v>0</v>
      </c>
      <c r="E1241" s="23" t="n">
        <f aca="false">E1240*vasp*E1235/1000000</f>
        <v>5.39136</v>
      </c>
      <c r="F1241" s="23" t="n">
        <f aca="false">F1240*vasp*F1235/1000000</f>
        <v>13.4784</v>
      </c>
      <c r="G1241" s="23" t="n">
        <f aca="false">G1240*vasp*G1235/1000000</f>
        <v>18.86976</v>
      </c>
    </row>
    <row r="1242" customFormat="false" ht="17.15" hidden="false" customHeight="false" outlineLevel="0" collapsed="false">
      <c r="A1242" s="4" t="s">
        <v>400</v>
      </c>
      <c r="B1242" s="0" t="s">
        <v>184</v>
      </c>
      <c r="C1242" s="23" t="n">
        <f aca="false">a25_rev</f>
        <v>48.591</v>
      </c>
      <c r="D1242" s="23" t="n">
        <f aca="false">D1236+D1241</f>
        <v>58.65206</v>
      </c>
      <c r="E1242" s="23" t="n">
        <f aca="false">E1236+E1241</f>
        <v>58.2167183083675</v>
      </c>
      <c r="F1242" s="23" t="n">
        <f aca="false">F1236+F1241</f>
        <v>59.8986836134779</v>
      </c>
      <c r="G1242" s="23" t="n">
        <f aca="false">G1236+G1241</f>
        <v>66.8206583704629</v>
      </c>
      <c r="H1242" s="29" t="n">
        <f aca="false">G1242*(1+H1245)</f>
        <v>72.4140545845787</v>
      </c>
      <c r="I1242" s="29" t="n">
        <f aca="false">H1242*(1+I1245)</f>
        <v>76.1689980934585</v>
      </c>
      <c r="J1242" s="29" t="n">
        <f aca="false">I1242*(1+J1245)</f>
        <v>77.6923780553276</v>
      </c>
      <c r="K1242" s="8" t="s">
        <v>555</v>
      </c>
    </row>
    <row r="1243" customFormat="false" ht="17.15" hidden="false" customHeight="false" outlineLevel="0" collapsed="false">
      <c r="A1243" s="0" t="s">
        <v>556</v>
      </c>
      <c r="B1243" s="0" t="s">
        <v>48</v>
      </c>
      <c r="D1243" s="20" t="n">
        <f aca="false">D1241/D1242</f>
        <v>0</v>
      </c>
      <c r="E1243" s="20" t="n">
        <f aca="false">E1241/E1242</f>
        <v>0.0926084491991212</v>
      </c>
      <c r="F1243" s="20" t="n">
        <f aca="false">F1241/F1242</f>
        <v>0.225019970171218</v>
      </c>
      <c r="G1243" s="20" t="n">
        <f aca="false">G1241/G1242</f>
        <v>0.28239410475999</v>
      </c>
    </row>
    <row r="1244" customFormat="false" ht="17.15" hidden="false" customHeight="false" outlineLevel="0" collapsed="false">
      <c r="A1244" s="0" t="s">
        <v>557</v>
      </c>
      <c r="B1244" s="0" t="s">
        <v>48</v>
      </c>
      <c r="D1244" s="20" t="n">
        <f aca="false">ai_sh26</f>
        <v>0.1</v>
      </c>
      <c r="E1244" s="20" t="n">
        <f aca="false">ai_sh27_C</f>
        <v>0.15</v>
      </c>
      <c r="F1244" s="20" t="n">
        <f aca="false">ai_sh27_C</f>
        <v>0.15</v>
      </c>
      <c r="G1244" s="20" t="n">
        <f aca="false">ai_sh27_C</f>
        <v>0.15</v>
      </c>
    </row>
    <row r="1245" customFormat="false" ht="15" hidden="false" customHeight="false" outlineLevel="0" collapsed="false">
      <c r="A1245" s="4" t="s">
        <v>558</v>
      </c>
      <c r="B1245" s="0" t="s">
        <v>48</v>
      </c>
      <c r="D1245" s="20" t="n">
        <f aca="false">D1242/C1242-1</f>
        <v>0.207056039184211</v>
      </c>
      <c r="E1245" s="20" t="n">
        <f aca="false">E1242/D1242-1</f>
        <v>-0.0074224450365854</v>
      </c>
      <c r="F1245" s="20" t="n">
        <f aca="false">F1242/E1242-1</f>
        <v>0.028891448264075</v>
      </c>
      <c r="G1245" s="20" t="n">
        <f aca="false">G1242/F1242-1</f>
        <v>0.115561383646625</v>
      </c>
      <c r="H1245" s="27" t="n">
        <f aca="false">$G1245+(fade_gC-$G1245)*1/3</f>
        <v>0.0837075890977501</v>
      </c>
      <c r="I1245" s="27" t="n">
        <f aca="false">$G1245+(fade_gC-$G1245)*2/3</f>
        <v>0.0518537945488751</v>
      </c>
      <c r="J1245" s="27" t="n">
        <f aca="false">$G1245+(fade_gC-$G1245)*3/3</f>
        <v>0.02</v>
      </c>
    </row>
    <row r="1246" customFormat="false" ht="17.15" hidden="false" customHeight="false" outlineLevel="0" collapsed="false">
      <c r="A1246" s="6" t="s">
        <v>559</v>
      </c>
    </row>
    <row r="1247" customFormat="false" ht="15" hidden="false" customHeight="false" outlineLevel="0" collapsed="false">
      <c r="A1247" s="4" t="s">
        <v>560</v>
      </c>
      <c r="B1247" s="0" t="s">
        <v>184</v>
      </c>
      <c r="D1247" s="23" t="n">
        <f aca="false">da_tot26*da_sh</f>
        <v>8.658</v>
      </c>
      <c r="E1247" s="23" t="n">
        <f aca="false">D1247*(1+dag_27+dag_adj_hi)</f>
        <v>9.35064</v>
      </c>
      <c r="F1247" s="23" t="n">
        <f aca="false">E1247*(1+dag_28+dag_adj_hi)</f>
        <v>10.0051848</v>
      </c>
      <c r="G1247" s="23" t="n">
        <f aca="false">F1247*(1+dag_29+dag_adj_hi)</f>
        <v>10.50544404</v>
      </c>
    </row>
    <row r="1248" customFormat="false" ht="17.15" hidden="false" customHeight="false" outlineLevel="0" collapsed="false">
      <c r="A1248" s="4" t="s">
        <v>561</v>
      </c>
      <c r="B1248" s="0" t="s">
        <v>562</v>
      </c>
      <c r="D1248" s="23" t="n">
        <f aca="false">(D1236-a26_gp-D1247)/D1232*1000</f>
        <v>10.7339918911001</v>
      </c>
      <c r="E1248" s="23" t="n">
        <f aca="false">D1248*(1+cc_g)</f>
        <v>10.9486717289221</v>
      </c>
      <c r="F1248" s="23" t="n">
        <f aca="false">E1248*(1+cc_g)</f>
        <v>11.1676451635006</v>
      </c>
      <c r="G1248" s="23" t="n">
        <f aca="false">F1248*(1+cc_g)</f>
        <v>11.3909980667706</v>
      </c>
      <c r="K1248" s="8" t="s">
        <v>563</v>
      </c>
    </row>
    <row r="1249" customFormat="false" ht="17.15" hidden="false" customHeight="false" outlineLevel="0" collapsed="false">
      <c r="A1249" s="4" t="s">
        <v>564</v>
      </c>
      <c r="B1249" s="0" t="s">
        <v>184</v>
      </c>
      <c r="D1249" s="23" t="n">
        <f aca="false">D1248*D1232/1000</f>
        <v>30.9620386</v>
      </c>
      <c r="E1249" s="23" t="n">
        <f aca="false">E1248*E1232/1000</f>
        <v>28.9570469886533</v>
      </c>
      <c r="F1249" s="23" t="n">
        <f aca="false">F1248*F1232/1000</f>
        <v>27.3209738337944</v>
      </c>
      <c r="G1249" s="23" t="n">
        <f aca="false">G1248*G1232/1000</f>
        <v>29.37373889482</v>
      </c>
    </row>
    <row r="1250" customFormat="false" ht="17.15" hidden="false" customHeight="false" outlineLevel="0" collapsed="false">
      <c r="A1250" s="0" t="s">
        <v>565</v>
      </c>
      <c r="B1250" s="0" t="s">
        <v>48</v>
      </c>
      <c r="E1250" s="20" t="n">
        <f aca="false">vgm27_C</f>
        <v>-0.2</v>
      </c>
      <c r="F1250" s="20" t="n">
        <f aca="false">vgm28_C</f>
        <v>0</v>
      </c>
      <c r="G1250" s="20" t="n">
        <f aca="false">vgm29_C</f>
        <v>0.05</v>
      </c>
    </row>
    <row r="1251" customFormat="false" ht="17.15" hidden="false" customHeight="false" outlineLevel="0" collapsed="false">
      <c r="A1251" s="0" t="s">
        <v>566</v>
      </c>
      <c r="B1251" s="0" t="s">
        <v>184</v>
      </c>
      <c r="D1251" s="23" t="n">
        <f aca="false">0</f>
        <v>0</v>
      </c>
      <c r="E1251" s="23" t="n">
        <f aca="false">E1241*E1250</f>
        <v>-1.078272</v>
      </c>
      <c r="F1251" s="23" t="n">
        <f aca="false">F1241*F1250</f>
        <v>0</v>
      </c>
      <c r="G1251" s="23" t="n">
        <f aca="false">G1241*G1250</f>
        <v>0.943488</v>
      </c>
    </row>
    <row r="1252" customFormat="false" ht="15" hidden="false" customHeight="false" outlineLevel="0" collapsed="false">
      <c r="A1252" s="4" t="s">
        <v>417</v>
      </c>
      <c r="B1252" s="0" t="s">
        <v>184</v>
      </c>
      <c r="C1252" s="23" t="n">
        <f aca="false">a25_gp</f>
        <v>13.654</v>
      </c>
      <c r="D1252" s="23" t="n">
        <f aca="false">D1236-D1247-D1249+D1251</f>
        <v>19.0320214</v>
      </c>
      <c r="E1252" s="23" t="n">
        <f aca="false">E1236-E1247-E1249+E1251</f>
        <v>13.4393993197142</v>
      </c>
      <c r="F1252" s="23" t="n">
        <f aca="false">F1236-F1247-F1249+F1251</f>
        <v>9.09412497968354</v>
      </c>
      <c r="G1252" s="23" t="n">
        <f aca="false">G1236-G1247-G1249+G1251</f>
        <v>9.01520343564286</v>
      </c>
    </row>
    <row r="1253" customFormat="false" ht="15" hidden="false" customHeight="false" outlineLevel="0" collapsed="false">
      <c r="A1253" s="4" t="s">
        <v>420</v>
      </c>
      <c r="B1253" s="0" t="s">
        <v>48</v>
      </c>
      <c r="C1253" s="16" t="n">
        <f aca="false">C1252/C1242</f>
        <v>0.280998538824062</v>
      </c>
      <c r="D1253" s="16" t="n">
        <f aca="false">D1252/D1242</f>
        <v>0.324490246378388</v>
      </c>
      <c r="E1253" s="16" t="n">
        <f aca="false">E1252/E1242</f>
        <v>0.230851200655578</v>
      </c>
      <c r="F1253" s="16" t="n">
        <f aca="false">F1252/F1242</f>
        <v>0.151825122541378</v>
      </c>
      <c r="G1253" s="16" t="n">
        <f aca="false">G1252/G1242</f>
        <v>0.134916411413688</v>
      </c>
    </row>
    <row r="1254" customFormat="false" ht="15" hidden="false" customHeight="false" outlineLevel="0" collapsed="false">
      <c r="A1254" s="4" t="s">
        <v>422</v>
      </c>
      <c r="B1254" s="0" t="s">
        <v>184</v>
      </c>
      <c r="C1254" s="23" t="n">
        <f aca="false">a25_opx</f>
        <v>5.881</v>
      </c>
      <c r="D1254" s="23" t="n">
        <f aca="false">a26_opx</f>
        <v>6.824187</v>
      </c>
      <c r="E1254" s="23" t="n">
        <f aca="false">D1254*(1+MAX(g_opx_min,phi*E1245))</f>
        <v>7.02891261</v>
      </c>
      <c r="F1254" s="23" t="n">
        <f aca="false">E1254*(1+MAX(g_opx_min,phi*F1245))</f>
        <v>7.2397799883</v>
      </c>
      <c r="G1254" s="23" t="n">
        <f aca="false">F1254*(1+MAX(g_opx_min,phi*G1245))</f>
        <v>7.65809948467255</v>
      </c>
    </row>
    <row r="1255" customFormat="false" ht="15" hidden="false" customHeight="false" outlineLevel="0" collapsed="false">
      <c r="A1255" s="4" t="s">
        <v>425</v>
      </c>
      <c r="B1255" s="0" t="s">
        <v>184</v>
      </c>
      <c r="C1255" s="23" t="n">
        <f aca="false">C1252-C1254</f>
        <v>7.773</v>
      </c>
      <c r="D1255" s="23" t="n">
        <f aca="false">D1252-D1254</f>
        <v>12.2078344</v>
      </c>
      <c r="E1255" s="23" t="n">
        <f aca="false">E1252-E1254</f>
        <v>6.4104867097142</v>
      </c>
      <c r="F1255" s="23" t="n">
        <f aca="false">F1252-F1254</f>
        <v>1.85434499138354</v>
      </c>
      <c r="G1255" s="23" t="n">
        <f aca="false">G1252-G1254</f>
        <v>1.35710395097031</v>
      </c>
    </row>
    <row r="1256" customFormat="false" ht="15" hidden="false" customHeight="false" outlineLevel="0" collapsed="false">
      <c r="A1256" s="4" t="s">
        <v>531</v>
      </c>
      <c r="B1256" s="0" t="s">
        <v>48</v>
      </c>
      <c r="C1256" s="16" t="n">
        <f aca="false">C1255/C1242</f>
        <v>0.159967895289251</v>
      </c>
      <c r="D1256" s="16" t="n">
        <f aca="false">D1255/D1242</f>
        <v>0.208139908470393</v>
      </c>
      <c r="E1256" s="16" t="n">
        <f aca="false">E1255/E1242</f>
        <v>0.110114188775784</v>
      </c>
      <c r="F1256" s="16" t="n">
        <f aca="false">F1255/F1242</f>
        <v>0.030958025778154</v>
      </c>
      <c r="G1256" s="16" t="n">
        <f aca="false">G1255/G1242</f>
        <v>0.0203096465085145</v>
      </c>
    </row>
    <row r="1257" customFormat="false" ht="15" hidden="false" customHeight="false" outlineLevel="0" collapsed="false">
      <c r="A1257" s="4" t="s">
        <v>428</v>
      </c>
      <c r="B1257" s="0" t="s">
        <v>184</v>
      </c>
      <c r="C1257" s="23" t="n">
        <f aca="false">a25_nonop</f>
        <v>1.479</v>
      </c>
      <c r="D1257" s="23" t="n">
        <f aca="false">a26_nonop</f>
        <v>2.10950832169955</v>
      </c>
      <c r="E1257" s="23" t="n">
        <f aca="false">nonop_f</f>
        <v>1.5</v>
      </c>
      <c r="F1257" s="23" t="n">
        <f aca="false">nonop_f</f>
        <v>1.5</v>
      </c>
      <c r="G1257" s="23" t="n">
        <f aca="false">nonop_f</f>
        <v>1.5</v>
      </c>
    </row>
    <row r="1258" customFormat="false" ht="15" hidden="false" customHeight="false" outlineLevel="0" collapsed="false">
      <c r="A1258" s="4" t="s">
        <v>430</v>
      </c>
      <c r="B1258" s="0" t="s">
        <v>184</v>
      </c>
      <c r="C1258" s="23" t="n">
        <f aca="false">C1255+C1257</f>
        <v>9.252</v>
      </c>
      <c r="D1258" s="23" t="n">
        <f aca="false">D1255+D1257</f>
        <v>14.3173427216995</v>
      </c>
      <c r="E1258" s="23" t="n">
        <f aca="false">E1255+E1257</f>
        <v>7.9104867097142</v>
      </c>
      <c r="F1258" s="23" t="n">
        <f aca="false">F1255+F1257</f>
        <v>3.35434499138354</v>
      </c>
      <c r="G1258" s="23" t="n">
        <f aca="false">G1255+G1257</f>
        <v>2.85710395097031</v>
      </c>
    </row>
    <row r="1259" customFormat="false" ht="15" hidden="false" customHeight="false" outlineLevel="0" collapsed="false">
      <c r="A1259" s="4" t="s">
        <v>432</v>
      </c>
      <c r="B1259" s="0" t="s">
        <v>184</v>
      </c>
      <c r="C1259" s="23" t="n">
        <f aca="false">a25_tax</f>
        <v>1.344</v>
      </c>
      <c r="D1259" s="23" t="n">
        <f aca="false">a26_tax</f>
        <v>2.0798215108046</v>
      </c>
      <c r="E1259" s="23" t="n">
        <f aca="false">E1258*tax</f>
        <v>1.18657300645713</v>
      </c>
      <c r="F1259" s="23" t="n">
        <f aca="false">F1258*tax</f>
        <v>0.503151748707531</v>
      </c>
      <c r="G1259" s="23" t="n">
        <f aca="false">G1258*tax</f>
        <v>0.428565592645546</v>
      </c>
    </row>
    <row r="1260" customFormat="false" ht="17.15" hidden="false" customHeight="false" outlineLevel="0" collapsed="false">
      <c r="A1260" s="4" t="s">
        <v>567</v>
      </c>
      <c r="B1260" s="0" t="s">
        <v>184</v>
      </c>
      <c r="C1260" s="23" t="n">
        <f aca="false">a25_mi</f>
        <v>0</v>
      </c>
      <c r="D1260" s="23" t="n">
        <f aca="false">a26_mi</f>
        <v>0</v>
      </c>
      <c r="E1260" s="23" t="n">
        <f aca="false">vmi*E1251*(1-tax)</f>
        <v>-0.36661248</v>
      </c>
      <c r="F1260" s="23" t="n">
        <f aca="false">vmi*F1251*(1-tax)</f>
        <v>0</v>
      </c>
      <c r="G1260" s="23" t="n">
        <f aca="false">vmi*G1251*(1-tax)</f>
        <v>0.32078592</v>
      </c>
      <c r="K1260" s="8" t="s">
        <v>568</v>
      </c>
    </row>
    <row r="1261" customFormat="false" ht="15" hidden="false" customHeight="false" outlineLevel="0" collapsed="false">
      <c r="A1261" s="4" t="s">
        <v>435</v>
      </c>
      <c r="B1261" s="0" t="s">
        <v>184</v>
      </c>
      <c r="C1261" s="23" t="n">
        <f aca="false">C1258-C1259-C1260</f>
        <v>7.908</v>
      </c>
      <c r="D1261" s="23" t="n">
        <f aca="false">D1258-D1259-D1260</f>
        <v>12.2375212108949</v>
      </c>
      <c r="E1261" s="23" t="n">
        <f aca="false">E1258-E1259-E1260</f>
        <v>7.09052618325707</v>
      </c>
      <c r="F1261" s="23" t="n">
        <f aca="false">F1258-F1259-F1260</f>
        <v>2.85119324267601</v>
      </c>
      <c r="G1261" s="23" t="n">
        <f aca="false">G1258-G1259-G1260</f>
        <v>2.10775243832476</v>
      </c>
      <c r="H1261" s="29" t="n">
        <f aca="false">H1242*H1265</f>
        <v>2.13190815912838</v>
      </c>
      <c r="I1261" s="29" t="n">
        <f aca="false">I1242*I1265</f>
        <v>2.08228028060826</v>
      </c>
      <c r="J1261" s="29" t="n">
        <f aca="false">J1242*J1265</f>
        <v>1.96054697189577</v>
      </c>
    </row>
    <row r="1262" customFormat="false" ht="15" hidden="false" customHeight="false" outlineLevel="0" collapsed="false">
      <c r="A1262" s="4" t="s">
        <v>569</v>
      </c>
      <c r="B1262" s="4" t="s">
        <v>265</v>
      </c>
      <c r="C1262" s="10" t="n">
        <f aca="false">a25_sh</f>
        <v>1.8739336492891</v>
      </c>
      <c r="D1262" s="10" t="n">
        <f aca="false">a26_sh</f>
        <v>1.90613591916558</v>
      </c>
      <c r="E1262" s="10" t="n">
        <f aca="false">q_sh*(1+sh_g)</f>
        <v>1.90705128205128</v>
      </c>
      <c r="F1262" s="10" t="n">
        <f aca="false">E1262*(1+sh_g)</f>
        <v>1.90705128205128</v>
      </c>
      <c r="G1262" s="10" t="n">
        <f aca="false">F1262*(1+sh_g)</f>
        <v>1.90705128205128</v>
      </c>
      <c r="H1262" s="31" t="n">
        <f aca="false">G1262*(1+sh_g)</f>
        <v>1.90705128205128</v>
      </c>
      <c r="I1262" s="31" t="n">
        <f aca="false">H1262*(1+sh_g)</f>
        <v>1.90705128205128</v>
      </c>
      <c r="J1262" s="31" t="n">
        <f aca="false">I1262*(1+sh_g)</f>
        <v>1.90705128205128</v>
      </c>
    </row>
    <row r="1263" customFormat="false" ht="17.15" hidden="false" customHeight="false" outlineLevel="0" collapsed="false">
      <c r="A1263" s="0" t="s">
        <v>442</v>
      </c>
      <c r="B1263" s="0" t="s">
        <v>274</v>
      </c>
      <c r="C1263" s="23" t="n">
        <f aca="false">C1261/C1262</f>
        <v>4.22</v>
      </c>
      <c r="D1263" s="23" t="n">
        <f aca="false">D1261/D1262</f>
        <v>6.42006747150118</v>
      </c>
      <c r="E1263" s="23" t="n">
        <f aca="false">E1261/E1262</f>
        <v>3.7180574271869</v>
      </c>
      <c r="F1263" s="23" t="n">
        <f aca="false">F1261/F1262</f>
        <v>1.49507948187381</v>
      </c>
      <c r="G1263" s="23" t="n">
        <f aca="false">G1261/G1262</f>
        <v>1.1052416147182</v>
      </c>
      <c r="H1263" s="29" t="n">
        <f aca="false">H1261/H1262</f>
        <v>1.11790814394631</v>
      </c>
      <c r="I1263" s="29" t="n">
        <f aca="false">I1261/I1262</f>
        <v>1.09188478579794</v>
      </c>
      <c r="J1263" s="29" t="n">
        <f aca="false">J1261/J1262</f>
        <v>1.02805152139745</v>
      </c>
    </row>
    <row r="1264" customFormat="false" ht="17.15" hidden="false" customHeight="false" outlineLevel="0" collapsed="false">
      <c r="A1264" s="0" t="s">
        <v>570</v>
      </c>
      <c r="B1264" s="0" t="s">
        <v>48</v>
      </c>
      <c r="D1264" s="20" t="n">
        <f aca="false">D1263/C1263-1</f>
        <v>0.521343002725398</v>
      </c>
      <c r="E1264" s="20" t="n">
        <f aca="false">E1263/D1263-1</f>
        <v>-0.420869415517604</v>
      </c>
      <c r="F1264" s="20" t="n">
        <f aca="false">F1263/E1263-1</f>
        <v>-0.597886931239524</v>
      </c>
      <c r="G1264" s="20" t="n">
        <f aca="false">G1263/F1263-1</f>
        <v>-0.260747252491902</v>
      </c>
      <c r="H1264" s="27" t="n">
        <f aca="false">H1263/G1263-1</f>
        <v>0.0114604164912335</v>
      </c>
      <c r="I1264" s="27" t="n">
        <f aca="false">I1263/H1263-1</f>
        <v>-0.0232786193474732</v>
      </c>
      <c r="J1264" s="27" t="n">
        <f aca="false">J1263/I1263-1</f>
        <v>-0.0584615384615385</v>
      </c>
    </row>
    <row r="1265" customFormat="false" ht="17.15" hidden="false" customHeight="false" outlineLevel="0" collapsed="false">
      <c r="A1265" s="4" t="s">
        <v>571</v>
      </c>
      <c r="B1265" s="0" t="s">
        <v>48</v>
      </c>
      <c r="C1265" s="16" t="n">
        <f aca="false">C1261/C1242</f>
        <v>0.162746187565599</v>
      </c>
      <c r="D1265" s="16" t="n">
        <f aca="false">D1261/D1242</f>
        <v>0.208646059676249</v>
      </c>
      <c r="E1265" s="16" t="n">
        <f aca="false">E1261/E1242</f>
        <v>0.121795360324148</v>
      </c>
      <c r="F1265" s="16" t="n">
        <f aca="false">F1261/F1242</f>
        <v>0.0476002654928873</v>
      </c>
      <c r="G1265" s="16" t="n">
        <f aca="false">G1261/G1242</f>
        <v>0.0315434251880473</v>
      </c>
      <c r="H1265" s="28" t="n">
        <f aca="false">$G1265+($G$1265*0.8-$G1265)*1/3</f>
        <v>0.0294405301755108</v>
      </c>
      <c r="I1265" s="28" t="n">
        <f aca="false">$G1265+($G$1265*0.8-$G1265)*2/3</f>
        <v>0.0273376351629743</v>
      </c>
      <c r="J1265" s="28" t="n">
        <f aca="false">$G1265+($G$1265*0.8-$G1265)*3/3</f>
        <v>0.0252347401504379</v>
      </c>
    </row>
    <row r="1268" customFormat="false" ht="17.15" hidden="false" customHeight="false" outlineLevel="0" collapsed="false">
      <c r="A1268" s="1" t="s">
        <v>875</v>
      </c>
    </row>
    <row r="1269" customFormat="false" ht="17.15" hidden="false" customHeight="false" outlineLevel="0" collapsed="false">
      <c r="A1269" s="5" t="s">
        <v>24</v>
      </c>
      <c r="B1269" s="5" t="s">
        <v>25</v>
      </c>
      <c r="C1269" s="17" t="s">
        <v>394</v>
      </c>
      <c r="D1269" s="17" t="s">
        <v>521</v>
      </c>
      <c r="E1269" s="17" t="s">
        <v>480</v>
      </c>
      <c r="F1269" s="17" t="s">
        <v>481</v>
      </c>
      <c r="G1269" s="17" t="s">
        <v>482</v>
      </c>
      <c r="H1269" s="17" t="s">
        <v>522</v>
      </c>
      <c r="I1269" s="17" t="s">
        <v>523</v>
      </c>
      <c r="J1269" s="17" t="s">
        <v>524</v>
      </c>
      <c r="K1269" s="5" t="s">
        <v>357</v>
      </c>
    </row>
    <row r="1270" customFormat="false" ht="17.15" hidden="false" customHeight="false" outlineLevel="0" collapsed="false">
      <c r="A1270" s="6" t="s">
        <v>542</v>
      </c>
    </row>
    <row r="1271" customFormat="false" ht="17.15" hidden="false" customHeight="false" outlineLevel="0" collapsed="false">
      <c r="A1271" s="4" t="s">
        <v>543</v>
      </c>
      <c r="B1271" s="4" t="s">
        <v>42</v>
      </c>
      <c r="D1271" s="22" t="n">
        <f aca="false">cap_26</f>
        <v>3306</v>
      </c>
      <c r="E1271" s="22" t="n">
        <f aca="false">D1271*(1+capg27)*cap_adj</f>
        <v>3306</v>
      </c>
      <c r="F1271" s="22" t="n">
        <f aca="false">E1271*(1+capg28)</f>
        <v>3306</v>
      </c>
      <c r="G1271" s="22" t="n">
        <f aca="false">F1271*(1+capg29)</f>
        <v>3306</v>
      </c>
    </row>
    <row r="1272" customFormat="false" ht="15" hidden="false" customHeight="false" outlineLevel="0" collapsed="false">
      <c r="A1272" s="4" t="s">
        <v>544</v>
      </c>
      <c r="B1272" s="0" t="s">
        <v>48</v>
      </c>
      <c r="D1272" s="20" t="n">
        <f aca="false">a26_ship/cap_26</f>
        <v>0.8725</v>
      </c>
      <c r="E1272" s="20" t="n">
        <f aca="false">MIN(0.98,ut27_A+ut_adj)</f>
        <v>0.95</v>
      </c>
      <c r="F1272" s="20" t="n">
        <f aca="false">MIN(0.98,ut28_A+ut_adj)</f>
        <v>0.94</v>
      </c>
      <c r="G1272" s="20" t="n">
        <f aca="false">MIN(0.98,ut29_A+ut_adj)</f>
        <v>0.93</v>
      </c>
    </row>
    <row r="1273" customFormat="false" ht="17.15" hidden="false" customHeight="false" outlineLevel="0" collapsed="false">
      <c r="A1273" s="4" t="s">
        <v>545</v>
      </c>
      <c r="B1273" s="4" t="s">
        <v>42</v>
      </c>
      <c r="D1273" s="22" t="n">
        <f aca="false">D1271*D1272</f>
        <v>2884.485</v>
      </c>
      <c r="E1273" s="22" t="n">
        <f aca="false">E1271*E1272</f>
        <v>3140.7</v>
      </c>
      <c r="F1273" s="22" t="n">
        <f aca="false">F1271*F1272</f>
        <v>3107.64</v>
      </c>
      <c r="G1273" s="22" t="n">
        <f aca="false">G1271*G1272</f>
        <v>3074.58</v>
      </c>
    </row>
    <row r="1274" customFormat="false" ht="17.15" hidden="false" customHeight="false" outlineLevel="0" collapsed="false">
      <c r="A1274" s="4" t="s">
        <v>546</v>
      </c>
      <c r="B1274" s="0" t="s">
        <v>89</v>
      </c>
      <c r="D1274" s="22" t="n">
        <f aca="false">asp_26</f>
        <v>643.469405492234</v>
      </c>
      <c r="E1274" s="22" t="n">
        <f aca="false">D1274*(1+asp27_A)*(1+asp_adj)</f>
        <v>682.077569821768</v>
      </c>
      <c r="F1274" s="22" t="n">
        <f aca="false">E1274*(1+asp28_A)</f>
        <v>695.719121218203</v>
      </c>
      <c r="G1274" s="22" t="n">
        <f aca="false">F1274*(1+asp29_A)</f>
        <v>702.676312430385</v>
      </c>
    </row>
    <row r="1275" customFormat="false" ht="15" hidden="false" customHeight="false" outlineLevel="0" collapsed="false">
      <c r="A1275" s="4" t="s">
        <v>547</v>
      </c>
      <c r="B1275" s="0" t="s">
        <v>48</v>
      </c>
      <c r="E1275" s="20" t="n">
        <f aca="false">E1274/D1274-1</f>
        <v>0.0600000000000001</v>
      </c>
      <c r="F1275" s="20" t="n">
        <f aca="false">F1274/E1274-1</f>
        <v>0.02</v>
      </c>
      <c r="G1275" s="20" t="n">
        <f aca="false">G1274/F1274-1</f>
        <v>0.01</v>
      </c>
    </row>
    <row r="1276" customFormat="false" ht="15" hidden="false" customHeight="false" outlineLevel="0" collapsed="false">
      <c r="A1276" s="4" t="s">
        <v>548</v>
      </c>
      <c r="B1276" s="0" t="s">
        <v>35</v>
      </c>
      <c r="D1276" s="23" t="n">
        <f aca="false">fx_26</f>
        <v>31.6</v>
      </c>
      <c r="E1276" s="23" t="n">
        <f aca="false">fx</f>
        <v>32</v>
      </c>
      <c r="F1276" s="23" t="n">
        <f aca="false">fx</f>
        <v>32</v>
      </c>
      <c r="G1276" s="23" t="n">
        <f aca="false">fx</f>
        <v>32</v>
      </c>
    </row>
    <row r="1277" customFormat="false" ht="17.15" hidden="false" customHeight="false" outlineLevel="0" collapsed="false">
      <c r="A1277" s="0" t="s">
        <v>549</v>
      </c>
      <c r="B1277" s="0" t="s">
        <v>184</v>
      </c>
      <c r="D1277" s="23" t="n">
        <f aca="false">D1273*D1274*D1276/1000000</f>
        <v>58.65206</v>
      </c>
      <c r="E1277" s="23" t="n">
        <f aca="false">E1273*E1274*E1276/1000000</f>
        <v>68.5504327532552</v>
      </c>
      <c r="F1277" s="23" t="n">
        <f aca="false">F1273*F1274*F1276/1000000</f>
        <v>69.1854262356012</v>
      </c>
      <c r="G1277" s="23" t="n">
        <f aca="false">G1273*G1274*G1276/1000000</f>
        <v>69.1339051735108</v>
      </c>
    </row>
    <row r="1278" customFormat="false" ht="17.15" hidden="false" customHeight="false" outlineLevel="0" collapsed="false">
      <c r="A1278" s="6" t="s">
        <v>550</v>
      </c>
    </row>
    <row r="1279" customFormat="false" ht="17.15" hidden="false" customHeight="false" outlineLevel="0" collapsed="false">
      <c r="A1279" s="0" t="s">
        <v>551</v>
      </c>
      <c r="B1279" s="4" t="s">
        <v>42</v>
      </c>
      <c r="D1279" s="22" t="n">
        <f aca="false">0</f>
        <v>0</v>
      </c>
      <c r="E1279" s="22" t="n">
        <f aca="false">vcap27*vcap_adj</f>
        <v>144</v>
      </c>
      <c r="F1279" s="22" t="n">
        <f aca="false">vcap28*vcap_adj</f>
        <v>360</v>
      </c>
      <c r="G1279" s="22" t="n">
        <f aca="false">vcap29*vcap_adj</f>
        <v>504</v>
      </c>
    </row>
    <row r="1280" customFormat="false" ht="17.15" hidden="false" customHeight="false" outlineLevel="0" collapsed="false">
      <c r="A1280" s="0" t="s">
        <v>552</v>
      </c>
      <c r="B1280" s="0" t="s">
        <v>48</v>
      </c>
      <c r="E1280" s="20" t="n">
        <f aca="false">vut_A</f>
        <v>0.9</v>
      </c>
      <c r="F1280" s="20" t="n">
        <f aca="false">vut_A</f>
        <v>0.9</v>
      </c>
      <c r="G1280" s="20" t="n">
        <f aca="false">vut_A</f>
        <v>0.9</v>
      </c>
    </row>
    <row r="1281" customFormat="false" ht="17.15" hidden="false" customHeight="false" outlineLevel="0" collapsed="false">
      <c r="A1281" s="0" t="s">
        <v>553</v>
      </c>
      <c r="B1281" s="4" t="s">
        <v>42</v>
      </c>
      <c r="D1281" s="22" t="n">
        <f aca="false">0</f>
        <v>0</v>
      </c>
      <c r="E1281" s="22" t="n">
        <f aca="false">E1279*E1280</f>
        <v>129.6</v>
      </c>
      <c r="F1281" s="22" t="n">
        <f aca="false">F1279*F1280</f>
        <v>324</v>
      </c>
      <c r="G1281" s="22" t="n">
        <f aca="false">G1279*G1280</f>
        <v>453.6</v>
      </c>
    </row>
    <row r="1282" customFormat="false" ht="17.15" hidden="false" customHeight="false" outlineLevel="0" collapsed="false">
      <c r="A1282" s="0" t="s">
        <v>554</v>
      </c>
      <c r="B1282" s="0" t="s">
        <v>184</v>
      </c>
      <c r="D1282" s="23" t="n">
        <f aca="false">0</f>
        <v>0</v>
      </c>
      <c r="E1282" s="23" t="n">
        <f aca="false">E1281*vasp*E1276/1000000</f>
        <v>7.46496</v>
      </c>
      <c r="F1282" s="23" t="n">
        <f aca="false">F1281*vasp*F1276/1000000</f>
        <v>18.6624</v>
      </c>
      <c r="G1282" s="23" t="n">
        <f aca="false">G1281*vasp*G1276/1000000</f>
        <v>26.12736</v>
      </c>
    </row>
    <row r="1283" customFormat="false" ht="17.15" hidden="false" customHeight="false" outlineLevel="0" collapsed="false">
      <c r="A1283" s="4" t="s">
        <v>400</v>
      </c>
      <c r="B1283" s="0" t="s">
        <v>184</v>
      </c>
      <c r="C1283" s="23" t="n">
        <f aca="false">a25_rev</f>
        <v>48.591</v>
      </c>
      <c r="D1283" s="23" t="n">
        <f aca="false">D1277+D1282</f>
        <v>58.65206</v>
      </c>
      <c r="E1283" s="23" t="n">
        <f aca="false">E1277+E1282</f>
        <v>76.0153927532552</v>
      </c>
      <c r="F1283" s="23" t="n">
        <f aca="false">F1277+F1282</f>
        <v>87.8478262356012</v>
      </c>
      <c r="G1283" s="23" t="n">
        <f aca="false">G1277+G1282</f>
        <v>95.2612651735108</v>
      </c>
      <c r="H1283" s="29" t="n">
        <f aca="false">G1283*(1+H1286)</f>
        <v>102.525860976128</v>
      </c>
      <c r="I1283" s="29" t="n">
        <f aca="false">H1283*(1+I1286)</f>
        <v>109.51093266638</v>
      </c>
      <c r="J1283" s="29" t="n">
        <f aca="false">I1283*(1+J1286)</f>
        <v>116.081588626363</v>
      </c>
      <c r="K1283" s="8" t="s">
        <v>555</v>
      </c>
    </row>
    <row r="1284" customFormat="false" ht="17.15" hidden="false" customHeight="false" outlineLevel="0" collapsed="false">
      <c r="A1284" s="0" t="s">
        <v>556</v>
      </c>
      <c r="B1284" s="0" t="s">
        <v>48</v>
      </c>
      <c r="D1284" s="20" t="n">
        <f aca="false">D1282/D1283</f>
        <v>0</v>
      </c>
      <c r="E1284" s="20" t="n">
        <f aca="false">E1282/E1283</f>
        <v>0.0982032681753174</v>
      </c>
      <c r="F1284" s="20" t="n">
        <f aca="false">F1282/F1283</f>
        <v>0.212440088727396</v>
      </c>
      <c r="G1284" s="20" t="n">
        <f aca="false">G1282/G1283</f>
        <v>0.274270554274196</v>
      </c>
    </row>
    <row r="1285" customFormat="false" ht="17.15" hidden="false" customHeight="false" outlineLevel="0" collapsed="false">
      <c r="A1285" s="0" t="s">
        <v>557</v>
      </c>
      <c r="B1285" s="0" t="s">
        <v>48</v>
      </c>
      <c r="D1285" s="20" t="n">
        <f aca="false">ai_sh26</f>
        <v>0.1</v>
      </c>
      <c r="E1285" s="20" t="n">
        <f aca="false">ai_sh27_A</f>
        <v>0.25</v>
      </c>
      <c r="F1285" s="20" t="n">
        <f aca="false">ai_sh27_A</f>
        <v>0.25</v>
      </c>
      <c r="G1285" s="20" t="n">
        <f aca="false">ai_sh27_A</f>
        <v>0.25</v>
      </c>
    </row>
    <row r="1286" customFormat="false" ht="15" hidden="false" customHeight="false" outlineLevel="0" collapsed="false">
      <c r="A1286" s="4" t="s">
        <v>558</v>
      </c>
      <c r="B1286" s="0" t="s">
        <v>48</v>
      </c>
      <c r="D1286" s="20" t="n">
        <f aca="false">D1283/C1283-1</f>
        <v>0.207056039184211</v>
      </c>
      <c r="E1286" s="20" t="n">
        <f aca="false">E1283/D1283-1</f>
        <v>0.296039606337019</v>
      </c>
      <c r="F1286" s="20" t="n">
        <f aca="false">F1283/E1283-1</f>
        <v>0.155658387778826</v>
      </c>
      <c r="G1286" s="20" t="n">
        <f aca="false">G1283/F1283-1</f>
        <v>0.0843895547059683</v>
      </c>
      <c r="H1286" s="27" t="n">
        <f aca="false">$G1286+(fade_gA-$G1286)*1/3</f>
        <v>0.0762597031373122</v>
      </c>
      <c r="I1286" s="27" t="n">
        <f aca="false">$G1286+(fade_gA-$G1286)*2/3</f>
        <v>0.0681298515686561</v>
      </c>
      <c r="J1286" s="27" t="n">
        <f aca="false">$G1286+(fade_gA-$G1286)*3/3</f>
        <v>0.06</v>
      </c>
    </row>
    <row r="1287" customFormat="false" ht="17.15" hidden="false" customHeight="false" outlineLevel="0" collapsed="false">
      <c r="A1287" s="6" t="s">
        <v>559</v>
      </c>
    </row>
    <row r="1288" customFormat="false" ht="15" hidden="false" customHeight="false" outlineLevel="0" collapsed="false">
      <c r="A1288" s="4" t="s">
        <v>560</v>
      </c>
      <c r="B1288" s="0" t="s">
        <v>184</v>
      </c>
      <c r="D1288" s="23" t="n">
        <f aca="false">da_tot26*da_sh</f>
        <v>8.658</v>
      </c>
      <c r="E1288" s="23" t="n">
        <f aca="false">D1288*(1+dag_27+dag_adj)</f>
        <v>8.91774</v>
      </c>
      <c r="F1288" s="23" t="n">
        <f aca="false">E1288*(1+dag_28+dag_adj)</f>
        <v>9.0960948</v>
      </c>
      <c r="G1288" s="23" t="n">
        <f aca="false">F1288*(1+dag_29+dag_adj)</f>
        <v>9.0960948</v>
      </c>
    </row>
    <row r="1289" customFormat="false" ht="17.15" hidden="false" customHeight="false" outlineLevel="0" collapsed="false">
      <c r="A1289" s="4" t="s">
        <v>561</v>
      </c>
      <c r="B1289" s="0" t="s">
        <v>562</v>
      </c>
      <c r="D1289" s="23" t="n">
        <f aca="false">(D1277-a26_gp-D1288)/D1273*1000</f>
        <v>10.7339918911001</v>
      </c>
      <c r="E1289" s="23" t="n">
        <f aca="false">D1289*(1+cc_g_lo)</f>
        <v>10.7339918911001</v>
      </c>
      <c r="F1289" s="23" t="n">
        <f aca="false">E1289*(1+cc_g_lo)</f>
        <v>10.7339918911001</v>
      </c>
      <c r="G1289" s="23" t="n">
        <f aca="false">F1289*(1+cc_g_lo)</f>
        <v>10.7339918911001</v>
      </c>
      <c r="K1289" s="8" t="s">
        <v>563</v>
      </c>
    </row>
    <row r="1290" customFormat="false" ht="17.15" hidden="false" customHeight="false" outlineLevel="0" collapsed="false">
      <c r="A1290" s="4" t="s">
        <v>564</v>
      </c>
      <c r="B1290" s="0" t="s">
        <v>184</v>
      </c>
      <c r="D1290" s="23" t="n">
        <f aca="false">D1289*D1273/1000</f>
        <v>30.9620386</v>
      </c>
      <c r="E1290" s="23" t="n">
        <f aca="false">E1289*E1273/1000</f>
        <v>33.7122483323782</v>
      </c>
      <c r="F1290" s="23" t="n">
        <f aca="false">F1289*F1273/1000</f>
        <v>33.3573825604585</v>
      </c>
      <c r="G1290" s="23" t="n">
        <f aca="false">G1289*G1273/1000</f>
        <v>33.0025167885387</v>
      </c>
    </row>
    <row r="1291" customFormat="false" ht="17.15" hidden="false" customHeight="false" outlineLevel="0" collapsed="false">
      <c r="A1291" s="0" t="s">
        <v>565</v>
      </c>
      <c r="B1291" s="0" t="s">
        <v>48</v>
      </c>
      <c r="E1291" s="20" t="n">
        <f aca="false">vgm27_A</f>
        <v>0.05</v>
      </c>
      <c r="F1291" s="20" t="n">
        <f aca="false">vgm28_A</f>
        <v>0.2</v>
      </c>
      <c r="G1291" s="20" t="n">
        <f aca="false">vgm29_A</f>
        <v>0.25</v>
      </c>
    </row>
    <row r="1292" customFormat="false" ht="17.15" hidden="false" customHeight="false" outlineLevel="0" collapsed="false">
      <c r="A1292" s="0" t="s">
        <v>566</v>
      </c>
      <c r="B1292" s="0" t="s">
        <v>184</v>
      </c>
      <c r="D1292" s="23" t="n">
        <f aca="false">0</f>
        <v>0</v>
      </c>
      <c r="E1292" s="23" t="n">
        <f aca="false">E1282*E1291</f>
        <v>0.373248</v>
      </c>
      <c r="F1292" s="23" t="n">
        <f aca="false">F1282*F1291</f>
        <v>3.73248</v>
      </c>
      <c r="G1292" s="23" t="n">
        <f aca="false">G1282*G1291</f>
        <v>6.53184</v>
      </c>
    </row>
    <row r="1293" customFormat="false" ht="15" hidden="false" customHeight="false" outlineLevel="0" collapsed="false">
      <c r="A1293" s="4" t="s">
        <v>417</v>
      </c>
      <c r="B1293" s="0" t="s">
        <v>184</v>
      </c>
      <c r="C1293" s="23" t="n">
        <f aca="false">a25_gp</f>
        <v>13.654</v>
      </c>
      <c r="D1293" s="23" t="n">
        <f aca="false">D1277-D1288-D1290+D1292</f>
        <v>19.0320214</v>
      </c>
      <c r="E1293" s="23" t="n">
        <f aca="false">E1277-E1288-E1290+E1292</f>
        <v>26.293692420877</v>
      </c>
      <c r="F1293" s="23" t="n">
        <f aca="false">F1277-F1288-F1290+F1292</f>
        <v>30.4644288751427</v>
      </c>
      <c r="G1293" s="23" t="n">
        <f aca="false">G1277-G1288-G1290+G1292</f>
        <v>33.5671335849722</v>
      </c>
    </row>
    <row r="1294" customFormat="false" ht="15" hidden="false" customHeight="false" outlineLevel="0" collapsed="false">
      <c r="A1294" s="4" t="s">
        <v>420</v>
      </c>
      <c r="B1294" s="0" t="s">
        <v>48</v>
      </c>
      <c r="C1294" s="16" t="n">
        <f aca="false">C1293/C1283</f>
        <v>0.280998538824062</v>
      </c>
      <c r="D1294" s="16" t="n">
        <f aca="false">D1293/D1283</f>
        <v>0.324490246378388</v>
      </c>
      <c r="E1294" s="16" t="n">
        <f aca="false">E1293/E1283</f>
        <v>0.34589957992095</v>
      </c>
      <c r="F1294" s="16" t="n">
        <f aca="false">F1293/F1283</f>
        <v>0.34678637116688</v>
      </c>
      <c r="G1294" s="16" t="n">
        <f aca="false">G1293/G1283</f>
        <v>0.352369176745997</v>
      </c>
    </row>
    <row r="1295" customFormat="false" ht="15" hidden="false" customHeight="false" outlineLevel="0" collapsed="false">
      <c r="A1295" s="4" t="s">
        <v>422</v>
      </c>
      <c r="B1295" s="0" t="s">
        <v>184</v>
      </c>
      <c r="C1295" s="23" t="n">
        <f aca="false">a25_opx</f>
        <v>5.881</v>
      </c>
      <c r="D1295" s="23" t="n">
        <f aca="false">a26_opx</f>
        <v>6.824187</v>
      </c>
      <c r="E1295" s="23" t="n">
        <f aca="false">D1295*(1+MAX(g_opx_min,phi*E1286))</f>
        <v>7.8343018165251</v>
      </c>
      <c r="F1295" s="23" t="n">
        <f aca="false">E1295*(1+MAX(g_opx_min,phi*F1286))</f>
        <v>8.44403921159161</v>
      </c>
      <c r="G1295" s="23" t="n">
        <f aca="false">F1295*(1+MAX(g_opx_min,phi*G1286))</f>
        <v>8.80033356608459</v>
      </c>
    </row>
    <row r="1296" customFormat="false" ht="15" hidden="false" customHeight="false" outlineLevel="0" collapsed="false">
      <c r="A1296" s="4" t="s">
        <v>425</v>
      </c>
      <c r="B1296" s="0" t="s">
        <v>184</v>
      </c>
      <c r="C1296" s="23" t="n">
        <f aca="false">C1293-C1295</f>
        <v>7.773</v>
      </c>
      <c r="D1296" s="23" t="n">
        <f aca="false">D1293-D1295</f>
        <v>12.2078344</v>
      </c>
      <c r="E1296" s="23" t="n">
        <f aca="false">E1293-E1295</f>
        <v>18.4593906043519</v>
      </c>
      <c r="F1296" s="23" t="n">
        <f aca="false">F1293-F1295</f>
        <v>22.0203896635511</v>
      </c>
      <c r="G1296" s="23" t="n">
        <f aca="false">G1293-G1295</f>
        <v>24.7668000188876</v>
      </c>
    </row>
    <row r="1297" customFormat="false" ht="15" hidden="false" customHeight="false" outlineLevel="0" collapsed="false">
      <c r="A1297" s="4" t="s">
        <v>531</v>
      </c>
      <c r="B1297" s="0" t="s">
        <v>48</v>
      </c>
      <c r="C1297" s="16" t="n">
        <f aca="false">C1296/C1283</f>
        <v>0.159967895289251</v>
      </c>
      <c r="D1297" s="16" t="n">
        <f aca="false">D1296/D1283</f>
        <v>0.208139908470393</v>
      </c>
      <c r="E1297" s="16" t="n">
        <f aca="false">E1296/E1283</f>
        <v>0.242837535080175</v>
      </c>
      <c r="F1297" s="16" t="n">
        <f aca="false">F1296/F1283</f>
        <v>0.250665162783813</v>
      </c>
      <c r="G1297" s="16" t="n">
        <f aca="false">G1296/G1283</f>
        <v>0.259988149157759</v>
      </c>
    </row>
    <row r="1298" customFormat="false" ht="15" hidden="false" customHeight="false" outlineLevel="0" collapsed="false">
      <c r="A1298" s="4" t="s">
        <v>428</v>
      </c>
      <c r="B1298" s="0" t="s">
        <v>184</v>
      </c>
      <c r="C1298" s="23" t="n">
        <f aca="false">a25_nonop</f>
        <v>1.479</v>
      </c>
      <c r="D1298" s="23" t="n">
        <f aca="false">a26_nonop</f>
        <v>2.10950832169955</v>
      </c>
      <c r="E1298" s="23" t="n">
        <f aca="false">nonop_f</f>
        <v>1.5</v>
      </c>
      <c r="F1298" s="23" t="n">
        <f aca="false">nonop_f</f>
        <v>1.5</v>
      </c>
      <c r="G1298" s="23" t="n">
        <f aca="false">nonop_f</f>
        <v>1.5</v>
      </c>
    </row>
    <row r="1299" customFormat="false" ht="15" hidden="false" customHeight="false" outlineLevel="0" collapsed="false">
      <c r="A1299" s="4" t="s">
        <v>430</v>
      </c>
      <c r="B1299" s="0" t="s">
        <v>184</v>
      </c>
      <c r="C1299" s="23" t="n">
        <f aca="false">C1296+C1298</f>
        <v>9.252</v>
      </c>
      <c r="D1299" s="23" t="n">
        <f aca="false">D1296+D1298</f>
        <v>14.3173427216995</v>
      </c>
      <c r="E1299" s="23" t="n">
        <f aca="false">E1296+E1298</f>
        <v>19.9593906043519</v>
      </c>
      <c r="F1299" s="23" t="n">
        <f aca="false">F1296+F1298</f>
        <v>23.5203896635511</v>
      </c>
      <c r="G1299" s="23" t="n">
        <f aca="false">G1296+G1298</f>
        <v>26.2668000188876</v>
      </c>
    </row>
    <row r="1300" customFormat="false" ht="15" hidden="false" customHeight="false" outlineLevel="0" collapsed="false">
      <c r="A1300" s="4" t="s">
        <v>432</v>
      </c>
      <c r="B1300" s="0" t="s">
        <v>184</v>
      </c>
      <c r="C1300" s="23" t="n">
        <f aca="false">a25_tax</f>
        <v>1.344</v>
      </c>
      <c r="D1300" s="23" t="n">
        <f aca="false">a26_tax</f>
        <v>2.0798215108046</v>
      </c>
      <c r="E1300" s="23" t="n">
        <f aca="false">E1299*tax</f>
        <v>2.99390859065279</v>
      </c>
      <c r="F1300" s="23" t="n">
        <f aca="false">F1299*tax</f>
        <v>3.52805844953267</v>
      </c>
      <c r="G1300" s="23" t="n">
        <f aca="false">G1299*tax</f>
        <v>3.94002000283313</v>
      </c>
    </row>
    <row r="1301" customFormat="false" ht="17.15" hidden="false" customHeight="false" outlineLevel="0" collapsed="false">
      <c r="A1301" s="4" t="s">
        <v>567</v>
      </c>
      <c r="B1301" s="0" t="s">
        <v>184</v>
      </c>
      <c r="C1301" s="23" t="n">
        <f aca="false">a25_mi</f>
        <v>0</v>
      </c>
      <c r="D1301" s="23" t="n">
        <f aca="false">a26_mi</f>
        <v>0</v>
      </c>
      <c r="E1301" s="23" t="n">
        <f aca="false">vmi*E1292*(1-tax)</f>
        <v>0.12690432</v>
      </c>
      <c r="F1301" s="23" t="n">
        <f aca="false">vmi*F1292*(1-tax)</f>
        <v>1.2690432</v>
      </c>
      <c r="G1301" s="23" t="n">
        <f aca="false">vmi*G1292*(1-tax)</f>
        <v>2.2208256</v>
      </c>
      <c r="K1301" s="8" t="s">
        <v>568</v>
      </c>
    </row>
    <row r="1302" customFormat="false" ht="15" hidden="false" customHeight="false" outlineLevel="0" collapsed="false">
      <c r="A1302" s="4" t="s">
        <v>435</v>
      </c>
      <c r="B1302" s="0" t="s">
        <v>184</v>
      </c>
      <c r="C1302" s="23" t="n">
        <f aca="false">C1299-C1300-C1301</f>
        <v>7.908</v>
      </c>
      <c r="D1302" s="23" t="n">
        <f aca="false">D1299-D1300-D1301</f>
        <v>12.2375212108949</v>
      </c>
      <c r="E1302" s="23" t="n">
        <f aca="false">E1299-E1300-E1301</f>
        <v>16.8385776936991</v>
      </c>
      <c r="F1302" s="23" t="n">
        <f aca="false">F1299-F1300-F1301</f>
        <v>18.7232880140184</v>
      </c>
      <c r="G1302" s="23" t="n">
        <f aca="false">G1299-G1300-G1301</f>
        <v>20.1059544160544</v>
      </c>
      <c r="H1302" s="29" t="n">
        <f aca="false">H1283*H1306</f>
        <v>21.6392285311151</v>
      </c>
      <c r="I1302" s="29" t="n">
        <f aca="false">I1283*I1306</f>
        <v>23.1135059590002</v>
      </c>
      <c r="J1302" s="29" t="n">
        <f aca="false">J1283*J1306</f>
        <v>24.5003163165402</v>
      </c>
    </row>
    <row r="1303" customFormat="false" ht="15" hidden="false" customHeight="false" outlineLevel="0" collapsed="false">
      <c r="A1303" s="4" t="s">
        <v>569</v>
      </c>
      <c r="B1303" s="4" t="s">
        <v>265</v>
      </c>
      <c r="C1303" s="10" t="n">
        <f aca="false">a25_sh</f>
        <v>1.8739336492891</v>
      </c>
      <c r="D1303" s="10" t="n">
        <f aca="false">a26_sh</f>
        <v>1.90613591916558</v>
      </c>
      <c r="E1303" s="10" t="n">
        <f aca="false">q_sh*(1+sh_g)</f>
        <v>1.90705128205128</v>
      </c>
      <c r="F1303" s="10" t="n">
        <f aca="false">E1303*(1+sh_g)</f>
        <v>1.90705128205128</v>
      </c>
      <c r="G1303" s="10" t="n">
        <f aca="false">F1303*(1+sh_g)</f>
        <v>1.90705128205128</v>
      </c>
      <c r="H1303" s="31" t="n">
        <f aca="false">G1303*(1+sh_g)</f>
        <v>1.90705128205128</v>
      </c>
      <c r="I1303" s="31" t="n">
        <f aca="false">H1303*(1+sh_g)</f>
        <v>1.90705128205128</v>
      </c>
      <c r="J1303" s="31" t="n">
        <f aca="false">I1303*(1+sh_g)</f>
        <v>1.90705128205128</v>
      </c>
    </row>
    <row r="1304" customFormat="false" ht="17.15" hidden="false" customHeight="false" outlineLevel="0" collapsed="false">
      <c r="A1304" s="0" t="s">
        <v>442</v>
      </c>
      <c r="B1304" s="0" t="s">
        <v>274</v>
      </c>
      <c r="C1304" s="23" t="n">
        <f aca="false">C1302/C1303</f>
        <v>4.22</v>
      </c>
      <c r="D1304" s="23" t="n">
        <f aca="false">D1302/D1303</f>
        <v>6.42006747150118</v>
      </c>
      <c r="E1304" s="23" t="n">
        <f aca="false">E1302/E1303</f>
        <v>8.82964074022542</v>
      </c>
      <c r="F1304" s="23" t="n">
        <f aca="false">F1302/F1303</f>
        <v>9.81792581575421</v>
      </c>
      <c r="G1304" s="23" t="n">
        <f aca="false">G1302/G1303</f>
        <v>10.5429542484185</v>
      </c>
      <c r="H1304" s="29" t="n">
        <f aca="false">H1302/H1303</f>
        <v>11.3469568095931</v>
      </c>
      <c r="I1304" s="29" t="n">
        <f aca="false">I1302/I1303</f>
        <v>12.1200232927866</v>
      </c>
      <c r="J1304" s="29" t="n">
        <f aca="false">J1302/J1303</f>
        <v>12.8472246903538</v>
      </c>
    </row>
    <row r="1305" customFormat="false" ht="17.15" hidden="false" customHeight="false" outlineLevel="0" collapsed="false">
      <c r="A1305" s="0" t="s">
        <v>570</v>
      </c>
      <c r="B1305" s="0" t="s">
        <v>48</v>
      </c>
      <c r="D1305" s="20" t="n">
        <f aca="false">D1304/C1304-1</f>
        <v>0.521343002725398</v>
      </c>
      <c r="E1305" s="20" t="n">
        <f aca="false">E1304/D1304-1</f>
        <v>0.375318994608762</v>
      </c>
      <c r="F1305" s="20" t="n">
        <f aca="false">F1304/E1304-1</f>
        <v>0.111928118550332</v>
      </c>
      <c r="G1305" s="20" t="n">
        <f aca="false">G1304/F1304-1</f>
        <v>0.0738474140333023</v>
      </c>
      <c r="H1305" s="27" t="n">
        <f aca="false">H1304/G1304-1</f>
        <v>0.0762597031373122</v>
      </c>
      <c r="I1305" s="27" t="n">
        <f aca="false">I1304/H1304-1</f>
        <v>0.0681298515686561</v>
      </c>
      <c r="J1305" s="27" t="n">
        <f aca="false">J1304/I1304-1</f>
        <v>0.0599999999999998</v>
      </c>
    </row>
    <row r="1306" customFormat="false" ht="17.15" hidden="false" customHeight="false" outlineLevel="0" collapsed="false">
      <c r="A1306" s="4" t="s">
        <v>571</v>
      </c>
      <c r="B1306" s="0" t="s">
        <v>48</v>
      </c>
      <c r="C1306" s="16" t="n">
        <f aca="false">C1302/C1283</f>
        <v>0.162746187565599</v>
      </c>
      <c r="D1306" s="16" t="n">
        <f aca="false">D1302/D1283</f>
        <v>0.208646059676249</v>
      </c>
      <c r="E1306" s="16" t="n">
        <f aca="false">E1302/E1283</f>
        <v>0.221515367924979</v>
      </c>
      <c r="F1306" s="16" t="n">
        <f aca="false">F1302/F1283</f>
        <v>0.213133196532422</v>
      </c>
      <c r="G1306" s="16" t="n">
        <f aca="false">G1302/G1283</f>
        <v>0.211061173494106</v>
      </c>
      <c r="H1306" s="28" t="n">
        <f aca="false">$G1306+($G$1306*1-$G1306)*1/3</f>
        <v>0.211061173494106</v>
      </c>
      <c r="I1306" s="28" t="n">
        <f aca="false">$G1306+($G$1306*1-$G1306)*2/3</f>
        <v>0.211061173494106</v>
      </c>
      <c r="J1306" s="28" t="n">
        <f aca="false">$G1306+($G$1306*1-$G1306)*3/3</f>
        <v>0.211061173494106</v>
      </c>
    </row>
    <row r="1309" customFormat="false" ht="17.15" hidden="false" customHeight="false" outlineLevel="0" collapsed="false">
      <c r="A1309" s="1" t="s">
        <v>876</v>
      </c>
    </row>
    <row r="1310" customFormat="false" ht="17.15" hidden="false" customHeight="false" outlineLevel="0" collapsed="false">
      <c r="A1310" s="5" t="s">
        <v>24</v>
      </c>
      <c r="B1310" s="5" t="s">
        <v>25</v>
      </c>
      <c r="C1310" s="17" t="s">
        <v>394</v>
      </c>
      <c r="D1310" s="17" t="s">
        <v>521</v>
      </c>
      <c r="E1310" s="17" t="s">
        <v>480</v>
      </c>
      <c r="F1310" s="17" t="s">
        <v>481</v>
      </c>
      <c r="G1310" s="17" t="s">
        <v>482</v>
      </c>
      <c r="H1310" s="17" t="s">
        <v>522</v>
      </c>
      <c r="I1310" s="17" t="s">
        <v>523</v>
      </c>
      <c r="J1310" s="17" t="s">
        <v>524</v>
      </c>
      <c r="K1310" s="5" t="s">
        <v>357</v>
      </c>
    </row>
    <row r="1311" customFormat="false" ht="17.15" hidden="false" customHeight="false" outlineLevel="0" collapsed="false">
      <c r="A1311" s="6" t="s">
        <v>542</v>
      </c>
    </row>
    <row r="1312" customFormat="false" ht="17.15" hidden="false" customHeight="false" outlineLevel="0" collapsed="false">
      <c r="A1312" s="4" t="s">
        <v>543</v>
      </c>
      <c r="B1312" s="4" t="s">
        <v>42</v>
      </c>
      <c r="D1312" s="22" t="n">
        <f aca="false">cap_26</f>
        <v>3306</v>
      </c>
      <c r="E1312" s="22" t="n">
        <f aca="false">D1312*(1+capg27)*cap_adj</f>
        <v>3306</v>
      </c>
      <c r="F1312" s="22" t="n">
        <f aca="false">E1312*(1+capg28)</f>
        <v>3306</v>
      </c>
      <c r="G1312" s="22" t="n">
        <f aca="false">F1312*(1+capg29)</f>
        <v>3306</v>
      </c>
    </row>
    <row r="1313" customFormat="false" ht="15" hidden="false" customHeight="false" outlineLevel="0" collapsed="false">
      <c r="A1313" s="4" t="s">
        <v>544</v>
      </c>
      <c r="B1313" s="0" t="s">
        <v>48</v>
      </c>
      <c r="D1313" s="20" t="n">
        <f aca="false">a26_ship/cap_26</f>
        <v>0.8725</v>
      </c>
      <c r="E1313" s="20" t="n">
        <f aca="false">MIN(0.98,ut27_B+ut_adj)</f>
        <v>0.9</v>
      </c>
      <c r="F1313" s="20" t="n">
        <f aca="false">MIN(0.98,ut28_B+ut_adj)</f>
        <v>0.86</v>
      </c>
      <c r="G1313" s="20" t="n">
        <f aca="false">MIN(0.98,ut29_B+ut_adj)</f>
        <v>0.87</v>
      </c>
    </row>
    <row r="1314" customFormat="false" ht="17.15" hidden="false" customHeight="false" outlineLevel="0" collapsed="false">
      <c r="A1314" s="4" t="s">
        <v>545</v>
      </c>
      <c r="B1314" s="4" t="s">
        <v>42</v>
      </c>
      <c r="D1314" s="22" t="n">
        <f aca="false">D1312*D1313</f>
        <v>2884.485</v>
      </c>
      <c r="E1314" s="22" t="n">
        <f aca="false">E1312*E1313</f>
        <v>2975.4</v>
      </c>
      <c r="F1314" s="22" t="n">
        <f aca="false">F1312*F1313</f>
        <v>2843.16</v>
      </c>
      <c r="G1314" s="22" t="n">
        <f aca="false">G1312*G1313</f>
        <v>2876.22</v>
      </c>
    </row>
    <row r="1315" customFormat="false" ht="17.15" hidden="false" customHeight="false" outlineLevel="0" collapsed="false">
      <c r="A1315" s="4" t="s">
        <v>546</v>
      </c>
      <c r="B1315" s="0" t="s">
        <v>89</v>
      </c>
      <c r="D1315" s="22" t="n">
        <f aca="false">asp_26</f>
        <v>643.469405492234</v>
      </c>
      <c r="E1315" s="22" t="n">
        <f aca="false">D1315*(1+asp27_B)*(1+asp_adj)</f>
        <v>662.773487657001</v>
      </c>
      <c r="F1315" s="22" t="n">
        <f aca="false">E1315*(1+asp28_B)</f>
        <v>662.773487657001</v>
      </c>
      <c r="G1315" s="22" t="n">
        <f aca="false">F1315*(1+asp29_B)</f>
        <v>662.773487657001</v>
      </c>
    </row>
    <row r="1316" customFormat="false" ht="15" hidden="false" customHeight="false" outlineLevel="0" collapsed="false">
      <c r="A1316" s="4" t="s">
        <v>547</v>
      </c>
      <c r="B1316" s="0" t="s">
        <v>48</v>
      </c>
      <c r="E1316" s="20" t="n">
        <f aca="false">E1315/D1315-1</f>
        <v>0.03</v>
      </c>
      <c r="F1316" s="20" t="n">
        <f aca="false">F1315/E1315-1</f>
        <v>0</v>
      </c>
      <c r="G1316" s="20" t="n">
        <f aca="false">G1315/F1315-1</f>
        <v>0</v>
      </c>
    </row>
    <row r="1317" customFormat="false" ht="15" hidden="false" customHeight="false" outlineLevel="0" collapsed="false">
      <c r="A1317" s="4" t="s">
        <v>548</v>
      </c>
      <c r="B1317" s="0" t="s">
        <v>35</v>
      </c>
      <c r="D1317" s="23" t="n">
        <f aca="false">fx_26</f>
        <v>31.6</v>
      </c>
      <c r="E1317" s="23" t="n">
        <f aca="false">fx</f>
        <v>32</v>
      </c>
      <c r="F1317" s="23" t="n">
        <f aca="false">fx</f>
        <v>32</v>
      </c>
      <c r="G1317" s="23" t="n">
        <f aca="false">fx</f>
        <v>32</v>
      </c>
    </row>
    <row r="1318" customFormat="false" ht="17.15" hidden="false" customHeight="false" outlineLevel="0" collapsed="false">
      <c r="A1318" s="0" t="s">
        <v>549</v>
      </c>
      <c r="B1318" s="0" t="s">
        <v>184</v>
      </c>
      <c r="D1318" s="23" t="n">
        <f aca="false">D1314*D1315*D1317/1000000</f>
        <v>58.65206</v>
      </c>
      <c r="E1318" s="23" t="n">
        <f aca="false">E1314*E1315*E1317/1000000</f>
        <v>63.1045195255885</v>
      </c>
      <c r="F1318" s="23" t="n">
        <f aca="false">F1314*F1315*F1317/1000000</f>
        <v>60.2998742133401</v>
      </c>
      <c r="G1318" s="23" t="n">
        <f aca="false">G1314*G1315*G1317/1000000</f>
        <v>61.0010355414022</v>
      </c>
    </row>
    <row r="1319" customFormat="false" ht="17.15" hidden="false" customHeight="false" outlineLevel="0" collapsed="false">
      <c r="A1319" s="6" t="s">
        <v>550</v>
      </c>
    </row>
    <row r="1320" customFormat="false" ht="17.15" hidden="false" customHeight="false" outlineLevel="0" collapsed="false">
      <c r="A1320" s="0" t="s">
        <v>551</v>
      </c>
      <c r="B1320" s="4" t="s">
        <v>42</v>
      </c>
      <c r="D1320" s="22" t="n">
        <f aca="false">0</f>
        <v>0</v>
      </c>
      <c r="E1320" s="22" t="n">
        <f aca="false">vcap27*vcap_adj</f>
        <v>144</v>
      </c>
      <c r="F1320" s="22" t="n">
        <f aca="false">vcap28*vcap_adj</f>
        <v>360</v>
      </c>
      <c r="G1320" s="22" t="n">
        <f aca="false">vcap29*vcap_adj</f>
        <v>504</v>
      </c>
    </row>
    <row r="1321" customFormat="false" ht="17.15" hidden="false" customHeight="false" outlineLevel="0" collapsed="false">
      <c r="A1321" s="0" t="s">
        <v>552</v>
      </c>
      <c r="B1321" s="0" t="s">
        <v>48</v>
      </c>
      <c r="E1321" s="20" t="n">
        <f aca="false">vut_B</f>
        <v>0.8</v>
      </c>
      <c r="F1321" s="20" t="n">
        <f aca="false">vut_B</f>
        <v>0.8</v>
      </c>
      <c r="G1321" s="20" t="n">
        <f aca="false">vut_B</f>
        <v>0.8</v>
      </c>
    </row>
    <row r="1322" customFormat="false" ht="17.15" hidden="false" customHeight="false" outlineLevel="0" collapsed="false">
      <c r="A1322" s="0" t="s">
        <v>553</v>
      </c>
      <c r="B1322" s="4" t="s">
        <v>42</v>
      </c>
      <c r="D1322" s="22" t="n">
        <f aca="false">0</f>
        <v>0</v>
      </c>
      <c r="E1322" s="22" t="n">
        <f aca="false">E1320*E1321</f>
        <v>115.2</v>
      </c>
      <c r="F1322" s="22" t="n">
        <f aca="false">F1320*F1321</f>
        <v>288</v>
      </c>
      <c r="G1322" s="22" t="n">
        <f aca="false">G1320*G1321</f>
        <v>403.2</v>
      </c>
    </row>
    <row r="1323" customFormat="false" ht="17.15" hidden="false" customHeight="false" outlineLevel="0" collapsed="false">
      <c r="A1323" s="0" t="s">
        <v>554</v>
      </c>
      <c r="B1323" s="0" t="s">
        <v>184</v>
      </c>
      <c r="D1323" s="23" t="n">
        <f aca="false">0</f>
        <v>0</v>
      </c>
      <c r="E1323" s="23" t="n">
        <f aca="false">E1322*vasp*E1317/1000000</f>
        <v>6.63552</v>
      </c>
      <c r="F1323" s="23" t="n">
        <f aca="false">F1322*vasp*F1317/1000000</f>
        <v>16.5888</v>
      </c>
      <c r="G1323" s="23" t="n">
        <f aca="false">G1322*vasp*G1317/1000000</f>
        <v>23.22432</v>
      </c>
    </row>
    <row r="1324" customFormat="false" ht="17.15" hidden="false" customHeight="false" outlineLevel="0" collapsed="false">
      <c r="A1324" s="4" t="s">
        <v>400</v>
      </c>
      <c r="B1324" s="0" t="s">
        <v>184</v>
      </c>
      <c r="C1324" s="23" t="n">
        <f aca="false">a25_rev</f>
        <v>48.591</v>
      </c>
      <c r="D1324" s="23" t="n">
        <f aca="false">D1318+D1323</f>
        <v>58.65206</v>
      </c>
      <c r="E1324" s="23" t="n">
        <f aca="false">E1318+E1323</f>
        <v>69.7400395255885</v>
      </c>
      <c r="F1324" s="23" t="n">
        <f aca="false">F1318+F1323</f>
        <v>76.8886742133401</v>
      </c>
      <c r="G1324" s="23" t="n">
        <f aca="false">G1318+G1323</f>
        <v>84.2253555414022</v>
      </c>
      <c r="H1324" s="29" t="n">
        <f aca="false">G1324*(1+H1327)</f>
        <v>90.7061896343453</v>
      </c>
      <c r="I1324" s="29" t="n">
        <f aca="false">H1324*(1+I1327)</f>
        <v>96.0100687533499</v>
      </c>
      <c r="J1324" s="29" t="n">
        <f aca="false">I1324*(1+J1327)</f>
        <v>99.8504715034839</v>
      </c>
      <c r="K1324" s="8" t="s">
        <v>555</v>
      </c>
    </row>
    <row r="1325" customFormat="false" ht="17.15" hidden="false" customHeight="false" outlineLevel="0" collapsed="false">
      <c r="A1325" s="0" t="s">
        <v>556</v>
      </c>
      <c r="B1325" s="0" t="s">
        <v>48</v>
      </c>
      <c r="D1325" s="20" t="n">
        <f aca="false">D1323/D1324</f>
        <v>0</v>
      </c>
      <c r="E1325" s="20" t="n">
        <f aca="false">E1323/E1324</f>
        <v>0.0951464903825491</v>
      </c>
      <c r="F1325" s="20" t="n">
        <f aca="false">F1323/F1324</f>
        <v>0.215750891398799</v>
      </c>
      <c r="G1325" s="20" t="n">
        <f aca="false">G1323/G1324</f>
        <v>0.275740242955505</v>
      </c>
    </row>
    <row r="1326" customFormat="false" ht="17.15" hidden="false" customHeight="false" outlineLevel="0" collapsed="false">
      <c r="A1326" s="0" t="s">
        <v>557</v>
      </c>
      <c r="B1326" s="0" t="s">
        <v>48</v>
      </c>
      <c r="D1326" s="20" t="n">
        <f aca="false">ai_sh26</f>
        <v>0.1</v>
      </c>
      <c r="E1326" s="20" t="n">
        <f aca="false">ai_sh27_B</f>
        <v>0.2</v>
      </c>
      <c r="F1326" s="20" t="n">
        <f aca="false">ai_sh27_B</f>
        <v>0.2</v>
      </c>
      <c r="G1326" s="20" t="n">
        <f aca="false">ai_sh27_B</f>
        <v>0.2</v>
      </c>
    </row>
    <row r="1327" customFormat="false" ht="15" hidden="false" customHeight="false" outlineLevel="0" collapsed="false">
      <c r="A1327" s="4" t="s">
        <v>558</v>
      </c>
      <c r="B1327" s="0" t="s">
        <v>48</v>
      </c>
      <c r="D1327" s="20" t="n">
        <f aca="false">D1324/C1324-1</f>
        <v>0.207056039184211</v>
      </c>
      <c r="E1327" s="20" t="n">
        <f aca="false">E1324/D1324-1</f>
        <v>0.189046719340949</v>
      </c>
      <c r="F1327" s="20" t="n">
        <f aca="false">F1324/E1324-1</f>
        <v>0.10250402403527</v>
      </c>
      <c r="G1327" s="20" t="n">
        <f aca="false">G1324/F1324-1</f>
        <v>0.095419532240929</v>
      </c>
      <c r="H1327" s="27" t="n">
        <f aca="false">$G1327+(fade_gB-$G1327)*1/3</f>
        <v>0.076946354827286</v>
      </c>
      <c r="I1327" s="27" t="n">
        <f aca="false">$G1327+(fade_gB-$G1327)*2/3</f>
        <v>0.058473177413643</v>
      </c>
      <c r="J1327" s="27" t="n">
        <f aca="false">$G1327+(fade_gB-$G1327)*3/3</f>
        <v>0.04</v>
      </c>
    </row>
    <row r="1328" customFormat="false" ht="17.15" hidden="false" customHeight="false" outlineLevel="0" collapsed="false">
      <c r="A1328" s="6" t="s">
        <v>559</v>
      </c>
    </row>
    <row r="1329" customFormat="false" ht="15" hidden="false" customHeight="false" outlineLevel="0" collapsed="false">
      <c r="A1329" s="4" t="s">
        <v>560</v>
      </c>
      <c r="B1329" s="0" t="s">
        <v>184</v>
      </c>
      <c r="D1329" s="23" t="n">
        <f aca="false">da_tot26*da_sh</f>
        <v>8.658</v>
      </c>
      <c r="E1329" s="23" t="n">
        <f aca="false">D1329*(1+dag_27+dag_adj)</f>
        <v>8.91774</v>
      </c>
      <c r="F1329" s="23" t="n">
        <f aca="false">E1329*(1+dag_28+dag_adj)</f>
        <v>9.0960948</v>
      </c>
      <c r="G1329" s="23" t="n">
        <f aca="false">F1329*(1+dag_29+dag_adj)</f>
        <v>9.0960948</v>
      </c>
    </row>
    <row r="1330" customFormat="false" ht="17.15" hidden="false" customHeight="false" outlineLevel="0" collapsed="false">
      <c r="A1330" s="4" t="s">
        <v>561</v>
      </c>
      <c r="B1330" s="0" t="s">
        <v>562</v>
      </c>
      <c r="D1330" s="23" t="n">
        <f aca="false">(D1318-a26_gp-D1329)/D1314*1000</f>
        <v>10.7339918911001</v>
      </c>
      <c r="E1330" s="23" t="n">
        <f aca="false">D1330*(1+cc_g_lo)</f>
        <v>10.7339918911001</v>
      </c>
      <c r="F1330" s="23" t="n">
        <f aca="false">E1330*(1+cc_g_lo)</f>
        <v>10.7339918911001</v>
      </c>
      <c r="G1330" s="23" t="n">
        <f aca="false">F1330*(1+cc_g_lo)</f>
        <v>10.7339918911001</v>
      </c>
      <c r="K1330" s="8" t="s">
        <v>563</v>
      </c>
    </row>
    <row r="1331" customFormat="false" ht="17.15" hidden="false" customHeight="false" outlineLevel="0" collapsed="false">
      <c r="A1331" s="4" t="s">
        <v>564</v>
      </c>
      <c r="B1331" s="0" t="s">
        <v>184</v>
      </c>
      <c r="D1331" s="23" t="n">
        <f aca="false">D1330*D1314/1000</f>
        <v>30.9620386</v>
      </c>
      <c r="E1331" s="23" t="n">
        <f aca="false">E1330*E1314/1000</f>
        <v>31.9379194727794</v>
      </c>
      <c r="F1331" s="23" t="n">
        <f aca="false">F1330*F1314/1000</f>
        <v>30.5184563851003</v>
      </c>
      <c r="G1331" s="23" t="n">
        <f aca="false">G1330*G1314/1000</f>
        <v>30.8733221570201</v>
      </c>
    </row>
    <row r="1332" customFormat="false" ht="17.15" hidden="false" customHeight="false" outlineLevel="0" collapsed="false">
      <c r="A1332" s="0" t="s">
        <v>565</v>
      </c>
      <c r="B1332" s="0" t="s">
        <v>48</v>
      </c>
      <c r="E1332" s="20" t="n">
        <f aca="false">vgm27_B</f>
        <v>-0.05</v>
      </c>
      <c r="F1332" s="20" t="n">
        <f aca="false">vgm28_B</f>
        <v>0.12</v>
      </c>
      <c r="G1332" s="20" t="n">
        <f aca="false">vgm29_B</f>
        <v>0.18</v>
      </c>
    </row>
    <row r="1333" customFormat="false" ht="17.15" hidden="false" customHeight="false" outlineLevel="0" collapsed="false">
      <c r="A1333" s="0" t="s">
        <v>566</v>
      </c>
      <c r="B1333" s="0" t="s">
        <v>184</v>
      </c>
      <c r="D1333" s="23" t="n">
        <f aca="false">0</f>
        <v>0</v>
      </c>
      <c r="E1333" s="23" t="n">
        <f aca="false">E1323*E1332</f>
        <v>-0.331776</v>
      </c>
      <c r="F1333" s="23" t="n">
        <f aca="false">F1323*F1332</f>
        <v>1.990656</v>
      </c>
      <c r="G1333" s="23" t="n">
        <f aca="false">G1323*G1332</f>
        <v>4.1803776</v>
      </c>
    </row>
    <row r="1334" customFormat="false" ht="15" hidden="false" customHeight="false" outlineLevel="0" collapsed="false">
      <c r="A1334" s="4" t="s">
        <v>417</v>
      </c>
      <c r="B1334" s="0" t="s">
        <v>184</v>
      </c>
      <c r="C1334" s="23" t="n">
        <f aca="false">a25_gp</f>
        <v>13.654</v>
      </c>
      <c r="D1334" s="23" t="n">
        <f aca="false">D1318-D1329-D1331+D1333</f>
        <v>19.0320214</v>
      </c>
      <c r="E1334" s="23" t="n">
        <f aca="false">E1318-E1329-E1331+E1333</f>
        <v>21.9170840528091</v>
      </c>
      <c r="F1334" s="23" t="n">
        <f aca="false">F1318-F1329-F1331+F1333</f>
        <v>22.6759790282398</v>
      </c>
      <c r="G1334" s="23" t="n">
        <f aca="false">G1318-G1329-G1331+G1333</f>
        <v>25.2119961843821</v>
      </c>
    </row>
    <row r="1335" customFormat="false" ht="15" hidden="false" customHeight="false" outlineLevel="0" collapsed="false">
      <c r="A1335" s="4" t="s">
        <v>420</v>
      </c>
      <c r="B1335" s="0" t="s">
        <v>48</v>
      </c>
      <c r="C1335" s="16" t="n">
        <f aca="false">C1334/C1324</f>
        <v>0.280998538824062</v>
      </c>
      <c r="D1335" s="16" t="n">
        <f aca="false">D1334/D1324</f>
        <v>0.324490246378388</v>
      </c>
      <c r="E1335" s="16" t="n">
        <f aca="false">E1334/E1324</f>
        <v>0.31426830558029</v>
      </c>
      <c r="F1335" s="16" t="n">
        <f aca="false">F1334/F1324</f>
        <v>0.294919625812791</v>
      </c>
      <c r="G1335" s="16" t="n">
        <f aca="false">G1334/G1324</f>
        <v>0.299339741842809</v>
      </c>
    </row>
    <row r="1336" customFormat="false" ht="15" hidden="false" customHeight="false" outlineLevel="0" collapsed="false">
      <c r="A1336" s="4" t="s">
        <v>422</v>
      </c>
      <c r="B1336" s="0" t="s">
        <v>184</v>
      </c>
      <c r="C1336" s="23" t="n">
        <f aca="false">a25_opx</f>
        <v>5.881</v>
      </c>
      <c r="D1336" s="23" t="n">
        <f aca="false">a26_opx</f>
        <v>6.824187</v>
      </c>
      <c r="E1336" s="23" t="n">
        <f aca="false">D1336*(1+MAX(g_opx_min,phi*E1327))</f>
        <v>7.46923208225958</v>
      </c>
      <c r="F1336" s="23" t="n">
        <f aca="false">E1336*(1+MAX(g_opx_min,phi*F1327))</f>
        <v>7.85204525470205</v>
      </c>
      <c r="G1336" s="23" t="n">
        <f aca="false">F1336*(1+MAX(g_opx_min,phi*G1327))</f>
        <v>8.22666449737119</v>
      </c>
    </row>
    <row r="1337" customFormat="false" ht="15" hidden="false" customHeight="false" outlineLevel="0" collapsed="false">
      <c r="A1337" s="4" t="s">
        <v>425</v>
      </c>
      <c r="B1337" s="0" t="s">
        <v>184</v>
      </c>
      <c r="C1337" s="23" t="n">
        <f aca="false">C1334-C1336</f>
        <v>7.773</v>
      </c>
      <c r="D1337" s="23" t="n">
        <f aca="false">D1334-D1336</f>
        <v>12.2078344</v>
      </c>
      <c r="E1337" s="23" t="n">
        <f aca="false">E1334-E1336</f>
        <v>14.4478519705495</v>
      </c>
      <c r="F1337" s="23" t="n">
        <f aca="false">F1334-F1336</f>
        <v>14.8239337735378</v>
      </c>
      <c r="G1337" s="23" t="n">
        <f aca="false">G1334-G1336</f>
        <v>16.9853316870109</v>
      </c>
    </row>
    <row r="1338" customFormat="false" ht="15" hidden="false" customHeight="false" outlineLevel="0" collapsed="false">
      <c r="A1338" s="4" t="s">
        <v>531</v>
      </c>
      <c r="B1338" s="0" t="s">
        <v>48</v>
      </c>
      <c r="C1338" s="16" t="n">
        <f aca="false">C1337/C1324</f>
        <v>0.159967895289251</v>
      </c>
      <c r="D1338" s="16" t="n">
        <f aca="false">D1337/D1324</f>
        <v>0.208139908470393</v>
      </c>
      <c r="E1338" s="16" t="n">
        <f aca="false">E1337/E1324</f>
        <v>0.207167246661058</v>
      </c>
      <c r="F1338" s="16" t="n">
        <f aca="false">F1337/F1324</f>
        <v>0.192797364829134</v>
      </c>
      <c r="G1338" s="16" t="n">
        <f aca="false">G1337/G1324</f>
        <v>0.201665301117804</v>
      </c>
    </row>
    <row r="1339" customFormat="false" ht="15" hidden="false" customHeight="false" outlineLevel="0" collapsed="false">
      <c r="A1339" s="4" t="s">
        <v>428</v>
      </c>
      <c r="B1339" s="0" t="s">
        <v>184</v>
      </c>
      <c r="C1339" s="23" t="n">
        <f aca="false">a25_nonop</f>
        <v>1.479</v>
      </c>
      <c r="D1339" s="23" t="n">
        <f aca="false">a26_nonop</f>
        <v>2.10950832169955</v>
      </c>
      <c r="E1339" s="23" t="n">
        <f aca="false">nonop_f</f>
        <v>1.5</v>
      </c>
      <c r="F1339" s="23" t="n">
        <f aca="false">nonop_f</f>
        <v>1.5</v>
      </c>
      <c r="G1339" s="23" t="n">
        <f aca="false">nonop_f</f>
        <v>1.5</v>
      </c>
    </row>
    <row r="1340" customFormat="false" ht="15" hidden="false" customHeight="false" outlineLevel="0" collapsed="false">
      <c r="A1340" s="4" t="s">
        <v>430</v>
      </c>
      <c r="B1340" s="0" t="s">
        <v>184</v>
      </c>
      <c r="C1340" s="23" t="n">
        <f aca="false">C1337+C1339</f>
        <v>9.252</v>
      </c>
      <c r="D1340" s="23" t="n">
        <f aca="false">D1337+D1339</f>
        <v>14.3173427216995</v>
      </c>
      <c r="E1340" s="23" t="n">
        <f aca="false">E1337+E1339</f>
        <v>15.9478519705495</v>
      </c>
      <c r="F1340" s="23" t="n">
        <f aca="false">F1337+F1339</f>
        <v>16.3239337735378</v>
      </c>
      <c r="G1340" s="23" t="n">
        <f aca="false">G1337+G1339</f>
        <v>18.4853316870109</v>
      </c>
    </row>
    <row r="1341" customFormat="false" ht="15" hidden="false" customHeight="false" outlineLevel="0" collapsed="false">
      <c r="A1341" s="4" t="s">
        <v>432</v>
      </c>
      <c r="B1341" s="0" t="s">
        <v>184</v>
      </c>
      <c r="C1341" s="23" t="n">
        <f aca="false">a25_tax</f>
        <v>1.344</v>
      </c>
      <c r="D1341" s="23" t="n">
        <f aca="false">a26_tax</f>
        <v>2.0798215108046</v>
      </c>
      <c r="E1341" s="23" t="n">
        <f aca="false">E1340*tax</f>
        <v>2.39217779558243</v>
      </c>
      <c r="F1341" s="23" t="n">
        <f aca="false">F1340*tax</f>
        <v>2.44859006603067</v>
      </c>
      <c r="G1341" s="23" t="n">
        <f aca="false">G1340*tax</f>
        <v>2.77279975305164</v>
      </c>
    </row>
    <row r="1342" customFormat="false" ht="17.15" hidden="false" customHeight="false" outlineLevel="0" collapsed="false">
      <c r="A1342" s="4" t="s">
        <v>567</v>
      </c>
      <c r="B1342" s="0" t="s">
        <v>184</v>
      </c>
      <c r="C1342" s="23" t="n">
        <f aca="false">a25_mi</f>
        <v>0</v>
      </c>
      <c r="D1342" s="23" t="n">
        <f aca="false">a26_mi</f>
        <v>0</v>
      </c>
      <c r="E1342" s="23" t="n">
        <f aca="false">vmi*E1333*(1-tax)</f>
        <v>-0.11280384</v>
      </c>
      <c r="F1342" s="23" t="n">
        <f aca="false">vmi*F1333*(1-tax)</f>
        <v>0.67682304</v>
      </c>
      <c r="G1342" s="23" t="n">
        <f aca="false">vmi*G1333*(1-tax)</f>
        <v>1.421328384</v>
      </c>
      <c r="K1342" s="8" t="s">
        <v>568</v>
      </c>
    </row>
    <row r="1343" customFormat="false" ht="15" hidden="false" customHeight="false" outlineLevel="0" collapsed="false">
      <c r="A1343" s="4" t="s">
        <v>435</v>
      </c>
      <c r="B1343" s="0" t="s">
        <v>184</v>
      </c>
      <c r="C1343" s="23" t="n">
        <f aca="false">C1340-C1341-C1342</f>
        <v>7.908</v>
      </c>
      <c r="D1343" s="23" t="n">
        <f aca="false">D1340-D1341-D1342</f>
        <v>12.2375212108949</v>
      </c>
      <c r="E1343" s="23" t="n">
        <f aca="false">E1340-E1341-E1342</f>
        <v>13.6684780149671</v>
      </c>
      <c r="F1343" s="23" t="n">
        <f aca="false">F1340-F1341-F1342</f>
        <v>13.1985206675071</v>
      </c>
      <c r="G1343" s="23" t="n">
        <f aca="false">G1340-G1341-G1342</f>
        <v>14.2912035499593</v>
      </c>
      <c r="H1343" s="29" t="n">
        <f aca="false">H1324*H1347</f>
        <v>14.877830916916</v>
      </c>
      <c r="I1343" s="29" t="n">
        <f aca="false">I1324*I1347</f>
        <v>15.2047578959389</v>
      </c>
      <c r="J1343" s="29" t="n">
        <f aca="false">J1324*J1347</f>
        <v>15.2482000613559</v>
      </c>
    </row>
    <row r="1344" customFormat="false" ht="15" hidden="false" customHeight="false" outlineLevel="0" collapsed="false">
      <c r="A1344" s="4" t="s">
        <v>569</v>
      </c>
      <c r="B1344" s="4" t="s">
        <v>265</v>
      </c>
      <c r="C1344" s="10" t="n">
        <f aca="false">a25_sh</f>
        <v>1.8739336492891</v>
      </c>
      <c r="D1344" s="10" t="n">
        <f aca="false">a26_sh</f>
        <v>1.90613591916558</v>
      </c>
      <c r="E1344" s="10" t="n">
        <f aca="false">q_sh*(1+sh_g)</f>
        <v>1.90705128205128</v>
      </c>
      <c r="F1344" s="10" t="n">
        <f aca="false">E1344*(1+sh_g)</f>
        <v>1.90705128205128</v>
      </c>
      <c r="G1344" s="10" t="n">
        <f aca="false">F1344*(1+sh_g)</f>
        <v>1.90705128205128</v>
      </c>
      <c r="H1344" s="31" t="n">
        <f aca="false">G1344*(1+sh_g)</f>
        <v>1.90705128205128</v>
      </c>
      <c r="I1344" s="31" t="n">
        <f aca="false">H1344*(1+sh_g)</f>
        <v>1.90705128205128</v>
      </c>
      <c r="J1344" s="31" t="n">
        <f aca="false">I1344*(1+sh_g)</f>
        <v>1.90705128205128</v>
      </c>
    </row>
    <row r="1345" customFormat="false" ht="17.15" hidden="false" customHeight="false" outlineLevel="0" collapsed="false">
      <c r="A1345" s="0" t="s">
        <v>442</v>
      </c>
      <c r="B1345" s="0" t="s">
        <v>274</v>
      </c>
      <c r="C1345" s="23" t="n">
        <f aca="false">C1343/C1344</f>
        <v>4.22</v>
      </c>
      <c r="D1345" s="23" t="n">
        <f aca="false">D1343/D1344</f>
        <v>6.42006747150118</v>
      </c>
      <c r="E1345" s="23" t="n">
        <f aca="false">E1343/E1344</f>
        <v>7.16733637087351</v>
      </c>
      <c r="F1345" s="23" t="n">
        <f aca="false">F1343/F1344</f>
        <v>6.92090495506255</v>
      </c>
      <c r="G1345" s="23" t="n">
        <f aca="false">G1343/G1344</f>
        <v>7.49387480266774</v>
      </c>
      <c r="H1345" s="29" t="n">
        <f aca="false">H1343/H1344</f>
        <v>7.80148444718956</v>
      </c>
      <c r="I1345" s="29" t="n">
        <f aca="false">I1343/I1344</f>
        <v>7.97291506476124</v>
      </c>
      <c r="J1345" s="29" t="n">
        <f aca="false">J1343/J1344</f>
        <v>7.99569482208913</v>
      </c>
    </row>
    <row r="1346" customFormat="false" ht="17.15" hidden="false" customHeight="false" outlineLevel="0" collapsed="false">
      <c r="A1346" s="0" t="s">
        <v>570</v>
      </c>
      <c r="B1346" s="0" t="s">
        <v>48</v>
      </c>
      <c r="D1346" s="20" t="n">
        <f aca="false">D1345/C1345-1</f>
        <v>0.521343002725398</v>
      </c>
      <c r="E1346" s="20" t="n">
        <f aca="false">E1345/D1345-1</f>
        <v>0.116395801553406</v>
      </c>
      <c r="F1346" s="20" t="n">
        <f aca="false">F1345/E1345-1</f>
        <v>-0.0343825659993301</v>
      </c>
      <c r="G1346" s="20" t="n">
        <f aca="false">G1345/F1345-1</f>
        <v>0.0827882843826757</v>
      </c>
      <c r="H1346" s="27" t="n">
        <f aca="false">H1345/G1345-1</f>
        <v>0.0410481429997098</v>
      </c>
      <c r="I1346" s="27" t="n">
        <f aca="false">I1345/H1345-1</f>
        <v>0.0219741023304139</v>
      </c>
      <c r="J1346" s="27" t="n">
        <f aca="false">J1345/I1345-1</f>
        <v>0.00285714285714311</v>
      </c>
    </row>
    <row r="1347" customFormat="false" ht="17.15" hidden="false" customHeight="false" outlineLevel="0" collapsed="false">
      <c r="A1347" s="4" t="s">
        <v>571</v>
      </c>
      <c r="B1347" s="0" t="s">
        <v>48</v>
      </c>
      <c r="C1347" s="16" t="n">
        <f aca="false">C1343/C1324</f>
        <v>0.162746187565599</v>
      </c>
      <c r="D1347" s="16" t="n">
        <f aca="false">D1343/D1324</f>
        <v>0.208646059676249</v>
      </c>
      <c r="E1347" s="16" t="n">
        <f aca="false">E1343/E1324</f>
        <v>0.195991830631985</v>
      </c>
      <c r="F1347" s="16" t="n">
        <f aca="false">F1343/F1324</f>
        <v>0.171657539976378</v>
      </c>
      <c r="G1347" s="16" t="n">
        <f aca="false">G1343/G1324</f>
        <v>0.169678162331226</v>
      </c>
      <c r="H1347" s="28" t="n">
        <f aca="false">$G1347+($G$1347*0.9-$G1347)*1/3</f>
        <v>0.164022223586852</v>
      </c>
      <c r="I1347" s="28" t="n">
        <f aca="false">$G1347+($G$1347*0.9-$G1347)*2/3</f>
        <v>0.158366284842478</v>
      </c>
      <c r="J1347" s="28" t="n">
        <f aca="false">$G1347+($G$1347*0.9-$G1347)*3/3</f>
        <v>0.152710346098104</v>
      </c>
    </row>
    <row r="1350" customFormat="false" ht="17.15" hidden="false" customHeight="false" outlineLevel="0" collapsed="false">
      <c r="A1350" s="1" t="s">
        <v>877</v>
      </c>
    </row>
    <row r="1351" customFormat="false" ht="17.15" hidden="false" customHeight="false" outlineLevel="0" collapsed="false">
      <c r="A1351" s="5" t="s">
        <v>24</v>
      </c>
      <c r="B1351" s="5" t="s">
        <v>25</v>
      </c>
      <c r="C1351" s="17" t="s">
        <v>394</v>
      </c>
      <c r="D1351" s="17" t="s">
        <v>521</v>
      </c>
      <c r="E1351" s="17" t="s">
        <v>480</v>
      </c>
      <c r="F1351" s="17" t="s">
        <v>481</v>
      </c>
      <c r="G1351" s="17" t="s">
        <v>482</v>
      </c>
      <c r="H1351" s="17" t="s">
        <v>522</v>
      </c>
      <c r="I1351" s="17" t="s">
        <v>523</v>
      </c>
      <c r="J1351" s="17" t="s">
        <v>524</v>
      </c>
      <c r="K1351" s="5" t="s">
        <v>357</v>
      </c>
    </row>
    <row r="1352" customFormat="false" ht="17.15" hidden="false" customHeight="false" outlineLevel="0" collapsed="false">
      <c r="A1352" s="6" t="s">
        <v>542</v>
      </c>
    </row>
    <row r="1353" customFormat="false" ht="17.15" hidden="false" customHeight="false" outlineLevel="0" collapsed="false">
      <c r="A1353" s="4" t="s">
        <v>543</v>
      </c>
      <c r="B1353" s="4" t="s">
        <v>42</v>
      </c>
      <c r="D1353" s="22" t="n">
        <f aca="false">cap_26</f>
        <v>3306</v>
      </c>
      <c r="E1353" s="22" t="n">
        <f aca="false">D1353*(1+capg27)*cap_adj</f>
        <v>3306</v>
      </c>
      <c r="F1353" s="22" t="n">
        <f aca="false">E1353*(1+capg28)</f>
        <v>3306</v>
      </c>
      <c r="G1353" s="22" t="n">
        <f aca="false">F1353*(1+capg29)</f>
        <v>3306</v>
      </c>
    </row>
    <row r="1354" customFormat="false" ht="15" hidden="false" customHeight="false" outlineLevel="0" collapsed="false">
      <c r="A1354" s="4" t="s">
        <v>544</v>
      </c>
      <c r="B1354" s="0" t="s">
        <v>48</v>
      </c>
      <c r="D1354" s="20" t="n">
        <f aca="false">a26_ship/cap_26</f>
        <v>0.8725</v>
      </c>
      <c r="E1354" s="20" t="n">
        <f aca="false">MIN(0.98,ut27_C+ut_adj)</f>
        <v>0.8</v>
      </c>
      <c r="F1354" s="20" t="n">
        <f aca="false">MIN(0.98,ut28_C+ut_adj)</f>
        <v>0.74</v>
      </c>
      <c r="G1354" s="20" t="n">
        <f aca="false">MIN(0.98,ut29_C+ut_adj)</f>
        <v>0.78</v>
      </c>
    </row>
    <row r="1355" customFormat="false" ht="17.15" hidden="false" customHeight="false" outlineLevel="0" collapsed="false">
      <c r="A1355" s="4" t="s">
        <v>545</v>
      </c>
      <c r="B1355" s="4" t="s">
        <v>42</v>
      </c>
      <c r="D1355" s="22" t="n">
        <f aca="false">D1353*D1354</f>
        <v>2884.485</v>
      </c>
      <c r="E1355" s="22" t="n">
        <f aca="false">E1353*E1354</f>
        <v>2644.8</v>
      </c>
      <c r="F1355" s="22" t="n">
        <f aca="false">F1353*F1354</f>
        <v>2446.44</v>
      </c>
      <c r="G1355" s="22" t="n">
        <f aca="false">G1353*G1354</f>
        <v>2578.68</v>
      </c>
    </row>
    <row r="1356" customFormat="false" ht="17.15" hidden="false" customHeight="false" outlineLevel="0" collapsed="false">
      <c r="A1356" s="4" t="s">
        <v>546</v>
      </c>
      <c r="B1356" s="0" t="s">
        <v>89</v>
      </c>
      <c r="D1356" s="22" t="n">
        <f aca="false">asp_26</f>
        <v>643.469405492234</v>
      </c>
      <c r="E1356" s="22" t="n">
        <f aca="false">D1356*(1+asp27_C)*(1+asp_adj)</f>
        <v>624.165323327467</v>
      </c>
      <c r="F1356" s="22" t="n">
        <f aca="false">E1356*(1+asp28_C)</f>
        <v>592.957057161093</v>
      </c>
      <c r="G1356" s="22" t="n">
        <f aca="false">F1356*(1+asp29_C)</f>
        <v>581.097916017871</v>
      </c>
    </row>
    <row r="1357" customFormat="false" ht="15" hidden="false" customHeight="false" outlineLevel="0" collapsed="false">
      <c r="A1357" s="4" t="s">
        <v>547</v>
      </c>
      <c r="B1357" s="0" t="s">
        <v>48</v>
      </c>
      <c r="E1357" s="20" t="n">
        <f aca="false">E1356/D1356-1</f>
        <v>-0.03</v>
      </c>
      <c r="F1357" s="20" t="n">
        <f aca="false">F1356/E1356-1</f>
        <v>-0.05</v>
      </c>
      <c r="G1357" s="20" t="n">
        <f aca="false">G1356/F1356-1</f>
        <v>-0.02</v>
      </c>
    </row>
    <row r="1358" customFormat="false" ht="15" hidden="false" customHeight="false" outlineLevel="0" collapsed="false">
      <c r="A1358" s="4" t="s">
        <v>548</v>
      </c>
      <c r="B1358" s="0" t="s">
        <v>35</v>
      </c>
      <c r="D1358" s="23" t="n">
        <f aca="false">fx_26</f>
        <v>31.6</v>
      </c>
      <c r="E1358" s="23" t="n">
        <f aca="false">fx</f>
        <v>32</v>
      </c>
      <c r="F1358" s="23" t="n">
        <f aca="false">fx</f>
        <v>32</v>
      </c>
      <c r="G1358" s="23" t="n">
        <f aca="false">fx</f>
        <v>32</v>
      </c>
    </row>
    <row r="1359" customFormat="false" ht="17.15" hidden="false" customHeight="false" outlineLevel="0" collapsed="false">
      <c r="A1359" s="0" t="s">
        <v>549</v>
      </c>
      <c r="B1359" s="0" t="s">
        <v>184</v>
      </c>
      <c r="D1359" s="23" t="n">
        <f aca="false">D1355*D1356*D1358/1000000</f>
        <v>58.65206</v>
      </c>
      <c r="E1359" s="23" t="n">
        <f aca="false">E1355*E1356*E1358/1000000</f>
        <v>52.8253583083675</v>
      </c>
      <c r="F1359" s="23" t="n">
        <f aca="false">F1355*F1356*F1358/1000000</f>
        <v>46.4202836134779</v>
      </c>
      <c r="G1359" s="23" t="n">
        <f aca="false">G1355*G1356*G1358/1000000</f>
        <v>47.9508983704629</v>
      </c>
    </row>
    <row r="1360" customFormat="false" ht="17.15" hidden="false" customHeight="false" outlineLevel="0" collapsed="false">
      <c r="A1360" s="6" t="s">
        <v>550</v>
      </c>
    </row>
    <row r="1361" customFormat="false" ht="17.15" hidden="false" customHeight="false" outlineLevel="0" collapsed="false">
      <c r="A1361" s="0" t="s">
        <v>551</v>
      </c>
      <c r="B1361" s="4" t="s">
        <v>42</v>
      </c>
      <c r="D1361" s="22" t="n">
        <f aca="false">0</f>
        <v>0</v>
      </c>
      <c r="E1361" s="22" t="n">
        <f aca="false">vcap27*vcap_adj</f>
        <v>144</v>
      </c>
      <c r="F1361" s="22" t="n">
        <f aca="false">vcap28*vcap_adj</f>
        <v>360</v>
      </c>
      <c r="G1361" s="22" t="n">
        <f aca="false">vcap29*vcap_adj</f>
        <v>504</v>
      </c>
    </row>
    <row r="1362" customFormat="false" ht="17.15" hidden="false" customHeight="false" outlineLevel="0" collapsed="false">
      <c r="A1362" s="0" t="s">
        <v>552</v>
      </c>
      <c r="B1362" s="0" t="s">
        <v>48</v>
      </c>
      <c r="E1362" s="20" t="n">
        <f aca="false">vut_C</f>
        <v>0.65</v>
      </c>
      <c r="F1362" s="20" t="n">
        <f aca="false">vut_C</f>
        <v>0.65</v>
      </c>
      <c r="G1362" s="20" t="n">
        <f aca="false">vut_C</f>
        <v>0.65</v>
      </c>
    </row>
    <row r="1363" customFormat="false" ht="17.15" hidden="false" customHeight="false" outlineLevel="0" collapsed="false">
      <c r="A1363" s="0" t="s">
        <v>553</v>
      </c>
      <c r="B1363" s="4" t="s">
        <v>42</v>
      </c>
      <c r="D1363" s="22" t="n">
        <f aca="false">0</f>
        <v>0</v>
      </c>
      <c r="E1363" s="22" t="n">
        <f aca="false">E1361*E1362</f>
        <v>93.6</v>
      </c>
      <c r="F1363" s="22" t="n">
        <f aca="false">F1361*F1362</f>
        <v>234</v>
      </c>
      <c r="G1363" s="22" t="n">
        <f aca="false">G1361*G1362</f>
        <v>327.6</v>
      </c>
    </row>
    <row r="1364" customFormat="false" ht="17.15" hidden="false" customHeight="false" outlineLevel="0" collapsed="false">
      <c r="A1364" s="0" t="s">
        <v>554</v>
      </c>
      <c r="B1364" s="0" t="s">
        <v>184</v>
      </c>
      <c r="D1364" s="23" t="n">
        <f aca="false">0</f>
        <v>0</v>
      </c>
      <c r="E1364" s="23" t="n">
        <f aca="false">E1363*vasp*E1358/1000000</f>
        <v>5.39136</v>
      </c>
      <c r="F1364" s="23" t="n">
        <f aca="false">F1363*vasp*F1358/1000000</f>
        <v>13.4784</v>
      </c>
      <c r="G1364" s="23" t="n">
        <f aca="false">G1363*vasp*G1358/1000000</f>
        <v>18.86976</v>
      </c>
    </row>
    <row r="1365" customFormat="false" ht="17.15" hidden="false" customHeight="false" outlineLevel="0" collapsed="false">
      <c r="A1365" s="4" t="s">
        <v>400</v>
      </c>
      <c r="B1365" s="0" t="s">
        <v>184</v>
      </c>
      <c r="C1365" s="23" t="n">
        <f aca="false">a25_rev</f>
        <v>48.591</v>
      </c>
      <c r="D1365" s="23" t="n">
        <f aca="false">D1359+D1364</f>
        <v>58.65206</v>
      </c>
      <c r="E1365" s="23" t="n">
        <f aca="false">E1359+E1364</f>
        <v>58.2167183083675</v>
      </c>
      <c r="F1365" s="23" t="n">
        <f aca="false">F1359+F1364</f>
        <v>59.8986836134779</v>
      </c>
      <c r="G1365" s="23" t="n">
        <f aca="false">G1359+G1364</f>
        <v>66.8206583704629</v>
      </c>
      <c r="H1365" s="29" t="n">
        <f aca="false">G1365*(1+H1368)</f>
        <v>72.4140545845787</v>
      </c>
      <c r="I1365" s="29" t="n">
        <f aca="false">H1365*(1+I1368)</f>
        <v>76.1689980934585</v>
      </c>
      <c r="J1365" s="29" t="n">
        <f aca="false">I1365*(1+J1368)</f>
        <v>77.6923780553276</v>
      </c>
      <c r="K1365" s="8" t="s">
        <v>555</v>
      </c>
    </row>
    <row r="1366" customFormat="false" ht="17.15" hidden="false" customHeight="false" outlineLevel="0" collapsed="false">
      <c r="A1366" s="0" t="s">
        <v>556</v>
      </c>
      <c r="B1366" s="0" t="s">
        <v>48</v>
      </c>
      <c r="D1366" s="20" t="n">
        <f aca="false">D1364/D1365</f>
        <v>0</v>
      </c>
      <c r="E1366" s="20" t="n">
        <f aca="false">E1364/E1365</f>
        <v>0.0926084491991212</v>
      </c>
      <c r="F1366" s="20" t="n">
        <f aca="false">F1364/F1365</f>
        <v>0.225019970171218</v>
      </c>
      <c r="G1366" s="20" t="n">
        <f aca="false">G1364/G1365</f>
        <v>0.28239410475999</v>
      </c>
    </row>
    <row r="1367" customFormat="false" ht="17.15" hidden="false" customHeight="false" outlineLevel="0" collapsed="false">
      <c r="A1367" s="0" t="s">
        <v>557</v>
      </c>
      <c r="B1367" s="0" t="s">
        <v>48</v>
      </c>
      <c r="D1367" s="20" t="n">
        <f aca="false">ai_sh26</f>
        <v>0.1</v>
      </c>
      <c r="E1367" s="20" t="n">
        <f aca="false">ai_sh27_C</f>
        <v>0.15</v>
      </c>
      <c r="F1367" s="20" t="n">
        <f aca="false">ai_sh27_C</f>
        <v>0.15</v>
      </c>
      <c r="G1367" s="20" t="n">
        <f aca="false">ai_sh27_C</f>
        <v>0.15</v>
      </c>
    </row>
    <row r="1368" customFormat="false" ht="15" hidden="false" customHeight="false" outlineLevel="0" collapsed="false">
      <c r="A1368" s="4" t="s">
        <v>558</v>
      </c>
      <c r="B1368" s="0" t="s">
        <v>48</v>
      </c>
      <c r="D1368" s="20" t="n">
        <f aca="false">D1365/C1365-1</f>
        <v>0.207056039184211</v>
      </c>
      <c r="E1368" s="20" t="n">
        <f aca="false">E1365/D1365-1</f>
        <v>-0.0074224450365854</v>
      </c>
      <c r="F1368" s="20" t="n">
        <f aca="false">F1365/E1365-1</f>
        <v>0.028891448264075</v>
      </c>
      <c r="G1368" s="20" t="n">
        <f aca="false">G1365/F1365-1</f>
        <v>0.115561383646625</v>
      </c>
      <c r="H1368" s="27" t="n">
        <f aca="false">$G1368+(fade_gC-$G1368)*1/3</f>
        <v>0.0837075890977501</v>
      </c>
      <c r="I1368" s="27" t="n">
        <f aca="false">$G1368+(fade_gC-$G1368)*2/3</f>
        <v>0.0518537945488751</v>
      </c>
      <c r="J1368" s="27" t="n">
        <f aca="false">$G1368+(fade_gC-$G1368)*3/3</f>
        <v>0.02</v>
      </c>
    </row>
    <row r="1369" customFormat="false" ht="17.15" hidden="false" customHeight="false" outlineLevel="0" collapsed="false">
      <c r="A1369" s="6" t="s">
        <v>559</v>
      </c>
    </row>
    <row r="1370" customFormat="false" ht="15" hidden="false" customHeight="false" outlineLevel="0" collapsed="false">
      <c r="A1370" s="4" t="s">
        <v>560</v>
      </c>
      <c r="B1370" s="0" t="s">
        <v>184</v>
      </c>
      <c r="D1370" s="23" t="n">
        <f aca="false">da_tot26*da_sh</f>
        <v>8.658</v>
      </c>
      <c r="E1370" s="23" t="n">
        <f aca="false">D1370*(1+dag_27+dag_adj)</f>
        <v>8.91774</v>
      </c>
      <c r="F1370" s="23" t="n">
        <f aca="false">E1370*(1+dag_28+dag_adj)</f>
        <v>9.0960948</v>
      </c>
      <c r="G1370" s="23" t="n">
        <f aca="false">F1370*(1+dag_29+dag_adj)</f>
        <v>9.0960948</v>
      </c>
    </row>
    <row r="1371" customFormat="false" ht="17.15" hidden="false" customHeight="false" outlineLevel="0" collapsed="false">
      <c r="A1371" s="4" t="s">
        <v>561</v>
      </c>
      <c r="B1371" s="0" t="s">
        <v>562</v>
      </c>
      <c r="D1371" s="23" t="n">
        <f aca="false">(D1359-a26_gp-D1370)/D1355*1000</f>
        <v>10.7339918911001</v>
      </c>
      <c r="E1371" s="23" t="n">
        <f aca="false">D1371*(1+cc_g_lo)</f>
        <v>10.7339918911001</v>
      </c>
      <c r="F1371" s="23" t="n">
        <f aca="false">E1371*(1+cc_g_lo)</f>
        <v>10.7339918911001</v>
      </c>
      <c r="G1371" s="23" t="n">
        <f aca="false">F1371*(1+cc_g_lo)</f>
        <v>10.7339918911001</v>
      </c>
      <c r="K1371" s="8" t="s">
        <v>563</v>
      </c>
    </row>
    <row r="1372" customFormat="false" ht="17.15" hidden="false" customHeight="false" outlineLevel="0" collapsed="false">
      <c r="A1372" s="4" t="s">
        <v>564</v>
      </c>
      <c r="B1372" s="0" t="s">
        <v>184</v>
      </c>
      <c r="D1372" s="23" t="n">
        <f aca="false">D1371*D1355/1000</f>
        <v>30.9620386</v>
      </c>
      <c r="E1372" s="23" t="n">
        <f aca="false">E1371*E1355/1000</f>
        <v>28.3892617535817</v>
      </c>
      <c r="F1372" s="23" t="n">
        <f aca="false">F1371*F1355/1000</f>
        <v>26.260067122063</v>
      </c>
      <c r="G1372" s="23" t="n">
        <f aca="false">G1371*G1355/1000</f>
        <v>27.6795302097421</v>
      </c>
    </row>
    <row r="1373" customFormat="false" ht="17.15" hidden="false" customHeight="false" outlineLevel="0" collapsed="false">
      <c r="A1373" s="0" t="s">
        <v>565</v>
      </c>
      <c r="B1373" s="0" t="s">
        <v>48</v>
      </c>
      <c r="E1373" s="20" t="n">
        <f aca="false">vgm27_C</f>
        <v>-0.2</v>
      </c>
      <c r="F1373" s="20" t="n">
        <f aca="false">vgm28_C</f>
        <v>0</v>
      </c>
      <c r="G1373" s="20" t="n">
        <f aca="false">vgm29_C</f>
        <v>0.05</v>
      </c>
    </row>
    <row r="1374" customFormat="false" ht="17.15" hidden="false" customHeight="false" outlineLevel="0" collapsed="false">
      <c r="A1374" s="0" t="s">
        <v>566</v>
      </c>
      <c r="B1374" s="0" t="s">
        <v>184</v>
      </c>
      <c r="D1374" s="23" t="n">
        <f aca="false">0</f>
        <v>0</v>
      </c>
      <c r="E1374" s="23" t="n">
        <f aca="false">E1364*E1373</f>
        <v>-1.078272</v>
      </c>
      <c r="F1374" s="23" t="n">
        <f aca="false">F1364*F1373</f>
        <v>0</v>
      </c>
      <c r="G1374" s="23" t="n">
        <f aca="false">G1364*G1373</f>
        <v>0.943488</v>
      </c>
    </row>
    <row r="1375" customFormat="false" ht="15" hidden="false" customHeight="false" outlineLevel="0" collapsed="false">
      <c r="A1375" s="4" t="s">
        <v>417</v>
      </c>
      <c r="B1375" s="0" t="s">
        <v>184</v>
      </c>
      <c r="C1375" s="23" t="n">
        <f aca="false">a25_gp</f>
        <v>13.654</v>
      </c>
      <c r="D1375" s="23" t="n">
        <f aca="false">D1359-D1370-D1372+D1374</f>
        <v>19.0320214</v>
      </c>
      <c r="E1375" s="23" t="n">
        <f aca="false">E1359-E1370-E1372+E1374</f>
        <v>14.4400845547858</v>
      </c>
      <c r="F1375" s="23" t="n">
        <f aca="false">F1359-F1370-F1372+F1374</f>
        <v>11.0641216914149</v>
      </c>
      <c r="G1375" s="23" t="n">
        <f aca="false">G1359-G1370-G1372+G1374</f>
        <v>12.1187613607208</v>
      </c>
    </row>
    <row r="1376" customFormat="false" ht="15" hidden="false" customHeight="false" outlineLevel="0" collapsed="false">
      <c r="A1376" s="4" t="s">
        <v>420</v>
      </c>
      <c r="B1376" s="0" t="s">
        <v>48</v>
      </c>
      <c r="C1376" s="16" t="n">
        <f aca="false">C1375/C1365</f>
        <v>0.280998538824062</v>
      </c>
      <c r="D1376" s="16" t="n">
        <f aca="false">D1375/D1365</f>
        <v>0.324490246378388</v>
      </c>
      <c r="E1376" s="16" t="n">
        <f aca="false">E1375/E1365</f>
        <v>0.248040167401713</v>
      </c>
      <c r="F1376" s="16" t="n">
        <f aca="false">F1375/F1365</f>
        <v>0.184713937334765</v>
      </c>
      <c r="G1376" s="16" t="n">
        <f aca="false">G1375/G1365</f>
        <v>0.181362495615243</v>
      </c>
    </row>
    <row r="1377" customFormat="false" ht="15" hidden="false" customHeight="false" outlineLevel="0" collapsed="false">
      <c r="A1377" s="4" t="s">
        <v>422</v>
      </c>
      <c r="B1377" s="0" t="s">
        <v>184</v>
      </c>
      <c r="C1377" s="23" t="n">
        <f aca="false">a25_opx</f>
        <v>5.881</v>
      </c>
      <c r="D1377" s="23" t="n">
        <f aca="false">a26_opx</f>
        <v>6.824187</v>
      </c>
      <c r="E1377" s="23" t="n">
        <f aca="false">D1377*(1+MAX(g_opx_min,phi*E1368))</f>
        <v>7.02891261</v>
      </c>
      <c r="F1377" s="23" t="n">
        <f aca="false">E1377*(1+MAX(g_opx_min,phi*F1368))</f>
        <v>7.2397799883</v>
      </c>
      <c r="G1377" s="23" t="n">
        <f aca="false">F1377*(1+MAX(g_opx_min,phi*G1368))</f>
        <v>7.65809948467255</v>
      </c>
    </row>
    <row r="1378" customFormat="false" ht="15" hidden="false" customHeight="false" outlineLevel="0" collapsed="false">
      <c r="A1378" s="4" t="s">
        <v>425</v>
      </c>
      <c r="B1378" s="0" t="s">
        <v>184</v>
      </c>
      <c r="C1378" s="23" t="n">
        <f aca="false">C1375-C1377</f>
        <v>7.773</v>
      </c>
      <c r="D1378" s="23" t="n">
        <f aca="false">D1375-D1377</f>
        <v>12.2078344</v>
      </c>
      <c r="E1378" s="23" t="n">
        <f aca="false">E1375-E1377</f>
        <v>7.41117194478583</v>
      </c>
      <c r="F1378" s="23" t="n">
        <f aca="false">F1375-F1377</f>
        <v>3.82434170311489</v>
      </c>
      <c r="G1378" s="23" t="n">
        <f aca="false">G1375-G1377</f>
        <v>4.4606618760482</v>
      </c>
    </row>
    <row r="1379" customFormat="false" ht="15" hidden="false" customHeight="false" outlineLevel="0" collapsed="false">
      <c r="A1379" s="4" t="s">
        <v>531</v>
      </c>
      <c r="B1379" s="0" t="s">
        <v>48</v>
      </c>
      <c r="C1379" s="16" t="n">
        <f aca="false">C1378/C1365</f>
        <v>0.159967895289251</v>
      </c>
      <c r="D1379" s="16" t="n">
        <f aca="false">D1378/D1365</f>
        <v>0.208139908470393</v>
      </c>
      <c r="E1379" s="16" t="n">
        <f aca="false">E1378/E1365</f>
        <v>0.127303155521919</v>
      </c>
      <c r="F1379" s="16" t="n">
        <f aca="false">F1378/F1365</f>
        <v>0.0638468405715408</v>
      </c>
      <c r="G1379" s="16" t="n">
        <f aca="false">G1378/G1365</f>
        <v>0.06675573071007</v>
      </c>
    </row>
    <row r="1380" customFormat="false" ht="15" hidden="false" customHeight="false" outlineLevel="0" collapsed="false">
      <c r="A1380" s="4" t="s">
        <v>428</v>
      </c>
      <c r="B1380" s="0" t="s">
        <v>184</v>
      </c>
      <c r="C1380" s="23" t="n">
        <f aca="false">a25_nonop</f>
        <v>1.479</v>
      </c>
      <c r="D1380" s="23" t="n">
        <f aca="false">a26_nonop</f>
        <v>2.10950832169955</v>
      </c>
      <c r="E1380" s="23" t="n">
        <f aca="false">nonop_f</f>
        <v>1.5</v>
      </c>
      <c r="F1380" s="23" t="n">
        <f aca="false">nonop_f</f>
        <v>1.5</v>
      </c>
      <c r="G1380" s="23" t="n">
        <f aca="false">nonop_f</f>
        <v>1.5</v>
      </c>
    </row>
    <row r="1381" customFormat="false" ht="15" hidden="false" customHeight="false" outlineLevel="0" collapsed="false">
      <c r="A1381" s="4" t="s">
        <v>430</v>
      </c>
      <c r="B1381" s="0" t="s">
        <v>184</v>
      </c>
      <c r="C1381" s="23" t="n">
        <f aca="false">C1378+C1380</f>
        <v>9.252</v>
      </c>
      <c r="D1381" s="23" t="n">
        <f aca="false">D1378+D1380</f>
        <v>14.3173427216995</v>
      </c>
      <c r="E1381" s="23" t="n">
        <f aca="false">E1378+E1380</f>
        <v>8.91117194478583</v>
      </c>
      <c r="F1381" s="23" t="n">
        <f aca="false">F1378+F1380</f>
        <v>5.32434170311489</v>
      </c>
      <c r="G1381" s="23" t="n">
        <f aca="false">G1378+G1380</f>
        <v>5.9606618760482</v>
      </c>
    </row>
    <row r="1382" customFormat="false" ht="15" hidden="false" customHeight="false" outlineLevel="0" collapsed="false">
      <c r="A1382" s="4" t="s">
        <v>432</v>
      </c>
      <c r="B1382" s="0" t="s">
        <v>184</v>
      </c>
      <c r="C1382" s="23" t="n">
        <f aca="false">a25_tax</f>
        <v>1.344</v>
      </c>
      <c r="D1382" s="23" t="n">
        <f aca="false">a26_tax</f>
        <v>2.0798215108046</v>
      </c>
      <c r="E1382" s="23" t="n">
        <f aca="false">E1381*tax</f>
        <v>1.33667579171787</v>
      </c>
      <c r="F1382" s="23" t="n">
        <f aca="false">F1381*tax</f>
        <v>0.798651255467233</v>
      </c>
      <c r="G1382" s="23" t="n">
        <f aca="false">G1381*tax</f>
        <v>0.89409928140723</v>
      </c>
    </row>
    <row r="1383" customFormat="false" ht="17.15" hidden="false" customHeight="false" outlineLevel="0" collapsed="false">
      <c r="A1383" s="4" t="s">
        <v>567</v>
      </c>
      <c r="B1383" s="0" t="s">
        <v>184</v>
      </c>
      <c r="C1383" s="23" t="n">
        <f aca="false">a25_mi</f>
        <v>0</v>
      </c>
      <c r="D1383" s="23" t="n">
        <f aca="false">a26_mi</f>
        <v>0</v>
      </c>
      <c r="E1383" s="23" t="n">
        <f aca="false">vmi*E1374*(1-tax)</f>
        <v>-0.36661248</v>
      </c>
      <c r="F1383" s="23" t="n">
        <f aca="false">vmi*F1374*(1-tax)</f>
        <v>0</v>
      </c>
      <c r="G1383" s="23" t="n">
        <f aca="false">vmi*G1374*(1-tax)</f>
        <v>0.32078592</v>
      </c>
      <c r="K1383" s="8" t="s">
        <v>568</v>
      </c>
    </row>
    <row r="1384" customFormat="false" ht="15" hidden="false" customHeight="false" outlineLevel="0" collapsed="false">
      <c r="A1384" s="4" t="s">
        <v>435</v>
      </c>
      <c r="B1384" s="0" t="s">
        <v>184</v>
      </c>
      <c r="C1384" s="23" t="n">
        <f aca="false">C1381-C1382-C1383</f>
        <v>7.908</v>
      </c>
      <c r="D1384" s="23" t="n">
        <f aca="false">D1381-D1382-D1383</f>
        <v>12.2375212108949</v>
      </c>
      <c r="E1384" s="23" t="n">
        <f aca="false">E1381-E1382-E1383</f>
        <v>7.94110863306795</v>
      </c>
      <c r="F1384" s="23" t="n">
        <f aca="false">F1381-F1382-F1383</f>
        <v>4.52569044764765</v>
      </c>
      <c r="G1384" s="23" t="n">
        <f aca="false">G1381-G1382-G1383</f>
        <v>4.74577667464097</v>
      </c>
      <c r="H1384" s="29" t="n">
        <f aca="false">H1365*H1388</f>
        <v>4.80016525190674</v>
      </c>
      <c r="I1384" s="29" t="n">
        <f aca="false">I1365*I1388</f>
        <v>4.68842403220264</v>
      </c>
      <c r="J1384" s="29" t="n">
        <f aca="false">J1365*J1388</f>
        <v>4.41433155032002</v>
      </c>
    </row>
    <row r="1385" customFormat="false" ht="15" hidden="false" customHeight="false" outlineLevel="0" collapsed="false">
      <c r="A1385" s="4" t="s">
        <v>569</v>
      </c>
      <c r="B1385" s="4" t="s">
        <v>265</v>
      </c>
      <c r="C1385" s="10" t="n">
        <f aca="false">a25_sh</f>
        <v>1.8739336492891</v>
      </c>
      <c r="D1385" s="10" t="n">
        <f aca="false">a26_sh</f>
        <v>1.90613591916558</v>
      </c>
      <c r="E1385" s="10" t="n">
        <f aca="false">q_sh*(1+sh_g)</f>
        <v>1.90705128205128</v>
      </c>
      <c r="F1385" s="10" t="n">
        <f aca="false">E1385*(1+sh_g)</f>
        <v>1.90705128205128</v>
      </c>
      <c r="G1385" s="10" t="n">
        <f aca="false">F1385*(1+sh_g)</f>
        <v>1.90705128205128</v>
      </c>
      <c r="H1385" s="31" t="n">
        <f aca="false">G1385*(1+sh_g)</f>
        <v>1.90705128205128</v>
      </c>
      <c r="I1385" s="31" t="n">
        <f aca="false">H1385*(1+sh_g)</f>
        <v>1.90705128205128</v>
      </c>
      <c r="J1385" s="31" t="n">
        <f aca="false">I1385*(1+sh_g)</f>
        <v>1.90705128205128</v>
      </c>
    </row>
    <row r="1386" customFormat="false" ht="17.15" hidden="false" customHeight="false" outlineLevel="0" collapsed="false">
      <c r="A1386" s="0" t="s">
        <v>442</v>
      </c>
      <c r="B1386" s="0" t="s">
        <v>274</v>
      </c>
      <c r="C1386" s="23" t="n">
        <f aca="false">C1384/C1385</f>
        <v>4.22</v>
      </c>
      <c r="D1386" s="23" t="n">
        <f aca="false">D1384/D1385</f>
        <v>6.42006747150118</v>
      </c>
      <c r="E1386" s="23" t="n">
        <f aca="false">E1384/E1385</f>
        <v>4.16407713196168</v>
      </c>
      <c r="F1386" s="23" t="n">
        <f aca="false">F1384/F1385</f>
        <v>2.37313515910263</v>
      </c>
      <c r="G1386" s="23" t="n">
        <f aca="false">G1384/G1385</f>
        <v>2.4885417184672</v>
      </c>
      <c r="H1386" s="29" t="n">
        <f aca="false">H1384/H1385</f>
        <v>2.51706144301664</v>
      </c>
      <c r="I1386" s="29" t="n">
        <f aca="false">I1384/I1385</f>
        <v>2.45846772781046</v>
      </c>
      <c r="J1386" s="29" t="n">
        <f aca="false">J1384/J1385</f>
        <v>2.31474192218462</v>
      </c>
    </row>
    <row r="1387" customFormat="false" ht="17.15" hidden="false" customHeight="false" outlineLevel="0" collapsed="false">
      <c r="A1387" s="0" t="s">
        <v>570</v>
      </c>
      <c r="B1387" s="0" t="s">
        <v>48</v>
      </c>
      <c r="D1387" s="20" t="n">
        <f aca="false">D1386/C1386-1</f>
        <v>0.521343002725398</v>
      </c>
      <c r="E1387" s="20" t="n">
        <f aca="false">E1386/D1386-1</f>
        <v>-0.351396671382955</v>
      </c>
      <c r="F1387" s="20" t="n">
        <f aca="false">F1386/E1386-1</f>
        <v>-0.430093371497022</v>
      </c>
      <c r="G1387" s="20" t="n">
        <f aca="false">G1386/F1386-1</f>
        <v>0.0486304199412746</v>
      </c>
      <c r="H1387" s="27" t="n">
        <f aca="false">H1386/G1386-1</f>
        <v>0.0114604164912333</v>
      </c>
      <c r="I1387" s="27" t="n">
        <f aca="false">I1386/H1386-1</f>
        <v>-0.023278619347473</v>
      </c>
      <c r="J1387" s="27" t="n">
        <f aca="false">J1386/I1386-1</f>
        <v>-0.0584615384615386</v>
      </c>
    </row>
    <row r="1388" customFormat="false" ht="17.15" hidden="false" customHeight="false" outlineLevel="0" collapsed="false">
      <c r="A1388" s="4" t="s">
        <v>571</v>
      </c>
      <c r="B1388" s="0" t="s">
        <v>48</v>
      </c>
      <c r="C1388" s="16" t="n">
        <f aca="false">C1384/C1365</f>
        <v>0.162746187565599</v>
      </c>
      <c r="D1388" s="16" t="n">
        <f aca="false">D1384/D1365</f>
        <v>0.208646059676249</v>
      </c>
      <c r="E1388" s="16" t="n">
        <f aca="false">E1384/E1365</f>
        <v>0.136405982058363</v>
      </c>
      <c r="F1388" s="16" t="n">
        <f aca="false">F1384/F1365</f>
        <v>0.0755557580672661</v>
      </c>
      <c r="G1388" s="16" t="n">
        <f aca="false">G1384/G1365</f>
        <v>0.0710225967593695</v>
      </c>
      <c r="H1388" s="28" t="n">
        <f aca="false">$G1388+($G$1388*0.8-$G1388)*1/3</f>
        <v>0.0662877569754115</v>
      </c>
      <c r="I1388" s="28" t="n">
        <f aca="false">$G1388+($G$1388*0.8-$G1388)*2/3</f>
        <v>0.0615529171914536</v>
      </c>
      <c r="J1388" s="28" t="n">
        <f aca="false">$G1388+($G$1388*0.8-$G1388)*3/3</f>
        <v>0.0568180774074956</v>
      </c>
    </row>
    <row r="1391" customFormat="false" ht="17.15" hidden="false" customHeight="false" outlineLevel="0" collapsed="false">
      <c r="A1391" s="1" t="s">
        <v>878</v>
      </c>
    </row>
    <row r="1392" customFormat="false" ht="17.15" hidden="false" customHeight="false" outlineLevel="0" collapsed="false">
      <c r="A1392" s="5" t="s">
        <v>24</v>
      </c>
      <c r="B1392" s="5" t="s">
        <v>25</v>
      </c>
      <c r="C1392" s="17" t="s">
        <v>394</v>
      </c>
      <c r="D1392" s="17" t="s">
        <v>521</v>
      </c>
      <c r="E1392" s="17" t="s">
        <v>480</v>
      </c>
      <c r="F1392" s="17" t="s">
        <v>481</v>
      </c>
      <c r="G1392" s="17" t="s">
        <v>482</v>
      </c>
      <c r="H1392" s="17" t="s">
        <v>522</v>
      </c>
      <c r="I1392" s="17" t="s">
        <v>523</v>
      </c>
      <c r="J1392" s="17" t="s">
        <v>524</v>
      </c>
      <c r="K1392" s="5" t="s">
        <v>357</v>
      </c>
    </row>
    <row r="1393" customFormat="false" ht="17.15" hidden="false" customHeight="false" outlineLevel="0" collapsed="false">
      <c r="A1393" s="6" t="s">
        <v>542</v>
      </c>
    </row>
    <row r="1394" customFormat="false" ht="17.15" hidden="false" customHeight="false" outlineLevel="0" collapsed="false">
      <c r="A1394" s="4" t="s">
        <v>543</v>
      </c>
      <c r="B1394" s="4" t="s">
        <v>42</v>
      </c>
      <c r="D1394" s="22" t="n">
        <f aca="false">cap_26</f>
        <v>3306</v>
      </c>
      <c r="E1394" s="22" t="n">
        <f aca="false">D1394*(1+capg27)*cap_adj</f>
        <v>3306</v>
      </c>
      <c r="F1394" s="22" t="n">
        <f aca="false">E1394*(1+capg28)</f>
        <v>3306</v>
      </c>
      <c r="G1394" s="22" t="n">
        <f aca="false">F1394*(1+capg29)</f>
        <v>3306</v>
      </c>
    </row>
    <row r="1395" customFormat="false" ht="15" hidden="false" customHeight="false" outlineLevel="0" collapsed="false">
      <c r="A1395" s="4" t="s">
        <v>544</v>
      </c>
      <c r="B1395" s="0" t="s">
        <v>48</v>
      </c>
      <c r="D1395" s="20" t="n">
        <f aca="false">a26_ship/cap_26</f>
        <v>0.8725</v>
      </c>
      <c r="E1395" s="20" t="n">
        <f aca="false">MIN(0.98,ut27_A+ut_adj)</f>
        <v>0.95</v>
      </c>
      <c r="F1395" s="20" t="n">
        <f aca="false">MIN(0.98,ut28_A+ut_adj)</f>
        <v>0.94</v>
      </c>
      <c r="G1395" s="20" t="n">
        <f aca="false">MIN(0.98,ut29_A+ut_adj)</f>
        <v>0.93</v>
      </c>
    </row>
    <row r="1396" customFormat="false" ht="17.15" hidden="false" customHeight="false" outlineLevel="0" collapsed="false">
      <c r="A1396" s="4" t="s">
        <v>545</v>
      </c>
      <c r="B1396" s="4" t="s">
        <v>42</v>
      </c>
      <c r="D1396" s="22" t="n">
        <f aca="false">D1394*D1395</f>
        <v>2884.485</v>
      </c>
      <c r="E1396" s="22" t="n">
        <f aca="false">E1394*E1395</f>
        <v>3140.7</v>
      </c>
      <c r="F1396" s="22" t="n">
        <f aca="false">F1394*F1395</f>
        <v>3107.64</v>
      </c>
      <c r="G1396" s="22" t="n">
        <f aca="false">G1394*G1395</f>
        <v>3074.58</v>
      </c>
    </row>
    <row r="1397" customFormat="false" ht="17.15" hidden="false" customHeight="false" outlineLevel="0" collapsed="false">
      <c r="A1397" s="4" t="s">
        <v>546</v>
      </c>
      <c r="B1397" s="0" t="s">
        <v>89</v>
      </c>
      <c r="D1397" s="22" t="n">
        <f aca="false">asp_26</f>
        <v>643.469405492234</v>
      </c>
      <c r="E1397" s="22" t="n">
        <f aca="false">D1397*(1+asp27_A)*(1+asp_adj)</f>
        <v>682.077569821768</v>
      </c>
      <c r="F1397" s="22" t="n">
        <f aca="false">E1397*(1+asp28_A)</f>
        <v>695.719121218203</v>
      </c>
      <c r="G1397" s="22" t="n">
        <f aca="false">F1397*(1+asp29_A)</f>
        <v>702.676312430385</v>
      </c>
    </row>
    <row r="1398" customFormat="false" ht="15" hidden="false" customHeight="false" outlineLevel="0" collapsed="false">
      <c r="A1398" s="4" t="s">
        <v>547</v>
      </c>
      <c r="B1398" s="0" t="s">
        <v>48</v>
      </c>
      <c r="E1398" s="20" t="n">
        <f aca="false">E1397/D1397-1</f>
        <v>0.0600000000000001</v>
      </c>
      <c r="F1398" s="20" t="n">
        <f aca="false">F1397/E1397-1</f>
        <v>0.02</v>
      </c>
      <c r="G1398" s="20" t="n">
        <f aca="false">G1397/F1397-1</f>
        <v>0.01</v>
      </c>
    </row>
    <row r="1399" customFormat="false" ht="15" hidden="false" customHeight="false" outlineLevel="0" collapsed="false">
      <c r="A1399" s="4" t="s">
        <v>548</v>
      </c>
      <c r="B1399" s="0" t="s">
        <v>35</v>
      </c>
      <c r="D1399" s="23" t="n">
        <f aca="false">fx_26</f>
        <v>31.6</v>
      </c>
      <c r="E1399" s="23" t="n">
        <f aca="false">fx</f>
        <v>32</v>
      </c>
      <c r="F1399" s="23" t="n">
        <f aca="false">fx</f>
        <v>32</v>
      </c>
      <c r="G1399" s="23" t="n">
        <f aca="false">fx</f>
        <v>32</v>
      </c>
    </row>
    <row r="1400" customFormat="false" ht="17.15" hidden="false" customHeight="false" outlineLevel="0" collapsed="false">
      <c r="A1400" s="0" t="s">
        <v>549</v>
      </c>
      <c r="B1400" s="0" t="s">
        <v>184</v>
      </c>
      <c r="D1400" s="23" t="n">
        <f aca="false">D1396*D1397*D1399/1000000</f>
        <v>58.65206</v>
      </c>
      <c r="E1400" s="23" t="n">
        <f aca="false">E1396*E1397*E1399/1000000</f>
        <v>68.5504327532552</v>
      </c>
      <c r="F1400" s="23" t="n">
        <f aca="false">F1396*F1397*F1399/1000000</f>
        <v>69.1854262356012</v>
      </c>
      <c r="G1400" s="23" t="n">
        <f aca="false">G1396*G1397*G1399/1000000</f>
        <v>69.1339051735108</v>
      </c>
    </row>
    <row r="1401" customFormat="false" ht="17.15" hidden="false" customHeight="false" outlineLevel="0" collapsed="false">
      <c r="A1401" s="6" t="s">
        <v>550</v>
      </c>
    </row>
    <row r="1402" customFormat="false" ht="17.15" hidden="false" customHeight="false" outlineLevel="0" collapsed="false">
      <c r="A1402" s="0" t="s">
        <v>551</v>
      </c>
      <c r="B1402" s="4" t="s">
        <v>42</v>
      </c>
      <c r="D1402" s="22" t="n">
        <f aca="false">0</f>
        <v>0</v>
      </c>
      <c r="E1402" s="22" t="n">
        <f aca="false">vcap27*vcap_adj</f>
        <v>144</v>
      </c>
      <c r="F1402" s="22" t="n">
        <f aca="false">vcap28*vcap_adj</f>
        <v>360</v>
      </c>
      <c r="G1402" s="22" t="n">
        <f aca="false">vcap29*vcap_adj</f>
        <v>504</v>
      </c>
    </row>
    <row r="1403" customFormat="false" ht="17.15" hidden="false" customHeight="false" outlineLevel="0" collapsed="false">
      <c r="A1403" s="0" t="s">
        <v>552</v>
      </c>
      <c r="B1403" s="0" t="s">
        <v>48</v>
      </c>
      <c r="E1403" s="20" t="n">
        <f aca="false">vut_A</f>
        <v>0.9</v>
      </c>
      <c r="F1403" s="20" t="n">
        <f aca="false">vut_A</f>
        <v>0.9</v>
      </c>
      <c r="G1403" s="20" t="n">
        <f aca="false">vut_A</f>
        <v>0.9</v>
      </c>
    </row>
    <row r="1404" customFormat="false" ht="17.15" hidden="false" customHeight="false" outlineLevel="0" collapsed="false">
      <c r="A1404" s="0" t="s">
        <v>553</v>
      </c>
      <c r="B1404" s="4" t="s">
        <v>42</v>
      </c>
      <c r="D1404" s="22" t="n">
        <f aca="false">0</f>
        <v>0</v>
      </c>
      <c r="E1404" s="22" t="n">
        <f aca="false">E1402*E1403</f>
        <v>129.6</v>
      </c>
      <c r="F1404" s="22" t="n">
        <f aca="false">F1402*F1403</f>
        <v>324</v>
      </c>
      <c r="G1404" s="22" t="n">
        <f aca="false">G1402*G1403</f>
        <v>453.6</v>
      </c>
    </row>
    <row r="1405" customFormat="false" ht="17.15" hidden="false" customHeight="false" outlineLevel="0" collapsed="false">
      <c r="A1405" s="0" t="s">
        <v>554</v>
      </c>
      <c r="B1405" s="0" t="s">
        <v>184</v>
      </c>
      <c r="D1405" s="23" t="n">
        <f aca="false">0</f>
        <v>0</v>
      </c>
      <c r="E1405" s="23" t="n">
        <f aca="false">E1404*vasp*E1399/1000000</f>
        <v>7.46496</v>
      </c>
      <c r="F1405" s="23" t="n">
        <f aca="false">F1404*vasp*F1399/1000000</f>
        <v>18.6624</v>
      </c>
      <c r="G1405" s="23" t="n">
        <f aca="false">G1404*vasp*G1399/1000000</f>
        <v>26.12736</v>
      </c>
    </row>
    <row r="1406" customFormat="false" ht="17.15" hidden="false" customHeight="false" outlineLevel="0" collapsed="false">
      <c r="A1406" s="4" t="s">
        <v>400</v>
      </c>
      <c r="B1406" s="0" t="s">
        <v>184</v>
      </c>
      <c r="C1406" s="23" t="n">
        <f aca="false">a25_rev</f>
        <v>48.591</v>
      </c>
      <c r="D1406" s="23" t="n">
        <f aca="false">D1400+D1405</f>
        <v>58.65206</v>
      </c>
      <c r="E1406" s="23" t="n">
        <f aca="false">E1400+E1405</f>
        <v>76.0153927532552</v>
      </c>
      <c r="F1406" s="23" t="n">
        <f aca="false">F1400+F1405</f>
        <v>87.8478262356012</v>
      </c>
      <c r="G1406" s="23" t="n">
        <f aca="false">G1400+G1405</f>
        <v>95.2612651735108</v>
      </c>
      <c r="H1406" s="29" t="n">
        <f aca="false">G1406*(1+H1409)</f>
        <v>102.525860976128</v>
      </c>
      <c r="I1406" s="29" t="n">
        <f aca="false">H1406*(1+I1409)</f>
        <v>109.51093266638</v>
      </c>
      <c r="J1406" s="29" t="n">
        <f aca="false">I1406*(1+J1409)</f>
        <v>116.081588626363</v>
      </c>
      <c r="K1406" s="8" t="s">
        <v>555</v>
      </c>
    </row>
    <row r="1407" customFormat="false" ht="17.15" hidden="false" customHeight="false" outlineLevel="0" collapsed="false">
      <c r="A1407" s="0" t="s">
        <v>556</v>
      </c>
      <c r="B1407" s="0" t="s">
        <v>48</v>
      </c>
      <c r="D1407" s="20" t="n">
        <f aca="false">D1405/D1406</f>
        <v>0</v>
      </c>
      <c r="E1407" s="20" t="n">
        <f aca="false">E1405/E1406</f>
        <v>0.0982032681753174</v>
      </c>
      <c r="F1407" s="20" t="n">
        <f aca="false">F1405/F1406</f>
        <v>0.212440088727396</v>
      </c>
      <c r="G1407" s="20" t="n">
        <f aca="false">G1405/G1406</f>
        <v>0.274270554274196</v>
      </c>
    </row>
    <row r="1408" customFormat="false" ht="17.15" hidden="false" customHeight="false" outlineLevel="0" collapsed="false">
      <c r="A1408" s="0" t="s">
        <v>557</v>
      </c>
      <c r="B1408" s="0" t="s">
        <v>48</v>
      </c>
      <c r="D1408" s="20" t="n">
        <f aca="false">ai_sh26</f>
        <v>0.1</v>
      </c>
      <c r="E1408" s="20" t="n">
        <f aca="false">ai_sh27_A</f>
        <v>0.25</v>
      </c>
      <c r="F1408" s="20" t="n">
        <f aca="false">ai_sh27_A</f>
        <v>0.25</v>
      </c>
      <c r="G1408" s="20" t="n">
        <f aca="false">ai_sh27_A</f>
        <v>0.25</v>
      </c>
    </row>
    <row r="1409" customFormat="false" ht="15" hidden="false" customHeight="false" outlineLevel="0" collapsed="false">
      <c r="A1409" s="4" t="s">
        <v>558</v>
      </c>
      <c r="B1409" s="0" t="s">
        <v>48</v>
      </c>
      <c r="D1409" s="20" t="n">
        <f aca="false">D1406/C1406-1</f>
        <v>0.207056039184211</v>
      </c>
      <c r="E1409" s="20" t="n">
        <f aca="false">E1406/D1406-1</f>
        <v>0.296039606337019</v>
      </c>
      <c r="F1409" s="20" t="n">
        <f aca="false">F1406/E1406-1</f>
        <v>0.155658387778826</v>
      </c>
      <c r="G1409" s="20" t="n">
        <f aca="false">G1406/F1406-1</f>
        <v>0.0843895547059683</v>
      </c>
      <c r="H1409" s="27" t="n">
        <f aca="false">$G1409+(fade_gA-$G1409)*1/3</f>
        <v>0.0762597031373122</v>
      </c>
      <c r="I1409" s="27" t="n">
        <f aca="false">$G1409+(fade_gA-$G1409)*2/3</f>
        <v>0.0681298515686561</v>
      </c>
      <c r="J1409" s="27" t="n">
        <f aca="false">$G1409+(fade_gA-$G1409)*3/3</f>
        <v>0.06</v>
      </c>
    </row>
    <row r="1410" customFormat="false" ht="17.15" hidden="false" customHeight="false" outlineLevel="0" collapsed="false">
      <c r="A1410" s="6" t="s">
        <v>559</v>
      </c>
    </row>
    <row r="1411" customFormat="false" ht="15" hidden="false" customHeight="false" outlineLevel="0" collapsed="false">
      <c r="A1411" s="4" t="s">
        <v>560</v>
      </c>
      <c r="B1411" s="0" t="s">
        <v>184</v>
      </c>
      <c r="D1411" s="23" t="n">
        <f aca="false">da_tot26*da_sh</f>
        <v>8.658</v>
      </c>
      <c r="E1411" s="23" t="n">
        <f aca="false">D1411*(1+dag_27+dag_adj)</f>
        <v>8.91774</v>
      </c>
      <c r="F1411" s="23" t="n">
        <f aca="false">E1411*(1+dag_28+dag_adj)</f>
        <v>9.0960948</v>
      </c>
      <c r="G1411" s="23" t="n">
        <f aca="false">F1411*(1+dag_29+dag_adj)</f>
        <v>9.0960948</v>
      </c>
    </row>
    <row r="1412" customFormat="false" ht="17.15" hidden="false" customHeight="false" outlineLevel="0" collapsed="false">
      <c r="A1412" s="4" t="s">
        <v>561</v>
      </c>
      <c r="B1412" s="0" t="s">
        <v>562</v>
      </c>
      <c r="D1412" s="23" t="n">
        <f aca="false">(D1400-a26_gp-D1411)/D1396*1000</f>
        <v>10.7339918911001</v>
      </c>
      <c r="E1412" s="23" t="n">
        <f aca="false">D1412*(1+cc_g_hi)</f>
        <v>11.1633515667441</v>
      </c>
      <c r="F1412" s="23" t="n">
        <f aca="false">E1412*(1+cc_g_hi)</f>
        <v>11.6098856294139</v>
      </c>
      <c r="G1412" s="23" t="n">
        <f aca="false">F1412*(1+cc_g_hi)</f>
        <v>12.0742810545905</v>
      </c>
      <c r="K1412" s="8" t="s">
        <v>563</v>
      </c>
    </row>
    <row r="1413" customFormat="false" ht="17.15" hidden="false" customHeight="false" outlineLevel="0" collapsed="false">
      <c r="A1413" s="4" t="s">
        <v>564</v>
      </c>
      <c r="B1413" s="0" t="s">
        <v>184</v>
      </c>
      <c r="D1413" s="23" t="n">
        <f aca="false">D1412*D1396/1000</f>
        <v>30.9620386</v>
      </c>
      <c r="E1413" s="23" t="n">
        <f aca="false">E1412*E1396/1000</f>
        <v>35.0607382656733</v>
      </c>
      <c r="F1413" s="23" t="n">
        <f aca="false">F1412*F1396/1000</f>
        <v>36.0793449773919</v>
      </c>
      <c r="G1413" s="23" t="n">
        <f aca="false">G1412*G1396/1000</f>
        <v>37.1233430448228</v>
      </c>
    </row>
    <row r="1414" customFormat="false" ht="17.15" hidden="false" customHeight="false" outlineLevel="0" collapsed="false">
      <c r="A1414" s="0" t="s">
        <v>565</v>
      </c>
      <c r="B1414" s="0" t="s">
        <v>48</v>
      </c>
      <c r="E1414" s="20" t="n">
        <f aca="false">vgm27_A</f>
        <v>0.05</v>
      </c>
      <c r="F1414" s="20" t="n">
        <f aca="false">vgm28_A</f>
        <v>0.2</v>
      </c>
      <c r="G1414" s="20" t="n">
        <f aca="false">vgm29_A</f>
        <v>0.25</v>
      </c>
    </row>
    <row r="1415" customFormat="false" ht="17.15" hidden="false" customHeight="false" outlineLevel="0" collapsed="false">
      <c r="A1415" s="0" t="s">
        <v>566</v>
      </c>
      <c r="B1415" s="0" t="s">
        <v>184</v>
      </c>
      <c r="D1415" s="23" t="n">
        <f aca="false">0</f>
        <v>0</v>
      </c>
      <c r="E1415" s="23" t="n">
        <f aca="false">E1405*E1414</f>
        <v>0.373248</v>
      </c>
      <c r="F1415" s="23" t="n">
        <f aca="false">F1405*F1414</f>
        <v>3.73248</v>
      </c>
      <c r="G1415" s="23" t="n">
        <f aca="false">G1405*G1414</f>
        <v>6.53184</v>
      </c>
    </row>
    <row r="1416" customFormat="false" ht="15" hidden="false" customHeight="false" outlineLevel="0" collapsed="false">
      <c r="A1416" s="4" t="s">
        <v>417</v>
      </c>
      <c r="B1416" s="0" t="s">
        <v>184</v>
      </c>
      <c r="C1416" s="23" t="n">
        <f aca="false">a25_gp</f>
        <v>13.654</v>
      </c>
      <c r="D1416" s="23" t="n">
        <f aca="false">D1400-D1411-D1413+D1415</f>
        <v>19.0320214</v>
      </c>
      <c r="E1416" s="23" t="n">
        <f aca="false">E1400-E1411-E1413+E1415</f>
        <v>24.9452024875819</v>
      </c>
      <c r="F1416" s="23" t="n">
        <f aca="false">F1400-F1411-F1413+F1415</f>
        <v>27.7424664582093</v>
      </c>
      <c r="G1416" s="23" t="n">
        <f aca="false">G1400-G1411-G1413+G1415</f>
        <v>29.4463073286881</v>
      </c>
    </row>
    <row r="1417" customFormat="false" ht="15" hidden="false" customHeight="false" outlineLevel="0" collapsed="false">
      <c r="A1417" s="4" t="s">
        <v>420</v>
      </c>
      <c r="B1417" s="0" t="s">
        <v>48</v>
      </c>
      <c r="C1417" s="16" t="n">
        <f aca="false">C1416/C1406</f>
        <v>0.280998538824062</v>
      </c>
      <c r="D1417" s="16" t="n">
        <f aca="false">D1416/D1406</f>
        <v>0.324490246378388</v>
      </c>
      <c r="E1417" s="16" t="n">
        <f aca="false">E1416/E1406</f>
        <v>0.32815988425599</v>
      </c>
      <c r="F1417" s="16" t="n">
        <f aca="false">F1416/F1406</f>
        <v>0.315801399385867</v>
      </c>
      <c r="G1417" s="16" t="n">
        <f aca="false">G1416/G1406</f>
        <v>0.309111025085106</v>
      </c>
    </row>
    <row r="1418" customFormat="false" ht="15" hidden="false" customHeight="false" outlineLevel="0" collapsed="false">
      <c r="A1418" s="4" t="s">
        <v>422</v>
      </c>
      <c r="B1418" s="0" t="s">
        <v>184</v>
      </c>
      <c r="C1418" s="23" t="n">
        <f aca="false">a25_opx</f>
        <v>5.881</v>
      </c>
      <c r="D1418" s="23" t="n">
        <f aca="false">a26_opx</f>
        <v>6.824187</v>
      </c>
      <c r="E1418" s="23" t="n">
        <f aca="false">D1418*(1+MAX(g_opx_min,phi*E1409))</f>
        <v>7.8343018165251</v>
      </c>
      <c r="F1418" s="23" t="n">
        <f aca="false">E1418*(1+MAX(g_opx_min,phi*F1409))</f>
        <v>8.44403921159161</v>
      </c>
      <c r="G1418" s="23" t="n">
        <f aca="false">F1418*(1+MAX(g_opx_min,phi*G1409))</f>
        <v>8.80033356608459</v>
      </c>
    </row>
    <row r="1419" customFormat="false" ht="15" hidden="false" customHeight="false" outlineLevel="0" collapsed="false">
      <c r="A1419" s="4" t="s">
        <v>425</v>
      </c>
      <c r="B1419" s="0" t="s">
        <v>184</v>
      </c>
      <c r="C1419" s="23" t="n">
        <f aca="false">C1416-C1418</f>
        <v>7.773</v>
      </c>
      <c r="D1419" s="23" t="n">
        <f aca="false">D1416-D1418</f>
        <v>12.2078344</v>
      </c>
      <c r="E1419" s="23" t="n">
        <f aca="false">E1416-E1418</f>
        <v>17.1109006710568</v>
      </c>
      <c r="F1419" s="23" t="n">
        <f aca="false">F1416-F1418</f>
        <v>19.2984272466177</v>
      </c>
      <c r="G1419" s="23" t="n">
        <f aca="false">G1416-G1418</f>
        <v>20.6459737626035</v>
      </c>
    </row>
    <row r="1420" customFormat="false" ht="15" hidden="false" customHeight="false" outlineLevel="0" collapsed="false">
      <c r="A1420" s="4" t="s">
        <v>531</v>
      </c>
      <c r="B1420" s="0" t="s">
        <v>48</v>
      </c>
      <c r="C1420" s="16" t="n">
        <f aca="false">C1419/C1406</f>
        <v>0.159967895289251</v>
      </c>
      <c r="D1420" s="16" t="n">
        <f aca="false">D1419/D1406</f>
        <v>0.208139908470393</v>
      </c>
      <c r="E1420" s="16" t="n">
        <f aca="false">E1419/E1406</f>
        <v>0.225097839415215</v>
      </c>
      <c r="F1420" s="16" t="n">
        <f aca="false">F1419/F1406</f>
        <v>0.219680191002801</v>
      </c>
      <c r="G1420" s="16" t="n">
        <f aca="false">G1419/G1406</f>
        <v>0.216729997496868</v>
      </c>
    </row>
    <row r="1421" customFormat="false" ht="15" hidden="false" customHeight="false" outlineLevel="0" collapsed="false">
      <c r="A1421" s="4" t="s">
        <v>428</v>
      </c>
      <c r="B1421" s="0" t="s">
        <v>184</v>
      </c>
      <c r="C1421" s="23" t="n">
        <f aca="false">a25_nonop</f>
        <v>1.479</v>
      </c>
      <c r="D1421" s="23" t="n">
        <f aca="false">a26_nonop</f>
        <v>2.10950832169955</v>
      </c>
      <c r="E1421" s="23" t="n">
        <f aca="false">nonop_f</f>
        <v>1.5</v>
      </c>
      <c r="F1421" s="23" t="n">
        <f aca="false">nonop_f</f>
        <v>1.5</v>
      </c>
      <c r="G1421" s="23" t="n">
        <f aca="false">nonop_f</f>
        <v>1.5</v>
      </c>
    </row>
    <row r="1422" customFormat="false" ht="15" hidden="false" customHeight="false" outlineLevel="0" collapsed="false">
      <c r="A1422" s="4" t="s">
        <v>430</v>
      </c>
      <c r="B1422" s="0" t="s">
        <v>184</v>
      </c>
      <c r="C1422" s="23" t="n">
        <f aca="false">C1419+C1421</f>
        <v>9.252</v>
      </c>
      <c r="D1422" s="23" t="n">
        <f aca="false">D1419+D1421</f>
        <v>14.3173427216995</v>
      </c>
      <c r="E1422" s="23" t="n">
        <f aca="false">E1419+E1421</f>
        <v>18.6109006710568</v>
      </c>
      <c r="F1422" s="23" t="n">
        <f aca="false">F1419+F1421</f>
        <v>20.7984272466177</v>
      </c>
      <c r="G1422" s="23" t="n">
        <f aca="false">G1419+G1421</f>
        <v>22.1459737626035</v>
      </c>
    </row>
    <row r="1423" customFormat="false" ht="15" hidden="false" customHeight="false" outlineLevel="0" collapsed="false">
      <c r="A1423" s="4" t="s">
        <v>432</v>
      </c>
      <c r="B1423" s="0" t="s">
        <v>184</v>
      </c>
      <c r="C1423" s="23" t="n">
        <f aca="false">a25_tax</f>
        <v>1.344</v>
      </c>
      <c r="D1423" s="23" t="n">
        <f aca="false">a26_tax</f>
        <v>2.0798215108046</v>
      </c>
      <c r="E1423" s="23" t="n">
        <f aca="false">E1422*tax</f>
        <v>2.79163510065852</v>
      </c>
      <c r="F1423" s="23" t="n">
        <f aca="false">F1422*tax</f>
        <v>3.11976408699266</v>
      </c>
      <c r="G1423" s="23" t="n">
        <f aca="false">G1422*tax</f>
        <v>3.32189606439052</v>
      </c>
    </row>
    <row r="1424" customFormat="false" ht="17.15" hidden="false" customHeight="false" outlineLevel="0" collapsed="false">
      <c r="A1424" s="4" t="s">
        <v>567</v>
      </c>
      <c r="B1424" s="0" t="s">
        <v>184</v>
      </c>
      <c r="C1424" s="23" t="n">
        <f aca="false">a25_mi</f>
        <v>0</v>
      </c>
      <c r="D1424" s="23" t="n">
        <f aca="false">a26_mi</f>
        <v>0</v>
      </c>
      <c r="E1424" s="23" t="n">
        <f aca="false">vmi*E1415*(1-tax)</f>
        <v>0.12690432</v>
      </c>
      <c r="F1424" s="23" t="n">
        <f aca="false">vmi*F1415*(1-tax)</f>
        <v>1.2690432</v>
      </c>
      <c r="G1424" s="23" t="n">
        <f aca="false">vmi*G1415*(1-tax)</f>
        <v>2.2208256</v>
      </c>
      <c r="K1424" s="8" t="s">
        <v>568</v>
      </c>
    </row>
    <row r="1425" customFormat="false" ht="15" hidden="false" customHeight="false" outlineLevel="0" collapsed="false">
      <c r="A1425" s="4" t="s">
        <v>435</v>
      </c>
      <c r="B1425" s="0" t="s">
        <v>184</v>
      </c>
      <c r="C1425" s="23" t="n">
        <f aca="false">C1422-C1423-C1424</f>
        <v>7.908</v>
      </c>
      <c r="D1425" s="23" t="n">
        <f aca="false">D1422-D1423-D1424</f>
        <v>12.2375212108949</v>
      </c>
      <c r="E1425" s="23" t="n">
        <f aca="false">E1422-E1423-E1424</f>
        <v>15.6923612503983</v>
      </c>
      <c r="F1425" s="23" t="n">
        <f aca="false">F1422-F1423-F1424</f>
        <v>16.409619959625</v>
      </c>
      <c r="G1425" s="23" t="n">
        <f aca="false">G1422-G1423-G1424</f>
        <v>16.603252098213</v>
      </c>
      <c r="H1425" s="29" t="n">
        <f aca="false">H1406*H1429</f>
        <v>17.8694111743366</v>
      </c>
      <c r="I1425" s="29" t="n">
        <f aca="false">I1406*I1429</f>
        <v>19.0868515052635</v>
      </c>
      <c r="J1425" s="29" t="n">
        <f aca="false">J1406*J1429</f>
        <v>20.2320625955793</v>
      </c>
    </row>
    <row r="1426" customFormat="false" ht="15" hidden="false" customHeight="false" outlineLevel="0" collapsed="false">
      <c r="A1426" s="4" t="s">
        <v>569</v>
      </c>
      <c r="B1426" s="4" t="s">
        <v>265</v>
      </c>
      <c r="C1426" s="10" t="n">
        <f aca="false">a25_sh</f>
        <v>1.8739336492891</v>
      </c>
      <c r="D1426" s="10" t="n">
        <f aca="false">a26_sh</f>
        <v>1.90613591916558</v>
      </c>
      <c r="E1426" s="10" t="n">
        <f aca="false">q_sh*(1+sh_g)</f>
        <v>1.90705128205128</v>
      </c>
      <c r="F1426" s="10" t="n">
        <f aca="false">E1426*(1+sh_g)</f>
        <v>1.90705128205128</v>
      </c>
      <c r="G1426" s="10" t="n">
        <f aca="false">F1426*(1+sh_g)</f>
        <v>1.90705128205128</v>
      </c>
      <c r="H1426" s="31" t="n">
        <f aca="false">G1426*(1+sh_g)</f>
        <v>1.90705128205128</v>
      </c>
      <c r="I1426" s="31" t="n">
        <f aca="false">H1426*(1+sh_g)</f>
        <v>1.90705128205128</v>
      </c>
      <c r="J1426" s="31" t="n">
        <f aca="false">I1426*(1+sh_g)</f>
        <v>1.90705128205128</v>
      </c>
    </row>
    <row r="1427" customFormat="false" ht="17.15" hidden="false" customHeight="false" outlineLevel="0" collapsed="false">
      <c r="A1427" s="0" t="s">
        <v>442</v>
      </c>
      <c r="B1427" s="0" t="s">
        <v>274</v>
      </c>
      <c r="C1427" s="23" t="n">
        <f aca="false">C1425/C1426</f>
        <v>4.22</v>
      </c>
      <c r="D1427" s="23" t="n">
        <f aca="false">D1425/D1426</f>
        <v>6.42006747150118</v>
      </c>
      <c r="E1427" s="23" t="n">
        <f aca="false">E1425/E1426</f>
        <v>8.22859951281388</v>
      </c>
      <c r="F1427" s="23" t="n">
        <f aca="false">F1425/F1426</f>
        <v>8.60470828134961</v>
      </c>
      <c r="G1427" s="23" t="n">
        <f aca="false">G1425/G1426</f>
        <v>8.70624311704612</v>
      </c>
      <c r="H1427" s="29" t="n">
        <f aca="false">H1425/H1426</f>
        <v>9.37017863259332</v>
      </c>
      <c r="I1427" s="29" t="n">
        <f aca="false">I1425/I1426</f>
        <v>10.0085675120037</v>
      </c>
      <c r="J1427" s="29" t="n">
        <f aca="false">J1425/J1426</f>
        <v>10.6090815627239</v>
      </c>
    </row>
    <row r="1428" customFormat="false" ht="17.15" hidden="false" customHeight="false" outlineLevel="0" collapsed="false">
      <c r="A1428" s="0" t="s">
        <v>570</v>
      </c>
      <c r="B1428" s="0" t="s">
        <v>48</v>
      </c>
      <c r="D1428" s="20" t="n">
        <f aca="false">D1427/C1427-1</f>
        <v>0.521343002725398</v>
      </c>
      <c r="E1428" s="20" t="n">
        <f aca="false">E1427/D1427-1</f>
        <v>0.281699849626318</v>
      </c>
      <c r="F1428" s="20" t="n">
        <f aca="false">F1427/E1427-1</f>
        <v>0.0457075068424508</v>
      </c>
      <c r="G1428" s="20" t="n">
        <f aca="false">G1427/F1427-1</f>
        <v>0.011799916089728</v>
      </c>
      <c r="H1428" s="27" t="n">
        <f aca="false">H1427/G1427-1</f>
        <v>0.0762597031373122</v>
      </c>
      <c r="I1428" s="27" t="n">
        <f aca="false">I1427/H1427-1</f>
        <v>0.0681298515686559</v>
      </c>
      <c r="J1428" s="27" t="n">
        <f aca="false">J1427/I1427-1</f>
        <v>0.0600000000000001</v>
      </c>
    </row>
    <row r="1429" customFormat="false" ht="17.15" hidden="false" customHeight="false" outlineLevel="0" collapsed="false">
      <c r="A1429" s="4" t="s">
        <v>571</v>
      </c>
      <c r="B1429" s="0" t="s">
        <v>48</v>
      </c>
      <c r="C1429" s="16" t="n">
        <f aca="false">C1425/C1406</f>
        <v>0.162746187565599</v>
      </c>
      <c r="D1429" s="16" t="n">
        <f aca="false">D1425/D1406</f>
        <v>0.208646059676249</v>
      </c>
      <c r="E1429" s="16" t="n">
        <f aca="false">E1425/E1406</f>
        <v>0.206436626609763</v>
      </c>
      <c r="F1429" s="16" t="n">
        <f aca="false">F1425/F1406</f>
        <v>0.186795970518561</v>
      </c>
      <c r="G1429" s="16" t="n">
        <f aca="false">G1425/G1406</f>
        <v>0.174291744582349</v>
      </c>
      <c r="H1429" s="28" t="n">
        <f aca="false">$G1429+($G$1429*1-$G1429)*1/3</f>
        <v>0.174291744582349</v>
      </c>
      <c r="I1429" s="28" t="n">
        <f aca="false">$G1429+($G$1429*1-$G1429)*2/3</f>
        <v>0.174291744582349</v>
      </c>
      <c r="J1429" s="28" t="n">
        <f aca="false">$G1429+($G$1429*1-$G1429)*3/3</f>
        <v>0.174291744582349</v>
      </c>
    </row>
    <row r="1432" customFormat="false" ht="17.15" hidden="false" customHeight="false" outlineLevel="0" collapsed="false">
      <c r="A1432" s="1" t="s">
        <v>879</v>
      </c>
    </row>
    <row r="1433" customFormat="false" ht="17.15" hidden="false" customHeight="false" outlineLevel="0" collapsed="false">
      <c r="A1433" s="5" t="s">
        <v>24</v>
      </c>
      <c r="B1433" s="5" t="s">
        <v>25</v>
      </c>
      <c r="C1433" s="17" t="s">
        <v>394</v>
      </c>
      <c r="D1433" s="17" t="s">
        <v>521</v>
      </c>
      <c r="E1433" s="17" t="s">
        <v>480</v>
      </c>
      <c r="F1433" s="17" t="s">
        <v>481</v>
      </c>
      <c r="G1433" s="17" t="s">
        <v>482</v>
      </c>
      <c r="H1433" s="17" t="s">
        <v>522</v>
      </c>
      <c r="I1433" s="17" t="s">
        <v>523</v>
      </c>
      <c r="J1433" s="17" t="s">
        <v>524</v>
      </c>
      <c r="K1433" s="5" t="s">
        <v>357</v>
      </c>
    </row>
    <row r="1434" customFormat="false" ht="17.15" hidden="false" customHeight="false" outlineLevel="0" collapsed="false">
      <c r="A1434" s="6" t="s">
        <v>542</v>
      </c>
    </row>
    <row r="1435" customFormat="false" ht="17.15" hidden="false" customHeight="false" outlineLevel="0" collapsed="false">
      <c r="A1435" s="4" t="s">
        <v>543</v>
      </c>
      <c r="B1435" s="4" t="s">
        <v>42</v>
      </c>
      <c r="D1435" s="22" t="n">
        <f aca="false">cap_26</f>
        <v>3306</v>
      </c>
      <c r="E1435" s="22" t="n">
        <f aca="false">D1435*(1+capg27)*cap_adj</f>
        <v>3306</v>
      </c>
      <c r="F1435" s="22" t="n">
        <f aca="false">E1435*(1+capg28)</f>
        <v>3306</v>
      </c>
      <c r="G1435" s="22" t="n">
        <f aca="false">F1435*(1+capg29)</f>
        <v>3306</v>
      </c>
    </row>
    <row r="1436" customFormat="false" ht="15" hidden="false" customHeight="false" outlineLevel="0" collapsed="false">
      <c r="A1436" s="4" t="s">
        <v>544</v>
      </c>
      <c r="B1436" s="0" t="s">
        <v>48</v>
      </c>
      <c r="D1436" s="20" t="n">
        <f aca="false">a26_ship/cap_26</f>
        <v>0.8725</v>
      </c>
      <c r="E1436" s="20" t="n">
        <f aca="false">MIN(0.98,ut27_B+ut_adj)</f>
        <v>0.9</v>
      </c>
      <c r="F1436" s="20" t="n">
        <f aca="false">MIN(0.98,ut28_B+ut_adj)</f>
        <v>0.86</v>
      </c>
      <c r="G1436" s="20" t="n">
        <f aca="false">MIN(0.98,ut29_B+ut_adj)</f>
        <v>0.87</v>
      </c>
    </row>
    <row r="1437" customFormat="false" ht="17.15" hidden="false" customHeight="false" outlineLevel="0" collapsed="false">
      <c r="A1437" s="4" t="s">
        <v>545</v>
      </c>
      <c r="B1437" s="4" t="s">
        <v>42</v>
      </c>
      <c r="D1437" s="22" t="n">
        <f aca="false">D1435*D1436</f>
        <v>2884.485</v>
      </c>
      <c r="E1437" s="22" t="n">
        <f aca="false">E1435*E1436</f>
        <v>2975.4</v>
      </c>
      <c r="F1437" s="22" t="n">
        <f aca="false">F1435*F1436</f>
        <v>2843.16</v>
      </c>
      <c r="G1437" s="22" t="n">
        <f aca="false">G1435*G1436</f>
        <v>2876.22</v>
      </c>
    </row>
    <row r="1438" customFormat="false" ht="17.15" hidden="false" customHeight="false" outlineLevel="0" collapsed="false">
      <c r="A1438" s="4" t="s">
        <v>546</v>
      </c>
      <c r="B1438" s="0" t="s">
        <v>89</v>
      </c>
      <c r="D1438" s="22" t="n">
        <f aca="false">asp_26</f>
        <v>643.469405492234</v>
      </c>
      <c r="E1438" s="22" t="n">
        <f aca="false">D1438*(1+asp27_B)*(1+asp_adj)</f>
        <v>662.773487657001</v>
      </c>
      <c r="F1438" s="22" t="n">
        <f aca="false">E1438*(1+asp28_B)</f>
        <v>662.773487657001</v>
      </c>
      <c r="G1438" s="22" t="n">
        <f aca="false">F1438*(1+asp29_B)</f>
        <v>662.773487657001</v>
      </c>
    </row>
    <row r="1439" customFormat="false" ht="15" hidden="false" customHeight="false" outlineLevel="0" collapsed="false">
      <c r="A1439" s="4" t="s">
        <v>547</v>
      </c>
      <c r="B1439" s="0" t="s">
        <v>48</v>
      </c>
      <c r="E1439" s="20" t="n">
        <f aca="false">E1438/D1438-1</f>
        <v>0.03</v>
      </c>
      <c r="F1439" s="20" t="n">
        <f aca="false">F1438/E1438-1</f>
        <v>0</v>
      </c>
      <c r="G1439" s="20" t="n">
        <f aca="false">G1438/F1438-1</f>
        <v>0</v>
      </c>
    </row>
    <row r="1440" customFormat="false" ht="15" hidden="false" customHeight="false" outlineLevel="0" collapsed="false">
      <c r="A1440" s="4" t="s">
        <v>548</v>
      </c>
      <c r="B1440" s="0" t="s">
        <v>35</v>
      </c>
      <c r="D1440" s="23" t="n">
        <f aca="false">fx_26</f>
        <v>31.6</v>
      </c>
      <c r="E1440" s="23" t="n">
        <f aca="false">fx</f>
        <v>32</v>
      </c>
      <c r="F1440" s="23" t="n">
        <f aca="false">fx</f>
        <v>32</v>
      </c>
      <c r="G1440" s="23" t="n">
        <f aca="false">fx</f>
        <v>32</v>
      </c>
    </row>
    <row r="1441" customFormat="false" ht="17.15" hidden="false" customHeight="false" outlineLevel="0" collapsed="false">
      <c r="A1441" s="0" t="s">
        <v>549</v>
      </c>
      <c r="B1441" s="0" t="s">
        <v>184</v>
      </c>
      <c r="D1441" s="23" t="n">
        <f aca="false">D1437*D1438*D1440/1000000</f>
        <v>58.65206</v>
      </c>
      <c r="E1441" s="23" t="n">
        <f aca="false">E1437*E1438*E1440/1000000</f>
        <v>63.1045195255885</v>
      </c>
      <c r="F1441" s="23" t="n">
        <f aca="false">F1437*F1438*F1440/1000000</f>
        <v>60.2998742133401</v>
      </c>
      <c r="G1441" s="23" t="n">
        <f aca="false">G1437*G1438*G1440/1000000</f>
        <v>61.0010355414022</v>
      </c>
    </row>
    <row r="1442" customFormat="false" ht="17.15" hidden="false" customHeight="false" outlineLevel="0" collapsed="false">
      <c r="A1442" s="6" t="s">
        <v>550</v>
      </c>
    </row>
    <row r="1443" customFormat="false" ht="17.15" hidden="false" customHeight="false" outlineLevel="0" collapsed="false">
      <c r="A1443" s="0" t="s">
        <v>551</v>
      </c>
      <c r="B1443" s="4" t="s">
        <v>42</v>
      </c>
      <c r="D1443" s="22" t="n">
        <f aca="false">0</f>
        <v>0</v>
      </c>
      <c r="E1443" s="22" t="n">
        <f aca="false">vcap27*vcap_adj</f>
        <v>144</v>
      </c>
      <c r="F1443" s="22" t="n">
        <f aca="false">vcap28*vcap_adj</f>
        <v>360</v>
      </c>
      <c r="G1443" s="22" t="n">
        <f aca="false">vcap29*vcap_adj</f>
        <v>504</v>
      </c>
    </row>
    <row r="1444" customFormat="false" ht="17.15" hidden="false" customHeight="false" outlineLevel="0" collapsed="false">
      <c r="A1444" s="0" t="s">
        <v>552</v>
      </c>
      <c r="B1444" s="0" t="s">
        <v>48</v>
      </c>
      <c r="E1444" s="20" t="n">
        <f aca="false">vut_B</f>
        <v>0.8</v>
      </c>
      <c r="F1444" s="20" t="n">
        <f aca="false">vut_B</f>
        <v>0.8</v>
      </c>
      <c r="G1444" s="20" t="n">
        <f aca="false">vut_B</f>
        <v>0.8</v>
      </c>
    </row>
    <row r="1445" customFormat="false" ht="17.15" hidden="false" customHeight="false" outlineLevel="0" collapsed="false">
      <c r="A1445" s="0" t="s">
        <v>553</v>
      </c>
      <c r="B1445" s="4" t="s">
        <v>42</v>
      </c>
      <c r="D1445" s="22" t="n">
        <f aca="false">0</f>
        <v>0</v>
      </c>
      <c r="E1445" s="22" t="n">
        <f aca="false">E1443*E1444</f>
        <v>115.2</v>
      </c>
      <c r="F1445" s="22" t="n">
        <f aca="false">F1443*F1444</f>
        <v>288</v>
      </c>
      <c r="G1445" s="22" t="n">
        <f aca="false">G1443*G1444</f>
        <v>403.2</v>
      </c>
    </row>
    <row r="1446" customFormat="false" ht="17.15" hidden="false" customHeight="false" outlineLevel="0" collapsed="false">
      <c r="A1446" s="0" t="s">
        <v>554</v>
      </c>
      <c r="B1446" s="0" t="s">
        <v>184</v>
      </c>
      <c r="D1446" s="23" t="n">
        <f aca="false">0</f>
        <v>0</v>
      </c>
      <c r="E1446" s="23" t="n">
        <f aca="false">E1445*vasp*E1440/1000000</f>
        <v>6.63552</v>
      </c>
      <c r="F1446" s="23" t="n">
        <f aca="false">F1445*vasp*F1440/1000000</f>
        <v>16.5888</v>
      </c>
      <c r="G1446" s="23" t="n">
        <f aca="false">G1445*vasp*G1440/1000000</f>
        <v>23.22432</v>
      </c>
    </row>
    <row r="1447" customFormat="false" ht="17.15" hidden="false" customHeight="false" outlineLevel="0" collapsed="false">
      <c r="A1447" s="4" t="s">
        <v>400</v>
      </c>
      <c r="B1447" s="0" t="s">
        <v>184</v>
      </c>
      <c r="C1447" s="23" t="n">
        <f aca="false">a25_rev</f>
        <v>48.591</v>
      </c>
      <c r="D1447" s="23" t="n">
        <f aca="false">D1441+D1446</f>
        <v>58.65206</v>
      </c>
      <c r="E1447" s="23" t="n">
        <f aca="false">E1441+E1446</f>
        <v>69.7400395255885</v>
      </c>
      <c r="F1447" s="23" t="n">
        <f aca="false">F1441+F1446</f>
        <v>76.8886742133401</v>
      </c>
      <c r="G1447" s="23" t="n">
        <f aca="false">G1441+G1446</f>
        <v>84.2253555414022</v>
      </c>
      <c r="H1447" s="29" t="n">
        <f aca="false">G1447*(1+H1450)</f>
        <v>90.7061896343453</v>
      </c>
      <c r="I1447" s="29" t="n">
        <f aca="false">H1447*(1+I1450)</f>
        <v>96.0100687533499</v>
      </c>
      <c r="J1447" s="29" t="n">
        <f aca="false">I1447*(1+J1450)</f>
        <v>99.8504715034839</v>
      </c>
      <c r="K1447" s="8" t="s">
        <v>555</v>
      </c>
    </row>
    <row r="1448" customFormat="false" ht="17.15" hidden="false" customHeight="false" outlineLevel="0" collapsed="false">
      <c r="A1448" s="0" t="s">
        <v>556</v>
      </c>
      <c r="B1448" s="0" t="s">
        <v>48</v>
      </c>
      <c r="D1448" s="20" t="n">
        <f aca="false">D1446/D1447</f>
        <v>0</v>
      </c>
      <c r="E1448" s="20" t="n">
        <f aca="false">E1446/E1447</f>
        <v>0.0951464903825491</v>
      </c>
      <c r="F1448" s="20" t="n">
        <f aca="false">F1446/F1447</f>
        <v>0.215750891398799</v>
      </c>
      <c r="G1448" s="20" t="n">
        <f aca="false">G1446/G1447</f>
        <v>0.275740242955505</v>
      </c>
    </row>
    <row r="1449" customFormat="false" ht="17.15" hidden="false" customHeight="false" outlineLevel="0" collapsed="false">
      <c r="A1449" s="0" t="s">
        <v>557</v>
      </c>
      <c r="B1449" s="0" t="s">
        <v>48</v>
      </c>
      <c r="D1449" s="20" t="n">
        <f aca="false">ai_sh26</f>
        <v>0.1</v>
      </c>
      <c r="E1449" s="20" t="n">
        <f aca="false">ai_sh27_B</f>
        <v>0.2</v>
      </c>
      <c r="F1449" s="20" t="n">
        <f aca="false">ai_sh27_B</f>
        <v>0.2</v>
      </c>
      <c r="G1449" s="20" t="n">
        <f aca="false">ai_sh27_B</f>
        <v>0.2</v>
      </c>
    </row>
    <row r="1450" customFormat="false" ht="15" hidden="false" customHeight="false" outlineLevel="0" collapsed="false">
      <c r="A1450" s="4" t="s">
        <v>558</v>
      </c>
      <c r="B1450" s="0" t="s">
        <v>48</v>
      </c>
      <c r="D1450" s="20" t="n">
        <f aca="false">D1447/C1447-1</f>
        <v>0.207056039184211</v>
      </c>
      <c r="E1450" s="20" t="n">
        <f aca="false">E1447/D1447-1</f>
        <v>0.189046719340949</v>
      </c>
      <c r="F1450" s="20" t="n">
        <f aca="false">F1447/E1447-1</f>
        <v>0.10250402403527</v>
      </c>
      <c r="G1450" s="20" t="n">
        <f aca="false">G1447/F1447-1</f>
        <v>0.095419532240929</v>
      </c>
      <c r="H1450" s="27" t="n">
        <f aca="false">$G1450+(fade_gB-$G1450)*1/3</f>
        <v>0.076946354827286</v>
      </c>
      <c r="I1450" s="27" t="n">
        <f aca="false">$G1450+(fade_gB-$G1450)*2/3</f>
        <v>0.058473177413643</v>
      </c>
      <c r="J1450" s="27" t="n">
        <f aca="false">$G1450+(fade_gB-$G1450)*3/3</f>
        <v>0.04</v>
      </c>
    </row>
    <row r="1451" customFormat="false" ht="17.15" hidden="false" customHeight="false" outlineLevel="0" collapsed="false">
      <c r="A1451" s="6" t="s">
        <v>559</v>
      </c>
    </row>
    <row r="1452" customFormat="false" ht="15" hidden="false" customHeight="false" outlineLevel="0" collapsed="false">
      <c r="A1452" s="4" t="s">
        <v>560</v>
      </c>
      <c r="B1452" s="0" t="s">
        <v>184</v>
      </c>
      <c r="D1452" s="23" t="n">
        <f aca="false">da_tot26*da_sh</f>
        <v>8.658</v>
      </c>
      <c r="E1452" s="23" t="n">
        <f aca="false">D1452*(1+dag_27+dag_adj)</f>
        <v>8.91774</v>
      </c>
      <c r="F1452" s="23" t="n">
        <f aca="false">E1452*(1+dag_28+dag_adj)</f>
        <v>9.0960948</v>
      </c>
      <c r="G1452" s="23" t="n">
        <f aca="false">F1452*(1+dag_29+dag_adj)</f>
        <v>9.0960948</v>
      </c>
    </row>
    <row r="1453" customFormat="false" ht="17.15" hidden="false" customHeight="false" outlineLevel="0" collapsed="false">
      <c r="A1453" s="4" t="s">
        <v>561</v>
      </c>
      <c r="B1453" s="0" t="s">
        <v>562</v>
      </c>
      <c r="D1453" s="23" t="n">
        <f aca="false">(D1441-a26_gp-D1452)/D1437*1000</f>
        <v>10.7339918911001</v>
      </c>
      <c r="E1453" s="23" t="n">
        <f aca="false">D1453*(1+cc_g_hi)</f>
        <v>11.1633515667441</v>
      </c>
      <c r="F1453" s="23" t="n">
        <f aca="false">E1453*(1+cc_g_hi)</f>
        <v>11.6098856294139</v>
      </c>
      <c r="G1453" s="23" t="n">
        <f aca="false">F1453*(1+cc_g_hi)</f>
        <v>12.0742810545905</v>
      </c>
      <c r="K1453" s="8" t="s">
        <v>563</v>
      </c>
    </row>
    <row r="1454" customFormat="false" ht="17.15" hidden="false" customHeight="false" outlineLevel="0" collapsed="false">
      <c r="A1454" s="4" t="s">
        <v>564</v>
      </c>
      <c r="B1454" s="0" t="s">
        <v>184</v>
      </c>
      <c r="D1454" s="23" t="n">
        <f aca="false">D1453*D1437/1000</f>
        <v>30.9620386</v>
      </c>
      <c r="E1454" s="23" t="n">
        <f aca="false">E1453*E1437/1000</f>
        <v>33.2154362516905</v>
      </c>
      <c r="F1454" s="23" t="n">
        <f aca="false">F1453*F1437/1000</f>
        <v>33.0087624261245</v>
      </c>
      <c r="G1454" s="23" t="n">
        <f aca="false">G1453*G1437/1000</f>
        <v>34.7282886548342</v>
      </c>
    </row>
    <row r="1455" customFormat="false" ht="17.15" hidden="false" customHeight="false" outlineLevel="0" collapsed="false">
      <c r="A1455" s="0" t="s">
        <v>565</v>
      </c>
      <c r="B1455" s="0" t="s">
        <v>48</v>
      </c>
      <c r="E1455" s="20" t="n">
        <f aca="false">vgm27_B</f>
        <v>-0.05</v>
      </c>
      <c r="F1455" s="20" t="n">
        <f aca="false">vgm28_B</f>
        <v>0.12</v>
      </c>
      <c r="G1455" s="20" t="n">
        <f aca="false">vgm29_B</f>
        <v>0.18</v>
      </c>
    </row>
    <row r="1456" customFormat="false" ht="17.15" hidden="false" customHeight="false" outlineLevel="0" collapsed="false">
      <c r="A1456" s="0" t="s">
        <v>566</v>
      </c>
      <c r="B1456" s="0" t="s">
        <v>184</v>
      </c>
      <c r="D1456" s="23" t="n">
        <f aca="false">0</f>
        <v>0</v>
      </c>
      <c r="E1456" s="23" t="n">
        <f aca="false">E1446*E1455</f>
        <v>-0.331776</v>
      </c>
      <c r="F1456" s="23" t="n">
        <f aca="false">F1446*F1455</f>
        <v>1.990656</v>
      </c>
      <c r="G1456" s="23" t="n">
        <f aca="false">G1446*G1455</f>
        <v>4.1803776</v>
      </c>
    </row>
    <row r="1457" customFormat="false" ht="15" hidden="false" customHeight="false" outlineLevel="0" collapsed="false">
      <c r="A1457" s="4" t="s">
        <v>417</v>
      </c>
      <c r="B1457" s="0" t="s">
        <v>184</v>
      </c>
      <c r="C1457" s="23" t="n">
        <f aca="false">a25_gp</f>
        <v>13.654</v>
      </c>
      <c r="D1457" s="23" t="n">
        <f aca="false">D1441-D1452-D1454+D1456</f>
        <v>19.0320214</v>
      </c>
      <c r="E1457" s="23" t="n">
        <f aca="false">E1441-E1452-E1454+E1456</f>
        <v>20.6395672738979</v>
      </c>
      <c r="F1457" s="23" t="n">
        <f aca="false">F1441-F1452-F1454+F1456</f>
        <v>20.1856729872156</v>
      </c>
      <c r="G1457" s="23" t="n">
        <f aca="false">G1441-G1452-G1454+G1456</f>
        <v>21.357029686568</v>
      </c>
    </row>
    <row r="1458" customFormat="false" ht="15" hidden="false" customHeight="false" outlineLevel="0" collapsed="false">
      <c r="A1458" s="4" t="s">
        <v>420</v>
      </c>
      <c r="B1458" s="0" t="s">
        <v>48</v>
      </c>
      <c r="C1458" s="16" t="n">
        <f aca="false">C1457/C1447</f>
        <v>0.280998538824062</v>
      </c>
      <c r="D1458" s="16" t="n">
        <f aca="false">D1457/D1447</f>
        <v>0.324490246378388</v>
      </c>
      <c r="E1458" s="16" t="n">
        <f aca="false">E1457/E1447</f>
        <v>0.295950036941476</v>
      </c>
      <c r="F1458" s="16" t="n">
        <f aca="false">F1457/F1447</f>
        <v>0.262531162017532</v>
      </c>
      <c r="G1458" s="16" t="n">
        <f aca="false">G1457/G1447</f>
        <v>0.25357007458484</v>
      </c>
    </row>
    <row r="1459" customFormat="false" ht="15" hidden="false" customHeight="false" outlineLevel="0" collapsed="false">
      <c r="A1459" s="4" t="s">
        <v>422</v>
      </c>
      <c r="B1459" s="0" t="s">
        <v>184</v>
      </c>
      <c r="C1459" s="23" t="n">
        <f aca="false">a25_opx</f>
        <v>5.881</v>
      </c>
      <c r="D1459" s="23" t="n">
        <f aca="false">a26_opx</f>
        <v>6.824187</v>
      </c>
      <c r="E1459" s="23" t="n">
        <f aca="false">D1459*(1+MAX(g_opx_min,phi*E1450))</f>
        <v>7.46923208225958</v>
      </c>
      <c r="F1459" s="23" t="n">
        <f aca="false">E1459*(1+MAX(g_opx_min,phi*F1450))</f>
        <v>7.85204525470205</v>
      </c>
      <c r="G1459" s="23" t="n">
        <f aca="false">F1459*(1+MAX(g_opx_min,phi*G1450))</f>
        <v>8.22666449737119</v>
      </c>
    </row>
    <row r="1460" customFormat="false" ht="15" hidden="false" customHeight="false" outlineLevel="0" collapsed="false">
      <c r="A1460" s="4" t="s">
        <v>425</v>
      </c>
      <c r="B1460" s="0" t="s">
        <v>184</v>
      </c>
      <c r="C1460" s="23" t="n">
        <f aca="false">C1457-C1459</f>
        <v>7.773</v>
      </c>
      <c r="D1460" s="23" t="n">
        <f aca="false">D1457-D1459</f>
        <v>12.2078344</v>
      </c>
      <c r="E1460" s="23" t="n">
        <f aca="false">E1457-E1459</f>
        <v>13.1703351916384</v>
      </c>
      <c r="F1460" s="23" t="n">
        <f aca="false">F1457-F1459</f>
        <v>12.3336277325136</v>
      </c>
      <c r="G1460" s="23" t="n">
        <f aca="false">G1457-G1459</f>
        <v>13.1303651891968</v>
      </c>
    </row>
    <row r="1461" customFormat="false" ht="15" hidden="false" customHeight="false" outlineLevel="0" collapsed="false">
      <c r="A1461" s="4" t="s">
        <v>531</v>
      </c>
      <c r="B1461" s="0" t="s">
        <v>48</v>
      </c>
      <c r="C1461" s="16" t="n">
        <f aca="false">C1460/C1447</f>
        <v>0.159967895289251</v>
      </c>
      <c r="D1461" s="16" t="n">
        <f aca="false">D1460/D1447</f>
        <v>0.208139908470393</v>
      </c>
      <c r="E1461" s="16" t="n">
        <f aca="false">E1460/E1447</f>
        <v>0.188848978022245</v>
      </c>
      <c r="F1461" s="16" t="n">
        <f aca="false">F1460/F1447</f>
        <v>0.160408901033876</v>
      </c>
      <c r="G1461" s="16" t="n">
        <f aca="false">G1460/G1447</f>
        <v>0.155895633859834</v>
      </c>
    </row>
    <row r="1462" customFormat="false" ht="15" hidden="false" customHeight="false" outlineLevel="0" collapsed="false">
      <c r="A1462" s="4" t="s">
        <v>428</v>
      </c>
      <c r="B1462" s="0" t="s">
        <v>184</v>
      </c>
      <c r="C1462" s="23" t="n">
        <f aca="false">a25_nonop</f>
        <v>1.479</v>
      </c>
      <c r="D1462" s="23" t="n">
        <f aca="false">a26_nonop</f>
        <v>2.10950832169955</v>
      </c>
      <c r="E1462" s="23" t="n">
        <f aca="false">nonop_f</f>
        <v>1.5</v>
      </c>
      <c r="F1462" s="23" t="n">
        <f aca="false">nonop_f</f>
        <v>1.5</v>
      </c>
      <c r="G1462" s="23" t="n">
        <f aca="false">nonop_f</f>
        <v>1.5</v>
      </c>
    </row>
    <row r="1463" customFormat="false" ht="15" hidden="false" customHeight="false" outlineLevel="0" collapsed="false">
      <c r="A1463" s="4" t="s">
        <v>430</v>
      </c>
      <c r="B1463" s="0" t="s">
        <v>184</v>
      </c>
      <c r="C1463" s="23" t="n">
        <f aca="false">C1460+C1462</f>
        <v>9.252</v>
      </c>
      <c r="D1463" s="23" t="n">
        <f aca="false">D1460+D1462</f>
        <v>14.3173427216995</v>
      </c>
      <c r="E1463" s="23" t="n">
        <f aca="false">E1460+E1462</f>
        <v>14.6703351916384</v>
      </c>
      <c r="F1463" s="23" t="n">
        <f aca="false">F1460+F1462</f>
        <v>13.8336277325136</v>
      </c>
      <c r="G1463" s="23" t="n">
        <f aca="false">G1460+G1462</f>
        <v>14.6303651891968</v>
      </c>
    </row>
    <row r="1464" customFormat="false" ht="15" hidden="false" customHeight="false" outlineLevel="0" collapsed="false">
      <c r="A1464" s="4" t="s">
        <v>432</v>
      </c>
      <c r="B1464" s="0" t="s">
        <v>184</v>
      </c>
      <c r="C1464" s="23" t="n">
        <f aca="false">a25_tax</f>
        <v>1.344</v>
      </c>
      <c r="D1464" s="23" t="n">
        <f aca="false">a26_tax</f>
        <v>2.0798215108046</v>
      </c>
      <c r="E1464" s="23" t="n">
        <f aca="false">E1463*tax</f>
        <v>2.20055027874575</v>
      </c>
      <c r="F1464" s="23" t="n">
        <f aca="false">F1463*tax</f>
        <v>2.07504415987704</v>
      </c>
      <c r="G1464" s="23" t="n">
        <f aca="false">G1463*tax</f>
        <v>2.19455477837952</v>
      </c>
    </row>
    <row r="1465" customFormat="false" ht="17.15" hidden="false" customHeight="false" outlineLevel="0" collapsed="false">
      <c r="A1465" s="4" t="s">
        <v>567</v>
      </c>
      <c r="B1465" s="0" t="s">
        <v>184</v>
      </c>
      <c r="C1465" s="23" t="n">
        <f aca="false">a25_mi</f>
        <v>0</v>
      </c>
      <c r="D1465" s="23" t="n">
        <f aca="false">a26_mi</f>
        <v>0</v>
      </c>
      <c r="E1465" s="23" t="n">
        <f aca="false">vmi*E1456*(1-tax)</f>
        <v>-0.11280384</v>
      </c>
      <c r="F1465" s="23" t="n">
        <f aca="false">vmi*F1456*(1-tax)</f>
        <v>0.67682304</v>
      </c>
      <c r="G1465" s="23" t="n">
        <f aca="false">vmi*G1456*(1-tax)</f>
        <v>1.421328384</v>
      </c>
      <c r="K1465" s="8" t="s">
        <v>568</v>
      </c>
    </row>
    <row r="1466" customFormat="false" ht="15" hidden="false" customHeight="false" outlineLevel="0" collapsed="false">
      <c r="A1466" s="4" t="s">
        <v>435</v>
      </c>
      <c r="B1466" s="0" t="s">
        <v>184</v>
      </c>
      <c r="C1466" s="23" t="n">
        <f aca="false">C1463-C1464-C1465</f>
        <v>7.908</v>
      </c>
      <c r="D1466" s="23" t="n">
        <f aca="false">D1463-D1464-D1465</f>
        <v>12.2375212108949</v>
      </c>
      <c r="E1466" s="23" t="n">
        <f aca="false">E1463-E1464-E1465</f>
        <v>12.5825887528926</v>
      </c>
      <c r="F1466" s="23" t="n">
        <f aca="false">F1463-F1464-F1465</f>
        <v>11.0817605326365</v>
      </c>
      <c r="G1466" s="23" t="n">
        <f aca="false">G1463-G1464-G1465</f>
        <v>11.0144820268173</v>
      </c>
      <c r="H1466" s="29" t="n">
        <f aca="false">H1447*H1470</f>
        <v>11.4666060601218</v>
      </c>
      <c r="I1466" s="29" t="n">
        <f aca="false">I1447*I1470</f>
        <v>11.7185744350695</v>
      </c>
      <c r="J1466" s="29" t="n">
        <f aca="false">J1447*J1470</f>
        <v>11.7520560763125</v>
      </c>
    </row>
    <row r="1467" customFormat="false" ht="15" hidden="false" customHeight="false" outlineLevel="0" collapsed="false">
      <c r="A1467" s="4" t="s">
        <v>569</v>
      </c>
      <c r="B1467" s="4" t="s">
        <v>265</v>
      </c>
      <c r="C1467" s="10" t="n">
        <f aca="false">a25_sh</f>
        <v>1.8739336492891</v>
      </c>
      <c r="D1467" s="10" t="n">
        <f aca="false">a26_sh</f>
        <v>1.90613591916558</v>
      </c>
      <c r="E1467" s="10" t="n">
        <f aca="false">q_sh*(1+sh_g)</f>
        <v>1.90705128205128</v>
      </c>
      <c r="F1467" s="10" t="n">
        <f aca="false">E1467*(1+sh_g)</f>
        <v>1.90705128205128</v>
      </c>
      <c r="G1467" s="10" t="n">
        <f aca="false">F1467*(1+sh_g)</f>
        <v>1.90705128205128</v>
      </c>
      <c r="H1467" s="31" t="n">
        <f aca="false">G1467*(1+sh_g)</f>
        <v>1.90705128205128</v>
      </c>
      <c r="I1467" s="31" t="n">
        <f aca="false">H1467*(1+sh_g)</f>
        <v>1.90705128205128</v>
      </c>
      <c r="J1467" s="31" t="n">
        <f aca="false">I1467*(1+sh_g)</f>
        <v>1.90705128205128</v>
      </c>
    </row>
    <row r="1468" customFormat="false" ht="17.15" hidden="false" customHeight="false" outlineLevel="0" collapsed="false">
      <c r="A1468" s="0" t="s">
        <v>442</v>
      </c>
      <c r="B1468" s="0" t="s">
        <v>274</v>
      </c>
      <c r="C1468" s="23" t="n">
        <f aca="false">C1466/C1467</f>
        <v>4.22</v>
      </c>
      <c r="D1468" s="23" t="n">
        <f aca="false">D1466/D1467</f>
        <v>6.42006747150118</v>
      </c>
      <c r="E1468" s="23" t="n">
        <f aca="false">E1466/E1467</f>
        <v>6.5979288922731</v>
      </c>
      <c r="F1468" s="23" t="n">
        <f aca="false">F1466/F1467</f>
        <v>5.81093997677748</v>
      </c>
      <c r="G1468" s="23" t="n">
        <f aca="false">G1466/G1467</f>
        <v>5.775661163642</v>
      </c>
      <c r="H1468" s="29" t="n">
        <f aca="false">H1466/H1467</f>
        <v>6.01274132900505</v>
      </c>
      <c r="I1468" s="29" t="n">
        <f aca="false">I1466/I1467</f>
        <v>6.14486592225491</v>
      </c>
      <c r="J1468" s="29" t="n">
        <f aca="false">J1466/J1467</f>
        <v>6.16242268203278</v>
      </c>
    </row>
    <row r="1469" customFormat="false" ht="17.15" hidden="false" customHeight="false" outlineLevel="0" collapsed="false">
      <c r="A1469" s="0" t="s">
        <v>570</v>
      </c>
      <c r="B1469" s="0" t="s">
        <v>48</v>
      </c>
      <c r="D1469" s="20" t="n">
        <f aca="false">D1468/C1468-1</f>
        <v>0.521343002725398</v>
      </c>
      <c r="E1469" s="20" t="n">
        <f aca="false">E1468/D1468-1</f>
        <v>0.0277039799910903</v>
      </c>
      <c r="F1469" s="20" t="n">
        <f aca="false">F1468/E1468-1</f>
        <v>-0.119278174764397</v>
      </c>
      <c r="G1469" s="20" t="n">
        <f aca="false">G1468/F1468-1</f>
        <v>-0.00607110265748267</v>
      </c>
      <c r="H1469" s="27" t="n">
        <f aca="false">H1468/G1468-1</f>
        <v>0.0410481429997098</v>
      </c>
      <c r="I1469" s="27" t="n">
        <f aca="false">I1468/H1468-1</f>
        <v>0.0219741023304139</v>
      </c>
      <c r="J1469" s="27" t="n">
        <f aca="false">J1468/I1468-1</f>
        <v>0.00285714285714311</v>
      </c>
    </row>
    <row r="1470" customFormat="false" ht="17.15" hidden="false" customHeight="false" outlineLevel="0" collapsed="false">
      <c r="A1470" s="4" t="s">
        <v>571</v>
      </c>
      <c r="B1470" s="0" t="s">
        <v>48</v>
      </c>
      <c r="C1470" s="16" t="n">
        <f aca="false">C1466/C1447</f>
        <v>0.162746187565599</v>
      </c>
      <c r="D1470" s="16" t="n">
        <f aca="false">D1466/D1447</f>
        <v>0.208646059676249</v>
      </c>
      <c r="E1470" s="16" t="n">
        <f aca="false">E1466/E1447</f>
        <v>0.180421302288994</v>
      </c>
      <c r="F1470" s="16" t="n">
        <f aca="false">F1466/F1447</f>
        <v>0.144127345750408</v>
      </c>
      <c r="G1470" s="16" t="n">
        <f aca="false">G1466/G1447</f>
        <v>0.130773945161952</v>
      </c>
      <c r="H1470" s="28" t="n">
        <f aca="false">$G1470+($G$1470*0.9-$G1470)*1/3</f>
        <v>0.126414813656554</v>
      </c>
      <c r="I1470" s="28" t="n">
        <f aca="false">$G1470+($G$1470*0.9-$G1470)*2/3</f>
        <v>0.122055682151156</v>
      </c>
      <c r="J1470" s="28" t="n">
        <f aca="false">$G1470+($G$1470*0.9-$G1470)*3/3</f>
        <v>0.117696550645757</v>
      </c>
    </row>
    <row r="1473" customFormat="false" ht="17.15" hidden="false" customHeight="false" outlineLevel="0" collapsed="false">
      <c r="A1473" s="1" t="s">
        <v>880</v>
      </c>
    </row>
    <row r="1474" customFormat="false" ht="17.15" hidden="false" customHeight="false" outlineLevel="0" collapsed="false">
      <c r="A1474" s="5" t="s">
        <v>24</v>
      </c>
      <c r="B1474" s="5" t="s">
        <v>25</v>
      </c>
      <c r="C1474" s="17" t="s">
        <v>394</v>
      </c>
      <c r="D1474" s="17" t="s">
        <v>521</v>
      </c>
      <c r="E1474" s="17" t="s">
        <v>480</v>
      </c>
      <c r="F1474" s="17" t="s">
        <v>481</v>
      </c>
      <c r="G1474" s="17" t="s">
        <v>482</v>
      </c>
      <c r="H1474" s="17" t="s">
        <v>522</v>
      </c>
      <c r="I1474" s="17" t="s">
        <v>523</v>
      </c>
      <c r="J1474" s="17" t="s">
        <v>524</v>
      </c>
      <c r="K1474" s="5" t="s">
        <v>357</v>
      </c>
    </row>
    <row r="1475" customFormat="false" ht="17.15" hidden="false" customHeight="false" outlineLevel="0" collapsed="false">
      <c r="A1475" s="6" t="s">
        <v>542</v>
      </c>
    </row>
    <row r="1476" customFormat="false" ht="17.15" hidden="false" customHeight="false" outlineLevel="0" collapsed="false">
      <c r="A1476" s="4" t="s">
        <v>543</v>
      </c>
      <c r="B1476" s="4" t="s">
        <v>42</v>
      </c>
      <c r="D1476" s="22" t="n">
        <f aca="false">cap_26</f>
        <v>3306</v>
      </c>
      <c r="E1476" s="22" t="n">
        <f aca="false">D1476*(1+capg27)*cap_adj</f>
        <v>3306</v>
      </c>
      <c r="F1476" s="22" t="n">
        <f aca="false">E1476*(1+capg28)</f>
        <v>3306</v>
      </c>
      <c r="G1476" s="22" t="n">
        <f aca="false">F1476*(1+capg29)</f>
        <v>3306</v>
      </c>
    </row>
    <row r="1477" customFormat="false" ht="15" hidden="false" customHeight="false" outlineLevel="0" collapsed="false">
      <c r="A1477" s="4" t="s">
        <v>544</v>
      </c>
      <c r="B1477" s="0" t="s">
        <v>48</v>
      </c>
      <c r="D1477" s="20" t="n">
        <f aca="false">a26_ship/cap_26</f>
        <v>0.8725</v>
      </c>
      <c r="E1477" s="20" t="n">
        <f aca="false">MIN(0.98,ut27_C+ut_adj)</f>
        <v>0.8</v>
      </c>
      <c r="F1477" s="20" t="n">
        <f aca="false">MIN(0.98,ut28_C+ut_adj)</f>
        <v>0.74</v>
      </c>
      <c r="G1477" s="20" t="n">
        <f aca="false">MIN(0.98,ut29_C+ut_adj)</f>
        <v>0.78</v>
      </c>
    </row>
    <row r="1478" customFormat="false" ht="17.15" hidden="false" customHeight="false" outlineLevel="0" collapsed="false">
      <c r="A1478" s="4" t="s">
        <v>545</v>
      </c>
      <c r="B1478" s="4" t="s">
        <v>42</v>
      </c>
      <c r="D1478" s="22" t="n">
        <f aca="false">D1476*D1477</f>
        <v>2884.485</v>
      </c>
      <c r="E1478" s="22" t="n">
        <f aca="false">E1476*E1477</f>
        <v>2644.8</v>
      </c>
      <c r="F1478" s="22" t="n">
        <f aca="false">F1476*F1477</f>
        <v>2446.44</v>
      </c>
      <c r="G1478" s="22" t="n">
        <f aca="false">G1476*G1477</f>
        <v>2578.68</v>
      </c>
    </row>
    <row r="1479" customFormat="false" ht="17.15" hidden="false" customHeight="false" outlineLevel="0" collapsed="false">
      <c r="A1479" s="4" t="s">
        <v>546</v>
      </c>
      <c r="B1479" s="0" t="s">
        <v>89</v>
      </c>
      <c r="D1479" s="22" t="n">
        <f aca="false">asp_26</f>
        <v>643.469405492234</v>
      </c>
      <c r="E1479" s="22" t="n">
        <f aca="false">D1479*(1+asp27_C)*(1+asp_adj)</f>
        <v>624.165323327467</v>
      </c>
      <c r="F1479" s="22" t="n">
        <f aca="false">E1479*(1+asp28_C)</f>
        <v>592.957057161093</v>
      </c>
      <c r="G1479" s="22" t="n">
        <f aca="false">F1479*(1+asp29_C)</f>
        <v>581.097916017871</v>
      </c>
    </row>
    <row r="1480" customFormat="false" ht="15" hidden="false" customHeight="false" outlineLevel="0" collapsed="false">
      <c r="A1480" s="4" t="s">
        <v>547</v>
      </c>
      <c r="B1480" s="0" t="s">
        <v>48</v>
      </c>
      <c r="E1480" s="20" t="n">
        <f aca="false">E1479/D1479-1</f>
        <v>-0.03</v>
      </c>
      <c r="F1480" s="20" t="n">
        <f aca="false">F1479/E1479-1</f>
        <v>-0.05</v>
      </c>
      <c r="G1480" s="20" t="n">
        <f aca="false">G1479/F1479-1</f>
        <v>-0.02</v>
      </c>
    </row>
    <row r="1481" customFormat="false" ht="15" hidden="false" customHeight="false" outlineLevel="0" collapsed="false">
      <c r="A1481" s="4" t="s">
        <v>548</v>
      </c>
      <c r="B1481" s="0" t="s">
        <v>35</v>
      </c>
      <c r="D1481" s="23" t="n">
        <f aca="false">fx_26</f>
        <v>31.6</v>
      </c>
      <c r="E1481" s="23" t="n">
        <f aca="false">fx</f>
        <v>32</v>
      </c>
      <c r="F1481" s="23" t="n">
        <f aca="false">fx</f>
        <v>32</v>
      </c>
      <c r="G1481" s="23" t="n">
        <f aca="false">fx</f>
        <v>32</v>
      </c>
    </row>
    <row r="1482" customFormat="false" ht="17.15" hidden="false" customHeight="false" outlineLevel="0" collapsed="false">
      <c r="A1482" s="0" t="s">
        <v>549</v>
      </c>
      <c r="B1482" s="0" t="s">
        <v>184</v>
      </c>
      <c r="D1482" s="23" t="n">
        <f aca="false">D1478*D1479*D1481/1000000</f>
        <v>58.65206</v>
      </c>
      <c r="E1482" s="23" t="n">
        <f aca="false">E1478*E1479*E1481/1000000</f>
        <v>52.8253583083675</v>
      </c>
      <c r="F1482" s="23" t="n">
        <f aca="false">F1478*F1479*F1481/1000000</f>
        <v>46.4202836134779</v>
      </c>
      <c r="G1482" s="23" t="n">
        <f aca="false">G1478*G1479*G1481/1000000</f>
        <v>47.9508983704629</v>
      </c>
    </row>
    <row r="1483" customFormat="false" ht="17.15" hidden="false" customHeight="false" outlineLevel="0" collapsed="false">
      <c r="A1483" s="6" t="s">
        <v>550</v>
      </c>
    </row>
    <row r="1484" customFormat="false" ht="17.15" hidden="false" customHeight="false" outlineLevel="0" collapsed="false">
      <c r="A1484" s="0" t="s">
        <v>551</v>
      </c>
      <c r="B1484" s="4" t="s">
        <v>42</v>
      </c>
      <c r="D1484" s="22" t="n">
        <f aca="false">0</f>
        <v>0</v>
      </c>
      <c r="E1484" s="22" t="n">
        <f aca="false">vcap27*vcap_adj</f>
        <v>144</v>
      </c>
      <c r="F1484" s="22" t="n">
        <f aca="false">vcap28*vcap_adj</f>
        <v>360</v>
      </c>
      <c r="G1484" s="22" t="n">
        <f aca="false">vcap29*vcap_adj</f>
        <v>504</v>
      </c>
    </row>
    <row r="1485" customFormat="false" ht="17.15" hidden="false" customHeight="false" outlineLevel="0" collapsed="false">
      <c r="A1485" s="0" t="s">
        <v>552</v>
      </c>
      <c r="B1485" s="0" t="s">
        <v>48</v>
      </c>
      <c r="E1485" s="20" t="n">
        <f aca="false">vut_C</f>
        <v>0.65</v>
      </c>
      <c r="F1485" s="20" t="n">
        <f aca="false">vut_C</f>
        <v>0.65</v>
      </c>
      <c r="G1485" s="20" t="n">
        <f aca="false">vut_C</f>
        <v>0.65</v>
      </c>
    </row>
    <row r="1486" customFormat="false" ht="17.15" hidden="false" customHeight="false" outlineLevel="0" collapsed="false">
      <c r="A1486" s="0" t="s">
        <v>553</v>
      </c>
      <c r="B1486" s="4" t="s">
        <v>42</v>
      </c>
      <c r="D1486" s="22" t="n">
        <f aca="false">0</f>
        <v>0</v>
      </c>
      <c r="E1486" s="22" t="n">
        <f aca="false">E1484*E1485</f>
        <v>93.6</v>
      </c>
      <c r="F1486" s="22" t="n">
        <f aca="false">F1484*F1485</f>
        <v>234</v>
      </c>
      <c r="G1486" s="22" t="n">
        <f aca="false">G1484*G1485</f>
        <v>327.6</v>
      </c>
    </row>
    <row r="1487" customFormat="false" ht="17.15" hidden="false" customHeight="false" outlineLevel="0" collapsed="false">
      <c r="A1487" s="0" t="s">
        <v>554</v>
      </c>
      <c r="B1487" s="0" t="s">
        <v>184</v>
      </c>
      <c r="D1487" s="23" t="n">
        <f aca="false">0</f>
        <v>0</v>
      </c>
      <c r="E1487" s="23" t="n">
        <f aca="false">E1486*vasp*E1481/1000000</f>
        <v>5.39136</v>
      </c>
      <c r="F1487" s="23" t="n">
        <f aca="false">F1486*vasp*F1481/1000000</f>
        <v>13.4784</v>
      </c>
      <c r="G1487" s="23" t="n">
        <f aca="false">G1486*vasp*G1481/1000000</f>
        <v>18.86976</v>
      </c>
    </row>
    <row r="1488" customFormat="false" ht="17.15" hidden="false" customHeight="false" outlineLevel="0" collapsed="false">
      <c r="A1488" s="4" t="s">
        <v>400</v>
      </c>
      <c r="B1488" s="0" t="s">
        <v>184</v>
      </c>
      <c r="C1488" s="23" t="n">
        <f aca="false">a25_rev</f>
        <v>48.591</v>
      </c>
      <c r="D1488" s="23" t="n">
        <f aca="false">D1482+D1487</f>
        <v>58.65206</v>
      </c>
      <c r="E1488" s="23" t="n">
        <f aca="false">E1482+E1487</f>
        <v>58.2167183083675</v>
      </c>
      <c r="F1488" s="23" t="n">
        <f aca="false">F1482+F1487</f>
        <v>59.8986836134779</v>
      </c>
      <c r="G1488" s="23" t="n">
        <f aca="false">G1482+G1487</f>
        <v>66.8206583704629</v>
      </c>
      <c r="H1488" s="29" t="n">
        <f aca="false">G1488*(1+H1491)</f>
        <v>72.4140545845787</v>
      </c>
      <c r="I1488" s="29" t="n">
        <f aca="false">H1488*(1+I1491)</f>
        <v>76.1689980934585</v>
      </c>
      <c r="J1488" s="29" t="n">
        <f aca="false">I1488*(1+J1491)</f>
        <v>77.6923780553276</v>
      </c>
      <c r="K1488" s="8" t="s">
        <v>555</v>
      </c>
    </row>
    <row r="1489" customFormat="false" ht="17.15" hidden="false" customHeight="false" outlineLevel="0" collapsed="false">
      <c r="A1489" s="0" t="s">
        <v>556</v>
      </c>
      <c r="B1489" s="0" t="s">
        <v>48</v>
      </c>
      <c r="D1489" s="20" t="n">
        <f aca="false">D1487/D1488</f>
        <v>0</v>
      </c>
      <c r="E1489" s="20" t="n">
        <f aca="false">E1487/E1488</f>
        <v>0.0926084491991212</v>
      </c>
      <c r="F1489" s="20" t="n">
        <f aca="false">F1487/F1488</f>
        <v>0.225019970171218</v>
      </c>
      <c r="G1489" s="20" t="n">
        <f aca="false">G1487/G1488</f>
        <v>0.28239410475999</v>
      </c>
    </row>
    <row r="1490" customFormat="false" ht="17.15" hidden="false" customHeight="false" outlineLevel="0" collapsed="false">
      <c r="A1490" s="0" t="s">
        <v>557</v>
      </c>
      <c r="B1490" s="0" t="s">
        <v>48</v>
      </c>
      <c r="D1490" s="20" t="n">
        <f aca="false">ai_sh26</f>
        <v>0.1</v>
      </c>
      <c r="E1490" s="20" t="n">
        <f aca="false">ai_sh27_C</f>
        <v>0.15</v>
      </c>
      <c r="F1490" s="20" t="n">
        <f aca="false">ai_sh27_C</f>
        <v>0.15</v>
      </c>
      <c r="G1490" s="20" t="n">
        <f aca="false">ai_sh27_C</f>
        <v>0.15</v>
      </c>
    </row>
    <row r="1491" customFormat="false" ht="15" hidden="false" customHeight="false" outlineLevel="0" collapsed="false">
      <c r="A1491" s="4" t="s">
        <v>558</v>
      </c>
      <c r="B1491" s="0" t="s">
        <v>48</v>
      </c>
      <c r="D1491" s="20" t="n">
        <f aca="false">D1488/C1488-1</f>
        <v>0.207056039184211</v>
      </c>
      <c r="E1491" s="20" t="n">
        <f aca="false">E1488/D1488-1</f>
        <v>-0.0074224450365854</v>
      </c>
      <c r="F1491" s="20" t="n">
        <f aca="false">F1488/E1488-1</f>
        <v>0.028891448264075</v>
      </c>
      <c r="G1491" s="20" t="n">
        <f aca="false">G1488/F1488-1</f>
        <v>0.115561383646625</v>
      </c>
      <c r="H1491" s="27" t="n">
        <f aca="false">$G1491+(fade_gC-$G1491)*1/3</f>
        <v>0.0837075890977501</v>
      </c>
      <c r="I1491" s="27" t="n">
        <f aca="false">$G1491+(fade_gC-$G1491)*2/3</f>
        <v>0.0518537945488751</v>
      </c>
      <c r="J1491" s="27" t="n">
        <f aca="false">$G1491+(fade_gC-$G1491)*3/3</f>
        <v>0.02</v>
      </c>
    </row>
    <row r="1492" customFormat="false" ht="17.15" hidden="false" customHeight="false" outlineLevel="0" collapsed="false">
      <c r="A1492" s="6" t="s">
        <v>559</v>
      </c>
    </row>
    <row r="1493" customFormat="false" ht="15" hidden="false" customHeight="false" outlineLevel="0" collapsed="false">
      <c r="A1493" s="4" t="s">
        <v>560</v>
      </c>
      <c r="B1493" s="0" t="s">
        <v>184</v>
      </c>
      <c r="D1493" s="23" t="n">
        <f aca="false">da_tot26*da_sh</f>
        <v>8.658</v>
      </c>
      <c r="E1493" s="23" t="n">
        <f aca="false">D1493*(1+dag_27+dag_adj)</f>
        <v>8.91774</v>
      </c>
      <c r="F1493" s="23" t="n">
        <f aca="false">E1493*(1+dag_28+dag_adj)</f>
        <v>9.0960948</v>
      </c>
      <c r="G1493" s="23" t="n">
        <f aca="false">F1493*(1+dag_29+dag_adj)</f>
        <v>9.0960948</v>
      </c>
    </row>
    <row r="1494" customFormat="false" ht="17.15" hidden="false" customHeight="false" outlineLevel="0" collapsed="false">
      <c r="A1494" s="4" t="s">
        <v>561</v>
      </c>
      <c r="B1494" s="0" t="s">
        <v>562</v>
      </c>
      <c r="D1494" s="23" t="n">
        <f aca="false">(D1482-a26_gp-D1493)/D1478*1000</f>
        <v>10.7339918911001</v>
      </c>
      <c r="E1494" s="23" t="n">
        <f aca="false">D1494*(1+cc_g_hi)</f>
        <v>11.1633515667441</v>
      </c>
      <c r="F1494" s="23" t="n">
        <f aca="false">E1494*(1+cc_g_hi)</f>
        <v>11.6098856294139</v>
      </c>
      <c r="G1494" s="23" t="n">
        <f aca="false">F1494*(1+cc_g_hi)</f>
        <v>12.0742810545905</v>
      </c>
      <c r="K1494" s="8" t="s">
        <v>563</v>
      </c>
    </row>
    <row r="1495" customFormat="false" ht="17.15" hidden="false" customHeight="false" outlineLevel="0" collapsed="false">
      <c r="A1495" s="4" t="s">
        <v>564</v>
      </c>
      <c r="B1495" s="0" t="s">
        <v>184</v>
      </c>
      <c r="D1495" s="23" t="n">
        <f aca="false">D1494*D1478/1000</f>
        <v>30.9620386</v>
      </c>
      <c r="E1495" s="23" t="n">
        <f aca="false">E1494*E1478/1000</f>
        <v>29.5248322237249</v>
      </c>
      <c r="F1495" s="23" t="n">
        <f aca="false">F1494*F1478/1000</f>
        <v>28.4028885992234</v>
      </c>
      <c r="G1495" s="23" t="n">
        <f aca="false">G1494*G1478/1000</f>
        <v>31.1357070698514</v>
      </c>
    </row>
    <row r="1496" customFormat="false" ht="17.15" hidden="false" customHeight="false" outlineLevel="0" collapsed="false">
      <c r="A1496" s="0" t="s">
        <v>565</v>
      </c>
      <c r="B1496" s="0" t="s">
        <v>48</v>
      </c>
      <c r="E1496" s="20" t="n">
        <f aca="false">vgm27_C</f>
        <v>-0.2</v>
      </c>
      <c r="F1496" s="20" t="n">
        <f aca="false">vgm28_C</f>
        <v>0</v>
      </c>
      <c r="G1496" s="20" t="n">
        <f aca="false">vgm29_C</f>
        <v>0.05</v>
      </c>
    </row>
    <row r="1497" customFormat="false" ht="17.15" hidden="false" customHeight="false" outlineLevel="0" collapsed="false">
      <c r="A1497" s="0" t="s">
        <v>566</v>
      </c>
      <c r="B1497" s="0" t="s">
        <v>184</v>
      </c>
      <c r="D1497" s="23" t="n">
        <f aca="false">0</f>
        <v>0</v>
      </c>
      <c r="E1497" s="23" t="n">
        <f aca="false">E1487*E1496</f>
        <v>-1.078272</v>
      </c>
      <c r="F1497" s="23" t="n">
        <f aca="false">F1487*F1496</f>
        <v>0</v>
      </c>
      <c r="G1497" s="23" t="n">
        <f aca="false">G1487*G1496</f>
        <v>0.943488</v>
      </c>
    </row>
    <row r="1498" customFormat="false" ht="15" hidden="false" customHeight="false" outlineLevel="0" collapsed="false">
      <c r="A1498" s="4" t="s">
        <v>417</v>
      </c>
      <c r="B1498" s="0" t="s">
        <v>184</v>
      </c>
      <c r="C1498" s="23" t="n">
        <f aca="false">a25_gp</f>
        <v>13.654</v>
      </c>
      <c r="D1498" s="23" t="n">
        <f aca="false">D1482-D1493-D1495+D1497</f>
        <v>19.0320214</v>
      </c>
      <c r="E1498" s="23" t="n">
        <f aca="false">E1482-E1493-E1495+E1497</f>
        <v>13.3045140846426</v>
      </c>
      <c r="F1498" s="23" t="n">
        <f aca="false">F1482-F1493-F1495+F1497</f>
        <v>8.92130021425454</v>
      </c>
      <c r="G1498" s="23" t="n">
        <f aca="false">G1482-G1493-G1495+G1497</f>
        <v>8.66258450061151</v>
      </c>
    </row>
    <row r="1499" customFormat="false" ht="15" hidden="false" customHeight="false" outlineLevel="0" collapsed="false">
      <c r="A1499" s="4" t="s">
        <v>420</v>
      </c>
      <c r="B1499" s="0" t="s">
        <v>48</v>
      </c>
      <c r="C1499" s="16" t="n">
        <f aca="false">C1498/C1488</f>
        <v>0.280998538824062</v>
      </c>
      <c r="D1499" s="16" t="n">
        <f aca="false">D1498/D1488</f>
        <v>0.324490246378388</v>
      </c>
      <c r="E1499" s="16" t="n">
        <f aca="false">E1498/E1488</f>
        <v>0.228534250490899</v>
      </c>
      <c r="F1499" s="16" t="n">
        <f aca="false">F1498/F1488</f>
        <v>0.148939837673614</v>
      </c>
      <c r="G1499" s="16" t="n">
        <f aca="false">G1498/G1488</f>
        <v>0.129639316820031</v>
      </c>
    </row>
    <row r="1500" customFormat="false" ht="15" hidden="false" customHeight="false" outlineLevel="0" collapsed="false">
      <c r="A1500" s="4" t="s">
        <v>422</v>
      </c>
      <c r="B1500" s="0" t="s">
        <v>184</v>
      </c>
      <c r="C1500" s="23" t="n">
        <f aca="false">a25_opx</f>
        <v>5.881</v>
      </c>
      <c r="D1500" s="23" t="n">
        <f aca="false">a26_opx</f>
        <v>6.824187</v>
      </c>
      <c r="E1500" s="23" t="n">
        <f aca="false">D1500*(1+MAX(g_opx_min,phi*E1491))</f>
        <v>7.02891261</v>
      </c>
      <c r="F1500" s="23" t="n">
        <f aca="false">E1500*(1+MAX(g_opx_min,phi*F1491))</f>
        <v>7.2397799883</v>
      </c>
      <c r="G1500" s="23" t="n">
        <f aca="false">F1500*(1+MAX(g_opx_min,phi*G1491))</f>
        <v>7.65809948467255</v>
      </c>
    </row>
    <row r="1501" customFormat="false" ht="15" hidden="false" customHeight="false" outlineLevel="0" collapsed="false">
      <c r="A1501" s="4" t="s">
        <v>425</v>
      </c>
      <c r="B1501" s="0" t="s">
        <v>184</v>
      </c>
      <c r="C1501" s="23" t="n">
        <f aca="false">C1498-C1500</f>
        <v>7.773</v>
      </c>
      <c r="D1501" s="23" t="n">
        <f aca="false">D1498-D1500</f>
        <v>12.2078344</v>
      </c>
      <c r="E1501" s="23" t="n">
        <f aca="false">E1498-E1500</f>
        <v>6.27560147464256</v>
      </c>
      <c r="F1501" s="23" t="n">
        <f aca="false">F1498-F1500</f>
        <v>1.68152022595454</v>
      </c>
      <c r="G1501" s="23" t="n">
        <f aca="false">G1498-G1500</f>
        <v>1.00448501593896</v>
      </c>
    </row>
    <row r="1502" customFormat="false" ht="15" hidden="false" customHeight="false" outlineLevel="0" collapsed="false">
      <c r="A1502" s="4" t="s">
        <v>531</v>
      </c>
      <c r="B1502" s="0" t="s">
        <v>48</v>
      </c>
      <c r="C1502" s="16" t="n">
        <f aca="false">C1501/C1488</f>
        <v>0.159967895289251</v>
      </c>
      <c r="D1502" s="16" t="n">
        <f aca="false">D1501/D1488</f>
        <v>0.208139908470393</v>
      </c>
      <c r="E1502" s="16" t="n">
        <f aca="false">E1501/E1488</f>
        <v>0.107797238611105</v>
      </c>
      <c r="F1502" s="16" t="n">
        <f aca="false">F1501/F1488</f>
        <v>0.0280727409103892</v>
      </c>
      <c r="G1502" s="16" t="n">
        <f aca="false">G1501/G1488</f>
        <v>0.0150325519148578</v>
      </c>
    </row>
    <row r="1503" customFormat="false" ht="15" hidden="false" customHeight="false" outlineLevel="0" collapsed="false">
      <c r="A1503" s="4" t="s">
        <v>428</v>
      </c>
      <c r="B1503" s="0" t="s">
        <v>184</v>
      </c>
      <c r="C1503" s="23" t="n">
        <f aca="false">a25_nonop</f>
        <v>1.479</v>
      </c>
      <c r="D1503" s="23" t="n">
        <f aca="false">a26_nonop</f>
        <v>2.10950832169955</v>
      </c>
      <c r="E1503" s="23" t="n">
        <f aca="false">nonop_f</f>
        <v>1.5</v>
      </c>
      <c r="F1503" s="23" t="n">
        <f aca="false">nonop_f</f>
        <v>1.5</v>
      </c>
      <c r="G1503" s="23" t="n">
        <f aca="false">nonop_f</f>
        <v>1.5</v>
      </c>
    </row>
    <row r="1504" customFormat="false" ht="15" hidden="false" customHeight="false" outlineLevel="0" collapsed="false">
      <c r="A1504" s="4" t="s">
        <v>430</v>
      </c>
      <c r="B1504" s="0" t="s">
        <v>184</v>
      </c>
      <c r="C1504" s="23" t="n">
        <f aca="false">C1501+C1503</f>
        <v>9.252</v>
      </c>
      <c r="D1504" s="23" t="n">
        <f aca="false">D1501+D1503</f>
        <v>14.3173427216995</v>
      </c>
      <c r="E1504" s="23" t="n">
        <f aca="false">E1501+E1503</f>
        <v>7.77560147464256</v>
      </c>
      <c r="F1504" s="23" t="n">
        <f aca="false">F1501+F1503</f>
        <v>3.18152022595454</v>
      </c>
      <c r="G1504" s="23" t="n">
        <f aca="false">G1501+G1503</f>
        <v>2.50448501593896</v>
      </c>
    </row>
    <row r="1505" customFormat="false" ht="15" hidden="false" customHeight="false" outlineLevel="0" collapsed="false">
      <c r="A1505" s="4" t="s">
        <v>432</v>
      </c>
      <c r="B1505" s="0" t="s">
        <v>184</v>
      </c>
      <c r="C1505" s="23" t="n">
        <f aca="false">a25_tax</f>
        <v>1.344</v>
      </c>
      <c r="D1505" s="23" t="n">
        <f aca="false">a26_tax</f>
        <v>2.0798215108046</v>
      </c>
      <c r="E1505" s="23" t="n">
        <f aca="false">E1504*tax</f>
        <v>1.16634022119638</v>
      </c>
      <c r="F1505" s="23" t="n">
        <f aca="false">F1504*tax</f>
        <v>0.477228033893181</v>
      </c>
      <c r="G1505" s="23" t="n">
        <f aca="false">G1504*tax</f>
        <v>0.375672752390844</v>
      </c>
    </row>
    <row r="1506" customFormat="false" ht="17.15" hidden="false" customHeight="false" outlineLevel="0" collapsed="false">
      <c r="A1506" s="4" t="s">
        <v>567</v>
      </c>
      <c r="B1506" s="0" t="s">
        <v>184</v>
      </c>
      <c r="C1506" s="23" t="n">
        <f aca="false">a25_mi</f>
        <v>0</v>
      </c>
      <c r="D1506" s="23" t="n">
        <f aca="false">a26_mi</f>
        <v>0</v>
      </c>
      <c r="E1506" s="23" t="n">
        <f aca="false">vmi*E1497*(1-tax)</f>
        <v>-0.36661248</v>
      </c>
      <c r="F1506" s="23" t="n">
        <f aca="false">vmi*F1497*(1-tax)</f>
        <v>0</v>
      </c>
      <c r="G1506" s="23" t="n">
        <f aca="false">vmi*G1497*(1-tax)</f>
        <v>0.32078592</v>
      </c>
      <c r="K1506" s="8" t="s">
        <v>568</v>
      </c>
    </row>
    <row r="1507" customFormat="false" ht="15" hidden="false" customHeight="false" outlineLevel="0" collapsed="false">
      <c r="A1507" s="4" t="s">
        <v>435</v>
      </c>
      <c r="B1507" s="0" t="s">
        <v>184</v>
      </c>
      <c r="C1507" s="23" t="n">
        <f aca="false">C1504-C1505-C1506</f>
        <v>7.908</v>
      </c>
      <c r="D1507" s="23" t="n">
        <f aca="false">D1504-D1505-D1506</f>
        <v>12.2375212108949</v>
      </c>
      <c r="E1507" s="23" t="n">
        <f aca="false">E1504-E1505-E1506</f>
        <v>6.97587373344618</v>
      </c>
      <c r="F1507" s="23" t="n">
        <f aca="false">F1504-F1505-F1506</f>
        <v>2.70429219206136</v>
      </c>
      <c r="G1507" s="23" t="n">
        <f aca="false">G1504-G1505-G1506</f>
        <v>1.80802634354812</v>
      </c>
      <c r="H1507" s="29" t="n">
        <f aca="false">H1488*H1511</f>
        <v>1.8287470784723</v>
      </c>
      <c r="I1507" s="29" t="n">
        <f aca="false">I1488*I1511</f>
        <v>1.78617637134974</v>
      </c>
      <c r="J1507" s="29" t="n">
        <f aca="false">J1488*J1511</f>
        <v>1.68175375271699</v>
      </c>
    </row>
    <row r="1508" customFormat="false" ht="15" hidden="false" customHeight="false" outlineLevel="0" collapsed="false">
      <c r="A1508" s="4" t="s">
        <v>569</v>
      </c>
      <c r="B1508" s="4" t="s">
        <v>265</v>
      </c>
      <c r="C1508" s="10" t="n">
        <f aca="false">a25_sh</f>
        <v>1.8739336492891</v>
      </c>
      <c r="D1508" s="10" t="n">
        <f aca="false">a26_sh</f>
        <v>1.90613591916558</v>
      </c>
      <c r="E1508" s="10" t="n">
        <f aca="false">q_sh*(1+sh_g)</f>
        <v>1.90705128205128</v>
      </c>
      <c r="F1508" s="10" t="n">
        <f aca="false">E1508*(1+sh_g)</f>
        <v>1.90705128205128</v>
      </c>
      <c r="G1508" s="10" t="n">
        <f aca="false">F1508*(1+sh_g)</f>
        <v>1.90705128205128</v>
      </c>
      <c r="H1508" s="31" t="n">
        <f aca="false">G1508*(1+sh_g)</f>
        <v>1.90705128205128</v>
      </c>
      <c r="I1508" s="31" t="n">
        <f aca="false">H1508*(1+sh_g)</f>
        <v>1.90705128205128</v>
      </c>
      <c r="J1508" s="31" t="n">
        <f aca="false">I1508*(1+sh_g)</f>
        <v>1.90705128205128</v>
      </c>
    </row>
    <row r="1509" customFormat="false" ht="17.15" hidden="false" customHeight="false" outlineLevel="0" collapsed="false">
      <c r="A1509" s="0" t="s">
        <v>442</v>
      </c>
      <c r="B1509" s="0" t="s">
        <v>274</v>
      </c>
      <c r="C1509" s="23" t="n">
        <f aca="false">C1507/C1508</f>
        <v>4.22</v>
      </c>
      <c r="D1509" s="23" t="n">
        <f aca="false">D1507/D1508</f>
        <v>6.42006747150118</v>
      </c>
      <c r="E1509" s="23" t="n">
        <f aca="false">E1507/E1508</f>
        <v>3.65793715098354</v>
      </c>
      <c r="F1509" s="23" t="n">
        <f aca="false">F1507/F1508</f>
        <v>1.41804901499688</v>
      </c>
      <c r="G1509" s="23" t="n">
        <f aca="false">G1507/G1508</f>
        <v>0.948074317961366</v>
      </c>
      <c r="H1509" s="29" t="n">
        <f aca="false">H1507/H1508</f>
        <v>0.958939644509845</v>
      </c>
      <c r="I1509" s="29" t="n">
        <f aca="false">I1507/I1508</f>
        <v>0.936616853548099</v>
      </c>
      <c r="J1509" s="29" t="n">
        <f aca="false">J1507/J1508</f>
        <v>0.881860791340672</v>
      </c>
    </row>
    <row r="1510" customFormat="false" ht="17.15" hidden="false" customHeight="false" outlineLevel="0" collapsed="false">
      <c r="A1510" s="0" t="s">
        <v>570</v>
      </c>
      <c r="B1510" s="0" t="s">
        <v>48</v>
      </c>
      <c r="D1510" s="20" t="n">
        <f aca="false">D1509/C1509-1</f>
        <v>0.521343002725398</v>
      </c>
      <c r="E1510" s="20" t="n">
        <f aca="false">E1509/D1509-1</f>
        <v>-0.430233846105013</v>
      </c>
      <c r="F1510" s="20" t="n">
        <f aca="false">F1509/E1509-1</f>
        <v>-0.6123364190072</v>
      </c>
      <c r="G1510" s="20" t="n">
        <f aca="false">G1509/F1509-1</f>
        <v>-0.331423450152425</v>
      </c>
      <c r="H1510" s="27" t="n">
        <f aca="false">H1509/G1509-1</f>
        <v>0.0114604164912335</v>
      </c>
      <c r="I1510" s="27" t="n">
        <f aca="false">I1509/H1509-1</f>
        <v>-0.0232786193474733</v>
      </c>
      <c r="J1510" s="27" t="n">
        <f aca="false">J1509/I1509-1</f>
        <v>-0.0584615384615383</v>
      </c>
    </row>
    <row r="1511" customFormat="false" ht="17.15" hidden="false" customHeight="false" outlineLevel="0" collapsed="false">
      <c r="A1511" s="4" t="s">
        <v>571</v>
      </c>
      <c r="B1511" s="0" t="s">
        <v>48</v>
      </c>
      <c r="C1511" s="16" t="n">
        <f aca="false">C1507/C1488</f>
        <v>0.162746187565599</v>
      </c>
      <c r="D1511" s="16" t="n">
        <f aca="false">D1507/D1488</f>
        <v>0.208646059676249</v>
      </c>
      <c r="E1511" s="16" t="n">
        <f aca="false">E1507/E1488</f>
        <v>0.119825952684171</v>
      </c>
      <c r="F1511" s="16" t="n">
        <f aca="false">F1507/F1488</f>
        <v>0.0451477733552872</v>
      </c>
      <c r="G1511" s="16" t="n">
        <f aca="false">G1507/G1488</f>
        <v>0.0270578947834392</v>
      </c>
      <c r="H1511" s="28" t="n">
        <f aca="false">$G1511+($G$1511*0.8-$G1511)*1/3</f>
        <v>0.0252540351312099</v>
      </c>
      <c r="I1511" s="28" t="n">
        <f aca="false">$G1511+($G$1511*0.8-$G1511)*2/3</f>
        <v>0.0234501754789806</v>
      </c>
      <c r="J1511" s="28" t="n">
        <f aca="false">$G1511+($G$1511*0.8-$G1511)*3/3</f>
        <v>0.0216463158267513</v>
      </c>
    </row>
    <row r="1514" customFormat="false" ht="17.15" hidden="false" customHeight="false" outlineLevel="0" collapsed="false">
      <c r="A1514" s="1" t="s">
        <v>881</v>
      </c>
    </row>
    <row r="1515" customFormat="false" ht="17.15" hidden="false" customHeight="false" outlineLevel="0" collapsed="false">
      <c r="A1515" s="5" t="s">
        <v>24</v>
      </c>
      <c r="B1515" s="5" t="s">
        <v>25</v>
      </c>
      <c r="C1515" s="17" t="s">
        <v>394</v>
      </c>
      <c r="D1515" s="17" t="s">
        <v>521</v>
      </c>
      <c r="E1515" s="17" t="s">
        <v>480</v>
      </c>
      <c r="F1515" s="17" t="s">
        <v>481</v>
      </c>
      <c r="G1515" s="17" t="s">
        <v>482</v>
      </c>
      <c r="H1515" s="17" t="s">
        <v>522</v>
      </c>
      <c r="I1515" s="17" t="s">
        <v>523</v>
      </c>
      <c r="J1515" s="17" t="s">
        <v>524</v>
      </c>
      <c r="K1515" s="5" t="s">
        <v>357</v>
      </c>
    </row>
    <row r="1516" customFormat="false" ht="17.15" hidden="false" customHeight="false" outlineLevel="0" collapsed="false">
      <c r="A1516" s="6" t="s">
        <v>542</v>
      </c>
    </row>
    <row r="1517" customFormat="false" ht="17.15" hidden="false" customHeight="false" outlineLevel="0" collapsed="false">
      <c r="A1517" s="4" t="s">
        <v>543</v>
      </c>
      <c r="B1517" s="4" t="s">
        <v>42</v>
      </c>
      <c r="D1517" s="22" t="n">
        <f aca="false">cap_26</f>
        <v>3306</v>
      </c>
      <c r="E1517" s="22" t="n">
        <f aca="false">D1517*(1+capg27)*cap_adj</f>
        <v>3306</v>
      </c>
      <c r="F1517" s="22" t="n">
        <f aca="false">E1517*(1+capg28)</f>
        <v>3306</v>
      </c>
      <c r="G1517" s="22" t="n">
        <f aca="false">F1517*(1+capg29)</f>
        <v>3306</v>
      </c>
    </row>
    <row r="1518" customFormat="false" ht="15" hidden="false" customHeight="false" outlineLevel="0" collapsed="false">
      <c r="A1518" s="4" t="s">
        <v>544</v>
      </c>
      <c r="B1518" s="0" t="s">
        <v>48</v>
      </c>
      <c r="D1518" s="20" t="n">
        <f aca="false">a26_ship/cap_26</f>
        <v>0.8725</v>
      </c>
      <c r="E1518" s="20" t="n">
        <f aca="false">MIN(0.98,ut27_A+ut_adj)</f>
        <v>0.95</v>
      </c>
      <c r="F1518" s="20" t="n">
        <f aca="false">MIN(0.98,ut28_A+ut_adj)</f>
        <v>0.94</v>
      </c>
      <c r="G1518" s="20" t="n">
        <f aca="false">MIN(0.98,ut29_A+ut_adj)</f>
        <v>0.93</v>
      </c>
    </row>
    <row r="1519" customFormat="false" ht="17.15" hidden="false" customHeight="false" outlineLevel="0" collapsed="false">
      <c r="A1519" s="4" t="s">
        <v>545</v>
      </c>
      <c r="B1519" s="4" t="s">
        <v>42</v>
      </c>
      <c r="D1519" s="22" t="n">
        <f aca="false">D1517*D1518</f>
        <v>2884.485</v>
      </c>
      <c r="E1519" s="22" t="n">
        <f aca="false">E1517*E1518</f>
        <v>3140.7</v>
      </c>
      <c r="F1519" s="22" t="n">
        <f aca="false">F1517*F1518</f>
        <v>3107.64</v>
      </c>
      <c r="G1519" s="22" t="n">
        <f aca="false">G1517*G1518</f>
        <v>3074.58</v>
      </c>
    </row>
    <row r="1520" customFormat="false" ht="17.15" hidden="false" customHeight="false" outlineLevel="0" collapsed="false">
      <c r="A1520" s="4" t="s">
        <v>546</v>
      </c>
      <c r="B1520" s="0" t="s">
        <v>89</v>
      </c>
      <c r="D1520" s="22" t="n">
        <f aca="false">asp_26</f>
        <v>643.469405492234</v>
      </c>
      <c r="E1520" s="22" t="n">
        <f aca="false">D1520*(1+asp27_A)*(1+asp_adj)</f>
        <v>682.077569821768</v>
      </c>
      <c r="F1520" s="22" t="n">
        <f aca="false">E1520*(1+asp28_A)</f>
        <v>695.719121218203</v>
      </c>
      <c r="G1520" s="22" t="n">
        <f aca="false">F1520*(1+asp29_A)</f>
        <v>702.676312430385</v>
      </c>
    </row>
    <row r="1521" customFormat="false" ht="15" hidden="false" customHeight="false" outlineLevel="0" collapsed="false">
      <c r="A1521" s="4" t="s">
        <v>547</v>
      </c>
      <c r="B1521" s="0" t="s">
        <v>48</v>
      </c>
      <c r="E1521" s="20" t="n">
        <f aca="false">E1520/D1520-1</f>
        <v>0.0600000000000001</v>
      </c>
      <c r="F1521" s="20" t="n">
        <f aca="false">F1520/E1520-1</f>
        <v>0.02</v>
      </c>
      <c r="G1521" s="20" t="n">
        <f aca="false">G1520/F1520-1</f>
        <v>0.01</v>
      </c>
    </row>
    <row r="1522" customFormat="false" ht="15" hidden="false" customHeight="false" outlineLevel="0" collapsed="false">
      <c r="A1522" s="4" t="s">
        <v>548</v>
      </c>
      <c r="B1522" s="0" t="s">
        <v>35</v>
      </c>
      <c r="D1522" s="23" t="n">
        <f aca="false">fx_26</f>
        <v>31.6</v>
      </c>
      <c r="E1522" s="23" t="n">
        <f aca="false">fx</f>
        <v>32</v>
      </c>
      <c r="F1522" s="23" t="n">
        <f aca="false">fx</f>
        <v>32</v>
      </c>
      <c r="G1522" s="23" t="n">
        <f aca="false">fx</f>
        <v>32</v>
      </c>
    </row>
    <row r="1523" customFormat="false" ht="17.15" hidden="false" customHeight="false" outlineLevel="0" collapsed="false">
      <c r="A1523" s="0" t="s">
        <v>549</v>
      </c>
      <c r="B1523" s="0" t="s">
        <v>184</v>
      </c>
      <c r="D1523" s="23" t="n">
        <f aca="false">D1519*D1520*D1522/1000000</f>
        <v>58.65206</v>
      </c>
      <c r="E1523" s="23" t="n">
        <f aca="false">E1519*E1520*E1522/1000000</f>
        <v>68.5504327532552</v>
      </c>
      <c r="F1523" s="23" t="n">
        <f aca="false">F1519*F1520*F1522/1000000</f>
        <v>69.1854262356012</v>
      </c>
      <c r="G1523" s="23" t="n">
        <f aca="false">G1519*G1520*G1522/1000000</f>
        <v>69.1339051735108</v>
      </c>
    </row>
    <row r="1524" customFormat="false" ht="17.15" hidden="false" customHeight="false" outlineLevel="0" collapsed="false">
      <c r="A1524" s="6" t="s">
        <v>550</v>
      </c>
    </row>
    <row r="1525" customFormat="false" ht="17.15" hidden="false" customHeight="false" outlineLevel="0" collapsed="false">
      <c r="A1525" s="0" t="s">
        <v>551</v>
      </c>
      <c r="B1525" s="4" t="s">
        <v>42</v>
      </c>
      <c r="D1525" s="22" t="n">
        <f aca="false">0</f>
        <v>0</v>
      </c>
      <c r="E1525" s="22" t="n">
        <f aca="false">vcap27*vcap_adj</f>
        <v>144</v>
      </c>
      <c r="F1525" s="22" t="n">
        <f aca="false">vcap28*vcap_adj</f>
        <v>360</v>
      </c>
      <c r="G1525" s="22" t="n">
        <f aca="false">vcap29*vcap_adj</f>
        <v>504</v>
      </c>
    </row>
    <row r="1526" customFormat="false" ht="17.15" hidden="false" customHeight="false" outlineLevel="0" collapsed="false">
      <c r="A1526" s="0" t="s">
        <v>552</v>
      </c>
      <c r="B1526" s="0" t="s">
        <v>48</v>
      </c>
      <c r="E1526" s="20" t="n">
        <f aca="false">vut_A</f>
        <v>0.9</v>
      </c>
      <c r="F1526" s="20" t="n">
        <f aca="false">vut_A</f>
        <v>0.9</v>
      </c>
      <c r="G1526" s="20" t="n">
        <f aca="false">vut_A</f>
        <v>0.9</v>
      </c>
    </row>
    <row r="1527" customFormat="false" ht="17.15" hidden="false" customHeight="false" outlineLevel="0" collapsed="false">
      <c r="A1527" s="0" t="s">
        <v>553</v>
      </c>
      <c r="B1527" s="4" t="s">
        <v>42</v>
      </c>
      <c r="D1527" s="22" t="n">
        <f aca="false">0</f>
        <v>0</v>
      </c>
      <c r="E1527" s="22" t="n">
        <f aca="false">E1525*E1526</f>
        <v>129.6</v>
      </c>
      <c r="F1527" s="22" t="n">
        <f aca="false">F1525*F1526</f>
        <v>324</v>
      </c>
      <c r="G1527" s="22" t="n">
        <f aca="false">G1525*G1526</f>
        <v>453.6</v>
      </c>
    </row>
    <row r="1528" customFormat="false" ht="17.15" hidden="false" customHeight="false" outlineLevel="0" collapsed="false">
      <c r="A1528" s="0" t="s">
        <v>554</v>
      </c>
      <c r="B1528" s="0" t="s">
        <v>184</v>
      </c>
      <c r="D1528" s="23" t="n">
        <f aca="false">0</f>
        <v>0</v>
      </c>
      <c r="E1528" s="23" t="n">
        <f aca="false">E1527*vasp*E1522/1000000</f>
        <v>7.46496</v>
      </c>
      <c r="F1528" s="23" t="n">
        <f aca="false">F1527*vasp*F1522/1000000</f>
        <v>18.6624</v>
      </c>
      <c r="G1528" s="23" t="n">
        <f aca="false">G1527*vasp*G1522/1000000</f>
        <v>26.12736</v>
      </c>
    </row>
    <row r="1529" customFormat="false" ht="17.15" hidden="false" customHeight="false" outlineLevel="0" collapsed="false">
      <c r="A1529" s="4" t="s">
        <v>400</v>
      </c>
      <c r="B1529" s="0" t="s">
        <v>184</v>
      </c>
      <c r="C1529" s="23" t="n">
        <f aca="false">a25_rev</f>
        <v>48.591</v>
      </c>
      <c r="D1529" s="23" t="n">
        <f aca="false">D1523+D1528</f>
        <v>58.65206</v>
      </c>
      <c r="E1529" s="23" t="n">
        <f aca="false">E1523+E1528</f>
        <v>76.0153927532552</v>
      </c>
      <c r="F1529" s="23" t="n">
        <f aca="false">F1523+F1528</f>
        <v>87.8478262356012</v>
      </c>
      <c r="G1529" s="23" t="n">
        <f aca="false">G1523+G1528</f>
        <v>95.2612651735108</v>
      </c>
      <c r="H1529" s="29" t="n">
        <f aca="false">G1529*(1+H1532)</f>
        <v>102.525860976128</v>
      </c>
      <c r="I1529" s="29" t="n">
        <f aca="false">H1529*(1+I1532)</f>
        <v>109.51093266638</v>
      </c>
      <c r="J1529" s="29" t="n">
        <f aca="false">I1529*(1+J1532)</f>
        <v>116.081588626363</v>
      </c>
      <c r="K1529" s="8" t="s">
        <v>555</v>
      </c>
    </row>
    <row r="1530" customFormat="false" ht="17.15" hidden="false" customHeight="false" outlineLevel="0" collapsed="false">
      <c r="A1530" s="0" t="s">
        <v>556</v>
      </c>
      <c r="B1530" s="0" t="s">
        <v>48</v>
      </c>
      <c r="D1530" s="20" t="n">
        <f aca="false">D1528/D1529</f>
        <v>0</v>
      </c>
      <c r="E1530" s="20" t="n">
        <f aca="false">E1528/E1529</f>
        <v>0.0982032681753174</v>
      </c>
      <c r="F1530" s="20" t="n">
        <f aca="false">F1528/F1529</f>
        <v>0.212440088727396</v>
      </c>
      <c r="G1530" s="20" t="n">
        <f aca="false">G1528/G1529</f>
        <v>0.274270554274196</v>
      </c>
    </row>
    <row r="1531" customFormat="false" ht="17.15" hidden="false" customHeight="false" outlineLevel="0" collapsed="false">
      <c r="A1531" s="0" t="s">
        <v>557</v>
      </c>
      <c r="B1531" s="0" t="s">
        <v>48</v>
      </c>
      <c r="D1531" s="20" t="n">
        <f aca="false">ai_sh26</f>
        <v>0.1</v>
      </c>
      <c r="E1531" s="20" t="n">
        <f aca="false">ai_sh27_A</f>
        <v>0.25</v>
      </c>
      <c r="F1531" s="20" t="n">
        <f aca="false">ai_sh27_A</f>
        <v>0.25</v>
      </c>
      <c r="G1531" s="20" t="n">
        <f aca="false">ai_sh27_A</f>
        <v>0.25</v>
      </c>
    </row>
    <row r="1532" customFormat="false" ht="15" hidden="false" customHeight="false" outlineLevel="0" collapsed="false">
      <c r="A1532" s="4" t="s">
        <v>558</v>
      </c>
      <c r="B1532" s="0" t="s">
        <v>48</v>
      </c>
      <c r="D1532" s="20" t="n">
        <f aca="false">D1529/C1529-1</f>
        <v>0.207056039184211</v>
      </c>
      <c r="E1532" s="20" t="n">
        <f aca="false">E1529/D1529-1</f>
        <v>0.296039606337019</v>
      </c>
      <c r="F1532" s="20" t="n">
        <f aca="false">F1529/E1529-1</f>
        <v>0.155658387778826</v>
      </c>
      <c r="G1532" s="20" t="n">
        <f aca="false">G1529/F1529-1</f>
        <v>0.0843895547059683</v>
      </c>
      <c r="H1532" s="27" t="n">
        <f aca="false">$G1532+(fade_gA-$G1532)*1/3</f>
        <v>0.0762597031373122</v>
      </c>
      <c r="I1532" s="27" t="n">
        <f aca="false">$G1532+(fade_gA-$G1532)*2/3</f>
        <v>0.0681298515686561</v>
      </c>
      <c r="J1532" s="27" t="n">
        <f aca="false">$G1532+(fade_gA-$G1532)*3/3</f>
        <v>0.06</v>
      </c>
    </row>
    <row r="1533" customFormat="false" ht="17.15" hidden="false" customHeight="false" outlineLevel="0" collapsed="false">
      <c r="A1533" s="6" t="s">
        <v>559</v>
      </c>
    </row>
    <row r="1534" customFormat="false" ht="15" hidden="false" customHeight="false" outlineLevel="0" collapsed="false">
      <c r="A1534" s="4" t="s">
        <v>560</v>
      </c>
      <c r="B1534" s="0" t="s">
        <v>184</v>
      </c>
      <c r="D1534" s="23" t="n">
        <f aca="false">da_tot26*da_sh</f>
        <v>8.658</v>
      </c>
      <c r="E1534" s="23" t="n">
        <f aca="false">D1534*(1+dag_27+dag_adj)</f>
        <v>8.91774</v>
      </c>
      <c r="F1534" s="23" t="n">
        <f aca="false">E1534*(1+dag_28+dag_adj)</f>
        <v>9.0960948</v>
      </c>
      <c r="G1534" s="23" t="n">
        <f aca="false">F1534*(1+dag_29+dag_adj)</f>
        <v>9.0960948</v>
      </c>
    </row>
    <row r="1535" customFormat="false" ht="17.15" hidden="false" customHeight="false" outlineLevel="0" collapsed="false">
      <c r="A1535" s="4" t="s">
        <v>561</v>
      </c>
      <c r="B1535" s="0" t="s">
        <v>562</v>
      </c>
      <c r="D1535" s="23" t="n">
        <f aca="false">(D1523-a26_gp-D1534)/D1519*1000</f>
        <v>10.7339918911001</v>
      </c>
      <c r="E1535" s="23" t="n">
        <f aca="false">D1535*(1+cc_g)</f>
        <v>10.9486717289221</v>
      </c>
      <c r="F1535" s="23" t="n">
        <f aca="false">E1535*(1+cc_g)</f>
        <v>11.1676451635006</v>
      </c>
      <c r="G1535" s="23" t="n">
        <f aca="false">F1535*(1+cc_g)</f>
        <v>11.3909980667706</v>
      </c>
      <c r="K1535" s="8" t="s">
        <v>563</v>
      </c>
    </row>
    <row r="1536" customFormat="false" ht="17.15" hidden="false" customHeight="false" outlineLevel="0" collapsed="false">
      <c r="A1536" s="4" t="s">
        <v>564</v>
      </c>
      <c r="B1536" s="0" t="s">
        <v>184</v>
      </c>
      <c r="D1536" s="23" t="n">
        <f aca="false">D1535*D1519/1000</f>
        <v>30.9620386</v>
      </c>
      <c r="E1536" s="23" t="n">
        <f aca="false">E1535*E1519/1000</f>
        <v>34.3864932990258</v>
      </c>
      <c r="F1536" s="23" t="n">
        <f aca="false">F1535*F1519/1000</f>
        <v>34.705020815901</v>
      </c>
      <c r="G1536" s="23" t="n">
        <f aca="false">G1535*G1519/1000</f>
        <v>35.0225348361316</v>
      </c>
    </row>
    <row r="1537" customFormat="false" ht="17.15" hidden="false" customHeight="false" outlineLevel="0" collapsed="false">
      <c r="A1537" s="0" t="s">
        <v>565</v>
      </c>
      <c r="B1537" s="0" t="s">
        <v>48</v>
      </c>
      <c r="E1537" s="20" t="n">
        <f aca="false">vgm27_A</f>
        <v>0.05</v>
      </c>
      <c r="F1537" s="20" t="n">
        <f aca="false">vgm28_A</f>
        <v>0.2</v>
      </c>
      <c r="G1537" s="20" t="n">
        <f aca="false">vgm29_A</f>
        <v>0.25</v>
      </c>
    </row>
    <row r="1538" customFormat="false" ht="17.15" hidden="false" customHeight="false" outlineLevel="0" collapsed="false">
      <c r="A1538" s="0" t="s">
        <v>566</v>
      </c>
      <c r="B1538" s="0" t="s">
        <v>184</v>
      </c>
      <c r="D1538" s="23" t="n">
        <f aca="false">0</f>
        <v>0</v>
      </c>
      <c r="E1538" s="23" t="n">
        <f aca="false">E1528*E1537</f>
        <v>0.373248</v>
      </c>
      <c r="F1538" s="23" t="n">
        <f aca="false">F1528*F1537</f>
        <v>3.73248</v>
      </c>
      <c r="G1538" s="23" t="n">
        <f aca="false">G1528*G1537</f>
        <v>6.53184</v>
      </c>
    </row>
    <row r="1539" customFormat="false" ht="15" hidden="false" customHeight="false" outlineLevel="0" collapsed="false">
      <c r="A1539" s="4" t="s">
        <v>417</v>
      </c>
      <c r="B1539" s="0" t="s">
        <v>184</v>
      </c>
      <c r="C1539" s="23" t="n">
        <f aca="false">a25_gp</f>
        <v>13.654</v>
      </c>
      <c r="D1539" s="23" t="n">
        <f aca="false">D1523-D1534-D1536+D1538</f>
        <v>19.0320214</v>
      </c>
      <c r="E1539" s="23" t="n">
        <f aca="false">E1523-E1534-E1536+E1538</f>
        <v>25.6194474542294</v>
      </c>
      <c r="F1539" s="23" t="n">
        <f aca="false">F1523-F1534-F1536+F1538</f>
        <v>29.1167906197002</v>
      </c>
      <c r="G1539" s="23" t="n">
        <f aca="false">G1523-G1534-G1536+G1538</f>
        <v>31.5471155373793</v>
      </c>
    </row>
    <row r="1540" customFormat="false" ht="15" hidden="false" customHeight="false" outlineLevel="0" collapsed="false">
      <c r="A1540" s="4" t="s">
        <v>420</v>
      </c>
      <c r="B1540" s="0" t="s">
        <v>48</v>
      </c>
      <c r="C1540" s="16" t="n">
        <f aca="false">C1539/C1529</f>
        <v>0.280998538824062</v>
      </c>
      <c r="D1540" s="16" t="n">
        <f aca="false">D1539/D1529</f>
        <v>0.324490246378388</v>
      </c>
      <c r="E1540" s="16" t="n">
        <f aca="false">E1539/E1529</f>
        <v>0.33702973208847</v>
      </c>
      <c r="F1540" s="16" t="n">
        <f aca="false">F1539/F1529</f>
        <v>0.331445772392947</v>
      </c>
      <c r="G1540" s="16" t="n">
        <f aca="false">G1539/G1529</f>
        <v>0.331164146097773</v>
      </c>
    </row>
    <row r="1541" customFormat="false" ht="15" hidden="false" customHeight="false" outlineLevel="0" collapsed="false">
      <c r="A1541" s="4" t="s">
        <v>422</v>
      </c>
      <c r="B1541" s="0" t="s">
        <v>184</v>
      </c>
      <c r="C1541" s="23" t="n">
        <f aca="false">a25_opx</f>
        <v>5.881</v>
      </c>
      <c r="D1541" s="23" t="n">
        <f aca="false">a26_opx</f>
        <v>6.824187</v>
      </c>
      <c r="E1541" s="23" t="n">
        <f aca="false">D1541*(1+MAX(g_opx_min,phi_lo*E1532))</f>
        <v>7.43025588991506</v>
      </c>
      <c r="F1541" s="23" t="n">
        <f aca="false">E1541*(1+MAX(g_opx_min,phi_lo*F1532))</f>
        <v>7.77723038569755</v>
      </c>
      <c r="G1541" s="23" t="n">
        <f aca="false">F1541*(1+MAX(g_opx_min,phi_lo*G1532))</f>
        <v>8.01054729726848</v>
      </c>
    </row>
    <row r="1542" customFormat="false" ht="15" hidden="false" customHeight="false" outlineLevel="0" collapsed="false">
      <c r="A1542" s="4" t="s">
        <v>425</v>
      </c>
      <c r="B1542" s="0" t="s">
        <v>184</v>
      </c>
      <c r="C1542" s="23" t="n">
        <f aca="false">C1539-C1541</f>
        <v>7.773</v>
      </c>
      <c r="D1542" s="23" t="n">
        <f aca="false">D1539-D1541</f>
        <v>12.2078344</v>
      </c>
      <c r="E1542" s="23" t="n">
        <f aca="false">E1539-E1541</f>
        <v>18.1891915643144</v>
      </c>
      <c r="F1542" s="23" t="n">
        <f aca="false">F1539-F1541</f>
        <v>21.3395602340027</v>
      </c>
      <c r="G1542" s="23" t="n">
        <f aca="false">G1539-G1541</f>
        <v>23.5365682401108</v>
      </c>
    </row>
    <row r="1543" customFormat="false" ht="15" hidden="false" customHeight="false" outlineLevel="0" collapsed="false">
      <c r="A1543" s="4" t="s">
        <v>531</v>
      </c>
      <c r="B1543" s="0" t="s">
        <v>48</v>
      </c>
      <c r="C1543" s="16" t="n">
        <f aca="false">C1542/C1529</f>
        <v>0.159967895289251</v>
      </c>
      <c r="D1543" s="16" t="n">
        <f aca="false">D1542/D1529</f>
        <v>0.208139908470393</v>
      </c>
      <c r="E1543" s="16" t="n">
        <f aca="false">E1542/E1529</f>
        <v>0.239283004474583</v>
      </c>
      <c r="F1543" s="16" t="n">
        <f aca="false">F1542/F1529</f>
        <v>0.242915062881255</v>
      </c>
      <c r="G1543" s="16" t="n">
        <f aca="false">G1542/G1529</f>
        <v>0.247073857325334</v>
      </c>
    </row>
    <row r="1544" customFormat="false" ht="15" hidden="false" customHeight="false" outlineLevel="0" collapsed="false">
      <c r="A1544" s="4" t="s">
        <v>428</v>
      </c>
      <c r="B1544" s="0" t="s">
        <v>184</v>
      </c>
      <c r="C1544" s="23" t="n">
        <f aca="false">a25_nonop</f>
        <v>1.479</v>
      </c>
      <c r="D1544" s="23" t="n">
        <f aca="false">a26_nonop</f>
        <v>2.10950832169955</v>
      </c>
      <c r="E1544" s="23" t="n">
        <f aca="false">nonop_f</f>
        <v>1.5</v>
      </c>
      <c r="F1544" s="23" t="n">
        <f aca="false">nonop_f</f>
        <v>1.5</v>
      </c>
      <c r="G1544" s="23" t="n">
        <f aca="false">nonop_f</f>
        <v>1.5</v>
      </c>
    </row>
    <row r="1545" customFormat="false" ht="15" hidden="false" customHeight="false" outlineLevel="0" collapsed="false">
      <c r="A1545" s="4" t="s">
        <v>430</v>
      </c>
      <c r="B1545" s="0" t="s">
        <v>184</v>
      </c>
      <c r="C1545" s="23" t="n">
        <f aca="false">C1542+C1544</f>
        <v>9.252</v>
      </c>
      <c r="D1545" s="23" t="n">
        <f aca="false">D1542+D1544</f>
        <v>14.3173427216995</v>
      </c>
      <c r="E1545" s="23" t="n">
        <f aca="false">E1542+E1544</f>
        <v>19.6891915643144</v>
      </c>
      <c r="F1545" s="23" t="n">
        <f aca="false">F1542+F1544</f>
        <v>22.8395602340027</v>
      </c>
      <c r="G1545" s="23" t="n">
        <f aca="false">G1542+G1544</f>
        <v>25.0365682401108</v>
      </c>
    </row>
    <row r="1546" customFormat="false" ht="15" hidden="false" customHeight="false" outlineLevel="0" collapsed="false">
      <c r="A1546" s="4" t="s">
        <v>432</v>
      </c>
      <c r="B1546" s="0" t="s">
        <v>184</v>
      </c>
      <c r="C1546" s="23" t="n">
        <f aca="false">a25_tax</f>
        <v>1.344</v>
      </c>
      <c r="D1546" s="23" t="n">
        <f aca="false">a26_tax</f>
        <v>2.0798215108046</v>
      </c>
      <c r="E1546" s="23" t="n">
        <f aca="false">E1545*tax</f>
        <v>2.95337873464716</v>
      </c>
      <c r="F1546" s="23" t="n">
        <f aca="false">F1545*tax</f>
        <v>3.4259340351004</v>
      </c>
      <c r="G1546" s="23" t="n">
        <f aca="false">G1545*tax</f>
        <v>3.75548523601662</v>
      </c>
    </row>
    <row r="1547" customFormat="false" ht="17.15" hidden="false" customHeight="false" outlineLevel="0" collapsed="false">
      <c r="A1547" s="4" t="s">
        <v>567</v>
      </c>
      <c r="B1547" s="0" t="s">
        <v>184</v>
      </c>
      <c r="C1547" s="23" t="n">
        <f aca="false">a25_mi</f>
        <v>0</v>
      </c>
      <c r="D1547" s="23" t="n">
        <f aca="false">a26_mi</f>
        <v>0</v>
      </c>
      <c r="E1547" s="23" t="n">
        <f aca="false">vmi*E1538*(1-tax)</f>
        <v>0.12690432</v>
      </c>
      <c r="F1547" s="23" t="n">
        <f aca="false">vmi*F1538*(1-tax)</f>
        <v>1.2690432</v>
      </c>
      <c r="G1547" s="23" t="n">
        <f aca="false">vmi*G1538*(1-tax)</f>
        <v>2.2208256</v>
      </c>
      <c r="K1547" s="8" t="s">
        <v>568</v>
      </c>
    </row>
    <row r="1548" customFormat="false" ht="15" hidden="false" customHeight="false" outlineLevel="0" collapsed="false">
      <c r="A1548" s="4" t="s">
        <v>435</v>
      </c>
      <c r="B1548" s="0" t="s">
        <v>184</v>
      </c>
      <c r="C1548" s="23" t="n">
        <f aca="false">C1545-C1546-C1547</f>
        <v>7.908</v>
      </c>
      <c r="D1548" s="23" t="n">
        <f aca="false">D1545-D1546-D1547</f>
        <v>12.2375212108949</v>
      </c>
      <c r="E1548" s="23" t="n">
        <f aca="false">E1545-E1546-E1547</f>
        <v>16.6089085096672</v>
      </c>
      <c r="F1548" s="23" t="n">
        <f aca="false">F1545-F1546-F1547</f>
        <v>18.1445829989023</v>
      </c>
      <c r="G1548" s="23" t="n">
        <f aca="false">G1545-G1546-G1547</f>
        <v>19.0602574040942</v>
      </c>
      <c r="H1548" s="29" t="n">
        <f aca="false">H1529*H1552</f>
        <v>20.5137869754512</v>
      </c>
      <c r="I1548" s="29" t="n">
        <f aca="false">I1529*I1552</f>
        <v>21.9113882371997</v>
      </c>
      <c r="J1548" s="29" t="n">
        <f aca="false">J1529*J1552</f>
        <v>23.2260715314317</v>
      </c>
    </row>
    <row r="1549" customFormat="false" ht="15" hidden="false" customHeight="false" outlineLevel="0" collapsed="false">
      <c r="A1549" s="4" t="s">
        <v>569</v>
      </c>
      <c r="B1549" s="4" t="s">
        <v>265</v>
      </c>
      <c r="C1549" s="10" t="n">
        <f aca="false">a25_sh</f>
        <v>1.8739336492891</v>
      </c>
      <c r="D1549" s="10" t="n">
        <f aca="false">a26_sh</f>
        <v>1.90613591916558</v>
      </c>
      <c r="E1549" s="10" t="n">
        <f aca="false">q_sh*(1+sh_g)</f>
        <v>1.90705128205128</v>
      </c>
      <c r="F1549" s="10" t="n">
        <f aca="false">E1549*(1+sh_g)</f>
        <v>1.90705128205128</v>
      </c>
      <c r="G1549" s="10" t="n">
        <f aca="false">F1549*(1+sh_g)</f>
        <v>1.90705128205128</v>
      </c>
      <c r="H1549" s="31" t="n">
        <f aca="false">G1549*(1+sh_g)</f>
        <v>1.90705128205128</v>
      </c>
      <c r="I1549" s="31" t="n">
        <f aca="false">H1549*(1+sh_g)</f>
        <v>1.90705128205128</v>
      </c>
      <c r="J1549" s="31" t="n">
        <f aca="false">I1549*(1+sh_g)</f>
        <v>1.90705128205128</v>
      </c>
    </row>
    <row r="1550" customFormat="false" ht="17.15" hidden="false" customHeight="false" outlineLevel="0" collapsed="false">
      <c r="A1550" s="0" t="s">
        <v>442</v>
      </c>
      <c r="B1550" s="0" t="s">
        <v>274</v>
      </c>
      <c r="C1550" s="23" t="n">
        <f aca="false">C1548/C1549</f>
        <v>4.22</v>
      </c>
      <c r="D1550" s="23" t="n">
        <f aca="false">D1548/D1549</f>
        <v>6.42006747150118</v>
      </c>
      <c r="E1550" s="23" t="n">
        <f aca="false">E1548/E1549</f>
        <v>8.70920916809441</v>
      </c>
      <c r="F1550" s="23" t="n">
        <f aca="false">F1548/F1549</f>
        <v>9.51447041286975</v>
      </c>
      <c r="G1550" s="23" t="n">
        <f aca="false">G1548/G1549</f>
        <v>9.99462236987796</v>
      </c>
      <c r="H1550" s="29" t="n">
        <f aca="false">H1548/H1549</f>
        <v>10.7568093047744</v>
      </c>
      <c r="I1550" s="29" t="n">
        <f aca="false">I1548/I1549</f>
        <v>11.489669126061</v>
      </c>
      <c r="J1550" s="29" t="n">
        <f aca="false">J1548/J1549</f>
        <v>12.1790492736247</v>
      </c>
    </row>
    <row r="1551" customFormat="false" ht="17.15" hidden="false" customHeight="false" outlineLevel="0" collapsed="false">
      <c r="A1551" s="0" t="s">
        <v>570</v>
      </c>
      <c r="B1551" s="0" t="s">
        <v>48</v>
      </c>
      <c r="D1551" s="20" t="n">
        <f aca="false">D1550/C1550-1</f>
        <v>0.521343002725398</v>
      </c>
      <c r="E1551" s="20" t="n">
        <f aca="false">E1550/D1550-1</f>
        <v>0.356560379895504</v>
      </c>
      <c r="F1551" s="20" t="n">
        <f aca="false">F1550/E1550-1</f>
        <v>0.0924608915956873</v>
      </c>
      <c r="G1551" s="20" t="n">
        <f aca="false">G1550/F1550-1</f>
        <v>0.0504654422340445</v>
      </c>
      <c r="H1551" s="27" t="n">
        <f aca="false">H1550/G1550-1</f>
        <v>0.0762597031373122</v>
      </c>
      <c r="I1551" s="27" t="n">
        <f aca="false">I1550/H1550-1</f>
        <v>0.0681298515686559</v>
      </c>
      <c r="J1551" s="27" t="n">
        <f aca="false">J1550/I1550-1</f>
        <v>0.0600000000000001</v>
      </c>
    </row>
    <row r="1552" customFormat="false" ht="17.15" hidden="false" customHeight="false" outlineLevel="0" collapsed="false">
      <c r="A1552" s="4" t="s">
        <v>571</v>
      </c>
      <c r="B1552" s="0" t="s">
        <v>48</v>
      </c>
      <c r="C1552" s="16" t="n">
        <f aca="false">C1548/C1529</f>
        <v>0.162746187565599</v>
      </c>
      <c r="D1552" s="16" t="n">
        <f aca="false">D1548/D1529</f>
        <v>0.208646059676249</v>
      </c>
      <c r="E1552" s="16" t="n">
        <f aca="false">E1548/E1529</f>
        <v>0.218494016910226</v>
      </c>
      <c r="F1552" s="16" t="n">
        <f aca="false">F1548/F1529</f>
        <v>0.206545611615248</v>
      </c>
      <c r="G1552" s="16" t="n">
        <f aca="false">G1548/G1529</f>
        <v>0.200084025436545</v>
      </c>
      <c r="H1552" s="28" t="n">
        <f aca="false">$G1552+($G$1552*1-$G1552)*1/3</f>
        <v>0.200084025436545</v>
      </c>
      <c r="I1552" s="28" t="n">
        <f aca="false">$G1552+($G$1552*1-$G1552)*2/3</f>
        <v>0.200084025436545</v>
      </c>
      <c r="J1552" s="28" t="n">
        <f aca="false">$G1552+($G$1552*1-$G1552)*3/3</f>
        <v>0.200084025436545</v>
      </c>
    </row>
    <row r="1555" customFormat="false" ht="17.15" hidden="false" customHeight="false" outlineLevel="0" collapsed="false">
      <c r="A1555" s="1" t="s">
        <v>882</v>
      </c>
    </row>
    <row r="1556" customFormat="false" ht="17.15" hidden="false" customHeight="false" outlineLevel="0" collapsed="false">
      <c r="A1556" s="5" t="s">
        <v>24</v>
      </c>
      <c r="B1556" s="5" t="s">
        <v>25</v>
      </c>
      <c r="C1556" s="17" t="s">
        <v>394</v>
      </c>
      <c r="D1556" s="17" t="s">
        <v>521</v>
      </c>
      <c r="E1556" s="17" t="s">
        <v>480</v>
      </c>
      <c r="F1556" s="17" t="s">
        <v>481</v>
      </c>
      <c r="G1556" s="17" t="s">
        <v>482</v>
      </c>
      <c r="H1556" s="17" t="s">
        <v>522</v>
      </c>
      <c r="I1556" s="17" t="s">
        <v>523</v>
      </c>
      <c r="J1556" s="17" t="s">
        <v>524</v>
      </c>
      <c r="K1556" s="5" t="s">
        <v>357</v>
      </c>
    </row>
    <row r="1557" customFormat="false" ht="17.15" hidden="false" customHeight="false" outlineLevel="0" collapsed="false">
      <c r="A1557" s="6" t="s">
        <v>542</v>
      </c>
    </row>
    <row r="1558" customFormat="false" ht="17.15" hidden="false" customHeight="false" outlineLevel="0" collapsed="false">
      <c r="A1558" s="4" t="s">
        <v>543</v>
      </c>
      <c r="B1558" s="4" t="s">
        <v>42</v>
      </c>
      <c r="D1558" s="22" t="n">
        <f aca="false">cap_26</f>
        <v>3306</v>
      </c>
      <c r="E1558" s="22" t="n">
        <f aca="false">D1558*(1+capg27)*cap_adj</f>
        <v>3306</v>
      </c>
      <c r="F1558" s="22" t="n">
        <f aca="false">E1558*(1+capg28)</f>
        <v>3306</v>
      </c>
      <c r="G1558" s="22" t="n">
        <f aca="false">F1558*(1+capg29)</f>
        <v>3306</v>
      </c>
    </row>
    <row r="1559" customFormat="false" ht="15" hidden="false" customHeight="false" outlineLevel="0" collapsed="false">
      <c r="A1559" s="4" t="s">
        <v>544</v>
      </c>
      <c r="B1559" s="0" t="s">
        <v>48</v>
      </c>
      <c r="D1559" s="20" t="n">
        <f aca="false">a26_ship/cap_26</f>
        <v>0.8725</v>
      </c>
      <c r="E1559" s="20" t="n">
        <f aca="false">MIN(0.98,ut27_B+ut_adj)</f>
        <v>0.9</v>
      </c>
      <c r="F1559" s="20" t="n">
        <f aca="false">MIN(0.98,ut28_B+ut_adj)</f>
        <v>0.86</v>
      </c>
      <c r="G1559" s="20" t="n">
        <f aca="false">MIN(0.98,ut29_B+ut_adj)</f>
        <v>0.87</v>
      </c>
    </row>
    <row r="1560" customFormat="false" ht="17.15" hidden="false" customHeight="false" outlineLevel="0" collapsed="false">
      <c r="A1560" s="4" t="s">
        <v>545</v>
      </c>
      <c r="B1560" s="4" t="s">
        <v>42</v>
      </c>
      <c r="D1560" s="22" t="n">
        <f aca="false">D1558*D1559</f>
        <v>2884.485</v>
      </c>
      <c r="E1560" s="22" t="n">
        <f aca="false">E1558*E1559</f>
        <v>2975.4</v>
      </c>
      <c r="F1560" s="22" t="n">
        <f aca="false">F1558*F1559</f>
        <v>2843.16</v>
      </c>
      <c r="G1560" s="22" t="n">
        <f aca="false">G1558*G1559</f>
        <v>2876.22</v>
      </c>
    </row>
    <row r="1561" customFormat="false" ht="17.15" hidden="false" customHeight="false" outlineLevel="0" collapsed="false">
      <c r="A1561" s="4" t="s">
        <v>546</v>
      </c>
      <c r="B1561" s="0" t="s">
        <v>89</v>
      </c>
      <c r="D1561" s="22" t="n">
        <f aca="false">asp_26</f>
        <v>643.469405492234</v>
      </c>
      <c r="E1561" s="22" t="n">
        <f aca="false">D1561*(1+asp27_B)*(1+asp_adj)</f>
        <v>662.773487657001</v>
      </c>
      <c r="F1561" s="22" t="n">
        <f aca="false">E1561*(1+asp28_B)</f>
        <v>662.773487657001</v>
      </c>
      <c r="G1561" s="22" t="n">
        <f aca="false">F1561*(1+asp29_B)</f>
        <v>662.773487657001</v>
      </c>
    </row>
    <row r="1562" customFormat="false" ht="15" hidden="false" customHeight="false" outlineLevel="0" collapsed="false">
      <c r="A1562" s="4" t="s">
        <v>547</v>
      </c>
      <c r="B1562" s="0" t="s">
        <v>48</v>
      </c>
      <c r="E1562" s="20" t="n">
        <f aca="false">E1561/D1561-1</f>
        <v>0.03</v>
      </c>
      <c r="F1562" s="20" t="n">
        <f aca="false">F1561/E1561-1</f>
        <v>0</v>
      </c>
      <c r="G1562" s="20" t="n">
        <f aca="false">G1561/F1561-1</f>
        <v>0</v>
      </c>
    </row>
    <row r="1563" customFormat="false" ht="15" hidden="false" customHeight="false" outlineLevel="0" collapsed="false">
      <c r="A1563" s="4" t="s">
        <v>548</v>
      </c>
      <c r="B1563" s="0" t="s">
        <v>35</v>
      </c>
      <c r="D1563" s="23" t="n">
        <f aca="false">fx_26</f>
        <v>31.6</v>
      </c>
      <c r="E1563" s="23" t="n">
        <f aca="false">fx</f>
        <v>32</v>
      </c>
      <c r="F1563" s="23" t="n">
        <f aca="false">fx</f>
        <v>32</v>
      </c>
      <c r="G1563" s="23" t="n">
        <f aca="false">fx</f>
        <v>32</v>
      </c>
    </row>
    <row r="1564" customFormat="false" ht="17.15" hidden="false" customHeight="false" outlineLevel="0" collapsed="false">
      <c r="A1564" s="0" t="s">
        <v>549</v>
      </c>
      <c r="B1564" s="0" t="s">
        <v>184</v>
      </c>
      <c r="D1564" s="23" t="n">
        <f aca="false">D1560*D1561*D1563/1000000</f>
        <v>58.65206</v>
      </c>
      <c r="E1564" s="23" t="n">
        <f aca="false">E1560*E1561*E1563/1000000</f>
        <v>63.1045195255885</v>
      </c>
      <c r="F1564" s="23" t="n">
        <f aca="false">F1560*F1561*F1563/1000000</f>
        <v>60.2998742133401</v>
      </c>
      <c r="G1564" s="23" t="n">
        <f aca="false">G1560*G1561*G1563/1000000</f>
        <v>61.0010355414022</v>
      </c>
    </row>
    <row r="1565" customFormat="false" ht="17.15" hidden="false" customHeight="false" outlineLevel="0" collapsed="false">
      <c r="A1565" s="6" t="s">
        <v>550</v>
      </c>
    </row>
    <row r="1566" customFormat="false" ht="17.15" hidden="false" customHeight="false" outlineLevel="0" collapsed="false">
      <c r="A1566" s="0" t="s">
        <v>551</v>
      </c>
      <c r="B1566" s="4" t="s">
        <v>42</v>
      </c>
      <c r="D1566" s="22" t="n">
        <f aca="false">0</f>
        <v>0</v>
      </c>
      <c r="E1566" s="22" t="n">
        <f aca="false">vcap27*vcap_adj</f>
        <v>144</v>
      </c>
      <c r="F1566" s="22" t="n">
        <f aca="false">vcap28*vcap_adj</f>
        <v>360</v>
      </c>
      <c r="G1566" s="22" t="n">
        <f aca="false">vcap29*vcap_adj</f>
        <v>504</v>
      </c>
    </row>
    <row r="1567" customFormat="false" ht="17.15" hidden="false" customHeight="false" outlineLevel="0" collapsed="false">
      <c r="A1567" s="0" t="s">
        <v>552</v>
      </c>
      <c r="B1567" s="0" t="s">
        <v>48</v>
      </c>
      <c r="E1567" s="20" t="n">
        <f aca="false">vut_B</f>
        <v>0.8</v>
      </c>
      <c r="F1567" s="20" t="n">
        <f aca="false">vut_B</f>
        <v>0.8</v>
      </c>
      <c r="G1567" s="20" t="n">
        <f aca="false">vut_B</f>
        <v>0.8</v>
      </c>
    </row>
    <row r="1568" customFormat="false" ht="17.15" hidden="false" customHeight="false" outlineLevel="0" collapsed="false">
      <c r="A1568" s="0" t="s">
        <v>553</v>
      </c>
      <c r="B1568" s="4" t="s">
        <v>42</v>
      </c>
      <c r="D1568" s="22" t="n">
        <f aca="false">0</f>
        <v>0</v>
      </c>
      <c r="E1568" s="22" t="n">
        <f aca="false">E1566*E1567</f>
        <v>115.2</v>
      </c>
      <c r="F1568" s="22" t="n">
        <f aca="false">F1566*F1567</f>
        <v>288</v>
      </c>
      <c r="G1568" s="22" t="n">
        <f aca="false">G1566*G1567</f>
        <v>403.2</v>
      </c>
    </row>
    <row r="1569" customFormat="false" ht="17.15" hidden="false" customHeight="false" outlineLevel="0" collapsed="false">
      <c r="A1569" s="0" t="s">
        <v>554</v>
      </c>
      <c r="B1569" s="0" t="s">
        <v>184</v>
      </c>
      <c r="D1569" s="23" t="n">
        <f aca="false">0</f>
        <v>0</v>
      </c>
      <c r="E1569" s="23" t="n">
        <f aca="false">E1568*vasp*E1563/1000000</f>
        <v>6.63552</v>
      </c>
      <c r="F1569" s="23" t="n">
        <f aca="false">F1568*vasp*F1563/1000000</f>
        <v>16.5888</v>
      </c>
      <c r="G1569" s="23" t="n">
        <f aca="false">G1568*vasp*G1563/1000000</f>
        <v>23.22432</v>
      </c>
    </row>
    <row r="1570" customFormat="false" ht="17.15" hidden="false" customHeight="false" outlineLevel="0" collapsed="false">
      <c r="A1570" s="4" t="s">
        <v>400</v>
      </c>
      <c r="B1570" s="0" t="s">
        <v>184</v>
      </c>
      <c r="C1570" s="23" t="n">
        <f aca="false">a25_rev</f>
        <v>48.591</v>
      </c>
      <c r="D1570" s="23" t="n">
        <f aca="false">D1564+D1569</f>
        <v>58.65206</v>
      </c>
      <c r="E1570" s="23" t="n">
        <f aca="false">E1564+E1569</f>
        <v>69.7400395255885</v>
      </c>
      <c r="F1570" s="23" t="n">
        <f aca="false">F1564+F1569</f>
        <v>76.8886742133401</v>
      </c>
      <c r="G1570" s="23" t="n">
        <f aca="false">G1564+G1569</f>
        <v>84.2253555414022</v>
      </c>
      <c r="H1570" s="29" t="n">
        <f aca="false">G1570*(1+H1573)</f>
        <v>90.7061896343453</v>
      </c>
      <c r="I1570" s="29" t="n">
        <f aca="false">H1570*(1+I1573)</f>
        <v>96.0100687533499</v>
      </c>
      <c r="J1570" s="29" t="n">
        <f aca="false">I1570*(1+J1573)</f>
        <v>99.8504715034839</v>
      </c>
      <c r="K1570" s="8" t="s">
        <v>555</v>
      </c>
    </row>
    <row r="1571" customFormat="false" ht="17.15" hidden="false" customHeight="false" outlineLevel="0" collapsed="false">
      <c r="A1571" s="0" t="s">
        <v>556</v>
      </c>
      <c r="B1571" s="0" t="s">
        <v>48</v>
      </c>
      <c r="D1571" s="20" t="n">
        <f aca="false">D1569/D1570</f>
        <v>0</v>
      </c>
      <c r="E1571" s="20" t="n">
        <f aca="false">E1569/E1570</f>
        <v>0.0951464903825491</v>
      </c>
      <c r="F1571" s="20" t="n">
        <f aca="false">F1569/F1570</f>
        <v>0.215750891398799</v>
      </c>
      <c r="G1571" s="20" t="n">
        <f aca="false">G1569/G1570</f>
        <v>0.275740242955505</v>
      </c>
    </row>
    <row r="1572" customFormat="false" ht="17.15" hidden="false" customHeight="false" outlineLevel="0" collapsed="false">
      <c r="A1572" s="0" t="s">
        <v>557</v>
      </c>
      <c r="B1572" s="0" t="s">
        <v>48</v>
      </c>
      <c r="D1572" s="20" t="n">
        <f aca="false">ai_sh26</f>
        <v>0.1</v>
      </c>
      <c r="E1572" s="20" t="n">
        <f aca="false">ai_sh27_B</f>
        <v>0.2</v>
      </c>
      <c r="F1572" s="20" t="n">
        <f aca="false">ai_sh27_B</f>
        <v>0.2</v>
      </c>
      <c r="G1572" s="20" t="n">
        <f aca="false">ai_sh27_B</f>
        <v>0.2</v>
      </c>
    </row>
    <row r="1573" customFormat="false" ht="15" hidden="false" customHeight="false" outlineLevel="0" collapsed="false">
      <c r="A1573" s="4" t="s">
        <v>558</v>
      </c>
      <c r="B1573" s="0" t="s">
        <v>48</v>
      </c>
      <c r="D1573" s="20" t="n">
        <f aca="false">D1570/C1570-1</f>
        <v>0.207056039184211</v>
      </c>
      <c r="E1573" s="20" t="n">
        <f aca="false">E1570/D1570-1</f>
        <v>0.189046719340949</v>
      </c>
      <c r="F1573" s="20" t="n">
        <f aca="false">F1570/E1570-1</f>
        <v>0.10250402403527</v>
      </c>
      <c r="G1573" s="20" t="n">
        <f aca="false">G1570/F1570-1</f>
        <v>0.095419532240929</v>
      </c>
      <c r="H1573" s="27" t="n">
        <f aca="false">$G1573+(fade_gB-$G1573)*1/3</f>
        <v>0.076946354827286</v>
      </c>
      <c r="I1573" s="27" t="n">
        <f aca="false">$G1573+(fade_gB-$G1573)*2/3</f>
        <v>0.058473177413643</v>
      </c>
      <c r="J1573" s="27" t="n">
        <f aca="false">$G1573+(fade_gB-$G1573)*3/3</f>
        <v>0.04</v>
      </c>
    </row>
    <row r="1574" customFormat="false" ht="17.15" hidden="false" customHeight="false" outlineLevel="0" collapsed="false">
      <c r="A1574" s="6" t="s">
        <v>559</v>
      </c>
    </row>
    <row r="1575" customFormat="false" ht="15" hidden="false" customHeight="false" outlineLevel="0" collapsed="false">
      <c r="A1575" s="4" t="s">
        <v>560</v>
      </c>
      <c r="B1575" s="0" t="s">
        <v>184</v>
      </c>
      <c r="D1575" s="23" t="n">
        <f aca="false">da_tot26*da_sh</f>
        <v>8.658</v>
      </c>
      <c r="E1575" s="23" t="n">
        <f aca="false">D1575*(1+dag_27+dag_adj)</f>
        <v>8.91774</v>
      </c>
      <c r="F1575" s="23" t="n">
        <f aca="false">E1575*(1+dag_28+dag_adj)</f>
        <v>9.0960948</v>
      </c>
      <c r="G1575" s="23" t="n">
        <f aca="false">F1575*(1+dag_29+dag_adj)</f>
        <v>9.0960948</v>
      </c>
    </row>
    <row r="1576" customFormat="false" ht="17.15" hidden="false" customHeight="false" outlineLevel="0" collapsed="false">
      <c r="A1576" s="4" t="s">
        <v>561</v>
      </c>
      <c r="B1576" s="0" t="s">
        <v>562</v>
      </c>
      <c r="D1576" s="23" t="n">
        <f aca="false">(D1564-a26_gp-D1575)/D1560*1000</f>
        <v>10.7339918911001</v>
      </c>
      <c r="E1576" s="23" t="n">
        <f aca="false">D1576*(1+cc_g)</f>
        <v>10.9486717289221</v>
      </c>
      <c r="F1576" s="23" t="n">
        <f aca="false">E1576*(1+cc_g)</f>
        <v>11.1676451635006</v>
      </c>
      <c r="G1576" s="23" t="n">
        <f aca="false">F1576*(1+cc_g)</f>
        <v>11.3909980667706</v>
      </c>
      <c r="K1576" s="8" t="s">
        <v>563</v>
      </c>
    </row>
    <row r="1577" customFormat="false" ht="17.15" hidden="false" customHeight="false" outlineLevel="0" collapsed="false">
      <c r="A1577" s="4" t="s">
        <v>564</v>
      </c>
      <c r="B1577" s="0" t="s">
        <v>184</v>
      </c>
      <c r="D1577" s="23" t="n">
        <f aca="false">D1576*D1560/1000</f>
        <v>30.9620386</v>
      </c>
      <c r="E1577" s="23" t="n">
        <f aca="false">E1576*E1560/1000</f>
        <v>32.576677862235</v>
      </c>
      <c r="F1577" s="23" t="n">
        <f aca="false">F1576*F1560/1000</f>
        <v>31.7514020230583</v>
      </c>
      <c r="G1577" s="23" t="n">
        <f aca="false">G1576*G1560/1000</f>
        <v>32.7630164596069</v>
      </c>
    </row>
    <row r="1578" customFormat="false" ht="17.15" hidden="false" customHeight="false" outlineLevel="0" collapsed="false">
      <c r="A1578" s="0" t="s">
        <v>565</v>
      </c>
      <c r="B1578" s="0" t="s">
        <v>48</v>
      </c>
      <c r="E1578" s="20" t="n">
        <f aca="false">vgm27_B</f>
        <v>-0.05</v>
      </c>
      <c r="F1578" s="20" t="n">
        <f aca="false">vgm28_B</f>
        <v>0.12</v>
      </c>
      <c r="G1578" s="20" t="n">
        <f aca="false">vgm29_B</f>
        <v>0.18</v>
      </c>
    </row>
    <row r="1579" customFormat="false" ht="17.15" hidden="false" customHeight="false" outlineLevel="0" collapsed="false">
      <c r="A1579" s="0" t="s">
        <v>566</v>
      </c>
      <c r="B1579" s="0" t="s">
        <v>184</v>
      </c>
      <c r="D1579" s="23" t="n">
        <f aca="false">0</f>
        <v>0</v>
      </c>
      <c r="E1579" s="23" t="n">
        <f aca="false">E1569*E1578</f>
        <v>-0.331776</v>
      </c>
      <c r="F1579" s="23" t="n">
        <f aca="false">F1569*F1578</f>
        <v>1.990656</v>
      </c>
      <c r="G1579" s="23" t="n">
        <f aca="false">G1569*G1578</f>
        <v>4.1803776</v>
      </c>
    </row>
    <row r="1580" customFormat="false" ht="15" hidden="false" customHeight="false" outlineLevel="0" collapsed="false">
      <c r="A1580" s="4" t="s">
        <v>417</v>
      </c>
      <c r="B1580" s="0" t="s">
        <v>184</v>
      </c>
      <c r="C1580" s="23" t="n">
        <f aca="false">a25_gp</f>
        <v>13.654</v>
      </c>
      <c r="D1580" s="23" t="n">
        <f aca="false">D1564-D1575-D1577+D1579</f>
        <v>19.0320214</v>
      </c>
      <c r="E1580" s="23" t="n">
        <f aca="false">E1564-E1575-E1577+E1579</f>
        <v>21.2783256633535</v>
      </c>
      <c r="F1580" s="23" t="n">
        <f aca="false">F1564-F1575-F1577+F1579</f>
        <v>21.4430333902818</v>
      </c>
      <c r="G1580" s="23" t="n">
        <f aca="false">G1564-G1575-G1577+G1579</f>
        <v>23.3223018817953</v>
      </c>
    </row>
    <row r="1581" customFormat="false" ht="15" hidden="false" customHeight="false" outlineLevel="0" collapsed="false">
      <c r="A1581" s="4" t="s">
        <v>420</v>
      </c>
      <c r="B1581" s="0" t="s">
        <v>48</v>
      </c>
      <c r="C1581" s="16" t="n">
        <f aca="false">C1580/C1570</f>
        <v>0.280998538824062</v>
      </c>
      <c r="D1581" s="16" t="n">
        <f aca="false">D1580/D1570</f>
        <v>0.324490246378388</v>
      </c>
      <c r="E1581" s="16" t="n">
        <f aca="false">E1580/E1570</f>
        <v>0.305109171260883</v>
      </c>
      <c r="F1581" s="16" t="n">
        <f aca="false">F1580/F1570</f>
        <v>0.27888416089455</v>
      </c>
      <c r="G1581" s="16" t="n">
        <f aca="false">G1580/G1570</f>
        <v>0.27690357294284</v>
      </c>
    </row>
    <row r="1582" customFormat="false" ht="15" hidden="false" customHeight="false" outlineLevel="0" collapsed="false">
      <c r="A1582" s="4" t="s">
        <v>422</v>
      </c>
      <c r="B1582" s="0" t="s">
        <v>184</v>
      </c>
      <c r="C1582" s="23" t="n">
        <f aca="false">a25_opx</f>
        <v>5.881</v>
      </c>
      <c r="D1582" s="23" t="n">
        <f aca="false">a26_opx</f>
        <v>6.824187</v>
      </c>
      <c r="E1582" s="23" t="n">
        <f aca="false">D1582*(1+MAX(g_opx_min,phi_lo*E1573))</f>
        <v>7.21121404935575</v>
      </c>
      <c r="F1582" s="23" t="n">
        <f aca="false">E1582*(1+MAX(g_opx_min,phi_lo*F1573))</f>
        <v>7.43296758682734</v>
      </c>
      <c r="G1582" s="23" t="n">
        <f aca="false">F1582*(1+MAX(g_opx_min,phi_lo*G1573))</f>
        <v>7.65595661443216</v>
      </c>
    </row>
    <row r="1583" customFormat="false" ht="15" hidden="false" customHeight="false" outlineLevel="0" collapsed="false">
      <c r="A1583" s="4" t="s">
        <v>425</v>
      </c>
      <c r="B1583" s="0" t="s">
        <v>184</v>
      </c>
      <c r="C1583" s="23" t="n">
        <f aca="false">C1580-C1582</f>
        <v>7.773</v>
      </c>
      <c r="D1583" s="23" t="n">
        <f aca="false">D1580-D1582</f>
        <v>12.2078344</v>
      </c>
      <c r="E1583" s="23" t="n">
        <f aca="false">E1580-E1582</f>
        <v>14.0671116139978</v>
      </c>
      <c r="F1583" s="23" t="n">
        <f aca="false">F1580-F1582</f>
        <v>14.0100658034544</v>
      </c>
      <c r="G1583" s="23" t="n">
        <f aca="false">G1580-G1582</f>
        <v>15.6663452673631</v>
      </c>
    </row>
    <row r="1584" customFormat="false" ht="15" hidden="false" customHeight="false" outlineLevel="0" collapsed="false">
      <c r="A1584" s="4" t="s">
        <v>531</v>
      </c>
      <c r="B1584" s="0" t="s">
        <v>48</v>
      </c>
      <c r="C1584" s="16" t="n">
        <f aca="false">C1583/C1570</f>
        <v>0.159967895289251</v>
      </c>
      <c r="D1584" s="16" t="n">
        <f aca="false">D1583/D1570</f>
        <v>0.208139908470393</v>
      </c>
      <c r="E1584" s="16" t="n">
        <f aca="false">E1583/E1570</f>
        <v>0.201707823937157</v>
      </c>
      <c r="F1584" s="16" t="n">
        <f aca="false">F1583/F1570</f>
        <v>0.182212347225304</v>
      </c>
      <c r="G1584" s="16" t="n">
        <f aca="false">G1583/G1570</f>
        <v>0.186005095100632</v>
      </c>
    </row>
    <row r="1585" customFormat="false" ht="15" hidden="false" customHeight="false" outlineLevel="0" collapsed="false">
      <c r="A1585" s="4" t="s">
        <v>428</v>
      </c>
      <c r="B1585" s="0" t="s">
        <v>184</v>
      </c>
      <c r="C1585" s="23" t="n">
        <f aca="false">a25_nonop</f>
        <v>1.479</v>
      </c>
      <c r="D1585" s="23" t="n">
        <f aca="false">a26_nonop</f>
        <v>2.10950832169955</v>
      </c>
      <c r="E1585" s="23" t="n">
        <f aca="false">nonop_f</f>
        <v>1.5</v>
      </c>
      <c r="F1585" s="23" t="n">
        <f aca="false">nonop_f</f>
        <v>1.5</v>
      </c>
      <c r="G1585" s="23" t="n">
        <f aca="false">nonop_f</f>
        <v>1.5</v>
      </c>
    </row>
    <row r="1586" customFormat="false" ht="15" hidden="false" customHeight="false" outlineLevel="0" collapsed="false">
      <c r="A1586" s="4" t="s">
        <v>430</v>
      </c>
      <c r="B1586" s="0" t="s">
        <v>184</v>
      </c>
      <c r="C1586" s="23" t="n">
        <f aca="false">C1583+C1585</f>
        <v>9.252</v>
      </c>
      <c r="D1586" s="23" t="n">
        <f aca="false">D1583+D1585</f>
        <v>14.3173427216995</v>
      </c>
      <c r="E1586" s="23" t="n">
        <f aca="false">E1583+E1585</f>
        <v>15.5671116139978</v>
      </c>
      <c r="F1586" s="23" t="n">
        <f aca="false">F1583+F1585</f>
        <v>15.5100658034544</v>
      </c>
      <c r="G1586" s="23" t="n">
        <f aca="false">G1583+G1585</f>
        <v>17.1663452673631</v>
      </c>
    </row>
    <row r="1587" customFormat="false" ht="15" hidden="false" customHeight="false" outlineLevel="0" collapsed="false">
      <c r="A1587" s="4" t="s">
        <v>432</v>
      </c>
      <c r="B1587" s="0" t="s">
        <v>184</v>
      </c>
      <c r="C1587" s="23" t="n">
        <f aca="false">a25_tax</f>
        <v>1.344</v>
      </c>
      <c r="D1587" s="23" t="n">
        <f aca="false">a26_tax</f>
        <v>2.0798215108046</v>
      </c>
      <c r="E1587" s="23" t="n">
        <f aca="false">E1586*tax</f>
        <v>2.33506674209967</v>
      </c>
      <c r="F1587" s="23" t="n">
        <f aca="false">F1586*tax</f>
        <v>2.32650987051816</v>
      </c>
      <c r="G1587" s="23" t="n">
        <f aca="false">G1586*tax</f>
        <v>2.57495179010446</v>
      </c>
    </row>
    <row r="1588" customFormat="false" ht="17.15" hidden="false" customHeight="false" outlineLevel="0" collapsed="false">
      <c r="A1588" s="4" t="s">
        <v>567</v>
      </c>
      <c r="B1588" s="0" t="s">
        <v>184</v>
      </c>
      <c r="C1588" s="23" t="n">
        <f aca="false">a25_mi</f>
        <v>0</v>
      </c>
      <c r="D1588" s="23" t="n">
        <f aca="false">a26_mi</f>
        <v>0</v>
      </c>
      <c r="E1588" s="23" t="n">
        <f aca="false">vmi*E1579*(1-tax)</f>
        <v>-0.11280384</v>
      </c>
      <c r="F1588" s="23" t="n">
        <f aca="false">vmi*F1579*(1-tax)</f>
        <v>0.67682304</v>
      </c>
      <c r="G1588" s="23" t="n">
        <f aca="false">vmi*G1579*(1-tax)</f>
        <v>1.421328384</v>
      </c>
      <c r="K1588" s="8" t="s">
        <v>568</v>
      </c>
    </row>
    <row r="1589" customFormat="false" ht="15" hidden="false" customHeight="false" outlineLevel="0" collapsed="false">
      <c r="A1589" s="4" t="s">
        <v>435</v>
      </c>
      <c r="B1589" s="0" t="s">
        <v>184</v>
      </c>
      <c r="C1589" s="23" t="n">
        <f aca="false">C1586-C1587-C1588</f>
        <v>7.908</v>
      </c>
      <c r="D1589" s="23" t="n">
        <f aca="false">D1586-D1587-D1588</f>
        <v>12.2375212108949</v>
      </c>
      <c r="E1589" s="23" t="n">
        <f aca="false">E1586-E1587-E1588</f>
        <v>13.3448487118981</v>
      </c>
      <c r="F1589" s="23" t="n">
        <f aca="false">F1586-F1587-F1588</f>
        <v>12.5067328929363</v>
      </c>
      <c r="G1589" s="23" t="n">
        <f aca="false">G1586-G1587-G1588</f>
        <v>13.1700650932586</v>
      </c>
      <c r="H1589" s="29" t="n">
        <f aca="false">H1570*H1593</f>
        <v>13.7106718085222</v>
      </c>
      <c r="I1589" s="29" t="n">
        <f aca="false">I1570*I1593</f>
        <v>14.0119515138614</v>
      </c>
      <c r="J1589" s="29" t="n">
        <f aca="false">J1570*J1593</f>
        <v>14.0519856610439</v>
      </c>
    </row>
    <row r="1590" customFormat="false" ht="15" hidden="false" customHeight="false" outlineLevel="0" collapsed="false">
      <c r="A1590" s="4" t="s">
        <v>569</v>
      </c>
      <c r="B1590" s="4" t="s">
        <v>265</v>
      </c>
      <c r="C1590" s="10" t="n">
        <f aca="false">a25_sh</f>
        <v>1.8739336492891</v>
      </c>
      <c r="D1590" s="10" t="n">
        <f aca="false">a26_sh</f>
        <v>1.90613591916558</v>
      </c>
      <c r="E1590" s="10" t="n">
        <f aca="false">q_sh*(1+sh_g)</f>
        <v>1.90705128205128</v>
      </c>
      <c r="F1590" s="10" t="n">
        <f aca="false">E1590*(1+sh_g)</f>
        <v>1.90705128205128</v>
      </c>
      <c r="G1590" s="10" t="n">
        <f aca="false">F1590*(1+sh_g)</f>
        <v>1.90705128205128</v>
      </c>
      <c r="H1590" s="31" t="n">
        <f aca="false">G1590*(1+sh_g)</f>
        <v>1.90705128205128</v>
      </c>
      <c r="I1590" s="31" t="n">
        <f aca="false">H1590*(1+sh_g)</f>
        <v>1.90705128205128</v>
      </c>
      <c r="J1590" s="31" t="n">
        <f aca="false">I1590*(1+sh_g)</f>
        <v>1.90705128205128</v>
      </c>
    </row>
    <row r="1591" customFormat="false" ht="17.15" hidden="false" customHeight="false" outlineLevel="0" collapsed="false">
      <c r="A1591" s="0" t="s">
        <v>442</v>
      </c>
      <c r="B1591" s="0" t="s">
        <v>274</v>
      </c>
      <c r="C1591" s="23" t="n">
        <f aca="false">C1589/C1590</f>
        <v>4.22</v>
      </c>
      <c r="D1591" s="23" t="n">
        <f aca="false">D1589/D1590</f>
        <v>6.42006747150118</v>
      </c>
      <c r="E1591" s="23" t="n">
        <f aca="false">E1589/E1590</f>
        <v>6.99763495481044</v>
      </c>
      <c r="F1591" s="23" t="n">
        <f aca="false">F1589/F1590</f>
        <v>6.55815237411112</v>
      </c>
      <c r="G1591" s="23" t="n">
        <f aca="false">G1589/G1590</f>
        <v>6.90598371276755</v>
      </c>
      <c r="H1591" s="29" t="n">
        <f aca="false">H1589/H1590</f>
        <v>7.1894615197629</v>
      </c>
      <c r="I1591" s="29" t="n">
        <f aca="false">I1589/I1590</f>
        <v>7.34744348289874</v>
      </c>
      <c r="J1591" s="29" t="n">
        <f aca="false">J1589/J1590</f>
        <v>7.36843617856417</v>
      </c>
    </row>
    <row r="1592" customFormat="false" ht="17.15" hidden="false" customHeight="false" outlineLevel="0" collapsed="false">
      <c r="A1592" s="0" t="s">
        <v>570</v>
      </c>
      <c r="B1592" s="0" t="s">
        <v>48</v>
      </c>
      <c r="D1592" s="20" t="n">
        <f aca="false">D1591/C1591-1</f>
        <v>0.521343002725398</v>
      </c>
      <c r="E1592" s="20" t="n">
        <f aca="false">E1591/D1591-1</f>
        <v>0.0899628369753267</v>
      </c>
      <c r="F1592" s="20" t="n">
        <f aca="false">F1591/E1591-1</f>
        <v>-0.0628044451500297</v>
      </c>
      <c r="G1592" s="20" t="n">
        <f aca="false">G1591/F1591-1</f>
        <v>0.0530380080873889</v>
      </c>
      <c r="H1592" s="27" t="n">
        <f aca="false">H1591/G1591-1</f>
        <v>0.0410481429997098</v>
      </c>
      <c r="I1592" s="27" t="n">
        <f aca="false">I1591/H1591-1</f>
        <v>0.0219741023304139</v>
      </c>
      <c r="J1592" s="27" t="n">
        <f aca="false">J1591/I1591-1</f>
        <v>0.00285714285714289</v>
      </c>
    </row>
    <row r="1593" customFormat="false" ht="17.15" hidden="false" customHeight="false" outlineLevel="0" collapsed="false">
      <c r="A1593" s="4" t="s">
        <v>571</v>
      </c>
      <c r="B1593" s="0" t="s">
        <v>48</v>
      </c>
      <c r="C1593" s="16" t="n">
        <f aca="false">C1589/C1570</f>
        <v>0.162746187565599</v>
      </c>
      <c r="D1593" s="16" t="n">
        <f aca="false">D1589/D1570</f>
        <v>0.208646059676249</v>
      </c>
      <c r="E1593" s="16" t="n">
        <f aca="false">E1589/E1570</f>
        <v>0.191351321316669</v>
      </c>
      <c r="F1593" s="16" t="n">
        <f aca="false">F1589/F1570</f>
        <v>0.162660275013122</v>
      </c>
      <c r="G1593" s="16" t="n">
        <f aca="false">G1589/G1570</f>
        <v>0.156366987216631</v>
      </c>
      <c r="H1593" s="28" t="n">
        <f aca="false">$G1593+($G$1593*0.9-$G1593)*1/3</f>
        <v>0.15115475430941</v>
      </c>
      <c r="I1593" s="28" t="n">
        <f aca="false">$G1593+($G$1593*0.9-$G1593)*2/3</f>
        <v>0.145942521402189</v>
      </c>
      <c r="J1593" s="28" t="n">
        <f aca="false">$G1593+($G$1593*0.9-$G1593)*3/3</f>
        <v>0.140730288494968</v>
      </c>
    </row>
    <row r="1596" customFormat="false" ht="17.15" hidden="false" customHeight="false" outlineLevel="0" collapsed="false">
      <c r="A1596" s="1" t="s">
        <v>883</v>
      </c>
    </row>
    <row r="1597" customFormat="false" ht="17.15" hidden="false" customHeight="false" outlineLevel="0" collapsed="false">
      <c r="A1597" s="5" t="s">
        <v>24</v>
      </c>
      <c r="B1597" s="5" t="s">
        <v>25</v>
      </c>
      <c r="C1597" s="17" t="s">
        <v>394</v>
      </c>
      <c r="D1597" s="17" t="s">
        <v>521</v>
      </c>
      <c r="E1597" s="17" t="s">
        <v>480</v>
      </c>
      <c r="F1597" s="17" t="s">
        <v>481</v>
      </c>
      <c r="G1597" s="17" t="s">
        <v>482</v>
      </c>
      <c r="H1597" s="17" t="s">
        <v>522</v>
      </c>
      <c r="I1597" s="17" t="s">
        <v>523</v>
      </c>
      <c r="J1597" s="17" t="s">
        <v>524</v>
      </c>
      <c r="K1597" s="5" t="s">
        <v>357</v>
      </c>
    </row>
    <row r="1598" customFormat="false" ht="17.15" hidden="false" customHeight="false" outlineLevel="0" collapsed="false">
      <c r="A1598" s="6" t="s">
        <v>542</v>
      </c>
    </row>
    <row r="1599" customFormat="false" ht="17.15" hidden="false" customHeight="false" outlineLevel="0" collapsed="false">
      <c r="A1599" s="4" t="s">
        <v>543</v>
      </c>
      <c r="B1599" s="4" t="s">
        <v>42</v>
      </c>
      <c r="D1599" s="22" t="n">
        <f aca="false">cap_26</f>
        <v>3306</v>
      </c>
      <c r="E1599" s="22" t="n">
        <f aca="false">D1599*(1+capg27)*cap_adj</f>
        <v>3306</v>
      </c>
      <c r="F1599" s="22" t="n">
        <f aca="false">E1599*(1+capg28)</f>
        <v>3306</v>
      </c>
      <c r="G1599" s="22" t="n">
        <f aca="false">F1599*(1+capg29)</f>
        <v>3306</v>
      </c>
    </row>
    <row r="1600" customFormat="false" ht="15" hidden="false" customHeight="false" outlineLevel="0" collapsed="false">
      <c r="A1600" s="4" t="s">
        <v>544</v>
      </c>
      <c r="B1600" s="0" t="s">
        <v>48</v>
      </c>
      <c r="D1600" s="20" t="n">
        <f aca="false">a26_ship/cap_26</f>
        <v>0.8725</v>
      </c>
      <c r="E1600" s="20" t="n">
        <f aca="false">MIN(0.98,ut27_C+ut_adj)</f>
        <v>0.8</v>
      </c>
      <c r="F1600" s="20" t="n">
        <f aca="false">MIN(0.98,ut28_C+ut_adj)</f>
        <v>0.74</v>
      </c>
      <c r="G1600" s="20" t="n">
        <f aca="false">MIN(0.98,ut29_C+ut_adj)</f>
        <v>0.78</v>
      </c>
    </row>
    <row r="1601" customFormat="false" ht="17.15" hidden="false" customHeight="false" outlineLevel="0" collapsed="false">
      <c r="A1601" s="4" t="s">
        <v>545</v>
      </c>
      <c r="B1601" s="4" t="s">
        <v>42</v>
      </c>
      <c r="D1601" s="22" t="n">
        <f aca="false">D1599*D1600</f>
        <v>2884.485</v>
      </c>
      <c r="E1601" s="22" t="n">
        <f aca="false">E1599*E1600</f>
        <v>2644.8</v>
      </c>
      <c r="F1601" s="22" t="n">
        <f aca="false">F1599*F1600</f>
        <v>2446.44</v>
      </c>
      <c r="G1601" s="22" t="n">
        <f aca="false">G1599*G1600</f>
        <v>2578.68</v>
      </c>
    </row>
    <row r="1602" customFormat="false" ht="17.15" hidden="false" customHeight="false" outlineLevel="0" collapsed="false">
      <c r="A1602" s="4" t="s">
        <v>546</v>
      </c>
      <c r="B1602" s="0" t="s">
        <v>89</v>
      </c>
      <c r="D1602" s="22" t="n">
        <f aca="false">asp_26</f>
        <v>643.469405492234</v>
      </c>
      <c r="E1602" s="22" t="n">
        <f aca="false">D1602*(1+asp27_C)*(1+asp_adj)</f>
        <v>624.165323327467</v>
      </c>
      <c r="F1602" s="22" t="n">
        <f aca="false">E1602*(1+asp28_C)</f>
        <v>592.957057161093</v>
      </c>
      <c r="G1602" s="22" t="n">
        <f aca="false">F1602*(1+asp29_C)</f>
        <v>581.097916017871</v>
      </c>
    </row>
    <row r="1603" customFormat="false" ht="15" hidden="false" customHeight="false" outlineLevel="0" collapsed="false">
      <c r="A1603" s="4" t="s">
        <v>547</v>
      </c>
      <c r="B1603" s="0" t="s">
        <v>48</v>
      </c>
      <c r="E1603" s="20" t="n">
        <f aca="false">E1602/D1602-1</f>
        <v>-0.03</v>
      </c>
      <c r="F1603" s="20" t="n">
        <f aca="false">F1602/E1602-1</f>
        <v>-0.05</v>
      </c>
      <c r="G1603" s="20" t="n">
        <f aca="false">G1602/F1602-1</f>
        <v>-0.02</v>
      </c>
    </row>
    <row r="1604" customFormat="false" ht="15" hidden="false" customHeight="false" outlineLevel="0" collapsed="false">
      <c r="A1604" s="4" t="s">
        <v>548</v>
      </c>
      <c r="B1604" s="0" t="s">
        <v>35</v>
      </c>
      <c r="D1604" s="23" t="n">
        <f aca="false">fx_26</f>
        <v>31.6</v>
      </c>
      <c r="E1604" s="23" t="n">
        <f aca="false">fx</f>
        <v>32</v>
      </c>
      <c r="F1604" s="23" t="n">
        <f aca="false">fx</f>
        <v>32</v>
      </c>
      <c r="G1604" s="23" t="n">
        <f aca="false">fx</f>
        <v>32</v>
      </c>
    </row>
    <row r="1605" customFormat="false" ht="17.15" hidden="false" customHeight="false" outlineLevel="0" collapsed="false">
      <c r="A1605" s="0" t="s">
        <v>549</v>
      </c>
      <c r="B1605" s="0" t="s">
        <v>184</v>
      </c>
      <c r="D1605" s="23" t="n">
        <f aca="false">D1601*D1602*D1604/1000000</f>
        <v>58.65206</v>
      </c>
      <c r="E1605" s="23" t="n">
        <f aca="false">E1601*E1602*E1604/1000000</f>
        <v>52.8253583083675</v>
      </c>
      <c r="F1605" s="23" t="n">
        <f aca="false">F1601*F1602*F1604/1000000</f>
        <v>46.4202836134779</v>
      </c>
      <c r="G1605" s="23" t="n">
        <f aca="false">G1601*G1602*G1604/1000000</f>
        <v>47.9508983704629</v>
      </c>
    </row>
    <row r="1606" customFormat="false" ht="17.15" hidden="false" customHeight="false" outlineLevel="0" collapsed="false">
      <c r="A1606" s="6" t="s">
        <v>550</v>
      </c>
    </row>
    <row r="1607" customFormat="false" ht="17.15" hidden="false" customHeight="false" outlineLevel="0" collapsed="false">
      <c r="A1607" s="0" t="s">
        <v>551</v>
      </c>
      <c r="B1607" s="4" t="s">
        <v>42</v>
      </c>
      <c r="D1607" s="22" t="n">
        <f aca="false">0</f>
        <v>0</v>
      </c>
      <c r="E1607" s="22" t="n">
        <f aca="false">vcap27*vcap_adj</f>
        <v>144</v>
      </c>
      <c r="F1607" s="22" t="n">
        <f aca="false">vcap28*vcap_adj</f>
        <v>360</v>
      </c>
      <c r="G1607" s="22" t="n">
        <f aca="false">vcap29*vcap_adj</f>
        <v>504</v>
      </c>
    </row>
    <row r="1608" customFormat="false" ht="17.15" hidden="false" customHeight="false" outlineLevel="0" collapsed="false">
      <c r="A1608" s="0" t="s">
        <v>552</v>
      </c>
      <c r="B1608" s="0" t="s">
        <v>48</v>
      </c>
      <c r="E1608" s="20" t="n">
        <f aca="false">vut_C</f>
        <v>0.65</v>
      </c>
      <c r="F1608" s="20" t="n">
        <f aca="false">vut_C</f>
        <v>0.65</v>
      </c>
      <c r="G1608" s="20" t="n">
        <f aca="false">vut_C</f>
        <v>0.65</v>
      </c>
    </row>
    <row r="1609" customFormat="false" ht="17.15" hidden="false" customHeight="false" outlineLevel="0" collapsed="false">
      <c r="A1609" s="0" t="s">
        <v>553</v>
      </c>
      <c r="B1609" s="4" t="s">
        <v>42</v>
      </c>
      <c r="D1609" s="22" t="n">
        <f aca="false">0</f>
        <v>0</v>
      </c>
      <c r="E1609" s="22" t="n">
        <f aca="false">E1607*E1608</f>
        <v>93.6</v>
      </c>
      <c r="F1609" s="22" t="n">
        <f aca="false">F1607*F1608</f>
        <v>234</v>
      </c>
      <c r="G1609" s="22" t="n">
        <f aca="false">G1607*G1608</f>
        <v>327.6</v>
      </c>
    </row>
    <row r="1610" customFormat="false" ht="17.15" hidden="false" customHeight="false" outlineLevel="0" collapsed="false">
      <c r="A1610" s="0" t="s">
        <v>554</v>
      </c>
      <c r="B1610" s="0" t="s">
        <v>184</v>
      </c>
      <c r="D1610" s="23" t="n">
        <f aca="false">0</f>
        <v>0</v>
      </c>
      <c r="E1610" s="23" t="n">
        <f aca="false">E1609*vasp*E1604/1000000</f>
        <v>5.39136</v>
      </c>
      <c r="F1610" s="23" t="n">
        <f aca="false">F1609*vasp*F1604/1000000</f>
        <v>13.4784</v>
      </c>
      <c r="G1610" s="23" t="n">
        <f aca="false">G1609*vasp*G1604/1000000</f>
        <v>18.86976</v>
      </c>
    </row>
    <row r="1611" customFormat="false" ht="17.15" hidden="false" customHeight="false" outlineLevel="0" collapsed="false">
      <c r="A1611" s="4" t="s">
        <v>400</v>
      </c>
      <c r="B1611" s="0" t="s">
        <v>184</v>
      </c>
      <c r="C1611" s="23" t="n">
        <f aca="false">a25_rev</f>
        <v>48.591</v>
      </c>
      <c r="D1611" s="23" t="n">
        <f aca="false">D1605+D1610</f>
        <v>58.65206</v>
      </c>
      <c r="E1611" s="23" t="n">
        <f aca="false">E1605+E1610</f>
        <v>58.2167183083675</v>
      </c>
      <c r="F1611" s="23" t="n">
        <f aca="false">F1605+F1610</f>
        <v>59.8986836134779</v>
      </c>
      <c r="G1611" s="23" t="n">
        <f aca="false">G1605+G1610</f>
        <v>66.8206583704629</v>
      </c>
      <c r="H1611" s="29" t="n">
        <f aca="false">G1611*(1+H1614)</f>
        <v>72.4140545845787</v>
      </c>
      <c r="I1611" s="29" t="n">
        <f aca="false">H1611*(1+I1614)</f>
        <v>76.1689980934585</v>
      </c>
      <c r="J1611" s="29" t="n">
        <f aca="false">I1611*(1+J1614)</f>
        <v>77.6923780553276</v>
      </c>
      <c r="K1611" s="8" t="s">
        <v>555</v>
      </c>
    </row>
    <row r="1612" customFormat="false" ht="17.15" hidden="false" customHeight="false" outlineLevel="0" collapsed="false">
      <c r="A1612" s="0" t="s">
        <v>556</v>
      </c>
      <c r="B1612" s="0" t="s">
        <v>48</v>
      </c>
      <c r="D1612" s="20" t="n">
        <f aca="false">D1610/D1611</f>
        <v>0</v>
      </c>
      <c r="E1612" s="20" t="n">
        <f aca="false">E1610/E1611</f>
        <v>0.0926084491991212</v>
      </c>
      <c r="F1612" s="20" t="n">
        <f aca="false">F1610/F1611</f>
        <v>0.225019970171218</v>
      </c>
      <c r="G1612" s="20" t="n">
        <f aca="false">G1610/G1611</f>
        <v>0.28239410475999</v>
      </c>
    </row>
    <row r="1613" customFormat="false" ht="17.15" hidden="false" customHeight="false" outlineLevel="0" collapsed="false">
      <c r="A1613" s="0" t="s">
        <v>557</v>
      </c>
      <c r="B1613" s="0" t="s">
        <v>48</v>
      </c>
      <c r="D1613" s="20" t="n">
        <f aca="false">ai_sh26</f>
        <v>0.1</v>
      </c>
      <c r="E1613" s="20" t="n">
        <f aca="false">ai_sh27_C</f>
        <v>0.15</v>
      </c>
      <c r="F1613" s="20" t="n">
        <f aca="false">ai_sh27_C</f>
        <v>0.15</v>
      </c>
      <c r="G1613" s="20" t="n">
        <f aca="false">ai_sh27_C</f>
        <v>0.15</v>
      </c>
    </row>
    <row r="1614" customFormat="false" ht="15" hidden="false" customHeight="false" outlineLevel="0" collapsed="false">
      <c r="A1614" s="4" t="s">
        <v>558</v>
      </c>
      <c r="B1614" s="0" t="s">
        <v>48</v>
      </c>
      <c r="D1614" s="20" t="n">
        <f aca="false">D1611/C1611-1</f>
        <v>0.207056039184211</v>
      </c>
      <c r="E1614" s="20" t="n">
        <f aca="false">E1611/D1611-1</f>
        <v>-0.0074224450365854</v>
      </c>
      <c r="F1614" s="20" t="n">
        <f aca="false">F1611/E1611-1</f>
        <v>0.028891448264075</v>
      </c>
      <c r="G1614" s="20" t="n">
        <f aca="false">G1611/F1611-1</f>
        <v>0.115561383646625</v>
      </c>
      <c r="H1614" s="27" t="n">
        <f aca="false">$G1614+(fade_gC-$G1614)*1/3</f>
        <v>0.0837075890977501</v>
      </c>
      <c r="I1614" s="27" t="n">
        <f aca="false">$G1614+(fade_gC-$G1614)*2/3</f>
        <v>0.0518537945488751</v>
      </c>
      <c r="J1614" s="27" t="n">
        <f aca="false">$G1614+(fade_gC-$G1614)*3/3</f>
        <v>0.02</v>
      </c>
    </row>
    <row r="1615" customFormat="false" ht="17.15" hidden="false" customHeight="false" outlineLevel="0" collapsed="false">
      <c r="A1615" s="6" t="s">
        <v>559</v>
      </c>
    </row>
    <row r="1616" customFormat="false" ht="15" hidden="false" customHeight="false" outlineLevel="0" collapsed="false">
      <c r="A1616" s="4" t="s">
        <v>560</v>
      </c>
      <c r="B1616" s="0" t="s">
        <v>184</v>
      </c>
      <c r="D1616" s="23" t="n">
        <f aca="false">da_tot26*da_sh</f>
        <v>8.658</v>
      </c>
      <c r="E1616" s="23" t="n">
        <f aca="false">D1616*(1+dag_27+dag_adj)</f>
        <v>8.91774</v>
      </c>
      <c r="F1616" s="23" t="n">
        <f aca="false">E1616*(1+dag_28+dag_adj)</f>
        <v>9.0960948</v>
      </c>
      <c r="G1616" s="23" t="n">
        <f aca="false">F1616*(1+dag_29+dag_adj)</f>
        <v>9.0960948</v>
      </c>
    </row>
    <row r="1617" customFormat="false" ht="17.15" hidden="false" customHeight="false" outlineLevel="0" collapsed="false">
      <c r="A1617" s="4" t="s">
        <v>561</v>
      </c>
      <c r="B1617" s="0" t="s">
        <v>562</v>
      </c>
      <c r="D1617" s="23" t="n">
        <f aca="false">(D1605-a26_gp-D1616)/D1601*1000</f>
        <v>10.7339918911001</v>
      </c>
      <c r="E1617" s="23" t="n">
        <f aca="false">D1617*(1+cc_g)</f>
        <v>10.9486717289221</v>
      </c>
      <c r="F1617" s="23" t="n">
        <f aca="false">E1617*(1+cc_g)</f>
        <v>11.1676451635006</v>
      </c>
      <c r="G1617" s="23" t="n">
        <f aca="false">F1617*(1+cc_g)</f>
        <v>11.3909980667706</v>
      </c>
      <c r="K1617" s="8" t="s">
        <v>563</v>
      </c>
    </row>
    <row r="1618" customFormat="false" ht="17.15" hidden="false" customHeight="false" outlineLevel="0" collapsed="false">
      <c r="A1618" s="4" t="s">
        <v>564</v>
      </c>
      <c r="B1618" s="0" t="s">
        <v>184</v>
      </c>
      <c r="D1618" s="23" t="n">
        <f aca="false">D1617*D1601/1000</f>
        <v>30.9620386</v>
      </c>
      <c r="E1618" s="23" t="n">
        <f aca="false">E1617*E1601/1000</f>
        <v>28.9570469886533</v>
      </c>
      <c r="F1618" s="23" t="n">
        <f aca="false">F1617*F1601/1000</f>
        <v>27.3209738337944</v>
      </c>
      <c r="G1618" s="23" t="n">
        <f aca="false">G1617*G1601/1000</f>
        <v>29.37373889482</v>
      </c>
    </row>
    <row r="1619" customFormat="false" ht="17.15" hidden="false" customHeight="false" outlineLevel="0" collapsed="false">
      <c r="A1619" s="0" t="s">
        <v>565</v>
      </c>
      <c r="B1619" s="0" t="s">
        <v>48</v>
      </c>
      <c r="E1619" s="20" t="n">
        <f aca="false">vgm27_C</f>
        <v>-0.2</v>
      </c>
      <c r="F1619" s="20" t="n">
        <f aca="false">vgm28_C</f>
        <v>0</v>
      </c>
      <c r="G1619" s="20" t="n">
        <f aca="false">vgm29_C</f>
        <v>0.05</v>
      </c>
    </row>
    <row r="1620" customFormat="false" ht="17.15" hidden="false" customHeight="false" outlineLevel="0" collapsed="false">
      <c r="A1620" s="0" t="s">
        <v>566</v>
      </c>
      <c r="B1620" s="0" t="s">
        <v>184</v>
      </c>
      <c r="D1620" s="23" t="n">
        <f aca="false">0</f>
        <v>0</v>
      </c>
      <c r="E1620" s="23" t="n">
        <f aca="false">E1610*E1619</f>
        <v>-1.078272</v>
      </c>
      <c r="F1620" s="23" t="n">
        <f aca="false">F1610*F1619</f>
        <v>0</v>
      </c>
      <c r="G1620" s="23" t="n">
        <f aca="false">G1610*G1619</f>
        <v>0.943488</v>
      </c>
    </row>
    <row r="1621" customFormat="false" ht="15" hidden="false" customHeight="false" outlineLevel="0" collapsed="false">
      <c r="A1621" s="4" t="s">
        <v>417</v>
      </c>
      <c r="B1621" s="0" t="s">
        <v>184</v>
      </c>
      <c r="C1621" s="23" t="n">
        <f aca="false">a25_gp</f>
        <v>13.654</v>
      </c>
      <c r="D1621" s="23" t="n">
        <f aca="false">D1605-D1616-D1618+D1620</f>
        <v>19.0320214</v>
      </c>
      <c r="E1621" s="23" t="n">
        <f aca="false">E1605-E1616-E1618+E1620</f>
        <v>13.8722993197142</v>
      </c>
      <c r="F1621" s="23" t="n">
        <f aca="false">F1605-F1616-F1618+F1620</f>
        <v>10.0032149796835</v>
      </c>
      <c r="G1621" s="23" t="n">
        <f aca="false">G1605-G1616-G1618+G1620</f>
        <v>10.4245526756429</v>
      </c>
    </row>
    <row r="1622" customFormat="false" ht="15" hidden="false" customHeight="false" outlineLevel="0" collapsed="false">
      <c r="A1622" s="4" t="s">
        <v>420</v>
      </c>
      <c r="B1622" s="0" t="s">
        <v>48</v>
      </c>
      <c r="C1622" s="16" t="n">
        <f aca="false">C1621/C1611</f>
        <v>0.280998538824062</v>
      </c>
      <c r="D1622" s="16" t="n">
        <f aca="false">D1621/D1611</f>
        <v>0.324490246378388</v>
      </c>
      <c r="E1622" s="16" t="n">
        <f aca="false">E1621/E1611</f>
        <v>0.238287208946306</v>
      </c>
      <c r="F1622" s="16" t="n">
        <f aca="false">F1621/F1611</f>
        <v>0.167002250737822</v>
      </c>
      <c r="G1622" s="16" t="n">
        <f aca="false">G1621/G1611</f>
        <v>0.156007931227611</v>
      </c>
    </row>
    <row r="1623" customFormat="false" ht="15" hidden="false" customHeight="false" outlineLevel="0" collapsed="false">
      <c r="A1623" s="4" t="s">
        <v>422</v>
      </c>
      <c r="B1623" s="0" t="s">
        <v>184</v>
      </c>
      <c r="C1623" s="23" t="n">
        <f aca="false">a25_opx</f>
        <v>5.881</v>
      </c>
      <c r="D1623" s="23" t="n">
        <f aca="false">a26_opx</f>
        <v>6.824187</v>
      </c>
      <c r="E1623" s="23" t="n">
        <f aca="false">D1623*(1+MAX(g_opx_min,phi_lo*E1614))</f>
        <v>7.02891261</v>
      </c>
      <c r="F1623" s="23" t="n">
        <f aca="false">E1623*(1+MAX(g_opx_min,phi_lo*F1614))</f>
        <v>7.2397799883</v>
      </c>
      <c r="G1623" s="23" t="n">
        <f aca="false">F1623*(1+MAX(g_opx_min,phi_lo*G1614))</f>
        <v>7.49077168612353</v>
      </c>
    </row>
    <row r="1624" customFormat="false" ht="15" hidden="false" customHeight="false" outlineLevel="0" collapsed="false">
      <c r="A1624" s="4" t="s">
        <v>425</v>
      </c>
      <c r="B1624" s="0" t="s">
        <v>184</v>
      </c>
      <c r="C1624" s="23" t="n">
        <f aca="false">C1621-C1623</f>
        <v>7.773</v>
      </c>
      <c r="D1624" s="23" t="n">
        <f aca="false">D1621-D1623</f>
        <v>12.2078344</v>
      </c>
      <c r="E1624" s="23" t="n">
        <f aca="false">E1621-E1623</f>
        <v>6.8433867097142</v>
      </c>
      <c r="F1624" s="23" t="n">
        <f aca="false">F1621-F1623</f>
        <v>2.76343499138354</v>
      </c>
      <c r="G1624" s="23" t="n">
        <f aca="false">G1621-G1623</f>
        <v>2.93378098951933</v>
      </c>
    </row>
    <row r="1625" customFormat="false" ht="15" hidden="false" customHeight="false" outlineLevel="0" collapsed="false">
      <c r="A1625" s="4" t="s">
        <v>531</v>
      </c>
      <c r="B1625" s="0" t="s">
        <v>48</v>
      </c>
      <c r="C1625" s="16" t="n">
        <f aca="false">C1624/C1611</f>
        <v>0.159967895289251</v>
      </c>
      <c r="D1625" s="16" t="n">
        <f aca="false">D1624/D1611</f>
        <v>0.208139908470393</v>
      </c>
      <c r="E1625" s="16" t="n">
        <f aca="false">E1624/E1611</f>
        <v>0.117550197066512</v>
      </c>
      <c r="F1625" s="16" t="n">
        <f aca="false">F1624/F1611</f>
        <v>0.046135153974598</v>
      </c>
      <c r="G1625" s="16" t="n">
        <f aca="false">G1624/G1611</f>
        <v>0.0439052990656579</v>
      </c>
    </row>
    <row r="1626" customFormat="false" ht="15" hidden="false" customHeight="false" outlineLevel="0" collapsed="false">
      <c r="A1626" s="4" t="s">
        <v>428</v>
      </c>
      <c r="B1626" s="0" t="s">
        <v>184</v>
      </c>
      <c r="C1626" s="23" t="n">
        <f aca="false">a25_nonop</f>
        <v>1.479</v>
      </c>
      <c r="D1626" s="23" t="n">
        <f aca="false">a26_nonop</f>
        <v>2.10950832169955</v>
      </c>
      <c r="E1626" s="23" t="n">
        <f aca="false">nonop_f</f>
        <v>1.5</v>
      </c>
      <c r="F1626" s="23" t="n">
        <f aca="false">nonop_f</f>
        <v>1.5</v>
      </c>
      <c r="G1626" s="23" t="n">
        <f aca="false">nonop_f</f>
        <v>1.5</v>
      </c>
    </row>
    <row r="1627" customFormat="false" ht="15" hidden="false" customHeight="false" outlineLevel="0" collapsed="false">
      <c r="A1627" s="4" t="s">
        <v>430</v>
      </c>
      <c r="B1627" s="0" t="s">
        <v>184</v>
      </c>
      <c r="C1627" s="23" t="n">
        <f aca="false">C1624+C1626</f>
        <v>9.252</v>
      </c>
      <c r="D1627" s="23" t="n">
        <f aca="false">D1624+D1626</f>
        <v>14.3173427216995</v>
      </c>
      <c r="E1627" s="23" t="n">
        <f aca="false">E1624+E1626</f>
        <v>8.3433867097142</v>
      </c>
      <c r="F1627" s="23" t="n">
        <f aca="false">F1624+F1626</f>
        <v>4.26343499138354</v>
      </c>
      <c r="G1627" s="23" t="n">
        <f aca="false">G1624+G1626</f>
        <v>4.43378098951933</v>
      </c>
    </row>
    <row r="1628" customFormat="false" ht="15" hidden="false" customHeight="false" outlineLevel="0" collapsed="false">
      <c r="A1628" s="4" t="s">
        <v>432</v>
      </c>
      <c r="B1628" s="0" t="s">
        <v>184</v>
      </c>
      <c r="C1628" s="23" t="n">
        <f aca="false">a25_tax</f>
        <v>1.344</v>
      </c>
      <c r="D1628" s="23" t="n">
        <f aca="false">a26_tax</f>
        <v>2.0798215108046</v>
      </c>
      <c r="E1628" s="23" t="n">
        <f aca="false">E1627*tax</f>
        <v>1.25150800645713</v>
      </c>
      <c r="F1628" s="23" t="n">
        <f aca="false">F1627*tax</f>
        <v>0.63951524870753</v>
      </c>
      <c r="G1628" s="23" t="n">
        <f aca="false">G1627*tax</f>
        <v>0.665067148427899</v>
      </c>
    </row>
    <row r="1629" customFormat="false" ht="17.15" hidden="false" customHeight="false" outlineLevel="0" collapsed="false">
      <c r="A1629" s="4" t="s">
        <v>567</v>
      </c>
      <c r="B1629" s="0" t="s">
        <v>184</v>
      </c>
      <c r="C1629" s="23" t="n">
        <f aca="false">a25_mi</f>
        <v>0</v>
      </c>
      <c r="D1629" s="23" t="n">
        <f aca="false">a26_mi</f>
        <v>0</v>
      </c>
      <c r="E1629" s="23" t="n">
        <f aca="false">vmi*E1620*(1-tax)</f>
        <v>-0.36661248</v>
      </c>
      <c r="F1629" s="23" t="n">
        <f aca="false">vmi*F1620*(1-tax)</f>
        <v>0</v>
      </c>
      <c r="G1629" s="23" t="n">
        <f aca="false">vmi*G1620*(1-tax)</f>
        <v>0.32078592</v>
      </c>
      <c r="K1629" s="8" t="s">
        <v>568</v>
      </c>
    </row>
    <row r="1630" customFormat="false" ht="15" hidden="false" customHeight="false" outlineLevel="0" collapsed="false">
      <c r="A1630" s="4" t="s">
        <v>435</v>
      </c>
      <c r="B1630" s="0" t="s">
        <v>184</v>
      </c>
      <c r="C1630" s="23" t="n">
        <f aca="false">C1627-C1628-C1629</f>
        <v>7.908</v>
      </c>
      <c r="D1630" s="23" t="n">
        <f aca="false">D1627-D1628-D1629</f>
        <v>12.2375212108949</v>
      </c>
      <c r="E1630" s="23" t="n">
        <f aca="false">E1627-E1628-E1629</f>
        <v>7.45849118325707</v>
      </c>
      <c r="F1630" s="23" t="n">
        <f aca="false">F1627-F1628-F1629</f>
        <v>3.62391974267601</v>
      </c>
      <c r="G1630" s="23" t="n">
        <f aca="false">G1627-G1628-G1629</f>
        <v>3.44792792109143</v>
      </c>
      <c r="H1630" s="29" t="n">
        <f aca="false">H1611*H1634</f>
        <v>3.48744261109889</v>
      </c>
      <c r="I1630" s="29" t="n">
        <f aca="false">I1611*I1634</f>
        <v>3.40625976205896</v>
      </c>
      <c r="J1630" s="29" t="n">
        <f aca="false">J1611*J1634</f>
        <v>3.20712457596936</v>
      </c>
    </row>
    <row r="1631" customFormat="false" ht="15" hidden="false" customHeight="false" outlineLevel="0" collapsed="false">
      <c r="A1631" s="4" t="s">
        <v>569</v>
      </c>
      <c r="B1631" s="4" t="s">
        <v>265</v>
      </c>
      <c r="C1631" s="10" t="n">
        <f aca="false">a25_sh</f>
        <v>1.8739336492891</v>
      </c>
      <c r="D1631" s="10" t="n">
        <f aca="false">a26_sh</f>
        <v>1.90613591916558</v>
      </c>
      <c r="E1631" s="10" t="n">
        <f aca="false">q_sh*(1+sh_g)</f>
        <v>1.90705128205128</v>
      </c>
      <c r="F1631" s="10" t="n">
        <f aca="false">E1631*(1+sh_g)</f>
        <v>1.90705128205128</v>
      </c>
      <c r="G1631" s="10" t="n">
        <f aca="false">F1631*(1+sh_g)</f>
        <v>1.90705128205128</v>
      </c>
      <c r="H1631" s="31" t="n">
        <f aca="false">G1631*(1+sh_g)</f>
        <v>1.90705128205128</v>
      </c>
      <c r="I1631" s="31" t="n">
        <f aca="false">H1631*(1+sh_g)</f>
        <v>1.90705128205128</v>
      </c>
      <c r="J1631" s="31" t="n">
        <f aca="false">I1631*(1+sh_g)</f>
        <v>1.90705128205128</v>
      </c>
    </row>
    <row r="1632" customFormat="false" ht="17.15" hidden="false" customHeight="false" outlineLevel="0" collapsed="false">
      <c r="A1632" s="0" t="s">
        <v>442</v>
      </c>
      <c r="B1632" s="0" t="s">
        <v>274</v>
      </c>
      <c r="C1632" s="23" t="n">
        <f aca="false">C1630/C1631</f>
        <v>4.22</v>
      </c>
      <c r="D1632" s="23" t="n">
        <f aca="false">D1630/D1631</f>
        <v>6.42006747150118</v>
      </c>
      <c r="E1632" s="23" t="n">
        <f aca="false">E1630/E1631</f>
        <v>3.91100714147261</v>
      </c>
      <c r="F1632" s="23" t="n">
        <f aca="false">F1630/F1631</f>
        <v>1.90027388187381</v>
      </c>
      <c r="G1632" s="23" t="n">
        <f aca="false">G1630/G1631</f>
        <v>1.80798909475719</v>
      </c>
      <c r="H1632" s="29" t="n">
        <f aca="false">H1630/H1631</f>
        <v>1.82870940279471</v>
      </c>
      <c r="I1632" s="29" t="n">
        <f aca="false">I1630/I1631</f>
        <v>1.78613957270991</v>
      </c>
      <c r="J1632" s="29" t="n">
        <f aca="false">J1630/J1631</f>
        <v>1.68171910538225</v>
      </c>
    </row>
    <row r="1633" customFormat="false" ht="17.15" hidden="false" customHeight="false" outlineLevel="0" collapsed="false">
      <c r="A1633" s="0" t="s">
        <v>570</v>
      </c>
      <c r="B1633" s="0" t="s">
        <v>48</v>
      </c>
      <c r="D1633" s="20" t="n">
        <f aca="false">D1632/C1632-1</f>
        <v>0.521343002725398</v>
      </c>
      <c r="E1633" s="20" t="n">
        <f aca="false">E1632/D1632-1</f>
        <v>-0.390815258743984</v>
      </c>
      <c r="F1633" s="20" t="n">
        <f aca="false">F1632/E1632-1</f>
        <v>-0.514121602662609</v>
      </c>
      <c r="G1633" s="20" t="n">
        <f aca="false">G1632/F1632-1</f>
        <v>-0.0485639401756237</v>
      </c>
      <c r="H1633" s="27" t="n">
        <f aca="false">H1632/G1632-1</f>
        <v>0.0114604164912333</v>
      </c>
      <c r="I1633" s="27" t="n">
        <f aca="false">I1632/H1632-1</f>
        <v>-0.0232786193474733</v>
      </c>
      <c r="J1633" s="27" t="n">
        <f aca="false">J1632/I1632-1</f>
        <v>-0.0584615384615385</v>
      </c>
    </row>
    <row r="1634" customFormat="false" ht="17.15" hidden="false" customHeight="false" outlineLevel="0" collapsed="false">
      <c r="A1634" s="4" t="s">
        <v>571</v>
      </c>
      <c r="B1634" s="0" t="s">
        <v>48</v>
      </c>
      <c r="C1634" s="16" t="n">
        <f aca="false">C1630/C1611</f>
        <v>0.162746187565599</v>
      </c>
      <c r="D1634" s="16" t="n">
        <f aca="false">D1630/D1611</f>
        <v>0.208646059676249</v>
      </c>
      <c r="E1634" s="16" t="n">
        <f aca="false">E1630/E1611</f>
        <v>0.128115967371267</v>
      </c>
      <c r="F1634" s="16" t="n">
        <f aca="false">F1630/F1611</f>
        <v>0.0605008244598648</v>
      </c>
      <c r="G1634" s="16" t="n">
        <f aca="false">G1630/G1611</f>
        <v>0.0515997298616192</v>
      </c>
      <c r="H1634" s="28" t="n">
        <f aca="false">$G1634+($G$1634*0.8-$G1634)*1/3</f>
        <v>0.0481597478708446</v>
      </c>
      <c r="I1634" s="28" t="n">
        <f aca="false">$G1634+($G$1634*0.8-$G1634)*2/3</f>
        <v>0.04471976588007</v>
      </c>
      <c r="J1634" s="28" t="n">
        <f aca="false">$G1634+($G$1634*0.8-$G1634)*3/3</f>
        <v>0.0412797838892953</v>
      </c>
    </row>
    <row r="1637" customFormat="false" ht="17.15" hidden="false" customHeight="false" outlineLevel="0" collapsed="false">
      <c r="A1637" s="1" t="s">
        <v>884</v>
      </c>
    </row>
    <row r="1638" customFormat="false" ht="17.15" hidden="false" customHeight="false" outlineLevel="0" collapsed="false">
      <c r="A1638" s="5" t="s">
        <v>24</v>
      </c>
      <c r="B1638" s="5" t="s">
        <v>25</v>
      </c>
      <c r="C1638" s="17" t="s">
        <v>394</v>
      </c>
      <c r="D1638" s="17" t="s">
        <v>521</v>
      </c>
      <c r="E1638" s="17" t="s">
        <v>480</v>
      </c>
      <c r="F1638" s="17" t="s">
        <v>481</v>
      </c>
      <c r="G1638" s="17" t="s">
        <v>482</v>
      </c>
      <c r="H1638" s="17" t="s">
        <v>522</v>
      </c>
      <c r="I1638" s="17" t="s">
        <v>523</v>
      </c>
      <c r="J1638" s="17" t="s">
        <v>524</v>
      </c>
      <c r="K1638" s="5" t="s">
        <v>357</v>
      </c>
    </row>
    <row r="1639" customFormat="false" ht="17.15" hidden="false" customHeight="false" outlineLevel="0" collapsed="false">
      <c r="A1639" s="6" t="s">
        <v>542</v>
      </c>
    </row>
    <row r="1640" customFormat="false" ht="17.15" hidden="false" customHeight="false" outlineLevel="0" collapsed="false">
      <c r="A1640" s="4" t="s">
        <v>543</v>
      </c>
      <c r="B1640" s="4" t="s">
        <v>42</v>
      </c>
      <c r="D1640" s="22" t="n">
        <f aca="false">cap_26</f>
        <v>3306</v>
      </c>
      <c r="E1640" s="22" t="n">
        <f aca="false">D1640*(1+capg27)*cap_adj</f>
        <v>3306</v>
      </c>
      <c r="F1640" s="22" t="n">
        <f aca="false">E1640*(1+capg28)</f>
        <v>3306</v>
      </c>
      <c r="G1640" s="22" t="n">
        <f aca="false">F1640*(1+capg29)</f>
        <v>3306</v>
      </c>
    </row>
    <row r="1641" customFormat="false" ht="15" hidden="false" customHeight="false" outlineLevel="0" collapsed="false">
      <c r="A1641" s="4" t="s">
        <v>544</v>
      </c>
      <c r="B1641" s="0" t="s">
        <v>48</v>
      </c>
      <c r="D1641" s="20" t="n">
        <f aca="false">a26_ship/cap_26</f>
        <v>0.8725</v>
      </c>
      <c r="E1641" s="20" t="n">
        <f aca="false">MIN(0.98,ut27_A+ut_adj)</f>
        <v>0.95</v>
      </c>
      <c r="F1641" s="20" t="n">
        <f aca="false">MIN(0.98,ut28_A+ut_adj)</f>
        <v>0.94</v>
      </c>
      <c r="G1641" s="20" t="n">
        <f aca="false">MIN(0.98,ut29_A+ut_adj)</f>
        <v>0.93</v>
      </c>
    </row>
    <row r="1642" customFormat="false" ht="17.15" hidden="false" customHeight="false" outlineLevel="0" collapsed="false">
      <c r="A1642" s="4" t="s">
        <v>545</v>
      </c>
      <c r="B1642" s="4" t="s">
        <v>42</v>
      </c>
      <c r="D1642" s="22" t="n">
        <f aca="false">D1640*D1641</f>
        <v>2884.485</v>
      </c>
      <c r="E1642" s="22" t="n">
        <f aca="false">E1640*E1641</f>
        <v>3140.7</v>
      </c>
      <c r="F1642" s="22" t="n">
        <f aca="false">F1640*F1641</f>
        <v>3107.64</v>
      </c>
      <c r="G1642" s="22" t="n">
        <f aca="false">G1640*G1641</f>
        <v>3074.58</v>
      </c>
    </row>
    <row r="1643" customFormat="false" ht="17.15" hidden="false" customHeight="false" outlineLevel="0" collapsed="false">
      <c r="A1643" s="4" t="s">
        <v>546</v>
      </c>
      <c r="B1643" s="0" t="s">
        <v>89</v>
      </c>
      <c r="D1643" s="22" t="n">
        <f aca="false">asp_26</f>
        <v>643.469405492234</v>
      </c>
      <c r="E1643" s="22" t="n">
        <f aca="false">D1643*(1+asp27_A)*(1+asp_adj)</f>
        <v>682.077569821768</v>
      </c>
      <c r="F1643" s="22" t="n">
        <f aca="false">E1643*(1+asp28_A)</f>
        <v>695.719121218203</v>
      </c>
      <c r="G1643" s="22" t="n">
        <f aca="false">F1643*(1+asp29_A)</f>
        <v>702.676312430385</v>
      </c>
    </row>
    <row r="1644" customFormat="false" ht="15" hidden="false" customHeight="false" outlineLevel="0" collapsed="false">
      <c r="A1644" s="4" t="s">
        <v>547</v>
      </c>
      <c r="B1644" s="0" t="s">
        <v>48</v>
      </c>
      <c r="E1644" s="20" t="n">
        <f aca="false">E1643/D1643-1</f>
        <v>0.0600000000000001</v>
      </c>
      <c r="F1644" s="20" t="n">
        <f aca="false">F1643/E1643-1</f>
        <v>0.02</v>
      </c>
      <c r="G1644" s="20" t="n">
        <f aca="false">G1643/F1643-1</f>
        <v>0.01</v>
      </c>
    </row>
    <row r="1645" customFormat="false" ht="15" hidden="false" customHeight="false" outlineLevel="0" collapsed="false">
      <c r="A1645" s="4" t="s">
        <v>548</v>
      </c>
      <c r="B1645" s="0" t="s">
        <v>35</v>
      </c>
      <c r="D1645" s="23" t="n">
        <f aca="false">fx_26</f>
        <v>31.6</v>
      </c>
      <c r="E1645" s="23" t="n">
        <f aca="false">fx</f>
        <v>32</v>
      </c>
      <c r="F1645" s="23" t="n">
        <f aca="false">fx</f>
        <v>32</v>
      </c>
      <c r="G1645" s="23" t="n">
        <f aca="false">fx</f>
        <v>32</v>
      </c>
    </row>
    <row r="1646" customFormat="false" ht="17.15" hidden="false" customHeight="false" outlineLevel="0" collapsed="false">
      <c r="A1646" s="0" t="s">
        <v>549</v>
      </c>
      <c r="B1646" s="0" t="s">
        <v>184</v>
      </c>
      <c r="D1646" s="23" t="n">
        <f aca="false">D1642*D1643*D1645/1000000</f>
        <v>58.65206</v>
      </c>
      <c r="E1646" s="23" t="n">
        <f aca="false">E1642*E1643*E1645/1000000</f>
        <v>68.5504327532552</v>
      </c>
      <c r="F1646" s="23" t="n">
        <f aca="false">F1642*F1643*F1645/1000000</f>
        <v>69.1854262356012</v>
      </c>
      <c r="G1646" s="23" t="n">
        <f aca="false">G1642*G1643*G1645/1000000</f>
        <v>69.1339051735108</v>
      </c>
    </row>
    <row r="1647" customFormat="false" ht="17.15" hidden="false" customHeight="false" outlineLevel="0" collapsed="false">
      <c r="A1647" s="6" t="s">
        <v>550</v>
      </c>
    </row>
    <row r="1648" customFormat="false" ht="17.15" hidden="false" customHeight="false" outlineLevel="0" collapsed="false">
      <c r="A1648" s="0" t="s">
        <v>551</v>
      </c>
      <c r="B1648" s="4" t="s">
        <v>42</v>
      </c>
      <c r="D1648" s="22" t="n">
        <f aca="false">0</f>
        <v>0</v>
      </c>
      <c r="E1648" s="22" t="n">
        <f aca="false">vcap27*vcap_adj</f>
        <v>144</v>
      </c>
      <c r="F1648" s="22" t="n">
        <f aca="false">vcap28*vcap_adj</f>
        <v>360</v>
      </c>
      <c r="G1648" s="22" t="n">
        <f aca="false">vcap29*vcap_adj</f>
        <v>504</v>
      </c>
    </row>
    <row r="1649" customFormat="false" ht="17.15" hidden="false" customHeight="false" outlineLevel="0" collapsed="false">
      <c r="A1649" s="0" t="s">
        <v>552</v>
      </c>
      <c r="B1649" s="0" t="s">
        <v>48</v>
      </c>
      <c r="E1649" s="20" t="n">
        <f aca="false">vut_A</f>
        <v>0.9</v>
      </c>
      <c r="F1649" s="20" t="n">
        <f aca="false">vut_A</f>
        <v>0.9</v>
      </c>
      <c r="G1649" s="20" t="n">
        <f aca="false">vut_A</f>
        <v>0.9</v>
      </c>
    </row>
    <row r="1650" customFormat="false" ht="17.15" hidden="false" customHeight="false" outlineLevel="0" collapsed="false">
      <c r="A1650" s="0" t="s">
        <v>553</v>
      </c>
      <c r="B1650" s="4" t="s">
        <v>42</v>
      </c>
      <c r="D1650" s="22" t="n">
        <f aca="false">0</f>
        <v>0</v>
      </c>
      <c r="E1650" s="22" t="n">
        <f aca="false">E1648*E1649</f>
        <v>129.6</v>
      </c>
      <c r="F1650" s="22" t="n">
        <f aca="false">F1648*F1649</f>
        <v>324</v>
      </c>
      <c r="G1650" s="22" t="n">
        <f aca="false">G1648*G1649</f>
        <v>453.6</v>
      </c>
    </row>
    <row r="1651" customFormat="false" ht="17.15" hidden="false" customHeight="false" outlineLevel="0" collapsed="false">
      <c r="A1651" s="0" t="s">
        <v>554</v>
      </c>
      <c r="B1651" s="0" t="s">
        <v>184</v>
      </c>
      <c r="D1651" s="23" t="n">
        <f aca="false">0</f>
        <v>0</v>
      </c>
      <c r="E1651" s="23" t="n">
        <f aca="false">E1650*vasp*E1645/1000000</f>
        <v>7.46496</v>
      </c>
      <c r="F1651" s="23" t="n">
        <f aca="false">F1650*vasp*F1645/1000000</f>
        <v>18.6624</v>
      </c>
      <c r="G1651" s="23" t="n">
        <f aca="false">G1650*vasp*G1645/1000000</f>
        <v>26.12736</v>
      </c>
    </row>
    <row r="1652" customFormat="false" ht="17.15" hidden="false" customHeight="false" outlineLevel="0" collapsed="false">
      <c r="A1652" s="4" t="s">
        <v>400</v>
      </c>
      <c r="B1652" s="0" t="s">
        <v>184</v>
      </c>
      <c r="C1652" s="23" t="n">
        <f aca="false">a25_rev</f>
        <v>48.591</v>
      </c>
      <c r="D1652" s="23" t="n">
        <f aca="false">D1646+D1651</f>
        <v>58.65206</v>
      </c>
      <c r="E1652" s="23" t="n">
        <f aca="false">E1646+E1651</f>
        <v>76.0153927532552</v>
      </c>
      <c r="F1652" s="23" t="n">
        <f aca="false">F1646+F1651</f>
        <v>87.8478262356012</v>
      </c>
      <c r="G1652" s="23" t="n">
        <f aca="false">G1646+G1651</f>
        <v>95.2612651735108</v>
      </c>
      <c r="H1652" s="29" t="n">
        <f aca="false">G1652*(1+H1655)</f>
        <v>102.525860976128</v>
      </c>
      <c r="I1652" s="29" t="n">
        <f aca="false">H1652*(1+I1655)</f>
        <v>109.51093266638</v>
      </c>
      <c r="J1652" s="29" t="n">
        <f aca="false">I1652*(1+J1655)</f>
        <v>116.081588626363</v>
      </c>
      <c r="K1652" s="8" t="s">
        <v>555</v>
      </c>
    </row>
    <row r="1653" customFormat="false" ht="17.15" hidden="false" customHeight="false" outlineLevel="0" collapsed="false">
      <c r="A1653" s="0" t="s">
        <v>556</v>
      </c>
      <c r="B1653" s="0" t="s">
        <v>48</v>
      </c>
      <c r="D1653" s="20" t="n">
        <f aca="false">D1651/D1652</f>
        <v>0</v>
      </c>
      <c r="E1653" s="20" t="n">
        <f aca="false">E1651/E1652</f>
        <v>0.0982032681753174</v>
      </c>
      <c r="F1653" s="20" t="n">
        <f aca="false">F1651/F1652</f>
        <v>0.212440088727396</v>
      </c>
      <c r="G1653" s="20" t="n">
        <f aca="false">G1651/G1652</f>
        <v>0.274270554274196</v>
      </c>
    </row>
    <row r="1654" customFormat="false" ht="17.15" hidden="false" customHeight="false" outlineLevel="0" collapsed="false">
      <c r="A1654" s="0" t="s">
        <v>557</v>
      </c>
      <c r="B1654" s="0" t="s">
        <v>48</v>
      </c>
      <c r="D1654" s="20" t="n">
        <f aca="false">ai_sh26</f>
        <v>0.1</v>
      </c>
      <c r="E1654" s="20" t="n">
        <f aca="false">ai_sh27_A</f>
        <v>0.25</v>
      </c>
      <c r="F1654" s="20" t="n">
        <f aca="false">ai_sh27_A</f>
        <v>0.25</v>
      </c>
      <c r="G1654" s="20" t="n">
        <f aca="false">ai_sh27_A</f>
        <v>0.25</v>
      </c>
    </row>
    <row r="1655" customFormat="false" ht="15" hidden="false" customHeight="false" outlineLevel="0" collapsed="false">
      <c r="A1655" s="4" t="s">
        <v>558</v>
      </c>
      <c r="B1655" s="0" t="s">
        <v>48</v>
      </c>
      <c r="D1655" s="20" t="n">
        <f aca="false">D1652/C1652-1</f>
        <v>0.207056039184211</v>
      </c>
      <c r="E1655" s="20" t="n">
        <f aca="false">E1652/D1652-1</f>
        <v>0.296039606337019</v>
      </c>
      <c r="F1655" s="20" t="n">
        <f aca="false">F1652/E1652-1</f>
        <v>0.155658387778826</v>
      </c>
      <c r="G1655" s="20" t="n">
        <f aca="false">G1652/F1652-1</f>
        <v>0.0843895547059683</v>
      </c>
      <c r="H1655" s="27" t="n">
        <f aca="false">$G1655+(fade_gA-$G1655)*1/3</f>
        <v>0.0762597031373122</v>
      </c>
      <c r="I1655" s="27" t="n">
        <f aca="false">$G1655+(fade_gA-$G1655)*2/3</f>
        <v>0.0681298515686561</v>
      </c>
      <c r="J1655" s="27" t="n">
        <f aca="false">$G1655+(fade_gA-$G1655)*3/3</f>
        <v>0.06</v>
      </c>
    </row>
    <row r="1656" customFormat="false" ht="17.15" hidden="false" customHeight="false" outlineLevel="0" collapsed="false">
      <c r="A1656" s="6" t="s">
        <v>559</v>
      </c>
    </row>
    <row r="1657" customFormat="false" ht="15" hidden="false" customHeight="false" outlineLevel="0" collapsed="false">
      <c r="A1657" s="4" t="s">
        <v>560</v>
      </c>
      <c r="B1657" s="0" t="s">
        <v>184</v>
      </c>
      <c r="D1657" s="23" t="n">
        <f aca="false">da_tot26*da_sh</f>
        <v>8.658</v>
      </c>
      <c r="E1657" s="23" t="n">
        <f aca="false">D1657*(1+dag_27+dag_adj)</f>
        <v>8.91774</v>
      </c>
      <c r="F1657" s="23" t="n">
        <f aca="false">E1657*(1+dag_28+dag_adj)</f>
        <v>9.0960948</v>
      </c>
      <c r="G1657" s="23" t="n">
        <f aca="false">F1657*(1+dag_29+dag_adj)</f>
        <v>9.0960948</v>
      </c>
    </row>
    <row r="1658" customFormat="false" ht="17.15" hidden="false" customHeight="false" outlineLevel="0" collapsed="false">
      <c r="A1658" s="4" t="s">
        <v>561</v>
      </c>
      <c r="B1658" s="0" t="s">
        <v>562</v>
      </c>
      <c r="D1658" s="23" t="n">
        <f aca="false">(D1646-a26_gp-D1657)/D1642*1000</f>
        <v>10.7339918911001</v>
      </c>
      <c r="E1658" s="23" t="n">
        <f aca="false">D1658*(1+cc_g)</f>
        <v>10.9486717289221</v>
      </c>
      <c r="F1658" s="23" t="n">
        <f aca="false">E1658*(1+cc_g)</f>
        <v>11.1676451635006</v>
      </c>
      <c r="G1658" s="23" t="n">
        <f aca="false">F1658*(1+cc_g)</f>
        <v>11.3909980667706</v>
      </c>
      <c r="K1658" s="8" t="s">
        <v>563</v>
      </c>
    </row>
    <row r="1659" customFormat="false" ht="17.15" hidden="false" customHeight="false" outlineLevel="0" collapsed="false">
      <c r="A1659" s="4" t="s">
        <v>564</v>
      </c>
      <c r="B1659" s="0" t="s">
        <v>184</v>
      </c>
      <c r="D1659" s="23" t="n">
        <f aca="false">D1658*D1642/1000</f>
        <v>30.9620386</v>
      </c>
      <c r="E1659" s="23" t="n">
        <f aca="false">E1658*E1642/1000</f>
        <v>34.3864932990258</v>
      </c>
      <c r="F1659" s="23" t="n">
        <f aca="false">F1658*F1642/1000</f>
        <v>34.705020815901</v>
      </c>
      <c r="G1659" s="23" t="n">
        <f aca="false">G1658*G1642/1000</f>
        <v>35.0225348361316</v>
      </c>
    </row>
    <row r="1660" customFormat="false" ht="17.15" hidden="false" customHeight="false" outlineLevel="0" collapsed="false">
      <c r="A1660" s="0" t="s">
        <v>565</v>
      </c>
      <c r="B1660" s="0" t="s">
        <v>48</v>
      </c>
      <c r="E1660" s="20" t="n">
        <f aca="false">vgm27_A</f>
        <v>0.05</v>
      </c>
      <c r="F1660" s="20" t="n">
        <f aca="false">vgm28_A</f>
        <v>0.2</v>
      </c>
      <c r="G1660" s="20" t="n">
        <f aca="false">vgm29_A</f>
        <v>0.25</v>
      </c>
    </row>
    <row r="1661" customFormat="false" ht="17.15" hidden="false" customHeight="false" outlineLevel="0" collapsed="false">
      <c r="A1661" s="0" t="s">
        <v>566</v>
      </c>
      <c r="B1661" s="0" t="s">
        <v>184</v>
      </c>
      <c r="D1661" s="23" t="n">
        <f aca="false">0</f>
        <v>0</v>
      </c>
      <c r="E1661" s="23" t="n">
        <f aca="false">E1651*E1660</f>
        <v>0.373248</v>
      </c>
      <c r="F1661" s="23" t="n">
        <f aca="false">F1651*F1660</f>
        <v>3.73248</v>
      </c>
      <c r="G1661" s="23" t="n">
        <f aca="false">G1651*G1660</f>
        <v>6.53184</v>
      </c>
    </row>
    <row r="1662" customFormat="false" ht="15" hidden="false" customHeight="false" outlineLevel="0" collapsed="false">
      <c r="A1662" s="4" t="s">
        <v>417</v>
      </c>
      <c r="B1662" s="0" t="s">
        <v>184</v>
      </c>
      <c r="C1662" s="23" t="n">
        <f aca="false">a25_gp</f>
        <v>13.654</v>
      </c>
      <c r="D1662" s="23" t="n">
        <f aca="false">D1646-D1657-D1659+D1661</f>
        <v>19.0320214</v>
      </c>
      <c r="E1662" s="23" t="n">
        <f aca="false">E1646-E1657-E1659+E1661</f>
        <v>25.6194474542294</v>
      </c>
      <c r="F1662" s="23" t="n">
        <f aca="false">F1646-F1657-F1659+F1661</f>
        <v>29.1167906197002</v>
      </c>
      <c r="G1662" s="23" t="n">
        <f aca="false">G1646-G1657-G1659+G1661</f>
        <v>31.5471155373793</v>
      </c>
    </row>
    <row r="1663" customFormat="false" ht="15" hidden="false" customHeight="false" outlineLevel="0" collapsed="false">
      <c r="A1663" s="4" t="s">
        <v>420</v>
      </c>
      <c r="B1663" s="0" t="s">
        <v>48</v>
      </c>
      <c r="C1663" s="16" t="n">
        <f aca="false">C1662/C1652</f>
        <v>0.280998538824062</v>
      </c>
      <c r="D1663" s="16" t="n">
        <f aca="false">D1662/D1652</f>
        <v>0.324490246378388</v>
      </c>
      <c r="E1663" s="16" t="n">
        <f aca="false">E1662/E1652</f>
        <v>0.33702973208847</v>
      </c>
      <c r="F1663" s="16" t="n">
        <f aca="false">F1662/F1652</f>
        <v>0.331445772392947</v>
      </c>
      <c r="G1663" s="16" t="n">
        <f aca="false">G1662/G1652</f>
        <v>0.331164146097773</v>
      </c>
    </row>
    <row r="1664" customFormat="false" ht="15" hidden="false" customHeight="false" outlineLevel="0" collapsed="false">
      <c r="A1664" s="4" t="s">
        <v>422</v>
      </c>
      <c r="B1664" s="0" t="s">
        <v>184</v>
      </c>
      <c r="C1664" s="23" t="n">
        <f aca="false">a25_opx</f>
        <v>5.881</v>
      </c>
      <c r="D1664" s="23" t="n">
        <f aca="false">a26_opx</f>
        <v>6.824187</v>
      </c>
      <c r="E1664" s="23" t="n">
        <f aca="false">D1664*(1+MAX(g_opx_min,phi_hi*E1655))</f>
        <v>8.44037070644016</v>
      </c>
      <c r="F1664" s="23" t="n">
        <f aca="false">E1664*(1+MAX(g_opx_min,phi_hi*F1655))</f>
        <v>9.49142230357625</v>
      </c>
      <c r="G1664" s="23" t="n">
        <f aca="false">F1664*(1+MAX(g_opx_min,phi_hi*G1655))</f>
        <v>10.1322038249563</v>
      </c>
    </row>
    <row r="1665" customFormat="false" ht="15" hidden="false" customHeight="false" outlineLevel="0" collapsed="false">
      <c r="A1665" s="4" t="s">
        <v>425</v>
      </c>
      <c r="B1665" s="0" t="s">
        <v>184</v>
      </c>
      <c r="C1665" s="23" t="n">
        <f aca="false">C1662-C1664</f>
        <v>7.773</v>
      </c>
      <c r="D1665" s="23" t="n">
        <f aca="false">D1662-D1664</f>
        <v>12.2078344</v>
      </c>
      <c r="E1665" s="23" t="n">
        <f aca="false">E1662-E1664</f>
        <v>17.1790767477893</v>
      </c>
      <c r="F1665" s="23" t="n">
        <f aca="false">F1662-F1664</f>
        <v>19.625368316124</v>
      </c>
      <c r="G1665" s="23" t="n">
        <f aca="false">G1662-G1664</f>
        <v>21.414911712423</v>
      </c>
    </row>
    <row r="1666" customFormat="false" ht="15" hidden="false" customHeight="false" outlineLevel="0" collapsed="false">
      <c r="A1666" s="4" t="s">
        <v>531</v>
      </c>
      <c r="B1666" s="0" t="s">
        <v>48</v>
      </c>
      <c r="C1666" s="16" t="n">
        <f aca="false">C1665/C1652</f>
        <v>0.159967895289251</v>
      </c>
      <c r="D1666" s="16" t="n">
        <f aca="false">D1665/D1652</f>
        <v>0.208139908470393</v>
      </c>
      <c r="E1666" s="16" t="n">
        <f aca="false">E1665/E1652</f>
        <v>0.225994711407363</v>
      </c>
      <c r="F1666" s="16" t="n">
        <f aca="false">F1665/F1652</f>
        <v>0.22340186612575</v>
      </c>
      <c r="G1666" s="16" t="n">
        <f aca="false">G1665/G1652</f>
        <v>0.224801882206975</v>
      </c>
    </row>
    <row r="1667" customFormat="false" ht="15" hidden="false" customHeight="false" outlineLevel="0" collapsed="false">
      <c r="A1667" s="4" t="s">
        <v>428</v>
      </c>
      <c r="B1667" s="0" t="s">
        <v>184</v>
      </c>
      <c r="C1667" s="23" t="n">
        <f aca="false">a25_nonop</f>
        <v>1.479</v>
      </c>
      <c r="D1667" s="23" t="n">
        <f aca="false">a26_nonop</f>
        <v>2.10950832169955</v>
      </c>
      <c r="E1667" s="23" t="n">
        <f aca="false">nonop_f</f>
        <v>1.5</v>
      </c>
      <c r="F1667" s="23" t="n">
        <f aca="false">nonop_f</f>
        <v>1.5</v>
      </c>
      <c r="G1667" s="23" t="n">
        <f aca="false">nonop_f</f>
        <v>1.5</v>
      </c>
    </row>
    <row r="1668" customFormat="false" ht="15" hidden="false" customHeight="false" outlineLevel="0" collapsed="false">
      <c r="A1668" s="4" t="s">
        <v>430</v>
      </c>
      <c r="B1668" s="0" t="s">
        <v>184</v>
      </c>
      <c r="C1668" s="23" t="n">
        <f aca="false">C1665+C1667</f>
        <v>9.252</v>
      </c>
      <c r="D1668" s="23" t="n">
        <f aca="false">D1665+D1667</f>
        <v>14.3173427216995</v>
      </c>
      <c r="E1668" s="23" t="n">
        <f aca="false">E1665+E1667</f>
        <v>18.6790767477893</v>
      </c>
      <c r="F1668" s="23" t="n">
        <f aca="false">F1665+F1667</f>
        <v>21.125368316124</v>
      </c>
      <c r="G1668" s="23" t="n">
        <f aca="false">G1665+G1667</f>
        <v>22.914911712423</v>
      </c>
    </row>
    <row r="1669" customFormat="false" ht="15" hidden="false" customHeight="false" outlineLevel="0" collapsed="false">
      <c r="A1669" s="4" t="s">
        <v>432</v>
      </c>
      <c r="B1669" s="0" t="s">
        <v>184</v>
      </c>
      <c r="C1669" s="23" t="n">
        <f aca="false">a25_tax</f>
        <v>1.344</v>
      </c>
      <c r="D1669" s="23" t="n">
        <f aca="false">a26_tax</f>
        <v>2.0798215108046</v>
      </c>
      <c r="E1669" s="23" t="n">
        <f aca="false">E1668*tax</f>
        <v>2.80186151216839</v>
      </c>
      <c r="F1669" s="23" t="n">
        <f aca="false">F1668*tax</f>
        <v>3.16880524741859</v>
      </c>
      <c r="G1669" s="23" t="n">
        <f aca="false">G1668*tax</f>
        <v>3.43723675686344</v>
      </c>
    </row>
    <row r="1670" customFormat="false" ht="17.15" hidden="false" customHeight="false" outlineLevel="0" collapsed="false">
      <c r="A1670" s="4" t="s">
        <v>567</v>
      </c>
      <c r="B1670" s="0" t="s">
        <v>184</v>
      </c>
      <c r="C1670" s="23" t="n">
        <f aca="false">a25_mi</f>
        <v>0</v>
      </c>
      <c r="D1670" s="23" t="n">
        <f aca="false">a26_mi</f>
        <v>0</v>
      </c>
      <c r="E1670" s="23" t="n">
        <f aca="false">vmi*E1661*(1-tax)</f>
        <v>0.12690432</v>
      </c>
      <c r="F1670" s="23" t="n">
        <f aca="false">vmi*F1661*(1-tax)</f>
        <v>1.2690432</v>
      </c>
      <c r="G1670" s="23" t="n">
        <f aca="false">vmi*G1661*(1-tax)</f>
        <v>2.2208256</v>
      </c>
      <c r="K1670" s="8" t="s">
        <v>568</v>
      </c>
    </row>
    <row r="1671" customFormat="false" ht="15" hidden="false" customHeight="false" outlineLevel="0" collapsed="false">
      <c r="A1671" s="4" t="s">
        <v>435</v>
      </c>
      <c r="B1671" s="0" t="s">
        <v>184</v>
      </c>
      <c r="C1671" s="23" t="n">
        <f aca="false">C1668-C1669-C1670</f>
        <v>7.908</v>
      </c>
      <c r="D1671" s="23" t="n">
        <f aca="false">D1668-D1669-D1670</f>
        <v>12.2375212108949</v>
      </c>
      <c r="E1671" s="23" t="n">
        <f aca="false">E1668-E1669-E1670</f>
        <v>15.7503109156209</v>
      </c>
      <c r="F1671" s="23" t="n">
        <f aca="false">F1668-F1669-F1670</f>
        <v>16.6875198687054</v>
      </c>
      <c r="G1671" s="23" t="n">
        <f aca="false">G1668-G1669-G1670</f>
        <v>17.2568493555595</v>
      </c>
      <c r="H1671" s="29" t="n">
        <f aca="false">H1652*H1675</f>
        <v>18.5728515644998</v>
      </c>
      <c r="I1671" s="29" t="n">
        <f aca="false">I1652*I1675</f>
        <v>19.8382171847959</v>
      </c>
      <c r="J1671" s="29" t="n">
        <f aca="false">J1652*J1675</f>
        <v>21.0285102158836</v>
      </c>
    </row>
    <row r="1672" customFormat="false" ht="15" hidden="false" customHeight="false" outlineLevel="0" collapsed="false">
      <c r="A1672" s="4" t="s">
        <v>569</v>
      </c>
      <c r="B1672" s="4" t="s">
        <v>265</v>
      </c>
      <c r="C1672" s="10" t="n">
        <f aca="false">a25_sh</f>
        <v>1.8739336492891</v>
      </c>
      <c r="D1672" s="10" t="n">
        <f aca="false">a26_sh</f>
        <v>1.90613591916558</v>
      </c>
      <c r="E1672" s="10" t="n">
        <f aca="false">q_sh*(1+sh_g)</f>
        <v>1.90705128205128</v>
      </c>
      <c r="F1672" s="10" t="n">
        <f aca="false">E1672*(1+sh_g)</f>
        <v>1.90705128205128</v>
      </c>
      <c r="G1672" s="10" t="n">
        <f aca="false">F1672*(1+sh_g)</f>
        <v>1.90705128205128</v>
      </c>
      <c r="H1672" s="31" t="n">
        <f aca="false">G1672*(1+sh_g)</f>
        <v>1.90705128205128</v>
      </c>
      <c r="I1672" s="31" t="n">
        <f aca="false">H1672*(1+sh_g)</f>
        <v>1.90705128205128</v>
      </c>
      <c r="J1672" s="31" t="n">
        <f aca="false">I1672*(1+sh_g)</f>
        <v>1.90705128205128</v>
      </c>
    </row>
    <row r="1673" customFormat="false" ht="17.15" hidden="false" customHeight="false" outlineLevel="0" collapsed="false">
      <c r="A1673" s="0" t="s">
        <v>442</v>
      </c>
      <c r="B1673" s="0" t="s">
        <v>274</v>
      </c>
      <c r="C1673" s="23" t="n">
        <f aca="false">C1671/C1672</f>
        <v>4.22</v>
      </c>
      <c r="D1673" s="23" t="n">
        <f aca="false">D1671/D1672</f>
        <v>6.42006747150118</v>
      </c>
      <c r="E1673" s="23" t="n">
        <f aca="false">E1671/E1672</f>
        <v>8.25898656415751</v>
      </c>
      <c r="F1673" s="23" t="n">
        <f aca="false">F1671/F1672</f>
        <v>8.75043058661525</v>
      </c>
      <c r="G1673" s="23" t="n">
        <f aca="false">G1671/G1672</f>
        <v>9.04896974610852</v>
      </c>
      <c r="H1673" s="29" t="n">
        <f aca="false">H1671/H1672</f>
        <v>9.73904149264527</v>
      </c>
      <c r="I1673" s="29" t="n">
        <f aca="false">I1671/I1672</f>
        <v>10.4025609439602</v>
      </c>
      <c r="J1673" s="29" t="n">
        <f aca="false">J1671/J1672</f>
        <v>11.0267146005978</v>
      </c>
    </row>
    <row r="1674" customFormat="false" ht="17.15" hidden="false" customHeight="false" outlineLevel="0" collapsed="false">
      <c r="A1674" s="0" t="s">
        <v>570</v>
      </c>
      <c r="B1674" s="0" t="s">
        <v>48</v>
      </c>
      <c r="D1674" s="20" t="n">
        <f aca="false">D1673/C1673-1</f>
        <v>0.521343002725398</v>
      </c>
      <c r="E1674" s="20" t="n">
        <f aca="false">E1673/D1673-1</f>
        <v>0.286432985450594</v>
      </c>
      <c r="F1674" s="20" t="n">
        <f aca="false">F1673/E1673-1</f>
        <v>0.0595041557024103</v>
      </c>
      <c r="G1674" s="20" t="n">
        <f aca="false">G1673/F1673-1</f>
        <v>0.0341170821867802</v>
      </c>
      <c r="H1674" s="27" t="n">
        <f aca="false">H1673/G1673-1</f>
        <v>0.076259703137312</v>
      </c>
      <c r="I1674" s="27" t="n">
        <f aca="false">I1673/H1673-1</f>
        <v>0.0681298515686561</v>
      </c>
      <c r="J1674" s="27" t="n">
        <f aca="false">J1673/I1673-1</f>
        <v>0.0599999999999998</v>
      </c>
    </row>
    <row r="1675" customFormat="false" ht="17.15" hidden="false" customHeight="false" outlineLevel="0" collapsed="false">
      <c r="A1675" s="4" t="s">
        <v>571</v>
      </c>
      <c r="B1675" s="0" t="s">
        <v>48</v>
      </c>
      <c r="C1675" s="16" t="n">
        <f aca="false">C1671/C1652</f>
        <v>0.162746187565599</v>
      </c>
      <c r="D1675" s="16" t="n">
        <f aca="false">D1671/D1652</f>
        <v>0.208646059676249</v>
      </c>
      <c r="E1675" s="16" t="n">
        <f aca="false">E1671/E1652</f>
        <v>0.207198967803089</v>
      </c>
      <c r="F1675" s="16" t="n">
        <f aca="false">F1671/F1652</f>
        <v>0.189959394373069</v>
      </c>
      <c r="G1675" s="16" t="n">
        <f aca="false">G1671/G1652</f>
        <v>0.18115284658594</v>
      </c>
      <c r="H1675" s="28" t="n">
        <f aca="false">$G1675+($G$1675*1-$G1675)*1/3</f>
        <v>0.18115284658594</v>
      </c>
      <c r="I1675" s="28" t="n">
        <f aca="false">$G1675+($G$1675*1-$G1675)*2/3</f>
        <v>0.18115284658594</v>
      </c>
      <c r="J1675" s="28" t="n">
        <f aca="false">$G1675+($G$1675*1-$G1675)*3/3</f>
        <v>0.18115284658594</v>
      </c>
    </row>
    <row r="1678" customFormat="false" ht="17.15" hidden="false" customHeight="false" outlineLevel="0" collapsed="false">
      <c r="A1678" s="1" t="s">
        <v>885</v>
      </c>
    </row>
    <row r="1679" customFormat="false" ht="17.15" hidden="false" customHeight="false" outlineLevel="0" collapsed="false">
      <c r="A1679" s="5" t="s">
        <v>24</v>
      </c>
      <c r="B1679" s="5" t="s">
        <v>25</v>
      </c>
      <c r="C1679" s="17" t="s">
        <v>394</v>
      </c>
      <c r="D1679" s="17" t="s">
        <v>521</v>
      </c>
      <c r="E1679" s="17" t="s">
        <v>480</v>
      </c>
      <c r="F1679" s="17" t="s">
        <v>481</v>
      </c>
      <c r="G1679" s="17" t="s">
        <v>482</v>
      </c>
      <c r="H1679" s="17" t="s">
        <v>522</v>
      </c>
      <c r="I1679" s="17" t="s">
        <v>523</v>
      </c>
      <c r="J1679" s="17" t="s">
        <v>524</v>
      </c>
      <c r="K1679" s="5" t="s">
        <v>357</v>
      </c>
    </row>
    <row r="1680" customFormat="false" ht="17.15" hidden="false" customHeight="false" outlineLevel="0" collapsed="false">
      <c r="A1680" s="6" t="s">
        <v>542</v>
      </c>
    </row>
    <row r="1681" customFormat="false" ht="17.15" hidden="false" customHeight="false" outlineLevel="0" collapsed="false">
      <c r="A1681" s="4" t="s">
        <v>543</v>
      </c>
      <c r="B1681" s="4" t="s">
        <v>42</v>
      </c>
      <c r="D1681" s="22" t="n">
        <f aca="false">cap_26</f>
        <v>3306</v>
      </c>
      <c r="E1681" s="22" t="n">
        <f aca="false">D1681*(1+capg27)*cap_adj</f>
        <v>3306</v>
      </c>
      <c r="F1681" s="22" t="n">
        <f aca="false">E1681*(1+capg28)</f>
        <v>3306</v>
      </c>
      <c r="G1681" s="22" t="n">
        <f aca="false">F1681*(1+capg29)</f>
        <v>3306</v>
      </c>
    </row>
    <row r="1682" customFormat="false" ht="15" hidden="false" customHeight="false" outlineLevel="0" collapsed="false">
      <c r="A1682" s="4" t="s">
        <v>544</v>
      </c>
      <c r="B1682" s="0" t="s">
        <v>48</v>
      </c>
      <c r="D1682" s="20" t="n">
        <f aca="false">a26_ship/cap_26</f>
        <v>0.8725</v>
      </c>
      <c r="E1682" s="20" t="n">
        <f aca="false">MIN(0.98,ut27_B+ut_adj)</f>
        <v>0.9</v>
      </c>
      <c r="F1682" s="20" t="n">
        <f aca="false">MIN(0.98,ut28_B+ut_adj)</f>
        <v>0.86</v>
      </c>
      <c r="G1682" s="20" t="n">
        <f aca="false">MIN(0.98,ut29_B+ut_adj)</f>
        <v>0.87</v>
      </c>
    </row>
    <row r="1683" customFormat="false" ht="17.15" hidden="false" customHeight="false" outlineLevel="0" collapsed="false">
      <c r="A1683" s="4" t="s">
        <v>545</v>
      </c>
      <c r="B1683" s="4" t="s">
        <v>42</v>
      </c>
      <c r="D1683" s="22" t="n">
        <f aca="false">D1681*D1682</f>
        <v>2884.485</v>
      </c>
      <c r="E1683" s="22" t="n">
        <f aca="false">E1681*E1682</f>
        <v>2975.4</v>
      </c>
      <c r="F1683" s="22" t="n">
        <f aca="false">F1681*F1682</f>
        <v>2843.16</v>
      </c>
      <c r="G1683" s="22" t="n">
        <f aca="false">G1681*G1682</f>
        <v>2876.22</v>
      </c>
    </row>
    <row r="1684" customFormat="false" ht="17.15" hidden="false" customHeight="false" outlineLevel="0" collapsed="false">
      <c r="A1684" s="4" t="s">
        <v>546</v>
      </c>
      <c r="B1684" s="0" t="s">
        <v>89</v>
      </c>
      <c r="D1684" s="22" t="n">
        <f aca="false">asp_26</f>
        <v>643.469405492234</v>
      </c>
      <c r="E1684" s="22" t="n">
        <f aca="false">D1684*(1+asp27_B)*(1+asp_adj)</f>
        <v>662.773487657001</v>
      </c>
      <c r="F1684" s="22" t="n">
        <f aca="false">E1684*(1+asp28_B)</f>
        <v>662.773487657001</v>
      </c>
      <c r="G1684" s="22" t="n">
        <f aca="false">F1684*(1+asp29_B)</f>
        <v>662.773487657001</v>
      </c>
    </row>
    <row r="1685" customFormat="false" ht="15" hidden="false" customHeight="false" outlineLevel="0" collapsed="false">
      <c r="A1685" s="4" t="s">
        <v>547</v>
      </c>
      <c r="B1685" s="0" t="s">
        <v>48</v>
      </c>
      <c r="E1685" s="20" t="n">
        <f aca="false">E1684/D1684-1</f>
        <v>0.03</v>
      </c>
      <c r="F1685" s="20" t="n">
        <f aca="false">F1684/E1684-1</f>
        <v>0</v>
      </c>
      <c r="G1685" s="20" t="n">
        <f aca="false">G1684/F1684-1</f>
        <v>0</v>
      </c>
    </row>
    <row r="1686" customFormat="false" ht="15" hidden="false" customHeight="false" outlineLevel="0" collapsed="false">
      <c r="A1686" s="4" t="s">
        <v>548</v>
      </c>
      <c r="B1686" s="0" t="s">
        <v>35</v>
      </c>
      <c r="D1686" s="23" t="n">
        <f aca="false">fx_26</f>
        <v>31.6</v>
      </c>
      <c r="E1686" s="23" t="n">
        <f aca="false">fx</f>
        <v>32</v>
      </c>
      <c r="F1686" s="23" t="n">
        <f aca="false">fx</f>
        <v>32</v>
      </c>
      <c r="G1686" s="23" t="n">
        <f aca="false">fx</f>
        <v>32</v>
      </c>
    </row>
    <row r="1687" customFormat="false" ht="17.15" hidden="false" customHeight="false" outlineLevel="0" collapsed="false">
      <c r="A1687" s="0" t="s">
        <v>549</v>
      </c>
      <c r="B1687" s="0" t="s">
        <v>184</v>
      </c>
      <c r="D1687" s="23" t="n">
        <f aca="false">D1683*D1684*D1686/1000000</f>
        <v>58.65206</v>
      </c>
      <c r="E1687" s="23" t="n">
        <f aca="false">E1683*E1684*E1686/1000000</f>
        <v>63.1045195255885</v>
      </c>
      <c r="F1687" s="23" t="n">
        <f aca="false">F1683*F1684*F1686/1000000</f>
        <v>60.2998742133401</v>
      </c>
      <c r="G1687" s="23" t="n">
        <f aca="false">G1683*G1684*G1686/1000000</f>
        <v>61.0010355414022</v>
      </c>
    </row>
    <row r="1688" customFormat="false" ht="17.15" hidden="false" customHeight="false" outlineLevel="0" collapsed="false">
      <c r="A1688" s="6" t="s">
        <v>550</v>
      </c>
    </row>
    <row r="1689" customFormat="false" ht="17.15" hidden="false" customHeight="false" outlineLevel="0" collapsed="false">
      <c r="A1689" s="0" t="s">
        <v>551</v>
      </c>
      <c r="B1689" s="4" t="s">
        <v>42</v>
      </c>
      <c r="D1689" s="22" t="n">
        <f aca="false">0</f>
        <v>0</v>
      </c>
      <c r="E1689" s="22" t="n">
        <f aca="false">vcap27*vcap_adj</f>
        <v>144</v>
      </c>
      <c r="F1689" s="22" t="n">
        <f aca="false">vcap28*vcap_adj</f>
        <v>360</v>
      </c>
      <c r="G1689" s="22" t="n">
        <f aca="false">vcap29*vcap_adj</f>
        <v>504</v>
      </c>
    </row>
    <row r="1690" customFormat="false" ht="17.15" hidden="false" customHeight="false" outlineLevel="0" collapsed="false">
      <c r="A1690" s="0" t="s">
        <v>552</v>
      </c>
      <c r="B1690" s="0" t="s">
        <v>48</v>
      </c>
      <c r="E1690" s="20" t="n">
        <f aca="false">vut_B</f>
        <v>0.8</v>
      </c>
      <c r="F1690" s="20" t="n">
        <f aca="false">vut_B</f>
        <v>0.8</v>
      </c>
      <c r="G1690" s="20" t="n">
        <f aca="false">vut_B</f>
        <v>0.8</v>
      </c>
    </row>
    <row r="1691" customFormat="false" ht="17.15" hidden="false" customHeight="false" outlineLevel="0" collapsed="false">
      <c r="A1691" s="0" t="s">
        <v>553</v>
      </c>
      <c r="B1691" s="4" t="s">
        <v>42</v>
      </c>
      <c r="D1691" s="22" t="n">
        <f aca="false">0</f>
        <v>0</v>
      </c>
      <c r="E1691" s="22" t="n">
        <f aca="false">E1689*E1690</f>
        <v>115.2</v>
      </c>
      <c r="F1691" s="22" t="n">
        <f aca="false">F1689*F1690</f>
        <v>288</v>
      </c>
      <c r="G1691" s="22" t="n">
        <f aca="false">G1689*G1690</f>
        <v>403.2</v>
      </c>
    </row>
    <row r="1692" customFormat="false" ht="17.15" hidden="false" customHeight="false" outlineLevel="0" collapsed="false">
      <c r="A1692" s="0" t="s">
        <v>554</v>
      </c>
      <c r="B1692" s="0" t="s">
        <v>184</v>
      </c>
      <c r="D1692" s="23" t="n">
        <f aca="false">0</f>
        <v>0</v>
      </c>
      <c r="E1692" s="23" t="n">
        <f aca="false">E1691*vasp*E1686/1000000</f>
        <v>6.63552</v>
      </c>
      <c r="F1692" s="23" t="n">
        <f aca="false">F1691*vasp*F1686/1000000</f>
        <v>16.5888</v>
      </c>
      <c r="G1692" s="23" t="n">
        <f aca="false">G1691*vasp*G1686/1000000</f>
        <v>23.22432</v>
      </c>
    </row>
    <row r="1693" customFormat="false" ht="17.15" hidden="false" customHeight="false" outlineLevel="0" collapsed="false">
      <c r="A1693" s="4" t="s">
        <v>400</v>
      </c>
      <c r="B1693" s="0" t="s">
        <v>184</v>
      </c>
      <c r="C1693" s="23" t="n">
        <f aca="false">a25_rev</f>
        <v>48.591</v>
      </c>
      <c r="D1693" s="23" t="n">
        <f aca="false">D1687+D1692</f>
        <v>58.65206</v>
      </c>
      <c r="E1693" s="23" t="n">
        <f aca="false">E1687+E1692</f>
        <v>69.7400395255885</v>
      </c>
      <c r="F1693" s="23" t="n">
        <f aca="false">F1687+F1692</f>
        <v>76.8886742133401</v>
      </c>
      <c r="G1693" s="23" t="n">
        <f aca="false">G1687+G1692</f>
        <v>84.2253555414022</v>
      </c>
      <c r="H1693" s="29" t="n">
        <f aca="false">G1693*(1+H1696)</f>
        <v>90.7061896343453</v>
      </c>
      <c r="I1693" s="29" t="n">
        <f aca="false">H1693*(1+I1696)</f>
        <v>96.0100687533499</v>
      </c>
      <c r="J1693" s="29" t="n">
        <f aca="false">I1693*(1+J1696)</f>
        <v>99.8504715034839</v>
      </c>
      <c r="K1693" s="8" t="s">
        <v>555</v>
      </c>
    </row>
    <row r="1694" customFormat="false" ht="17.15" hidden="false" customHeight="false" outlineLevel="0" collapsed="false">
      <c r="A1694" s="0" t="s">
        <v>556</v>
      </c>
      <c r="B1694" s="0" t="s">
        <v>48</v>
      </c>
      <c r="D1694" s="20" t="n">
        <f aca="false">D1692/D1693</f>
        <v>0</v>
      </c>
      <c r="E1694" s="20" t="n">
        <f aca="false">E1692/E1693</f>
        <v>0.0951464903825491</v>
      </c>
      <c r="F1694" s="20" t="n">
        <f aca="false">F1692/F1693</f>
        <v>0.215750891398799</v>
      </c>
      <c r="G1694" s="20" t="n">
        <f aca="false">G1692/G1693</f>
        <v>0.275740242955505</v>
      </c>
    </row>
    <row r="1695" customFormat="false" ht="17.15" hidden="false" customHeight="false" outlineLevel="0" collapsed="false">
      <c r="A1695" s="0" t="s">
        <v>557</v>
      </c>
      <c r="B1695" s="0" t="s">
        <v>48</v>
      </c>
      <c r="D1695" s="20" t="n">
        <f aca="false">ai_sh26</f>
        <v>0.1</v>
      </c>
      <c r="E1695" s="20" t="n">
        <f aca="false">ai_sh27_B</f>
        <v>0.2</v>
      </c>
      <c r="F1695" s="20" t="n">
        <f aca="false">ai_sh27_B</f>
        <v>0.2</v>
      </c>
      <c r="G1695" s="20" t="n">
        <f aca="false">ai_sh27_B</f>
        <v>0.2</v>
      </c>
    </row>
    <row r="1696" customFormat="false" ht="15" hidden="false" customHeight="false" outlineLevel="0" collapsed="false">
      <c r="A1696" s="4" t="s">
        <v>558</v>
      </c>
      <c r="B1696" s="0" t="s">
        <v>48</v>
      </c>
      <c r="D1696" s="20" t="n">
        <f aca="false">D1693/C1693-1</f>
        <v>0.207056039184211</v>
      </c>
      <c r="E1696" s="20" t="n">
        <f aca="false">E1693/D1693-1</f>
        <v>0.189046719340949</v>
      </c>
      <c r="F1696" s="20" t="n">
        <f aca="false">F1693/E1693-1</f>
        <v>0.10250402403527</v>
      </c>
      <c r="G1696" s="20" t="n">
        <f aca="false">G1693/F1693-1</f>
        <v>0.095419532240929</v>
      </c>
      <c r="H1696" s="27" t="n">
        <f aca="false">$G1696+(fade_gB-$G1696)*1/3</f>
        <v>0.076946354827286</v>
      </c>
      <c r="I1696" s="27" t="n">
        <f aca="false">$G1696+(fade_gB-$G1696)*2/3</f>
        <v>0.058473177413643</v>
      </c>
      <c r="J1696" s="27" t="n">
        <f aca="false">$G1696+(fade_gB-$G1696)*3/3</f>
        <v>0.04</v>
      </c>
    </row>
    <row r="1697" customFormat="false" ht="17.15" hidden="false" customHeight="false" outlineLevel="0" collapsed="false">
      <c r="A1697" s="6" t="s">
        <v>559</v>
      </c>
    </row>
    <row r="1698" customFormat="false" ht="15" hidden="false" customHeight="false" outlineLevel="0" collapsed="false">
      <c r="A1698" s="4" t="s">
        <v>560</v>
      </c>
      <c r="B1698" s="0" t="s">
        <v>184</v>
      </c>
      <c r="D1698" s="23" t="n">
        <f aca="false">da_tot26*da_sh</f>
        <v>8.658</v>
      </c>
      <c r="E1698" s="23" t="n">
        <f aca="false">D1698*(1+dag_27+dag_adj)</f>
        <v>8.91774</v>
      </c>
      <c r="F1698" s="23" t="n">
        <f aca="false">E1698*(1+dag_28+dag_adj)</f>
        <v>9.0960948</v>
      </c>
      <c r="G1698" s="23" t="n">
        <f aca="false">F1698*(1+dag_29+dag_adj)</f>
        <v>9.0960948</v>
      </c>
    </row>
    <row r="1699" customFormat="false" ht="17.15" hidden="false" customHeight="false" outlineLevel="0" collapsed="false">
      <c r="A1699" s="4" t="s">
        <v>561</v>
      </c>
      <c r="B1699" s="0" t="s">
        <v>562</v>
      </c>
      <c r="D1699" s="23" t="n">
        <f aca="false">(D1687-a26_gp-D1698)/D1683*1000</f>
        <v>10.7339918911001</v>
      </c>
      <c r="E1699" s="23" t="n">
        <f aca="false">D1699*(1+cc_g)</f>
        <v>10.9486717289221</v>
      </c>
      <c r="F1699" s="23" t="n">
        <f aca="false">E1699*(1+cc_g)</f>
        <v>11.1676451635006</v>
      </c>
      <c r="G1699" s="23" t="n">
        <f aca="false">F1699*(1+cc_g)</f>
        <v>11.3909980667706</v>
      </c>
      <c r="K1699" s="8" t="s">
        <v>563</v>
      </c>
    </row>
    <row r="1700" customFormat="false" ht="17.15" hidden="false" customHeight="false" outlineLevel="0" collapsed="false">
      <c r="A1700" s="4" t="s">
        <v>564</v>
      </c>
      <c r="B1700" s="0" t="s">
        <v>184</v>
      </c>
      <c r="D1700" s="23" t="n">
        <f aca="false">D1699*D1683/1000</f>
        <v>30.9620386</v>
      </c>
      <c r="E1700" s="23" t="n">
        <f aca="false">E1699*E1683/1000</f>
        <v>32.576677862235</v>
      </c>
      <c r="F1700" s="23" t="n">
        <f aca="false">F1699*F1683/1000</f>
        <v>31.7514020230583</v>
      </c>
      <c r="G1700" s="23" t="n">
        <f aca="false">G1699*G1683/1000</f>
        <v>32.7630164596069</v>
      </c>
    </row>
    <row r="1701" customFormat="false" ht="17.15" hidden="false" customHeight="false" outlineLevel="0" collapsed="false">
      <c r="A1701" s="0" t="s">
        <v>565</v>
      </c>
      <c r="B1701" s="0" t="s">
        <v>48</v>
      </c>
      <c r="E1701" s="20" t="n">
        <f aca="false">vgm27_B</f>
        <v>-0.05</v>
      </c>
      <c r="F1701" s="20" t="n">
        <f aca="false">vgm28_B</f>
        <v>0.12</v>
      </c>
      <c r="G1701" s="20" t="n">
        <f aca="false">vgm29_B</f>
        <v>0.18</v>
      </c>
    </row>
    <row r="1702" customFormat="false" ht="17.15" hidden="false" customHeight="false" outlineLevel="0" collapsed="false">
      <c r="A1702" s="0" t="s">
        <v>566</v>
      </c>
      <c r="B1702" s="0" t="s">
        <v>184</v>
      </c>
      <c r="D1702" s="23" t="n">
        <f aca="false">0</f>
        <v>0</v>
      </c>
      <c r="E1702" s="23" t="n">
        <f aca="false">E1692*E1701</f>
        <v>-0.331776</v>
      </c>
      <c r="F1702" s="23" t="n">
        <f aca="false">F1692*F1701</f>
        <v>1.990656</v>
      </c>
      <c r="G1702" s="23" t="n">
        <f aca="false">G1692*G1701</f>
        <v>4.1803776</v>
      </c>
    </row>
    <row r="1703" customFormat="false" ht="15" hidden="false" customHeight="false" outlineLevel="0" collapsed="false">
      <c r="A1703" s="4" t="s">
        <v>417</v>
      </c>
      <c r="B1703" s="0" t="s">
        <v>184</v>
      </c>
      <c r="C1703" s="23" t="n">
        <f aca="false">a25_gp</f>
        <v>13.654</v>
      </c>
      <c r="D1703" s="23" t="n">
        <f aca="false">D1687-D1698-D1700+D1702</f>
        <v>19.0320214</v>
      </c>
      <c r="E1703" s="23" t="n">
        <f aca="false">E1687-E1698-E1700+E1702</f>
        <v>21.2783256633535</v>
      </c>
      <c r="F1703" s="23" t="n">
        <f aca="false">F1687-F1698-F1700+F1702</f>
        <v>21.4430333902818</v>
      </c>
      <c r="G1703" s="23" t="n">
        <f aca="false">G1687-G1698-G1700+G1702</f>
        <v>23.3223018817953</v>
      </c>
    </row>
    <row r="1704" customFormat="false" ht="15" hidden="false" customHeight="false" outlineLevel="0" collapsed="false">
      <c r="A1704" s="4" t="s">
        <v>420</v>
      </c>
      <c r="B1704" s="0" t="s">
        <v>48</v>
      </c>
      <c r="C1704" s="16" t="n">
        <f aca="false">C1703/C1693</f>
        <v>0.280998538824062</v>
      </c>
      <c r="D1704" s="16" t="n">
        <f aca="false">D1703/D1693</f>
        <v>0.324490246378388</v>
      </c>
      <c r="E1704" s="16" t="n">
        <f aca="false">E1703/E1693</f>
        <v>0.305109171260883</v>
      </c>
      <c r="F1704" s="16" t="n">
        <f aca="false">F1703/F1693</f>
        <v>0.27888416089455</v>
      </c>
      <c r="G1704" s="16" t="n">
        <f aca="false">G1703/G1693</f>
        <v>0.27690357294284</v>
      </c>
    </row>
    <row r="1705" customFormat="false" ht="15" hidden="false" customHeight="false" outlineLevel="0" collapsed="false">
      <c r="A1705" s="4" t="s">
        <v>422</v>
      </c>
      <c r="B1705" s="0" t="s">
        <v>184</v>
      </c>
      <c r="C1705" s="23" t="n">
        <f aca="false">a25_opx</f>
        <v>5.881</v>
      </c>
      <c r="D1705" s="23" t="n">
        <f aca="false">a26_opx</f>
        <v>6.824187</v>
      </c>
      <c r="E1705" s="23" t="n">
        <f aca="false">D1705*(1+MAX(g_opx_min,phi_hi*E1696))</f>
        <v>7.85625913161532</v>
      </c>
      <c r="F1705" s="23" t="n">
        <f aca="false">E1705*(1+MAX(g_opx_min,phi_hi*F1696))</f>
        <v>8.50049767149885</v>
      </c>
      <c r="G1705" s="23" t="n">
        <f aca="false">F1705*(1+MAX(g_opx_min,phi_hi*G1696))</f>
        <v>9.14938848080247</v>
      </c>
    </row>
    <row r="1706" customFormat="false" ht="15" hidden="false" customHeight="false" outlineLevel="0" collapsed="false">
      <c r="A1706" s="4" t="s">
        <v>425</v>
      </c>
      <c r="B1706" s="0" t="s">
        <v>184</v>
      </c>
      <c r="C1706" s="23" t="n">
        <f aca="false">C1703-C1705</f>
        <v>7.773</v>
      </c>
      <c r="D1706" s="23" t="n">
        <f aca="false">D1703-D1705</f>
        <v>12.2078344</v>
      </c>
      <c r="E1706" s="23" t="n">
        <f aca="false">E1703-E1705</f>
        <v>13.4220665317382</v>
      </c>
      <c r="F1706" s="23" t="n">
        <f aca="false">F1703-F1705</f>
        <v>12.9425357187829</v>
      </c>
      <c r="G1706" s="23" t="n">
        <f aca="false">G1703-G1705</f>
        <v>14.1729134009928</v>
      </c>
    </row>
    <row r="1707" customFormat="false" ht="15" hidden="false" customHeight="false" outlineLevel="0" collapsed="false">
      <c r="A1707" s="4" t="s">
        <v>531</v>
      </c>
      <c r="B1707" s="0" t="s">
        <v>48</v>
      </c>
      <c r="C1707" s="16" t="n">
        <f aca="false">C1706/C1693</f>
        <v>0.159967895289251</v>
      </c>
      <c r="D1707" s="16" t="n">
        <f aca="false">D1706/D1693</f>
        <v>0.208139908470393</v>
      </c>
      <c r="E1707" s="16" t="n">
        <f aca="false">E1706/E1693</f>
        <v>0.192458544948393</v>
      </c>
      <c r="F1707" s="16" t="n">
        <f aca="false">F1706/F1693</f>
        <v>0.168328246665715</v>
      </c>
      <c r="G1707" s="16" t="n">
        <f aca="false">G1706/G1693</f>
        <v>0.16827371413144</v>
      </c>
    </row>
    <row r="1708" customFormat="false" ht="15" hidden="false" customHeight="false" outlineLevel="0" collapsed="false">
      <c r="A1708" s="4" t="s">
        <v>428</v>
      </c>
      <c r="B1708" s="0" t="s">
        <v>184</v>
      </c>
      <c r="C1708" s="23" t="n">
        <f aca="false">a25_nonop</f>
        <v>1.479</v>
      </c>
      <c r="D1708" s="23" t="n">
        <f aca="false">a26_nonop</f>
        <v>2.10950832169955</v>
      </c>
      <c r="E1708" s="23" t="n">
        <f aca="false">nonop_f</f>
        <v>1.5</v>
      </c>
      <c r="F1708" s="23" t="n">
        <f aca="false">nonop_f</f>
        <v>1.5</v>
      </c>
      <c r="G1708" s="23" t="n">
        <f aca="false">nonop_f</f>
        <v>1.5</v>
      </c>
    </row>
    <row r="1709" customFormat="false" ht="15" hidden="false" customHeight="false" outlineLevel="0" collapsed="false">
      <c r="A1709" s="4" t="s">
        <v>430</v>
      </c>
      <c r="B1709" s="0" t="s">
        <v>184</v>
      </c>
      <c r="C1709" s="23" t="n">
        <f aca="false">C1706+C1708</f>
        <v>9.252</v>
      </c>
      <c r="D1709" s="23" t="n">
        <f aca="false">D1706+D1708</f>
        <v>14.3173427216995</v>
      </c>
      <c r="E1709" s="23" t="n">
        <f aca="false">E1706+E1708</f>
        <v>14.9220665317382</v>
      </c>
      <c r="F1709" s="23" t="n">
        <f aca="false">F1706+F1708</f>
        <v>14.4425357187829</v>
      </c>
      <c r="G1709" s="23" t="n">
        <f aca="false">G1706+G1708</f>
        <v>15.6729134009928</v>
      </c>
    </row>
    <row r="1710" customFormat="false" ht="15" hidden="false" customHeight="false" outlineLevel="0" collapsed="false">
      <c r="A1710" s="4" t="s">
        <v>432</v>
      </c>
      <c r="B1710" s="0" t="s">
        <v>184</v>
      </c>
      <c r="C1710" s="23" t="n">
        <f aca="false">a25_tax</f>
        <v>1.344</v>
      </c>
      <c r="D1710" s="23" t="n">
        <f aca="false">a26_tax</f>
        <v>2.0798215108046</v>
      </c>
      <c r="E1710" s="23" t="n">
        <f aca="false">E1709*tax</f>
        <v>2.23830997976073</v>
      </c>
      <c r="F1710" s="23" t="n">
        <f aca="false">F1709*tax</f>
        <v>2.16638035781744</v>
      </c>
      <c r="G1710" s="23" t="n">
        <f aca="false">G1709*tax</f>
        <v>2.35093701014892</v>
      </c>
    </row>
    <row r="1711" customFormat="false" ht="17.15" hidden="false" customHeight="false" outlineLevel="0" collapsed="false">
      <c r="A1711" s="4" t="s">
        <v>567</v>
      </c>
      <c r="B1711" s="0" t="s">
        <v>184</v>
      </c>
      <c r="C1711" s="23" t="n">
        <f aca="false">a25_mi</f>
        <v>0</v>
      </c>
      <c r="D1711" s="23" t="n">
        <f aca="false">a26_mi</f>
        <v>0</v>
      </c>
      <c r="E1711" s="23" t="n">
        <f aca="false">vmi*E1702*(1-tax)</f>
        <v>-0.11280384</v>
      </c>
      <c r="F1711" s="23" t="n">
        <f aca="false">vmi*F1702*(1-tax)</f>
        <v>0.67682304</v>
      </c>
      <c r="G1711" s="23" t="n">
        <f aca="false">vmi*G1702*(1-tax)</f>
        <v>1.421328384</v>
      </c>
      <c r="K1711" s="8" t="s">
        <v>568</v>
      </c>
    </row>
    <row r="1712" customFormat="false" ht="15" hidden="false" customHeight="false" outlineLevel="0" collapsed="false">
      <c r="A1712" s="4" t="s">
        <v>435</v>
      </c>
      <c r="B1712" s="0" t="s">
        <v>184</v>
      </c>
      <c r="C1712" s="23" t="n">
        <f aca="false">C1709-C1710-C1711</f>
        <v>7.908</v>
      </c>
      <c r="D1712" s="23" t="n">
        <f aca="false">D1709-D1710-D1711</f>
        <v>12.2375212108949</v>
      </c>
      <c r="E1712" s="23" t="n">
        <f aca="false">E1709-E1710-E1711</f>
        <v>12.7965603919775</v>
      </c>
      <c r="F1712" s="23" t="n">
        <f aca="false">F1709-F1710-F1711</f>
        <v>11.5993323209655</v>
      </c>
      <c r="G1712" s="23" t="n">
        <f aca="false">G1709-G1710-G1711</f>
        <v>11.9006480068439</v>
      </c>
      <c r="H1712" s="29" t="n">
        <f aca="false">H1693*H1716</f>
        <v>12.389147508018</v>
      </c>
      <c r="I1712" s="29" t="n">
        <f aca="false">I1693*I1716</f>
        <v>12.6613879031458</v>
      </c>
      <c r="J1712" s="29" t="n">
        <f aca="false">J1693*J1716</f>
        <v>12.6975632971548</v>
      </c>
    </row>
    <row r="1713" customFormat="false" ht="15" hidden="false" customHeight="false" outlineLevel="0" collapsed="false">
      <c r="A1713" s="4" t="s">
        <v>569</v>
      </c>
      <c r="B1713" s="4" t="s">
        <v>265</v>
      </c>
      <c r="C1713" s="10" t="n">
        <f aca="false">a25_sh</f>
        <v>1.8739336492891</v>
      </c>
      <c r="D1713" s="10" t="n">
        <f aca="false">a26_sh</f>
        <v>1.90613591916558</v>
      </c>
      <c r="E1713" s="10" t="n">
        <f aca="false">q_sh*(1+sh_g)</f>
        <v>1.90705128205128</v>
      </c>
      <c r="F1713" s="10" t="n">
        <f aca="false">E1713*(1+sh_g)</f>
        <v>1.90705128205128</v>
      </c>
      <c r="G1713" s="10" t="n">
        <f aca="false">F1713*(1+sh_g)</f>
        <v>1.90705128205128</v>
      </c>
      <c r="H1713" s="31" t="n">
        <f aca="false">G1713*(1+sh_g)</f>
        <v>1.90705128205128</v>
      </c>
      <c r="I1713" s="31" t="n">
        <f aca="false">H1713*(1+sh_g)</f>
        <v>1.90705128205128</v>
      </c>
      <c r="J1713" s="31" t="n">
        <f aca="false">I1713*(1+sh_g)</f>
        <v>1.90705128205128</v>
      </c>
    </row>
    <row r="1714" customFormat="false" ht="17.15" hidden="false" customHeight="false" outlineLevel="0" collapsed="false">
      <c r="A1714" s="0" t="s">
        <v>442</v>
      </c>
      <c r="B1714" s="0" t="s">
        <v>274</v>
      </c>
      <c r="C1714" s="23" t="n">
        <f aca="false">C1712/C1713</f>
        <v>4.22</v>
      </c>
      <c r="D1714" s="23" t="n">
        <f aca="false">D1712/D1713</f>
        <v>6.42006747150118</v>
      </c>
      <c r="E1714" s="23" t="n">
        <f aca="false">E1712/E1713</f>
        <v>6.7101291467176</v>
      </c>
      <c r="F1714" s="23" t="n">
        <f aca="false">F1712/F1713</f>
        <v>6.08233896494324</v>
      </c>
      <c r="G1714" s="23" t="n">
        <f aca="false">G1712/G1713</f>
        <v>6.24033979518536</v>
      </c>
      <c r="H1714" s="29" t="n">
        <f aca="false">H1712/H1713</f>
        <v>6.49649415546491</v>
      </c>
      <c r="I1714" s="29" t="n">
        <f aca="false">I1712/I1713</f>
        <v>6.63924878282603</v>
      </c>
      <c r="J1714" s="29" t="n">
        <f aca="false">J1712/J1713</f>
        <v>6.65821806506267</v>
      </c>
    </row>
    <row r="1715" customFormat="false" ht="17.15" hidden="false" customHeight="false" outlineLevel="0" collapsed="false">
      <c r="A1715" s="0" t="s">
        <v>570</v>
      </c>
      <c r="B1715" s="0" t="s">
        <v>48</v>
      </c>
      <c r="D1715" s="20" t="n">
        <f aca="false">D1714/C1714-1</f>
        <v>0.521343002725398</v>
      </c>
      <c r="E1715" s="20" t="n">
        <f aca="false">E1714/D1714-1</f>
        <v>0.04518047146763</v>
      </c>
      <c r="F1715" s="20" t="n">
        <f aca="false">F1714/E1714-1</f>
        <v>-0.093558584052209</v>
      </c>
      <c r="G1715" s="20" t="n">
        <f aca="false">G1714/F1714-1</f>
        <v>0.0259769853592149</v>
      </c>
      <c r="H1715" s="27" t="n">
        <f aca="false">H1714/G1714-1</f>
        <v>0.0410481429997098</v>
      </c>
      <c r="I1715" s="27" t="n">
        <f aca="false">I1714/H1714-1</f>
        <v>0.0219741023304141</v>
      </c>
      <c r="J1715" s="27" t="n">
        <f aca="false">J1714/I1714-1</f>
        <v>0.00285714285714289</v>
      </c>
    </row>
    <row r="1716" customFormat="false" ht="17.15" hidden="false" customHeight="false" outlineLevel="0" collapsed="false">
      <c r="A1716" s="4" t="s">
        <v>571</v>
      </c>
      <c r="B1716" s="0" t="s">
        <v>48</v>
      </c>
      <c r="C1716" s="16" t="n">
        <f aca="false">C1712/C1693</f>
        <v>0.162746187565599</v>
      </c>
      <c r="D1716" s="16" t="n">
        <f aca="false">D1712/D1693</f>
        <v>0.208646059676249</v>
      </c>
      <c r="E1716" s="16" t="n">
        <f aca="false">E1712/E1693</f>
        <v>0.18348943417622</v>
      </c>
      <c r="F1716" s="16" t="n">
        <f aca="false">F1712/F1693</f>
        <v>0.150858789537471</v>
      </c>
      <c r="G1716" s="16" t="n">
        <f aca="false">G1712/G1693</f>
        <v>0.141295313392817</v>
      </c>
      <c r="H1716" s="28" t="n">
        <f aca="false">$G1716+($G$1716*0.9-$G1716)*1/3</f>
        <v>0.136585469613057</v>
      </c>
      <c r="I1716" s="28" t="n">
        <f aca="false">$G1716+($G$1716*0.9-$G1716)*2/3</f>
        <v>0.131875625833296</v>
      </c>
      <c r="J1716" s="28" t="n">
        <f aca="false">$G1716+($G$1716*0.9-$G1716)*3/3</f>
        <v>0.127165782053535</v>
      </c>
    </row>
    <row r="1719" customFormat="false" ht="17.15" hidden="false" customHeight="false" outlineLevel="0" collapsed="false">
      <c r="A1719" s="1" t="s">
        <v>886</v>
      </c>
    </row>
    <row r="1720" customFormat="false" ht="17.15" hidden="false" customHeight="false" outlineLevel="0" collapsed="false">
      <c r="A1720" s="5" t="s">
        <v>24</v>
      </c>
      <c r="B1720" s="5" t="s">
        <v>25</v>
      </c>
      <c r="C1720" s="17" t="s">
        <v>394</v>
      </c>
      <c r="D1720" s="17" t="s">
        <v>521</v>
      </c>
      <c r="E1720" s="17" t="s">
        <v>480</v>
      </c>
      <c r="F1720" s="17" t="s">
        <v>481</v>
      </c>
      <c r="G1720" s="17" t="s">
        <v>482</v>
      </c>
      <c r="H1720" s="17" t="s">
        <v>522</v>
      </c>
      <c r="I1720" s="17" t="s">
        <v>523</v>
      </c>
      <c r="J1720" s="17" t="s">
        <v>524</v>
      </c>
      <c r="K1720" s="5" t="s">
        <v>357</v>
      </c>
    </row>
    <row r="1721" customFormat="false" ht="17.15" hidden="false" customHeight="false" outlineLevel="0" collapsed="false">
      <c r="A1721" s="6" t="s">
        <v>542</v>
      </c>
    </row>
    <row r="1722" customFormat="false" ht="17.15" hidden="false" customHeight="false" outlineLevel="0" collapsed="false">
      <c r="A1722" s="4" t="s">
        <v>543</v>
      </c>
      <c r="B1722" s="4" t="s">
        <v>42</v>
      </c>
      <c r="D1722" s="22" t="n">
        <f aca="false">cap_26</f>
        <v>3306</v>
      </c>
      <c r="E1722" s="22" t="n">
        <f aca="false">D1722*(1+capg27)*cap_adj</f>
        <v>3306</v>
      </c>
      <c r="F1722" s="22" t="n">
        <f aca="false">E1722*(1+capg28)</f>
        <v>3306</v>
      </c>
      <c r="G1722" s="22" t="n">
        <f aca="false">F1722*(1+capg29)</f>
        <v>3306</v>
      </c>
    </row>
    <row r="1723" customFormat="false" ht="15" hidden="false" customHeight="false" outlineLevel="0" collapsed="false">
      <c r="A1723" s="4" t="s">
        <v>544</v>
      </c>
      <c r="B1723" s="0" t="s">
        <v>48</v>
      </c>
      <c r="D1723" s="20" t="n">
        <f aca="false">a26_ship/cap_26</f>
        <v>0.8725</v>
      </c>
      <c r="E1723" s="20" t="n">
        <f aca="false">MIN(0.98,ut27_C+ut_adj)</f>
        <v>0.8</v>
      </c>
      <c r="F1723" s="20" t="n">
        <f aca="false">MIN(0.98,ut28_C+ut_adj)</f>
        <v>0.74</v>
      </c>
      <c r="G1723" s="20" t="n">
        <f aca="false">MIN(0.98,ut29_C+ut_adj)</f>
        <v>0.78</v>
      </c>
    </row>
    <row r="1724" customFormat="false" ht="17.15" hidden="false" customHeight="false" outlineLevel="0" collapsed="false">
      <c r="A1724" s="4" t="s">
        <v>545</v>
      </c>
      <c r="B1724" s="4" t="s">
        <v>42</v>
      </c>
      <c r="D1724" s="22" t="n">
        <f aca="false">D1722*D1723</f>
        <v>2884.485</v>
      </c>
      <c r="E1724" s="22" t="n">
        <f aca="false">E1722*E1723</f>
        <v>2644.8</v>
      </c>
      <c r="F1724" s="22" t="n">
        <f aca="false">F1722*F1723</f>
        <v>2446.44</v>
      </c>
      <c r="G1724" s="22" t="n">
        <f aca="false">G1722*G1723</f>
        <v>2578.68</v>
      </c>
    </row>
    <row r="1725" customFormat="false" ht="17.15" hidden="false" customHeight="false" outlineLevel="0" collapsed="false">
      <c r="A1725" s="4" t="s">
        <v>546</v>
      </c>
      <c r="B1725" s="0" t="s">
        <v>89</v>
      </c>
      <c r="D1725" s="22" t="n">
        <f aca="false">asp_26</f>
        <v>643.469405492234</v>
      </c>
      <c r="E1725" s="22" t="n">
        <f aca="false">D1725*(1+asp27_C)*(1+asp_adj)</f>
        <v>624.165323327467</v>
      </c>
      <c r="F1725" s="22" t="n">
        <f aca="false">E1725*(1+asp28_C)</f>
        <v>592.957057161093</v>
      </c>
      <c r="G1725" s="22" t="n">
        <f aca="false">F1725*(1+asp29_C)</f>
        <v>581.097916017871</v>
      </c>
    </row>
    <row r="1726" customFormat="false" ht="15" hidden="false" customHeight="false" outlineLevel="0" collapsed="false">
      <c r="A1726" s="4" t="s">
        <v>547</v>
      </c>
      <c r="B1726" s="0" t="s">
        <v>48</v>
      </c>
      <c r="E1726" s="20" t="n">
        <f aca="false">E1725/D1725-1</f>
        <v>-0.03</v>
      </c>
      <c r="F1726" s="20" t="n">
        <f aca="false">F1725/E1725-1</f>
        <v>-0.05</v>
      </c>
      <c r="G1726" s="20" t="n">
        <f aca="false">G1725/F1725-1</f>
        <v>-0.02</v>
      </c>
    </row>
    <row r="1727" customFormat="false" ht="15" hidden="false" customHeight="false" outlineLevel="0" collapsed="false">
      <c r="A1727" s="4" t="s">
        <v>548</v>
      </c>
      <c r="B1727" s="0" t="s">
        <v>35</v>
      </c>
      <c r="D1727" s="23" t="n">
        <f aca="false">fx_26</f>
        <v>31.6</v>
      </c>
      <c r="E1727" s="23" t="n">
        <f aca="false">fx</f>
        <v>32</v>
      </c>
      <c r="F1727" s="23" t="n">
        <f aca="false">fx</f>
        <v>32</v>
      </c>
      <c r="G1727" s="23" t="n">
        <f aca="false">fx</f>
        <v>32</v>
      </c>
    </row>
    <row r="1728" customFormat="false" ht="17.15" hidden="false" customHeight="false" outlineLevel="0" collapsed="false">
      <c r="A1728" s="0" t="s">
        <v>549</v>
      </c>
      <c r="B1728" s="0" t="s">
        <v>184</v>
      </c>
      <c r="D1728" s="23" t="n">
        <f aca="false">D1724*D1725*D1727/1000000</f>
        <v>58.65206</v>
      </c>
      <c r="E1728" s="23" t="n">
        <f aca="false">E1724*E1725*E1727/1000000</f>
        <v>52.8253583083675</v>
      </c>
      <c r="F1728" s="23" t="n">
        <f aca="false">F1724*F1725*F1727/1000000</f>
        <v>46.4202836134779</v>
      </c>
      <c r="G1728" s="23" t="n">
        <f aca="false">G1724*G1725*G1727/1000000</f>
        <v>47.9508983704629</v>
      </c>
    </row>
    <row r="1729" customFormat="false" ht="17.15" hidden="false" customHeight="false" outlineLevel="0" collapsed="false">
      <c r="A1729" s="6" t="s">
        <v>550</v>
      </c>
    </row>
    <row r="1730" customFormat="false" ht="17.15" hidden="false" customHeight="false" outlineLevel="0" collapsed="false">
      <c r="A1730" s="0" t="s">
        <v>551</v>
      </c>
      <c r="B1730" s="4" t="s">
        <v>42</v>
      </c>
      <c r="D1730" s="22" t="n">
        <f aca="false">0</f>
        <v>0</v>
      </c>
      <c r="E1730" s="22" t="n">
        <f aca="false">vcap27*vcap_adj</f>
        <v>144</v>
      </c>
      <c r="F1730" s="22" t="n">
        <f aca="false">vcap28*vcap_adj</f>
        <v>360</v>
      </c>
      <c r="G1730" s="22" t="n">
        <f aca="false">vcap29*vcap_adj</f>
        <v>504</v>
      </c>
    </row>
    <row r="1731" customFormat="false" ht="17.15" hidden="false" customHeight="false" outlineLevel="0" collapsed="false">
      <c r="A1731" s="0" t="s">
        <v>552</v>
      </c>
      <c r="B1731" s="0" t="s">
        <v>48</v>
      </c>
      <c r="E1731" s="20" t="n">
        <f aca="false">vut_C</f>
        <v>0.65</v>
      </c>
      <c r="F1731" s="20" t="n">
        <f aca="false">vut_C</f>
        <v>0.65</v>
      </c>
      <c r="G1731" s="20" t="n">
        <f aca="false">vut_C</f>
        <v>0.65</v>
      </c>
    </row>
    <row r="1732" customFormat="false" ht="17.15" hidden="false" customHeight="false" outlineLevel="0" collapsed="false">
      <c r="A1732" s="0" t="s">
        <v>553</v>
      </c>
      <c r="B1732" s="4" t="s">
        <v>42</v>
      </c>
      <c r="D1732" s="22" t="n">
        <f aca="false">0</f>
        <v>0</v>
      </c>
      <c r="E1732" s="22" t="n">
        <f aca="false">E1730*E1731</f>
        <v>93.6</v>
      </c>
      <c r="F1732" s="22" t="n">
        <f aca="false">F1730*F1731</f>
        <v>234</v>
      </c>
      <c r="G1732" s="22" t="n">
        <f aca="false">G1730*G1731</f>
        <v>327.6</v>
      </c>
    </row>
    <row r="1733" customFormat="false" ht="17.15" hidden="false" customHeight="false" outlineLevel="0" collapsed="false">
      <c r="A1733" s="0" t="s">
        <v>554</v>
      </c>
      <c r="B1733" s="0" t="s">
        <v>184</v>
      </c>
      <c r="D1733" s="23" t="n">
        <f aca="false">0</f>
        <v>0</v>
      </c>
      <c r="E1733" s="23" t="n">
        <f aca="false">E1732*vasp*E1727/1000000</f>
        <v>5.39136</v>
      </c>
      <c r="F1733" s="23" t="n">
        <f aca="false">F1732*vasp*F1727/1000000</f>
        <v>13.4784</v>
      </c>
      <c r="G1733" s="23" t="n">
        <f aca="false">G1732*vasp*G1727/1000000</f>
        <v>18.86976</v>
      </c>
    </row>
    <row r="1734" customFormat="false" ht="17.15" hidden="false" customHeight="false" outlineLevel="0" collapsed="false">
      <c r="A1734" s="4" t="s">
        <v>400</v>
      </c>
      <c r="B1734" s="0" t="s">
        <v>184</v>
      </c>
      <c r="C1734" s="23" t="n">
        <f aca="false">a25_rev</f>
        <v>48.591</v>
      </c>
      <c r="D1734" s="23" t="n">
        <f aca="false">D1728+D1733</f>
        <v>58.65206</v>
      </c>
      <c r="E1734" s="23" t="n">
        <f aca="false">E1728+E1733</f>
        <v>58.2167183083675</v>
      </c>
      <c r="F1734" s="23" t="n">
        <f aca="false">F1728+F1733</f>
        <v>59.8986836134779</v>
      </c>
      <c r="G1734" s="23" t="n">
        <f aca="false">G1728+G1733</f>
        <v>66.8206583704629</v>
      </c>
      <c r="H1734" s="29" t="n">
        <f aca="false">G1734*(1+H1737)</f>
        <v>72.4140545845787</v>
      </c>
      <c r="I1734" s="29" t="n">
        <f aca="false">H1734*(1+I1737)</f>
        <v>76.1689980934585</v>
      </c>
      <c r="J1734" s="29" t="n">
        <f aca="false">I1734*(1+J1737)</f>
        <v>77.6923780553276</v>
      </c>
      <c r="K1734" s="8" t="s">
        <v>555</v>
      </c>
    </row>
    <row r="1735" customFormat="false" ht="17.15" hidden="false" customHeight="false" outlineLevel="0" collapsed="false">
      <c r="A1735" s="0" t="s">
        <v>556</v>
      </c>
      <c r="B1735" s="0" t="s">
        <v>48</v>
      </c>
      <c r="D1735" s="20" t="n">
        <f aca="false">D1733/D1734</f>
        <v>0</v>
      </c>
      <c r="E1735" s="20" t="n">
        <f aca="false">E1733/E1734</f>
        <v>0.0926084491991212</v>
      </c>
      <c r="F1735" s="20" t="n">
        <f aca="false">F1733/F1734</f>
        <v>0.225019970171218</v>
      </c>
      <c r="G1735" s="20" t="n">
        <f aca="false">G1733/G1734</f>
        <v>0.28239410475999</v>
      </c>
    </row>
    <row r="1736" customFormat="false" ht="17.15" hidden="false" customHeight="false" outlineLevel="0" collapsed="false">
      <c r="A1736" s="0" t="s">
        <v>557</v>
      </c>
      <c r="B1736" s="0" t="s">
        <v>48</v>
      </c>
      <c r="D1736" s="20" t="n">
        <f aca="false">ai_sh26</f>
        <v>0.1</v>
      </c>
      <c r="E1736" s="20" t="n">
        <f aca="false">ai_sh27_C</f>
        <v>0.15</v>
      </c>
      <c r="F1736" s="20" t="n">
        <f aca="false">ai_sh27_C</f>
        <v>0.15</v>
      </c>
      <c r="G1736" s="20" t="n">
        <f aca="false">ai_sh27_C</f>
        <v>0.15</v>
      </c>
    </row>
    <row r="1737" customFormat="false" ht="15" hidden="false" customHeight="false" outlineLevel="0" collapsed="false">
      <c r="A1737" s="4" t="s">
        <v>558</v>
      </c>
      <c r="B1737" s="0" t="s">
        <v>48</v>
      </c>
      <c r="D1737" s="20" t="n">
        <f aca="false">D1734/C1734-1</f>
        <v>0.207056039184211</v>
      </c>
      <c r="E1737" s="20" t="n">
        <f aca="false">E1734/D1734-1</f>
        <v>-0.0074224450365854</v>
      </c>
      <c r="F1737" s="20" t="n">
        <f aca="false">F1734/E1734-1</f>
        <v>0.028891448264075</v>
      </c>
      <c r="G1737" s="20" t="n">
        <f aca="false">G1734/F1734-1</f>
        <v>0.115561383646625</v>
      </c>
      <c r="H1737" s="27" t="n">
        <f aca="false">$G1737+(fade_gC-$G1737)*1/3</f>
        <v>0.0837075890977501</v>
      </c>
      <c r="I1737" s="27" t="n">
        <f aca="false">$G1737+(fade_gC-$G1737)*2/3</f>
        <v>0.0518537945488751</v>
      </c>
      <c r="J1737" s="27" t="n">
        <f aca="false">$G1737+(fade_gC-$G1737)*3/3</f>
        <v>0.02</v>
      </c>
    </row>
    <row r="1738" customFormat="false" ht="17.15" hidden="false" customHeight="false" outlineLevel="0" collapsed="false">
      <c r="A1738" s="6" t="s">
        <v>559</v>
      </c>
    </row>
    <row r="1739" customFormat="false" ht="15" hidden="false" customHeight="false" outlineLevel="0" collapsed="false">
      <c r="A1739" s="4" t="s">
        <v>560</v>
      </c>
      <c r="B1739" s="0" t="s">
        <v>184</v>
      </c>
      <c r="D1739" s="23" t="n">
        <f aca="false">da_tot26*da_sh</f>
        <v>8.658</v>
      </c>
      <c r="E1739" s="23" t="n">
        <f aca="false">D1739*(1+dag_27+dag_adj)</f>
        <v>8.91774</v>
      </c>
      <c r="F1739" s="23" t="n">
        <f aca="false">E1739*(1+dag_28+dag_adj)</f>
        <v>9.0960948</v>
      </c>
      <c r="G1739" s="23" t="n">
        <f aca="false">F1739*(1+dag_29+dag_adj)</f>
        <v>9.0960948</v>
      </c>
    </row>
    <row r="1740" customFormat="false" ht="17.15" hidden="false" customHeight="false" outlineLevel="0" collapsed="false">
      <c r="A1740" s="4" t="s">
        <v>561</v>
      </c>
      <c r="B1740" s="0" t="s">
        <v>562</v>
      </c>
      <c r="D1740" s="23" t="n">
        <f aca="false">(D1728-a26_gp-D1739)/D1724*1000</f>
        <v>10.7339918911001</v>
      </c>
      <c r="E1740" s="23" t="n">
        <f aca="false">D1740*(1+cc_g)</f>
        <v>10.9486717289221</v>
      </c>
      <c r="F1740" s="23" t="n">
        <f aca="false">E1740*(1+cc_g)</f>
        <v>11.1676451635006</v>
      </c>
      <c r="G1740" s="23" t="n">
        <f aca="false">F1740*(1+cc_g)</f>
        <v>11.3909980667706</v>
      </c>
      <c r="K1740" s="8" t="s">
        <v>563</v>
      </c>
    </row>
    <row r="1741" customFormat="false" ht="17.15" hidden="false" customHeight="false" outlineLevel="0" collapsed="false">
      <c r="A1741" s="4" t="s">
        <v>564</v>
      </c>
      <c r="B1741" s="0" t="s">
        <v>184</v>
      </c>
      <c r="D1741" s="23" t="n">
        <f aca="false">D1740*D1724/1000</f>
        <v>30.9620386</v>
      </c>
      <c r="E1741" s="23" t="n">
        <f aca="false">E1740*E1724/1000</f>
        <v>28.9570469886533</v>
      </c>
      <c r="F1741" s="23" t="n">
        <f aca="false">F1740*F1724/1000</f>
        <v>27.3209738337944</v>
      </c>
      <c r="G1741" s="23" t="n">
        <f aca="false">G1740*G1724/1000</f>
        <v>29.37373889482</v>
      </c>
    </row>
    <row r="1742" customFormat="false" ht="17.15" hidden="false" customHeight="false" outlineLevel="0" collapsed="false">
      <c r="A1742" s="0" t="s">
        <v>565</v>
      </c>
      <c r="B1742" s="0" t="s">
        <v>48</v>
      </c>
      <c r="E1742" s="20" t="n">
        <f aca="false">vgm27_C</f>
        <v>-0.2</v>
      </c>
      <c r="F1742" s="20" t="n">
        <f aca="false">vgm28_C</f>
        <v>0</v>
      </c>
      <c r="G1742" s="20" t="n">
        <f aca="false">vgm29_C</f>
        <v>0.05</v>
      </c>
    </row>
    <row r="1743" customFormat="false" ht="17.15" hidden="false" customHeight="false" outlineLevel="0" collapsed="false">
      <c r="A1743" s="0" t="s">
        <v>566</v>
      </c>
      <c r="B1743" s="0" t="s">
        <v>184</v>
      </c>
      <c r="D1743" s="23" t="n">
        <f aca="false">0</f>
        <v>0</v>
      </c>
      <c r="E1743" s="23" t="n">
        <f aca="false">E1733*E1742</f>
        <v>-1.078272</v>
      </c>
      <c r="F1743" s="23" t="n">
        <f aca="false">F1733*F1742</f>
        <v>0</v>
      </c>
      <c r="G1743" s="23" t="n">
        <f aca="false">G1733*G1742</f>
        <v>0.943488</v>
      </c>
    </row>
    <row r="1744" customFormat="false" ht="15" hidden="false" customHeight="false" outlineLevel="0" collapsed="false">
      <c r="A1744" s="4" t="s">
        <v>417</v>
      </c>
      <c r="B1744" s="0" t="s">
        <v>184</v>
      </c>
      <c r="C1744" s="23" t="n">
        <f aca="false">a25_gp</f>
        <v>13.654</v>
      </c>
      <c r="D1744" s="23" t="n">
        <f aca="false">D1728-D1739-D1741+D1743</f>
        <v>19.0320214</v>
      </c>
      <c r="E1744" s="23" t="n">
        <f aca="false">E1728-E1739-E1741+E1743</f>
        <v>13.8722993197142</v>
      </c>
      <c r="F1744" s="23" t="n">
        <f aca="false">F1728-F1739-F1741+F1743</f>
        <v>10.0032149796835</v>
      </c>
      <c r="G1744" s="23" t="n">
        <f aca="false">G1728-G1739-G1741+G1743</f>
        <v>10.4245526756429</v>
      </c>
    </row>
    <row r="1745" customFormat="false" ht="15" hidden="false" customHeight="false" outlineLevel="0" collapsed="false">
      <c r="A1745" s="4" t="s">
        <v>420</v>
      </c>
      <c r="B1745" s="0" t="s">
        <v>48</v>
      </c>
      <c r="C1745" s="16" t="n">
        <f aca="false">C1744/C1734</f>
        <v>0.280998538824062</v>
      </c>
      <c r="D1745" s="16" t="n">
        <f aca="false">D1744/D1734</f>
        <v>0.324490246378388</v>
      </c>
      <c r="E1745" s="16" t="n">
        <f aca="false">E1744/E1734</f>
        <v>0.238287208946306</v>
      </c>
      <c r="F1745" s="16" t="n">
        <f aca="false">F1744/F1734</f>
        <v>0.167002250737822</v>
      </c>
      <c r="G1745" s="16" t="n">
        <f aca="false">G1744/G1734</f>
        <v>0.156007931227611</v>
      </c>
    </row>
    <row r="1746" customFormat="false" ht="15" hidden="false" customHeight="false" outlineLevel="0" collapsed="false">
      <c r="A1746" s="4" t="s">
        <v>422</v>
      </c>
      <c r="B1746" s="0" t="s">
        <v>184</v>
      </c>
      <c r="C1746" s="23" t="n">
        <f aca="false">a25_opx</f>
        <v>5.881</v>
      </c>
      <c r="D1746" s="23" t="n">
        <f aca="false">a26_opx</f>
        <v>6.824187</v>
      </c>
      <c r="E1746" s="23" t="n">
        <f aca="false">D1746*(1+MAX(g_opx_min,phi_hi*E1737))</f>
        <v>7.02891261</v>
      </c>
      <c r="F1746" s="23" t="n">
        <f aca="false">E1746*(1+MAX(g_opx_min,phi_hi*F1737))</f>
        <v>7.2397799883</v>
      </c>
      <c r="G1746" s="23" t="n">
        <f aca="false">F1746*(1+MAX(g_opx_min,phi_hi*G1737))</f>
        <v>7.90909118249608</v>
      </c>
    </row>
    <row r="1747" customFormat="false" ht="15" hidden="false" customHeight="false" outlineLevel="0" collapsed="false">
      <c r="A1747" s="4" t="s">
        <v>425</v>
      </c>
      <c r="B1747" s="0" t="s">
        <v>184</v>
      </c>
      <c r="C1747" s="23" t="n">
        <f aca="false">C1744-C1746</f>
        <v>7.773</v>
      </c>
      <c r="D1747" s="23" t="n">
        <f aca="false">D1744-D1746</f>
        <v>12.2078344</v>
      </c>
      <c r="E1747" s="23" t="n">
        <f aca="false">E1744-E1746</f>
        <v>6.8433867097142</v>
      </c>
      <c r="F1747" s="23" t="n">
        <f aca="false">F1744-F1746</f>
        <v>2.76343499138354</v>
      </c>
      <c r="G1747" s="23" t="n">
        <f aca="false">G1744-G1746</f>
        <v>2.51546149314678</v>
      </c>
    </row>
    <row r="1748" customFormat="false" ht="15" hidden="false" customHeight="false" outlineLevel="0" collapsed="false">
      <c r="A1748" s="4" t="s">
        <v>531</v>
      </c>
      <c r="B1748" s="0" t="s">
        <v>48</v>
      </c>
      <c r="C1748" s="16" t="n">
        <f aca="false">C1747/C1734</f>
        <v>0.159967895289251</v>
      </c>
      <c r="D1748" s="16" t="n">
        <f aca="false">D1747/D1734</f>
        <v>0.208139908470393</v>
      </c>
      <c r="E1748" s="16" t="n">
        <f aca="false">E1747/E1734</f>
        <v>0.117550197066512</v>
      </c>
      <c r="F1748" s="16" t="n">
        <f aca="false">F1747/F1734</f>
        <v>0.046135153974598</v>
      </c>
      <c r="G1748" s="16" t="n">
        <f aca="false">G1747/G1734</f>
        <v>0.0376449672076069</v>
      </c>
    </row>
    <row r="1749" customFormat="false" ht="15" hidden="false" customHeight="false" outlineLevel="0" collapsed="false">
      <c r="A1749" s="4" t="s">
        <v>428</v>
      </c>
      <c r="B1749" s="0" t="s">
        <v>184</v>
      </c>
      <c r="C1749" s="23" t="n">
        <f aca="false">a25_nonop</f>
        <v>1.479</v>
      </c>
      <c r="D1749" s="23" t="n">
        <f aca="false">a26_nonop</f>
        <v>2.10950832169955</v>
      </c>
      <c r="E1749" s="23" t="n">
        <f aca="false">nonop_f</f>
        <v>1.5</v>
      </c>
      <c r="F1749" s="23" t="n">
        <f aca="false">nonop_f</f>
        <v>1.5</v>
      </c>
      <c r="G1749" s="23" t="n">
        <f aca="false">nonop_f</f>
        <v>1.5</v>
      </c>
    </row>
    <row r="1750" customFormat="false" ht="15" hidden="false" customHeight="false" outlineLevel="0" collapsed="false">
      <c r="A1750" s="4" t="s">
        <v>430</v>
      </c>
      <c r="B1750" s="0" t="s">
        <v>184</v>
      </c>
      <c r="C1750" s="23" t="n">
        <f aca="false">C1747+C1749</f>
        <v>9.252</v>
      </c>
      <c r="D1750" s="23" t="n">
        <f aca="false">D1747+D1749</f>
        <v>14.3173427216995</v>
      </c>
      <c r="E1750" s="23" t="n">
        <f aca="false">E1747+E1749</f>
        <v>8.3433867097142</v>
      </c>
      <c r="F1750" s="23" t="n">
        <f aca="false">F1747+F1749</f>
        <v>4.26343499138354</v>
      </c>
      <c r="G1750" s="23" t="n">
        <f aca="false">G1747+G1749</f>
        <v>4.01546149314678</v>
      </c>
    </row>
    <row r="1751" customFormat="false" ht="15" hidden="false" customHeight="false" outlineLevel="0" collapsed="false">
      <c r="A1751" s="4" t="s">
        <v>432</v>
      </c>
      <c r="B1751" s="0" t="s">
        <v>184</v>
      </c>
      <c r="C1751" s="23" t="n">
        <f aca="false">a25_tax</f>
        <v>1.344</v>
      </c>
      <c r="D1751" s="23" t="n">
        <f aca="false">a26_tax</f>
        <v>2.0798215108046</v>
      </c>
      <c r="E1751" s="23" t="n">
        <f aca="false">E1750*tax</f>
        <v>1.25150800645713</v>
      </c>
      <c r="F1751" s="23" t="n">
        <f aca="false">F1750*tax</f>
        <v>0.63951524870753</v>
      </c>
      <c r="G1751" s="23" t="n">
        <f aca="false">G1750*tax</f>
        <v>0.602319223972017</v>
      </c>
    </row>
    <row r="1752" customFormat="false" ht="17.15" hidden="false" customHeight="false" outlineLevel="0" collapsed="false">
      <c r="A1752" s="4" t="s">
        <v>567</v>
      </c>
      <c r="B1752" s="0" t="s">
        <v>184</v>
      </c>
      <c r="C1752" s="23" t="n">
        <f aca="false">a25_mi</f>
        <v>0</v>
      </c>
      <c r="D1752" s="23" t="n">
        <f aca="false">a26_mi</f>
        <v>0</v>
      </c>
      <c r="E1752" s="23" t="n">
        <f aca="false">vmi*E1743*(1-tax)</f>
        <v>-0.36661248</v>
      </c>
      <c r="F1752" s="23" t="n">
        <f aca="false">vmi*F1743*(1-tax)</f>
        <v>0</v>
      </c>
      <c r="G1752" s="23" t="n">
        <f aca="false">vmi*G1743*(1-tax)</f>
        <v>0.32078592</v>
      </c>
      <c r="K1752" s="8" t="s">
        <v>568</v>
      </c>
    </row>
    <row r="1753" customFormat="false" ht="15" hidden="false" customHeight="false" outlineLevel="0" collapsed="false">
      <c r="A1753" s="4" t="s">
        <v>435</v>
      </c>
      <c r="B1753" s="0" t="s">
        <v>184</v>
      </c>
      <c r="C1753" s="23" t="n">
        <f aca="false">C1750-C1751-C1752</f>
        <v>7.908</v>
      </c>
      <c r="D1753" s="23" t="n">
        <f aca="false">D1750-D1751-D1752</f>
        <v>12.2375212108949</v>
      </c>
      <c r="E1753" s="23" t="n">
        <f aca="false">E1750-E1751-E1752</f>
        <v>7.45849118325707</v>
      </c>
      <c r="F1753" s="23" t="n">
        <f aca="false">F1750-F1751-F1752</f>
        <v>3.62391974267601</v>
      </c>
      <c r="G1753" s="23" t="n">
        <f aca="false">G1750-G1751-G1752</f>
        <v>3.09235634917476</v>
      </c>
      <c r="H1753" s="29" t="n">
        <f aca="false">H1734*H1757</f>
        <v>3.12779604087561</v>
      </c>
      <c r="I1753" s="29" t="n">
        <f aca="false">I1734*I1757</f>
        <v>3.05498526744354</v>
      </c>
      <c r="J1753" s="29" t="n">
        <f aca="false">J1734*J1757</f>
        <v>2.87638612873145</v>
      </c>
    </row>
    <row r="1754" customFormat="false" ht="15" hidden="false" customHeight="false" outlineLevel="0" collapsed="false">
      <c r="A1754" s="4" t="s">
        <v>569</v>
      </c>
      <c r="B1754" s="4" t="s">
        <v>265</v>
      </c>
      <c r="C1754" s="10" t="n">
        <f aca="false">a25_sh</f>
        <v>1.8739336492891</v>
      </c>
      <c r="D1754" s="10" t="n">
        <f aca="false">a26_sh</f>
        <v>1.90613591916558</v>
      </c>
      <c r="E1754" s="10" t="n">
        <f aca="false">q_sh*(1+sh_g)</f>
        <v>1.90705128205128</v>
      </c>
      <c r="F1754" s="10" t="n">
        <f aca="false">E1754*(1+sh_g)</f>
        <v>1.90705128205128</v>
      </c>
      <c r="G1754" s="10" t="n">
        <f aca="false">F1754*(1+sh_g)</f>
        <v>1.90705128205128</v>
      </c>
      <c r="H1754" s="31" t="n">
        <f aca="false">G1754*(1+sh_g)</f>
        <v>1.90705128205128</v>
      </c>
      <c r="I1754" s="31" t="n">
        <f aca="false">H1754*(1+sh_g)</f>
        <v>1.90705128205128</v>
      </c>
      <c r="J1754" s="31" t="n">
        <f aca="false">I1754*(1+sh_g)</f>
        <v>1.90705128205128</v>
      </c>
    </row>
    <row r="1755" customFormat="false" ht="17.15" hidden="false" customHeight="false" outlineLevel="0" collapsed="false">
      <c r="A1755" s="0" t="s">
        <v>442</v>
      </c>
      <c r="B1755" s="0" t="s">
        <v>274</v>
      </c>
      <c r="C1755" s="23" t="n">
        <f aca="false">C1753/C1754</f>
        <v>4.22</v>
      </c>
      <c r="D1755" s="23" t="n">
        <f aca="false">D1753/D1754</f>
        <v>6.42006747150118</v>
      </c>
      <c r="E1755" s="23" t="n">
        <f aca="false">E1753/E1754</f>
        <v>3.91100714147261</v>
      </c>
      <c r="F1755" s="23" t="n">
        <f aca="false">F1753/F1754</f>
        <v>1.90027388187381</v>
      </c>
      <c r="G1755" s="23" t="n">
        <f aca="false">G1753/G1754</f>
        <v>1.62153811923114</v>
      </c>
      <c r="H1755" s="29" t="n">
        <f aca="false">H1753/H1754</f>
        <v>1.64012162143394</v>
      </c>
      <c r="I1755" s="29" t="n">
        <f aca="false">I1753/I1754</f>
        <v>1.60194185452501</v>
      </c>
      <c r="J1755" s="29" t="n">
        <f aca="false">J1753/J1754</f>
        <v>1.50828986918355</v>
      </c>
    </row>
    <row r="1756" customFormat="false" ht="17.15" hidden="false" customHeight="false" outlineLevel="0" collapsed="false">
      <c r="A1756" s="0" t="s">
        <v>570</v>
      </c>
      <c r="B1756" s="0" t="s">
        <v>48</v>
      </c>
      <c r="D1756" s="20" t="n">
        <f aca="false">D1755/C1755-1</f>
        <v>0.521343002725398</v>
      </c>
      <c r="E1756" s="20" t="n">
        <f aca="false">E1755/D1755-1</f>
        <v>-0.390815258743984</v>
      </c>
      <c r="F1756" s="20" t="n">
        <f aca="false">F1755/E1755-1</f>
        <v>-0.514121602662609</v>
      </c>
      <c r="G1756" s="20" t="n">
        <f aca="false">G1755/F1755-1</f>
        <v>-0.14668188901687</v>
      </c>
      <c r="H1756" s="27" t="n">
        <f aca="false">H1755/G1755-1</f>
        <v>0.0114604164912335</v>
      </c>
      <c r="I1756" s="27" t="n">
        <f aca="false">I1755/H1755-1</f>
        <v>-0.0232786193474732</v>
      </c>
      <c r="J1756" s="27" t="n">
        <f aca="false">J1755/I1755-1</f>
        <v>-0.0584615384615385</v>
      </c>
    </row>
    <row r="1757" customFormat="false" ht="17.15" hidden="false" customHeight="false" outlineLevel="0" collapsed="false">
      <c r="A1757" s="4" t="s">
        <v>571</v>
      </c>
      <c r="B1757" s="0" t="s">
        <v>48</v>
      </c>
      <c r="C1757" s="16" t="n">
        <f aca="false">C1753/C1734</f>
        <v>0.162746187565599</v>
      </c>
      <c r="D1757" s="16" t="n">
        <f aca="false">D1753/D1734</f>
        <v>0.208646059676249</v>
      </c>
      <c r="E1757" s="16" t="n">
        <f aca="false">E1753/E1734</f>
        <v>0.128115967371267</v>
      </c>
      <c r="F1757" s="16" t="n">
        <f aca="false">F1753/F1734</f>
        <v>0.0605008244598648</v>
      </c>
      <c r="G1757" s="16" t="n">
        <f aca="false">G1753/G1734</f>
        <v>0.0462784477822759</v>
      </c>
      <c r="H1757" s="28" t="n">
        <f aca="false">$G1757+($G$1757*0.8-$G1757)*1/3</f>
        <v>0.0431932179301242</v>
      </c>
      <c r="I1757" s="28" t="n">
        <f aca="false">$G1757+($G$1757*0.8-$G1757)*2/3</f>
        <v>0.0401079880779724</v>
      </c>
      <c r="J1757" s="28" t="n">
        <f aca="false">$G1757+($G$1757*0.8-$G1757)*3/3</f>
        <v>0.0370227582258207</v>
      </c>
    </row>
    <row r="1760" customFormat="false" ht="17.15" hidden="false" customHeight="false" outlineLevel="0" collapsed="false">
      <c r="A1760" s="1" t="s">
        <v>887</v>
      </c>
    </row>
    <row r="1761" customFormat="false" ht="17.15" hidden="false" customHeight="false" outlineLevel="0" collapsed="false">
      <c r="A1761" s="5" t="s">
        <v>24</v>
      </c>
      <c r="B1761" s="5" t="s">
        <v>25</v>
      </c>
      <c r="C1761" s="17" t="s">
        <v>394</v>
      </c>
      <c r="D1761" s="17" t="s">
        <v>521</v>
      </c>
      <c r="E1761" s="17" t="s">
        <v>480</v>
      </c>
      <c r="F1761" s="17" t="s">
        <v>481</v>
      </c>
      <c r="G1761" s="17" t="s">
        <v>482</v>
      </c>
      <c r="H1761" s="17" t="s">
        <v>522</v>
      </c>
      <c r="I1761" s="17" t="s">
        <v>523</v>
      </c>
      <c r="J1761" s="17" t="s">
        <v>524</v>
      </c>
      <c r="K1761" s="5" t="s">
        <v>357</v>
      </c>
    </row>
    <row r="1762" customFormat="false" ht="17.15" hidden="false" customHeight="false" outlineLevel="0" collapsed="false">
      <c r="A1762" s="6" t="s">
        <v>542</v>
      </c>
    </row>
    <row r="1763" customFormat="false" ht="17.15" hidden="false" customHeight="false" outlineLevel="0" collapsed="false">
      <c r="A1763" s="4" t="s">
        <v>543</v>
      </c>
      <c r="B1763" s="4" t="s">
        <v>42</v>
      </c>
      <c r="D1763" s="22" t="n">
        <f aca="false">cap_26</f>
        <v>3306</v>
      </c>
      <c r="E1763" s="22" t="n">
        <f aca="false">D1763*(1+capg27)*cap_adj</f>
        <v>3306</v>
      </c>
      <c r="F1763" s="22" t="n">
        <f aca="false">E1763*(1+capg28)</f>
        <v>3306</v>
      </c>
      <c r="G1763" s="22" t="n">
        <f aca="false">F1763*(1+capg29)</f>
        <v>3306</v>
      </c>
    </row>
    <row r="1764" customFormat="false" ht="15" hidden="false" customHeight="false" outlineLevel="0" collapsed="false">
      <c r="A1764" s="4" t="s">
        <v>544</v>
      </c>
      <c r="B1764" s="0" t="s">
        <v>48</v>
      </c>
      <c r="D1764" s="20" t="n">
        <f aca="false">a26_ship/cap_26</f>
        <v>0.8725</v>
      </c>
      <c r="E1764" s="20" t="n">
        <f aca="false">MIN(0.98,ut27_A+ut_adj)</f>
        <v>0.95</v>
      </c>
      <c r="F1764" s="20" t="n">
        <f aca="false">MIN(0.98,ut28_A+ut_adj)</f>
        <v>0.94</v>
      </c>
      <c r="G1764" s="20" t="n">
        <f aca="false">MIN(0.98,ut29_A+ut_adj)</f>
        <v>0.93</v>
      </c>
    </row>
    <row r="1765" customFormat="false" ht="17.15" hidden="false" customHeight="false" outlineLevel="0" collapsed="false">
      <c r="A1765" s="4" t="s">
        <v>545</v>
      </c>
      <c r="B1765" s="4" t="s">
        <v>42</v>
      </c>
      <c r="D1765" s="22" t="n">
        <f aca="false">D1763*D1764</f>
        <v>2884.485</v>
      </c>
      <c r="E1765" s="22" t="n">
        <f aca="false">E1763*E1764</f>
        <v>3140.7</v>
      </c>
      <c r="F1765" s="22" t="n">
        <f aca="false">F1763*F1764</f>
        <v>3107.64</v>
      </c>
      <c r="G1765" s="22" t="n">
        <f aca="false">G1763*G1764</f>
        <v>3074.58</v>
      </c>
    </row>
    <row r="1766" customFormat="false" ht="17.15" hidden="false" customHeight="false" outlineLevel="0" collapsed="false">
      <c r="A1766" s="4" t="s">
        <v>546</v>
      </c>
      <c r="B1766" s="0" t="s">
        <v>89</v>
      </c>
      <c r="D1766" s="22" t="n">
        <f aca="false">asp_26</f>
        <v>643.469405492234</v>
      </c>
      <c r="E1766" s="22" t="n">
        <f aca="false">D1766*(1+asp27_A)*(1+asp_adj)</f>
        <v>682.077569821768</v>
      </c>
      <c r="F1766" s="22" t="n">
        <f aca="false">E1766*(1+asp28_A)</f>
        <v>695.719121218203</v>
      </c>
      <c r="G1766" s="22" t="n">
        <f aca="false">F1766*(1+asp29_A)</f>
        <v>702.676312430385</v>
      </c>
    </row>
    <row r="1767" customFormat="false" ht="15" hidden="false" customHeight="false" outlineLevel="0" collapsed="false">
      <c r="A1767" s="4" t="s">
        <v>547</v>
      </c>
      <c r="B1767" s="0" t="s">
        <v>48</v>
      </c>
      <c r="E1767" s="20" t="n">
        <f aca="false">E1766/D1766-1</f>
        <v>0.0600000000000001</v>
      </c>
      <c r="F1767" s="20" t="n">
        <f aca="false">F1766/E1766-1</f>
        <v>0.02</v>
      </c>
      <c r="G1767" s="20" t="n">
        <f aca="false">G1766/F1766-1</f>
        <v>0.01</v>
      </c>
    </row>
    <row r="1768" customFormat="false" ht="15" hidden="false" customHeight="false" outlineLevel="0" collapsed="false">
      <c r="A1768" s="4" t="s">
        <v>548</v>
      </c>
      <c r="B1768" s="0" t="s">
        <v>35</v>
      </c>
      <c r="D1768" s="23" t="n">
        <f aca="false">fx_26</f>
        <v>31.6</v>
      </c>
      <c r="E1768" s="23" t="n">
        <f aca="false">fx</f>
        <v>32</v>
      </c>
      <c r="F1768" s="23" t="n">
        <f aca="false">fx</f>
        <v>32</v>
      </c>
      <c r="G1768" s="23" t="n">
        <f aca="false">fx</f>
        <v>32</v>
      </c>
    </row>
    <row r="1769" customFormat="false" ht="17.15" hidden="false" customHeight="false" outlineLevel="0" collapsed="false">
      <c r="A1769" s="0" t="s">
        <v>549</v>
      </c>
      <c r="B1769" s="0" t="s">
        <v>184</v>
      </c>
      <c r="D1769" s="23" t="n">
        <f aca="false">D1765*D1766*D1768/1000000</f>
        <v>58.65206</v>
      </c>
      <c r="E1769" s="23" t="n">
        <f aca="false">E1765*E1766*E1768/1000000</f>
        <v>68.5504327532552</v>
      </c>
      <c r="F1769" s="23" t="n">
        <f aca="false">F1765*F1766*F1768/1000000</f>
        <v>69.1854262356012</v>
      </c>
      <c r="G1769" s="23" t="n">
        <f aca="false">G1765*G1766*G1768/1000000</f>
        <v>69.1339051735108</v>
      </c>
    </row>
    <row r="1770" customFormat="false" ht="17.15" hidden="false" customHeight="false" outlineLevel="0" collapsed="false">
      <c r="A1770" s="6" t="s">
        <v>550</v>
      </c>
    </row>
    <row r="1771" customFormat="false" ht="17.15" hidden="false" customHeight="false" outlineLevel="0" collapsed="false">
      <c r="A1771" s="0" t="s">
        <v>551</v>
      </c>
      <c r="B1771" s="4" t="s">
        <v>42</v>
      </c>
      <c r="D1771" s="22" t="n">
        <f aca="false">0</f>
        <v>0</v>
      </c>
      <c r="E1771" s="22" t="n">
        <f aca="false">vcap27*vcap_adj</f>
        <v>144</v>
      </c>
      <c r="F1771" s="22" t="n">
        <f aca="false">vcap28*vcap_adj</f>
        <v>360</v>
      </c>
      <c r="G1771" s="22" t="n">
        <f aca="false">vcap29*vcap_adj</f>
        <v>504</v>
      </c>
    </row>
    <row r="1772" customFormat="false" ht="17.15" hidden="false" customHeight="false" outlineLevel="0" collapsed="false">
      <c r="A1772" s="0" t="s">
        <v>552</v>
      </c>
      <c r="B1772" s="0" t="s">
        <v>48</v>
      </c>
      <c r="E1772" s="20" t="n">
        <f aca="false">vut_A</f>
        <v>0.9</v>
      </c>
      <c r="F1772" s="20" t="n">
        <f aca="false">vut_A</f>
        <v>0.9</v>
      </c>
      <c r="G1772" s="20" t="n">
        <f aca="false">vut_A</f>
        <v>0.9</v>
      </c>
    </row>
    <row r="1773" customFormat="false" ht="17.15" hidden="false" customHeight="false" outlineLevel="0" collapsed="false">
      <c r="A1773" s="0" t="s">
        <v>553</v>
      </c>
      <c r="B1773" s="4" t="s">
        <v>42</v>
      </c>
      <c r="D1773" s="22" t="n">
        <f aca="false">0</f>
        <v>0</v>
      </c>
      <c r="E1773" s="22" t="n">
        <f aca="false">E1771*E1772</f>
        <v>129.6</v>
      </c>
      <c r="F1773" s="22" t="n">
        <f aca="false">F1771*F1772</f>
        <v>324</v>
      </c>
      <c r="G1773" s="22" t="n">
        <f aca="false">G1771*G1772</f>
        <v>453.6</v>
      </c>
    </row>
    <row r="1774" customFormat="false" ht="17.15" hidden="false" customHeight="false" outlineLevel="0" collapsed="false">
      <c r="A1774" s="0" t="s">
        <v>554</v>
      </c>
      <c r="B1774" s="0" t="s">
        <v>184</v>
      </c>
      <c r="D1774" s="23" t="n">
        <f aca="false">0</f>
        <v>0</v>
      </c>
      <c r="E1774" s="23" t="n">
        <f aca="false">E1773*vasp*E1768/1000000</f>
        <v>7.46496</v>
      </c>
      <c r="F1774" s="23" t="n">
        <f aca="false">F1773*vasp*F1768/1000000</f>
        <v>18.6624</v>
      </c>
      <c r="G1774" s="23" t="n">
        <f aca="false">G1773*vasp*G1768/1000000</f>
        <v>26.12736</v>
      </c>
    </row>
    <row r="1775" customFormat="false" ht="17.15" hidden="false" customHeight="false" outlineLevel="0" collapsed="false">
      <c r="A1775" s="4" t="s">
        <v>400</v>
      </c>
      <c r="B1775" s="0" t="s">
        <v>184</v>
      </c>
      <c r="C1775" s="23" t="n">
        <f aca="false">a25_rev</f>
        <v>48.591</v>
      </c>
      <c r="D1775" s="23" t="n">
        <f aca="false">D1769+D1774</f>
        <v>58.65206</v>
      </c>
      <c r="E1775" s="23" t="n">
        <f aca="false">E1769+E1774</f>
        <v>76.0153927532552</v>
      </c>
      <c r="F1775" s="23" t="n">
        <f aca="false">F1769+F1774</f>
        <v>87.8478262356012</v>
      </c>
      <c r="G1775" s="23" t="n">
        <f aca="false">G1769+G1774</f>
        <v>95.2612651735108</v>
      </c>
      <c r="H1775" s="29" t="n">
        <f aca="false">G1775*(1+H1778)</f>
        <v>102.525860976128</v>
      </c>
      <c r="I1775" s="29" t="n">
        <f aca="false">H1775*(1+I1778)</f>
        <v>109.51093266638</v>
      </c>
      <c r="J1775" s="29" t="n">
        <f aca="false">I1775*(1+J1778)</f>
        <v>116.081588626363</v>
      </c>
      <c r="K1775" s="8" t="s">
        <v>555</v>
      </c>
    </row>
    <row r="1776" customFormat="false" ht="17.15" hidden="false" customHeight="false" outlineLevel="0" collapsed="false">
      <c r="A1776" s="0" t="s">
        <v>556</v>
      </c>
      <c r="B1776" s="0" t="s">
        <v>48</v>
      </c>
      <c r="D1776" s="20" t="n">
        <f aca="false">D1774/D1775</f>
        <v>0</v>
      </c>
      <c r="E1776" s="20" t="n">
        <f aca="false">E1774/E1775</f>
        <v>0.0982032681753174</v>
      </c>
      <c r="F1776" s="20" t="n">
        <f aca="false">F1774/F1775</f>
        <v>0.212440088727396</v>
      </c>
      <c r="G1776" s="20" t="n">
        <f aca="false">G1774/G1775</f>
        <v>0.274270554274196</v>
      </c>
    </row>
    <row r="1777" customFormat="false" ht="17.15" hidden="false" customHeight="false" outlineLevel="0" collapsed="false">
      <c r="A1777" s="0" t="s">
        <v>557</v>
      </c>
      <c r="B1777" s="0" t="s">
        <v>48</v>
      </c>
      <c r="D1777" s="20" t="n">
        <f aca="false">ai_sh26</f>
        <v>0.1</v>
      </c>
      <c r="E1777" s="20" t="n">
        <f aca="false">ai_sh27_A</f>
        <v>0.25</v>
      </c>
      <c r="F1777" s="20" t="n">
        <f aca="false">ai_sh27_A</f>
        <v>0.25</v>
      </c>
      <c r="G1777" s="20" t="n">
        <f aca="false">ai_sh27_A</f>
        <v>0.25</v>
      </c>
    </row>
    <row r="1778" customFormat="false" ht="15" hidden="false" customHeight="false" outlineLevel="0" collapsed="false">
      <c r="A1778" s="4" t="s">
        <v>558</v>
      </c>
      <c r="B1778" s="0" t="s">
        <v>48</v>
      </c>
      <c r="D1778" s="20" t="n">
        <f aca="false">D1775/C1775-1</f>
        <v>0.207056039184211</v>
      </c>
      <c r="E1778" s="20" t="n">
        <f aca="false">E1775/D1775-1</f>
        <v>0.296039606337019</v>
      </c>
      <c r="F1778" s="20" t="n">
        <f aca="false">F1775/E1775-1</f>
        <v>0.155658387778826</v>
      </c>
      <c r="G1778" s="20" t="n">
        <f aca="false">G1775/F1775-1</f>
        <v>0.0843895547059683</v>
      </c>
      <c r="H1778" s="27" t="n">
        <f aca="false">$G1778+(fade_gA-$G1778)*1/3</f>
        <v>0.0762597031373122</v>
      </c>
      <c r="I1778" s="27" t="n">
        <f aca="false">$G1778+(fade_gA-$G1778)*2/3</f>
        <v>0.0681298515686561</v>
      </c>
      <c r="J1778" s="27" t="n">
        <f aca="false">$G1778+(fade_gA-$G1778)*3/3</f>
        <v>0.06</v>
      </c>
    </row>
    <row r="1779" customFormat="false" ht="17.15" hidden="false" customHeight="false" outlineLevel="0" collapsed="false">
      <c r="A1779" s="6" t="s">
        <v>559</v>
      </c>
    </row>
    <row r="1780" customFormat="false" ht="15" hidden="false" customHeight="false" outlineLevel="0" collapsed="false">
      <c r="A1780" s="4" t="s">
        <v>560</v>
      </c>
      <c r="B1780" s="0" t="s">
        <v>184</v>
      </c>
      <c r="D1780" s="23" t="n">
        <f aca="false">da_tot26*da_sh</f>
        <v>8.658</v>
      </c>
      <c r="E1780" s="23" t="n">
        <f aca="false">D1780*(1+dag_27+dag_adj)</f>
        <v>8.91774</v>
      </c>
      <c r="F1780" s="23" t="n">
        <f aca="false">E1780*(1+dag_28+dag_adj)</f>
        <v>9.0960948</v>
      </c>
      <c r="G1780" s="23" t="n">
        <f aca="false">F1780*(1+dag_29+dag_adj)</f>
        <v>9.0960948</v>
      </c>
    </row>
    <row r="1781" customFormat="false" ht="17.15" hidden="false" customHeight="false" outlineLevel="0" collapsed="false">
      <c r="A1781" s="4" t="s">
        <v>561</v>
      </c>
      <c r="B1781" s="0" t="s">
        <v>562</v>
      </c>
      <c r="D1781" s="23" t="n">
        <f aca="false">(D1769-a26_gp-D1780)/D1765*1000</f>
        <v>10.7339918911001</v>
      </c>
      <c r="E1781" s="23" t="n">
        <f aca="false">D1781*(1+cc_g)</f>
        <v>10.9486717289221</v>
      </c>
      <c r="F1781" s="23" t="n">
        <f aca="false">E1781*(1+cc_g)</f>
        <v>11.1676451635006</v>
      </c>
      <c r="G1781" s="23" t="n">
        <f aca="false">F1781*(1+cc_g)</f>
        <v>11.3909980667706</v>
      </c>
      <c r="K1781" s="8" t="s">
        <v>563</v>
      </c>
    </row>
    <row r="1782" customFormat="false" ht="17.15" hidden="false" customHeight="false" outlineLevel="0" collapsed="false">
      <c r="A1782" s="4" t="s">
        <v>564</v>
      </c>
      <c r="B1782" s="0" t="s">
        <v>184</v>
      </c>
      <c r="D1782" s="23" t="n">
        <f aca="false">D1781*D1765/1000</f>
        <v>30.9620386</v>
      </c>
      <c r="E1782" s="23" t="n">
        <f aca="false">E1781*E1765/1000</f>
        <v>34.3864932990258</v>
      </c>
      <c r="F1782" s="23" t="n">
        <f aca="false">F1781*F1765/1000</f>
        <v>34.705020815901</v>
      </c>
      <c r="G1782" s="23" t="n">
        <f aca="false">G1781*G1765/1000</f>
        <v>35.0225348361316</v>
      </c>
    </row>
    <row r="1783" customFormat="false" ht="17.15" hidden="false" customHeight="false" outlineLevel="0" collapsed="false">
      <c r="A1783" s="0" t="s">
        <v>565</v>
      </c>
      <c r="B1783" s="0" t="s">
        <v>48</v>
      </c>
      <c r="E1783" s="20" t="n">
        <f aca="false">vgm27_A</f>
        <v>0.05</v>
      </c>
      <c r="F1783" s="20" t="n">
        <f aca="false">vgm28_A</f>
        <v>0.2</v>
      </c>
      <c r="G1783" s="20" t="n">
        <f aca="false">vgm29_A</f>
        <v>0.25</v>
      </c>
    </row>
    <row r="1784" customFormat="false" ht="17.15" hidden="false" customHeight="false" outlineLevel="0" collapsed="false">
      <c r="A1784" s="0" t="s">
        <v>566</v>
      </c>
      <c r="B1784" s="0" t="s">
        <v>184</v>
      </c>
      <c r="D1784" s="23" t="n">
        <f aca="false">0</f>
        <v>0</v>
      </c>
      <c r="E1784" s="23" t="n">
        <f aca="false">E1774*E1783</f>
        <v>0.373248</v>
      </c>
      <c r="F1784" s="23" t="n">
        <f aca="false">F1774*F1783</f>
        <v>3.73248</v>
      </c>
      <c r="G1784" s="23" t="n">
        <f aca="false">G1774*G1783</f>
        <v>6.53184</v>
      </c>
    </row>
    <row r="1785" customFormat="false" ht="15" hidden="false" customHeight="false" outlineLevel="0" collapsed="false">
      <c r="A1785" s="4" t="s">
        <v>417</v>
      </c>
      <c r="B1785" s="0" t="s">
        <v>184</v>
      </c>
      <c r="C1785" s="23" t="n">
        <f aca="false">a25_gp</f>
        <v>13.654</v>
      </c>
      <c r="D1785" s="23" t="n">
        <f aca="false">D1769-D1780-D1782+D1784</f>
        <v>19.0320214</v>
      </c>
      <c r="E1785" s="23" t="n">
        <f aca="false">E1769-E1780-E1782+E1784</f>
        <v>25.6194474542294</v>
      </c>
      <c r="F1785" s="23" t="n">
        <f aca="false">F1769-F1780-F1782+F1784</f>
        <v>29.1167906197002</v>
      </c>
      <c r="G1785" s="23" t="n">
        <f aca="false">G1769-G1780-G1782+G1784</f>
        <v>31.5471155373793</v>
      </c>
    </row>
    <row r="1786" customFormat="false" ht="15" hidden="false" customHeight="false" outlineLevel="0" collapsed="false">
      <c r="A1786" s="4" t="s">
        <v>420</v>
      </c>
      <c r="B1786" s="0" t="s">
        <v>48</v>
      </c>
      <c r="C1786" s="16" t="n">
        <f aca="false">C1785/C1775</f>
        <v>0.280998538824062</v>
      </c>
      <c r="D1786" s="16" t="n">
        <f aca="false">D1785/D1775</f>
        <v>0.324490246378388</v>
      </c>
      <c r="E1786" s="16" t="n">
        <f aca="false">E1785/E1775</f>
        <v>0.33702973208847</v>
      </c>
      <c r="F1786" s="16" t="n">
        <f aca="false">F1785/F1775</f>
        <v>0.331445772392947</v>
      </c>
      <c r="G1786" s="16" t="n">
        <f aca="false">G1785/G1775</f>
        <v>0.331164146097773</v>
      </c>
    </row>
    <row r="1787" customFormat="false" ht="15" hidden="false" customHeight="false" outlineLevel="0" collapsed="false">
      <c r="A1787" s="4" t="s">
        <v>422</v>
      </c>
      <c r="B1787" s="0" t="s">
        <v>184</v>
      </c>
      <c r="C1787" s="23" t="n">
        <f aca="false">a25_opx</f>
        <v>5.881</v>
      </c>
      <c r="D1787" s="23" t="n">
        <f aca="false">a26_opx</f>
        <v>6.824187</v>
      </c>
      <c r="E1787" s="23" t="n">
        <f aca="false">D1787*(1+MAX(g_opx_min,phi*E1778))</f>
        <v>7.8343018165251</v>
      </c>
      <c r="F1787" s="23" t="n">
        <f aca="false">E1787*(1+MAX(g_opx_min,phi*F1778))</f>
        <v>8.44403921159161</v>
      </c>
      <c r="G1787" s="23" t="n">
        <f aca="false">F1787*(1+MAX(g_opx_min,phi*G1778))</f>
        <v>8.80033356608459</v>
      </c>
    </row>
    <row r="1788" customFormat="false" ht="15" hidden="false" customHeight="false" outlineLevel="0" collapsed="false">
      <c r="A1788" s="4" t="s">
        <v>425</v>
      </c>
      <c r="B1788" s="0" t="s">
        <v>184</v>
      </c>
      <c r="C1788" s="23" t="n">
        <f aca="false">C1785-C1787</f>
        <v>7.773</v>
      </c>
      <c r="D1788" s="23" t="n">
        <f aca="false">D1785-D1787</f>
        <v>12.2078344</v>
      </c>
      <c r="E1788" s="23" t="n">
        <f aca="false">E1785-E1787</f>
        <v>17.7851456377043</v>
      </c>
      <c r="F1788" s="23" t="n">
        <f aca="false">F1785-F1787</f>
        <v>20.6727514081086</v>
      </c>
      <c r="G1788" s="23" t="n">
        <f aca="false">G1785-G1787</f>
        <v>22.7467819712947</v>
      </c>
    </row>
    <row r="1789" customFormat="false" ht="15" hidden="false" customHeight="false" outlineLevel="0" collapsed="false">
      <c r="A1789" s="4" t="s">
        <v>531</v>
      </c>
      <c r="B1789" s="0" t="s">
        <v>48</v>
      </c>
      <c r="C1789" s="16" t="n">
        <f aca="false">C1788/C1775</f>
        <v>0.159967895289251</v>
      </c>
      <c r="D1789" s="16" t="n">
        <f aca="false">D1788/D1775</f>
        <v>0.208139908470393</v>
      </c>
      <c r="E1789" s="16" t="n">
        <f aca="false">E1788/E1775</f>
        <v>0.233967687247695</v>
      </c>
      <c r="F1789" s="16" t="n">
        <f aca="false">F1788/F1775</f>
        <v>0.235324564009881</v>
      </c>
      <c r="G1789" s="16" t="n">
        <f aca="false">G1788/G1775</f>
        <v>0.238783118509535</v>
      </c>
    </row>
    <row r="1790" customFormat="false" ht="15" hidden="false" customHeight="false" outlineLevel="0" collapsed="false">
      <c r="A1790" s="4" t="s">
        <v>428</v>
      </c>
      <c r="B1790" s="0" t="s">
        <v>184</v>
      </c>
      <c r="C1790" s="23" t="n">
        <f aca="false">a25_nonop</f>
        <v>1.479</v>
      </c>
      <c r="D1790" s="23" t="n">
        <f aca="false">a26_nonop</f>
        <v>2.10950832169955</v>
      </c>
      <c r="E1790" s="23" t="n">
        <f aca="false">nonop_f_lo</f>
        <v>0.5</v>
      </c>
      <c r="F1790" s="23" t="n">
        <f aca="false">nonop_f_lo</f>
        <v>0.5</v>
      </c>
      <c r="G1790" s="23" t="n">
        <f aca="false">nonop_f_lo</f>
        <v>0.5</v>
      </c>
    </row>
    <row r="1791" customFormat="false" ht="15" hidden="false" customHeight="false" outlineLevel="0" collapsed="false">
      <c r="A1791" s="4" t="s">
        <v>430</v>
      </c>
      <c r="B1791" s="0" t="s">
        <v>184</v>
      </c>
      <c r="C1791" s="23" t="n">
        <f aca="false">C1788+C1790</f>
        <v>9.252</v>
      </c>
      <c r="D1791" s="23" t="n">
        <f aca="false">D1788+D1790</f>
        <v>14.3173427216995</v>
      </c>
      <c r="E1791" s="23" t="n">
        <f aca="false">E1788+E1790</f>
        <v>18.2851456377043</v>
      </c>
      <c r="F1791" s="23" t="n">
        <f aca="false">F1788+F1790</f>
        <v>21.1727514081086</v>
      </c>
      <c r="G1791" s="23" t="n">
        <f aca="false">G1788+G1790</f>
        <v>23.2467819712947</v>
      </c>
    </row>
    <row r="1792" customFormat="false" ht="15" hidden="false" customHeight="false" outlineLevel="0" collapsed="false">
      <c r="A1792" s="4" t="s">
        <v>432</v>
      </c>
      <c r="B1792" s="0" t="s">
        <v>184</v>
      </c>
      <c r="C1792" s="23" t="n">
        <f aca="false">a25_tax</f>
        <v>1.344</v>
      </c>
      <c r="D1792" s="23" t="n">
        <f aca="false">a26_tax</f>
        <v>2.0798215108046</v>
      </c>
      <c r="E1792" s="23" t="n">
        <f aca="false">E1791*tax</f>
        <v>2.74277184565565</v>
      </c>
      <c r="F1792" s="23" t="n">
        <f aca="false">F1791*tax</f>
        <v>3.17591271121629</v>
      </c>
      <c r="G1792" s="23" t="n">
        <f aca="false">G1791*tax</f>
        <v>3.4870172956942</v>
      </c>
    </row>
    <row r="1793" customFormat="false" ht="17.15" hidden="false" customHeight="false" outlineLevel="0" collapsed="false">
      <c r="A1793" s="4" t="s">
        <v>567</v>
      </c>
      <c r="B1793" s="0" t="s">
        <v>184</v>
      </c>
      <c r="C1793" s="23" t="n">
        <f aca="false">a25_mi</f>
        <v>0</v>
      </c>
      <c r="D1793" s="23" t="n">
        <f aca="false">a26_mi</f>
        <v>0</v>
      </c>
      <c r="E1793" s="23" t="n">
        <f aca="false">vmi*E1784*(1-tax)</f>
        <v>0.12690432</v>
      </c>
      <c r="F1793" s="23" t="n">
        <f aca="false">vmi*F1784*(1-tax)</f>
        <v>1.2690432</v>
      </c>
      <c r="G1793" s="23" t="n">
        <f aca="false">vmi*G1784*(1-tax)</f>
        <v>2.2208256</v>
      </c>
      <c r="K1793" s="8" t="s">
        <v>568</v>
      </c>
    </row>
    <row r="1794" customFormat="false" ht="15" hidden="false" customHeight="false" outlineLevel="0" collapsed="false">
      <c r="A1794" s="4" t="s">
        <v>435</v>
      </c>
      <c r="B1794" s="0" t="s">
        <v>184</v>
      </c>
      <c r="C1794" s="23" t="n">
        <f aca="false">C1791-C1792-C1793</f>
        <v>7.908</v>
      </c>
      <c r="D1794" s="23" t="n">
        <f aca="false">D1791-D1792-D1793</f>
        <v>12.2375212108949</v>
      </c>
      <c r="E1794" s="23" t="n">
        <f aca="false">E1791-E1792-E1793</f>
        <v>15.4154694720487</v>
      </c>
      <c r="F1794" s="23" t="n">
        <f aca="false">F1791-F1792-F1793</f>
        <v>16.7277954968923</v>
      </c>
      <c r="G1794" s="23" t="n">
        <f aca="false">G1791-G1792-G1793</f>
        <v>17.5389390756005</v>
      </c>
      <c r="H1794" s="29" t="n">
        <f aca="false">H1775*H1798</f>
        <v>18.8764533628492</v>
      </c>
      <c r="I1794" s="29" t="n">
        <f aca="false">I1775*I1798</f>
        <v>20.1625033286028</v>
      </c>
      <c r="J1794" s="29" t="n">
        <f aca="false">J1775*J1798</f>
        <v>21.3722535283189</v>
      </c>
    </row>
    <row r="1795" customFormat="false" ht="15" hidden="false" customHeight="false" outlineLevel="0" collapsed="false">
      <c r="A1795" s="4" t="s">
        <v>569</v>
      </c>
      <c r="B1795" s="4" t="s">
        <v>265</v>
      </c>
      <c r="C1795" s="10" t="n">
        <f aca="false">a25_sh</f>
        <v>1.8739336492891</v>
      </c>
      <c r="D1795" s="10" t="n">
        <f aca="false">a26_sh</f>
        <v>1.90613591916558</v>
      </c>
      <c r="E1795" s="10" t="n">
        <f aca="false">q_sh*(1+sh_g)</f>
        <v>1.90705128205128</v>
      </c>
      <c r="F1795" s="10" t="n">
        <f aca="false">E1795*(1+sh_g)</f>
        <v>1.90705128205128</v>
      </c>
      <c r="G1795" s="10" t="n">
        <f aca="false">F1795*(1+sh_g)</f>
        <v>1.90705128205128</v>
      </c>
      <c r="H1795" s="31" t="n">
        <f aca="false">G1795*(1+sh_g)</f>
        <v>1.90705128205128</v>
      </c>
      <c r="I1795" s="31" t="n">
        <f aca="false">H1795*(1+sh_g)</f>
        <v>1.90705128205128</v>
      </c>
      <c r="J1795" s="31" t="n">
        <f aca="false">I1795*(1+sh_g)</f>
        <v>1.90705128205128</v>
      </c>
    </row>
    <row r="1796" customFormat="false" ht="17.15" hidden="false" customHeight="false" outlineLevel="0" collapsed="false">
      <c r="A1796" s="0" t="s">
        <v>442</v>
      </c>
      <c r="B1796" s="0" t="s">
        <v>274</v>
      </c>
      <c r="C1796" s="23" t="n">
        <f aca="false">C1794/C1795</f>
        <v>4.22</v>
      </c>
      <c r="D1796" s="23" t="n">
        <f aca="false">D1794/D1795</f>
        <v>6.42006747150118</v>
      </c>
      <c r="E1796" s="23" t="n">
        <f aca="false">E1794/E1795</f>
        <v>8.08340584080536</v>
      </c>
      <c r="F1796" s="23" t="n">
        <f aca="false">F1794/F1795</f>
        <v>8.77154990761412</v>
      </c>
      <c r="G1796" s="23" t="n">
        <f aca="false">G1794/G1795</f>
        <v>9.19688906149135</v>
      </c>
      <c r="H1796" s="29" t="n">
        <f aca="false">H1794/H1795</f>
        <v>9.89824109110747</v>
      </c>
      <c r="I1796" s="29" t="n">
        <f aca="false">I1794/I1795</f>
        <v>10.5726067874354</v>
      </c>
      <c r="J1796" s="29" t="n">
        <f aca="false">J1794/J1795</f>
        <v>11.2069631946815</v>
      </c>
    </row>
    <row r="1797" customFormat="false" ht="17.15" hidden="false" customHeight="false" outlineLevel="0" collapsed="false">
      <c r="A1797" s="0" t="s">
        <v>570</v>
      </c>
      <c r="B1797" s="0" t="s">
        <v>48</v>
      </c>
      <c r="D1797" s="20" t="n">
        <f aca="false">D1796/C1796-1</f>
        <v>0.521343002725398</v>
      </c>
      <c r="E1797" s="20" t="n">
        <f aca="false">E1796/D1796-1</f>
        <v>0.259084250545307</v>
      </c>
      <c r="F1797" s="20" t="n">
        <f aca="false">F1796/E1796-1</f>
        <v>0.0851304611399038</v>
      </c>
      <c r="G1797" s="20" t="n">
        <f aca="false">G1796/F1796-1</f>
        <v>0.0484907637027772</v>
      </c>
      <c r="H1797" s="27" t="n">
        <f aca="false">H1796/G1796-1</f>
        <v>0.0762597031373122</v>
      </c>
      <c r="I1797" s="27" t="n">
        <f aca="false">I1796/H1796-1</f>
        <v>0.0681298515686559</v>
      </c>
      <c r="J1797" s="27" t="n">
        <f aca="false">J1796/I1796-1</f>
        <v>0.0600000000000001</v>
      </c>
    </row>
    <row r="1798" customFormat="false" ht="17.15" hidden="false" customHeight="false" outlineLevel="0" collapsed="false">
      <c r="A1798" s="4" t="s">
        <v>571</v>
      </c>
      <c r="B1798" s="0" t="s">
        <v>48</v>
      </c>
      <c r="C1798" s="16" t="n">
        <f aca="false">C1794/C1775</f>
        <v>0.162746187565599</v>
      </c>
      <c r="D1798" s="16" t="n">
        <f aca="false">D1794/D1775</f>
        <v>0.208646059676249</v>
      </c>
      <c r="E1798" s="16" t="n">
        <f aca="false">E1794/E1775</f>
        <v>0.202794051490164</v>
      </c>
      <c r="F1798" s="16" t="n">
        <f aca="false">F1794/F1775</f>
        <v>0.190417864774817</v>
      </c>
      <c r="G1798" s="16" t="n">
        <f aca="false">G1794/G1775</f>
        <v>0.184114068227571</v>
      </c>
      <c r="H1798" s="28" t="n">
        <f aca="false">$G1798+($G$1798*1-$G1798)*1/3</f>
        <v>0.184114068227571</v>
      </c>
      <c r="I1798" s="28" t="n">
        <f aca="false">$G1798+($G$1798*1-$G1798)*2/3</f>
        <v>0.184114068227571</v>
      </c>
      <c r="J1798" s="28" t="n">
        <f aca="false">$G1798+($G$1798*1-$G1798)*3/3</f>
        <v>0.184114068227571</v>
      </c>
    </row>
    <row r="1801" customFormat="false" ht="17.15" hidden="false" customHeight="false" outlineLevel="0" collapsed="false">
      <c r="A1801" s="1" t="s">
        <v>888</v>
      </c>
    </row>
    <row r="1802" customFormat="false" ht="17.15" hidden="false" customHeight="false" outlineLevel="0" collapsed="false">
      <c r="A1802" s="5" t="s">
        <v>24</v>
      </c>
      <c r="B1802" s="5" t="s">
        <v>25</v>
      </c>
      <c r="C1802" s="17" t="s">
        <v>394</v>
      </c>
      <c r="D1802" s="17" t="s">
        <v>521</v>
      </c>
      <c r="E1802" s="17" t="s">
        <v>480</v>
      </c>
      <c r="F1802" s="17" t="s">
        <v>481</v>
      </c>
      <c r="G1802" s="17" t="s">
        <v>482</v>
      </c>
      <c r="H1802" s="17" t="s">
        <v>522</v>
      </c>
      <c r="I1802" s="17" t="s">
        <v>523</v>
      </c>
      <c r="J1802" s="17" t="s">
        <v>524</v>
      </c>
      <c r="K1802" s="5" t="s">
        <v>357</v>
      </c>
    </row>
    <row r="1803" customFormat="false" ht="17.15" hidden="false" customHeight="false" outlineLevel="0" collapsed="false">
      <c r="A1803" s="6" t="s">
        <v>542</v>
      </c>
    </row>
    <row r="1804" customFormat="false" ht="17.15" hidden="false" customHeight="false" outlineLevel="0" collapsed="false">
      <c r="A1804" s="4" t="s">
        <v>543</v>
      </c>
      <c r="B1804" s="4" t="s">
        <v>42</v>
      </c>
      <c r="D1804" s="22" t="n">
        <f aca="false">cap_26</f>
        <v>3306</v>
      </c>
      <c r="E1804" s="22" t="n">
        <f aca="false">D1804*(1+capg27)*cap_adj</f>
        <v>3306</v>
      </c>
      <c r="F1804" s="22" t="n">
        <f aca="false">E1804*(1+capg28)</f>
        <v>3306</v>
      </c>
      <c r="G1804" s="22" t="n">
        <f aca="false">F1804*(1+capg29)</f>
        <v>3306</v>
      </c>
    </row>
    <row r="1805" customFormat="false" ht="15" hidden="false" customHeight="false" outlineLevel="0" collapsed="false">
      <c r="A1805" s="4" t="s">
        <v>544</v>
      </c>
      <c r="B1805" s="0" t="s">
        <v>48</v>
      </c>
      <c r="D1805" s="20" t="n">
        <f aca="false">a26_ship/cap_26</f>
        <v>0.8725</v>
      </c>
      <c r="E1805" s="20" t="n">
        <f aca="false">MIN(0.98,ut27_B+ut_adj)</f>
        <v>0.9</v>
      </c>
      <c r="F1805" s="20" t="n">
        <f aca="false">MIN(0.98,ut28_B+ut_adj)</f>
        <v>0.86</v>
      </c>
      <c r="G1805" s="20" t="n">
        <f aca="false">MIN(0.98,ut29_B+ut_adj)</f>
        <v>0.87</v>
      </c>
    </row>
    <row r="1806" customFormat="false" ht="17.15" hidden="false" customHeight="false" outlineLevel="0" collapsed="false">
      <c r="A1806" s="4" t="s">
        <v>545</v>
      </c>
      <c r="B1806" s="4" t="s">
        <v>42</v>
      </c>
      <c r="D1806" s="22" t="n">
        <f aca="false">D1804*D1805</f>
        <v>2884.485</v>
      </c>
      <c r="E1806" s="22" t="n">
        <f aca="false">E1804*E1805</f>
        <v>2975.4</v>
      </c>
      <c r="F1806" s="22" t="n">
        <f aca="false">F1804*F1805</f>
        <v>2843.16</v>
      </c>
      <c r="G1806" s="22" t="n">
        <f aca="false">G1804*G1805</f>
        <v>2876.22</v>
      </c>
    </row>
    <row r="1807" customFormat="false" ht="17.15" hidden="false" customHeight="false" outlineLevel="0" collapsed="false">
      <c r="A1807" s="4" t="s">
        <v>546</v>
      </c>
      <c r="B1807" s="0" t="s">
        <v>89</v>
      </c>
      <c r="D1807" s="22" t="n">
        <f aca="false">asp_26</f>
        <v>643.469405492234</v>
      </c>
      <c r="E1807" s="22" t="n">
        <f aca="false">D1807*(1+asp27_B)*(1+asp_adj)</f>
        <v>662.773487657001</v>
      </c>
      <c r="F1807" s="22" t="n">
        <f aca="false">E1807*(1+asp28_B)</f>
        <v>662.773487657001</v>
      </c>
      <c r="G1807" s="22" t="n">
        <f aca="false">F1807*(1+asp29_B)</f>
        <v>662.773487657001</v>
      </c>
    </row>
    <row r="1808" customFormat="false" ht="15" hidden="false" customHeight="false" outlineLevel="0" collapsed="false">
      <c r="A1808" s="4" t="s">
        <v>547</v>
      </c>
      <c r="B1808" s="0" t="s">
        <v>48</v>
      </c>
      <c r="E1808" s="20" t="n">
        <f aca="false">E1807/D1807-1</f>
        <v>0.03</v>
      </c>
      <c r="F1808" s="20" t="n">
        <f aca="false">F1807/E1807-1</f>
        <v>0</v>
      </c>
      <c r="G1808" s="20" t="n">
        <f aca="false">G1807/F1807-1</f>
        <v>0</v>
      </c>
    </row>
    <row r="1809" customFormat="false" ht="15" hidden="false" customHeight="false" outlineLevel="0" collapsed="false">
      <c r="A1809" s="4" t="s">
        <v>548</v>
      </c>
      <c r="B1809" s="0" t="s">
        <v>35</v>
      </c>
      <c r="D1809" s="23" t="n">
        <f aca="false">fx_26</f>
        <v>31.6</v>
      </c>
      <c r="E1809" s="23" t="n">
        <f aca="false">fx</f>
        <v>32</v>
      </c>
      <c r="F1809" s="23" t="n">
        <f aca="false">fx</f>
        <v>32</v>
      </c>
      <c r="G1809" s="23" t="n">
        <f aca="false">fx</f>
        <v>32</v>
      </c>
    </row>
    <row r="1810" customFormat="false" ht="17.15" hidden="false" customHeight="false" outlineLevel="0" collapsed="false">
      <c r="A1810" s="0" t="s">
        <v>549</v>
      </c>
      <c r="B1810" s="0" t="s">
        <v>184</v>
      </c>
      <c r="D1810" s="23" t="n">
        <f aca="false">D1806*D1807*D1809/1000000</f>
        <v>58.65206</v>
      </c>
      <c r="E1810" s="23" t="n">
        <f aca="false">E1806*E1807*E1809/1000000</f>
        <v>63.1045195255885</v>
      </c>
      <c r="F1810" s="23" t="n">
        <f aca="false">F1806*F1807*F1809/1000000</f>
        <v>60.2998742133401</v>
      </c>
      <c r="G1810" s="23" t="n">
        <f aca="false">G1806*G1807*G1809/1000000</f>
        <v>61.0010355414022</v>
      </c>
    </row>
    <row r="1811" customFormat="false" ht="17.15" hidden="false" customHeight="false" outlineLevel="0" collapsed="false">
      <c r="A1811" s="6" t="s">
        <v>550</v>
      </c>
    </row>
    <row r="1812" customFormat="false" ht="17.15" hidden="false" customHeight="false" outlineLevel="0" collapsed="false">
      <c r="A1812" s="0" t="s">
        <v>551</v>
      </c>
      <c r="B1812" s="4" t="s">
        <v>42</v>
      </c>
      <c r="D1812" s="22" t="n">
        <f aca="false">0</f>
        <v>0</v>
      </c>
      <c r="E1812" s="22" t="n">
        <f aca="false">vcap27*vcap_adj</f>
        <v>144</v>
      </c>
      <c r="F1812" s="22" t="n">
        <f aca="false">vcap28*vcap_adj</f>
        <v>360</v>
      </c>
      <c r="G1812" s="22" t="n">
        <f aca="false">vcap29*vcap_adj</f>
        <v>504</v>
      </c>
    </row>
    <row r="1813" customFormat="false" ht="17.15" hidden="false" customHeight="false" outlineLevel="0" collapsed="false">
      <c r="A1813" s="0" t="s">
        <v>552</v>
      </c>
      <c r="B1813" s="0" t="s">
        <v>48</v>
      </c>
      <c r="E1813" s="20" t="n">
        <f aca="false">vut_B</f>
        <v>0.8</v>
      </c>
      <c r="F1813" s="20" t="n">
        <f aca="false">vut_B</f>
        <v>0.8</v>
      </c>
      <c r="G1813" s="20" t="n">
        <f aca="false">vut_B</f>
        <v>0.8</v>
      </c>
    </row>
    <row r="1814" customFormat="false" ht="17.15" hidden="false" customHeight="false" outlineLevel="0" collapsed="false">
      <c r="A1814" s="0" t="s">
        <v>553</v>
      </c>
      <c r="B1814" s="4" t="s">
        <v>42</v>
      </c>
      <c r="D1814" s="22" t="n">
        <f aca="false">0</f>
        <v>0</v>
      </c>
      <c r="E1814" s="22" t="n">
        <f aca="false">E1812*E1813</f>
        <v>115.2</v>
      </c>
      <c r="F1814" s="22" t="n">
        <f aca="false">F1812*F1813</f>
        <v>288</v>
      </c>
      <c r="G1814" s="22" t="n">
        <f aca="false">G1812*G1813</f>
        <v>403.2</v>
      </c>
    </row>
    <row r="1815" customFormat="false" ht="17.15" hidden="false" customHeight="false" outlineLevel="0" collapsed="false">
      <c r="A1815" s="0" t="s">
        <v>554</v>
      </c>
      <c r="B1815" s="0" t="s">
        <v>184</v>
      </c>
      <c r="D1815" s="23" t="n">
        <f aca="false">0</f>
        <v>0</v>
      </c>
      <c r="E1815" s="23" t="n">
        <f aca="false">E1814*vasp*E1809/1000000</f>
        <v>6.63552</v>
      </c>
      <c r="F1815" s="23" t="n">
        <f aca="false">F1814*vasp*F1809/1000000</f>
        <v>16.5888</v>
      </c>
      <c r="G1815" s="23" t="n">
        <f aca="false">G1814*vasp*G1809/1000000</f>
        <v>23.22432</v>
      </c>
    </row>
    <row r="1816" customFormat="false" ht="17.15" hidden="false" customHeight="false" outlineLevel="0" collapsed="false">
      <c r="A1816" s="4" t="s">
        <v>400</v>
      </c>
      <c r="B1816" s="0" t="s">
        <v>184</v>
      </c>
      <c r="C1816" s="23" t="n">
        <f aca="false">a25_rev</f>
        <v>48.591</v>
      </c>
      <c r="D1816" s="23" t="n">
        <f aca="false">D1810+D1815</f>
        <v>58.65206</v>
      </c>
      <c r="E1816" s="23" t="n">
        <f aca="false">E1810+E1815</f>
        <v>69.7400395255885</v>
      </c>
      <c r="F1816" s="23" t="n">
        <f aca="false">F1810+F1815</f>
        <v>76.8886742133401</v>
      </c>
      <c r="G1816" s="23" t="n">
        <f aca="false">G1810+G1815</f>
        <v>84.2253555414022</v>
      </c>
      <c r="H1816" s="29" t="n">
        <f aca="false">G1816*(1+H1819)</f>
        <v>90.7061896343453</v>
      </c>
      <c r="I1816" s="29" t="n">
        <f aca="false">H1816*(1+I1819)</f>
        <v>96.0100687533499</v>
      </c>
      <c r="J1816" s="29" t="n">
        <f aca="false">I1816*(1+J1819)</f>
        <v>99.8504715034839</v>
      </c>
      <c r="K1816" s="8" t="s">
        <v>555</v>
      </c>
    </row>
    <row r="1817" customFormat="false" ht="17.15" hidden="false" customHeight="false" outlineLevel="0" collapsed="false">
      <c r="A1817" s="0" t="s">
        <v>556</v>
      </c>
      <c r="B1817" s="0" t="s">
        <v>48</v>
      </c>
      <c r="D1817" s="20" t="n">
        <f aca="false">D1815/D1816</f>
        <v>0</v>
      </c>
      <c r="E1817" s="20" t="n">
        <f aca="false">E1815/E1816</f>
        <v>0.0951464903825491</v>
      </c>
      <c r="F1817" s="20" t="n">
        <f aca="false">F1815/F1816</f>
        <v>0.215750891398799</v>
      </c>
      <c r="G1817" s="20" t="n">
        <f aca="false">G1815/G1816</f>
        <v>0.275740242955505</v>
      </c>
    </row>
    <row r="1818" customFormat="false" ht="17.15" hidden="false" customHeight="false" outlineLevel="0" collapsed="false">
      <c r="A1818" s="0" t="s">
        <v>557</v>
      </c>
      <c r="B1818" s="0" t="s">
        <v>48</v>
      </c>
      <c r="D1818" s="20" t="n">
        <f aca="false">ai_sh26</f>
        <v>0.1</v>
      </c>
      <c r="E1818" s="20" t="n">
        <f aca="false">ai_sh27_B</f>
        <v>0.2</v>
      </c>
      <c r="F1818" s="20" t="n">
        <f aca="false">ai_sh27_B</f>
        <v>0.2</v>
      </c>
      <c r="G1818" s="20" t="n">
        <f aca="false">ai_sh27_B</f>
        <v>0.2</v>
      </c>
    </row>
    <row r="1819" customFormat="false" ht="15" hidden="false" customHeight="false" outlineLevel="0" collapsed="false">
      <c r="A1819" s="4" t="s">
        <v>558</v>
      </c>
      <c r="B1819" s="0" t="s">
        <v>48</v>
      </c>
      <c r="D1819" s="20" t="n">
        <f aca="false">D1816/C1816-1</f>
        <v>0.207056039184211</v>
      </c>
      <c r="E1819" s="20" t="n">
        <f aca="false">E1816/D1816-1</f>
        <v>0.189046719340949</v>
      </c>
      <c r="F1819" s="20" t="n">
        <f aca="false">F1816/E1816-1</f>
        <v>0.10250402403527</v>
      </c>
      <c r="G1819" s="20" t="n">
        <f aca="false">G1816/F1816-1</f>
        <v>0.095419532240929</v>
      </c>
      <c r="H1819" s="27" t="n">
        <f aca="false">$G1819+(fade_gB-$G1819)*1/3</f>
        <v>0.076946354827286</v>
      </c>
      <c r="I1819" s="27" t="n">
        <f aca="false">$G1819+(fade_gB-$G1819)*2/3</f>
        <v>0.058473177413643</v>
      </c>
      <c r="J1819" s="27" t="n">
        <f aca="false">$G1819+(fade_gB-$G1819)*3/3</f>
        <v>0.04</v>
      </c>
    </row>
    <row r="1820" customFormat="false" ht="17.15" hidden="false" customHeight="false" outlineLevel="0" collapsed="false">
      <c r="A1820" s="6" t="s">
        <v>559</v>
      </c>
    </row>
    <row r="1821" customFormat="false" ht="15" hidden="false" customHeight="false" outlineLevel="0" collapsed="false">
      <c r="A1821" s="4" t="s">
        <v>560</v>
      </c>
      <c r="B1821" s="0" t="s">
        <v>184</v>
      </c>
      <c r="D1821" s="23" t="n">
        <f aca="false">da_tot26*da_sh</f>
        <v>8.658</v>
      </c>
      <c r="E1821" s="23" t="n">
        <f aca="false">D1821*(1+dag_27+dag_adj)</f>
        <v>8.91774</v>
      </c>
      <c r="F1821" s="23" t="n">
        <f aca="false">E1821*(1+dag_28+dag_adj)</f>
        <v>9.0960948</v>
      </c>
      <c r="G1821" s="23" t="n">
        <f aca="false">F1821*(1+dag_29+dag_adj)</f>
        <v>9.0960948</v>
      </c>
    </row>
    <row r="1822" customFormat="false" ht="17.15" hidden="false" customHeight="false" outlineLevel="0" collapsed="false">
      <c r="A1822" s="4" t="s">
        <v>561</v>
      </c>
      <c r="B1822" s="0" t="s">
        <v>562</v>
      </c>
      <c r="D1822" s="23" t="n">
        <f aca="false">(D1810-a26_gp-D1821)/D1806*1000</f>
        <v>10.7339918911001</v>
      </c>
      <c r="E1822" s="23" t="n">
        <f aca="false">D1822*(1+cc_g)</f>
        <v>10.9486717289221</v>
      </c>
      <c r="F1822" s="23" t="n">
        <f aca="false">E1822*(1+cc_g)</f>
        <v>11.1676451635006</v>
      </c>
      <c r="G1822" s="23" t="n">
        <f aca="false">F1822*(1+cc_g)</f>
        <v>11.3909980667706</v>
      </c>
      <c r="K1822" s="8" t="s">
        <v>563</v>
      </c>
    </row>
    <row r="1823" customFormat="false" ht="17.15" hidden="false" customHeight="false" outlineLevel="0" collapsed="false">
      <c r="A1823" s="4" t="s">
        <v>564</v>
      </c>
      <c r="B1823" s="0" t="s">
        <v>184</v>
      </c>
      <c r="D1823" s="23" t="n">
        <f aca="false">D1822*D1806/1000</f>
        <v>30.9620386</v>
      </c>
      <c r="E1823" s="23" t="n">
        <f aca="false">E1822*E1806/1000</f>
        <v>32.576677862235</v>
      </c>
      <c r="F1823" s="23" t="n">
        <f aca="false">F1822*F1806/1000</f>
        <v>31.7514020230583</v>
      </c>
      <c r="G1823" s="23" t="n">
        <f aca="false">G1822*G1806/1000</f>
        <v>32.7630164596069</v>
      </c>
    </row>
    <row r="1824" customFormat="false" ht="17.15" hidden="false" customHeight="false" outlineLevel="0" collapsed="false">
      <c r="A1824" s="0" t="s">
        <v>565</v>
      </c>
      <c r="B1824" s="0" t="s">
        <v>48</v>
      </c>
      <c r="E1824" s="20" t="n">
        <f aca="false">vgm27_B</f>
        <v>-0.05</v>
      </c>
      <c r="F1824" s="20" t="n">
        <f aca="false">vgm28_B</f>
        <v>0.12</v>
      </c>
      <c r="G1824" s="20" t="n">
        <f aca="false">vgm29_B</f>
        <v>0.18</v>
      </c>
    </row>
    <row r="1825" customFormat="false" ht="17.15" hidden="false" customHeight="false" outlineLevel="0" collapsed="false">
      <c r="A1825" s="0" t="s">
        <v>566</v>
      </c>
      <c r="B1825" s="0" t="s">
        <v>184</v>
      </c>
      <c r="D1825" s="23" t="n">
        <f aca="false">0</f>
        <v>0</v>
      </c>
      <c r="E1825" s="23" t="n">
        <f aca="false">E1815*E1824</f>
        <v>-0.331776</v>
      </c>
      <c r="F1825" s="23" t="n">
        <f aca="false">F1815*F1824</f>
        <v>1.990656</v>
      </c>
      <c r="G1825" s="23" t="n">
        <f aca="false">G1815*G1824</f>
        <v>4.1803776</v>
      </c>
    </row>
    <row r="1826" customFormat="false" ht="15" hidden="false" customHeight="false" outlineLevel="0" collapsed="false">
      <c r="A1826" s="4" t="s">
        <v>417</v>
      </c>
      <c r="B1826" s="0" t="s">
        <v>184</v>
      </c>
      <c r="C1826" s="23" t="n">
        <f aca="false">a25_gp</f>
        <v>13.654</v>
      </c>
      <c r="D1826" s="23" t="n">
        <f aca="false">D1810-D1821-D1823+D1825</f>
        <v>19.0320214</v>
      </c>
      <c r="E1826" s="23" t="n">
        <f aca="false">E1810-E1821-E1823+E1825</f>
        <v>21.2783256633535</v>
      </c>
      <c r="F1826" s="23" t="n">
        <f aca="false">F1810-F1821-F1823+F1825</f>
        <v>21.4430333902818</v>
      </c>
      <c r="G1826" s="23" t="n">
        <f aca="false">G1810-G1821-G1823+G1825</f>
        <v>23.3223018817953</v>
      </c>
    </row>
    <row r="1827" customFormat="false" ht="15" hidden="false" customHeight="false" outlineLevel="0" collapsed="false">
      <c r="A1827" s="4" t="s">
        <v>420</v>
      </c>
      <c r="B1827" s="0" t="s">
        <v>48</v>
      </c>
      <c r="C1827" s="16" t="n">
        <f aca="false">C1826/C1816</f>
        <v>0.280998538824062</v>
      </c>
      <c r="D1827" s="16" t="n">
        <f aca="false">D1826/D1816</f>
        <v>0.324490246378388</v>
      </c>
      <c r="E1827" s="16" t="n">
        <f aca="false">E1826/E1816</f>
        <v>0.305109171260883</v>
      </c>
      <c r="F1827" s="16" t="n">
        <f aca="false">F1826/F1816</f>
        <v>0.27888416089455</v>
      </c>
      <c r="G1827" s="16" t="n">
        <f aca="false">G1826/G1816</f>
        <v>0.27690357294284</v>
      </c>
    </row>
    <row r="1828" customFormat="false" ht="15" hidden="false" customHeight="false" outlineLevel="0" collapsed="false">
      <c r="A1828" s="4" t="s">
        <v>422</v>
      </c>
      <c r="B1828" s="0" t="s">
        <v>184</v>
      </c>
      <c r="C1828" s="23" t="n">
        <f aca="false">a25_opx</f>
        <v>5.881</v>
      </c>
      <c r="D1828" s="23" t="n">
        <f aca="false">a26_opx</f>
        <v>6.824187</v>
      </c>
      <c r="E1828" s="23" t="n">
        <f aca="false">D1828*(1+MAX(g_opx_min,phi*E1819))</f>
        <v>7.46923208225958</v>
      </c>
      <c r="F1828" s="23" t="n">
        <f aca="false">E1828*(1+MAX(g_opx_min,phi*F1819))</f>
        <v>7.85204525470205</v>
      </c>
      <c r="G1828" s="23" t="n">
        <f aca="false">F1828*(1+MAX(g_opx_min,phi*G1819))</f>
        <v>8.22666449737119</v>
      </c>
    </row>
    <row r="1829" customFormat="false" ht="15" hidden="false" customHeight="false" outlineLevel="0" collapsed="false">
      <c r="A1829" s="4" t="s">
        <v>425</v>
      </c>
      <c r="B1829" s="0" t="s">
        <v>184</v>
      </c>
      <c r="C1829" s="23" t="n">
        <f aca="false">C1826-C1828</f>
        <v>7.773</v>
      </c>
      <c r="D1829" s="23" t="n">
        <f aca="false">D1826-D1828</f>
        <v>12.2078344</v>
      </c>
      <c r="E1829" s="23" t="n">
        <f aca="false">E1826-E1828</f>
        <v>13.8090935810939</v>
      </c>
      <c r="F1829" s="23" t="n">
        <f aca="false">F1826-F1828</f>
        <v>13.5909881355797</v>
      </c>
      <c r="G1829" s="23" t="n">
        <f aca="false">G1826-G1828</f>
        <v>15.0956373844241</v>
      </c>
    </row>
    <row r="1830" customFormat="false" ht="15" hidden="false" customHeight="false" outlineLevel="0" collapsed="false">
      <c r="A1830" s="4" t="s">
        <v>531</v>
      </c>
      <c r="B1830" s="0" t="s">
        <v>48</v>
      </c>
      <c r="C1830" s="16" t="n">
        <f aca="false">C1829/C1816</f>
        <v>0.159967895289251</v>
      </c>
      <c r="D1830" s="16" t="n">
        <f aca="false">D1829/D1816</f>
        <v>0.208139908470393</v>
      </c>
      <c r="E1830" s="16" t="n">
        <f aca="false">E1829/E1816</f>
        <v>0.198008112341652</v>
      </c>
      <c r="F1830" s="16" t="n">
        <f aca="false">F1829/F1816</f>
        <v>0.176761899910893</v>
      </c>
      <c r="G1830" s="16" t="n">
        <f aca="false">G1829/G1816</f>
        <v>0.179229132217834</v>
      </c>
    </row>
    <row r="1831" customFormat="false" ht="15" hidden="false" customHeight="false" outlineLevel="0" collapsed="false">
      <c r="A1831" s="4" t="s">
        <v>428</v>
      </c>
      <c r="B1831" s="0" t="s">
        <v>184</v>
      </c>
      <c r="C1831" s="23" t="n">
        <f aca="false">a25_nonop</f>
        <v>1.479</v>
      </c>
      <c r="D1831" s="23" t="n">
        <f aca="false">a26_nonop</f>
        <v>2.10950832169955</v>
      </c>
      <c r="E1831" s="23" t="n">
        <f aca="false">nonop_f_lo</f>
        <v>0.5</v>
      </c>
      <c r="F1831" s="23" t="n">
        <f aca="false">nonop_f_lo</f>
        <v>0.5</v>
      </c>
      <c r="G1831" s="23" t="n">
        <f aca="false">nonop_f_lo</f>
        <v>0.5</v>
      </c>
    </row>
    <row r="1832" customFormat="false" ht="15" hidden="false" customHeight="false" outlineLevel="0" collapsed="false">
      <c r="A1832" s="4" t="s">
        <v>430</v>
      </c>
      <c r="B1832" s="0" t="s">
        <v>184</v>
      </c>
      <c r="C1832" s="23" t="n">
        <f aca="false">C1829+C1831</f>
        <v>9.252</v>
      </c>
      <c r="D1832" s="23" t="n">
        <f aca="false">D1829+D1831</f>
        <v>14.3173427216995</v>
      </c>
      <c r="E1832" s="23" t="n">
        <f aca="false">E1829+E1831</f>
        <v>14.3090935810939</v>
      </c>
      <c r="F1832" s="23" t="n">
        <f aca="false">F1829+F1831</f>
        <v>14.0909881355797</v>
      </c>
      <c r="G1832" s="23" t="n">
        <f aca="false">G1829+G1831</f>
        <v>15.5956373844241</v>
      </c>
    </row>
    <row r="1833" customFormat="false" ht="15" hidden="false" customHeight="false" outlineLevel="0" collapsed="false">
      <c r="A1833" s="4" t="s">
        <v>432</v>
      </c>
      <c r="B1833" s="0" t="s">
        <v>184</v>
      </c>
      <c r="C1833" s="23" t="n">
        <f aca="false">a25_tax</f>
        <v>1.344</v>
      </c>
      <c r="D1833" s="23" t="n">
        <f aca="false">a26_tax</f>
        <v>2.0798215108046</v>
      </c>
      <c r="E1833" s="23" t="n">
        <f aca="false">E1832*tax</f>
        <v>2.14636403716409</v>
      </c>
      <c r="F1833" s="23" t="n">
        <f aca="false">F1832*tax</f>
        <v>2.11364822033696</v>
      </c>
      <c r="G1833" s="23" t="n">
        <f aca="false">G1832*tax</f>
        <v>2.33934560766361</v>
      </c>
    </row>
    <row r="1834" customFormat="false" ht="17.15" hidden="false" customHeight="false" outlineLevel="0" collapsed="false">
      <c r="A1834" s="4" t="s">
        <v>567</v>
      </c>
      <c r="B1834" s="0" t="s">
        <v>184</v>
      </c>
      <c r="C1834" s="23" t="n">
        <f aca="false">a25_mi</f>
        <v>0</v>
      </c>
      <c r="D1834" s="23" t="n">
        <f aca="false">a26_mi</f>
        <v>0</v>
      </c>
      <c r="E1834" s="23" t="n">
        <f aca="false">vmi*E1825*(1-tax)</f>
        <v>-0.11280384</v>
      </c>
      <c r="F1834" s="23" t="n">
        <f aca="false">vmi*F1825*(1-tax)</f>
        <v>0.67682304</v>
      </c>
      <c r="G1834" s="23" t="n">
        <f aca="false">vmi*G1825*(1-tax)</f>
        <v>1.421328384</v>
      </c>
      <c r="K1834" s="8" t="s">
        <v>568</v>
      </c>
    </row>
    <row r="1835" customFormat="false" ht="15" hidden="false" customHeight="false" outlineLevel="0" collapsed="false">
      <c r="A1835" s="4" t="s">
        <v>435</v>
      </c>
      <c r="B1835" s="0" t="s">
        <v>184</v>
      </c>
      <c r="C1835" s="23" t="n">
        <f aca="false">C1832-C1833-C1834</f>
        <v>7.908</v>
      </c>
      <c r="D1835" s="23" t="n">
        <f aca="false">D1832-D1833-D1834</f>
        <v>12.2375212108949</v>
      </c>
      <c r="E1835" s="23" t="n">
        <f aca="false">E1832-E1833-E1834</f>
        <v>12.2755333839299</v>
      </c>
      <c r="F1835" s="23" t="n">
        <f aca="false">F1832-F1833-F1834</f>
        <v>11.3005168752428</v>
      </c>
      <c r="G1835" s="23" t="n">
        <f aca="false">G1832-G1833-G1834</f>
        <v>11.8349633927605</v>
      </c>
      <c r="H1835" s="29" t="n">
        <f aca="false">H1816*H1839</f>
        <v>12.3207666625028</v>
      </c>
      <c r="I1835" s="29" t="n">
        <f aca="false">I1816*I1839</f>
        <v>12.5915044499338</v>
      </c>
      <c r="J1835" s="29" t="n">
        <f aca="false">J1816*J1839</f>
        <v>12.6274801769336</v>
      </c>
    </row>
    <row r="1836" customFormat="false" ht="15" hidden="false" customHeight="false" outlineLevel="0" collapsed="false">
      <c r="A1836" s="4" t="s">
        <v>569</v>
      </c>
      <c r="B1836" s="4" t="s">
        <v>265</v>
      </c>
      <c r="C1836" s="10" t="n">
        <f aca="false">a25_sh</f>
        <v>1.8739336492891</v>
      </c>
      <c r="D1836" s="10" t="n">
        <f aca="false">a26_sh</f>
        <v>1.90613591916558</v>
      </c>
      <c r="E1836" s="10" t="n">
        <f aca="false">q_sh*(1+sh_g)</f>
        <v>1.90705128205128</v>
      </c>
      <c r="F1836" s="10" t="n">
        <f aca="false">E1836*(1+sh_g)</f>
        <v>1.90705128205128</v>
      </c>
      <c r="G1836" s="10" t="n">
        <f aca="false">F1836*(1+sh_g)</f>
        <v>1.90705128205128</v>
      </c>
      <c r="H1836" s="31" t="n">
        <f aca="false">G1836*(1+sh_g)</f>
        <v>1.90705128205128</v>
      </c>
      <c r="I1836" s="31" t="n">
        <f aca="false">H1836*(1+sh_g)</f>
        <v>1.90705128205128</v>
      </c>
      <c r="J1836" s="31" t="n">
        <f aca="false">I1836*(1+sh_g)</f>
        <v>1.90705128205128</v>
      </c>
    </row>
    <row r="1837" customFormat="false" ht="17.15" hidden="false" customHeight="false" outlineLevel="0" collapsed="false">
      <c r="A1837" s="0" t="s">
        <v>442</v>
      </c>
      <c r="B1837" s="0" t="s">
        <v>274</v>
      </c>
      <c r="C1837" s="23" t="n">
        <f aca="false">C1835/C1836</f>
        <v>4.22</v>
      </c>
      <c r="D1837" s="23" t="n">
        <f aca="false">D1835/D1836</f>
        <v>6.42006747150118</v>
      </c>
      <c r="E1837" s="23" t="n">
        <f aca="false">E1835/E1836</f>
        <v>6.43691834585902</v>
      </c>
      <c r="F1837" s="23" t="n">
        <f aca="false">F1835/F1836</f>
        <v>5.92564918500125</v>
      </c>
      <c r="G1837" s="23" t="n">
        <f aca="false">G1835/G1836</f>
        <v>6.20589677065758</v>
      </c>
      <c r="H1837" s="29" t="n">
        <f aca="false">H1835/H1836</f>
        <v>6.46063730874097</v>
      </c>
      <c r="I1837" s="29" t="n">
        <f aca="false">I1835/I1836</f>
        <v>6.60260401408294</v>
      </c>
      <c r="J1837" s="29" t="n">
        <f aca="false">J1835/J1836</f>
        <v>6.62146859698032</v>
      </c>
    </row>
    <row r="1838" customFormat="false" ht="17.15" hidden="false" customHeight="false" outlineLevel="0" collapsed="false">
      <c r="A1838" s="0" t="s">
        <v>570</v>
      </c>
      <c r="B1838" s="0" t="s">
        <v>48</v>
      </c>
      <c r="D1838" s="20" t="n">
        <f aca="false">D1837/C1837-1</f>
        <v>0.521343002725398</v>
      </c>
      <c r="E1838" s="20" t="n">
        <f aca="false">E1837/D1837-1</f>
        <v>0.00262471920001439</v>
      </c>
      <c r="F1838" s="20" t="n">
        <f aca="false">F1837/E1837-1</f>
        <v>-0.0794276287793334</v>
      </c>
      <c r="G1838" s="20" t="n">
        <f aca="false">G1837/F1837-1</f>
        <v>0.0472939887102479</v>
      </c>
      <c r="H1838" s="27" t="n">
        <f aca="false">H1837/G1837-1</f>
        <v>0.0410481429997096</v>
      </c>
      <c r="I1838" s="27" t="n">
        <f aca="false">I1837/H1837-1</f>
        <v>0.0219741023304141</v>
      </c>
      <c r="J1838" s="27" t="n">
        <f aca="false">J1837/I1837-1</f>
        <v>0.00285714285714289</v>
      </c>
    </row>
    <row r="1839" customFormat="false" ht="17.15" hidden="false" customHeight="false" outlineLevel="0" collapsed="false">
      <c r="A1839" s="4" t="s">
        <v>571</v>
      </c>
      <c r="B1839" s="0" t="s">
        <v>48</v>
      </c>
      <c r="C1839" s="16" t="n">
        <f aca="false">C1835/C1816</f>
        <v>0.162746187565599</v>
      </c>
      <c r="D1839" s="16" t="n">
        <f aca="false">D1835/D1816</f>
        <v>0.208646059676249</v>
      </c>
      <c r="E1839" s="16" t="n">
        <f aca="false">E1835/E1816</f>
        <v>0.176018446038101</v>
      </c>
      <c r="F1839" s="16" t="n">
        <f aca="false">F1835/F1816</f>
        <v>0.146972450635417</v>
      </c>
      <c r="G1839" s="16" t="n">
        <f aca="false">G1835/G1816</f>
        <v>0.140515445932939</v>
      </c>
      <c r="H1839" s="28" t="n">
        <f aca="false">$G1839+($G$1839*0.9-$G1839)*1/3</f>
        <v>0.135831597735174</v>
      </c>
      <c r="I1839" s="28" t="n">
        <f aca="false">$G1839+($G$1839*0.9-$G1839)*2/3</f>
        <v>0.13114774953741</v>
      </c>
      <c r="J1839" s="28" t="n">
        <f aca="false">$G1839+($G$1839*0.9-$G1839)*3/3</f>
        <v>0.126463901339645</v>
      </c>
    </row>
    <row r="1842" customFormat="false" ht="17.15" hidden="false" customHeight="false" outlineLevel="0" collapsed="false">
      <c r="A1842" s="1" t="s">
        <v>889</v>
      </c>
    </row>
    <row r="1843" customFormat="false" ht="17.15" hidden="false" customHeight="false" outlineLevel="0" collapsed="false">
      <c r="A1843" s="5" t="s">
        <v>24</v>
      </c>
      <c r="B1843" s="5" t="s">
        <v>25</v>
      </c>
      <c r="C1843" s="17" t="s">
        <v>394</v>
      </c>
      <c r="D1843" s="17" t="s">
        <v>521</v>
      </c>
      <c r="E1843" s="17" t="s">
        <v>480</v>
      </c>
      <c r="F1843" s="17" t="s">
        <v>481</v>
      </c>
      <c r="G1843" s="17" t="s">
        <v>482</v>
      </c>
      <c r="H1843" s="17" t="s">
        <v>522</v>
      </c>
      <c r="I1843" s="17" t="s">
        <v>523</v>
      </c>
      <c r="J1843" s="17" t="s">
        <v>524</v>
      </c>
      <c r="K1843" s="5" t="s">
        <v>357</v>
      </c>
    </row>
    <row r="1844" customFormat="false" ht="17.15" hidden="false" customHeight="false" outlineLevel="0" collapsed="false">
      <c r="A1844" s="6" t="s">
        <v>542</v>
      </c>
    </row>
    <row r="1845" customFormat="false" ht="17.15" hidden="false" customHeight="false" outlineLevel="0" collapsed="false">
      <c r="A1845" s="4" t="s">
        <v>543</v>
      </c>
      <c r="B1845" s="4" t="s">
        <v>42</v>
      </c>
      <c r="D1845" s="22" t="n">
        <f aca="false">cap_26</f>
        <v>3306</v>
      </c>
      <c r="E1845" s="22" t="n">
        <f aca="false">D1845*(1+capg27)*cap_adj</f>
        <v>3306</v>
      </c>
      <c r="F1845" s="22" t="n">
        <f aca="false">E1845*(1+capg28)</f>
        <v>3306</v>
      </c>
      <c r="G1845" s="22" t="n">
        <f aca="false">F1845*(1+capg29)</f>
        <v>3306</v>
      </c>
    </row>
    <row r="1846" customFormat="false" ht="15" hidden="false" customHeight="false" outlineLevel="0" collapsed="false">
      <c r="A1846" s="4" t="s">
        <v>544</v>
      </c>
      <c r="B1846" s="0" t="s">
        <v>48</v>
      </c>
      <c r="D1846" s="20" t="n">
        <f aca="false">a26_ship/cap_26</f>
        <v>0.8725</v>
      </c>
      <c r="E1846" s="20" t="n">
        <f aca="false">MIN(0.98,ut27_C+ut_adj)</f>
        <v>0.8</v>
      </c>
      <c r="F1846" s="20" t="n">
        <f aca="false">MIN(0.98,ut28_C+ut_adj)</f>
        <v>0.74</v>
      </c>
      <c r="G1846" s="20" t="n">
        <f aca="false">MIN(0.98,ut29_C+ut_adj)</f>
        <v>0.78</v>
      </c>
    </row>
    <row r="1847" customFormat="false" ht="17.15" hidden="false" customHeight="false" outlineLevel="0" collapsed="false">
      <c r="A1847" s="4" t="s">
        <v>545</v>
      </c>
      <c r="B1847" s="4" t="s">
        <v>42</v>
      </c>
      <c r="D1847" s="22" t="n">
        <f aca="false">D1845*D1846</f>
        <v>2884.485</v>
      </c>
      <c r="E1847" s="22" t="n">
        <f aca="false">E1845*E1846</f>
        <v>2644.8</v>
      </c>
      <c r="F1847" s="22" t="n">
        <f aca="false">F1845*F1846</f>
        <v>2446.44</v>
      </c>
      <c r="G1847" s="22" t="n">
        <f aca="false">G1845*G1846</f>
        <v>2578.68</v>
      </c>
    </row>
    <row r="1848" customFormat="false" ht="17.15" hidden="false" customHeight="false" outlineLevel="0" collapsed="false">
      <c r="A1848" s="4" t="s">
        <v>546</v>
      </c>
      <c r="B1848" s="0" t="s">
        <v>89</v>
      </c>
      <c r="D1848" s="22" t="n">
        <f aca="false">asp_26</f>
        <v>643.469405492234</v>
      </c>
      <c r="E1848" s="22" t="n">
        <f aca="false">D1848*(1+asp27_C)*(1+asp_adj)</f>
        <v>624.165323327467</v>
      </c>
      <c r="F1848" s="22" t="n">
        <f aca="false">E1848*(1+asp28_C)</f>
        <v>592.957057161093</v>
      </c>
      <c r="G1848" s="22" t="n">
        <f aca="false">F1848*(1+asp29_C)</f>
        <v>581.097916017871</v>
      </c>
    </row>
    <row r="1849" customFormat="false" ht="15" hidden="false" customHeight="false" outlineLevel="0" collapsed="false">
      <c r="A1849" s="4" t="s">
        <v>547</v>
      </c>
      <c r="B1849" s="0" t="s">
        <v>48</v>
      </c>
      <c r="E1849" s="20" t="n">
        <f aca="false">E1848/D1848-1</f>
        <v>-0.03</v>
      </c>
      <c r="F1849" s="20" t="n">
        <f aca="false">F1848/E1848-1</f>
        <v>-0.05</v>
      </c>
      <c r="G1849" s="20" t="n">
        <f aca="false">G1848/F1848-1</f>
        <v>-0.02</v>
      </c>
    </row>
    <row r="1850" customFormat="false" ht="15" hidden="false" customHeight="false" outlineLevel="0" collapsed="false">
      <c r="A1850" s="4" t="s">
        <v>548</v>
      </c>
      <c r="B1850" s="0" t="s">
        <v>35</v>
      </c>
      <c r="D1850" s="23" t="n">
        <f aca="false">fx_26</f>
        <v>31.6</v>
      </c>
      <c r="E1850" s="23" t="n">
        <f aca="false">fx</f>
        <v>32</v>
      </c>
      <c r="F1850" s="23" t="n">
        <f aca="false">fx</f>
        <v>32</v>
      </c>
      <c r="G1850" s="23" t="n">
        <f aca="false">fx</f>
        <v>32</v>
      </c>
    </row>
    <row r="1851" customFormat="false" ht="17.15" hidden="false" customHeight="false" outlineLevel="0" collapsed="false">
      <c r="A1851" s="0" t="s">
        <v>549</v>
      </c>
      <c r="B1851" s="0" t="s">
        <v>184</v>
      </c>
      <c r="D1851" s="23" t="n">
        <f aca="false">D1847*D1848*D1850/1000000</f>
        <v>58.65206</v>
      </c>
      <c r="E1851" s="23" t="n">
        <f aca="false">E1847*E1848*E1850/1000000</f>
        <v>52.8253583083675</v>
      </c>
      <c r="F1851" s="23" t="n">
        <f aca="false">F1847*F1848*F1850/1000000</f>
        <v>46.4202836134779</v>
      </c>
      <c r="G1851" s="23" t="n">
        <f aca="false">G1847*G1848*G1850/1000000</f>
        <v>47.9508983704629</v>
      </c>
    </row>
    <row r="1852" customFormat="false" ht="17.15" hidden="false" customHeight="false" outlineLevel="0" collapsed="false">
      <c r="A1852" s="6" t="s">
        <v>550</v>
      </c>
    </row>
    <row r="1853" customFormat="false" ht="17.15" hidden="false" customHeight="false" outlineLevel="0" collapsed="false">
      <c r="A1853" s="0" t="s">
        <v>551</v>
      </c>
      <c r="B1853" s="4" t="s">
        <v>42</v>
      </c>
      <c r="D1853" s="22" t="n">
        <f aca="false">0</f>
        <v>0</v>
      </c>
      <c r="E1853" s="22" t="n">
        <f aca="false">vcap27*vcap_adj</f>
        <v>144</v>
      </c>
      <c r="F1853" s="22" t="n">
        <f aca="false">vcap28*vcap_adj</f>
        <v>360</v>
      </c>
      <c r="G1853" s="22" t="n">
        <f aca="false">vcap29*vcap_adj</f>
        <v>504</v>
      </c>
    </row>
    <row r="1854" customFormat="false" ht="17.15" hidden="false" customHeight="false" outlineLevel="0" collapsed="false">
      <c r="A1854" s="0" t="s">
        <v>552</v>
      </c>
      <c r="B1854" s="0" t="s">
        <v>48</v>
      </c>
      <c r="E1854" s="20" t="n">
        <f aca="false">vut_C</f>
        <v>0.65</v>
      </c>
      <c r="F1854" s="20" t="n">
        <f aca="false">vut_C</f>
        <v>0.65</v>
      </c>
      <c r="G1854" s="20" t="n">
        <f aca="false">vut_C</f>
        <v>0.65</v>
      </c>
    </row>
    <row r="1855" customFormat="false" ht="17.15" hidden="false" customHeight="false" outlineLevel="0" collapsed="false">
      <c r="A1855" s="0" t="s">
        <v>553</v>
      </c>
      <c r="B1855" s="4" t="s">
        <v>42</v>
      </c>
      <c r="D1855" s="22" t="n">
        <f aca="false">0</f>
        <v>0</v>
      </c>
      <c r="E1855" s="22" t="n">
        <f aca="false">E1853*E1854</f>
        <v>93.6</v>
      </c>
      <c r="F1855" s="22" t="n">
        <f aca="false">F1853*F1854</f>
        <v>234</v>
      </c>
      <c r="G1855" s="22" t="n">
        <f aca="false">G1853*G1854</f>
        <v>327.6</v>
      </c>
    </row>
    <row r="1856" customFormat="false" ht="17.15" hidden="false" customHeight="false" outlineLevel="0" collapsed="false">
      <c r="A1856" s="0" t="s">
        <v>554</v>
      </c>
      <c r="B1856" s="0" t="s">
        <v>184</v>
      </c>
      <c r="D1856" s="23" t="n">
        <f aca="false">0</f>
        <v>0</v>
      </c>
      <c r="E1856" s="23" t="n">
        <f aca="false">E1855*vasp*E1850/1000000</f>
        <v>5.39136</v>
      </c>
      <c r="F1856" s="23" t="n">
        <f aca="false">F1855*vasp*F1850/1000000</f>
        <v>13.4784</v>
      </c>
      <c r="G1856" s="23" t="n">
        <f aca="false">G1855*vasp*G1850/1000000</f>
        <v>18.86976</v>
      </c>
    </row>
    <row r="1857" customFormat="false" ht="17.15" hidden="false" customHeight="false" outlineLevel="0" collapsed="false">
      <c r="A1857" s="4" t="s">
        <v>400</v>
      </c>
      <c r="B1857" s="0" t="s">
        <v>184</v>
      </c>
      <c r="C1857" s="23" t="n">
        <f aca="false">a25_rev</f>
        <v>48.591</v>
      </c>
      <c r="D1857" s="23" t="n">
        <f aca="false">D1851+D1856</f>
        <v>58.65206</v>
      </c>
      <c r="E1857" s="23" t="n">
        <f aca="false">E1851+E1856</f>
        <v>58.2167183083675</v>
      </c>
      <c r="F1857" s="23" t="n">
        <f aca="false">F1851+F1856</f>
        <v>59.8986836134779</v>
      </c>
      <c r="G1857" s="23" t="n">
        <f aca="false">G1851+G1856</f>
        <v>66.8206583704629</v>
      </c>
      <c r="H1857" s="29" t="n">
        <f aca="false">G1857*(1+H1860)</f>
        <v>72.4140545845787</v>
      </c>
      <c r="I1857" s="29" t="n">
        <f aca="false">H1857*(1+I1860)</f>
        <v>76.1689980934585</v>
      </c>
      <c r="J1857" s="29" t="n">
        <f aca="false">I1857*(1+J1860)</f>
        <v>77.6923780553276</v>
      </c>
      <c r="K1857" s="8" t="s">
        <v>555</v>
      </c>
    </row>
    <row r="1858" customFormat="false" ht="17.15" hidden="false" customHeight="false" outlineLevel="0" collapsed="false">
      <c r="A1858" s="0" t="s">
        <v>556</v>
      </c>
      <c r="B1858" s="0" t="s">
        <v>48</v>
      </c>
      <c r="D1858" s="20" t="n">
        <f aca="false">D1856/D1857</f>
        <v>0</v>
      </c>
      <c r="E1858" s="20" t="n">
        <f aca="false">E1856/E1857</f>
        <v>0.0926084491991212</v>
      </c>
      <c r="F1858" s="20" t="n">
        <f aca="false">F1856/F1857</f>
        <v>0.225019970171218</v>
      </c>
      <c r="G1858" s="20" t="n">
        <f aca="false">G1856/G1857</f>
        <v>0.28239410475999</v>
      </c>
    </row>
    <row r="1859" customFormat="false" ht="17.15" hidden="false" customHeight="false" outlineLevel="0" collapsed="false">
      <c r="A1859" s="0" t="s">
        <v>557</v>
      </c>
      <c r="B1859" s="0" t="s">
        <v>48</v>
      </c>
      <c r="D1859" s="20" t="n">
        <f aca="false">ai_sh26</f>
        <v>0.1</v>
      </c>
      <c r="E1859" s="20" t="n">
        <f aca="false">ai_sh27_C</f>
        <v>0.15</v>
      </c>
      <c r="F1859" s="20" t="n">
        <f aca="false">ai_sh27_C</f>
        <v>0.15</v>
      </c>
      <c r="G1859" s="20" t="n">
        <f aca="false">ai_sh27_C</f>
        <v>0.15</v>
      </c>
    </row>
    <row r="1860" customFormat="false" ht="15" hidden="false" customHeight="false" outlineLevel="0" collapsed="false">
      <c r="A1860" s="4" t="s">
        <v>558</v>
      </c>
      <c r="B1860" s="0" t="s">
        <v>48</v>
      </c>
      <c r="D1860" s="20" t="n">
        <f aca="false">D1857/C1857-1</f>
        <v>0.207056039184211</v>
      </c>
      <c r="E1860" s="20" t="n">
        <f aca="false">E1857/D1857-1</f>
        <v>-0.0074224450365854</v>
      </c>
      <c r="F1860" s="20" t="n">
        <f aca="false">F1857/E1857-1</f>
        <v>0.028891448264075</v>
      </c>
      <c r="G1860" s="20" t="n">
        <f aca="false">G1857/F1857-1</f>
        <v>0.115561383646625</v>
      </c>
      <c r="H1860" s="27" t="n">
        <f aca="false">$G1860+(fade_gC-$G1860)*1/3</f>
        <v>0.0837075890977501</v>
      </c>
      <c r="I1860" s="27" t="n">
        <f aca="false">$G1860+(fade_gC-$G1860)*2/3</f>
        <v>0.0518537945488751</v>
      </c>
      <c r="J1860" s="27" t="n">
        <f aca="false">$G1860+(fade_gC-$G1860)*3/3</f>
        <v>0.02</v>
      </c>
    </row>
    <row r="1861" customFormat="false" ht="17.15" hidden="false" customHeight="false" outlineLevel="0" collapsed="false">
      <c r="A1861" s="6" t="s">
        <v>559</v>
      </c>
    </row>
    <row r="1862" customFormat="false" ht="15" hidden="false" customHeight="false" outlineLevel="0" collapsed="false">
      <c r="A1862" s="4" t="s">
        <v>560</v>
      </c>
      <c r="B1862" s="0" t="s">
        <v>184</v>
      </c>
      <c r="D1862" s="23" t="n">
        <f aca="false">da_tot26*da_sh</f>
        <v>8.658</v>
      </c>
      <c r="E1862" s="23" t="n">
        <f aca="false">D1862*(1+dag_27+dag_adj)</f>
        <v>8.91774</v>
      </c>
      <c r="F1862" s="23" t="n">
        <f aca="false">E1862*(1+dag_28+dag_adj)</f>
        <v>9.0960948</v>
      </c>
      <c r="G1862" s="23" t="n">
        <f aca="false">F1862*(1+dag_29+dag_adj)</f>
        <v>9.0960948</v>
      </c>
    </row>
    <row r="1863" customFormat="false" ht="17.15" hidden="false" customHeight="false" outlineLevel="0" collapsed="false">
      <c r="A1863" s="4" t="s">
        <v>561</v>
      </c>
      <c r="B1863" s="0" t="s">
        <v>562</v>
      </c>
      <c r="D1863" s="23" t="n">
        <f aca="false">(D1851-a26_gp-D1862)/D1847*1000</f>
        <v>10.7339918911001</v>
      </c>
      <c r="E1863" s="23" t="n">
        <f aca="false">D1863*(1+cc_g)</f>
        <v>10.9486717289221</v>
      </c>
      <c r="F1863" s="23" t="n">
        <f aca="false">E1863*(1+cc_g)</f>
        <v>11.1676451635006</v>
      </c>
      <c r="G1863" s="23" t="n">
        <f aca="false">F1863*(1+cc_g)</f>
        <v>11.3909980667706</v>
      </c>
      <c r="K1863" s="8" t="s">
        <v>563</v>
      </c>
    </row>
    <row r="1864" customFormat="false" ht="17.15" hidden="false" customHeight="false" outlineLevel="0" collapsed="false">
      <c r="A1864" s="4" t="s">
        <v>564</v>
      </c>
      <c r="B1864" s="0" t="s">
        <v>184</v>
      </c>
      <c r="D1864" s="23" t="n">
        <f aca="false">D1863*D1847/1000</f>
        <v>30.9620386</v>
      </c>
      <c r="E1864" s="23" t="n">
        <f aca="false">E1863*E1847/1000</f>
        <v>28.9570469886533</v>
      </c>
      <c r="F1864" s="23" t="n">
        <f aca="false">F1863*F1847/1000</f>
        <v>27.3209738337944</v>
      </c>
      <c r="G1864" s="23" t="n">
        <f aca="false">G1863*G1847/1000</f>
        <v>29.37373889482</v>
      </c>
    </row>
    <row r="1865" customFormat="false" ht="17.15" hidden="false" customHeight="false" outlineLevel="0" collapsed="false">
      <c r="A1865" s="0" t="s">
        <v>565</v>
      </c>
      <c r="B1865" s="0" t="s">
        <v>48</v>
      </c>
      <c r="E1865" s="20" t="n">
        <f aca="false">vgm27_C</f>
        <v>-0.2</v>
      </c>
      <c r="F1865" s="20" t="n">
        <f aca="false">vgm28_C</f>
        <v>0</v>
      </c>
      <c r="G1865" s="20" t="n">
        <f aca="false">vgm29_C</f>
        <v>0.05</v>
      </c>
    </row>
    <row r="1866" customFormat="false" ht="17.15" hidden="false" customHeight="false" outlineLevel="0" collapsed="false">
      <c r="A1866" s="0" t="s">
        <v>566</v>
      </c>
      <c r="B1866" s="0" t="s">
        <v>184</v>
      </c>
      <c r="D1866" s="23" t="n">
        <f aca="false">0</f>
        <v>0</v>
      </c>
      <c r="E1866" s="23" t="n">
        <f aca="false">E1856*E1865</f>
        <v>-1.078272</v>
      </c>
      <c r="F1866" s="23" t="n">
        <f aca="false">F1856*F1865</f>
        <v>0</v>
      </c>
      <c r="G1866" s="23" t="n">
        <f aca="false">G1856*G1865</f>
        <v>0.943488</v>
      </c>
    </row>
    <row r="1867" customFormat="false" ht="15" hidden="false" customHeight="false" outlineLevel="0" collapsed="false">
      <c r="A1867" s="4" t="s">
        <v>417</v>
      </c>
      <c r="B1867" s="0" t="s">
        <v>184</v>
      </c>
      <c r="C1867" s="23" t="n">
        <f aca="false">a25_gp</f>
        <v>13.654</v>
      </c>
      <c r="D1867" s="23" t="n">
        <f aca="false">D1851-D1862-D1864+D1866</f>
        <v>19.0320214</v>
      </c>
      <c r="E1867" s="23" t="n">
        <f aca="false">E1851-E1862-E1864+E1866</f>
        <v>13.8722993197142</v>
      </c>
      <c r="F1867" s="23" t="n">
        <f aca="false">F1851-F1862-F1864+F1866</f>
        <v>10.0032149796835</v>
      </c>
      <c r="G1867" s="23" t="n">
        <f aca="false">G1851-G1862-G1864+G1866</f>
        <v>10.4245526756429</v>
      </c>
    </row>
    <row r="1868" customFormat="false" ht="15" hidden="false" customHeight="false" outlineLevel="0" collapsed="false">
      <c r="A1868" s="4" t="s">
        <v>420</v>
      </c>
      <c r="B1868" s="0" t="s">
        <v>48</v>
      </c>
      <c r="C1868" s="16" t="n">
        <f aca="false">C1867/C1857</f>
        <v>0.280998538824062</v>
      </c>
      <c r="D1868" s="16" t="n">
        <f aca="false">D1867/D1857</f>
        <v>0.324490246378388</v>
      </c>
      <c r="E1868" s="16" t="n">
        <f aca="false">E1867/E1857</f>
        <v>0.238287208946306</v>
      </c>
      <c r="F1868" s="16" t="n">
        <f aca="false">F1867/F1857</f>
        <v>0.167002250737822</v>
      </c>
      <c r="G1868" s="16" t="n">
        <f aca="false">G1867/G1857</f>
        <v>0.156007931227611</v>
      </c>
    </row>
    <row r="1869" customFormat="false" ht="15" hidden="false" customHeight="false" outlineLevel="0" collapsed="false">
      <c r="A1869" s="4" t="s">
        <v>422</v>
      </c>
      <c r="B1869" s="0" t="s">
        <v>184</v>
      </c>
      <c r="C1869" s="23" t="n">
        <f aca="false">a25_opx</f>
        <v>5.881</v>
      </c>
      <c r="D1869" s="23" t="n">
        <f aca="false">a26_opx</f>
        <v>6.824187</v>
      </c>
      <c r="E1869" s="23" t="n">
        <f aca="false">D1869*(1+MAX(g_opx_min,phi*E1860))</f>
        <v>7.02891261</v>
      </c>
      <c r="F1869" s="23" t="n">
        <f aca="false">E1869*(1+MAX(g_opx_min,phi*F1860))</f>
        <v>7.2397799883</v>
      </c>
      <c r="G1869" s="23" t="n">
        <f aca="false">F1869*(1+MAX(g_opx_min,phi*G1860))</f>
        <v>7.65809948467255</v>
      </c>
    </row>
    <row r="1870" customFormat="false" ht="15" hidden="false" customHeight="false" outlineLevel="0" collapsed="false">
      <c r="A1870" s="4" t="s">
        <v>425</v>
      </c>
      <c r="B1870" s="0" t="s">
        <v>184</v>
      </c>
      <c r="C1870" s="23" t="n">
        <f aca="false">C1867-C1869</f>
        <v>7.773</v>
      </c>
      <c r="D1870" s="23" t="n">
        <f aca="false">D1867-D1869</f>
        <v>12.2078344</v>
      </c>
      <c r="E1870" s="23" t="n">
        <f aca="false">E1867-E1869</f>
        <v>6.8433867097142</v>
      </c>
      <c r="F1870" s="23" t="n">
        <f aca="false">F1867-F1869</f>
        <v>2.76343499138354</v>
      </c>
      <c r="G1870" s="23" t="n">
        <f aca="false">G1867-G1869</f>
        <v>2.76645319097031</v>
      </c>
    </row>
    <row r="1871" customFormat="false" ht="15" hidden="false" customHeight="false" outlineLevel="0" collapsed="false">
      <c r="A1871" s="4" t="s">
        <v>531</v>
      </c>
      <c r="B1871" s="0" t="s">
        <v>48</v>
      </c>
      <c r="C1871" s="16" t="n">
        <f aca="false">C1870/C1857</f>
        <v>0.159967895289251</v>
      </c>
      <c r="D1871" s="16" t="n">
        <f aca="false">D1870/D1857</f>
        <v>0.208139908470393</v>
      </c>
      <c r="E1871" s="16" t="n">
        <f aca="false">E1870/E1857</f>
        <v>0.117550197066512</v>
      </c>
      <c r="F1871" s="16" t="n">
        <f aca="false">F1870/F1857</f>
        <v>0.046135153974598</v>
      </c>
      <c r="G1871" s="16" t="n">
        <f aca="false">G1870/G1857</f>
        <v>0.0414011663224375</v>
      </c>
    </row>
    <row r="1872" customFormat="false" ht="15" hidden="false" customHeight="false" outlineLevel="0" collapsed="false">
      <c r="A1872" s="4" t="s">
        <v>428</v>
      </c>
      <c r="B1872" s="0" t="s">
        <v>184</v>
      </c>
      <c r="C1872" s="23" t="n">
        <f aca="false">a25_nonop</f>
        <v>1.479</v>
      </c>
      <c r="D1872" s="23" t="n">
        <f aca="false">a26_nonop</f>
        <v>2.10950832169955</v>
      </c>
      <c r="E1872" s="23" t="n">
        <f aca="false">nonop_f_lo</f>
        <v>0.5</v>
      </c>
      <c r="F1872" s="23" t="n">
        <f aca="false">nonop_f_lo</f>
        <v>0.5</v>
      </c>
      <c r="G1872" s="23" t="n">
        <f aca="false">nonop_f_lo</f>
        <v>0.5</v>
      </c>
    </row>
    <row r="1873" customFormat="false" ht="15" hidden="false" customHeight="false" outlineLevel="0" collapsed="false">
      <c r="A1873" s="4" t="s">
        <v>430</v>
      </c>
      <c r="B1873" s="0" t="s">
        <v>184</v>
      </c>
      <c r="C1873" s="23" t="n">
        <f aca="false">C1870+C1872</f>
        <v>9.252</v>
      </c>
      <c r="D1873" s="23" t="n">
        <f aca="false">D1870+D1872</f>
        <v>14.3173427216995</v>
      </c>
      <c r="E1873" s="23" t="n">
        <f aca="false">E1870+E1872</f>
        <v>7.3433867097142</v>
      </c>
      <c r="F1873" s="23" t="n">
        <f aca="false">F1870+F1872</f>
        <v>3.26343499138354</v>
      </c>
      <c r="G1873" s="23" t="n">
        <f aca="false">G1870+G1872</f>
        <v>3.26645319097031</v>
      </c>
    </row>
    <row r="1874" customFormat="false" ht="15" hidden="false" customHeight="false" outlineLevel="0" collapsed="false">
      <c r="A1874" s="4" t="s">
        <v>432</v>
      </c>
      <c r="B1874" s="0" t="s">
        <v>184</v>
      </c>
      <c r="C1874" s="23" t="n">
        <f aca="false">a25_tax</f>
        <v>1.344</v>
      </c>
      <c r="D1874" s="23" t="n">
        <f aca="false">a26_tax</f>
        <v>2.0798215108046</v>
      </c>
      <c r="E1874" s="23" t="n">
        <f aca="false">E1873*tax</f>
        <v>1.10150800645713</v>
      </c>
      <c r="F1874" s="23" t="n">
        <f aca="false">F1873*tax</f>
        <v>0.48951524870753</v>
      </c>
      <c r="G1874" s="23" t="n">
        <f aca="false">G1873*tax</f>
        <v>0.489967978645546</v>
      </c>
    </row>
    <row r="1875" customFormat="false" ht="17.15" hidden="false" customHeight="false" outlineLevel="0" collapsed="false">
      <c r="A1875" s="4" t="s">
        <v>567</v>
      </c>
      <c r="B1875" s="0" t="s">
        <v>184</v>
      </c>
      <c r="C1875" s="23" t="n">
        <f aca="false">a25_mi</f>
        <v>0</v>
      </c>
      <c r="D1875" s="23" t="n">
        <f aca="false">a26_mi</f>
        <v>0</v>
      </c>
      <c r="E1875" s="23" t="n">
        <f aca="false">vmi*E1866*(1-tax)</f>
        <v>-0.36661248</v>
      </c>
      <c r="F1875" s="23" t="n">
        <f aca="false">vmi*F1866*(1-tax)</f>
        <v>0</v>
      </c>
      <c r="G1875" s="23" t="n">
        <f aca="false">vmi*G1866*(1-tax)</f>
        <v>0.32078592</v>
      </c>
      <c r="K1875" s="8" t="s">
        <v>568</v>
      </c>
    </row>
    <row r="1876" customFormat="false" ht="15" hidden="false" customHeight="false" outlineLevel="0" collapsed="false">
      <c r="A1876" s="4" t="s">
        <v>435</v>
      </c>
      <c r="B1876" s="0" t="s">
        <v>184</v>
      </c>
      <c r="C1876" s="23" t="n">
        <f aca="false">C1873-C1874-C1875</f>
        <v>7.908</v>
      </c>
      <c r="D1876" s="23" t="n">
        <f aca="false">D1873-D1874-D1875</f>
        <v>12.2375212108949</v>
      </c>
      <c r="E1876" s="23" t="n">
        <f aca="false">E1873-E1874-E1875</f>
        <v>6.60849118325707</v>
      </c>
      <c r="F1876" s="23" t="n">
        <f aca="false">F1873-F1874-F1875</f>
        <v>2.77391974267601</v>
      </c>
      <c r="G1876" s="23" t="n">
        <f aca="false">G1873-G1874-G1875</f>
        <v>2.45569929232476</v>
      </c>
      <c r="H1876" s="29" t="n">
        <f aca="false">H1857*H1880</f>
        <v>2.48384262899203</v>
      </c>
      <c r="I1876" s="29" t="n">
        <f aca="false">I1857*I1880</f>
        <v>2.4260222019127</v>
      </c>
      <c r="J1876" s="29" t="n">
        <f aca="false">J1857*J1880</f>
        <v>2.28419321164703</v>
      </c>
    </row>
    <row r="1877" customFormat="false" ht="15" hidden="false" customHeight="false" outlineLevel="0" collapsed="false">
      <c r="A1877" s="4" t="s">
        <v>569</v>
      </c>
      <c r="B1877" s="4" t="s">
        <v>265</v>
      </c>
      <c r="C1877" s="10" t="n">
        <f aca="false">a25_sh</f>
        <v>1.8739336492891</v>
      </c>
      <c r="D1877" s="10" t="n">
        <f aca="false">a26_sh</f>
        <v>1.90613591916558</v>
      </c>
      <c r="E1877" s="10" t="n">
        <f aca="false">q_sh*(1+sh_g)</f>
        <v>1.90705128205128</v>
      </c>
      <c r="F1877" s="10" t="n">
        <f aca="false">E1877*(1+sh_g)</f>
        <v>1.90705128205128</v>
      </c>
      <c r="G1877" s="10" t="n">
        <f aca="false">F1877*(1+sh_g)</f>
        <v>1.90705128205128</v>
      </c>
      <c r="H1877" s="31" t="n">
        <f aca="false">G1877*(1+sh_g)</f>
        <v>1.90705128205128</v>
      </c>
      <c r="I1877" s="31" t="n">
        <f aca="false">H1877*(1+sh_g)</f>
        <v>1.90705128205128</v>
      </c>
      <c r="J1877" s="31" t="n">
        <f aca="false">I1877*(1+sh_g)</f>
        <v>1.90705128205128</v>
      </c>
    </row>
    <row r="1878" customFormat="false" ht="17.15" hidden="false" customHeight="false" outlineLevel="0" collapsed="false">
      <c r="A1878" s="0" t="s">
        <v>442</v>
      </c>
      <c r="B1878" s="0" t="s">
        <v>274</v>
      </c>
      <c r="C1878" s="23" t="n">
        <f aca="false">C1876/C1877</f>
        <v>4.22</v>
      </c>
      <c r="D1878" s="23" t="n">
        <f aca="false">D1876/D1877</f>
        <v>6.42006747150118</v>
      </c>
      <c r="E1878" s="23" t="n">
        <f aca="false">E1876/E1877</f>
        <v>3.46529285575833</v>
      </c>
      <c r="F1878" s="23" t="n">
        <f aca="false">F1876/F1877</f>
        <v>1.45455959615952</v>
      </c>
      <c r="G1878" s="23" t="n">
        <f aca="false">G1876/G1877</f>
        <v>1.28769441883248</v>
      </c>
      <c r="H1878" s="29" t="n">
        <f aca="false">H1876/H1877</f>
        <v>1.30245193318574</v>
      </c>
      <c r="I1878" s="29" t="n">
        <f aca="false">I1876/I1877</f>
        <v>1.27213265041473</v>
      </c>
      <c r="J1878" s="29" t="n">
        <f aca="false">J1876/J1877</f>
        <v>1.19776181854433</v>
      </c>
    </row>
    <row r="1879" customFormat="false" ht="17.15" hidden="false" customHeight="false" outlineLevel="0" collapsed="false">
      <c r="A1879" s="0" t="s">
        <v>570</v>
      </c>
      <c r="B1879" s="0" t="s">
        <v>48</v>
      </c>
      <c r="D1879" s="20" t="n">
        <f aca="false">D1878/C1878-1</f>
        <v>0.521343002725398</v>
      </c>
      <c r="E1879" s="20" t="n">
        <f aca="false">E1878/D1878-1</f>
        <v>-0.460240430316217</v>
      </c>
      <c r="F1879" s="20" t="n">
        <f aca="false">F1878/E1878-1</f>
        <v>-0.580249157371373</v>
      </c>
      <c r="G1879" s="20" t="n">
        <f aca="false">G1878/F1878-1</f>
        <v>-0.114718694075935</v>
      </c>
      <c r="H1879" s="27" t="n">
        <f aca="false">H1878/G1878-1</f>
        <v>0.0114604164912335</v>
      </c>
      <c r="I1879" s="27" t="n">
        <f aca="false">I1878/H1878-1</f>
        <v>-0.0232786193474731</v>
      </c>
      <c r="J1879" s="27" t="n">
        <f aca="false">J1878/I1878-1</f>
        <v>-0.0584615384615385</v>
      </c>
    </row>
    <row r="1880" customFormat="false" ht="17.15" hidden="false" customHeight="false" outlineLevel="0" collapsed="false">
      <c r="A1880" s="4" t="s">
        <v>571</v>
      </c>
      <c r="B1880" s="0" t="s">
        <v>48</v>
      </c>
      <c r="C1880" s="16" t="n">
        <f aca="false">C1876/C1857</f>
        <v>0.162746187565599</v>
      </c>
      <c r="D1880" s="16" t="n">
        <f aca="false">D1876/D1857</f>
        <v>0.208646059676249</v>
      </c>
      <c r="E1880" s="16" t="n">
        <f aca="false">E1876/E1857</f>
        <v>0.113515350491806</v>
      </c>
      <c r="F1880" s="16" t="n">
        <f aca="false">F1876/F1857</f>
        <v>0.0463101954055605</v>
      </c>
      <c r="G1880" s="16" t="n">
        <f aca="false">G1876/G1857</f>
        <v>0.036750600072062</v>
      </c>
      <c r="H1880" s="28" t="n">
        <f aca="false">$G1880+($G$1880*0.8-$G1880)*1/3</f>
        <v>0.0343005600672578</v>
      </c>
      <c r="I1880" s="28" t="n">
        <f aca="false">$G1880+($G$1880*0.8-$G1880)*2/3</f>
        <v>0.0318505200624537</v>
      </c>
      <c r="J1880" s="28" t="n">
        <f aca="false">$G1880+($G$1880*0.8-$G1880)*3/3</f>
        <v>0.0294004800576496</v>
      </c>
    </row>
    <row r="1883" customFormat="false" ht="17.15" hidden="false" customHeight="false" outlineLevel="0" collapsed="false">
      <c r="A1883" s="1" t="s">
        <v>890</v>
      </c>
    </row>
    <row r="1884" customFormat="false" ht="17.15" hidden="false" customHeight="false" outlineLevel="0" collapsed="false">
      <c r="A1884" s="5" t="s">
        <v>24</v>
      </c>
      <c r="B1884" s="5" t="s">
        <v>25</v>
      </c>
      <c r="C1884" s="17" t="s">
        <v>394</v>
      </c>
      <c r="D1884" s="17" t="s">
        <v>521</v>
      </c>
      <c r="E1884" s="17" t="s">
        <v>480</v>
      </c>
      <c r="F1884" s="17" t="s">
        <v>481</v>
      </c>
      <c r="G1884" s="17" t="s">
        <v>482</v>
      </c>
      <c r="H1884" s="17" t="s">
        <v>522</v>
      </c>
      <c r="I1884" s="17" t="s">
        <v>523</v>
      </c>
      <c r="J1884" s="17" t="s">
        <v>524</v>
      </c>
      <c r="K1884" s="5" t="s">
        <v>357</v>
      </c>
    </row>
    <row r="1885" customFormat="false" ht="17.15" hidden="false" customHeight="false" outlineLevel="0" collapsed="false">
      <c r="A1885" s="6" t="s">
        <v>542</v>
      </c>
    </row>
    <row r="1886" customFormat="false" ht="17.15" hidden="false" customHeight="false" outlineLevel="0" collapsed="false">
      <c r="A1886" s="4" t="s">
        <v>543</v>
      </c>
      <c r="B1886" s="4" t="s">
        <v>42</v>
      </c>
      <c r="D1886" s="22" t="n">
        <f aca="false">cap_26</f>
        <v>3306</v>
      </c>
      <c r="E1886" s="22" t="n">
        <f aca="false">D1886*(1+capg27)*cap_adj</f>
        <v>3306</v>
      </c>
      <c r="F1886" s="22" t="n">
        <f aca="false">E1886*(1+capg28)</f>
        <v>3306</v>
      </c>
      <c r="G1886" s="22" t="n">
        <f aca="false">F1886*(1+capg29)</f>
        <v>3306</v>
      </c>
    </row>
    <row r="1887" customFormat="false" ht="15" hidden="false" customHeight="false" outlineLevel="0" collapsed="false">
      <c r="A1887" s="4" t="s">
        <v>544</v>
      </c>
      <c r="B1887" s="0" t="s">
        <v>48</v>
      </c>
      <c r="D1887" s="20" t="n">
        <f aca="false">a26_ship/cap_26</f>
        <v>0.8725</v>
      </c>
      <c r="E1887" s="20" t="n">
        <f aca="false">MIN(0.98,ut27_A+ut_adj)</f>
        <v>0.95</v>
      </c>
      <c r="F1887" s="20" t="n">
        <f aca="false">MIN(0.98,ut28_A+ut_adj)</f>
        <v>0.94</v>
      </c>
      <c r="G1887" s="20" t="n">
        <f aca="false">MIN(0.98,ut29_A+ut_adj)</f>
        <v>0.93</v>
      </c>
    </row>
    <row r="1888" customFormat="false" ht="17.15" hidden="false" customHeight="false" outlineLevel="0" collapsed="false">
      <c r="A1888" s="4" t="s">
        <v>545</v>
      </c>
      <c r="B1888" s="4" t="s">
        <v>42</v>
      </c>
      <c r="D1888" s="22" t="n">
        <f aca="false">D1886*D1887</f>
        <v>2884.485</v>
      </c>
      <c r="E1888" s="22" t="n">
        <f aca="false">E1886*E1887</f>
        <v>3140.7</v>
      </c>
      <c r="F1888" s="22" t="n">
        <f aca="false">F1886*F1887</f>
        <v>3107.64</v>
      </c>
      <c r="G1888" s="22" t="n">
        <f aca="false">G1886*G1887</f>
        <v>3074.58</v>
      </c>
    </row>
    <row r="1889" customFormat="false" ht="17.15" hidden="false" customHeight="false" outlineLevel="0" collapsed="false">
      <c r="A1889" s="4" t="s">
        <v>546</v>
      </c>
      <c r="B1889" s="0" t="s">
        <v>89</v>
      </c>
      <c r="D1889" s="22" t="n">
        <f aca="false">asp_26</f>
        <v>643.469405492234</v>
      </c>
      <c r="E1889" s="22" t="n">
        <f aca="false">D1889*(1+asp27_A)*(1+asp_adj)</f>
        <v>682.077569821768</v>
      </c>
      <c r="F1889" s="22" t="n">
        <f aca="false">E1889*(1+asp28_A)</f>
        <v>695.719121218203</v>
      </c>
      <c r="G1889" s="22" t="n">
        <f aca="false">F1889*(1+asp29_A)</f>
        <v>702.676312430385</v>
      </c>
    </row>
    <row r="1890" customFormat="false" ht="15" hidden="false" customHeight="false" outlineLevel="0" collapsed="false">
      <c r="A1890" s="4" t="s">
        <v>547</v>
      </c>
      <c r="B1890" s="0" t="s">
        <v>48</v>
      </c>
      <c r="E1890" s="20" t="n">
        <f aca="false">E1889/D1889-1</f>
        <v>0.0600000000000001</v>
      </c>
      <c r="F1890" s="20" t="n">
        <f aca="false">F1889/E1889-1</f>
        <v>0.02</v>
      </c>
      <c r="G1890" s="20" t="n">
        <f aca="false">G1889/F1889-1</f>
        <v>0.01</v>
      </c>
    </row>
    <row r="1891" customFormat="false" ht="15" hidden="false" customHeight="false" outlineLevel="0" collapsed="false">
      <c r="A1891" s="4" t="s">
        <v>548</v>
      </c>
      <c r="B1891" s="0" t="s">
        <v>35</v>
      </c>
      <c r="D1891" s="23" t="n">
        <f aca="false">fx_26</f>
        <v>31.6</v>
      </c>
      <c r="E1891" s="23" t="n">
        <f aca="false">fx</f>
        <v>32</v>
      </c>
      <c r="F1891" s="23" t="n">
        <f aca="false">fx</f>
        <v>32</v>
      </c>
      <c r="G1891" s="23" t="n">
        <f aca="false">fx</f>
        <v>32</v>
      </c>
    </row>
    <row r="1892" customFormat="false" ht="17.15" hidden="false" customHeight="false" outlineLevel="0" collapsed="false">
      <c r="A1892" s="0" t="s">
        <v>549</v>
      </c>
      <c r="B1892" s="0" t="s">
        <v>184</v>
      </c>
      <c r="D1892" s="23" t="n">
        <f aca="false">D1888*D1889*D1891/1000000</f>
        <v>58.65206</v>
      </c>
      <c r="E1892" s="23" t="n">
        <f aca="false">E1888*E1889*E1891/1000000</f>
        <v>68.5504327532552</v>
      </c>
      <c r="F1892" s="23" t="n">
        <f aca="false">F1888*F1889*F1891/1000000</f>
        <v>69.1854262356012</v>
      </c>
      <c r="G1892" s="23" t="n">
        <f aca="false">G1888*G1889*G1891/1000000</f>
        <v>69.1339051735108</v>
      </c>
    </row>
    <row r="1893" customFormat="false" ht="17.15" hidden="false" customHeight="false" outlineLevel="0" collapsed="false">
      <c r="A1893" s="6" t="s">
        <v>550</v>
      </c>
    </row>
    <row r="1894" customFormat="false" ht="17.15" hidden="false" customHeight="false" outlineLevel="0" collapsed="false">
      <c r="A1894" s="0" t="s">
        <v>551</v>
      </c>
      <c r="B1894" s="4" t="s">
        <v>42</v>
      </c>
      <c r="D1894" s="22" t="n">
        <f aca="false">0</f>
        <v>0</v>
      </c>
      <c r="E1894" s="22" t="n">
        <f aca="false">vcap27*vcap_adj</f>
        <v>144</v>
      </c>
      <c r="F1894" s="22" t="n">
        <f aca="false">vcap28*vcap_adj</f>
        <v>360</v>
      </c>
      <c r="G1894" s="22" t="n">
        <f aca="false">vcap29*vcap_adj</f>
        <v>504</v>
      </c>
    </row>
    <row r="1895" customFormat="false" ht="17.15" hidden="false" customHeight="false" outlineLevel="0" collapsed="false">
      <c r="A1895" s="0" t="s">
        <v>552</v>
      </c>
      <c r="B1895" s="0" t="s">
        <v>48</v>
      </c>
      <c r="E1895" s="20" t="n">
        <f aca="false">vut_A</f>
        <v>0.9</v>
      </c>
      <c r="F1895" s="20" t="n">
        <f aca="false">vut_A</f>
        <v>0.9</v>
      </c>
      <c r="G1895" s="20" t="n">
        <f aca="false">vut_A</f>
        <v>0.9</v>
      </c>
    </row>
    <row r="1896" customFormat="false" ht="17.15" hidden="false" customHeight="false" outlineLevel="0" collapsed="false">
      <c r="A1896" s="0" t="s">
        <v>553</v>
      </c>
      <c r="B1896" s="4" t="s">
        <v>42</v>
      </c>
      <c r="D1896" s="22" t="n">
        <f aca="false">0</f>
        <v>0</v>
      </c>
      <c r="E1896" s="22" t="n">
        <f aca="false">E1894*E1895</f>
        <v>129.6</v>
      </c>
      <c r="F1896" s="22" t="n">
        <f aca="false">F1894*F1895</f>
        <v>324</v>
      </c>
      <c r="G1896" s="22" t="n">
        <f aca="false">G1894*G1895</f>
        <v>453.6</v>
      </c>
    </row>
    <row r="1897" customFormat="false" ht="17.15" hidden="false" customHeight="false" outlineLevel="0" collapsed="false">
      <c r="A1897" s="0" t="s">
        <v>554</v>
      </c>
      <c r="B1897" s="0" t="s">
        <v>184</v>
      </c>
      <c r="D1897" s="23" t="n">
        <f aca="false">0</f>
        <v>0</v>
      </c>
      <c r="E1897" s="23" t="n">
        <f aca="false">E1896*vasp*E1891/1000000</f>
        <v>7.46496</v>
      </c>
      <c r="F1897" s="23" t="n">
        <f aca="false">F1896*vasp*F1891/1000000</f>
        <v>18.6624</v>
      </c>
      <c r="G1897" s="23" t="n">
        <f aca="false">G1896*vasp*G1891/1000000</f>
        <v>26.12736</v>
      </c>
    </row>
    <row r="1898" customFormat="false" ht="17.15" hidden="false" customHeight="false" outlineLevel="0" collapsed="false">
      <c r="A1898" s="4" t="s">
        <v>400</v>
      </c>
      <c r="B1898" s="0" t="s">
        <v>184</v>
      </c>
      <c r="C1898" s="23" t="n">
        <f aca="false">a25_rev</f>
        <v>48.591</v>
      </c>
      <c r="D1898" s="23" t="n">
        <f aca="false">D1892+D1897</f>
        <v>58.65206</v>
      </c>
      <c r="E1898" s="23" t="n">
        <f aca="false">E1892+E1897</f>
        <v>76.0153927532552</v>
      </c>
      <c r="F1898" s="23" t="n">
        <f aca="false">F1892+F1897</f>
        <v>87.8478262356012</v>
      </c>
      <c r="G1898" s="23" t="n">
        <f aca="false">G1892+G1897</f>
        <v>95.2612651735108</v>
      </c>
      <c r="H1898" s="29" t="n">
        <f aca="false">G1898*(1+H1901)</f>
        <v>102.525860976128</v>
      </c>
      <c r="I1898" s="29" t="n">
        <f aca="false">H1898*(1+I1901)</f>
        <v>109.51093266638</v>
      </c>
      <c r="J1898" s="29" t="n">
        <f aca="false">I1898*(1+J1901)</f>
        <v>116.081588626363</v>
      </c>
      <c r="K1898" s="8" t="s">
        <v>555</v>
      </c>
    </row>
    <row r="1899" customFormat="false" ht="17.15" hidden="false" customHeight="false" outlineLevel="0" collapsed="false">
      <c r="A1899" s="0" t="s">
        <v>556</v>
      </c>
      <c r="B1899" s="0" t="s">
        <v>48</v>
      </c>
      <c r="D1899" s="20" t="n">
        <f aca="false">D1897/D1898</f>
        <v>0</v>
      </c>
      <c r="E1899" s="20" t="n">
        <f aca="false">E1897/E1898</f>
        <v>0.0982032681753174</v>
      </c>
      <c r="F1899" s="20" t="n">
        <f aca="false">F1897/F1898</f>
        <v>0.212440088727396</v>
      </c>
      <c r="G1899" s="20" t="n">
        <f aca="false">G1897/G1898</f>
        <v>0.274270554274196</v>
      </c>
    </row>
    <row r="1900" customFormat="false" ht="17.15" hidden="false" customHeight="false" outlineLevel="0" collapsed="false">
      <c r="A1900" s="0" t="s">
        <v>557</v>
      </c>
      <c r="B1900" s="0" t="s">
        <v>48</v>
      </c>
      <c r="D1900" s="20" t="n">
        <f aca="false">ai_sh26</f>
        <v>0.1</v>
      </c>
      <c r="E1900" s="20" t="n">
        <f aca="false">ai_sh27_A</f>
        <v>0.25</v>
      </c>
      <c r="F1900" s="20" t="n">
        <f aca="false">ai_sh27_A</f>
        <v>0.25</v>
      </c>
      <c r="G1900" s="20" t="n">
        <f aca="false">ai_sh27_A</f>
        <v>0.25</v>
      </c>
    </row>
    <row r="1901" customFormat="false" ht="15" hidden="false" customHeight="false" outlineLevel="0" collapsed="false">
      <c r="A1901" s="4" t="s">
        <v>558</v>
      </c>
      <c r="B1901" s="0" t="s">
        <v>48</v>
      </c>
      <c r="D1901" s="20" t="n">
        <f aca="false">D1898/C1898-1</f>
        <v>0.207056039184211</v>
      </c>
      <c r="E1901" s="20" t="n">
        <f aca="false">E1898/D1898-1</f>
        <v>0.296039606337019</v>
      </c>
      <c r="F1901" s="20" t="n">
        <f aca="false">F1898/E1898-1</f>
        <v>0.155658387778826</v>
      </c>
      <c r="G1901" s="20" t="n">
        <f aca="false">G1898/F1898-1</f>
        <v>0.0843895547059683</v>
      </c>
      <c r="H1901" s="27" t="n">
        <f aca="false">$G1901+(fade_gA-$G1901)*1/3</f>
        <v>0.0762597031373122</v>
      </c>
      <c r="I1901" s="27" t="n">
        <f aca="false">$G1901+(fade_gA-$G1901)*2/3</f>
        <v>0.0681298515686561</v>
      </c>
      <c r="J1901" s="27" t="n">
        <f aca="false">$G1901+(fade_gA-$G1901)*3/3</f>
        <v>0.06</v>
      </c>
    </row>
    <row r="1902" customFormat="false" ht="17.15" hidden="false" customHeight="false" outlineLevel="0" collapsed="false">
      <c r="A1902" s="6" t="s">
        <v>559</v>
      </c>
    </row>
    <row r="1903" customFormat="false" ht="15" hidden="false" customHeight="false" outlineLevel="0" collapsed="false">
      <c r="A1903" s="4" t="s">
        <v>560</v>
      </c>
      <c r="B1903" s="0" t="s">
        <v>184</v>
      </c>
      <c r="D1903" s="23" t="n">
        <f aca="false">da_tot26*da_sh</f>
        <v>8.658</v>
      </c>
      <c r="E1903" s="23" t="n">
        <f aca="false">D1903*(1+dag_27+dag_adj)</f>
        <v>8.91774</v>
      </c>
      <c r="F1903" s="23" t="n">
        <f aca="false">E1903*(1+dag_28+dag_adj)</f>
        <v>9.0960948</v>
      </c>
      <c r="G1903" s="23" t="n">
        <f aca="false">F1903*(1+dag_29+dag_adj)</f>
        <v>9.0960948</v>
      </c>
    </row>
    <row r="1904" customFormat="false" ht="17.15" hidden="false" customHeight="false" outlineLevel="0" collapsed="false">
      <c r="A1904" s="4" t="s">
        <v>561</v>
      </c>
      <c r="B1904" s="0" t="s">
        <v>562</v>
      </c>
      <c r="D1904" s="23" t="n">
        <f aca="false">(D1892-a26_gp-D1903)/D1888*1000</f>
        <v>10.7339918911001</v>
      </c>
      <c r="E1904" s="23" t="n">
        <f aca="false">D1904*(1+cc_g)</f>
        <v>10.9486717289221</v>
      </c>
      <c r="F1904" s="23" t="n">
        <f aca="false">E1904*(1+cc_g)</f>
        <v>11.1676451635006</v>
      </c>
      <c r="G1904" s="23" t="n">
        <f aca="false">F1904*(1+cc_g)</f>
        <v>11.3909980667706</v>
      </c>
      <c r="K1904" s="8" t="s">
        <v>563</v>
      </c>
    </row>
    <row r="1905" customFormat="false" ht="17.15" hidden="false" customHeight="false" outlineLevel="0" collapsed="false">
      <c r="A1905" s="4" t="s">
        <v>564</v>
      </c>
      <c r="B1905" s="0" t="s">
        <v>184</v>
      </c>
      <c r="D1905" s="23" t="n">
        <f aca="false">D1904*D1888/1000</f>
        <v>30.9620386</v>
      </c>
      <c r="E1905" s="23" t="n">
        <f aca="false">E1904*E1888/1000</f>
        <v>34.3864932990258</v>
      </c>
      <c r="F1905" s="23" t="n">
        <f aca="false">F1904*F1888/1000</f>
        <v>34.705020815901</v>
      </c>
      <c r="G1905" s="23" t="n">
        <f aca="false">G1904*G1888/1000</f>
        <v>35.0225348361316</v>
      </c>
    </row>
    <row r="1906" customFormat="false" ht="17.15" hidden="false" customHeight="false" outlineLevel="0" collapsed="false">
      <c r="A1906" s="0" t="s">
        <v>565</v>
      </c>
      <c r="B1906" s="0" t="s">
        <v>48</v>
      </c>
      <c r="E1906" s="20" t="n">
        <f aca="false">vgm27_A</f>
        <v>0.05</v>
      </c>
      <c r="F1906" s="20" t="n">
        <f aca="false">vgm28_A</f>
        <v>0.2</v>
      </c>
      <c r="G1906" s="20" t="n">
        <f aca="false">vgm29_A</f>
        <v>0.25</v>
      </c>
    </row>
    <row r="1907" customFormat="false" ht="17.15" hidden="false" customHeight="false" outlineLevel="0" collapsed="false">
      <c r="A1907" s="0" t="s">
        <v>566</v>
      </c>
      <c r="B1907" s="0" t="s">
        <v>184</v>
      </c>
      <c r="D1907" s="23" t="n">
        <f aca="false">0</f>
        <v>0</v>
      </c>
      <c r="E1907" s="23" t="n">
        <f aca="false">E1897*E1906</f>
        <v>0.373248</v>
      </c>
      <c r="F1907" s="23" t="n">
        <f aca="false">F1897*F1906</f>
        <v>3.73248</v>
      </c>
      <c r="G1907" s="23" t="n">
        <f aca="false">G1897*G1906</f>
        <v>6.53184</v>
      </c>
    </row>
    <row r="1908" customFormat="false" ht="15" hidden="false" customHeight="false" outlineLevel="0" collapsed="false">
      <c r="A1908" s="4" t="s">
        <v>417</v>
      </c>
      <c r="B1908" s="0" t="s">
        <v>184</v>
      </c>
      <c r="C1908" s="23" t="n">
        <f aca="false">a25_gp</f>
        <v>13.654</v>
      </c>
      <c r="D1908" s="23" t="n">
        <f aca="false">D1892-D1903-D1905+D1907</f>
        <v>19.0320214</v>
      </c>
      <c r="E1908" s="23" t="n">
        <f aca="false">E1892-E1903-E1905+E1907</f>
        <v>25.6194474542294</v>
      </c>
      <c r="F1908" s="23" t="n">
        <f aca="false">F1892-F1903-F1905+F1907</f>
        <v>29.1167906197002</v>
      </c>
      <c r="G1908" s="23" t="n">
        <f aca="false">G1892-G1903-G1905+G1907</f>
        <v>31.5471155373793</v>
      </c>
    </row>
    <row r="1909" customFormat="false" ht="15" hidden="false" customHeight="false" outlineLevel="0" collapsed="false">
      <c r="A1909" s="4" t="s">
        <v>420</v>
      </c>
      <c r="B1909" s="0" t="s">
        <v>48</v>
      </c>
      <c r="C1909" s="16" t="n">
        <f aca="false">C1908/C1898</f>
        <v>0.280998538824062</v>
      </c>
      <c r="D1909" s="16" t="n">
        <f aca="false">D1908/D1898</f>
        <v>0.324490246378388</v>
      </c>
      <c r="E1909" s="16" t="n">
        <f aca="false">E1908/E1898</f>
        <v>0.33702973208847</v>
      </c>
      <c r="F1909" s="16" t="n">
        <f aca="false">F1908/F1898</f>
        <v>0.331445772392947</v>
      </c>
      <c r="G1909" s="16" t="n">
        <f aca="false">G1908/G1898</f>
        <v>0.331164146097773</v>
      </c>
    </row>
    <row r="1910" customFormat="false" ht="15" hidden="false" customHeight="false" outlineLevel="0" collapsed="false">
      <c r="A1910" s="4" t="s">
        <v>422</v>
      </c>
      <c r="B1910" s="0" t="s">
        <v>184</v>
      </c>
      <c r="C1910" s="23" t="n">
        <f aca="false">a25_opx</f>
        <v>5.881</v>
      </c>
      <c r="D1910" s="23" t="n">
        <f aca="false">a26_opx</f>
        <v>6.824187</v>
      </c>
      <c r="E1910" s="23" t="n">
        <f aca="false">D1910*(1+MAX(g_opx_min,phi*E1901))</f>
        <v>7.8343018165251</v>
      </c>
      <c r="F1910" s="23" t="n">
        <f aca="false">E1910*(1+MAX(g_opx_min,phi*F1901))</f>
        <v>8.44403921159161</v>
      </c>
      <c r="G1910" s="23" t="n">
        <f aca="false">F1910*(1+MAX(g_opx_min,phi*G1901))</f>
        <v>8.80033356608459</v>
      </c>
    </row>
    <row r="1911" customFormat="false" ht="15" hidden="false" customHeight="false" outlineLevel="0" collapsed="false">
      <c r="A1911" s="4" t="s">
        <v>425</v>
      </c>
      <c r="B1911" s="0" t="s">
        <v>184</v>
      </c>
      <c r="C1911" s="23" t="n">
        <f aca="false">C1908-C1910</f>
        <v>7.773</v>
      </c>
      <c r="D1911" s="23" t="n">
        <f aca="false">D1908-D1910</f>
        <v>12.2078344</v>
      </c>
      <c r="E1911" s="23" t="n">
        <f aca="false">E1908-E1910</f>
        <v>17.7851456377043</v>
      </c>
      <c r="F1911" s="23" t="n">
        <f aca="false">F1908-F1910</f>
        <v>20.6727514081086</v>
      </c>
      <c r="G1911" s="23" t="n">
        <f aca="false">G1908-G1910</f>
        <v>22.7467819712947</v>
      </c>
    </row>
    <row r="1912" customFormat="false" ht="15" hidden="false" customHeight="false" outlineLevel="0" collapsed="false">
      <c r="A1912" s="4" t="s">
        <v>531</v>
      </c>
      <c r="B1912" s="0" t="s">
        <v>48</v>
      </c>
      <c r="C1912" s="16" t="n">
        <f aca="false">C1911/C1898</f>
        <v>0.159967895289251</v>
      </c>
      <c r="D1912" s="16" t="n">
        <f aca="false">D1911/D1898</f>
        <v>0.208139908470393</v>
      </c>
      <c r="E1912" s="16" t="n">
        <f aca="false">E1911/E1898</f>
        <v>0.233967687247695</v>
      </c>
      <c r="F1912" s="16" t="n">
        <f aca="false">F1911/F1898</f>
        <v>0.235324564009881</v>
      </c>
      <c r="G1912" s="16" t="n">
        <f aca="false">G1911/G1898</f>
        <v>0.238783118509535</v>
      </c>
    </row>
    <row r="1913" customFormat="false" ht="15" hidden="false" customHeight="false" outlineLevel="0" collapsed="false">
      <c r="A1913" s="4" t="s">
        <v>428</v>
      </c>
      <c r="B1913" s="0" t="s">
        <v>184</v>
      </c>
      <c r="C1913" s="23" t="n">
        <f aca="false">a25_nonop</f>
        <v>1.479</v>
      </c>
      <c r="D1913" s="23" t="n">
        <f aca="false">a26_nonop</f>
        <v>2.10950832169955</v>
      </c>
      <c r="E1913" s="23" t="n">
        <f aca="false">nonop_f_hi</f>
        <v>2.5</v>
      </c>
      <c r="F1913" s="23" t="n">
        <f aca="false">nonop_f_hi</f>
        <v>2.5</v>
      </c>
      <c r="G1913" s="23" t="n">
        <f aca="false">nonop_f_hi</f>
        <v>2.5</v>
      </c>
    </row>
    <row r="1914" customFormat="false" ht="15" hidden="false" customHeight="false" outlineLevel="0" collapsed="false">
      <c r="A1914" s="4" t="s">
        <v>430</v>
      </c>
      <c r="B1914" s="0" t="s">
        <v>184</v>
      </c>
      <c r="C1914" s="23" t="n">
        <f aca="false">C1911+C1913</f>
        <v>9.252</v>
      </c>
      <c r="D1914" s="23" t="n">
        <f aca="false">D1911+D1913</f>
        <v>14.3173427216995</v>
      </c>
      <c r="E1914" s="23" t="n">
        <f aca="false">E1911+E1913</f>
        <v>20.2851456377043</v>
      </c>
      <c r="F1914" s="23" t="n">
        <f aca="false">F1911+F1913</f>
        <v>23.1727514081086</v>
      </c>
      <c r="G1914" s="23" t="n">
        <f aca="false">G1911+G1913</f>
        <v>25.2467819712947</v>
      </c>
    </row>
    <row r="1915" customFormat="false" ht="15" hidden="false" customHeight="false" outlineLevel="0" collapsed="false">
      <c r="A1915" s="4" t="s">
        <v>432</v>
      </c>
      <c r="B1915" s="0" t="s">
        <v>184</v>
      </c>
      <c r="C1915" s="23" t="n">
        <f aca="false">a25_tax</f>
        <v>1.344</v>
      </c>
      <c r="D1915" s="23" t="n">
        <f aca="false">a26_tax</f>
        <v>2.0798215108046</v>
      </c>
      <c r="E1915" s="23" t="n">
        <f aca="false">E1914*tax</f>
        <v>3.04277184565565</v>
      </c>
      <c r="F1915" s="23" t="n">
        <f aca="false">F1914*tax</f>
        <v>3.47591271121629</v>
      </c>
      <c r="G1915" s="23" t="n">
        <f aca="false">G1914*tax</f>
        <v>3.7870172956942</v>
      </c>
    </row>
    <row r="1916" customFormat="false" ht="17.15" hidden="false" customHeight="false" outlineLevel="0" collapsed="false">
      <c r="A1916" s="4" t="s">
        <v>567</v>
      </c>
      <c r="B1916" s="0" t="s">
        <v>184</v>
      </c>
      <c r="C1916" s="23" t="n">
        <f aca="false">a25_mi</f>
        <v>0</v>
      </c>
      <c r="D1916" s="23" t="n">
        <f aca="false">a26_mi</f>
        <v>0</v>
      </c>
      <c r="E1916" s="23" t="n">
        <f aca="false">vmi*E1907*(1-tax)</f>
        <v>0.12690432</v>
      </c>
      <c r="F1916" s="23" t="n">
        <f aca="false">vmi*F1907*(1-tax)</f>
        <v>1.2690432</v>
      </c>
      <c r="G1916" s="23" t="n">
        <f aca="false">vmi*G1907*(1-tax)</f>
        <v>2.2208256</v>
      </c>
      <c r="K1916" s="8" t="s">
        <v>568</v>
      </c>
    </row>
    <row r="1917" customFormat="false" ht="15" hidden="false" customHeight="false" outlineLevel="0" collapsed="false">
      <c r="A1917" s="4" t="s">
        <v>435</v>
      </c>
      <c r="B1917" s="0" t="s">
        <v>184</v>
      </c>
      <c r="C1917" s="23" t="n">
        <f aca="false">C1914-C1915-C1916</f>
        <v>7.908</v>
      </c>
      <c r="D1917" s="23" t="n">
        <f aca="false">D1914-D1915-D1916</f>
        <v>12.2375212108949</v>
      </c>
      <c r="E1917" s="23" t="n">
        <f aca="false">E1914-E1915-E1916</f>
        <v>17.1154694720487</v>
      </c>
      <c r="F1917" s="23" t="n">
        <f aca="false">F1914-F1915-F1916</f>
        <v>18.4277954968923</v>
      </c>
      <c r="G1917" s="23" t="n">
        <f aca="false">G1914-G1915-G1916</f>
        <v>19.2389390756005</v>
      </c>
      <c r="H1917" s="29" t="n">
        <f aca="false">H1898*H1921</f>
        <v>20.7060948581826</v>
      </c>
      <c r="I1917" s="29" t="n">
        <f aca="false">I1898*I1921</f>
        <v>22.1167980274371</v>
      </c>
      <c r="J1917" s="29" t="n">
        <f aca="false">J1898*J1921</f>
        <v>23.4438059090833</v>
      </c>
    </row>
    <row r="1918" customFormat="false" ht="15" hidden="false" customHeight="false" outlineLevel="0" collapsed="false">
      <c r="A1918" s="4" t="s">
        <v>569</v>
      </c>
      <c r="B1918" s="4" t="s">
        <v>265</v>
      </c>
      <c r="C1918" s="10" t="n">
        <f aca="false">a25_sh</f>
        <v>1.8739336492891</v>
      </c>
      <c r="D1918" s="10" t="n">
        <f aca="false">a26_sh</f>
        <v>1.90613591916558</v>
      </c>
      <c r="E1918" s="10" t="n">
        <f aca="false">q_sh*(1+sh_g)</f>
        <v>1.90705128205128</v>
      </c>
      <c r="F1918" s="10" t="n">
        <f aca="false">E1918*(1+sh_g)</f>
        <v>1.90705128205128</v>
      </c>
      <c r="G1918" s="10" t="n">
        <f aca="false">F1918*(1+sh_g)</f>
        <v>1.90705128205128</v>
      </c>
      <c r="H1918" s="31" t="n">
        <f aca="false">G1918*(1+sh_g)</f>
        <v>1.90705128205128</v>
      </c>
      <c r="I1918" s="31" t="n">
        <f aca="false">H1918*(1+sh_g)</f>
        <v>1.90705128205128</v>
      </c>
      <c r="J1918" s="31" t="n">
        <f aca="false">I1918*(1+sh_g)</f>
        <v>1.90705128205128</v>
      </c>
    </row>
    <row r="1919" customFormat="false" ht="17.15" hidden="false" customHeight="false" outlineLevel="0" collapsed="false">
      <c r="A1919" s="0" t="s">
        <v>442</v>
      </c>
      <c r="B1919" s="0" t="s">
        <v>274</v>
      </c>
      <c r="C1919" s="23" t="n">
        <f aca="false">C1917/C1918</f>
        <v>4.22</v>
      </c>
      <c r="D1919" s="23" t="n">
        <f aca="false">D1917/D1918</f>
        <v>6.42006747150118</v>
      </c>
      <c r="E1919" s="23" t="n">
        <f aca="false">E1917/E1918</f>
        <v>8.97483441223393</v>
      </c>
      <c r="F1919" s="23" t="n">
        <f aca="false">F1917/F1918</f>
        <v>9.66297847904269</v>
      </c>
      <c r="G1919" s="23" t="n">
        <f aca="false">G1917/G1918</f>
        <v>10.0883176329199</v>
      </c>
      <c r="H1919" s="29" t="n">
        <f aca="false">H1917/H1918</f>
        <v>10.8576497407613</v>
      </c>
      <c r="I1919" s="29" t="n">
        <f aca="false">I1917/I1918</f>
        <v>11.5973798059838</v>
      </c>
      <c r="J1919" s="29" t="n">
        <f aca="false">J1917/J1918</f>
        <v>12.2932225943429</v>
      </c>
    </row>
    <row r="1920" customFormat="false" ht="17.15" hidden="false" customHeight="false" outlineLevel="0" collapsed="false">
      <c r="A1920" s="0" t="s">
        <v>570</v>
      </c>
      <c r="B1920" s="0" t="s">
        <v>48</v>
      </c>
      <c r="D1920" s="20" t="n">
        <f aca="false">D1919/C1919-1</f>
        <v>0.521343002725398</v>
      </c>
      <c r="E1920" s="20" t="n">
        <f aca="false">E1919/D1919-1</f>
        <v>0.397934593689774</v>
      </c>
      <c r="F1920" s="20" t="n">
        <f aca="false">F1919/E1919-1</f>
        <v>0.0766748482702611</v>
      </c>
      <c r="G1920" s="20" t="n">
        <f aca="false">G1919/F1919-1</f>
        <v>0.0440173963752191</v>
      </c>
      <c r="H1920" s="27" t="n">
        <f aca="false">H1919/G1919-1</f>
        <v>0.076259703137312</v>
      </c>
      <c r="I1920" s="27" t="n">
        <f aca="false">I1919/H1919-1</f>
        <v>0.0681298515686561</v>
      </c>
      <c r="J1920" s="27" t="n">
        <f aca="false">J1919/I1919-1</f>
        <v>0.0599999999999998</v>
      </c>
    </row>
    <row r="1921" customFormat="false" ht="17.15" hidden="false" customHeight="false" outlineLevel="0" collapsed="false">
      <c r="A1921" s="4" t="s">
        <v>571</v>
      </c>
      <c r="B1921" s="0" t="s">
        <v>48</v>
      </c>
      <c r="C1921" s="16" t="n">
        <f aca="false">C1917/C1898</f>
        <v>0.162746187565599</v>
      </c>
      <c r="D1921" s="16" t="n">
        <f aca="false">D1917/D1898</f>
        <v>0.208646059676249</v>
      </c>
      <c r="E1921" s="16" t="n">
        <f aca="false">E1917/E1898</f>
        <v>0.225157943044578</v>
      </c>
      <c r="F1921" s="16" t="n">
        <f aca="false">F1917/F1898</f>
        <v>0.209769510374342</v>
      </c>
      <c r="G1921" s="16" t="n">
        <f aca="false">G1917/G1898</f>
        <v>0.201959726658661</v>
      </c>
      <c r="H1921" s="28" t="n">
        <f aca="false">$G1921+($G$1921*1-$G1921)*1/3</f>
        <v>0.201959726658661</v>
      </c>
      <c r="I1921" s="28" t="n">
        <f aca="false">$G1921+($G$1921*1-$G1921)*2/3</f>
        <v>0.201959726658661</v>
      </c>
      <c r="J1921" s="28" t="n">
        <f aca="false">$G1921+($G$1921*1-$G1921)*3/3</f>
        <v>0.201959726658661</v>
      </c>
    </row>
    <row r="1924" customFormat="false" ht="17.15" hidden="false" customHeight="false" outlineLevel="0" collapsed="false">
      <c r="A1924" s="1" t="s">
        <v>891</v>
      </c>
    </row>
    <row r="1925" customFormat="false" ht="17.15" hidden="false" customHeight="false" outlineLevel="0" collapsed="false">
      <c r="A1925" s="5" t="s">
        <v>24</v>
      </c>
      <c r="B1925" s="5" t="s">
        <v>25</v>
      </c>
      <c r="C1925" s="17" t="s">
        <v>394</v>
      </c>
      <c r="D1925" s="17" t="s">
        <v>521</v>
      </c>
      <c r="E1925" s="17" t="s">
        <v>480</v>
      </c>
      <c r="F1925" s="17" t="s">
        <v>481</v>
      </c>
      <c r="G1925" s="17" t="s">
        <v>482</v>
      </c>
      <c r="H1925" s="17" t="s">
        <v>522</v>
      </c>
      <c r="I1925" s="17" t="s">
        <v>523</v>
      </c>
      <c r="J1925" s="17" t="s">
        <v>524</v>
      </c>
      <c r="K1925" s="5" t="s">
        <v>357</v>
      </c>
    </row>
    <row r="1926" customFormat="false" ht="17.15" hidden="false" customHeight="false" outlineLevel="0" collapsed="false">
      <c r="A1926" s="6" t="s">
        <v>542</v>
      </c>
    </row>
    <row r="1927" customFormat="false" ht="17.15" hidden="false" customHeight="false" outlineLevel="0" collapsed="false">
      <c r="A1927" s="4" t="s">
        <v>543</v>
      </c>
      <c r="B1927" s="4" t="s">
        <v>42</v>
      </c>
      <c r="D1927" s="22" t="n">
        <f aca="false">cap_26</f>
        <v>3306</v>
      </c>
      <c r="E1927" s="22" t="n">
        <f aca="false">D1927*(1+capg27)*cap_adj</f>
        <v>3306</v>
      </c>
      <c r="F1927" s="22" t="n">
        <f aca="false">E1927*(1+capg28)</f>
        <v>3306</v>
      </c>
      <c r="G1927" s="22" t="n">
        <f aca="false">F1927*(1+capg29)</f>
        <v>3306</v>
      </c>
    </row>
    <row r="1928" customFormat="false" ht="15" hidden="false" customHeight="false" outlineLevel="0" collapsed="false">
      <c r="A1928" s="4" t="s">
        <v>544</v>
      </c>
      <c r="B1928" s="0" t="s">
        <v>48</v>
      </c>
      <c r="D1928" s="20" t="n">
        <f aca="false">a26_ship/cap_26</f>
        <v>0.8725</v>
      </c>
      <c r="E1928" s="20" t="n">
        <f aca="false">MIN(0.98,ut27_B+ut_adj)</f>
        <v>0.9</v>
      </c>
      <c r="F1928" s="20" t="n">
        <f aca="false">MIN(0.98,ut28_B+ut_adj)</f>
        <v>0.86</v>
      </c>
      <c r="G1928" s="20" t="n">
        <f aca="false">MIN(0.98,ut29_B+ut_adj)</f>
        <v>0.87</v>
      </c>
    </row>
    <row r="1929" customFormat="false" ht="17.15" hidden="false" customHeight="false" outlineLevel="0" collapsed="false">
      <c r="A1929" s="4" t="s">
        <v>545</v>
      </c>
      <c r="B1929" s="4" t="s">
        <v>42</v>
      </c>
      <c r="D1929" s="22" t="n">
        <f aca="false">D1927*D1928</f>
        <v>2884.485</v>
      </c>
      <c r="E1929" s="22" t="n">
        <f aca="false">E1927*E1928</f>
        <v>2975.4</v>
      </c>
      <c r="F1929" s="22" t="n">
        <f aca="false">F1927*F1928</f>
        <v>2843.16</v>
      </c>
      <c r="G1929" s="22" t="n">
        <f aca="false">G1927*G1928</f>
        <v>2876.22</v>
      </c>
    </row>
    <row r="1930" customFormat="false" ht="17.15" hidden="false" customHeight="false" outlineLevel="0" collapsed="false">
      <c r="A1930" s="4" t="s">
        <v>546</v>
      </c>
      <c r="B1930" s="0" t="s">
        <v>89</v>
      </c>
      <c r="D1930" s="22" t="n">
        <f aca="false">asp_26</f>
        <v>643.469405492234</v>
      </c>
      <c r="E1930" s="22" t="n">
        <f aca="false">D1930*(1+asp27_B)*(1+asp_adj)</f>
        <v>662.773487657001</v>
      </c>
      <c r="F1930" s="22" t="n">
        <f aca="false">E1930*(1+asp28_B)</f>
        <v>662.773487657001</v>
      </c>
      <c r="G1930" s="22" t="n">
        <f aca="false">F1930*(1+asp29_B)</f>
        <v>662.773487657001</v>
      </c>
    </row>
    <row r="1931" customFormat="false" ht="15" hidden="false" customHeight="false" outlineLevel="0" collapsed="false">
      <c r="A1931" s="4" t="s">
        <v>547</v>
      </c>
      <c r="B1931" s="0" t="s">
        <v>48</v>
      </c>
      <c r="E1931" s="20" t="n">
        <f aca="false">E1930/D1930-1</f>
        <v>0.03</v>
      </c>
      <c r="F1931" s="20" t="n">
        <f aca="false">F1930/E1930-1</f>
        <v>0</v>
      </c>
      <c r="G1931" s="20" t="n">
        <f aca="false">G1930/F1930-1</f>
        <v>0</v>
      </c>
    </row>
    <row r="1932" customFormat="false" ht="15" hidden="false" customHeight="false" outlineLevel="0" collapsed="false">
      <c r="A1932" s="4" t="s">
        <v>548</v>
      </c>
      <c r="B1932" s="0" t="s">
        <v>35</v>
      </c>
      <c r="D1932" s="23" t="n">
        <f aca="false">fx_26</f>
        <v>31.6</v>
      </c>
      <c r="E1932" s="23" t="n">
        <f aca="false">fx</f>
        <v>32</v>
      </c>
      <c r="F1932" s="23" t="n">
        <f aca="false">fx</f>
        <v>32</v>
      </c>
      <c r="G1932" s="23" t="n">
        <f aca="false">fx</f>
        <v>32</v>
      </c>
    </row>
    <row r="1933" customFormat="false" ht="17.15" hidden="false" customHeight="false" outlineLevel="0" collapsed="false">
      <c r="A1933" s="0" t="s">
        <v>549</v>
      </c>
      <c r="B1933" s="0" t="s">
        <v>184</v>
      </c>
      <c r="D1933" s="23" t="n">
        <f aca="false">D1929*D1930*D1932/1000000</f>
        <v>58.65206</v>
      </c>
      <c r="E1933" s="23" t="n">
        <f aca="false">E1929*E1930*E1932/1000000</f>
        <v>63.1045195255885</v>
      </c>
      <c r="F1933" s="23" t="n">
        <f aca="false">F1929*F1930*F1932/1000000</f>
        <v>60.2998742133401</v>
      </c>
      <c r="G1933" s="23" t="n">
        <f aca="false">G1929*G1930*G1932/1000000</f>
        <v>61.0010355414022</v>
      </c>
    </row>
    <row r="1934" customFormat="false" ht="17.15" hidden="false" customHeight="false" outlineLevel="0" collapsed="false">
      <c r="A1934" s="6" t="s">
        <v>550</v>
      </c>
    </row>
    <row r="1935" customFormat="false" ht="17.15" hidden="false" customHeight="false" outlineLevel="0" collapsed="false">
      <c r="A1935" s="0" t="s">
        <v>551</v>
      </c>
      <c r="B1935" s="4" t="s">
        <v>42</v>
      </c>
      <c r="D1935" s="22" t="n">
        <f aca="false">0</f>
        <v>0</v>
      </c>
      <c r="E1935" s="22" t="n">
        <f aca="false">vcap27*vcap_adj</f>
        <v>144</v>
      </c>
      <c r="F1935" s="22" t="n">
        <f aca="false">vcap28*vcap_adj</f>
        <v>360</v>
      </c>
      <c r="G1935" s="22" t="n">
        <f aca="false">vcap29*vcap_adj</f>
        <v>504</v>
      </c>
    </row>
    <row r="1936" customFormat="false" ht="17.15" hidden="false" customHeight="false" outlineLevel="0" collapsed="false">
      <c r="A1936" s="0" t="s">
        <v>552</v>
      </c>
      <c r="B1936" s="0" t="s">
        <v>48</v>
      </c>
      <c r="E1936" s="20" t="n">
        <f aca="false">vut_B</f>
        <v>0.8</v>
      </c>
      <c r="F1936" s="20" t="n">
        <f aca="false">vut_B</f>
        <v>0.8</v>
      </c>
      <c r="G1936" s="20" t="n">
        <f aca="false">vut_B</f>
        <v>0.8</v>
      </c>
    </row>
    <row r="1937" customFormat="false" ht="17.15" hidden="false" customHeight="false" outlineLevel="0" collapsed="false">
      <c r="A1937" s="0" t="s">
        <v>553</v>
      </c>
      <c r="B1937" s="4" t="s">
        <v>42</v>
      </c>
      <c r="D1937" s="22" t="n">
        <f aca="false">0</f>
        <v>0</v>
      </c>
      <c r="E1937" s="22" t="n">
        <f aca="false">E1935*E1936</f>
        <v>115.2</v>
      </c>
      <c r="F1937" s="22" t="n">
        <f aca="false">F1935*F1936</f>
        <v>288</v>
      </c>
      <c r="G1937" s="22" t="n">
        <f aca="false">G1935*G1936</f>
        <v>403.2</v>
      </c>
    </row>
    <row r="1938" customFormat="false" ht="17.15" hidden="false" customHeight="false" outlineLevel="0" collapsed="false">
      <c r="A1938" s="0" t="s">
        <v>554</v>
      </c>
      <c r="B1938" s="0" t="s">
        <v>184</v>
      </c>
      <c r="D1938" s="23" t="n">
        <f aca="false">0</f>
        <v>0</v>
      </c>
      <c r="E1938" s="23" t="n">
        <f aca="false">E1937*vasp*E1932/1000000</f>
        <v>6.63552</v>
      </c>
      <c r="F1938" s="23" t="n">
        <f aca="false">F1937*vasp*F1932/1000000</f>
        <v>16.5888</v>
      </c>
      <c r="G1938" s="23" t="n">
        <f aca="false">G1937*vasp*G1932/1000000</f>
        <v>23.22432</v>
      </c>
    </row>
    <row r="1939" customFormat="false" ht="17.15" hidden="false" customHeight="false" outlineLevel="0" collapsed="false">
      <c r="A1939" s="4" t="s">
        <v>400</v>
      </c>
      <c r="B1939" s="0" t="s">
        <v>184</v>
      </c>
      <c r="C1939" s="23" t="n">
        <f aca="false">a25_rev</f>
        <v>48.591</v>
      </c>
      <c r="D1939" s="23" t="n">
        <f aca="false">D1933+D1938</f>
        <v>58.65206</v>
      </c>
      <c r="E1939" s="23" t="n">
        <f aca="false">E1933+E1938</f>
        <v>69.7400395255885</v>
      </c>
      <c r="F1939" s="23" t="n">
        <f aca="false">F1933+F1938</f>
        <v>76.8886742133401</v>
      </c>
      <c r="G1939" s="23" t="n">
        <f aca="false">G1933+G1938</f>
        <v>84.2253555414022</v>
      </c>
      <c r="H1939" s="29" t="n">
        <f aca="false">G1939*(1+H1942)</f>
        <v>90.7061896343453</v>
      </c>
      <c r="I1939" s="29" t="n">
        <f aca="false">H1939*(1+I1942)</f>
        <v>96.0100687533499</v>
      </c>
      <c r="J1939" s="29" t="n">
        <f aca="false">I1939*(1+J1942)</f>
        <v>99.8504715034839</v>
      </c>
      <c r="K1939" s="8" t="s">
        <v>555</v>
      </c>
    </row>
    <row r="1940" customFormat="false" ht="17.15" hidden="false" customHeight="false" outlineLevel="0" collapsed="false">
      <c r="A1940" s="0" t="s">
        <v>556</v>
      </c>
      <c r="B1940" s="0" t="s">
        <v>48</v>
      </c>
      <c r="D1940" s="20" t="n">
        <f aca="false">D1938/D1939</f>
        <v>0</v>
      </c>
      <c r="E1940" s="20" t="n">
        <f aca="false">E1938/E1939</f>
        <v>0.0951464903825491</v>
      </c>
      <c r="F1940" s="20" t="n">
        <f aca="false">F1938/F1939</f>
        <v>0.215750891398799</v>
      </c>
      <c r="G1940" s="20" t="n">
        <f aca="false">G1938/G1939</f>
        <v>0.275740242955505</v>
      </c>
    </row>
    <row r="1941" customFormat="false" ht="17.15" hidden="false" customHeight="false" outlineLevel="0" collapsed="false">
      <c r="A1941" s="0" t="s">
        <v>557</v>
      </c>
      <c r="B1941" s="0" t="s">
        <v>48</v>
      </c>
      <c r="D1941" s="20" t="n">
        <f aca="false">ai_sh26</f>
        <v>0.1</v>
      </c>
      <c r="E1941" s="20" t="n">
        <f aca="false">ai_sh27_B</f>
        <v>0.2</v>
      </c>
      <c r="F1941" s="20" t="n">
        <f aca="false">ai_sh27_B</f>
        <v>0.2</v>
      </c>
      <c r="G1941" s="20" t="n">
        <f aca="false">ai_sh27_B</f>
        <v>0.2</v>
      </c>
    </row>
    <row r="1942" customFormat="false" ht="15" hidden="false" customHeight="false" outlineLevel="0" collapsed="false">
      <c r="A1942" s="4" t="s">
        <v>558</v>
      </c>
      <c r="B1942" s="0" t="s">
        <v>48</v>
      </c>
      <c r="D1942" s="20" t="n">
        <f aca="false">D1939/C1939-1</f>
        <v>0.207056039184211</v>
      </c>
      <c r="E1942" s="20" t="n">
        <f aca="false">E1939/D1939-1</f>
        <v>0.189046719340949</v>
      </c>
      <c r="F1942" s="20" t="n">
        <f aca="false">F1939/E1939-1</f>
        <v>0.10250402403527</v>
      </c>
      <c r="G1942" s="20" t="n">
        <f aca="false">G1939/F1939-1</f>
        <v>0.095419532240929</v>
      </c>
      <c r="H1942" s="27" t="n">
        <f aca="false">$G1942+(fade_gB-$G1942)*1/3</f>
        <v>0.076946354827286</v>
      </c>
      <c r="I1942" s="27" t="n">
        <f aca="false">$G1942+(fade_gB-$G1942)*2/3</f>
        <v>0.058473177413643</v>
      </c>
      <c r="J1942" s="27" t="n">
        <f aca="false">$G1942+(fade_gB-$G1942)*3/3</f>
        <v>0.04</v>
      </c>
    </row>
    <row r="1943" customFormat="false" ht="17.15" hidden="false" customHeight="false" outlineLevel="0" collapsed="false">
      <c r="A1943" s="6" t="s">
        <v>559</v>
      </c>
    </row>
    <row r="1944" customFormat="false" ht="15" hidden="false" customHeight="false" outlineLevel="0" collapsed="false">
      <c r="A1944" s="4" t="s">
        <v>560</v>
      </c>
      <c r="B1944" s="0" t="s">
        <v>184</v>
      </c>
      <c r="D1944" s="23" t="n">
        <f aca="false">da_tot26*da_sh</f>
        <v>8.658</v>
      </c>
      <c r="E1944" s="23" t="n">
        <f aca="false">D1944*(1+dag_27+dag_adj)</f>
        <v>8.91774</v>
      </c>
      <c r="F1944" s="23" t="n">
        <f aca="false">E1944*(1+dag_28+dag_adj)</f>
        <v>9.0960948</v>
      </c>
      <c r="G1944" s="23" t="n">
        <f aca="false">F1944*(1+dag_29+dag_adj)</f>
        <v>9.0960948</v>
      </c>
    </row>
    <row r="1945" customFormat="false" ht="17.15" hidden="false" customHeight="false" outlineLevel="0" collapsed="false">
      <c r="A1945" s="4" t="s">
        <v>561</v>
      </c>
      <c r="B1945" s="0" t="s">
        <v>562</v>
      </c>
      <c r="D1945" s="23" t="n">
        <f aca="false">(D1933-a26_gp-D1944)/D1929*1000</f>
        <v>10.7339918911001</v>
      </c>
      <c r="E1945" s="23" t="n">
        <f aca="false">D1945*(1+cc_g)</f>
        <v>10.9486717289221</v>
      </c>
      <c r="F1945" s="23" t="n">
        <f aca="false">E1945*(1+cc_g)</f>
        <v>11.1676451635006</v>
      </c>
      <c r="G1945" s="23" t="n">
        <f aca="false">F1945*(1+cc_g)</f>
        <v>11.3909980667706</v>
      </c>
      <c r="K1945" s="8" t="s">
        <v>563</v>
      </c>
    </row>
    <row r="1946" customFormat="false" ht="17.15" hidden="false" customHeight="false" outlineLevel="0" collapsed="false">
      <c r="A1946" s="4" t="s">
        <v>564</v>
      </c>
      <c r="B1946" s="0" t="s">
        <v>184</v>
      </c>
      <c r="D1946" s="23" t="n">
        <f aca="false">D1945*D1929/1000</f>
        <v>30.9620386</v>
      </c>
      <c r="E1946" s="23" t="n">
        <f aca="false">E1945*E1929/1000</f>
        <v>32.576677862235</v>
      </c>
      <c r="F1946" s="23" t="n">
        <f aca="false">F1945*F1929/1000</f>
        <v>31.7514020230583</v>
      </c>
      <c r="G1946" s="23" t="n">
        <f aca="false">G1945*G1929/1000</f>
        <v>32.7630164596069</v>
      </c>
    </row>
    <row r="1947" customFormat="false" ht="17.15" hidden="false" customHeight="false" outlineLevel="0" collapsed="false">
      <c r="A1947" s="0" t="s">
        <v>565</v>
      </c>
      <c r="B1947" s="0" t="s">
        <v>48</v>
      </c>
      <c r="E1947" s="20" t="n">
        <f aca="false">vgm27_B</f>
        <v>-0.05</v>
      </c>
      <c r="F1947" s="20" t="n">
        <f aca="false">vgm28_B</f>
        <v>0.12</v>
      </c>
      <c r="G1947" s="20" t="n">
        <f aca="false">vgm29_B</f>
        <v>0.18</v>
      </c>
    </row>
    <row r="1948" customFormat="false" ht="17.15" hidden="false" customHeight="false" outlineLevel="0" collapsed="false">
      <c r="A1948" s="0" t="s">
        <v>566</v>
      </c>
      <c r="B1948" s="0" t="s">
        <v>184</v>
      </c>
      <c r="D1948" s="23" t="n">
        <f aca="false">0</f>
        <v>0</v>
      </c>
      <c r="E1948" s="23" t="n">
        <f aca="false">E1938*E1947</f>
        <v>-0.331776</v>
      </c>
      <c r="F1948" s="23" t="n">
        <f aca="false">F1938*F1947</f>
        <v>1.990656</v>
      </c>
      <c r="G1948" s="23" t="n">
        <f aca="false">G1938*G1947</f>
        <v>4.1803776</v>
      </c>
    </row>
    <row r="1949" customFormat="false" ht="15" hidden="false" customHeight="false" outlineLevel="0" collapsed="false">
      <c r="A1949" s="4" t="s">
        <v>417</v>
      </c>
      <c r="B1949" s="0" t="s">
        <v>184</v>
      </c>
      <c r="C1949" s="23" t="n">
        <f aca="false">a25_gp</f>
        <v>13.654</v>
      </c>
      <c r="D1949" s="23" t="n">
        <f aca="false">D1933-D1944-D1946+D1948</f>
        <v>19.0320214</v>
      </c>
      <c r="E1949" s="23" t="n">
        <f aca="false">E1933-E1944-E1946+E1948</f>
        <v>21.2783256633535</v>
      </c>
      <c r="F1949" s="23" t="n">
        <f aca="false">F1933-F1944-F1946+F1948</f>
        <v>21.4430333902818</v>
      </c>
      <c r="G1949" s="23" t="n">
        <f aca="false">G1933-G1944-G1946+G1948</f>
        <v>23.3223018817953</v>
      </c>
    </row>
    <row r="1950" customFormat="false" ht="15" hidden="false" customHeight="false" outlineLevel="0" collapsed="false">
      <c r="A1950" s="4" t="s">
        <v>420</v>
      </c>
      <c r="B1950" s="0" t="s">
        <v>48</v>
      </c>
      <c r="C1950" s="16" t="n">
        <f aca="false">C1949/C1939</f>
        <v>0.280998538824062</v>
      </c>
      <c r="D1950" s="16" t="n">
        <f aca="false">D1949/D1939</f>
        <v>0.324490246378388</v>
      </c>
      <c r="E1950" s="16" t="n">
        <f aca="false">E1949/E1939</f>
        <v>0.305109171260883</v>
      </c>
      <c r="F1950" s="16" t="n">
        <f aca="false">F1949/F1939</f>
        <v>0.27888416089455</v>
      </c>
      <c r="G1950" s="16" t="n">
        <f aca="false">G1949/G1939</f>
        <v>0.27690357294284</v>
      </c>
    </row>
    <row r="1951" customFormat="false" ht="15" hidden="false" customHeight="false" outlineLevel="0" collapsed="false">
      <c r="A1951" s="4" t="s">
        <v>422</v>
      </c>
      <c r="B1951" s="0" t="s">
        <v>184</v>
      </c>
      <c r="C1951" s="23" t="n">
        <f aca="false">a25_opx</f>
        <v>5.881</v>
      </c>
      <c r="D1951" s="23" t="n">
        <f aca="false">a26_opx</f>
        <v>6.824187</v>
      </c>
      <c r="E1951" s="23" t="n">
        <f aca="false">D1951*(1+MAX(g_opx_min,phi*E1942))</f>
        <v>7.46923208225958</v>
      </c>
      <c r="F1951" s="23" t="n">
        <f aca="false">E1951*(1+MAX(g_opx_min,phi*F1942))</f>
        <v>7.85204525470205</v>
      </c>
      <c r="G1951" s="23" t="n">
        <f aca="false">F1951*(1+MAX(g_opx_min,phi*G1942))</f>
        <v>8.22666449737119</v>
      </c>
    </row>
    <row r="1952" customFormat="false" ht="15" hidden="false" customHeight="false" outlineLevel="0" collapsed="false">
      <c r="A1952" s="4" t="s">
        <v>425</v>
      </c>
      <c r="B1952" s="0" t="s">
        <v>184</v>
      </c>
      <c r="C1952" s="23" t="n">
        <f aca="false">C1949-C1951</f>
        <v>7.773</v>
      </c>
      <c r="D1952" s="23" t="n">
        <f aca="false">D1949-D1951</f>
        <v>12.2078344</v>
      </c>
      <c r="E1952" s="23" t="n">
        <f aca="false">E1949-E1951</f>
        <v>13.8090935810939</v>
      </c>
      <c r="F1952" s="23" t="n">
        <f aca="false">F1949-F1951</f>
        <v>13.5909881355797</v>
      </c>
      <c r="G1952" s="23" t="n">
        <f aca="false">G1949-G1951</f>
        <v>15.0956373844241</v>
      </c>
    </row>
    <row r="1953" customFormat="false" ht="15" hidden="false" customHeight="false" outlineLevel="0" collapsed="false">
      <c r="A1953" s="4" t="s">
        <v>531</v>
      </c>
      <c r="B1953" s="0" t="s">
        <v>48</v>
      </c>
      <c r="C1953" s="16" t="n">
        <f aca="false">C1952/C1939</f>
        <v>0.159967895289251</v>
      </c>
      <c r="D1953" s="16" t="n">
        <f aca="false">D1952/D1939</f>
        <v>0.208139908470393</v>
      </c>
      <c r="E1953" s="16" t="n">
        <f aca="false">E1952/E1939</f>
        <v>0.198008112341652</v>
      </c>
      <c r="F1953" s="16" t="n">
        <f aca="false">F1952/F1939</f>
        <v>0.176761899910893</v>
      </c>
      <c r="G1953" s="16" t="n">
        <f aca="false">G1952/G1939</f>
        <v>0.179229132217834</v>
      </c>
    </row>
    <row r="1954" customFormat="false" ht="15" hidden="false" customHeight="false" outlineLevel="0" collapsed="false">
      <c r="A1954" s="4" t="s">
        <v>428</v>
      </c>
      <c r="B1954" s="0" t="s">
        <v>184</v>
      </c>
      <c r="C1954" s="23" t="n">
        <f aca="false">a25_nonop</f>
        <v>1.479</v>
      </c>
      <c r="D1954" s="23" t="n">
        <f aca="false">a26_nonop</f>
        <v>2.10950832169955</v>
      </c>
      <c r="E1954" s="23" t="n">
        <f aca="false">nonop_f_hi</f>
        <v>2.5</v>
      </c>
      <c r="F1954" s="23" t="n">
        <f aca="false">nonop_f_hi</f>
        <v>2.5</v>
      </c>
      <c r="G1954" s="23" t="n">
        <f aca="false">nonop_f_hi</f>
        <v>2.5</v>
      </c>
    </row>
    <row r="1955" customFormat="false" ht="15" hidden="false" customHeight="false" outlineLevel="0" collapsed="false">
      <c r="A1955" s="4" t="s">
        <v>430</v>
      </c>
      <c r="B1955" s="0" t="s">
        <v>184</v>
      </c>
      <c r="C1955" s="23" t="n">
        <f aca="false">C1952+C1954</f>
        <v>9.252</v>
      </c>
      <c r="D1955" s="23" t="n">
        <f aca="false">D1952+D1954</f>
        <v>14.3173427216995</v>
      </c>
      <c r="E1955" s="23" t="n">
        <f aca="false">E1952+E1954</f>
        <v>16.3090935810939</v>
      </c>
      <c r="F1955" s="23" t="n">
        <f aca="false">F1952+F1954</f>
        <v>16.0909881355797</v>
      </c>
      <c r="G1955" s="23" t="n">
        <f aca="false">G1952+G1954</f>
        <v>17.5956373844241</v>
      </c>
    </row>
    <row r="1956" customFormat="false" ht="15" hidden="false" customHeight="false" outlineLevel="0" collapsed="false">
      <c r="A1956" s="4" t="s">
        <v>432</v>
      </c>
      <c r="B1956" s="0" t="s">
        <v>184</v>
      </c>
      <c r="C1956" s="23" t="n">
        <f aca="false">a25_tax</f>
        <v>1.344</v>
      </c>
      <c r="D1956" s="23" t="n">
        <f aca="false">a26_tax</f>
        <v>2.0798215108046</v>
      </c>
      <c r="E1956" s="23" t="n">
        <f aca="false">E1955*tax</f>
        <v>2.44636403716409</v>
      </c>
      <c r="F1956" s="23" t="n">
        <f aca="false">F1955*tax</f>
        <v>2.41364822033696</v>
      </c>
      <c r="G1956" s="23" t="n">
        <f aca="false">G1955*tax</f>
        <v>2.63934560766361</v>
      </c>
    </row>
    <row r="1957" customFormat="false" ht="17.15" hidden="false" customHeight="false" outlineLevel="0" collapsed="false">
      <c r="A1957" s="4" t="s">
        <v>567</v>
      </c>
      <c r="B1957" s="0" t="s">
        <v>184</v>
      </c>
      <c r="C1957" s="23" t="n">
        <f aca="false">a25_mi</f>
        <v>0</v>
      </c>
      <c r="D1957" s="23" t="n">
        <f aca="false">a26_mi</f>
        <v>0</v>
      </c>
      <c r="E1957" s="23" t="n">
        <f aca="false">vmi*E1948*(1-tax)</f>
        <v>-0.11280384</v>
      </c>
      <c r="F1957" s="23" t="n">
        <f aca="false">vmi*F1948*(1-tax)</f>
        <v>0.67682304</v>
      </c>
      <c r="G1957" s="23" t="n">
        <f aca="false">vmi*G1948*(1-tax)</f>
        <v>1.421328384</v>
      </c>
      <c r="K1957" s="8" t="s">
        <v>568</v>
      </c>
    </row>
    <row r="1958" customFormat="false" ht="15" hidden="false" customHeight="false" outlineLevel="0" collapsed="false">
      <c r="A1958" s="4" t="s">
        <v>435</v>
      </c>
      <c r="B1958" s="0" t="s">
        <v>184</v>
      </c>
      <c r="C1958" s="23" t="n">
        <f aca="false">C1955-C1956-C1957</f>
        <v>7.908</v>
      </c>
      <c r="D1958" s="23" t="n">
        <f aca="false">D1955-D1956-D1957</f>
        <v>12.2375212108949</v>
      </c>
      <c r="E1958" s="23" t="n">
        <f aca="false">E1955-E1956-E1957</f>
        <v>13.9755333839299</v>
      </c>
      <c r="F1958" s="23" t="n">
        <f aca="false">F1955-F1956-F1957</f>
        <v>13.0005168752428</v>
      </c>
      <c r="G1958" s="23" t="n">
        <f aca="false">G1955-G1956-G1957</f>
        <v>13.5349633927605</v>
      </c>
      <c r="H1958" s="29" t="n">
        <f aca="false">H1939*H1962</f>
        <v>14.0905485056023</v>
      </c>
      <c r="I1958" s="29" t="n">
        <f aca="false">I1939*I1962</f>
        <v>14.4001756603561</v>
      </c>
      <c r="J1958" s="29" t="n">
        <f aca="false">J1939*J1962</f>
        <v>14.4413190193857</v>
      </c>
    </row>
    <row r="1959" customFormat="false" ht="15" hidden="false" customHeight="false" outlineLevel="0" collapsed="false">
      <c r="A1959" s="4" t="s">
        <v>569</v>
      </c>
      <c r="B1959" s="4" t="s">
        <v>265</v>
      </c>
      <c r="C1959" s="10" t="n">
        <f aca="false">a25_sh</f>
        <v>1.8739336492891</v>
      </c>
      <c r="D1959" s="10" t="n">
        <f aca="false">a26_sh</f>
        <v>1.90613591916558</v>
      </c>
      <c r="E1959" s="10" t="n">
        <f aca="false">q_sh*(1+sh_g)</f>
        <v>1.90705128205128</v>
      </c>
      <c r="F1959" s="10" t="n">
        <f aca="false">E1959*(1+sh_g)</f>
        <v>1.90705128205128</v>
      </c>
      <c r="G1959" s="10" t="n">
        <f aca="false">F1959*(1+sh_g)</f>
        <v>1.90705128205128</v>
      </c>
      <c r="H1959" s="31" t="n">
        <f aca="false">G1959*(1+sh_g)</f>
        <v>1.90705128205128</v>
      </c>
      <c r="I1959" s="31" t="n">
        <f aca="false">H1959*(1+sh_g)</f>
        <v>1.90705128205128</v>
      </c>
      <c r="J1959" s="31" t="n">
        <f aca="false">I1959*(1+sh_g)</f>
        <v>1.90705128205128</v>
      </c>
    </row>
    <row r="1960" customFormat="false" ht="17.15" hidden="false" customHeight="false" outlineLevel="0" collapsed="false">
      <c r="A1960" s="0" t="s">
        <v>442</v>
      </c>
      <c r="B1960" s="0" t="s">
        <v>274</v>
      </c>
      <c r="C1960" s="23" t="n">
        <f aca="false">C1958/C1959</f>
        <v>4.22</v>
      </c>
      <c r="D1960" s="23" t="n">
        <f aca="false">D1958/D1959</f>
        <v>6.42006747150118</v>
      </c>
      <c r="E1960" s="23" t="n">
        <f aca="false">E1958/E1959</f>
        <v>7.32834691728759</v>
      </c>
      <c r="F1960" s="23" t="n">
        <f aca="false">F1958/F1959</f>
        <v>6.81707775642982</v>
      </c>
      <c r="G1960" s="23" t="n">
        <f aca="false">G1958/G1959</f>
        <v>7.09732534208616</v>
      </c>
      <c r="H1960" s="29" t="n">
        <f aca="false">H1958/H1959</f>
        <v>7.38865736764357</v>
      </c>
      <c r="I1960" s="29" t="n">
        <f aca="false">I1958/I1959</f>
        <v>7.55101648072454</v>
      </c>
      <c r="J1960" s="29" t="n">
        <f aca="false">J1958/J1959</f>
        <v>7.57259081352661</v>
      </c>
    </row>
    <row r="1961" customFormat="false" ht="17.15" hidden="false" customHeight="false" outlineLevel="0" collapsed="false">
      <c r="A1961" s="0" t="s">
        <v>570</v>
      </c>
      <c r="B1961" s="0" t="s">
        <v>48</v>
      </c>
      <c r="D1961" s="20" t="n">
        <f aca="false">D1960/C1960-1</f>
        <v>0.521343002725398</v>
      </c>
      <c r="E1961" s="20" t="n">
        <f aca="false">E1960/D1960-1</f>
        <v>0.141475062344482</v>
      </c>
      <c r="F1961" s="20" t="n">
        <f aca="false">F1960/E1960-1</f>
        <v>-0.0697659604039334</v>
      </c>
      <c r="G1961" s="20" t="n">
        <f aca="false">G1960/F1960-1</f>
        <v>0.0411096360741978</v>
      </c>
      <c r="H1961" s="27" t="n">
        <f aca="false">H1960/G1960-1</f>
        <v>0.0410481429997098</v>
      </c>
      <c r="I1961" s="27" t="n">
        <f aca="false">I1960/H1960-1</f>
        <v>0.0219741023304141</v>
      </c>
      <c r="J1961" s="27" t="n">
        <f aca="false">J1960/I1960-1</f>
        <v>0.00285714285714289</v>
      </c>
    </row>
    <row r="1962" customFormat="false" ht="17.15" hidden="false" customHeight="false" outlineLevel="0" collapsed="false">
      <c r="A1962" s="4" t="s">
        <v>571</v>
      </c>
      <c r="B1962" s="0" t="s">
        <v>48</v>
      </c>
      <c r="C1962" s="16" t="n">
        <f aca="false">C1958/C1939</f>
        <v>0.162746187565599</v>
      </c>
      <c r="D1962" s="16" t="n">
        <f aca="false">D1958/D1939</f>
        <v>0.208646059676249</v>
      </c>
      <c r="E1962" s="16" t="n">
        <f aca="false">E1958/E1939</f>
        <v>0.200394686882878</v>
      </c>
      <c r="F1962" s="16" t="n">
        <f aca="false">F1958/F1939</f>
        <v>0.169082338956329</v>
      </c>
      <c r="G1962" s="16" t="n">
        <f aca="false">G1958/G1939</f>
        <v>0.160699391599566</v>
      </c>
      <c r="H1962" s="28" t="n">
        <f aca="false">$G1962+($G$1962*0.9-$G1962)*1/3</f>
        <v>0.155342745212914</v>
      </c>
      <c r="I1962" s="28" t="n">
        <f aca="false">$G1962+($G$1962*0.9-$G1962)*2/3</f>
        <v>0.149986098826261</v>
      </c>
      <c r="J1962" s="28" t="n">
        <f aca="false">$G1962+($G$1962*0.9-$G1962)*3/3</f>
        <v>0.144629452439609</v>
      </c>
    </row>
    <row r="1965" customFormat="false" ht="17.15" hidden="false" customHeight="false" outlineLevel="0" collapsed="false">
      <c r="A1965" s="1" t="s">
        <v>892</v>
      </c>
    </row>
    <row r="1966" customFormat="false" ht="17.15" hidden="false" customHeight="false" outlineLevel="0" collapsed="false">
      <c r="A1966" s="5" t="s">
        <v>24</v>
      </c>
      <c r="B1966" s="5" t="s">
        <v>25</v>
      </c>
      <c r="C1966" s="17" t="s">
        <v>394</v>
      </c>
      <c r="D1966" s="17" t="s">
        <v>521</v>
      </c>
      <c r="E1966" s="17" t="s">
        <v>480</v>
      </c>
      <c r="F1966" s="17" t="s">
        <v>481</v>
      </c>
      <c r="G1966" s="17" t="s">
        <v>482</v>
      </c>
      <c r="H1966" s="17" t="s">
        <v>522</v>
      </c>
      <c r="I1966" s="17" t="s">
        <v>523</v>
      </c>
      <c r="J1966" s="17" t="s">
        <v>524</v>
      </c>
      <c r="K1966" s="5" t="s">
        <v>357</v>
      </c>
    </row>
    <row r="1967" customFormat="false" ht="17.15" hidden="false" customHeight="false" outlineLevel="0" collapsed="false">
      <c r="A1967" s="6" t="s">
        <v>542</v>
      </c>
    </row>
    <row r="1968" customFormat="false" ht="17.15" hidden="false" customHeight="false" outlineLevel="0" collapsed="false">
      <c r="A1968" s="4" t="s">
        <v>543</v>
      </c>
      <c r="B1968" s="4" t="s">
        <v>42</v>
      </c>
      <c r="D1968" s="22" t="n">
        <f aca="false">cap_26</f>
        <v>3306</v>
      </c>
      <c r="E1968" s="22" t="n">
        <f aca="false">D1968*(1+capg27)*cap_adj</f>
        <v>3306</v>
      </c>
      <c r="F1968" s="22" t="n">
        <f aca="false">E1968*(1+capg28)</f>
        <v>3306</v>
      </c>
      <c r="G1968" s="22" t="n">
        <f aca="false">F1968*(1+capg29)</f>
        <v>3306</v>
      </c>
    </row>
    <row r="1969" customFormat="false" ht="15" hidden="false" customHeight="false" outlineLevel="0" collapsed="false">
      <c r="A1969" s="4" t="s">
        <v>544</v>
      </c>
      <c r="B1969" s="0" t="s">
        <v>48</v>
      </c>
      <c r="D1969" s="20" t="n">
        <f aca="false">a26_ship/cap_26</f>
        <v>0.8725</v>
      </c>
      <c r="E1969" s="20" t="n">
        <f aca="false">MIN(0.98,ut27_C+ut_adj)</f>
        <v>0.8</v>
      </c>
      <c r="F1969" s="20" t="n">
        <f aca="false">MIN(0.98,ut28_C+ut_adj)</f>
        <v>0.74</v>
      </c>
      <c r="G1969" s="20" t="n">
        <f aca="false">MIN(0.98,ut29_C+ut_adj)</f>
        <v>0.78</v>
      </c>
    </row>
    <row r="1970" customFormat="false" ht="17.15" hidden="false" customHeight="false" outlineLevel="0" collapsed="false">
      <c r="A1970" s="4" t="s">
        <v>545</v>
      </c>
      <c r="B1970" s="4" t="s">
        <v>42</v>
      </c>
      <c r="D1970" s="22" t="n">
        <f aca="false">D1968*D1969</f>
        <v>2884.485</v>
      </c>
      <c r="E1970" s="22" t="n">
        <f aca="false">E1968*E1969</f>
        <v>2644.8</v>
      </c>
      <c r="F1970" s="22" t="n">
        <f aca="false">F1968*F1969</f>
        <v>2446.44</v>
      </c>
      <c r="G1970" s="22" t="n">
        <f aca="false">G1968*G1969</f>
        <v>2578.68</v>
      </c>
    </row>
    <row r="1971" customFormat="false" ht="17.15" hidden="false" customHeight="false" outlineLevel="0" collapsed="false">
      <c r="A1971" s="4" t="s">
        <v>546</v>
      </c>
      <c r="B1971" s="0" t="s">
        <v>89</v>
      </c>
      <c r="D1971" s="22" t="n">
        <f aca="false">asp_26</f>
        <v>643.469405492234</v>
      </c>
      <c r="E1971" s="22" t="n">
        <f aca="false">D1971*(1+asp27_C)*(1+asp_adj)</f>
        <v>624.165323327467</v>
      </c>
      <c r="F1971" s="22" t="n">
        <f aca="false">E1971*(1+asp28_C)</f>
        <v>592.957057161093</v>
      </c>
      <c r="G1971" s="22" t="n">
        <f aca="false">F1971*(1+asp29_C)</f>
        <v>581.097916017871</v>
      </c>
    </row>
    <row r="1972" customFormat="false" ht="15" hidden="false" customHeight="false" outlineLevel="0" collapsed="false">
      <c r="A1972" s="4" t="s">
        <v>547</v>
      </c>
      <c r="B1972" s="0" t="s">
        <v>48</v>
      </c>
      <c r="E1972" s="20" t="n">
        <f aca="false">E1971/D1971-1</f>
        <v>-0.03</v>
      </c>
      <c r="F1972" s="20" t="n">
        <f aca="false">F1971/E1971-1</f>
        <v>-0.05</v>
      </c>
      <c r="G1972" s="20" t="n">
        <f aca="false">G1971/F1971-1</f>
        <v>-0.02</v>
      </c>
    </row>
    <row r="1973" customFormat="false" ht="15" hidden="false" customHeight="false" outlineLevel="0" collapsed="false">
      <c r="A1973" s="4" t="s">
        <v>548</v>
      </c>
      <c r="B1973" s="0" t="s">
        <v>35</v>
      </c>
      <c r="D1973" s="23" t="n">
        <f aca="false">fx_26</f>
        <v>31.6</v>
      </c>
      <c r="E1973" s="23" t="n">
        <f aca="false">fx</f>
        <v>32</v>
      </c>
      <c r="F1973" s="23" t="n">
        <f aca="false">fx</f>
        <v>32</v>
      </c>
      <c r="G1973" s="23" t="n">
        <f aca="false">fx</f>
        <v>32</v>
      </c>
    </row>
    <row r="1974" customFormat="false" ht="17.15" hidden="false" customHeight="false" outlineLevel="0" collapsed="false">
      <c r="A1974" s="0" t="s">
        <v>549</v>
      </c>
      <c r="B1974" s="0" t="s">
        <v>184</v>
      </c>
      <c r="D1974" s="23" t="n">
        <f aca="false">D1970*D1971*D1973/1000000</f>
        <v>58.65206</v>
      </c>
      <c r="E1974" s="23" t="n">
        <f aca="false">E1970*E1971*E1973/1000000</f>
        <v>52.8253583083675</v>
      </c>
      <c r="F1974" s="23" t="n">
        <f aca="false">F1970*F1971*F1973/1000000</f>
        <v>46.4202836134779</v>
      </c>
      <c r="G1974" s="23" t="n">
        <f aca="false">G1970*G1971*G1973/1000000</f>
        <v>47.9508983704629</v>
      </c>
    </row>
    <row r="1975" customFormat="false" ht="17.15" hidden="false" customHeight="false" outlineLevel="0" collapsed="false">
      <c r="A1975" s="6" t="s">
        <v>550</v>
      </c>
    </row>
    <row r="1976" customFormat="false" ht="17.15" hidden="false" customHeight="false" outlineLevel="0" collapsed="false">
      <c r="A1976" s="0" t="s">
        <v>551</v>
      </c>
      <c r="B1976" s="4" t="s">
        <v>42</v>
      </c>
      <c r="D1976" s="22" t="n">
        <f aca="false">0</f>
        <v>0</v>
      </c>
      <c r="E1976" s="22" t="n">
        <f aca="false">vcap27*vcap_adj</f>
        <v>144</v>
      </c>
      <c r="F1976" s="22" t="n">
        <f aca="false">vcap28*vcap_adj</f>
        <v>360</v>
      </c>
      <c r="G1976" s="22" t="n">
        <f aca="false">vcap29*vcap_adj</f>
        <v>504</v>
      </c>
    </row>
    <row r="1977" customFormat="false" ht="17.15" hidden="false" customHeight="false" outlineLevel="0" collapsed="false">
      <c r="A1977" s="0" t="s">
        <v>552</v>
      </c>
      <c r="B1977" s="0" t="s">
        <v>48</v>
      </c>
      <c r="E1977" s="20" t="n">
        <f aca="false">vut_C</f>
        <v>0.65</v>
      </c>
      <c r="F1977" s="20" t="n">
        <f aca="false">vut_C</f>
        <v>0.65</v>
      </c>
      <c r="G1977" s="20" t="n">
        <f aca="false">vut_C</f>
        <v>0.65</v>
      </c>
    </row>
    <row r="1978" customFormat="false" ht="17.15" hidden="false" customHeight="false" outlineLevel="0" collapsed="false">
      <c r="A1978" s="0" t="s">
        <v>553</v>
      </c>
      <c r="B1978" s="4" t="s">
        <v>42</v>
      </c>
      <c r="D1978" s="22" t="n">
        <f aca="false">0</f>
        <v>0</v>
      </c>
      <c r="E1978" s="22" t="n">
        <f aca="false">E1976*E1977</f>
        <v>93.6</v>
      </c>
      <c r="F1978" s="22" t="n">
        <f aca="false">F1976*F1977</f>
        <v>234</v>
      </c>
      <c r="G1978" s="22" t="n">
        <f aca="false">G1976*G1977</f>
        <v>327.6</v>
      </c>
    </row>
    <row r="1979" customFormat="false" ht="17.15" hidden="false" customHeight="false" outlineLevel="0" collapsed="false">
      <c r="A1979" s="0" t="s">
        <v>554</v>
      </c>
      <c r="B1979" s="0" t="s">
        <v>184</v>
      </c>
      <c r="D1979" s="23" t="n">
        <f aca="false">0</f>
        <v>0</v>
      </c>
      <c r="E1979" s="23" t="n">
        <f aca="false">E1978*vasp*E1973/1000000</f>
        <v>5.39136</v>
      </c>
      <c r="F1979" s="23" t="n">
        <f aca="false">F1978*vasp*F1973/1000000</f>
        <v>13.4784</v>
      </c>
      <c r="G1979" s="23" t="n">
        <f aca="false">G1978*vasp*G1973/1000000</f>
        <v>18.86976</v>
      </c>
    </row>
    <row r="1980" customFormat="false" ht="17.15" hidden="false" customHeight="false" outlineLevel="0" collapsed="false">
      <c r="A1980" s="4" t="s">
        <v>400</v>
      </c>
      <c r="B1980" s="0" t="s">
        <v>184</v>
      </c>
      <c r="C1980" s="23" t="n">
        <f aca="false">a25_rev</f>
        <v>48.591</v>
      </c>
      <c r="D1980" s="23" t="n">
        <f aca="false">D1974+D1979</f>
        <v>58.65206</v>
      </c>
      <c r="E1980" s="23" t="n">
        <f aca="false">E1974+E1979</f>
        <v>58.2167183083675</v>
      </c>
      <c r="F1980" s="23" t="n">
        <f aca="false">F1974+F1979</f>
        <v>59.8986836134779</v>
      </c>
      <c r="G1980" s="23" t="n">
        <f aca="false">G1974+G1979</f>
        <v>66.8206583704629</v>
      </c>
      <c r="H1980" s="29" t="n">
        <f aca="false">G1980*(1+H1983)</f>
        <v>72.4140545845787</v>
      </c>
      <c r="I1980" s="29" t="n">
        <f aca="false">H1980*(1+I1983)</f>
        <v>76.1689980934585</v>
      </c>
      <c r="J1980" s="29" t="n">
        <f aca="false">I1980*(1+J1983)</f>
        <v>77.6923780553276</v>
      </c>
      <c r="K1980" s="8" t="s">
        <v>555</v>
      </c>
    </row>
    <row r="1981" customFormat="false" ht="17.15" hidden="false" customHeight="false" outlineLevel="0" collapsed="false">
      <c r="A1981" s="0" t="s">
        <v>556</v>
      </c>
      <c r="B1981" s="0" t="s">
        <v>48</v>
      </c>
      <c r="D1981" s="20" t="n">
        <f aca="false">D1979/D1980</f>
        <v>0</v>
      </c>
      <c r="E1981" s="20" t="n">
        <f aca="false">E1979/E1980</f>
        <v>0.0926084491991212</v>
      </c>
      <c r="F1981" s="20" t="n">
        <f aca="false">F1979/F1980</f>
        <v>0.225019970171218</v>
      </c>
      <c r="G1981" s="20" t="n">
        <f aca="false">G1979/G1980</f>
        <v>0.28239410475999</v>
      </c>
    </row>
    <row r="1982" customFormat="false" ht="17.15" hidden="false" customHeight="false" outlineLevel="0" collapsed="false">
      <c r="A1982" s="0" t="s">
        <v>557</v>
      </c>
      <c r="B1982" s="0" t="s">
        <v>48</v>
      </c>
      <c r="D1982" s="20" t="n">
        <f aca="false">ai_sh26</f>
        <v>0.1</v>
      </c>
      <c r="E1982" s="20" t="n">
        <f aca="false">ai_sh27_C</f>
        <v>0.15</v>
      </c>
      <c r="F1982" s="20" t="n">
        <f aca="false">ai_sh27_C</f>
        <v>0.15</v>
      </c>
      <c r="G1982" s="20" t="n">
        <f aca="false">ai_sh27_C</f>
        <v>0.15</v>
      </c>
    </row>
    <row r="1983" customFormat="false" ht="15" hidden="false" customHeight="false" outlineLevel="0" collapsed="false">
      <c r="A1983" s="4" t="s">
        <v>558</v>
      </c>
      <c r="B1983" s="0" t="s">
        <v>48</v>
      </c>
      <c r="D1983" s="20" t="n">
        <f aca="false">D1980/C1980-1</f>
        <v>0.207056039184211</v>
      </c>
      <c r="E1983" s="20" t="n">
        <f aca="false">E1980/D1980-1</f>
        <v>-0.0074224450365854</v>
      </c>
      <c r="F1983" s="20" t="n">
        <f aca="false">F1980/E1980-1</f>
        <v>0.028891448264075</v>
      </c>
      <c r="G1983" s="20" t="n">
        <f aca="false">G1980/F1980-1</f>
        <v>0.115561383646625</v>
      </c>
      <c r="H1983" s="27" t="n">
        <f aca="false">$G1983+(fade_gC-$G1983)*1/3</f>
        <v>0.0837075890977501</v>
      </c>
      <c r="I1983" s="27" t="n">
        <f aca="false">$G1983+(fade_gC-$G1983)*2/3</f>
        <v>0.0518537945488751</v>
      </c>
      <c r="J1983" s="27" t="n">
        <f aca="false">$G1983+(fade_gC-$G1983)*3/3</f>
        <v>0.02</v>
      </c>
    </row>
    <row r="1984" customFormat="false" ht="17.15" hidden="false" customHeight="false" outlineLevel="0" collapsed="false">
      <c r="A1984" s="6" t="s">
        <v>559</v>
      </c>
    </row>
    <row r="1985" customFormat="false" ht="15" hidden="false" customHeight="false" outlineLevel="0" collapsed="false">
      <c r="A1985" s="4" t="s">
        <v>560</v>
      </c>
      <c r="B1985" s="0" t="s">
        <v>184</v>
      </c>
      <c r="D1985" s="23" t="n">
        <f aca="false">da_tot26*da_sh</f>
        <v>8.658</v>
      </c>
      <c r="E1985" s="23" t="n">
        <f aca="false">D1985*(1+dag_27+dag_adj)</f>
        <v>8.91774</v>
      </c>
      <c r="F1985" s="23" t="n">
        <f aca="false">E1985*(1+dag_28+dag_adj)</f>
        <v>9.0960948</v>
      </c>
      <c r="G1985" s="23" t="n">
        <f aca="false">F1985*(1+dag_29+dag_adj)</f>
        <v>9.0960948</v>
      </c>
    </row>
    <row r="1986" customFormat="false" ht="17.15" hidden="false" customHeight="false" outlineLevel="0" collapsed="false">
      <c r="A1986" s="4" t="s">
        <v>561</v>
      </c>
      <c r="B1986" s="0" t="s">
        <v>562</v>
      </c>
      <c r="D1986" s="23" t="n">
        <f aca="false">(D1974-a26_gp-D1985)/D1970*1000</f>
        <v>10.7339918911001</v>
      </c>
      <c r="E1986" s="23" t="n">
        <f aca="false">D1986*(1+cc_g)</f>
        <v>10.9486717289221</v>
      </c>
      <c r="F1986" s="23" t="n">
        <f aca="false">E1986*(1+cc_g)</f>
        <v>11.1676451635006</v>
      </c>
      <c r="G1986" s="23" t="n">
        <f aca="false">F1986*(1+cc_g)</f>
        <v>11.3909980667706</v>
      </c>
      <c r="K1986" s="8" t="s">
        <v>563</v>
      </c>
    </row>
    <row r="1987" customFormat="false" ht="17.15" hidden="false" customHeight="false" outlineLevel="0" collapsed="false">
      <c r="A1987" s="4" t="s">
        <v>564</v>
      </c>
      <c r="B1987" s="0" t="s">
        <v>184</v>
      </c>
      <c r="D1987" s="23" t="n">
        <f aca="false">D1986*D1970/1000</f>
        <v>30.9620386</v>
      </c>
      <c r="E1987" s="23" t="n">
        <f aca="false">E1986*E1970/1000</f>
        <v>28.9570469886533</v>
      </c>
      <c r="F1987" s="23" t="n">
        <f aca="false">F1986*F1970/1000</f>
        <v>27.3209738337944</v>
      </c>
      <c r="G1987" s="23" t="n">
        <f aca="false">G1986*G1970/1000</f>
        <v>29.37373889482</v>
      </c>
    </row>
    <row r="1988" customFormat="false" ht="17.15" hidden="false" customHeight="false" outlineLevel="0" collapsed="false">
      <c r="A1988" s="0" t="s">
        <v>565</v>
      </c>
      <c r="B1988" s="0" t="s">
        <v>48</v>
      </c>
      <c r="E1988" s="20" t="n">
        <f aca="false">vgm27_C</f>
        <v>-0.2</v>
      </c>
      <c r="F1988" s="20" t="n">
        <f aca="false">vgm28_C</f>
        <v>0</v>
      </c>
      <c r="G1988" s="20" t="n">
        <f aca="false">vgm29_C</f>
        <v>0.05</v>
      </c>
    </row>
    <row r="1989" customFormat="false" ht="17.15" hidden="false" customHeight="false" outlineLevel="0" collapsed="false">
      <c r="A1989" s="0" t="s">
        <v>566</v>
      </c>
      <c r="B1989" s="0" t="s">
        <v>184</v>
      </c>
      <c r="D1989" s="23" t="n">
        <f aca="false">0</f>
        <v>0</v>
      </c>
      <c r="E1989" s="23" t="n">
        <f aca="false">E1979*E1988</f>
        <v>-1.078272</v>
      </c>
      <c r="F1989" s="23" t="n">
        <f aca="false">F1979*F1988</f>
        <v>0</v>
      </c>
      <c r="G1989" s="23" t="n">
        <f aca="false">G1979*G1988</f>
        <v>0.943488</v>
      </c>
    </row>
    <row r="1990" customFormat="false" ht="15" hidden="false" customHeight="false" outlineLevel="0" collapsed="false">
      <c r="A1990" s="4" t="s">
        <v>417</v>
      </c>
      <c r="B1990" s="0" t="s">
        <v>184</v>
      </c>
      <c r="C1990" s="23" t="n">
        <f aca="false">a25_gp</f>
        <v>13.654</v>
      </c>
      <c r="D1990" s="23" t="n">
        <f aca="false">D1974-D1985-D1987+D1989</f>
        <v>19.0320214</v>
      </c>
      <c r="E1990" s="23" t="n">
        <f aca="false">E1974-E1985-E1987+E1989</f>
        <v>13.8722993197142</v>
      </c>
      <c r="F1990" s="23" t="n">
        <f aca="false">F1974-F1985-F1987+F1989</f>
        <v>10.0032149796835</v>
      </c>
      <c r="G1990" s="23" t="n">
        <f aca="false">G1974-G1985-G1987+G1989</f>
        <v>10.4245526756429</v>
      </c>
    </row>
    <row r="1991" customFormat="false" ht="15" hidden="false" customHeight="false" outlineLevel="0" collapsed="false">
      <c r="A1991" s="4" t="s">
        <v>420</v>
      </c>
      <c r="B1991" s="0" t="s">
        <v>48</v>
      </c>
      <c r="C1991" s="16" t="n">
        <f aca="false">C1990/C1980</f>
        <v>0.280998538824062</v>
      </c>
      <c r="D1991" s="16" t="n">
        <f aca="false">D1990/D1980</f>
        <v>0.324490246378388</v>
      </c>
      <c r="E1991" s="16" t="n">
        <f aca="false">E1990/E1980</f>
        <v>0.238287208946306</v>
      </c>
      <c r="F1991" s="16" t="n">
        <f aca="false">F1990/F1980</f>
        <v>0.167002250737822</v>
      </c>
      <c r="G1991" s="16" t="n">
        <f aca="false">G1990/G1980</f>
        <v>0.156007931227611</v>
      </c>
    </row>
    <row r="1992" customFormat="false" ht="15" hidden="false" customHeight="false" outlineLevel="0" collapsed="false">
      <c r="A1992" s="4" t="s">
        <v>422</v>
      </c>
      <c r="B1992" s="0" t="s">
        <v>184</v>
      </c>
      <c r="C1992" s="23" t="n">
        <f aca="false">a25_opx</f>
        <v>5.881</v>
      </c>
      <c r="D1992" s="23" t="n">
        <f aca="false">a26_opx</f>
        <v>6.824187</v>
      </c>
      <c r="E1992" s="23" t="n">
        <f aca="false">D1992*(1+MAX(g_opx_min,phi*E1983))</f>
        <v>7.02891261</v>
      </c>
      <c r="F1992" s="23" t="n">
        <f aca="false">E1992*(1+MAX(g_opx_min,phi*F1983))</f>
        <v>7.2397799883</v>
      </c>
      <c r="G1992" s="23" t="n">
        <f aca="false">F1992*(1+MAX(g_opx_min,phi*G1983))</f>
        <v>7.65809948467255</v>
      </c>
    </row>
    <row r="1993" customFormat="false" ht="15" hidden="false" customHeight="false" outlineLevel="0" collapsed="false">
      <c r="A1993" s="4" t="s">
        <v>425</v>
      </c>
      <c r="B1993" s="0" t="s">
        <v>184</v>
      </c>
      <c r="C1993" s="23" t="n">
        <f aca="false">C1990-C1992</f>
        <v>7.773</v>
      </c>
      <c r="D1993" s="23" t="n">
        <f aca="false">D1990-D1992</f>
        <v>12.2078344</v>
      </c>
      <c r="E1993" s="23" t="n">
        <f aca="false">E1990-E1992</f>
        <v>6.8433867097142</v>
      </c>
      <c r="F1993" s="23" t="n">
        <f aca="false">F1990-F1992</f>
        <v>2.76343499138354</v>
      </c>
      <c r="G1993" s="23" t="n">
        <f aca="false">G1990-G1992</f>
        <v>2.76645319097031</v>
      </c>
    </row>
    <row r="1994" customFormat="false" ht="15" hidden="false" customHeight="false" outlineLevel="0" collapsed="false">
      <c r="A1994" s="4" t="s">
        <v>531</v>
      </c>
      <c r="B1994" s="0" t="s">
        <v>48</v>
      </c>
      <c r="C1994" s="16" t="n">
        <f aca="false">C1993/C1980</f>
        <v>0.159967895289251</v>
      </c>
      <c r="D1994" s="16" t="n">
        <f aca="false">D1993/D1980</f>
        <v>0.208139908470393</v>
      </c>
      <c r="E1994" s="16" t="n">
        <f aca="false">E1993/E1980</f>
        <v>0.117550197066512</v>
      </c>
      <c r="F1994" s="16" t="n">
        <f aca="false">F1993/F1980</f>
        <v>0.046135153974598</v>
      </c>
      <c r="G1994" s="16" t="n">
        <f aca="false">G1993/G1980</f>
        <v>0.0414011663224375</v>
      </c>
    </row>
    <row r="1995" customFormat="false" ht="15" hidden="false" customHeight="false" outlineLevel="0" collapsed="false">
      <c r="A1995" s="4" t="s">
        <v>428</v>
      </c>
      <c r="B1995" s="0" t="s">
        <v>184</v>
      </c>
      <c r="C1995" s="23" t="n">
        <f aca="false">a25_nonop</f>
        <v>1.479</v>
      </c>
      <c r="D1995" s="23" t="n">
        <f aca="false">a26_nonop</f>
        <v>2.10950832169955</v>
      </c>
      <c r="E1995" s="23" t="n">
        <f aca="false">nonop_f_hi</f>
        <v>2.5</v>
      </c>
      <c r="F1995" s="23" t="n">
        <f aca="false">nonop_f_hi</f>
        <v>2.5</v>
      </c>
      <c r="G1995" s="23" t="n">
        <f aca="false">nonop_f_hi</f>
        <v>2.5</v>
      </c>
    </row>
    <row r="1996" customFormat="false" ht="15" hidden="false" customHeight="false" outlineLevel="0" collapsed="false">
      <c r="A1996" s="4" t="s">
        <v>430</v>
      </c>
      <c r="B1996" s="0" t="s">
        <v>184</v>
      </c>
      <c r="C1996" s="23" t="n">
        <f aca="false">C1993+C1995</f>
        <v>9.252</v>
      </c>
      <c r="D1996" s="23" t="n">
        <f aca="false">D1993+D1995</f>
        <v>14.3173427216995</v>
      </c>
      <c r="E1996" s="23" t="n">
        <f aca="false">E1993+E1995</f>
        <v>9.3433867097142</v>
      </c>
      <c r="F1996" s="23" t="n">
        <f aca="false">F1993+F1995</f>
        <v>5.26343499138354</v>
      </c>
      <c r="G1996" s="23" t="n">
        <f aca="false">G1993+G1995</f>
        <v>5.26645319097031</v>
      </c>
    </row>
    <row r="1997" customFormat="false" ht="15" hidden="false" customHeight="false" outlineLevel="0" collapsed="false">
      <c r="A1997" s="4" t="s">
        <v>432</v>
      </c>
      <c r="B1997" s="0" t="s">
        <v>184</v>
      </c>
      <c r="C1997" s="23" t="n">
        <f aca="false">a25_tax</f>
        <v>1.344</v>
      </c>
      <c r="D1997" s="23" t="n">
        <f aca="false">a26_tax</f>
        <v>2.0798215108046</v>
      </c>
      <c r="E1997" s="23" t="n">
        <f aca="false">E1996*tax</f>
        <v>1.40150800645713</v>
      </c>
      <c r="F1997" s="23" t="n">
        <f aca="false">F1996*tax</f>
        <v>0.78951524870753</v>
      </c>
      <c r="G1997" s="23" t="n">
        <f aca="false">G1996*tax</f>
        <v>0.789967978645546</v>
      </c>
    </row>
    <row r="1998" customFormat="false" ht="17.15" hidden="false" customHeight="false" outlineLevel="0" collapsed="false">
      <c r="A1998" s="4" t="s">
        <v>567</v>
      </c>
      <c r="B1998" s="0" t="s">
        <v>184</v>
      </c>
      <c r="C1998" s="23" t="n">
        <f aca="false">a25_mi</f>
        <v>0</v>
      </c>
      <c r="D1998" s="23" t="n">
        <f aca="false">a26_mi</f>
        <v>0</v>
      </c>
      <c r="E1998" s="23" t="n">
        <f aca="false">vmi*E1989*(1-tax)</f>
        <v>-0.36661248</v>
      </c>
      <c r="F1998" s="23" t="n">
        <f aca="false">vmi*F1989*(1-tax)</f>
        <v>0</v>
      </c>
      <c r="G1998" s="23" t="n">
        <f aca="false">vmi*G1989*(1-tax)</f>
        <v>0.32078592</v>
      </c>
      <c r="K1998" s="8" t="s">
        <v>568</v>
      </c>
    </row>
    <row r="1999" customFormat="false" ht="15" hidden="false" customHeight="false" outlineLevel="0" collapsed="false">
      <c r="A1999" s="4" t="s">
        <v>435</v>
      </c>
      <c r="B1999" s="0" t="s">
        <v>184</v>
      </c>
      <c r="C1999" s="23" t="n">
        <f aca="false">C1996-C1997-C1998</f>
        <v>7.908</v>
      </c>
      <c r="D1999" s="23" t="n">
        <f aca="false">D1996-D1997-D1998</f>
        <v>12.2375212108949</v>
      </c>
      <c r="E1999" s="23" t="n">
        <f aca="false">E1996-E1997-E1998</f>
        <v>8.30849118325707</v>
      </c>
      <c r="F1999" s="23" t="n">
        <f aca="false">F1996-F1997-F1998</f>
        <v>4.47391974267601</v>
      </c>
      <c r="G1999" s="23" t="n">
        <f aca="false">G1996-G1997-G1998</f>
        <v>4.15569929232476</v>
      </c>
      <c r="H1999" s="29" t="n">
        <f aca="false">H1980*H2003</f>
        <v>4.20332533702713</v>
      </c>
      <c r="I1999" s="29" t="n">
        <f aca="false">I1980*I2003</f>
        <v>4.10547772651288</v>
      </c>
      <c r="J1999" s="29" t="n">
        <f aca="false">J1980*J2003</f>
        <v>3.86546518250136</v>
      </c>
    </row>
    <row r="2000" customFormat="false" ht="15" hidden="false" customHeight="false" outlineLevel="0" collapsed="false">
      <c r="A2000" s="4" t="s">
        <v>569</v>
      </c>
      <c r="B2000" s="4" t="s">
        <v>265</v>
      </c>
      <c r="C2000" s="10" t="n">
        <f aca="false">a25_sh</f>
        <v>1.8739336492891</v>
      </c>
      <c r="D2000" s="10" t="n">
        <f aca="false">a26_sh</f>
        <v>1.90613591916558</v>
      </c>
      <c r="E2000" s="10" t="n">
        <f aca="false">q_sh*(1+sh_g)</f>
        <v>1.90705128205128</v>
      </c>
      <c r="F2000" s="10" t="n">
        <f aca="false">E2000*(1+sh_g)</f>
        <v>1.90705128205128</v>
      </c>
      <c r="G2000" s="10" t="n">
        <f aca="false">F2000*(1+sh_g)</f>
        <v>1.90705128205128</v>
      </c>
      <c r="H2000" s="31" t="n">
        <f aca="false">G2000*(1+sh_g)</f>
        <v>1.90705128205128</v>
      </c>
      <c r="I2000" s="31" t="n">
        <f aca="false">H2000*(1+sh_g)</f>
        <v>1.90705128205128</v>
      </c>
      <c r="J2000" s="31" t="n">
        <f aca="false">I2000*(1+sh_g)</f>
        <v>1.90705128205128</v>
      </c>
    </row>
    <row r="2001" customFormat="false" ht="17.15" hidden="false" customHeight="false" outlineLevel="0" collapsed="false">
      <c r="A2001" s="0" t="s">
        <v>442</v>
      </c>
      <c r="B2001" s="0" t="s">
        <v>274</v>
      </c>
      <c r="C2001" s="23" t="n">
        <f aca="false">C1999/C2000</f>
        <v>4.22</v>
      </c>
      <c r="D2001" s="23" t="n">
        <f aca="false">D1999/D2000</f>
        <v>6.42006747150118</v>
      </c>
      <c r="E2001" s="23" t="n">
        <f aca="false">E1999/E2000</f>
        <v>4.3567214271869</v>
      </c>
      <c r="F2001" s="23" t="n">
        <f aca="false">F1999/F2000</f>
        <v>2.34598816758809</v>
      </c>
      <c r="G2001" s="23" t="n">
        <f aca="false">G1999/G2000</f>
        <v>2.17912299026105</v>
      </c>
      <c r="H2001" s="29" t="n">
        <f aca="false">H1999/H2000</f>
        <v>2.20409664731507</v>
      </c>
      <c r="I2001" s="29" t="n">
        <f aca="false">I1999/I2000</f>
        <v>2.15278832045718</v>
      </c>
      <c r="J2001" s="29" t="n">
        <f aca="false">J1999/J2000</f>
        <v>2.02693300326122</v>
      </c>
    </row>
    <row r="2002" customFormat="false" ht="17.15" hidden="false" customHeight="false" outlineLevel="0" collapsed="false">
      <c r="A2002" s="0" t="s">
        <v>570</v>
      </c>
      <c r="B2002" s="0" t="s">
        <v>48</v>
      </c>
      <c r="D2002" s="20" t="n">
        <f aca="false">D2001/C2001-1</f>
        <v>0.521343002725398</v>
      </c>
      <c r="E2002" s="20" t="n">
        <f aca="false">E2001/D2001-1</f>
        <v>-0.32139008717175</v>
      </c>
      <c r="F2002" s="20" t="n">
        <f aca="false">F2001/E2001-1</f>
        <v>-0.461524403890364</v>
      </c>
      <c r="G2002" s="20" t="n">
        <f aca="false">G2001/F2001-1</f>
        <v>-0.0711278853117972</v>
      </c>
      <c r="H2002" s="27" t="n">
        <f aca="false">H2001/G2001-1</f>
        <v>0.0114604164912333</v>
      </c>
      <c r="I2002" s="27" t="n">
        <f aca="false">I2001/H2001-1</f>
        <v>-0.023278619347473</v>
      </c>
      <c r="J2002" s="27" t="n">
        <f aca="false">J2001/I2001-1</f>
        <v>-0.0584615384615387</v>
      </c>
    </row>
    <row r="2003" customFormat="false" ht="17.15" hidden="false" customHeight="false" outlineLevel="0" collapsed="false">
      <c r="A2003" s="4" t="s">
        <v>571</v>
      </c>
      <c r="B2003" s="0" t="s">
        <v>48</v>
      </c>
      <c r="C2003" s="16" t="n">
        <f aca="false">C1999/C1980</f>
        <v>0.162746187565599</v>
      </c>
      <c r="D2003" s="16" t="n">
        <f aca="false">D1999/D1980</f>
        <v>0.208646059676249</v>
      </c>
      <c r="E2003" s="16" t="n">
        <f aca="false">E1999/E1980</f>
        <v>0.142716584250729</v>
      </c>
      <c r="F2003" s="16" t="n">
        <f aca="false">F1999/F1980</f>
        <v>0.0746914535141691</v>
      </c>
      <c r="G2003" s="16" t="n">
        <f aca="false">G1999/G1980</f>
        <v>0.0621918339877018</v>
      </c>
      <c r="H2003" s="28" t="n">
        <f aca="false">$G2003+($G$2003*0.8-$G2003)*1/3</f>
        <v>0.058045711721855</v>
      </c>
      <c r="I2003" s="28" t="n">
        <f aca="false">$G2003+($G$2003*0.8-$G2003)*2/3</f>
        <v>0.0538995894560082</v>
      </c>
      <c r="J2003" s="28" t="n">
        <f aca="false">$G2003+($G$2003*0.8-$G2003)*3/3</f>
        <v>0.0497534671901614</v>
      </c>
    </row>
    <row r="2006" customFormat="false" ht="17.15" hidden="false" customHeight="false" outlineLevel="0" collapsed="false">
      <c r="A2006" s="1" t="s">
        <v>893</v>
      </c>
    </row>
    <row r="2007" customFormat="false" ht="17.15" hidden="false" customHeight="false" outlineLevel="0" collapsed="false">
      <c r="A2007" s="5" t="s">
        <v>24</v>
      </c>
      <c r="B2007" s="5" t="s">
        <v>25</v>
      </c>
      <c r="C2007" s="17" t="s">
        <v>394</v>
      </c>
      <c r="D2007" s="17" t="s">
        <v>521</v>
      </c>
      <c r="E2007" s="17" t="s">
        <v>480</v>
      </c>
      <c r="F2007" s="17" t="s">
        <v>481</v>
      </c>
      <c r="G2007" s="17" t="s">
        <v>482</v>
      </c>
      <c r="H2007" s="17" t="s">
        <v>522</v>
      </c>
      <c r="I2007" s="17" t="s">
        <v>523</v>
      </c>
      <c r="J2007" s="17" t="s">
        <v>524</v>
      </c>
      <c r="K2007" s="5" t="s">
        <v>357</v>
      </c>
    </row>
    <row r="2008" customFormat="false" ht="17.15" hidden="false" customHeight="false" outlineLevel="0" collapsed="false">
      <c r="A2008" s="6" t="s">
        <v>542</v>
      </c>
    </row>
    <row r="2009" customFormat="false" ht="17.15" hidden="false" customHeight="false" outlineLevel="0" collapsed="false">
      <c r="A2009" s="4" t="s">
        <v>543</v>
      </c>
      <c r="B2009" s="4" t="s">
        <v>42</v>
      </c>
      <c r="D2009" s="22" t="n">
        <f aca="false">cap_26</f>
        <v>3306</v>
      </c>
      <c r="E2009" s="22" t="n">
        <f aca="false">D2009*(1+capg27)*cap_adj</f>
        <v>3306</v>
      </c>
      <c r="F2009" s="22" t="n">
        <f aca="false">E2009*(1+capg28)</f>
        <v>3306</v>
      </c>
      <c r="G2009" s="22" t="n">
        <f aca="false">F2009*(1+capg29)</f>
        <v>3306</v>
      </c>
    </row>
    <row r="2010" customFormat="false" ht="15" hidden="false" customHeight="false" outlineLevel="0" collapsed="false">
      <c r="A2010" s="4" t="s">
        <v>544</v>
      </c>
      <c r="B2010" s="0" t="s">
        <v>48</v>
      </c>
      <c r="D2010" s="20" t="n">
        <f aca="false">a26_ship/cap_26</f>
        <v>0.8725</v>
      </c>
      <c r="E2010" s="20" t="n">
        <f aca="false">MIN(0.98,ut27_A+ut_adj)</f>
        <v>0.95</v>
      </c>
      <c r="F2010" s="20" t="n">
        <f aca="false">MIN(0.98,ut28_A+ut_adj)</f>
        <v>0.94</v>
      </c>
      <c r="G2010" s="20" t="n">
        <f aca="false">MIN(0.98,ut29_A+ut_adj)</f>
        <v>0.93</v>
      </c>
    </row>
    <row r="2011" customFormat="false" ht="17.15" hidden="false" customHeight="false" outlineLevel="0" collapsed="false">
      <c r="A2011" s="4" t="s">
        <v>545</v>
      </c>
      <c r="B2011" s="4" t="s">
        <v>42</v>
      </c>
      <c r="D2011" s="22" t="n">
        <f aca="false">D2009*D2010</f>
        <v>2884.485</v>
      </c>
      <c r="E2011" s="22" t="n">
        <f aca="false">E2009*E2010</f>
        <v>3140.7</v>
      </c>
      <c r="F2011" s="22" t="n">
        <f aca="false">F2009*F2010</f>
        <v>3107.64</v>
      </c>
      <c r="G2011" s="22" t="n">
        <f aca="false">G2009*G2010</f>
        <v>3074.58</v>
      </c>
    </row>
    <row r="2012" customFormat="false" ht="17.15" hidden="false" customHeight="false" outlineLevel="0" collapsed="false">
      <c r="A2012" s="4" t="s">
        <v>546</v>
      </c>
      <c r="B2012" s="0" t="s">
        <v>89</v>
      </c>
      <c r="D2012" s="22" t="n">
        <f aca="false">asp_26</f>
        <v>643.469405492234</v>
      </c>
      <c r="E2012" s="22" t="n">
        <f aca="false">D2012*(1+asp27_A)*(1+asp_adj)</f>
        <v>682.077569821768</v>
      </c>
      <c r="F2012" s="22" t="n">
        <f aca="false">E2012*(1+asp28_A)</f>
        <v>695.719121218203</v>
      </c>
      <c r="G2012" s="22" t="n">
        <f aca="false">F2012*(1+asp29_A)</f>
        <v>702.676312430385</v>
      </c>
    </row>
    <row r="2013" customFormat="false" ht="15" hidden="false" customHeight="false" outlineLevel="0" collapsed="false">
      <c r="A2013" s="4" t="s">
        <v>547</v>
      </c>
      <c r="B2013" s="0" t="s">
        <v>48</v>
      </c>
      <c r="E2013" s="20" t="n">
        <f aca="false">E2012/D2012-1</f>
        <v>0.0600000000000001</v>
      </c>
      <c r="F2013" s="20" t="n">
        <f aca="false">F2012/E2012-1</f>
        <v>0.02</v>
      </c>
      <c r="G2013" s="20" t="n">
        <f aca="false">G2012/F2012-1</f>
        <v>0.01</v>
      </c>
    </row>
    <row r="2014" customFormat="false" ht="15" hidden="false" customHeight="false" outlineLevel="0" collapsed="false">
      <c r="A2014" s="4" t="s">
        <v>548</v>
      </c>
      <c r="B2014" s="0" t="s">
        <v>35</v>
      </c>
      <c r="D2014" s="23" t="n">
        <f aca="false">fx_26</f>
        <v>31.6</v>
      </c>
      <c r="E2014" s="23" t="n">
        <f aca="false">fx</f>
        <v>32</v>
      </c>
      <c r="F2014" s="23" t="n">
        <f aca="false">fx</f>
        <v>32</v>
      </c>
      <c r="G2014" s="23" t="n">
        <f aca="false">fx</f>
        <v>32</v>
      </c>
    </row>
    <row r="2015" customFormat="false" ht="17.15" hidden="false" customHeight="false" outlineLevel="0" collapsed="false">
      <c r="A2015" s="0" t="s">
        <v>549</v>
      </c>
      <c r="B2015" s="0" t="s">
        <v>184</v>
      </c>
      <c r="D2015" s="23" t="n">
        <f aca="false">D2011*D2012*D2014/1000000</f>
        <v>58.65206</v>
      </c>
      <c r="E2015" s="23" t="n">
        <f aca="false">E2011*E2012*E2014/1000000</f>
        <v>68.5504327532552</v>
      </c>
      <c r="F2015" s="23" t="n">
        <f aca="false">F2011*F2012*F2014/1000000</f>
        <v>69.1854262356012</v>
      </c>
      <c r="G2015" s="23" t="n">
        <f aca="false">G2011*G2012*G2014/1000000</f>
        <v>69.1339051735108</v>
      </c>
    </row>
    <row r="2016" customFormat="false" ht="17.15" hidden="false" customHeight="false" outlineLevel="0" collapsed="false">
      <c r="A2016" s="6" t="s">
        <v>550</v>
      </c>
    </row>
    <row r="2017" customFormat="false" ht="17.15" hidden="false" customHeight="false" outlineLevel="0" collapsed="false">
      <c r="A2017" s="0" t="s">
        <v>551</v>
      </c>
      <c r="B2017" s="4" t="s">
        <v>42</v>
      </c>
      <c r="D2017" s="22" t="n">
        <f aca="false">0</f>
        <v>0</v>
      </c>
      <c r="E2017" s="22" t="n">
        <f aca="false">vcap27*vcap_adj</f>
        <v>144</v>
      </c>
      <c r="F2017" s="22" t="n">
        <f aca="false">vcap28*vcap_adj</f>
        <v>360</v>
      </c>
      <c r="G2017" s="22" t="n">
        <f aca="false">vcap29*vcap_adj</f>
        <v>504</v>
      </c>
    </row>
    <row r="2018" customFormat="false" ht="17.15" hidden="false" customHeight="false" outlineLevel="0" collapsed="false">
      <c r="A2018" s="0" t="s">
        <v>552</v>
      </c>
      <c r="B2018" s="0" t="s">
        <v>48</v>
      </c>
      <c r="E2018" s="20" t="n">
        <f aca="false">vut_A</f>
        <v>0.9</v>
      </c>
      <c r="F2018" s="20" t="n">
        <f aca="false">vut_A</f>
        <v>0.9</v>
      </c>
      <c r="G2018" s="20" t="n">
        <f aca="false">vut_A</f>
        <v>0.9</v>
      </c>
    </row>
    <row r="2019" customFormat="false" ht="17.15" hidden="false" customHeight="false" outlineLevel="0" collapsed="false">
      <c r="A2019" s="0" t="s">
        <v>553</v>
      </c>
      <c r="B2019" s="4" t="s">
        <v>42</v>
      </c>
      <c r="D2019" s="22" t="n">
        <f aca="false">0</f>
        <v>0</v>
      </c>
      <c r="E2019" s="22" t="n">
        <f aca="false">E2017*E2018</f>
        <v>129.6</v>
      </c>
      <c r="F2019" s="22" t="n">
        <f aca="false">F2017*F2018</f>
        <v>324</v>
      </c>
      <c r="G2019" s="22" t="n">
        <f aca="false">G2017*G2018</f>
        <v>453.6</v>
      </c>
    </row>
    <row r="2020" customFormat="false" ht="17.15" hidden="false" customHeight="false" outlineLevel="0" collapsed="false">
      <c r="A2020" s="0" t="s">
        <v>554</v>
      </c>
      <c r="B2020" s="0" t="s">
        <v>184</v>
      </c>
      <c r="D2020" s="23" t="n">
        <f aca="false">0</f>
        <v>0</v>
      </c>
      <c r="E2020" s="23" t="n">
        <f aca="false">E2019*vasp*E2014/1000000</f>
        <v>7.46496</v>
      </c>
      <c r="F2020" s="23" t="n">
        <f aca="false">F2019*vasp*F2014/1000000</f>
        <v>18.6624</v>
      </c>
      <c r="G2020" s="23" t="n">
        <f aca="false">G2019*vasp*G2014/1000000</f>
        <v>26.12736</v>
      </c>
    </row>
    <row r="2021" customFormat="false" ht="17.15" hidden="false" customHeight="false" outlineLevel="0" collapsed="false">
      <c r="A2021" s="4" t="s">
        <v>400</v>
      </c>
      <c r="B2021" s="0" t="s">
        <v>184</v>
      </c>
      <c r="C2021" s="23" t="n">
        <f aca="false">a25_rev</f>
        <v>48.591</v>
      </c>
      <c r="D2021" s="23" t="n">
        <f aca="false">D2015+D2020</f>
        <v>58.65206</v>
      </c>
      <c r="E2021" s="23" t="n">
        <f aca="false">E2015+E2020</f>
        <v>76.0153927532552</v>
      </c>
      <c r="F2021" s="23" t="n">
        <f aca="false">F2015+F2020</f>
        <v>87.8478262356012</v>
      </c>
      <c r="G2021" s="23" t="n">
        <f aca="false">G2015+G2020</f>
        <v>95.2612651735108</v>
      </c>
      <c r="H2021" s="29" t="n">
        <f aca="false">G2021*(1+H2024)</f>
        <v>102.525860976128</v>
      </c>
      <c r="I2021" s="29" t="n">
        <f aca="false">H2021*(1+I2024)</f>
        <v>109.51093266638</v>
      </c>
      <c r="J2021" s="29" t="n">
        <f aca="false">I2021*(1+J2024)</f>
        <v>116.081588626363</v>
      </c>
      <c r="K2021" s="8" t="s">
        <v>555</v>
      </c>
    </row>
    <row r="2022" customFormat="false" ht="17.15" hidden="false" customHeight="false" outlineLevel="0" collapsed="false">
      <c r="A2022" s="0" t="s">
        <v>556</v>
      </c>
      <c r="B2022" s="0" t="s">
        <v>48</v>
      </c>
      <c r="D2022" s="20" t="n">
        <f aca="false">D2020/D2021</f>
        <v>0</v>
      </c>
      <c r="E2022" s="20" t="n">
        <f aca="false">E2020/E2021</f>
        <v>0.0982032681753174</v>
      </c>
      <c r="F2022" s="20" t="n">
        <f aca="false">F2020/F2021</f>
        <v>0.212440088727396</v>
      </c>
      <c r="G2022" s="20" t="n">
        <f aca="false">G2020/G2021</f>
        <v>0.274270554274196</v>
      </c>
    </row>
    <row r="2023" customFormat="false" ht="17.15" hidden="false" customHeight="false" outlineLevel="0" collapsed="false">
      <c r="A2023" s="0" t="s">
        <v>557</v>
      </c>
      <c r="B2023" s="0" t="s">
        <v>48</v>
      </c>
      <c r="D2023" s="20" t="n">
        <f aca="false">ai_sh26</f>
        <v>0.1</v>
      </c>
      <c r="E2023" s="20" t="n">
        <f aca="false">ai_sh27_A</f>
        <v>0.25</v>
      </c>
      <c r="F2023" s="20" t="n">
        <f aca="false">ai_sh27_A</f>
        <v>0.25</v>
      </c>
      <c r="G2023" s="20" t="n">
        <f aca="false">ai_sh27_A</f>
        <v>0.25</v>
      </c>
    </row>
    <row r="2024" customFormat="false" ht="15" hidden="false" customHeight="false" outlineLevel="0" collapsed="false">
      <c r="A2024" s="4" t="s">
        <v>558</v>
      </c>
      <c r="B2024" s="0" t="s">
        <v>48</v>
      </c>
      <c r="D2024" s="20" t="n">
        <f aca="false">D2021/C2021-1</f>
        <v>0.207056039184211</v>
      </c>
      <c r="E2024" s="20" t="n">
        <f aca="false">E2021/D2021-1</f>
        <v>0.296039606337019</v>
      </c>
      <c r="F2024" s="20" t="n">
        <f aca="false">F2021/E2021-1</f>
        <v>0.155658387778826</v>
      </c>
      <c r="G2024" s="20" t="n">
        <f aca="false">G2021/F2021-1</f>
        <v>0.0843895547059683</v>
      </c>
      <c r="H2024" s="27" t="n">
        <f aca="false">$G2024+(fade_gA-$G2024)*1/3</f>
        <v>0.0762597031373122</v>
      </c>
      <c r="I2024" s="27" t="n">
        <f aca="false">$G2024+(fade_gA-$G2024)*2/3</f>
        <v>0.0681298515686561</v>
      </c>
      <c r="J2024" s="27" t="n">
        <f aca="false">$G2024+(fade_gA-$G2024)*3/3</f>
        <v>0.06</v>
      </c>
    </row>
    <row r="2025" customFormat="false" ht="17.15" hidden="false" customHeight="false" outlineLevel="0" collapsed="false">
      <c r="A2025" s="6" t="s">
        <v>559</v>
      </c>
    </row>
    <row r="2026" customFormat="false" ht="15" hidden="false" customHeight="false" outlineLevel="0" collapsed="false">
      <c r="A2026" s="4" t="s">
        <v>560</v>
      </c>
      <c r="B2026" s="0" t="s">
        <v>184</v>
      </c>
      <c r="D2026" s="23" t="n">
        <f aca="false">da_tot26*da_sh</f>
        <v>8.658</v>
      </c>
      <c r="E2026" s="23" t="n">
        <f aca="false">D2026*(1+dag_27+dag_adj)</f>
        <v>8.91774</v>
      </c>
      <c r="F2026" s="23" t="n">
        <f aca="false">E2026*(1+dag_28+dag_adj)</f>
        <v>9.0960948</v>
      </c>
      <c r="G2026" s="23" t="n">
        <f aca="false">F2026*(1+dag_29+dag_adj)</f>
        <v>9.0960948</v>
      </c>
    </row>
    <row r="2027" customFormat="false" ht="17.15" hidden="false" customHeight="false" outlineLevel="0" collapsed="false">
      <c r="A2027" s="4" t="s">
        <v>561</v>
      </c>
      <c r="B2027" s="0" t="s">
        <v>562</v>
      </c>
      <c r="D2027" s="23" t="n">
        <f aca="false">(D2015-a26_gp-D2026)/D2011*1000</f>
        <v>10.7339918911001</v>
      </c>
      <c r="E2027" s="23" t="n">
        <f aca="false">D2027*(1+cc_g)</f>
        <v>10.9486717289221</v>
      </c>
      <c r="F2027" s="23" t="n">
        <f aca="false">E2027*(1+cc_g)</f>
        <v>11.1676451635006</v>
      </c>
      <c r="G2027" s="23" t="n">
        <f aca="false">F2027*(1+cc_g)</f>
        <v>11.3909980667706</v>
      </c>
      <c r="K2027" s="8" t="s">
        <v>563</v>
      </c>
    </row>
    <row r="2028" customFormat="false" ht="17.15" hidden="false" customHeight="false" outlineLevel="0" collapsed="false">
      <c r="A2028" s="4" t="s">
        <v>564</v>
      </c>
      <c r="B2028" s="0" t="s">
        <v>184</v>
      </c>
      <c r="D2028" s="23" t="n">
        <f aca="false">D2027*D2011/1000</f>
        <v>30.9620386</v>
      </c>
      <c r="E2028" s="23" t="n">
        <f aca="false">E2027*E2011/1000</f>
        <v>34.3864932990258</v>
      </c>
      <c r="F2028" s="23" t="n">
        <f aca="false">F2027*F2011/1000</f>
        <v>34.705020815901</v>
      </c>
      <c r="G2028" s="23" t="n">
        <f aca="false">G2027*G2011/1000</f>
        <v>35.0225348361316</v>
      </c>
    </row>
    <row r="2029" customFormat="false" ht="17.15" hidden="false" customHeight="false" outlineLevel="0" collapsed="false">
      <c r="A2029" s="0" t="s">
        <v>565</v>
      </c>
      <c r="B2029" s="0" t="s">
        <v>48</v>
      </c>
      <c r="E2029" s="20" t="n">
        <f aca="false">vgm27_A</f>
        <v>0.05</v>
      </c>
      <c r="F2029" s="20" t="n">
        <f aca="false">vgm28_A</f>
        <v>0.2</v>
      </c>
      <c r="G2029" s="20" t="n">
        <f aca="false">vgm29_A</f>
        <v>0.25</v>
      </c>
    </row>
    <row r="2030" customFormat="false" ht="17.15" hidden="false" customHeight="false" outlineLevel="0" collapsed="false">
      <c r="A2030" s="0" t="s">
        <v>566</v>
      </c>
      <c r="B2030" s="0" t="s">
        <v>184</v>
      </c>
      <c r="D2030" s="23" t="n">
        <f aca="false">0</f>
        <v>0</v>
      </c>
      <c r="E2030" s="23" t="n">
        <f aca="false">E2020*E2029</f>
        <v>0.373248</v>
      </c>
      <c r="F2030" s="23" t="n">
        <f aca="false">F2020*F2029</f>
        <v>3.73248</v>
      </c>
      <c r="G2030" s="23" t="n">
        <f aca="false">G2020*G2029</f>
        <v>6.53184</v>
      </c>
    </row>
    <row r="2031" customFormat="false" ht="15" hidden="false" customHeight="false" outlineLevel="0" collapsed="false">
      <c r="A2031" s="4" t="s">
        <v>417</v>
      </c>
      <c r="B2031" s="0" t="s">
        <v>184</v>
      </c>
      <c r="C2031" s="23" t="n">
        <f aca="false">a25_gp</f>
        <v>13.654</v>
      </c>
      <c r="D2031" s="23" t="n">
        <f aca="false">D2015-D2026-D2028+D2030</f>
        <v>19.0320214</v>
      </c>
      <c r="E2031" s="23" t="n">
        <f aca="false">E2015-E2026-E2028+E2030</f>
        <v>25.6194474542294</v>
      </c>
      <c r="F2031" s="23" t="n">
        <f aca="false">F2015-F2026-F2028+F2030</f>
        <v>29.1167906197002</v>
      </c>
      <c r="G2031" s="23" t="n">
        <f aca="false">G2015-G2026-G2028+G2030</f>
        <v>31.5471155373793</v>
      </c>
    </row>
    <row r="2032" customFormat="false" ht="15" hidden="false" customHeight="false" outlineLevel="0" collapsed="false">
      <c r="A2032" s="4" t="s">
        <v>420</v>
      </c>
      <c r="B2032" s="0" t="s">
        <v>48</v>
      </c>
      <c r="C2032" s="16" t="n">
        <f aca="false">C2031/C2021</f>
        <v>0.280998538824062</v>
      </c>
      <c r="D2032" s="16" t="n">
        <f aca="false">D2031/D2021</f>
        <v>0.324490246378388</v>
      </c>
      <c r="E2032" s="16" t="n">
        <f aca="false">E2031/E2021</f>
        <v>0.33702973208847</v>
      </c>
      <c r="F2032" s="16" t="n">
        <f aca="false">F2031/F2021</f>
        <v>0.331445772392947</v>
      </c>
      <c r="G2032" s="16" t="n">
        <f aca="false">G2031/G2021</f>
        <v>0.331164146097773</v>
      </c>
    </row>
    <row r="2033" customFormat="false" ht="15" hidden="false" customHeight="false" outlineLevel="0" collapsed="false">
      <c r="A2033" s="4" t="s">
        <v>422</v>
      </c>
      <c r="B2033" s="0" t="s">
        <v>184</v>
      </c>
      <c r="C2033" s="23" t="n">
        <f aca="false">a25_opx</f>
        <v>5.881</v>
      </c>
      <c r="D2033" s="23" t="n">
        <f aca="false">a26_opx</f>
        <v>6.824187</v>
      </c>
      <c r="E2033" s="23" t="n">
        <f aca="false">D2033*(1+MAX(g_opx_min,phi*E2024))</f>
        <v>7.8343018165251</v>
      </c>
      <c r="F2033" s="23" t="n">
        <f aca="false">E2033*(1+MAX(g_opx_min,phi*F2024))</f>
        <v>8.44403921159161</v>
      </c>
      <c r="G2033" s="23" t="n">
        <f aca="false">F2033*(1+MAX(g_opx_min,phi*G2024))</f>
        <v>8.80033356608459</v>
      </c>
    </row>
    <row r="2034" customFormat="false" ht="15" hidden="false" customHeight="false" outlineLevel="0" collapsed="false">
      <c r="A2034" s="4" t="s">
        <v>425</v>
      </c>
      <c r="B2034" s="0" t="s">
        <v>184</v>
      </c>
      <c r="C2034" s="23" t="n">
        <f aca="false">C2031-C2033</f>
        <v>7.773</v>
      </c>
      <c r="D2034" s="23" t="n">
        <f aca="false">D2031-D2033</f>
        <v>12.2078344</v>
      </c>
      <c r="E2034" s="23" t="n">
        <f aca="false">E2031-E2033</f>
        <v>17.7851456377043</v>
      </c>
      <c r="F2034" s="23" t="n">
        <f aca="false">F2031-F2033</f>
        <v>20.6727514081086</v>
      </c>
      <c r="G2034" s="23" t="n">
        <f aca="false">G2031-G2033</f>
        <v>22.7467819712947</v>
      </c>
    </row>
    <row r="2035" customFormat="false" ht="15" hidden="false" customHeight="false" outlineLevel="0" collapsed="false">
      <c r="A2035" s="4" t="s">
        <v>531</v>
      </c>
      <c r="B2035" s="0" t="s">
        <v>48</v>
      </c>
      <c r="C2035" s="16" t="n">
        <f aca="false">C2034/C2021</f>
        <v>0.159967895289251</v>
      </c>
      <c r="D2035" s="16" t="n">
        <f aca="false">D2034/D2021</f>
        <v>0.208139908470393</v>
      </c>
      <c r="E2035" s="16" t="n">
        <f aca="false">E2034/E2021</f>
        <v>0.233967687247695</v>
      </c>
      <c r="F2035" s="16" t="n">
        <f aca="false">F2034/F2021</f>
        <v>0.235324564009881</v>
      </c>
      <c r="G2035" s="16" t="n">
        <f aca="false">G2034/G2021</f>
        <v>0.238783118509535</v>
      </c>
    </row>
    <row r="2036" customFormat="false" ht="15" hidden="false" customHeight="false" outlineLevel="0" collapsed="false">
      <c r="A2036" s="4" t="s">
        <v>428</v>
      </c>
      <c r="B2036" s="0" t="s">
        <v>184</v>
      </c>
      <c r="C2036" s="23" t="n">
        <f aca="false">a25_nonop</f>
        <v>1.479</v>
      </c>
      <c r="D2036" s="23" t="n">
        <f aca="false">a26_nonop</f>
        <v>2.10950832169955</v>
      </c>
      <c r="E2036" s="23" t="n">
        <f aca="false">nonop_f</f>
        <v>1.5</v>
      </c>
      <c r="F2036" s="23" t="n">
        <f aca="false">nonop_f</f>
        <v>1.5</v>
      </c>
      <c r="G2036" s="23" t="n">
        <f aca="false">nonop_f</f>
        <v>1.5</v>
      </c>
    </row>
    <row r="2037" customFormat="false" ht="15" hidden="false" customHeight="false" outlineLevel="0" collapsed="false">
      <c r="A2037" s="4" t="s">
        <v>430</v>
      </c>
      <c r="B2037" s="0" t="s">
        <v>184</v>
      </c>
      <c r="C2037" s="23" t="n">
        <f aca="false">C2034+C2036</f>
        <v>9.252</v>
      </c>
      <c r="D2037" s="23" t="n">
        <f aca="false">D2034+D2036</f>
        <v>14.3173427216995</v>
      </c>
      <c r="E2037" s="23" t="n">
        <f aca="false">E2034+E2036</f>
        <v>19.2851456377043</v>
      </c>
      <c r="F2037" s="23" t="n">
        <f aca="false">F2034+F2036</f>
        <v>22.1727514081086</v>
      </c>
      <c r="G2037" s="23" t="n">
        <f aca="false">G2034+G2036</f>
        <v>24.2467819712947</v>
      </c>
    </row>
    <row r="2038" customFormat="false" ht="15" hidden="false" customHeight="false" outlineLevel="0" collapsed="false">
      <c r="A2038" s="4" t="s">
        <v>432</v>
      </c>
      <c r="B2038" s="0" t="s">
        <v>184</v>
      </c>
      <c r="C2038" s="23" t="n">
        <f aca="false">a25_tax</f>
        <v>1.344</v>
      </c>
      <c r="D2038" s="23" t="n">
        <f aca="false">a26_tax</f>
        <v>2.0798215108046</v>
      </c>
      <c r="E2038" s="23" t="n">
        <f aca="false">E2037*tax_lo</f>
        <v>2.31421747652452</v>
      </c>
      <c r="F2038" s="23" t="n">
        <f aca="false">F2037*tax_lo</f>
        <v>2.66073016897303</v>
      </c>
      <c r="G2038" s="23" t="n">
        <f aca="false">G2037*tax_lo</f>
        <v>2.90961383655536</v>
      </c>
    </row>
    <row r="2039" customFormat="false" ht="17.15" hidden="false" customHeight="false" outlineLevel="0" collapsed="false">
      <c r="A2039" s="4" t="s">
        <v>567</v>
      </c>
      <c r="B2039" s="0" t="s">
        <v>184</v>
      </c>
      <c r="C2039" s="23" t="n">
        <f aca="false">a25_mi</f>
        <v>0</v>
      </c>
      <c r="D2039" s="23" t="n">
        <f aca="false">a26_mi</f>
        <v>0</v>
      </c>
      <c r="E2039" s="23" t="n">
        <f aca="false">vmi*E2030*(1-tax_lo)</f>
        <v>0.131383296</v>
      </c>
      <c r="F2039" s="23" t="n">
        <f aca="false">vmi*F2030*(1-tax_lo)</f>
        <v>1.31383296</v>
      </c>
      <c r="G2039" s="23" t="n">
        <f aca="false">vmi*G2030*(1-tax_lo)</f>
        <v>2.29920768</v>
      </c>
      <c r="K2039" s="8" t="s">
        <v>568</v>
      </c>
    </row>
    <row r="2040" customFormat="false" ht="15" hidden="false" customHeight="false" outlineLevel="0" collapsed="false">
      <c r="A2040" s="4" t="s">
        <v>435</v>
      </c>
      <c r="B2040" s="0" t="s">
        <v>184</v>
      </c>
      <c r="C2040" s="23" t="n">
        <f aca="false">C2037-C2038-C2039</f>
        <v>7.908</v>
      </c>
      <c r="D2040" s="23" t="n">
        <f aca="false">D2037-D2038-D2039</f>
        <v>12.2375212108949</v>
      </c>
      <c r="E2040" s="23" t="n">
        <f aca="false">E2037-E2038-E2039</f>
        <v>16.8395448651798</v>
      </c>
      <c r="F2040" s="23" t="n">
        <f aca="false">F2037-F2038-F2039</f>
        <v>18.1981882791356</v>
      </c>
      <c r="G2040" s="23" t="n">
        <f aca="false">G2037-G2038-G2039</f>
        <v>19.0379604547393</v>
      </c>
      <c r="H2040" s="29" t="n">
        <f aca="false">H2021*H2044</f>
        <v>20.4897896673576</v>
      </c>
      <c r="I2040" s="29" t="n">
        <f aca="false">I2021*I2044</f>
        <v>21.8857559960677</v>
      </c>
      <c r="J2040" s="29" t="n">
        <f aca="false">J2021*J2044</f>
        <v>23.1989013558318</v>
      </c>
    </row>
    <row r="2041" customFormat="false" ht="15" hidden="false" customHeight="false" outlineLevel="0" collapsed="false">
      <c r="A2041" s="4" t="s">
        <v>569</v>
      </c>
      <c r="B2041" s="4" t="s">
        <v>265</v>
      </c>
      <c r="C2041" s="10" t="n">
        <f aca="false">a25_sh</f>
        <v>1.8739336492891</v>
      </c>
      <c r="D2041" s="10" t="n">
        <f aca="false">a26_sh</f>
        <v>1.90613591916558</v>
      </c>
      <c r="E2041" s="10" t="n">
        <f aca="false">q_sh*(1+sh_g)</f>
        <v>1.90705128205128</v>
      </c>
      <c r="F2041" s="10" t="n">
        <f aca="false">E2041*(1+sh_g)</f>
        <v>1.90705128205128</v>
      </c>
      <c r="G2041" s="10" t="n">
        <f aca="false">F2041*(1+sh_g)</f>
        <v>1.90705128205128</v>
      </c>
      <c r="H2041" s="31" t="n">
        <f aca="false">G2041*(1+sh_g)</f>
        <v>1.90705128205128</v>
      </c>
      <c r="I2041" s="31" t="n">
        <f aca="false">H2041*(1+sh_g)</f>
        <v>1.90705128205128</v>
      </c>
      <c r="J2041" s="31" t="n">
        <f aca="false">I2041*(1+sh_g)</f>
        <v>1.90705128205128</v>
      </c>
    </row>
    <row r="2042" customFormat="false" ht="17.15" hidden="false" customHeight="false" outlineLevel="0" collapsed="false">
      <c r="A2042" s="0" t="s">
        <v>442</v>
      </c>
      <c r="B2042" s="0" t="s">
        <v>274</v>
      </c>
      <c r="C2042" s="23" t="n">
        <f aca="false">C2040/C2041</f>
        <v>4.22</v>
      </c>
      <c r="D2042" s="23" t="n">
        <f aca="false">D2040/D2041</f>
        <v>6.42006747150118</v>
      </c>
      <c r="E2042" s="23" t="n">
        <f aca="false">E2040/E2041</f>
        <v>8.83014789569093</v>
      </c>
      <c r="F2042" s="23" t="n">
        <f aca="false">F2040/F2041</f>
        <v>9.54257940015176</v>
      </c>
      <c r="G2042" s="23" t="n">
        <f aca="false">G2040/G2041</f>
        <v>9.98293052416583</v>
      </c>
      <c r="H2042" s="29" t="n">
        <f aca="false">H2040/H2041</f>
        <v>10.7442258423791</v>
      </c>
      <c r="I2042" s="29" t="n">
        <f aca="false">I2040/I2041</f>
        <v>11.4762283542405</v>
      </c>
      <c r="J2042" s="29" t="n">
        <f aca="false">J2040/J2041</f>
        <v>12.164802055495</v>
      </c>
    </row>
    <row r="2043" customFormat="false" ht="17.15" hidden="false" customHeight="false" outlineLevel="0" collapsed="false">
      <c r="A2043" s="0" t="s">
        <v>570</v>
      </c>
      <c r="B2043" s="0" t="s">
        <v>48</v>
      </c>
      <c r="D2043" s="20" t="n">
        <f aca="false">D2042/C2042-1</f>
        <v>0.521343002725398</v>
      </c>
      <c r="E2043" s="20" t="n">
        <f aca="false">E2042/D2042-1</f>
        <v>0.375397989956983</v>
      </c>
      <c r="F2043" s="20" t="n">
        <f aca="false">F2042/E2042-1</f>
        <v>0.080681718231298</v>
      </c>
      <c r="G2043" s="20" t="n">
        <f aca="false">G2042/F2042-1</f>
        <v>0.0461459219304035</v>
      </c>
      <c r="H2043" s="27" t="n">
        <f aca="false">H2042/G2042-1</f>
        <v>0.0762597031373122</v>
      </c>
      <c r="I2043" s="27" t="n">
        <f aca="false">I2042/H2042-1</f>
        <v>0.0681298515686561</v>
      </c>
      <c r="J2043" s="27" t="n">
        <f aca="false">J2042/I2042-1</f>
        <v>0.0600000000000001</v>
      </c>
    </row>
    <row r="2044" customFormat="false" ht="17.15" hidden="false" customHeight="false" outlineLevel="0" collapsed="false">
      <c r="A2044" s="4" t="s">
        <v>571</v>
      </c>
      <c r="B2044" s="0" t="s">
        <v>48</v>
      </c>
      <c r="C2044" s="16" t="n">
        <f aca="false">C2040/C2021</f>
        <v>0.162746187565599</v>
      </c>
      <c r="D2044" s="16" t="n">
        <f aca="false">D2040/D2021</f>
        <v>0.208646059676249</v>
      </c>
      <c r="E2044" s="16" t="n">
        <f aca="false">E2040/E2021</f>
        <v>0.221528091288573</v>
      </c>
      <c r="F2044" s="16" t="n">
        <f aca="false">F2040/F2021</f>
        <v>0.20715581772427</v>
      </c>
      <c r="G2044" s="16" t="n">
        <f aca="false">G2040/G2021</f>
        <v>0.199849964411697</v>
      </c>
      <c r="H2044" s="28" t="n">
        <f aca="false">$G2044+($G$2044*1-$G2044)*1/3</f>
        <v>0.199849964411697</v>
      </c>
      <c r="I2044" s="28" t="n">
        <f aca="false">$G2044+($G$2044*1-$G2044)*2/3</f>
        <v>0.199849964411697</v>
      </c>
      <c r="J2044" s="28" t="n">
        <f aca="false">$G2044+($G$2044*1-$G2044)*3/3</f>
        <v>0.199849964411697</v>
      </c>
    </row>
    <row r="2047" customFormat="false" ht="17.15" hidden="false" customHeight="false" outlineLevel="0" collapsed="false">
      <c r="A2047" s="1" t="s">
        <v>894</v>
      </c>
    </row>
    <row r="2048" customFormat="false" ht="17.15" hidden="false" customHeight="false" outlineLevel="0" collapsed="false">
      <c r="A2048" s="5" t="s">
        <v>24</v>
      </c>
      <c r="B2048" s="5" t="s">
        <v>25</v>
      </c>
      <c r="C2048" s="17" t="s">
        <v>394</v>
      </c>
      <c r="D2048" s="17" t="s">
        <v>521</v>
      </c>
      <c r="E2048" s="17" t="s">
        <v>480</v>
      </c>
      <c r="F2048" s="17" t="s">
        <v>481</v>
      </c>
      <c r="G2048" s="17" t="s">
        <v>482</v>
      </c>
      <c r="H2048" s="17" t="s">
        <v>522</v>
      </c>
      <c r="I2048" s="17" t="s">
        <v>523</v>
      </c>
      <c r="J2048" s="17" t="s">
        <v>524</v>
      </c>
      <c r="K2048" s="5" t="s">
        <v>357</v>
      </c>
    </row>
    <row r="2049" customFormat="false" ht="17.15" hidden="false" customHeight="false" outlineLevel="0" collapsed="false">
      <c r="A2049" s="6" t="s">
        <v>542</v>
      </c>
    </row>
    <row r="2050" customFormat="false" ht="17.15" hidden="false" customHeight="false" outlineLevel="0" collapsed="false">
      <c r="A2050" s="4" t="s">
        <v>543</v>
      </c>
      <c r="B2050" s="4" t="s">
        <v>42</v>
      </c>
      <c r="D2050" s="22" t="n">
        <f aca="false">cap_26</f>
        <v>3306</v>
      </c>
      <c r="E2050" s="22" t="n">
        <f aca="false">D2050*(1+capg27)*cap_adj</f>
        <v>3306</v>
      </c>
      <c r="F2050" s="22" t="n">
        <f aca="false">E2050*(1+capg28)</f>
        <v>3306</v>
      </c>
      <c r="G2050" s="22" t="n">
        <f aca="false">F2050*(1+capg29)</f>
        <v>3306</v>
      </c>
    </row>
    <row r="2051" customFormat="false" ht="15" hidden="false" customHeight="false" outlineLevel="0" collapsed="false">
      <c r="A2051" s="4" t="s">
        <v>544</v>
      </c>
      <c r="B2051" s="0" t="s">
        <v>48</v>
      </c>
      <c r="D2051" s="20" t="n">
        <f aca="false">a26_ship/cap_26</f>
        <v>0.8725</v>
      </c>
      <c r="E2051" s="20" t="n">
        <f aca="false">MIN(0.98,ut27_B+ut_adj)</f>
        <v>0.9</v>
      </c>
      <c r="F2051" s="20" t="n">
        <f aca="false">MIN(0.98,ut28_B+ut_adj)</f>
        <v>0.86</v>
      </c>
      <c r="G2051" s="20" t="n">
        <f aca="false">MIN(0.98,ut29_B+ut_adj)</f>
        <v>0.87</v>
      </c>
    </row>
    <row r="2052" customFormat="false" ht="17.15" hidden="false" customHeight="false" outlineLevel="0" collapsed="false">
      <c r="A2052" s="4" t="s">
        <v>545</v>
      </c>
      <c r="B2052" s="4" t="s">
        <v>42</v>
      </c>
      <c r="D2052" s="22" t="n">
        <f aca="false">D2050*D2051</f>
        <v>2884.485</v>
      </c>
      <c r="E2052" s="22" t="n">
        <f aca="false">E2050*E2051</f>
        <v>2975.4</v>
      </c>
      <c r="F2052" s="22" t="n">
        <f aca="false">F2050*F2051</f>
        <v>2843.16</v>
      </c>
      <c r="G2052" s="22" t="n">
        <f aca="false">G2050*G2051</f>
        <v>2876.22</v>
      </c>
    </row>
    <row r="2053" customFormat="false" ht="17.15" hidden="false" customHeight="false" outlineLevel="0" collapsed="false">
      <c r="A2053" s="4" t="s">
        <v>546</v>
      </c>
      <c r="B2053" s="0" t="s">
        <v>89</v>
      </c>
      <c r="D2053" s="22" t="n">
        <f aca="false">asp_26</f>
        <v>643.469405492234</v>
      </c>
      <c r="E2053" s="22" t="n">
        <f aca="false">D2053*(1+asp27_B)*(1+asp_adj)</f>
        <v>662.773487657001</v>
      </c>
      <c r="F2053" s="22" t="n">
        <f aca="false">E2053*(1+asp28_B)</f>
        <v>662.773487657001</v>
      </c>
      <c r="G2053" s="22" t="n">
        <f aca="false">F2053*(1+asp29_B)</f>
        <v>662.773487657001</v>
      </c>
    </row>
    <row r="2054" customFormat="false" ht="15" hidden="false" customHeight="false" outlineLevel="0" collapsed="false">
      <c r="A2054" s="4" t="s">
        <v>547</v>
      </c>
      <c r="B2054" s="0" t="s">
        <v>48</v>
      </c>
      <c r="E2054" s="20" t="n">
        <f aca="false">E2053/D2053-1</f>
        <v>0.03</v>
      </c>
      <c r="F2054" s="20" t="n">
        <f aca="false">F2053/E2053-1</f>
        <v>0</v>
      </c>
      <c r="G2054" s="20" t="n">
        <f aca="false">G2053/F2053-1</f>
        <v>0</v>
      </c>
    </row>
    <row r="2055" customFormat="false" ht="15" hidden="false" customHeight="false" outlineLevel="0" collapsed="false">
      <c r="A2055" s="4" t="s">
        <v>548</v>
      </c>
      <c r="B2055" s="0" t="s">
        <v>35</v>
      </c>
      <c r="D2055" s="23" t="n">
        <f aca="false">fx_26</f>
        <v>31.6</v>
      </c>
      <c r="E2055" s="23" t="n">
        <f aca="false">fx</f>
        <v>32</v>
      </c>
      <c r="F2055" s="23" t="n">
        <f aca="false">fx</f>
        <v>32</v>
      </c>
      <c r="G2055" s="23" t="n">
        <f aca="false">fx</f>
        <v>32</v>
      </c>
    </row>
    <row r="2056" customFormat="false" ht="17.15" hidden="false" customHeight="false" outlineLevel="0" collapsed="false">
      <c r="A2056" s="0" t="s">
        <v>549</v>
      </c>
      <c r="B2056" s="0" t="s">
        <v>184</v>
      </c>
      <c r="D2056" s="23" t="n">
        <f aca="false">D2052*D2053*D2055/1000000</f>
        <v>58.65206</v>
      </c>
      <c r="E2056" s="23" t="n">
        <f aca="false">E2052*E2053*E2055/1000000</f>
        <v>63.1045195255885</v>
      </c>
      <c r="F2056" s="23" t="n">
        <f aca="false">F2052*F2053*F2055/1000000</f>
        <v>60.2998742133401</v>
      </c>
      <c r="G2056" s="23" t="n">
        <f aca="false">G2052*G2053*G2055/1000000</f>
        <v>61.0010355414022</v>
      </c>
    </row>
    <row r="2057" customFormat="false" ht="17.15" hidden="false" customHeight="false" outlineLevel="0" collapsed="false">
      <c r="A2057" s="6" t="s">
        <v>550</v>
      </c>
    </row>
    <row r="2058" customFormat="false" ht="17.15" hidden="false" customHeight="false" outlineLevel="0" collapsed="false">
      <c r="A2058" s="0" t="s">
        <v>551</v>
      </c>
      <c r="B2058" s="4" t="s">
        <v>42</v>
      </c>
      <c r="D2058" s="22" t="n">
        <f aca="false">0</f>
        <v>0</v>
      </c>
      <c r="E2058" s="22" t="n">
        <f aca="false">vcap27*vcap_adj</f>
        <v>144</v>
      </c>
      <c r="F2058" s="22" t="n">
        <f aca="false">vcap28*vcap_adj</f>
        <v>360</v>
      </c>
      <c r="G2058" s="22" t="n">
        <f aca="false">vcap29*vcap_adj</f>
        <v>504</v>
      </c>
    </row>
    <row r="2059" customFormat="false" ht="17.15" hidden="false" customHeight="false" outlineLevel="0" collapsed="false">
      <c r="A2059" s="0" t="s">
        <v>552</v>
      </c>
      <c r="B2059" s="0" t="s">
        <v>48</v>
      </c>
      <c r="E2059" s="20" t="n">
        <f aca="false">vut_B</f>
        <v>0.8</v>
      </c>
      <c r="F2059" s="20" t="n">
        <f aca="false">vut_B</f>
        <v>0.8</v>
      </c>
      <c r="G2059" s="20" t="n">
        <f aca="false">vut_B</f>
        <v>0.8</v>
      </c>
    </row>
    <row r="2060" customFormat="false" ht="17.15" hidden="false" customHeight="false" outlineLevel="0" collapsed="false">
      <c r="A2060" s="0" t="s">
        <v>553</v>
      </c>
      <c r="B2060" s="4" t="s">
        <v>42</v>
      </c>
      <c r="D2060" s="22" t="n">
        <f aca="false">0</f>
        <v>0</v>
      </c>
      <c r="E2060" s="22" t="n">
        <f aca="false">E2058*E2059</f>
        <v>115.2</v>
      </c>
      <c r="F2060" s="22" t="n">
        <f aca="false">F2058*F2059</f>
        <v>288</v>
      </c>
      <c r="G2060" s="22" t="n">
        <f aca="false">G2058*G2059</f>
        <v>403.2</v>
      </c>
    </row>
    <row r="2061" customFormat="false" ht="17.15" hidden="false" customHeight="false" outlineLevel="0" collapsed="false">
      <c r="A2061" s="0" t="s">
        <v>554</v>
      </c>
      <c r="B2061" s="0" t="s">
        <v>184</v>
      </c>
      <c r="D2061" s="23" t="n">
        <f aca="false">0</f>
        <v>0</v>
      </c>
      <c r="E2061" s="23" t="n">
        <f aca="false">E2060*vasp*E2055/1000000</f>
        <v>6.63552</v>
      </c>
      <c r="F2061" s="23" t="n">
        <f aca="false">F2060*vasp*F2055/1000000</f>
        <v>16.5888</v>
      </c>
      <c r="G2061" s="23" t="n">
        <f aca="false">G2060*vasp*G2055/1000000</f>
        <v>23.22432</v>
      </c>
    </row>
    <row r="2062" customFormat="false" ht="17.15" hidden="false" customHeight="false" outlineLevel="0" collapsed="false">
      <c r="A2062" s="4" t="s">
        <v>400</v>
      </c>
      <c r="B2062" s="0" t="s">
        <v>184</v>
      </c>
      <c r="C2062" s="23" t="n">
        <f aca="false">a25_rev</f>
        <v>48.591</v>
      </c>
      <c r="D2062" s="23" t="n">
        <f aca="false">D2056+D2061</f>
        <v>58.65206</v>
      </c>
      <c r="E2062" s="23" t="n">
        <f aca="false">E2056+E2061</f>
        <v>69.7400395255885</v>
      </c>
      <c r="F2062" s="23" t="n">
        <f aca="false">F2056+F2061</f>
        <v>76.8886742133401</v>
      </c>
      <c r="G2062" s="23" t="n">
        <f aca="false">G2056+G2061</f>
        <v>84.2253555414022</v>
      </c>
      <c r="H2062" s="29" t="n">
        <f aca="false">G2062*(1+H2065)</f>
        <v>90.7061896343453</v>
      </c>
      <c r="I2062" s="29" t="n">
        <f aca="false">H2062*(1+I2065)</f>
        <v>96.0100687533499</v>
      </c>
      <c r="J2062" s="29" t="n">
        <f aca="false">I2062*(1+J2065)</f>
        <v>99.8504715034839</v>
      </c>
      <c r="K2062" s="8" t="s">
        <v>555</v>
      </c>
    </row>
    <row r="2063" customFormat="false" ht="17.15" hidden="false" customHeight="false" outlineLevel="0" collapsed="false">
      <c r="A2063" s="0" t="s">
        <v>556</v>
      </c>
      <c r="B2063" s="0" t="s">
        <v>48</v>
      </c>
      <c r="D2063" s="20" t="n">
        <f aca="false">D2061/D2062</f>
        <v>0</v>
      </c>
      <c r="E2063" s="20" t="n">
        <f aca="false">E2061/E2062</f>
        <v>0.0951464903825491</v>
      </c>
      <c r="F2063" s="20" t="n">
        <f aca="false">F2061/F2062</f>
        <v>0.215750891398799</v>
      </c>
      <c r="G2063" s="20" t="n">
        <f aca="false">G2061/G2062</f>
        <v>0.275740242955505</v>
      </c>
    </row>
    <row r="2064" customFormat="false" ht="17.15" hidden="false" customHeight="false" outlineLevel="0" collapsed="false">
      <c r="A2064" s="0" t="s">
        <v>557</v>
      </c>
      <c r="B2064" s="0" t="s">
        <v>48</v>
      </c>
      <c r="D2064" s="20" t="n">
        <f aca="false">ai_sh26</f>
        <v>0.1</v>
      </c>
      <c r="E2064" s="20" t="n">
        <f aca="false">ai_sh27_B</f>
        <v>0.2</v>
      </c>
      <c r="F2064" s="20" t="n">
        <f aca="false">ai_sh27_B</f>
        <v>0.2</v>
      </c>
      <c r="G2064" s="20" t="n">
        <f aca="false">ai_sh27_B</f>
        <v>0.2</v>
      </c>
    </row>
    <row r="2065" customFormat="false" ht="15" hidden="false" customHeight="false" outlineLevel="0" collapsed="false">
      <c r="A2065" s="4" t="s">
        <v>558</v>
      </c>
      <c r="B2065" s="0" t="s">
        <v>48</v>
      </c>
      <c r="D2065" s="20" t="n">
        <f aca="false">D2062/C2062-1</f>
        <v>0.207056039184211</v>
      </c>
      <c r="E2065" s="20" t="n">
        <f aca="false">E2062/D2062-1</f>
        <v>0.189046719340949</v>
      </c>
      <c r="F2065" s="20" t="n">
        <f aca="false">F2062/E2062-1</f>
        <v>0.10250402403527</v>
      </c>
      <c r="G2065" s="20" t="n">
        <f aca="false">G2062/F2062-1</f>
        <v>0.095419532240929</v>
      </c>
      <c r="H2065" s="27" t="n">
        <f aca="false">$G2065+(fade_gB-$G2065)*1/3</f>
        <v>0.076946354827286</v>
      </c>
      <c r="I2065" s="27" t="n">
        <f aca="false">$G2065+(fade_gB-$G2065)*2/3</f>
        <v>0.058473177413643</v>
      </c>
      <c r="J2065" s="27" t="n">
        <f aca="false">$G2065+(fade_gB-$G2065)*3/3</f>
        <v>0.04</v>
      </c>
    </row>
    <row r="2066" customFormat="false" ht="17.15" hidden="false" customHeight="false" outlineLevel="0" collapsed="false">
      <c r="A2066" s="6" t="s">
        <v>559</v>
      </c>
    </row>
    <row r="2067" customFormat="false" ht="15" hidden="false" customHeight="false" outlineLevel="0" collapsed="false">
      <c r="A2067" s="4" t="s">
        <v>560</v>
      </c>
      <c r="B2067" s="0" t="s">
        <v>184</v>
      </c>
      <c r="D2067" s="23" t="n">
        <f aca="false">da_tot26*da_sh</f>
        <v>8.658</v>
      </c>
      <c r="E2067" s="23" t="n">
        <f aca="false">D2067*(1+dag_27+dag_adj)</f>
        <v>8.91774</v>
      </c>
      <c r="F2067" s="23" t="n">
        <f aca="false">E2067*(1+dag_28+dag_adj)</f>
        <v>9.0960948</v>
      </c>
      <c r="G2067" s="23" t="n">
        <f aca="false">F2067*(1+dag_29+dag_adj)</f>
        <v>9.0960948</v>
      </c>
    </row>
    <row r="2068" customFormat="false" ht="17.15" hidden="false" customHeight="false" outlineLevel="0" collapsed="false">
      <c r="A2068" s="4" t="s">
        <v>561</v>
      </c>
      <c r="B2068" s="0" t="s">
        <v>562</v>
      </c>
      <c r="D2068" s="23" t="n">
        <f aca="false">(D2056-a26_gp-D2067)/D2052*1000</f>
        <v>10.7339918911001</v>
      </c>
      <c r="E2068" s="23" t="n">
        <f aca="false">D2068*(1+cc_g)</f>
        <v>10.9486717289221</v>
      </c>
      <c r="F2068" s="23" t="n">
        <f aca="false">E2068*(1+cc_g)</f>
        <v>11.1676451635006</v>
      </c>
      <c r="G2068" s="23" t="n">
        <f aca="false">F2068*(1+cc_g)</f>
        <v>11.3909980667706</v>
      </c>
      <c r="K2068" s="8" t="s">
        <v>563</v>
      </c>
    </row>
    <row r="2069" customFormat="false" ht="17.15" hidden="false" customHeight="false" outlineLevel="0" collapsed="false">
      <c r="A2069" s="4" t="s">
        <v>564</v>
      </c>
      <c r="B2069" s="0" t="s">
        <v>184</v>
      </c>
      <c r="D2069" s="23" t="n">
        <f aca="false">D2068*D2052/1000</f>
        <v>30.9620386</v>
      </c>
      <c r="E2069" s="23" t="n">
        <f aca="false">E2068*E2052/1000</f>
        <v>32.576677862235</v>
      </c>
      <c r="F2069" s="23" t="n">
        <f aca="false">F2068*F2052/1000</f>
        <v>31.7514020230583</v>
      </c>
      <c r="G2069" s="23" t="n">
        <f aca="false">G2068*G2052/1000</f>
        <v>32.7630164596069</v>
      </c>
    </row>
    <row r="2070" customFormat="false" ht="17.15" hidden="false" customHeight="false" outlineLevel="0" collapsed="false">
      <c r="A2070" s="0" t="s">
        <v>565</v>
      </c>
      <c r="B2070" s="0" t="s">
        <v>48</v>
      </c>
      <c r="E2070" s="20" t="n">
        <f aca="false">vgm27_B</f>
        <v>-0.05</v>
      </c>
      <c r="F2070" s="20" t="n">
        <f aca="false">vgm28_B</f>
        <v>0.12</v>
      </c>
      <c r="G2070" s="20" t="n">
        <f aca="false">vgm29_B</f>
        <v>0.18</v>
      </c>
    </row>
    <row r="2071" customFormat="false" ht="17.15" hidden="false" customHeight="false" outlineLevel="0" collapsed="false">
      <c r="A2071" s="0" t="s">
        <v>566</v>
      </c>
      <c r="B2071" s="0" t="s">
        <v>184</v>
      </c>
      <c r="D2071" s="23" t="n">
        <f aca="false">0</f>
        <v>0</v>
      </c>
      <c r="E2071" s="23" t="n">
        <f aca="false">E2061*E2070</f>
        <v>-0.331776</v>
      </c>
      <c r="F2071" s="23" t="n">
        <f aca="false">F2061*F2070</f>
        <v>1.990656</v>
      </c>
      <c r="G2071" s="23" t="n">
        <f aca="false">G2061*G2070</f>
        <v>4.1803776</v>
      </c>
    </row>
    <row r="2072" customFormat="false" ht="15" hidden="false" customHeight="false" outlineLevel="0" collapsed="false">
      <c r="A2072" s="4" t="s">
        <v>417</v>
      </c>
      <c r="B2072" s="0" t="s">
        <v>184</v>
      </c>
      <c r="C2072" s="23" t="n">
        <f aca="false">a25_gp</f>
        <v>13.654</v>
      </c>
      <c r="D2072" s="23" t="n">
        <f aca="false">D2056-D2067-D2069+D2071</f>
        <v>19.0320214</v>
      </c>
      <c r="E2072" s="23" t="n">
        <f aca="false">E2056-E2067-E2069+E2071</f>
        <v>21.2783256633535</v>
      </c>
      <c r="F2072" s="23" t="n">
        <f aca="false">F2056-F2067-F2069+F2071</f>
        <v>21.4430333902818</v>
      </c>
      <c r="G2072" s="23" t="n">
        <f aca="false">G2056-G2067-G2069+G2071</f>
        <v>23.3223018817953</v>
      </c>
    </row>
    <row r="2073" customFormat="false" ht="15" hidden="false" customHeight="false" outlineLevel="0" collapsed="false">
      <c r="A2073" s="4" t="s">
        <v>420</v>
      </c>
      <c r="B2073" s="0" t="s">
        <v>48</v>
      </c>
      <c r="C2073" s="16" t="n">
        <f aca="false">C2072/C2062</f>
        <v>0.280998538824062</v>
      </c>
      <c r="D2073" s="16" t="n">
        <f aca="false">D2072/D2062</f>
        <v>0.324490246378388</v>
      </c>
      <c r="E2073" s="16" t="n">
        <f aca="false">E2072/E2062</f>
        <v>0.305109171260883</v>
      </c>
      <c r="F2073" s="16" t="n">
        <f aca="false">F2072/F2062</f>
        <v>0.27888416089455</v>
      </c>
      <c r="G2073" s="16" t="n">
        <f aca="false">G2072/G2062</f>
        <v>0.27690357294284</v>
      </c>
    </row>
    <row r="2074" customFormat="false" ht="15" hidden="false" customHeight="false" outlineLevel="0" collapsed="false">
      <c r="A2074" s="4" t="s">
        <v>422</v>
      </c>
      <c r="B2074" s="0" t="s">
        <v>184</v>
      </c>
      <c r="C2074" s="23" t="n">
        <f aca="false">a25_opx</f>
        <v>5.881</v>
      </c>
      <c r="D2074" s="23" t="n">
        <f aca="false">a26_opx</f>
        <v>6.824187</v>
      </c>
      <c r="E2074" s="23" t="n">
        <f aca="false">D2074*(1+MAX(g_opx_min,phi*E2065))</f>
        <v>7.46923208225958</v>
      </c>
      <c r="F2074" s="23" t="n">
        <f aca="false">E2074*(1+MAX(g_opx_min,phi*F2065))</f>
        <v>7.85204525470205</v>
      </c>
      <c r="G2074" s="23" t="n">
        <f aca="false">F2074*(1+MAX(g_opx_min,phi*G2065))</f>
        <v>8.22666449737119</v>
      </c>
    </row>
    <row r="2075" customFormat="false" ht="15" hidden="false" customHeight="false" outlineLevel="0" collapsed="false">
      <c r="A2075" s="4" t="s">
        <v>425</v>
      </c>
      <c r="B2075" s="0" t="s">
        <v>184</v>
      </c>
      <c r="C2075" s="23" t="n">
        <f aca="false">C2072-C2074</f>
        <v>7.773</v>
      </c>
      <c r="D2075" s="23" t="n">
        <f aca="false">D2072-D2074</f>
        <v>12.2078344</v>
      </c>
      <c r="E2075" s="23" t="n">
        <f aca="false">E2072-E2074</f>
        <v>13.8090935810939</v>
      </c>
      <c r="F2075" s="23" t="n">
        <f aca="false">F2072-F2074</f>
        <v>13.5909881355797</v>
      </c>
      <c r="G2075" s="23" t="n">
        <f aca="false">G2072-G2074</f>
        <v>15.0956373844241</v>
      </c>
    </row>
    <row r="2076" customFormat="false" ht="15" hidden="false" customHeight="false" outlineLevel="0" collapsed="false">
      <c r="A2076" s="4" t="s">
        <v>531</v>
      </c>
      <c r="B2076" s="0" t="s">
        <v>48</v>
      </c>
      <c r="C2076" s="16" t="n">
        <f aca="false">C2075/C2062</f>
        <v>0.159967895289251</v>
      </c>
      <c r="D2076" s="16" t="n">
        <f aca="false">D2075/D2062</f>
        <v>0.208139908470393</v>
      </c>
      <c r="E2076" s="16" t="n">
        <f aca="false">E2075/E2062</f>
        <v>0.198008112341652</v>
      </c>
      <c r="F2076" s="16" t="n">
        <f aca="false">F2075/F2062</f>
        <v>0.176761899910893</v>
      </c>
      <c r="G2076" s="16" t="n">
        <f aca="false">G2075/G2062</f>
        <v>0.179229132217834</v>
      </c>
    </row>
    <row r="2077" customFormat="false" ht="15" hidden="false" customHeight="false" outlineLevel="0" collapsed="false">
      <c r="A2077" s="4" t="s">
        <v>428</v>
      </c>
      <c r="B2077" s="0" t="s">
        <v>184</v>
      </c>
      <c r="C2077" s="23" t="n">
        <f aca="false">a25_nonop</f>
        <v>1.479</v>
      </c>
      <c r="D2077" s="23" t="n">
        <f aca="false">a26_nonop</f>
        <v>2.10950832169955</v>
      </c>
      <c r="E2077" s="23" t="n">
        <f aca="false">nonop_f</f>
        <v>1.5</v>
      </c>
      <c r="F2077" s="23" t="n">
        <f aca="false">nonop_f</f>
        <v>1.5</v>
      </c>
      <c r="G2077" s="23" t="n">
        <f aca="false">nonop_f</f>
        <v>1.5</v>
      </c>
    </row>
    <row r="2078" customFormat="false" ht="15" hidden="false" customHeight="false" outlineLevel="0" collapsed="false">
      <c r="A2078" s="4" t="s">
        <v>430</v>
      </c>
      <c r="B2078" s="0" t="s">
        <v>184</v>
      </c>
      <c r="C2078" s="23" t="n">
        <f aca="false">C2075+C2077</f>
        <v>9.252</v>
      </c>
      <c r="D2078" s="23" t="n">
        <f aca="false">D2075+D2077</f>
        <v>14.3173427216995</v>
      </c>
      <c r="E2078" s="23" t="n">
        <f aca="false">E2075+E2077</f>
        <v>15.3090935810939</v>
      </c>
      <c r="F2078" s="23" t="n">
        <f aca="false">F2075+F2077</f>
        <v>15.0909881355797</v>
      </c>
      <c r="G2078" s="23" t="n">
        <f aca="false">G2075+G2077</f>
        <v>16.5956373844241</v>
      </c>
    </row>
    <row r="2079" customFormat="false" ht="15" hidden="false" customHeight="false" outlineLevel="0" collapsed="false">
      <c r="A2079" s="4" t="s">
        <v>432</v>
      </c>
      <c r="B2079" s="0" t="s">
        <v>184</v>
      </c>
      <c r="C2079" s="23" t="n">
        <f aca="false">a25_tax</f>
        <v>1.344</v>
      </c>
      <c r="D2079" s="23" t="n">
        <f aca="false">a26_tax</f>
        <v>2.0798215108046</v>
      </c>
      <c r="E2079" s="23" t="n">
        <f aca="false">E2078*tax_lo</f>
        <v>1.83709122973127</v>
      </c>
      <c r="F2079" s="23" t="n">
        <f aca="false">F2078*tax_lo</f>
        <v>1.81091857626957</v>
      </c>
      <c r="G2079" s="23" t="n">
        <f aca="false">G2078*tax_lo</f>
        <v>1.99147648613089</v>
      </c>
    </row>
    <row r="2080" customFormat="false" ht="17.15" hidden="false" customHeight="false" outlineLevel="0" collapsed="false">
      <c r="A2080" s="4" t="s">
        <v>567</v>
      </c>
      <c r="B2080" s="0" t="s">
        <v>184</v>
      </c>
      <c r="C2080" s="23" t="n">
        <f aca="false">a25_mi</f>
        <v>0</v>
      </c>
      <c r="D2080" s="23" t="n">
        <f aca="false">a26_mi</f>
        <v>0</v>
      </c>
      <c r="E2080" s="23" t="n">
        <f aca="false">vmi*E2071*(1-tax_lo)</f>
        <v>-0.116785152</v>
      </c>
      <c r="F2080" s="23" t="n">
        <f aca="false">vmi*F2071*(1-tax_lo)</f>
        <v>0.700710912</v>
      </c>
      <c r="G2080" s="23" t="n">
        <f aca="false">vmi*G2071*(1-tax_lo)</f>
        <v>1.4714929152</v>
      </c>
      <c r="K2080" s="8" t="s">
        <v>568</v>
      </c>
    </row>
    <row r="2081" customFormat="false" ht="15" hidden="false" customHeight="false" outlineLevel="0" collapsed="false">
      <c r="A2081" s="4" t="s">
        <v>435</v>
      </c>
      <c r="B2081" s="0" t="s">
        <v>184</v>
      </c>
      <c r="C2081" s="23" t="n">
        <f aca="false">C2078-C2079-C2080</f>
        <v>7.908</v>
      </c>
      <c r="D2081" s="23" t="n">
        <f aca="false">D2078-D2079-D2080</f>
        <v>12.2375212108949</v>
      </c>
      <c r="E2081" s="23" t="n">
        <f aca="false">E2078-E2079-E2080</f>
        <v>13.5887875033627</v>
      </c>
      <c r="F2081" s="23" t="n">
        <f aca="false">F2078-F2079-F2080</f>
        <v>12.5793586473102</v>
      </c>
      <c r="G2081" s="23" t="n">
        <f aca="false">G2078-G2079-G2080</f>
        <v>13.1326679830932</v>
      </c>
      <c r="H2081" s="29" t="n">
        <f aca="false">H2062*H2085</f>
        <v>13.6717396164309</v>
      </c>
      <c r="I2081" s="29" t="n">
        <f aca="false">I2062*I2085</f>
        <v>13.9721638217971</v>
      </c>
      <c r="J2081" s="29" t="n">
        <f aca="false">J2062*J2085</f>
        <v>14.0120842898594</v>
      </c>
    </row>
    <row r="2082" customFormat="false" ht="15" hidden="false" customHeight="false" outlineLevel="0" collapsed="false">
      <c r="A2082" s="4" t="s">
        <v>569</v>
      </c>
      <c r="B2082" s="4" t="s">
        <v>265</v>
      </c>
      <c r="C2082" s="10" t="n">
        <f aca="false">a25_sh</f>
        <v>1.8739336492891</v>
      </c>
      <c r="D2082" s="10" t="n">
        <f aca="false">a26_sh</f>
        <v>1.90613591916558</v>
      </c>
      <c r="E2082" s="10" t="n">
        <f aca="false">q_sh*(1+sh_g)</f>
        <v>1.90705128205128</v>
      </c>
      <c r="F2082" s="10" t="n">
        <f aca="false">E2082*(1+sh_g)</f>
        <v>1.90705128205128</v>
      </c>
      <c r="G2082" s="10" t="n">
        <f aca="false">F2082*(1+sh_g)</f>
        <v>1.90705128205128</v>
      </c>
      <c r="H2082" s="31" t="n">
        <f aca="false">G2082*(1+sh_g)</f>
        <v>1.90705128205128</v>
      </c>
      <c r="I2082" s="31" t="n">
        <f aca="false">H2082*(1+sh_g)</f>
        <v>1.90705128205128</v>
      </c>
      <c r="J2082" s="31" t="n">
        <f aca="false">I2082*(1+sh_g)</f>
        <v>1.90705128205128</v>
      </c>
    </row>
    <row r="2083" customFormat="false" ht="17.15" hidden="false" customHeight="false" outlineLevel="0" collapsed="false">
      <c r="A2083" s="0" t="s">
        <v>442</v>
      </c>
      <c r="B2083" s="0" t="s">
        <v>274</v>
      </c>
      <c r="C2083" s="23" t="n">
        <f aca="false">C2081/C2082</f>
        <v>4.22</v>
      </c>
      <c r="D2083" s="23" t="n">
        <f aca="false">D2081/D2082</f>
        <v>6.42006747150118</v>
      </c>
      <c r="E2083" s="23" t="n">
        <f aca="false">E2081/E2082</f>
        <v>7.12554907739354</v>
      </c>
      <c r="F2083" s="23" t="n">
        <f aca="false">F2081/F2082</f>
        <v>6.59623512262314</v>
      </c>
      <c r="G2083" s="23" t="n">
        <f aca="false">G2081/G2082</f>
        <v>6.88637379953794</v>
      </c>
      <c r="H2083" s="29" t="n">
        <f aca="false">H2081/H2082</f>
        <v>7.16904665601083</v>
      </c>
      <c r="I2083" s="29" t="n">
        <f aca="false">I2081/I2082</f>
        <v>7.32658002084152</v>
      </c>
      <c r="J2083" s="29" t="n">
        <f aca="false">J2081/J2082</f>
        <v>7.34751310661535</v>
      </c>
    </row>
    <row r="2084" customFormat="false" ht="17.15" hidden="false" customHeight="false" outlineLevel="0" collapsed="false">
      <c r="A2084" s="0" t="s">
        <v>570</v>
      </c>
      <c r="B2084" s="0" t="s">
        <v>48</v>
      </c>
      <c r="D2084" s="20" t="n">
        <f aca="false">D2083/C2083-1</f>
        <v>0.521343002725398</v>
      </c>
      <c r="E2084" s="20" t="n">
        <f aca="false">E2083/D2083-1</f>
        <v>0.10988694574068</v>
      </c>
      <c r="F2084" s="20" t="n">
        <f aca="false">F2083/E2083-1</f>
        <v>-0.0742839532815369</v>
      </c>
      <c r="G2084" s="20" t="n">
        <f aca="false">G2083/F2083-1</f>
        <v>0.043985496502347</v>
      </c>
      <c r="H2084" s="27" t="n">
        <f aca="false">H2083/G2083-1</f>
        <v>0.0410481429997098</v>
      </c>
      <c r="I2084" s="27" t="n">
        <f aca="false">I2083/H2083-1</f>
        <v>0.0219741023304139</v>
      </c>
      <c r="J2084" s="27" t="n">
        <f aca="false">J2083/I2083-1</f>
        <v>0.00285714285714289</v>
      </c>
    </row>
    <row r="2085" customFormat="false" ht="17.15" hidden="false" customHeight="false" outlineLevel="0" collapsed="false">
      <c r="A2085" s="4" t="s">
        <v>571</v>
      </c>
      <c r="B2085" s="0" t="s">
        <v>48</v>
      </c>
      <c r="C2085" s="16" t="n">
        <f aca="false">C2081/C2062</f>
        <v>0.162746187565599</v>
      </c>
      <c r="D2085" s="16" t="n">
        <f aca="false">D2081/D2062</f>
        <v>0.208646059676249</v>
      </c>
      <c r="E2085" s="16" t="n">
        <f aca="false">E2081/E2062</f>
        <v>0.194849151159095</v>
      </c>
      <c r="F2085" s="16" t="n">
        <f aca="false">F2081/F2062</f>
        <v>0.163604832259257</v>
      </c>
      <c r="G2085" s="16" t="n">
        <f aca="false">G2081/G2062</f>
        <v>0.155922974722708</v>
      </c>
      <c r="H2085" s="28" t="n">
        <f aca="false">$G2085+($G$2085*0.9-$G2085)*1/3</f>
        <v>0.150725542231951</v>
      </c>
      <c r="I2085" s="28" t="n">
        <f aca="false">$G2085+($G$2085*0.9-$G2085)*2/3</f>
        <v>0.145528109741194</v>
      </c>
      <c r="J2085" s="28" t="n">
        <f aca="false">$G2085+($G$2085*0.9-$G2085)*3/3</f>
        <v>0.140330677250438</v>
      </c>
    </row>
    <row r="2088" customFormat="false" ht="17.15" hidden="false" customHeight="false" outlineLevel="0" collapsed="false">
      <c r="A2088" s="1" t="s">
        <v>895</v>
      </c>
    </row>
    <row r="2089" customFormat="false" ht="17.15" hidden="false" customHeight="false" outlineLevel="0" collapsed="false">
      <c r="A2089" s="5" t="s">
        <v>24</v>
      </c>
      <c r="B2089" s="5" t="s">
        <v>25</v>
      </c>
      <c r="C2089" s="17" t="s">
        <v>394</v>
      </c>
      <c r="D2089" s="17" t="s">
        <v>521</v>
      </c>
      <c r="E2089" s="17" t="s">
        <v>480</v>
      </c>
      <c r="F2089" s="17" t="s">
        <v>481</v>
      </c>
      <c r="G2089" s="17" t="s">
        <v>482</v>
      </c>
      <c r="H2089" s="17" t="s">
        <v>522</v>
      </c>
      <c r="I2089" s="17" t="s">
        <v>523</v>
      </c>
      <c r="J2089" s="17" t="s">
        <v>524</v>
      </c>
      <c r="K2089" s="5" t="s">
        <v>357</v>
      </c>
    </row>
    <row r="2090" customFormat="false" ht="17.15" hidden="false" customHeight="false" outlineLevel="0" collapsed="false">
      <c r="A2090" s="6" t="s">
        <v>542</v>
      </c>
    </row>
    <row r="2091" customFormat="false" ht="17.15" hidden="false" customHeight="false" outlineLevel="0" collapsed="false">
      <c r="A2091" s="4" t="s">
        <v>543</v>
      </c>
      <c r="B2091" s="4" t="s">
        <v>42</v>
      </c>
      <c r="D2091" s="22" t="n">
        <f aca="false">cap_26</f>
        <v>3306</v>
      </c>
      <c r="E2091" s="22" t="n">
        <f aca="false">D2091*(1+capg27)*cap_adj</f>
        <v>3306</v>
      </c>
      <c r="F2091" s="22" t="n">
        <f aca="false">E2091*(1+capg28)</f>
        <v>3306</v>
      </c>
      <c r="G2091" s="22" t="n">
        <f aca="false">F2091*(1+capg29)</f>
        <v>3306</v>
      </c>
    </row>
    <row r="2092" customFormat="false" ht="15" hidden="false" customHeight="false" outlineLevel="0" collapsed="false">
      <c r="A2092" s="4" t="s">
        <v>544</v>
      </c>
      <c r="B2092" s="0" t="s">
        <v>48</v>
      </c>
      <c r="D2092" s="20" t="n">
        <f aca="false">a26_ship/cap_26</f>
        <v>0.8725</v>
      </c>
      <c r="E2092" s="20" t="n">
        <f aca="false">MIN(0.98,ut27_C+ut_adj)</f>
        <v>0.8</v>
      </c>
      <c r="F2092" s="20" t="n">
        <f aca="false">MIN(0.98,ut28_C+ut_adj)</f>
        <v>0.74</v>
      </c>
      <c r="G2092" s="20" t="n">
        <f aca="false">MIN(0.98,ut29_C+ut_adj)</f>
        <v>0.78</v>
      </c>
    </row>
    <row r="2093" customFormat="false" ht="17.15" hidden="false" customHeight="false" outlineLevel="0" collapsed="false">
      <c r="A2093" s="4" t="s">
        <v>545</v>
      </c>
      <c r="B2093" s="4" t="s">
        <v>42</v>
      </c>
      <c r="D2093" s="22" t="n">
        <f aca="false">D2091*D2092</f>
        <v>2884.485</v>
      </c>
      <c r="E2093" s="22" t="n">
        <f aca="false">E2091*E2092</f>
        <v>2644.8</v>
      </c>
      <c r="F2093" s="22" t="n">
        <f aca="false">F2091*F2092</f>
        <v>2446.44</v>
      </c>
      <c r="G2093" s="22" t="n">
        <f aca="false">G2091*G2092</f>
        <v>2578.68</v>
      </c>
    </row>
    <row r="2094" customFormat="false" ht="17.15" hidden="false" customHeight="false" outlineLevel="0" collapsed="false">
      <c r="A2094" s="4" t="s">
        <v>546</v>
      </c>
      <c r="B2094" s="0" t="s">
        <v>89</v>
      </c>
      <c r="D2094" s="22" t="n">
        <f aca="false">asp_26</f>
        <v>643.469405492234</v>
      </c>
      <c r="E2094" s="22" t="n">
        <f aca="false">D2094*(1+asp27_C)*(1+asp_adj)</f>
        <v>624.165323327467</v>
      </c>
      <c r="F2094" s="22" t="n">
        <f aca="false">E2094*(1+asp28_C)</f>
        <v>592.957057161093</v>
      </c>
      <c r="G2094" s="22" t="n">
        <f aca="false">F2094*(1+asp29_C)</f>
        <v>581.097916017871</v>
      </c>
    </row>
    <row r="2095" customFormat="false" ht="15" hidden="false" customHeight="false" outlineLevel="0" collapsed="false">
      <c r="A2095" s="4" t="s">
        <v>547</v>
      </c>
      <c r="B2095" s="0" t="s">
        <v>48</v>
      </c>
      <c r="E2095" s="20" t="n">
        <f aca="false">E2094/D2094-1</f>
        <v>-0.03</v>
      </c>
      <c r="F2095" s="20" t="n">
        <f aca="false">F2094/E2094-1</f>
        <v>-0.05</v>
      </c>
      <c r="G2095" s="20" t="n">
        <f aca="false">G2094/F2094-1</f>
        <v>-0.02</v>
      </c>
    </row>
    <row r="2096" customFormat="false" ht="15" hidden="false" customHeight="false" outlineLevel="0" collapsed="false">
      <c r="A2096" s="4" t="s">
        <v>548</v>
      </c>
      <c r="B2096" s="0" t="s">
        <v>35</v>
      </c>
      <c r="D2096" s="23" t="n">
        <f aca="false">fx_26</f>
        <v>31.6</v>
      </c>
      <c r="E2096" s="23" t="n">
        <f aca="false">fx</f>
        <v>32</v>
      </c>
      <c r="F2096" s="23" t="n">
        <f aca="false">fx</f>
        <v>32</v>
      </c>
      <c r="G2096" s="23" t="n">
        <f aca="false">fx</f>
        <v>32</v>
      </c>
    </row>
    <row r="2097" customFormat="false" ht="17.15" hidden="false" customHeight="false" outlineLevel="0" collapsed="false">
      <c r="A2097" s="0" t="s">
        <v>549</v>
      </c>
      <c r="B2097" s="0" t="s">
        <v>184</v>
      </c>
      <c r="D2097" s="23" t="n">
        <f aca="false">D2093*D2094*D2096/1000000</f>
        <v>58.65206</v>
      </c>
      <c r="E2097" s="23" t="n">
        <f aca="false">E2093*E2094*E2096/1000000</f>
        <v>52.8253583083675</v>
      </c>
      <c r="F2097" s="23" t="n">
        <f aca="false">F2093*F2094*F2096/1000000</f>
        <v>46.4202836134779</v>
      </c>
      <c r="G2097" s="23" t="n">
        <f aca="false">G2093*G2094*G2096/1000000</f>
        <v>47.9508983704629</v>
      </c>
    </row>
    <row r="2098" customFormat="false" ht="17.15" hidden="false" customHeight="false" outlineLevel="0" collapsed="false">
      <c r="A2098" s="6" t="s">
        <v>550</v>
      </c>
    </row>
    <row r="2099" customFormat="false" ht="17.15" hidden="false" customHeight="false" outlineLevel="0" collapsed="false">
      <c r="A2099" s="0" t="s">
        <v>551</v>
      </c>
      <c r="B2099" s="4" t="s">
        <v>42</v>
      </c>
      <c r="D2099" s="22" t="n">
        <f aca="false">0</f>
        <v>0</v>
      </c>
      <c r="E2099" s="22" t="n">
        <f aca="false">vcap27*vcap_adj</f>
        <v>144</v>
      </c>
      <c r="F2099" s="22" t="n">
        <f aca="false">vcap28*vcap_adj</f>
        <v>360</v>
      </c>
      <c r="G2099" s="22" t="n">
        <f aca="false">vcap29*vcap_adj</f>
        <v>504</v>
      </c>
    </row>
    <row r="2100" customFormat="false" ht="17.15" hidden="false" customHeight="false" outlineLevel="0" collapsed="false">
      <c r="A2100" s="0" t="s">
        <v>552</v>
      </c>
      <c r="B2100" s="0" t="s">
        <v>48</v>
      </c>
      <c r="E2100" s="20" t="n">
        <f aca="false">vut_C</f>
        <v>0.65</v>
      </c>
      <c r="F2100" s="20" t="n">
        <f aca="false">vut_C</f>
        <v>0.65</v>
      </c>
      <c r="G2100" s="20" t="n">
        <f aca="false">vut_C</f>
        <v>0.65</v>
      </c>
    </row>
    <row r="2101" customFormat="false" ht="17.15" hidden="false" customHeight="false" outlineLevel="0" collapsed="false">
      <c r="A2101" s="0" t="s">
        <v>553</v>
      </c>
      <c r="B2101" s="4" t="s">
        <v>42</v>
      </c>
      <c r="D2101" s="22" t="n">
        <f aca="false">0</f>
        <v>0</v>
      </c>
      <c r="E2101" s="22" t="n">
        <f aca="false">E2099*E2100</f>
        <v>93.6</v>
      </c>
      <c r="F2101" s="22" t="n">
        <f aca="false">F2099*F2100</f>
        <v>234</v>
      </c>
      <c r="G2101" s="22" t="n">
        <f aca="false">G2099*G2100</f>
        <v>327.6</v>
      </c>
    </row>
    <row r="2102" customFormat="false" ht="17.15" hidden="false" customHeight="false" outlineLevel="0" collapsed="false">
      <c r="A2102" s="0" t="s">
        <v>554</v>
      </c>
      <c r="B2102" s="0" t="s">
        <v>184</v>
      </c>
      <c r="D2102" s="23" t="n">
        <f aca="false">0</f>
        <v>0</v>
      </c>
      <c r="E2102" s="23" t="n">
        <f aca="false">E2101*vasp*E2096/1000000</f>
        <v>5.39136</v>
      </c>
      <c r="F2102" s="23" t="n">
        <f aca="false">F2101*vasp*F2096/1000000</f>
        <v>13.4784</v>
      </c>
      <c r="G2102" s="23" t="n">
        <f aca="false">G2101*vasp*G2096/1000000</f>
        <v>18.86976</v>
      </c>
    </row>
    <row r="2103" customFormat="false" ht="17.15" hidden="false" customHeight="false" outlineLevel="0" collapsed="false">
      <c r="A2103" s="4" t="s">
        <v>400</v>
      </c>
      <c r="B2103" s="0" t="s">
        <v>184</v>
      </c>
      <c r="C2103" s="23" t="n">
        <f aca="false">a25_rev</f>
        <v>48.591</v>
      </c>
      <c r="D2103" s="23" t="n">
        <f aca="false">D2097+D2102</f>
        <v>58.65206</v>
      </c>
      <c r="E2103" s="23" t="n">
        <f aca="false">E2097+E2102</f>
        <v>58.2167183083675</v>
      </c>
      <c r="F2103" s="23" t="n">
        <f aca="false">F2097+F2102</f>
        <v>59.8986836134779</v>
      </c>
      <c r="G2103" s="23" t="n">
        <f aca="false">G2097+G2102</f>
        <v>66.8206583704629</v>
      </c>
      <c r="H2103" s="29" t="n">
        <f aca="false">G2103*(1+H2106)</f>
        <v>72.4140545845787</v>
      </c>
      <c r="I2103" s="29" t="n">
        <f aca="false">H2103*(1+I2106)</f>
        <v>76.1689980934585</v>
      </c>
      <c r="J2103" s="29" t="n">
        <f aca="false">I2103*(1+J2106)</f>
        <v>77.6923780553276</v>
      </c>
      <c r="K2103" s="8" t="s">
        <v>555</v>
      </c>
    </row>
    <row r="2104" customFormat="false" ht="17.15" hidden="false" customHeight="false" outlineLevel="0" collapsed="false">
      <c r="A2104" s="0" t="s">
        <v>556</v>
      </c>
      <c r="B2104" s="0" t="s">
        <v>48</v>
      </c>
      <c r="D2104" s="20" t="n">
        <f aca="false">D2102/D2103</f>
        <v>0</v>
      </c>
      <c r="E2104" s="20" t="n">
        <f aca="false">E2102/E2103</f>
        <v>0.0926084491991212</v>
      </c>
      <c r="F2104" s="20" t="n">
        <f aca="false">F2102/F2103</f>
        <v>0.225019970171218</v>
      </c>
      <c r="G2104" s="20" t="n">
        <f aca="false">G2102/G2103</f>
        <v>0.28239410475999</v>
      </c>
    </row>
    <row r="2105" customFormat="false" ht="17.15" hidden="false" customHeight="false" outlineLevel="0" collapsed="false">
      <c r="A2105" s="0" t="s">
        <v>557</v>
      </c>
      <c r="B2105" s="0" t="s">
        <v>48</v>
      </c>
      <c r="D2105" s="20" t="n">
        <f aca="false">ai_sh26</f>
        <v>0.1</v>
      </c>
      <c r="E2105" s="20" t="n">
        <f aca="false">ai_sh27_C</f>
        <v>0.15</v>
      </c>
      <c r="F2105" s="20" t="n">
        <f aca="false">ai_sh27_C</f>
        <v>0.15</v>
      </c>
      <c r="G2105" s="20" t="n">
        <f aca="false">ai_sh27_C</f>
        <v>0.15</v>
      </c>
    </row>
    <row r="2106" customFormat="false" ht="15" hidden="false" customHeight="false" outlineLevel="0" collapsed="false">
      <c r="A2106" s="4" t="s">
        <v>558</v>
      </c>
      <c r="B2106" s="0" t="s">
        <v>48</v>
      </c>
      <c r="D2106" s="20" t="n">
        <f aca="false">D2103/C2103-1</f>
        <v>0.207056039184211</v>
      </c>
      <c r="E2106" s="20" t="n">
        <f aca="false">E2103/D2103-1</f>
        <v>-0.0074224450365854</v>
      </c>
      <c r="F2106" s="20" t="n">
        <f aca="false">F2103/E2103-1</f>
        <v>0.028891448264075</v>
      </c>
      <c r="G2106" s="20" t="n">
        <f aca="false">G2103/F2103-1</f>
        <v>0.115561383646625</v>
      </c>
      <c r="H2106" s="27" t="n">
        <f aca="false">$G2106+(fade_gC-$G2106)*1/3</f>
        <v>0.0837075890977501</v>
      </c>
      <c r="I2106" s="27" t="n">
        <f aca="false">$G2106+(fade_gC-$G2106)*2/3</f>
        <v>0.0518537945488751</v>
      </c>
      <c r="J2106" s="27" t="n">
        <f aca="false">$G2106+(fade_gC-$G2106)*3/3</f>
        <v>0.02</v>
      </c>
    </row>
    <row r="2107" customFormat="false" ht="17.15" hidden="false" customHeight="false" outlineLevel="0" collapsed="false">
      <c r="A2107" s="6" t="s">
        <v>559</v>
      </c>
    </row>
    <row r="2108" customFormat="false" ht="15" hidden="false" customHeight="false" outlineLevel="0" collapsed="false">
      <c r="A2108" s="4" t="s">
        <v>560</v>
      </c>
      <c r="B2108" s="0" t="s">
        <v>184</v>
      </c>
      <c r="D2108" s="23" t="n">
        <f aca="false">da_tot26*da_sh</f>
        <v>8.658</v>
      </c>
      <c r="E2108" s="23" t="n">
        <f aca="false">D2108*(1+dag_27+dag_adj)</f>
        <v>8.91774</v>
      </c>
      <c r="F2108" s="23" t="n">
        <f aca="false">E2108*(1+dag_28+dag_adj)</f>
        <v>9.0960948</v>
      </c>
      <c r="G2108" s="23" t="n">
        <f aca="false">F2108*(1+dag_29+dag_adj)</f>
        <v>9.0960948</v>
      </c>
    </row>
    <row r="2109" customFormat="false" ht="17.15" hidden="false" customHeight="false" outlineLevel="0" collapsed="false">
      <c r="A2109" s="4" t="s">
        <v>561</v>
      </c>
      <c r="B2109" s="0" t="s">
        <v>562</v>
      </c>
      <c r="D2109" s="23" t="n">
        <f aca="false">(D2097-a26_gp-D2108)/D2093*1000</f>
        <v>10.7339918911001</v>
      </c>
      <c r="E2109" s="23" t="n">
        <f aca="false">D2109*(1+cc_g)</f>
        <v>10.9486717289221</v>
      </c>
      <c r="F2109" s="23" t="n">
        <f aca="false">E2109*(1+cc_g)</f>
        <v>11.1676451635006</v>
      </c>
      <c r="G2109" s="23" t="n">
        <f aca="false">F2109*(1+cc_g)</f>
        <v>11.3909980667706</v>
      </c>
      <c r="K2109" s="8" t="s">
        <v>563</v>
      </c>
    </row>
    <row r="2110" customFormat="false" ht="17.15" hidden="false" customHeight="false" outlineLevel="0" collapsed="false">
      <c r="A2110" s="4" t="s">
        <v>564</v>
      </c>
      <c r="B2110" s="0" t="s">
        <v>184</v>
      </c>
      <c r="D2110" s="23" t="n">
        <f aca="false">D2109*D2093/1000</f>
        <v>30.9620386</v>
      </c>
      <c r="E2110" s="23" t="n">
        <f aca="false">E2109*E2093/1000</f>
        <v>28.9570469886533</v>
      </c>
      <c r="F2110" s="23" t="n">
        <f aca="false">F2109*F2093/1000</f>
        <v>27.3209738337944</v>
      </c>
      <c r="G2110" s="23" t="n">
        <f aca="false">G2109*G2093/1000</f>
        <v>29.37373889482</v>
      </c>
    </row>
    <row r="2111" customFormat="false" ht="17.15" hidden="false" customHeight="false" outlineLevel="0" collapsed="false">
      <c r="A2111" s="0" t="s">
        <v>565</v>
      </c>
      <c r="B2111" s="0" t="s">
        <v>48</v>
      </c>
      <c r="E2111" s="20" t="n">
        <f aca="false">vgm27_C</f>
        <v>-0.2</v>
      </c>
      <c r="F2111" s="20" t="n">
        <f aca="false">vgm28_C</f>
        <v>0</v>
      </c>
      <c r="G2111" s="20" t="n">
        <f aca="false">vgm29_C</f>
        <v>0.05</v>
      </c>
    </row>
    <row r="2112" customFormat="false" ht="17.15" hidden="false" customHeight="false" outlineLevel="0" collapsed="false">
      <c r="A2112" s="0" t="s">
        <v>566</v>
      </c>
      <c r="B2112" s="0" t="s">
        <v>184</v>
      </c>
      <c r="D2112" s="23" t="n">
        <f aca="false">0</f>
        <v>0</v>
      </c>
      <c r="E2112" s="23" t="n">
        <f aca="false">E2102*E2111</f>
        <v>-1.078272</v>
      </c>
      <c r="F2112" s="23" t="n">
        <f aca="false">F2102*F2111</f>
        <v>0</v>
      </c>
      <c r="G2112" s="23" t="n">
        <f aca="false">G2102*G2111</f>
        <v>0.943488</v>
      </c>
    </row>
    <row r="2113" customFormat="false" ht="15" hidden="false" customHeight="false" outlineLevel="0" collapsed="false">
      <c r="A2113" s="4" t="s">
        <v>417</v>
      </c>
      <c r="B2113" s="0" t="s">
        <v>184</v>
      </c>
      <c r="C2113" s="23" t="n">
        <f aca="false">a25_gp</f>
        <v>13.654</v>
      </c>
      <c r="D2113" s="23" t="n">
        <f aca="false">D2097-D2108-D2110+D2112</f>
        <v>19.0320214</v>
      </c>
      <c r="E2113" s="23" t="n">
        <f aca="false">E2097-E2108-E2110+E2112</f>
        <v>13.8722993197142</v>
      </c>
      <c r="F2113" s="23" t="n">
        <f aca="false">F2097-F2108-F2110+F2112</f>
        <v>10.0032149796835</v>
      </c>
      <c r="G2113" s="23" t="n">
        <f aca="false">G2097-G2108-G2110+G2112</f>
        <v>10.4245526756429</v>
      </c>
    </row>
    <row r="2114" customFormat="false" ht="15" hidden="false" customHeight="false" outlineLevel="0" collapsed="false">
      <c r="A2114" s="4" t="s">
        <v>420</v>
      </c>
      <c r="B2114" s="0" t="s">
        <v>48</v>
      </c>
      <c r="C2114" s="16" t="n">
        <f aca="false">C2113/C2103</f>
        <v>0.280998538824062</v>
      </c>
      <c r="D2114" s="16" t="n">
        <f aca="false">D2113/D2103</f>
        <v>0.324490246378388</v>
      </c>
      <c r="E2114" s="16" t="n">
        <f aca="false">E2113/E2103</f>
        <v>0.238287208946306</v>
      </c>
      <c r="F2114" s="16" t="n">
        <f aca="false">F2113/F2103</f>
        <v>0.167002250737822</v>
      </c>
      <c r="G2114" s="16" t="n">
        <f aca="false">G2113/G2103</f>
        <v>0.156007931227611</v>
      </c>
    </row>
    <row r="2115" customFormat="false" ht="15" hidden="false" customHeight="false" outlineLevel="0" collapsed="false">
      <c r="A2115" s="4" t="s">
        <v>422</v>
      </c>
      <c r="B2115" s="0" t="s">
        <v>184</v>
      </c>
      <c r="C2115" s="23" t="n">
        <f aca="false">a25_opx</f>
        <v>5.881</v>
      </c>
      <c r="D2115" s="23" t="n">
        <f aca="false">a26_opx</f>
        <v>6.824187</v>
      </c>
      <c r="E2115" s="23" t="n">
        <f aca="false">D2115*(1+MAX(g_opx_min,phi*E2106))</f>
        <v>7.02891261</v>
      </c>
      <c r="F2115" s="23" t="n">
        <f aca="false">E2115*(1+MAX(g_opx_min,phi*F2106))</f>
        <v>7.2397799883</v>
      </c>
      <c r="G2115" s="23" t="n">
        <f aca="false">F2115*(1+MAX(g_opx_min,phi*G2106))</f>
        <v>7.65809948467255</v>
      </c>
    </row>
    <row r="2116" customFormat="false" ht="15" hidden="false" customHeight="false" outlineLevel="0" collapsed="false">
      <c r="A2116" s="4" t="s">
        <v>425</v>
      </c>
      <c r="B2116" s="0" t="s">
        <v>184</v>
      </c>
      <c r="C2116" s="23" t="n">
        <f aca="false">C2113-C2115</f>
        <v>7.773</v>
      </c>
      <c r="D2116" s="23" t="n">
        <f aca="false">D2113-D2115</f>
        <v>12.2078344</v>
      </c>
      <c r="E2116" s="23" t="n">
        <f aca="false">E2113-E2115</f>
        <v>6.8433867097142</v>
      </c>
      <c r="F2116" s="23" t="n">
        <f aca="false">F2113-F2115</f>
        <v>2.76343499138354</v>
      </c>
      <c r="G2116" s="23" t="n">
        <f aca="false">G2113-G2115</f>
        <v>2.76645319097031</v>
      </c>
    </row>
    <row r="2117" customFormat="false" ht="15" hidden="false" customHeight="false" outlineLevel="0" collapsed="false">
      <c r="A2117" s="4" t="s">
        <v>531</v>
      </c>
      <c r="B2117" s="0" t="s">
        <v>48</v>
      </c>
      <c r="C2117" s="16" t="n">
        <f aca="false">C2116/C2103</f>
        <v>0.159967895289251</v>
      </c>
      <c r="D2117" s="16" t="n">
        <f aca="false">D2116/D2103</f>
        <v>0.208139908470393</v>
      </c>
      <c r="E2117" s="16" t="n">
        <f aca="false">E2116/E2103</f>
        <v>0.117550197066512</v>
      </c>
      <c r="F2117" s="16" t="n">
        <f aca="false">F2116/F2103</f>
        <v>0.046135153974598</v>
      </c>
      <c r="G2117" s="16" t="n">
        <f aca="false">G2116/G2103</f>
        <v>0.0414011663224375</v>
      </c>
    </row>
    <row r="2118" customFormat="false" ht="15" hidden="false" customHeight="false" outlineLevel="0" collapsed="false">
      <c r="A2118" s="4" t="s">
        <v>428</v>
      </c>
      <c r="B2118" s="0" t="s">
        <v>184</v>
      </c>
      <c r="C2118" s="23" t="n">
        <f aca="false">a25_nonop</f>
        <v>1.479</v>
      </c>
      <c r="D2118" s="23" t="n">
        <f aca="false">a26_nonop</f>
        <v>2.10950832169955</v>
      </c>
      <c r="E2118" s="23" t="n">
        <f aca="false">nonop_f</f>
        <v>1.5</v>
      </c>
      <c r="F2118" s="23" t="n">
        <f aca="false">nonop_f</f>
        <v>1.5</v>
      </c>
      <c r="G2118" s="23" t="n">
        <f aca="false">nonop_f</f>
        <v>1.5</v>
      </c>
    </row>
    <row r="2119" customFormat="false" ht="15" hidden="false" customHeight="false" outlineLevel="0" collapsed="false">
      <c r="A2119" s="4" t="s">
        <v>430</v>
      </c>
      <c r="B2119" s="0" t="s">
        <v>184</v>
      </c>
      <c r="C2119" s="23" t="n">
        <f aca="false">C2116+C2118</f>
        <v>9.252</v>
      </c>
      <c r="D2119" s="23" t="n">
        <f aca="false">D2116+D2118</f>
        <v>14.3173427216995</v>
      </c>
      <c r="E2119" s="23" t="n">
        <f aca="false">E2116+E2118</f>
        <v>8.3433867097142</v>
      </c>
      <c r="F2119" s="23" t="n">
        <f aca="false">F2116+F2118</f>
        <v>4.26343499138354</v>
      </c>
      <c r="G2119" s="23" t="n">
        <f aca="false">G2116+G2118</f>
        <v>4.26645319097031</v>
      </c>
    </row>
    <row r="2120" customFormat="false" ht="15" hidden="false" customHeight="false" outlineLevel="0" collapsed="false">
      <c r="A2120" s="4" t="s">
        <v>432</v>
      </c>
      <c r="B2120" s="0" t="s">
        <v>184</v>
      </c>
      <c r="C2120" s="23" t="n">
        <f aca="false">a25_tax</f>
        <v>1.344</v>
      </c>
      <c r="D2120" s="23" t="n">
        <f aca="false">a26_tax</f>
        <v>2.0798215108046</v>
      </c>
      <c r="E2120" s="23" t="n">
        <f aca="false">E2119*tax_lo</f>
        <v>1.0012064051657</v>
      </c>
      <c r="F2120" s="23" t="n">
        <f aca="false">F2119*tax_lo</f>
        <v>0.511612198966024</v>
      </c>
      <c r="G2120" s="23" t="n">
        <f aca="false">G2119*tax_lo</f>
        <v>0.511974382916437</v>
      </c>
    </row>
    <row r="2121" customFormat="false" ht="17.15" hidden="false" customHeight="false" outlineLevel="0" collapsed="false">
      <c r="A2121" s="4" t="s">
        <v>567</v>
      </c>
      <c r="B2121" s="0" t="s">
        <v>184</v>
      </c>
      <c r="C2121" s="23" t="n">
        <f aca="false">a25_mi</f>
        <v>0</v>
      </c>
      <c r="D2121" s="23" t="n">
        <f aca="false">a26_mi</f>
        <v>0</v>
      </c>
      <c r="E2121" s="23" t="n">
        <f aca="false">vmi*E2112*(1-tax_lo)</f>
        <v>-0.379551744</v>
      </c>
      <c r="F2121" s="23" t="n">
        <f aca="false">vmi*F2112*(1-tax_lo)</f>
        <v>0</v>
      </c>
      <c r="G2121" s="23" t="n">
        <f aca="false">vmi*G2112*(1-tax_lo)</f>
        <v>0.332107776</v>
      </c>
      <c r="K2121" s="8" t="s">
        <v>568</v>
      </c>
    </row>
    <row r="2122" customFormat="false" ht="15" hidden="false" customHeight="false" outlineLevel="0" collapsed="false">
      <c r="A2122" s="4" t="s">
        <v>435</v>
      </c>
      <c r="B2122" s="0" t="s">
        <v>184</v>
      </c>
      <c r="C2122" s="23" t="n">
        <f aca="false">C2119-C2120-C2121</f>
        <v>7.908</v>
      </c>
      <c r="D2122" s="23" t="n">
        <f aca="false">D2119-D2120-D2121</f>
        <v>12.2375212108949</v>
      </c>
      <c r="E2122" s="23" t="n">
        <f aca="false">E2119-E2120-E2121</f>
        <v>7.72173204854849</v>
      </c>
      <c r="F2122" s="23" t="n">
        <f aca="false">F2119-F2120-F2121</f>
        <v>3.75182279241751</v>
      </c>
      <c r="G2122" s="23" t="n">
        <f aca="false">G2119-G2120-G2121</f>
        <v>3.42237103205387</v>
      </c>
      <c r="H2122" s="29" t="n">
        <f aca="false">H2103*H2126</f>
        <v>3.46159282946874</v>
      </c>
      <c r="I2122" s="29" t="n">
        <f aca="false">I2103*I2126</f>
        <v>3.38101172765559</v>
      </c>
      <c r="J2122" s="29" t="n">
        <f aca="false">J2103*J2126</f>
        <v>3.18335258050034</v>
      </c>
    </row>
    <row r="2123" customFormat="false" ht="15" hidden="false" customHeight="false" outlineLevel="0" collapsed="false">
      <c r="A2123" s="4" t="s">
        <v>569</v>
      </c>
      <c r="B2123" s="4" t="s">
        <v>265</v>
      </c>
      <c r="C2123" s="10" t="n">
        <f aca="false">a25_sh</f>
        <v>1.8739336492891</v>
      </c>
      <c r="D2123" s="10" t="n">
        <f aca="false">a26_sh</f>
        <v>1.90613591916558</v>
      </c>
      <c r="E2123" s="10" t="n">
        <f aca="false">q_sh*(1+sh_g)</f>
        <v>1.90705128205128</v>
      </c>
      <c r="F2123" s="10" t="n">
        <f aca="false">E2123*(1+sh_g)</f>
        <v>1.90705128205128</v>
      </c>
      <c r="G2123" s="10" t="n">
        <f aca="false">F2123*(1+sh_g)</f>
        <v>1.90705128205128</v>
      </c>
      <c r="H2123" s="31" t="n">
        <f aca="false">G2123*(1+sh_g)</f>
        <v>1.90705128205128</v>
      </c>
      <c r="I2123" s="31" t="n">
        <f aca="false">H2123*(1+sh_g)</f>
        <v>1.90705128205128</v>
      </c>
      <c r="J2123" s="31" t="n">
        <f aca="false">I2123*(1+sh_g)</f>
        <v>1.90705128205128</v>
      </c>
    </row>
    <row r="2124" customFormat="false" ht="17.15" hidden="false" customHeight="false" outlineLevel="0" collapsed="false">
      <c r="A2124" s="0" t="s">
        <v>442</v>
      </c>
      <c r="B2124" s="0" t="s">
        <v>274</v>
      </c>
      <c r="C2124" s="23" t="n">
        <f aca="false">C2122/C2123</f>
        <v>4.22</v>
      </c>
      <c r="D2124" s="23" t="n">
        <f aca="false">D2122/D2123</f>
        <v>6.42006747150118</v>
      </c>
      <c r="E2124" s="23" t="n">
        <f aca="false">E2122/E2123</f>
        <v>4.04904268764224</v>
      </c>
      <c r="F2124" s="23" t="n">
        <f aca="false">F2122/F2123</f>
        <v>1.96734237182229</v>
      </c>
      <c r="G2124" s="23" t="n">
        <f aca="false">G2122/G2123</f>
        <v>1.79458783529547</v>
      </c>
      <c r="H2124" s="29" t="n">
        <f aca="false">H2122/H2123</f>
        <v>1.81515455931806</v>
      </c>
      <c r="I2124" s="29" t="n">
        <f aca="false">I2122/I2123</f>
        <v>1.77290026727487</v>
      </c>
      <c r="J2124" s="29" t="n">
        <f aca="false">J2122/J2123</f>
        <v>1.6692537901111</v>
      </c>
    </row>
    <row r="2125" customFormat="false" ht="17.15" hidden="false" customHeight="false" outlineLevel="0" collapsed="false">
      <c r="A2125" s="0" t="s">
        <v>570</v>
      </c>
      <c r="B2125" s="0" t="s">
        <v>48</v>
      </c>
      <c r="D2125" s="20" t="n">
        <f aca="false">D2124/C2124-1</f>
        <v>0.521343002725398</v>
      </c>
      <c r="E2125" s="20" t="n">
        <f aca="false">E2124/D2124-1</f>
        <v>-0.369314620817301</v>
      </c>
      <c r="F2125" s="20" t="n">
        <f aca="false">F2124/E2124-1</f>
        <v>-0.514121602662609</v>
      </c>
      <c r="G2125" s="20" t="n">
        <f aca="false">G2124/F2124-1</f>
        <v>-0.087811119712122</v>
      </c>
      <c r="H2125" s="27" t="n">
        <f aca="false">H2124/G2124-1</f>
        <v>0.0114604164912333</v>
      </c>
      <c r="I2125" s="27" t="n">
        <f aca="false">I2124/H2124-1</f>
        <v>-0.0232786193474731</v>
      </c>
      <c r="J2125" s="27" t="n">
        <f aca="false">J2124/I2124-1</f>
        <v>-0.0584615384615386</v>
      </c>
    </row>
    <row r="2126" customFormat="false" ht="17.15" hidden="false" customHeight="false" outlineLevel="0" collapsed="false">
      <c r="A2126" s="4" t="s">
        <v>571</v>
      </c>
      <c r="B2126" s="0" t="s">
        <v>48</v>
      </c>
      <c r="C2126" s="16" t="n">
        <f aca="false">C2122/C2103</f>
        <v>0.162746187565599</v>
      </c>
      <c r="D2126" s="16" t="n">
        <f aca="false">D2122/D2103</f>
        <v>0.208646059676249</v>
      </c>
      <c r="E2126" s="16" t="n">
        <f aca="false">E2122/E2103</f>
        <v>0.132637707396136</v>
      </c>
      <c r="F2126" s="16" t="n">
        <f aca="false">F2122/F2103</f>
        <v>0.0626361476760953</v>
      </c>
      <c r="G2126" s="16" t="n">
        <f aca="false">G2122/G2103</f>
        <v>0.0512172599838777</v>
      </c>
      <c r="H2126" s="28" t="n">
        <f aca="false">$G2126+($G$2126*0.8-$G2126)*1/3</f>
        <v>0.0478027759849525</v>
      </c>
      <c r="I2126" s="28" t="n">
        <f aca="false">$G2126+($G$2126*0.8-$G2126)*2/3</f>
        <v>0.0443882919860273</v>
      </c>
      <c r="J2126" s="28" t="n">
        <f aca="false">$G2126+($G$2126*0.8-$G2126)*3/3</f>
        <v>0.0409738079871022</v>
      </c>
    </row>
    <row r="2129" customFormat="false" ht="17.15" hidden="false" customHeight="false" outlineLevel="0" collapsed="false">
      <c r="A2129" s="1" t="s">
        <v>896</v>
      </c>
    </row>
    <row r="2130" customFormat="false" ht="17.15" hidden="false" customHeight="false" outlineLevel="0" collapsed="false">
      <c r="A2130" s="5" t="s">
        <v>24</v>
      </c>
      <c r="B2130" s="5" t="s">
        <v>25</v>
      </c>
      <c r="C2130" s="17" t="s">
        <v>394</v>
      </c>
      <c r="D2130" s="17" t="s">
        <v>521</v>
      </c>
      <c r="E2130" s="17" t="s">
        <v>480</v>
      </c>
      <c r="F2130" s="17" t="s">
        <v>481</v>
      </c>
      <c r="G2130" s="17" t="s">
        <v>482</v>
      </c>
      <c r="H2130" s="17" t="s">
        <v>522</v>
      </c>
      <c r="I2130" s="17" t="s">
        <v>523</v>
      </c>
      <c r="J2130" s="17" t="s">
        <v>524</v>
      </c>
      <c r="K2130" s="5" t="s">
        <v>357</v>
      </c>
    </row>
    <row r="2131" customFormat="false" ht="17.15" hidden="false" customHeight="false" outlineLevel="0" collapsed="false">
      <c r="A2131" s="6" t="s">
        <v>542</v>
      </c>
    </row>
    <row r="2132" customFormat="false" ht="17.15" hidden="false" customHeight="false" outlineLevel="0" collapsed="false">
      <c r="A2132" s="4" t="s">
        <v>543</v>
      </c>
      <c r="B2132" s="4" t="s">
        <v>42</v>
      </c>
      <c r="D2132" s="22" t="n">
        <f aca="false">cap_26</f>
        <v>3306</v>
      </c>
      <c r="E2132" s="22" t="n">
        <f aca="false">D2132*(1+capg27)*cap_adj</f>
        <v>3306</v>
      </c>
      <c r="F2132" s="22" t="n">
        <f aca="false">E2132*(1+capg28)</f>
        <v>3306</v>
      </c>
      <c r="G2132" s="22" t="n">
        <f aca="false">F2132*(1+capg29)</f>
        <v>3306</v>
      </c>
    </row>
    <row r="2133" customFormat="false" ht="15" hidden="false" customHeight="false" outlineLevel="0" collapsed="false">
      <c r="A2133" s="4" t="s">
        <v>544</v>
      </c>
      <c r="B2133" s="0" t="s">
        <v>48</v>
      </c>
      <c r="D2133" s="20" t="n">
        <f aca="false">a26_ship/cap_26</f>
        <v>0.8725</v>
      </c>
      <c r="E2133" s="20" t="n">
        <f aca="false">MIN(0.98,ut27_A+ut_adj)</f>
        <v>0.95</v>
      </c>
      <c r="F2133" s="20" t="n">
        <f aca="false">MIN(0.98,ut28_A+ut_adj)</f>
        <v>0.94</v>
      </c>
      <c r="G2133" s="20" t="n">
        <f aca="false">MIN(0.98,ut29_A+ut_adj)</f>
        <v>0.93</v>
      </c>
    </row>
    <row r="2134" customFormat="false" ht="17.15" hidden="false" customHeight="false" outlineLevel="0" collapsed="false">
      <c r="A2134" s="4" t="s">
        <v>545</v>
      </c>
      <c r="B2134" s="4" t="s">
        <v>42</v>
      </c>
      <c r="D2134" s="22" t="n">
        <f aca="false">D2132*D2133</f>
        <v>2884.485</v>
      </c>
      <c r="E2134" s="22" t="n">
        <f aca="false">E2132*E2133</f>
        <v>3140.7</v>
      </c>
      <c r="F2134" s="22" t="n">
        <f aca="false">F2132*F2133</f>
        <v>3107.64</v>
      </c>
      <c r="G2134" s="22" t="n">
        <f aca="false">G2132*G2133</f>
        <v>3074.58</v>
      </c>
    </row>
    <row r="2135" customFormat="false" ht="17.15" hidden="false" customHeight="false" outlineLevel="0" collapsed="false">
      <c r="A2135" s="4" t="s">
        <v>546</v>
      </c>
      <c r="B2135" s="0" t="s">
        <v>89</v>
      </c>
      <c r="D2135" s="22" t="n">
        <f aca="false">asp_26</f>
        <v>643.469405492234</v>
      </c>
      <c r="E2135" s="22" t="n">
        <f aca="false">D2135*(1+asp27_A)*(1+asp_adj)</f>
        <v>682.077569821768</v>
      </c>
      <c r="F2135" s="22" t="n">
        <f aca="false">E2135*(1+asp28_A)</f>
        <v>695.719121218203</v>
      </c>
      <c r="G2135" s="22" t="n">
        <f aca="false">F2135*(1+asp29_A)</f>
        <v>702.676312430385</v>
      </c>
    </row>
    <row r="2136" customFormat="false" ht="15" hidden="false" customHeight="false" outlineLevel="0" collapsed="false">
      <c r="A2136" s="4" t="s">
        <v>547</v>
      </c>
      <c r="B2136" s="0" t="s">
        <v>48</v>
      </c>
      <c r="E2136" s="20" t="n">
        <f aca="false">E2135/D2135-1</f>
        <v>0.0600000000000001</v>
      </c>
      <c r="F2136" s="20" t="n">
        <f aca="false">F2135/E2135-1</f>
        <v>0.02</v>
      </c>
      <c r="G2136" s="20" t="n">
        <f aca="false">G2135/F2135-1</f>
        <v>0.01</v>
      </c>
    </row>
    <row r="2137" customFormat="false" ht="15" hidden="false" customHeight="false" outlineLevel="0" collapsed="false">
      <c r="A2137" s="4" t="s">
        <v>548</v>
      </c>
      <c r="B2137" s="0" t="s">
        <v>35</v>
      </c>
      <c r="D2137" s="23" t="n">
        <f aca="false">fx_26</f>
        <v>31.6</v>
      </c>
      <c r="E2137" s="23" t="n">
        <f aca="false">fx</f>
        <v>32</v>
      </c>
      <c r="F2137" s="23" t="n">
        <f aca="false">fx</f>
        <v>32</v>
      </c>
      <c r="G2137" s="23" t="n">
        <f aca="false">fx</f>
        <v>32</v>
      </c>
    </row>
    <row r="2138" customFormat="false" ht="17.15" hidden="false" customHeight="false" outlineLevel="0" collapsed="false">
      <c r="A2138" s="0" t="s">
        <v>549</v>
      </c>
      <c r="B2138" s="0" t="s">
        <v>184</v>
      </c>
      <c r="D2138" s="23" t="n">
        <f aca="false">D2134*D2135*D2137/1000000</f>
        <v>58.65206</v>
      </c>
      <c r="E2138" s="23" t="n">
        <f aca="false">E2134*E2135*E2137/1000000</f>
        <v>68.5504327532552</v>
      </c>
      <c r="F2138" s="23" t="n">
        <f aca="false">F2134*F2135*F2137/1000000</f>
        <v>69.1854262356012</v>
      </c>
      <c r="G2138" s="23" t="n">
        <f aca="false">G2134*G2135*G2137/1000000</f>
        <v>69.1339051735108</v>
      </c>
    </row>
    <row r="2139" customFormat="false" ht="17.15" hidden="false" customHeight="false" outlineLevel="0" collapsed="false">
      <c r="A2139" s="6" t="s">
        <v>550</v>
      </c>
    </row>
    <row r="2140" customFormat="false" ht="17.15" hidden="false" customHeight="false" outlineLevel="0" collapsed="false">
      <c r="A2140" s="0" t="s">
        <v>551</v>
      </c>
      <c r="B2140" s="4" t="s">
        <v>42</v>
      </c>
      <c r="D2140" s="22" t="n">
        <f aca="false">0</f>
        <v>0</v>
      </c>
      <c r="E2140" s="22" t="n">
        <f aca="false">vcap27*vcap_adj</f>
        <v>144</v>
      </c>
      <c r="F2140" s="22" t="n">
        <f aca="false">vcap28*vcap_adj</f>
        <v>360</v>
      </c>
      <c r="G2140" s="22" t="n">
        <f aca="false">vcap29*vcap_adj</f>
        <v>504</v>
      </c>
    </row>
    <row r="2141" customFormat="false" ht="17.15" hidden="false" customHeight="false" outlineLevel="0" collapsed="false">
      <c r="A2141" s="0" t="s">
        <v>552</v>
      </c>
      <c r="B2141" s="0" t="s">
        <v>48</v>
      </c>
      <c r="E2141" s="20" t="n">
        <f aca="false">vut_A</f>
        <v>0.9</v>
      </c>
      <c r="F2141" s="20" t="n">
        <f aca="false">vut_A</f>
        <v>0.9</v>
      </c>
      <c r="G2141" s="20" t="n">
        <f aca="false">vut_A</f>
        <v>0.9</v>
      </c>
    </row>
    <row r="2142" customFormat="false" ht="17.15" hidden="false" customHeight="false" outlineLevel="0" collapsed="false">
      <c r="A2142" s="0" t="s">
        <v>553</v>
      </c>
      <c r="B2142" s="4" t="s">
        <v>42</v>
      </c>
      <c r="D2142" s="22" t="n">
        <f aca="false">0</f>
        <v>0</v>
      </c>
      <c r="E2142" s="22" t="n">
        <f aca="false">E2140*E2141</f>
        <v>129.6</v>
      </c>
      <c r="F2142" s="22" t="n">
        <f aca="false">F2140*F2141</f>
        <v>324</v>
      </c>
      <c r="G2142" s="22" t="n">
        <f aca="false">G2140*G2141</f>
        <v>453.6</v>
      </c>
    </row>
    <row r="2143" customFormat="false" ht="17.15" hidden="false" customHeight="false" outlineLevel="0" collapsed="false">
      <c r="A2143" s="0" t="s">
        <v>554</v>
      </c>
      <c r="B2143" s="0" t="s">
        <v>184</v>
      </c>
      <c r="D2143" s="23" t="n">
        <f aca="false">0</f>
        <v>0</v>
      </c>
      <c r="E2143" s="23" t="n">
        <f aca="false">E2142*vasp*E2137/1000000</f>
        <v>7.46496</v>
      </c>
      <c r="F2143" s="23" t="n">
        <f aca="false">F2142*vasp*F2137/1000000</f>
        <v>18.6624</v>
      </c>
      <c r="G2143" s="23" t="n">
        <f aca="false">G2142*vasp*G2137/1000000</f>
        <v>26.12736</v>
      </c>
    </row>
    <row r="2144" customFormat="false" ht="17.15" hidden="false" customHeight="false" outlineLevel="0" collapsed="false">
      <c r="A2144" s="4" t="s">
        <v>400</v>
      </c>
      <c r="B2144" s="0" t="s">
        <v>184</v>
      </c>
      <c r="C2144" s="23" t="n">
        <f aca="false">a25_rev</f>
        <v>48.591</v>
      </c>
      <c r="D2144" s="23" t="n">
        <f aca="false">D2138+D2143</f>
        <v>58.65206</v>
      </c>
      <c r="E2144" s="23" t="n">
        <f aca="false">E2138+E2143</f>
        <v>76.0153927532552</v>
      </c>
      <c r="F2144" s="23" t="n">
        <f aca="false">F2138+F2143</f>
        <v>87.8478262356012</v>
      </c>
      <c r="G2144" s="23" t="n">
        <f aca="false">G2138+G2143</f>
        <v>95.2612651735108</v>
      </c>
      <c r="H2144" s="29" t="n">
        <f aca="false">G2144*(1+H2147)</f>
        <v>102.525860976128</v>
      </c>
      <c r="I2144" s="29" t="n">
        <f aca="false">H2144*(1+I2147)</f>
        <v>109.51093266638</v>
      </c>
      <c r="J2144" s="29" t="n">
        <f aca="false">I2144*(1+J2147)</f>
        <v>116.081588626363</v>
      </c>
      <c r="K2144" s="8" t="s">
        <v>555</v>
      </c>
    </row>
    <row r="2145" customFormat="false" ht="17.15" hidden="false" customHeight="false" outlineLevel="0" collapsed="false">
      <c r="A2145" s="0" t="s">
        <v>556</v>
      </c>
      <c r="B2145" s="0" t="s">
        <v>48</v>
      </c>
      <c r="D2145" s="20" t="n">
        <f aca="false">D2143/D2144</f>
        <v>0</v>
      </c>
      <c r="E2145" s="20" t="n">
        <f aca="false">E2143/E2144</f>
        <v>0.0982032681753174</v>
      </c>
      <c r="F2145" s="20" t="n">
        <f aca="false">F2143/F2144</f>
        <v>0.212440088727396</v>
      </c>
      <c r="G2145" s="20" t="n">
        <f aca="false">G2143/G2144</f>
        <v>0.274270554274196</v>
      </c>
    </row>
    <row r="2146" customFormat="false" ht="17.15" hidden="false" customHeight="false" outlineLevel="0" collapsed="false">
      <c r="A2146" s="0" t="s">
        <v>557</v>
      </c>
      <c r="B2146" s="0" t="s">
        <v>48</v>
      </c>
      <c r="D2146" s="20" t="n">
        <f aca="false">ai_sh26</f>
        <v>0.1</v>
      </c>
      <c r="E2146" s="20" t="n">
        <f aca="false">ai_sh27_A</f>
        <v>0.25</v>
      </c>
      <c r="F2146" s="20" t="n">
        <f aca="false">ai_sh27_A</f>
        <v>0.25</v>
      </c>
      <c r="G2146" s="20" t="n">
        <f aca="false">ai_sh27_A</f>
        <v>0.25</v>
      </c>
    </row>
    <row r="2147" customFormat="false" ht="15" hidden="false" customHeight="false" outlineLevel="0" collapsed="false">
      <c r="A2147" s="4" t="s">
        <v>558</v>
      </c>
      <c r="B2147" s="0" t="s">
        <v>48</v>
      </c>
      <c r="D2147" s="20" t="n">
        <f aca="false">D2144/C2144-1</f>
        <v>0.207056039184211</v>
      </c>
      <c r="E2147" s="20" t="n">
        <f aca="false">E2144/D2144-1</f>
        <v>0.296039606337019</v>
      </c>
      <c r="F2147" s="20" t="n">
        <f aca="false">F2144/E2144-1</f>
        <v>0.155658387778826</v>
      </c>
      <c r="G2147" s="20" t="n">
        <f aca="false">G2144/F2144-1</f>
        <v>0.0843895547059683</v>
      </c>
      <c r="H2147" s="27" t="n">
        <f aca="false">$G2147+(fade_gA-$G2147)*1/3</f>
        <v>0.0762597031373122</v>
      </c>
      <c r="I2147" s="27" t="n">
        <f aca="false">$G2147+(fade_gA-$G2147)*2/3</f>
        <v>0.0681298515686561</v>
      </c>
      <c r="J2147" s="27" t="n">
        <f aca="false">$G2147+(fade_gA-$G2147)*3/3</f>
        <v>0.06</v>
      </c>
    </row>
    <row r="2148" customFormat="false" ht="17.15" hidden="false" customHeight="false" outlineLevel="0" collapsed="false">
      <c r="A2148" s="6" t="s">
        <v>559</v>
      </c>
    </row>
    <row r="2149" customFormat="false" ht="15" hidden="false" customHeight="false" outlineLevel="0" collapsed="false">
      <c r="A2149" s="4" t="s">
        <v>560</v>
      </c>
      <c r="B2149" s="0" t="s">
        <v>184</v>
      </c>
      <c r="D2149" s="23" t="n">
        <f aca="false">da_tot26*da_sh</f>
        <v>8.658</v>
      </c>
      <c r="E2149" s="23" t="n">
        <f aca="false">D2149*(1+dag_27+dag_adj)</f>
        <v>8.91774</v>
      </c>
      <c r="F2149" s="23" t="n">
        <f aca="false">E2149*(1+dag_28+dag_adj)</f>
        <v>9.0960948</v>
      </c>
      <c r="G2149" s="23" t="n">
        <f aca="false">F2149*(1+dag_29+dag_adj)</f>
        <v>9.0960948</v>
      </c>
    </row>
    <row r="2150" customFormat="false" ht="17.15" hidden="false" customHeight="false" outlineLevel="0" collapsed="false">
      <c r="A2150" s="4" t="s">
        <v>561</v>
      </c>
      <c r="B2150" s="0" t="s">
        <v>562</v>
      </c>
      <c r="D2150" s="23" t="n">
        <f aca="false">(D2138-a26_gp-D2149)/D2134*1000</f>
        <v>10.7339918911001</v>
      </c>
      <c r="E2150" s="23" t="n">
        <f aca="false">D2150*(1+cc_g)</f>
        <v>10.9486717289221</v>
      </c>
      <c r="F2150" s="23" t="n">
        <f aca="false">E2150*(1+cc_g)</f>
        <v>11.1676451635006</v>
      </c>
      <c r="G2150" s="23" t="n">
        <f aca="false">F2150*(1+cc_g)</f>
        <v>11.3909980667706</v>
      </c>
      <c r="K2150" s="8" t="s">
        <v>563</v>
      </c>
    </row>
    <row r="2151" customFormat="false" ht="17.15" hidden="false" customHeight="false" outlineLevel="0" collapsed="false">
      <c r="A2151" s="4" t="s">
        <v>564</v>
      </c>
      <c r="B2151" s="0" t="s">
        <v>184</v>
      </c>
      <c r="D2151" s="23" t="n">
        <f aca="false">D2150*D2134/1000</f>
        <v>30.9620386</v>
      </c>
      <c r="E2151" s="23" t="n">
        <f aca="false">E2150*E2134/1000</f>
        <v>34.3864932990258</v>
      </c>
      <c r="F2151" s="23" t="n">
        <f aca="false">F2150*F2134/1000</f>
        <v>34.705020815901</v>
      </c>
      <c r="G2151" s="23" t="n">
        <f aca="false">G2150*G2134/1000</f>
        <v>35.0225348361316</v>
      </c>
    </row>
    <row r="2152" customFormat="false" ht="17.15" hidden="false" customHeight="false" outlineLevel="0" collapsed="false">
      <c r="A2152" s="0" t="s">
        <v>565</v>
      </c>
      <c r="B2152" s="0" t="s">
        <v>48</v>
      </c>
      <c r="E2152" s="20" t="n">
        <f aca="false">vgm27_A</f>
        <v>0.05</v>
      </c>
      <c r="F2152" s="20" t="n">
        <f aca="false">vgm28_A</f>
        <v>0.2</v>
      </c>
      <c r="G2152" s="20" t="n">
        <f aca="false">vgm29_A</f>
        <v>0.25</v>
      </c>
    </row>
    <row r="2153" customFormat="false" ht="17.15" hidden="false" customHeight="false" outlineLevel="0" collapsed="false">
      <c r="A2153" s="0" t="s">
        <v>566</v>
      </c>
      <c r="B2153" s="0" t="s">
        <v>184</v>
      </c>
      <c r="D2153" s="23" t="n">
        <f aca="false">0</f>
        <v>0</v>
      </c>
      <c r="E2153" s="23" t="n">
        <f aca="false">E2143*E2152</f>
        <v>0.373248</v>
      </c>
      <c r="F2153" s="23" t="n">
        <f aca="false">F2143*F2152</f>
        <v>3.73248</v>
      </c>
      <c r="G2153" s="23" t="n">
        <f aca="false">G2143*G2152</f>
        <v>6.53184</v>
      </c>
    </row>
    <row r="2154" customFormat="false" ht="15" hidden="false" customHeight="false" outlineLevel="0" collapsed="false">
      <c r="A2154" s="4" t="s">
        <v>417</v>
      </c>
      <c r="B2154" s="0" t="s">
        <v>184</v>
      </c>
      <c r="C2154" s="23" t="n">
        <f aca="false">a25_gp</f>
        <v>13.654</v>
      </c>
      <c r="D2154" s="23" t="n">
        <f aca="false">D2138-D2149-D2151+D2153</f>
        <v>19.0320214</v>
      </c>
      <c r="E2154" s="23" t="n">
        <f aca="false">E2138-E2149-E2151+E2153</f>
        <v>25.6194474542294</v>
      </c>
      <c r="F2154" s="23" t="n">
        <f aca="false">F2138-F2149-F2151+F2153</f>
        <v>29.1167906197002</v>
      </c>
      <c r="G2154" s="23" t="n">
        <f aca="false">G2138-G2149-G2151+G2153</f>
        <v>31.5471155373793</v>
      </c>
    </row>
    <row r="2155" customFormat="false" ht="15" hidden="false" customHeight="false" outlineLevel="0" collapsed="false">
      <c r="A2155" s="4" t="s">
        <v>420</v>
      </c>
      <c r="B2155" s="0" t="s">
        <v>48</v>
      </c>
      <c r="C2155" s="16" t="n">
        <f aca="false">C2154/C2144</f>
        <v>0.280998538824062</v>
      </c>
      <c r="D2155" s="16" t="n">
        <f aca="false">D2154/D2144</f>
        <v>0.324490246378388</v>
      </c>
      <c r="E2155" s="16" t="n">
        <f aca="false">E2154/E2144</f>
        <v>0.33702973208847</v>
      </c>
      <c r="F2155" s="16" t="n">
        <f aca="false">F2154/F2144</f>
        <v>0.331445772392947</v>
      </c>
      <c r="G2155" s="16" t="n">
        <f aca="false">G2154/G2144</f>
        <v>0.331164146097773</v>
      </c>
    </row>
    <row r="2156" customFormat="false" ht="15" hidden="false" customHeight="false" outlineLevel="0" collapsed="false">
      <c r="A2156" s="4" t="s">
        <v>422</v>
      </c>
      <c r="B2156" s="0" t="s">
        <v>184</v>
      </c>
      <c r="C2156" s="23" t="n">
        <f aca="false">a25_opx</f>
        <v>5.881</v>
      </c>
      <c r="D2156" s="23" t="n">
        <f aca="false">a26_opx</f>
        <v>6.824187</v>
      </c>
      <c r="E2156" s="23" t="n">
        <f aca="false">D2156*(1+MAX(g_opx_min,phi*E2147))</f>
        <v>7.8343018165251</v>
      </c>
      <c r="F2156" s="23" t="n">
        <f aca="false">E2156*(1+MAX(g_opx_min,phi*F2147))</f>
        <v>8.44403921159161</v>
      </c>
      <c r="G2156" s="23" t="n">
        <f aca="false">F2156*(1+MAX(g_opx_min,phi*G2147))</f>
        <v>8.80033356608459</v>
      </c>
    </row>
    <row r="2157" customFormat="false" ht="15" hidden="false" customHeight="false" outlineLevel="0" collapsed="false">
      <c r="A2157" s="4" t="s">
        <v>425</v>
      </c>
      <c r="B2157" s="0" t="s">
        <v>184</v>
      </c>
      <c r="C2157" s="23" t="n">
        <f aca="false">C2154-C2156</f>
        <v>7.773</v>
      </c>
      <c r="D2157" s="23" t="n">
        <f aca="false">D2154-D2156</f>
        <v>12.2078344</v>
      </c>
      <c r="E2157" s="23" t="n">
        <f aca="false">E2154-E2156</f>
        <v>17.7851456377043</v>
      </c>
      <c r="F2157" s="23" t="n">
        <f aca="false">F2154-F2156</f>
        <v>20.6727514081086</v>
      </c>
      <c r="G2157" s="23" t="n">
        <f aca="false">G2154-G2156</f>
        <v>22.7467819712947</v>
      </c>
    </row>
    <row r="2158" customFormat="false" ht="15" hidden="false" customHeight="false" outlineLevel="0" collapsed="false">
      <c r="A2158" s="4" t="s">
        <v>531</v>
      </c>
      <c r="B2158" s="0" t="s">
        <v>48</v>
      </c>
      <c r="C2158" s="16" t="n">
        <f aca="false">C2157/C2144</f>
        <v>0.159967895289251</v>
      </c>
      <c r="D2158" s="16" t="n">
        <f aca="false">D2157/D2144</f>
        <v>0.208139908470393</v>
      </c>
      <c r="E2158" s="16" t="n">
        <f aca="false">E2157/E2144</f>
        <v>0.233967687247695</v>
      </c>
      <c r="F2158" s="16" t="n">
        <f aca="false">F2157/F2144</f>
        <v>0.235324564009881</v>
      </c>
      <c r="G2158" s="16" t="n">
        <f aca="false">G2157/G2144</f>
        <v>0.238783118509535</v>
      </c>
    </row>
    <row r="2159" customFormat="false" ht="15" hidden="false" customHeight="false" outlineLevel="0" collapsed="false">
      <c r="A2159" s="4" t="s">
        <v>428</v>
      </c>
      <c r="B2159" s="0" t="s">
        <v>184</v>
      </c>
      <c r="C2159" s="23" t="n">
        <f aca="false">a25_nonop</f>
        <v>1.479</v>
      </c>
      <c r="D2159" s="23" t="n">
        <f aca="false">a26_nonop</f>
        <v>2.10950832169955</v>
      </c>
      <c r="E2159" s="23" t="n">
        <f aca="false">nonop_f</f>
        <v>1.5</v>
      </c>
      <c r="F2159" s="23" t="n">
        <f aca="false">nonop_f</f>
        <v>1.5</v>
      </c>
      <c r="G2159" s="23" t="n">
        <f aca="false">nonop_f</f>
        <v>1.5</v>
      </c>
    </row>
    <row r="2160" customFormat="false" ht="15" hidden="false" customHeight="false" outlineLevel="0" collapsed="false">
      <c r="A2160" s="4" t="s">
        <v>430</v>
      </c>
      <c r="B2160" s="0" t="s">
        <v>184</v>
      </c>
      <c r="C2160" s="23" t="n">
        <f aca="false">C2157+C2159</f>
        <v>9.252</v>
      </c>
      <c r="D2160" s="23" t="n">
        <f aca="false">D2157+D2159</f>
        <v>14.3173427216995</v>
      </c>
      <c r="E2160" s="23" t="n">
        <f aca="false">E2157+E2159</f>
        <v>19.2851456377043</v>
      </c>
      <c r="F2160" s="23" t="n">
        <f aca="false">F2157+F2159</f>
        <v>22.1727514081086</v>
      </c>
      <c r="G2160" s="23" t="n">
        <f aca="false">G2157+G2159</f>
        <v>24.2467819712947</v>
      </c>
    </row>
    <row r="2161" customFormat="false" ht="15" hidden="false" customHeight="false" outlineLevel="0" collapsed="false">
      <c r="A2161" s="4" t="s">
        <v>432</v>
      </c>
      <c r="B2161" s="0" t="s">
        <v>184</v>
      </c>
      <c r="C2161" s="23" t="n">
        <f aca="false">a25_tax</f>
        <v>1.344</v>
      </c>
      <c r="D2161" s="23" t="n">
        <f aca="false">a26_tax</f>
        <v>2.0798215108046</v>
      </c>
      <c r="E2161" s="23" t="n">
        <f aca="false">E2160*tax_hi</f>
        <v>3.85702912754087</v>
      </c>
      <c r="F2161" s="23" t="n">
        <f aca="false">F2160*tax_hi</f>
        <v>4.43455028162172</v>
      </c>
      <c r="G2161" s="23" t="n">
        <f aca="false">G2160*tax_hi</f>
        <v>4.84935639425894</v>
      </c>
    </row>
    <row r="2162" customFormat="false" ht="17.15" hidden="false" customHeight="false" outlineLevel="0" collapsed="false">
      <c r="A2162" s="4" t="s">
        <v>567</v>
      </c>
      <c r="B2162" s="0" t="s">
        <v>184</v>
      </c>
      <c r="C2162" s="23" t="n">
        <f aca="false">a25_mi</f>
        <v>0</v>
      </c>
      <c r="D2162" s="23" t="n">
        <f aca="false">a26_mi</f>
        <v>0</v>
      </c>
      <c r="E2162" s="23" t="n">
        <f aca="false">vmi*E2153*(1-tax_hi)</f>
        <v>0.11943936</v>
      </c>
      <c r="F2162" s="23" t="n">
        <f aca="false">vmi*F2153*(1-tax_hi)</f>
        <v>1.1943936</v>
      </c>
      <c r="G2162" s="23" t="n">
        <f aca="false">vmi*G2153*(1-tax_hi)</f>
        <v>2.0901888</v>
      </c>
      <c r="K2162" s="8" t="s">
        <v>568</v>
      </c>
    </row>
    <row r="2163" customFormat="false" ht="15" hidden="false" customHeight="false" outlineLevel="0" collapsed="false">
      <c r="A2163" s="4" t="s">
        <v>435</v>
      </c>
      <c r="B2163" s="0" t="s">
        <v>184</v>
      </c>
      <c r="C2163" s="23" t="n">
        <f aca="false">C2160-C2161-C2162</f>
        <v>7.908</v>
      </c>
      <c r="D2163" s="23" t="n">
        <f aca="false">D2160-D2161-D2162</f>
        <v>12.2375212108949</v>
      </c>
      <c r="E2163" s="23" t="n">
        <f aca="false">E2160-E2161-E2162</f>
        <v>15.3086771501635</v>
      </c>
      <c r="F2163" s="23" t="n">
        <f aca="false">F2160-F2161-F2162</f>
        <v>16.5438075264869</v>
      </c>
      <c r="G2163" s="23" t="n">
        <f aca="false">G2160-G2161-G2162</f>
        <v>17.3072367770358</v>
      </c>
      <c r="H2163" s="29" t="n">
        <f aca="false">H2144*H2167</f>
        <v>18.6270815157797</v>
      </c>
      <c r="I2163" s="29" t="n">
        <f aca="false">I2144*I2167</f>
        <v>19.896141814607</v>
      </c>
      <c r="J2163" s="29" t="n">
        <f aca="false">J2144*J2167</f>
        <v>21.0899103234834</v>
      </c>
    </row>
    <row r="2164" customFormat="false" ht="15" hidden="false" customHeight="false" outlineLevel="0" collapsed="false">
      <c r="A2164" s="4" t="s">
        <v>569</v>
      </c>
      <c r="B2164" s="4" t="s">
        <v>265</v>
      </c>
      <c r="C2164" s="10" t="n">
        <f aca="false">a25_sh</f>
        <v>1.8739336492891</v>
      </c>
      <c r="D2164" s="10" t="n">
        <f aca="false">a26_sh</f>
        <v>1.90613591916558</v>
      </c>
      <c r="E2164" s="10" t="n">
        <f aca="false">q_sh*(1+sh_g)</f>
        <v>1.90705128205128</v>
      </c>
      <c r="F2164" s="10" t="n">
        <f aca="false">E2164*(1+sh_g)</f>
        <v>1.90705128205128</v>
      </c>
      <c r="G2164" s="10" t="n">
        <f aca="false">F2164*(1+sh_g)</f>
        <v>1.90705128205128</v>
      </c>
      <c r="H2164" s="31" t="n">
        <f aca="false">G2164*(1+sh_g)</f>
        <v>1.90705128205128</v>
      </c>
      <c r="I2164" s="31" t="n">
        <f aca="false">H2164*(1+sh_g)</f>
        <v>1.90705128205128</v>
      </c>
      <c r="J2164" s="31" t="n">
        <f aca="false">I2164*(1+sh_g)</f>
        <v>1.90705128205128</v>
      </c>
    </row>
    <row r="2165" customFormat="false" ht="17.15" hidden="false" customHeight="false" outlineLevel="0" collapsed="false">
      <c r="A2165" s="0" t="s">
        <v>442</v>
      </c>
      <c r="B2165" s="0" t="s">
        <v>274</v>
      </c>
      <c r="C2165" s="23" t="n">
        <f aca="false">C2163/C2164</f>
        <v>4.22</v>
      </c>
      <c r="D2165" s="23" t="n">
        <f aca="false">D2163/D2164</f>
        <v>6.42006747150118</v>
      </c>
      <c r="E2165" s="23" t="n">
        <f aca="false">E2163/E2164</f>
        <v>8.02740717790085</v>
      </c>
      <c r="F2165" s="23" t="n">
        <f aca="false">F2163/F2164</f>
        <v>8.67507218195614</v>
      </c>
      <c r="G2165" s="23" t="n">
        <f aca="false">G2163/G2164</f>
        <v>9.0753913856053</v>
      </c>
      <c r="H2165" s="29" t="n">
        <f aca="false">H2163/H2164</f>
        <v>9.76747803852648</v>
      </c>
      <c r="I2165" s="29" t="n">
        <f aca="false">I2163/I2164</f>
        <v>10.4329348674914</v>
      </c>
      <c r="J2165" s="29" t="n">
        <f aca="false">J2163/J2164</f>
        <v>11.0589109595409</v>
      </c>
    </row>
    <row r="2166" customFormat="false" ht="17.15" hidden="false" customHeight="false" outlineLevel="0" collapsed="false">
      <c r="A2166" s="0" t="s">
        <v>570</v>
      </c>
      <c r="B2166" s="0" t="s">
        <v>48</v>
      </c>
      <c r="D2166" s="20" t="n">
        <f aca="false">D2165/C2165-1</f>
        <v>0.521343002725398</v>
      </c>
      <c r="E2166" s="20" t="n">
        <f aca="false">E2165/D2165-1</f>
        <v>0.250361809051803</v>
      </c>
      <c r="F2166" s="20" t="n">
        <f aca="false">F2165/E2165-1</f>
        <v>0.080681718231298</v>
      </c>
      <c r="G2166" s="20" t="n">
        <f aca="false">G2165/F2165-1</f>
        <v>0.0461459219304035</v>
      </c>
      <c r="H2166" s="27" t="n">
        <f aca="false">H2165/G2165-1</f>
        <v>0.076259703137312</v>
      </c>
      <c r="I2166" s="27" t="n">
        <f aca="false">I2165/H2165-1</f>
        <v>0.0681298515686561</v>
      </c>
      <c r="J2166" s="27" t="n">
        <f aca="false">J2165/I2165-1</f>
        <v>0.0600000000000003</v>
      </c>
    </row>
    <row r="2167" customFormat="false" ht="17.15" hidden="false" customHeight="false" outlineLevel="0" collapsed="false">
      <c r="A2167" s="4" t="s">
        <v>571</v>
      </c>
      <c r="B2167" s="0" t="s">
        <v>48</v>
      </c>
      <c r="C2167" s="16" t="n">
        <f aca="false">C2163/C2144</f>
        <v>0.162746187565599</v>
      </c>
      <c r="D2167" s="16" t="n">
        <f aca="false">D2163/D2144</f>
        <v>0.208646059676249</v>
      </c>
      <c r="E2167" s="16" t="n">
        <f aca="false">E2163/E2144</f>
        <v>0.201389173898702</v>
      </c>
      <c r="F2167" s="16" t="n">
        <f aca="false">F2163/F2144</f>
        <v>0.188323470658427</v>
      </c>
      <c r="G2167" s="16" t="n">
        <f aca="false">G2163/G2144</f>
        <v>0.181681785828815</v>
      </c>
      <c r="H2167" s="28" t="n">
        <f aca="false">$G2167+($G$2167*1-$G2167)*1/3</f>
        <v>0.181681785828815</v>
      </c>
      <c r="I2167" s="28" t="n">
        <f aca="false">$G2167+($G$2167*1-$G2167)*2/3</f>
        <v>0.181681785828815</v>
      </c>
      <c r="J2167" s="28" t="n">
        <f aca="false">$G2167+($G$2167*1-$G2167)*3/3</f>
        <v>0.181681785828815</v>
      </c>
    </row>
    <row r="2170" customFormat="false" ht="17.15" hidden="false" customHeight="false" outlineLevel="0" collapsed="false">
      <c r="A2170" s="1" t="s">
        <v>897</v>
      </c>
    </row>
    <row r="2171" customFormat="false" ht="17.15" hidden="false" customHeight="false" outlineLevel="0" collapsed="false">
      <c r="A2171" s="5" t="s">
        <v>24</v>
      </c>
      <c r="B2171" s="5" t="s">
        <v>25</v>
      </c>
      <c r="C2171" s="17" t="s">
        <v>394</v>
      </c>
      <c r="D2171" s="17" t="s">
        <v>521</v>
      </c>
      <c r="E2171" s="17" t="s">
        <v>480</v>
      </c>
      <c r="F2171" s="17" t="s">
        <v>481</v>
      </c>
      <c r="G2171" s="17" t="s">
        <v>482</v>
      </c>
      <c r="H2171" s="17" t="s">
        <v>522</v>
      </c>
      <c r="I2171" s="17" t="s">
        <v>523</v>
      </c>
      <c r="J2171" s="17" t="s">
        <v>524</v>
      </c>
      <c r="K2171" s="5" t="s">
        <v>357</v>
      </c>
    </row>
    <row r="2172" customFormat="false" ht="17.15" hidden="false" customHeight="false" outlineLevel="0" collapsed="false">
      <c r="A2172" s="6" t="s">
        <v>542</v>
      </c>
    </row>
    <row r="2173" customFormat="false" ht="17.15" hidden="false" customHeight="false" outlineLevel="0" collapsed="false">
      <c r="A2173" s="4" t="s">
        <v>543</v>
      </c>
      <c r="B2173" s="4" t="s">
        <v>42</v>
      </c>
      <c r="D2173" s="22" t="n">
        <f aca="false">cap_26</f>
        <v>3306</v>
      </c>
      <c r="E2173" s="22" t="n">
        <f aca="false">D2173*(1+capg27)*cap_adj</f>
        <v>3306</v>
      </c>
      <c r="F2173" s="22" t="n">
        <f aca="false">E2173*(1+capg28)</f>
        <v>3306</v>
      </c>
      <c r="G2173" s="22" t="n">
        <f aca="false">F2173*(1+capg29)</f>
        <v>3306</v>
      </c>
    </row>
    <row r="2174" customFormat="false" ht="15" hidden="false" customHeight="false" outlineLevel="0" collapsed="false">
      <c r="A2174" s="4" t="s">
        <v>544</v>
      </c>
      <c r="B2174" s="0" t="s">
        <v>48</v>
      </c>
      <c r="D2174" s="20" t="n">
        <f aca="false">a26_ship/cap_26</f>
        <v>0.8725</v>
      </c>
      <c r="E2174" s="20" t="n">
        <f aca="false">MIN(0.98,ut27_B+ut_adj)</f>
        <v>0.9</v>
      </c>
      <c r="F2174" s="20" t="n">
        <f aca="false">MIN(0.98,ut28_B+ut_adj)</f>
        <v>0.86</v>
      </c>
      <c r="G2174" s="20" t="n">
        <f aca="false">MIN(0.98,ut29_B+ut_adj)</f>
        <v>0.87</v>
      </c>
    </row>
    <row r="2175" customFormat="false" ht="17.15" hidden="false" customHeight="false" outlineLevel="0" collapsed="false">
      <c r="A2175" s="4" t="s">
        <v>545</v>
      </c>
      <c r="B2175" s="4" t="s">
        <v>42</v>
      </c>
      <c r="D2175" s="22" t="n">
        <f aca="false">D2173*D2174</f>
        <v>2884.485</v>
      </c>
      <c r="E2175" s="22" t="n">
        <f aca="false">E2173*E2174</f>
        <v>2975.4</v>
      </c>
      <c r="F2175" s="22" t="n">
        <f aca="false">F2173*F2174</f>
        <v>2843.16</v>
      </c>
      <c r="G2175" s="22" t="n">
        <f aca="false">G2173*G2174</f>
        <v>2876.22</v>
      </c>
    </row>
    <row r="2176" customFormat="false" ht="17.15" hidden="false" customHeight="false" outlineLevel="0" collapsed="false">
      <c r="A2176" s="4" t="s">
        <v>546</v>
      </c>
      <c r="B2176" s="0" t="s">
        <v>89</v>
      </c>
      <c r="D2176" s="22" t="n">
        <f aca="false">asp_26</f>
        <v>643.469405492234</v>
      </c>
      <c r="E2176" s="22" t="n">
        <f aca="false">D2176*(1+asp27_B)*(1+asp_adj)</f>
        <v>662.773487657001</v>
      </c>
      <c r="F2176" s="22" t="n">
        <f aca="false">E2176*(1+asp28_B)</f>
        <v>662.773487657001</v>
      </c>
      <c r="G2176" s="22" t="n">
        <f aca="false">F2176*(1+asp29_B)</f>
        <v>662.773487657001</v>
      </c>
    </row>
    <row r="2177" customFormat="false" ht="15" hidden="false" customHeight="false" outlineLevel="0" collapsed="false">
      <c r="A2177" s="4" t="s">
        <v>547</v>
      </c>
      <c r="B2177" s="0" t="s">
        <v>48</v>
      </c>
      <c r="E2177" s="20" t="n">
        <f aca="false">E2176/D2176-1</f>
        <v>0.03</v>
      </c>
      <c r="F2177" s="20" t="n">
        <f aca="false">F2176/E2176-1</f>
        <v>0</v>
      </c>
      <c r="G2177" s="20" t="n">
        <f aca="false">G2176/F2176-1</f>
        <v>0</v>
      </c>
    </row>
    <row r="2178" customFormat="false" ht="15" hidden="false" customHeight="false" outlineLevel="0" collapsed="false">
      <c r="A2178" s="4" t="s">
        <v>548</v>
      </c>
      <c r="B2178" s="0" t="s">
        <v>35</v>
      </c>
      <c r="D2178" s="23" t="n">
        <f aca="false">fx_26</f>
        <v>31.6</v>
      </c>
      <c r="E2178" s="23" t="n">
        <f aca="false">fx</f>
        <v>32</v>
      </c>
      <c r="F2178" s="23" t="n">
        <f aca="false">fx</f>
        <v>32</v>
      </c>
      <c r="G2178" s="23" t="n">
        <f aca="false">fx</f>
        <v>32</v>
      </c>
    </row>
    <row r="2179" customFormat="false" ht="17.15" hidden="false" customHeight="false" outlineLevel="0" collapsed="false">
      <c r="A2179" s="0" t="s">
        <v>549</v>
      </c>
      <c r="B2179" s="0" t="s">
        <v>184</v>
      </c>
      <c r="D2179" s="23" t="n">
        <f aca="false">D2175*D2176*D2178/1000000</f>
        <v>58.65206</v>
      </c>
      <c r="E2179" s="23" t="n">
        <f aca="false">E2175*E2176*E2178/1000000</f>
        <v>63.1045195255885</v>
      </c>
      <c r="F2179" s="23" t="n">
        <f aca="false">F2175*F2176*F2178/1000000</f>
        <v>60.2998742133401</v>
      </c>
      <c r="G2179" s="23" t="n">
        <f aca="false">G2175*G2176*G2178/1000000</f>
        <v>61.0010355414022</v>
      </c>
    </row>
    <row r="2180" customFormat="false" ht="17.15" hidden="false" customHeight="false" outlineLevel="0" collapsed="false">
      <c r="A2180" s="6" t="s">
        <v>550</v>
      </c>
    </row>
    <row r="2181" customFormat="false" ht="17.15" hidden="false" customHeight="false" outlineLevel="0" collapsed="false">
      <c r="A2181" s="0" t="s">
        <v>551</v>
      </c>
      <c r="B2181" s="4" t="s">
        <v>42</v>
      </c>
      <c r="D2181" s="22" t="n">
        <f aca="false">0</f>
        <v>0</v>
      </c>
      <c r="E2181" s="22" t="n">
        <f aca="false">vcap27*vcap_adj</f>
        <v>144</v>
      </c>
      <c r="F2181" s="22" t="n">
        <f aca="false">vcap28*vcap_adj</f>
        <v>360</v>
      </c>
      <c r="G2181" s="22" t="n">
        <f aca="false">vcap29*vcap_adj</f>
        <v>504</v>
      </c>
    </row>
    <row r="2182" customFormat="false" ht="17.15" hidden="false" customHeight="false" outlineLevel="0" collapsed="false">
      <c r="A2182" s="0" t="s">
        <v>552</v>
      </c>
      <c r="B2182" s="0" t="s">
        <v>48</v>
      </c>
      <c r="E2182" s="20" t="n">
        <f aca="false">vut_B</f>
        <v>0.8</v>
      </c>
      <c r="F2182" s="20" t="n">
        <f aca="false">vut_B</f>
        <v>0.8</v>
      </c>
      <c r="G2182" s="20" t="n">
        <f aca="false">vut_B</f>
        <v>0.8</v>
      </c>
    </row>
    <row r="2183" customFormat="false" ht="17.15" hidden="false" customHeight="false" outlineLevel="0" collapsed="false">
      <c r="A2183" s="0" t="s">
        <v>553</v>
      </c>
      <c r="B2183" s="4" t="s">
        <v>42</v>
      </c>
      <c r="D2183" s="22" t="n">
        <f aca="false">0</f>
        <v>0</v>
      </c>
      <c r="E2183" s="22" t="n">
        <f aca="false">E2181*E2182</f>
        <v>115.2</v>
      </c>
      <c r="F2183" s="22" t="n">
        <f aca="false">F2181*F2182</f>
        <v>288</v>
      </c>
      <c r="G2183" s="22" t="n">
        <f aca="false">G2181*G2182</f>
        <v>403.2</v>
      </c>
    </row>
    <row r="2184" customFormat="false" ht="17.15" hidden="false" customHeight="false" outlineLevel="0" collapsed="false">
      <c r="A2184" s="0" t="s">
        <v>554</v>
      </c>
      <c r="B2184" s="0" t="s">
        <v>184</v>
      </c>
      <c r="D2184" s="23" t="n">
        <f aca="false">0</f>
        <v>0</v>
      </c>
      <c r="E2184" s="23" t="n">
        <f aca="false">E2183*vasp*E2178/1000000</f>
        <v>6.63552</v>
      </c>
      <c r="F2184" s="23" t="n">
        <f aca="false">F2183*vasp*F2178/1000000</f>
        <v>16.5888</v>
      </c>
      <c r="G2184" s="23" t="n">
        <f aca="false">G2183*vasp*G2178/1000000</f>
        <v>23.22432</v>
      </c>
    </row>
    <row r="2185" customFormat="false" ht="17.15" hidden="false" customHeight="false" outlineLevel="0" collapsed="false">
      <c r="A2185" s="4" t="s">
        <v>400</v>
      </c>
      <c r="B2185" s="0" t="s">
        <v>184</v>
      </c>
      <c r="C2185" s="23" t="n">
        <f aca="false">a25_rev</f>
        <v>48.591</v>
      </c>
      <c r="D2185" s="23" t="n">
        <f aca="false">D2179+D2184</f>
        <v>58.65206</v>
      </c>
      <c r="E2185" s="23" t="n">
        <f aca="false">E2179+E2184</f>
        <v>69.7400395255885</v>
      </c>
      <c r="F2185" s="23" t="n">
        <f aca="false">F2179+F2184</f>
        <v>76.8886742133401</v>
      </c>
      <c r="G2185" s="23" t="n">
        <f aca="false">G2179+G2184</f>
        <v>84.2253555414022</v>
      </c>
      <c r="H2185" s="29" t="n">
        <f aca="false">G2185*(1+H2188)</f>
        <v>90.7061896343453</v>
      </c>
      <c r="I2185" s="29" t="n">
        <f aca="false">H2185*(1+I2188)</f>
        <v>96.0100687533499</v>
      </c>
      <c r="J2185" s="29" t="n">
        <f aca="false">I2185*(1+J2188)</f>
        <v>99.8504715034839</v>
      </c>
      <c r="K2185" s="8" t="s">
        <v>555</v>
      </c>
    </row>
    <row r="2186" customFormat="false" ht="17.15" hidden="false" customHeight="false" outlineLevel="0" collapsed="false">
      <c r="A2186" s="0" t="s">
        <v>556</v>
      </c>
      <c r="B2186" s="0" t="s">
        <v>48</v>
      </c>
      <c r="D2186" s="20" t="n">
        <f aca="false">D2184/D2185</f>
        <v>0</v>
      </c>
      <c r="E2186" s="20" t="n">
        <f aca="false">E2184/E2185</f>
        <v>0.0951464903825491</v>
      </c>
      <c r="F2186" s="20" t="n">
        <f aca="false">F2184/F2185</f>
        <v>0.215750891398799</v>
      </c>
      <c r="G2186" s="20" t="n">
        <f aca="false">G2184/G2185</f>
        <v>0.275740242955505</v>
      </c>
    </row>
    <row r="2187" customFormat="false" ht="17.15" hidden="false" customHeight="false" outlineLevel="0" collapsed="false">
      <c r="A2187" s="0" t="s">
        <v>557</v>
      </c>
      <c r="B2187" s="0" t="s">
        <v>48</v>
      </c>
      <c r="D2187" s="20" t="n">
        <f aca="false">ai_sh26</f>
        <v>0.1</v>
      </c>
      <c r="E2187" s="20" t="n">
        <f aca="false">ai_sh27_B</f>
        <v>0.2</v>
      </c>
      <c r="F2187" s="20" t="n">
        <f aca="false">ai_sh27_B</f>
        <v>0.2</v>
      </c>
      <c r="G2187" s="20" t="n">
        <f aca="false">ai_sh27_B</f>
        <v>0.2</v>
      </c>
    </row>
    <row r="2188" customFormat="false" ht="15" hidden="false" customHeight="false" outlineLevel="0" collapsed="false">
      <c r="A2188" s="4" t="s">
        <v>558</v>
      </c>
      <c r="B2188" s="0" t="s">
        <v>48</v>
      </c>
      <c r="D2188" s="20" t="n">
        <f aca="false">D2185/C2185-1</f>
        <v>0.207056039184211</v>
      </c>
      <c r="E2188" s="20" t="n">
        <f aca="false">E2185/D2185-1</f>
        <v>0.189046719340949</v>
      </c>
      <c r="F2188" s="20" t="n">
        <f aca="false">F2185/E2185-1</f>
        <v>0.10250402403527</v>
      </c>
      <c r="G2188" s="20" t="n">
        <f aca="false">G2185/F2185-1</f>
        <v>0.095419532240929</v>
      </c>
      <c r="H2188" s="27" t="n">
        <f aca="false">$G2188+(fade_gB-$G2188)*1/3</f>
        <v>0.076946354827286</v>
      </c>
      <c r="I2188" s="27" t="n">
        <f aca="false">$G2188+(fade_gB-$G2188)*2/3</f>
        <v>0.058473177413643</v>
      </c>
      <c r="J2188" s="27" t="n">
        <f aca="false">$G2188+(fade_gB-$G2188)*3/3</f>
        <v>0.04</v>
      </c>
    </row>
    <row r="2189" customFormat="false" ht="17.15" hidden="false" customHeight="false" outlineLevel="0" collapsed="false">
      <c r="A2189" s="6" t="s">
        <v>559</v>
      </c>
    </row>
    <row r="2190" customFormat="false" ht="15" hidden="false" customHeight="false" outlineLevel="0" collapsed="false">
      <c r="A2190" s="4" t="s">
        <v>560</v>
      </c>
      <c r="B2190" s="0" t="s">
        <v>184</v>
      </c>
      <c r="D2190" s="23" t="n">
        <f aca="false">da_tot26*da_sh</f>
        <v>8.658</v>
      </c>
      <c r="E2190" s="23" t="n">
        <f aca="false">D2190*(1+dag_27+dag_adj)</f>
        <v>8.91774</v>
      </c>
      <c r="F2190" s="23" t="n">
        <f aca="false">E2190*(1+dag_28+dag_adj)</f>
        <v>9.0960948</v>
      </c>
      <c r="G2190" s="23" t="n">
        <f aca="false">F2190*(1+dag_29+dag_adj)</f>
        <v>9.0960948</v>
      </c>
    </row>
    <row r="2191" customFormat="false" ht="17.15" hidden="false" customHeight="false" outlineLevel="0" collapsed="false">
      <c r="A2191" s="4" t="s">
        <v>561</v>
      </c>
      <c r="B2191" s="0" t="s">
        <v>562</v>
      </c>
      <c r="D2191" s="23" t="n">
        <f aca="false">(D2179-a26_gp-D2190)/D2175*1000</f>
        <v>10.7339918911001</v>
      </c>
      <c r="E2191" s="23" t="n">
        <f aca="false">D2191*(1+cc_g)</f>
        <v>10.9486717289221</v>
      </c>
      <c r="F2191" s="23" t="n">
        <f aca="false">E2191*(1+cc_g)</f>
        <v>11.1676451635006</v>
      </c>
      <c r="G2191" s="23" t="n">
        <f aca="false">F2191*(1+cc_g)</f>
        <v>11.3909980667706</v>
      </c>
      <c r="K2191" s="8" t="s">
        <v>563</v>
      </c>
    </row>
    <row r="2192" customFormat="false" ht="17.15" hidden="false" customHeight="false" outlineLevel="0" collapsed="false">
      <c r="A2192" s="4" t="s">
        <v>564</v>
      </c>
      <c r="B2192" s="0" t="s">
        <v>184</v>
      </c>
      <c r="D2192" s="23" t="n">
        <f aca="false">D2191*D2175/1000</f>
        <v>30.9620386</v>
      </c>
      <c r="E2192" s="23" t="n">
        <f aca="false">E2191*E2175/1000</f>
        <v>32.576677862235</v>
      </c>
      <c r="F2192" s="23" t="n">
        <f aca="false">F2191*F2175/1000</f>
        <v>31.7514020230583</v>
      </c>
      <c r="G2192" s="23" t="n">
        <f aca="false">G2191*G2175/1000</f>
        <v>32.7630164596069</v>
      </c>
    </row>
    <row r="2193" customFormat="false" ht="17.15" hidden="false" customHeight="false" outlineLevel="0" collapsed="false">
      <c r="A2193" s="0" t="s">
        <v>565</v>
      </c>
      <c r="B2193" s="0" t="s">
        <v>48</v>
      </c>
      <c r="E2193" s="20" t="n">
        <f aca="false">vgm27_B</f>
        <v>-0.05</v>
      </c>
      <c r="F2193" s="20" t="n">
        <f aca="false">vgm28_B</f>
        <v>0.12</v>
      </c>
      <c r="G2193" s="20" t="n">
        <f aca="false">vgm29_B</f>
        <v>0.18</v>
      </c>
    </row>
    <row r="2194" customFormat="false" ht="17.15" hidden="false" customHeight="false" outlineLevel="0" collapsed="false">
      <c r="A2194" s="0" t="s">
        <v>566</v>
      </c>
      <c r="B2194" s="0" t="s">
        <v>184</v>
      </c>
      <c r="D2194" s="23" t="n">
        <f aca="false">0</f>
        <v>0</v>
      </c>
      <c r="E2194" s="23" t="n">
        <f aca="false">E2184*E2193</f>
        <v>-0.331776</v>
      </c>
      <c r="F2194" s="23" t="n">
        <f aca="false">F2184*F2193</f>
        <v>1.990656</v>
      </c>
      <c r="G2194" s="23" t="n">
        <f aca="false">G2184*G2193</f>
        <v>4.1803776</v>
      </c>
    </row>
    <row r="2195" customFormat="false" ht="15" hidden="false" customHeight="false" outlineLevel="0" collapsed="false">
      <c r="A2195" s="4" t="s">
        <v>417</v>
      </c>
      <c r="B2195" s="0" t="s">
        <v>184</v>
      </c>
      <c r="C2195" s="23" t="n">
        <f aca="false">a25_gp</f>
        <v>13.654</v>
      </c>
      <c r="D2195" s="23" t="n">
        <f aca="false">D2179-D2190-D2192+D2194</f>
        <v>19.0320214</v>
      </c>
      <c r="E2195" s="23" t="n">
        <f aca="false">E2179-E2190-E2192+E2194</f>
        <v>21.2783256633535</v>
      </c>
      <c r="F2195" s="23" t="n">
        <f aca="false">F2179-F2190-F2192+F2194</f>
        <v>21.4430333902818</v>
      </c>
      <c r="G2195" s="23" t="n">
        <f aca="false">G2179-G2190-G2192+G2194</f>
        <v>23.3223018817953</v>
      </c>
    </row>
    <row r="2196" customFormat="false" ht="15" hidden="false" customHeight="false" outlineLevel="0" collapsed="false">
      <c r="A2196" s="4" t="s">
        <v>420</v>
      </c>
      <c r="B2196" s="0" t="s">
        <v>48</v>
      </c>
      <c r="C2196" s="16" t="n">
        <f aca="false">C2195/C2185</f>
        <v>0.280998538824062</v>
      </c>
      <c r="D2196" s="16" t="n">
        <f aca="false">D2195/D2185</f>
        <v>0.324490246378388</v>
      </c>
      <c r="E2196" s="16" t="n">
        <f aca="false">E2195/E2185</f>
        <v>0.305109171260883</v>
      </c>
      <c r="F2196" s="16" t="n">
        <f aca="false">F2195/F2185</f>
        <v>0.27888416089455</v>
      </c>
      <c r="G2196" s="16" t="n">
        <f aca="false">G2195/G2185</f>
        <v>0.27690357294284</v>
      </c>
    </row>
    <row r="2197" customFormat="false" ht="15" hidden="false" customHeight="false" outlineLevel="0" collapsed="false">
      <c r="A2197" s="4" t="s">
        <v>422</v>
      </c>
      <c r="B2197" s="0" t="s">
        <v>184</v>
      </c>
      <c r="C2197" s="23" t="n">
        <f aca="false">a25_opx</f>
        <v>5.881</v>
      </c>
      <c r="D2197" s="23" t="n">
        <f aca="false">a26_opx</f>
        <v>6.824187</v>
      </c>
      <c r="E2197" s="23" t="n">
        <f aca="false">D2197*(1+MAX(g_opx_min,phi*E2188))</f>
        <v>7.46923208225958</v>
      </c>
      <c r="F2197" s="23" t="n">
        <f aca="false">E2197*(1+MAX(g_opx_min,phi*F2188))</f>
        <v>7.85204525470205</v>
      </c>
      <c r="G2197" s="23" t="n">
        <f aca="false">F2197*(1+MAX(g_opx_min,phi*G2188))</f>
        <v>8.22666449737119</v>
      </c>
    </row>
    <row r="2198" customFormat="false" ht="15" hidden="false" customHeight="false" outlineLevel="0" collapsed="false">
      <c r="A2198" s="4" t="s">
        <v>425</v>
      </c>
      <c r="B2198" s="0" t="s">
        <v>184</v>
      </c>
      <c r="C2198" s="23" t="n">
        <f aca="false">C2195-C2197</f>
        <v>7.773</v>
      </c>
      <c r="D2198" s="23" t="n">
        <f aca="false">D2195-D2197</f>
        <v>12.2078344</v>
      </c>
      <c r="E2198" s="23" t="n">
        <f aca="false">E2195-E2197</f>
        <v>13.8090935810939</v>
      </c>
      <c r="F2198" s="23" t="n">
        <f aca="false">F2195-F2197</f>
        <v>13.5909881355797</v>
      </c>
      <c r="G2198" s="23" t="n">
        <f aca="false">G2195-G2197</f>
        <v>15.0956373844241</v>
      </c>
    </row>
    <row r="2199" customFormat="false" ht="15" hidden="false" customHeight="false" outlineLevel="0" collapsed="false">
      <c r="A2199" s="4" t="s">
        <v>531</v>
      </c>
      <c r="B2199" s="0" t="s">
        <v>48</v>
      </c>
      <c r="C2199" s="16" t="n">
        <f aca="false">C2198/C2185</f>
        <v>0.159967895289251</v>
      </c>
      <c r="D2199" s="16" t="n">
        <f aca="false">D2198/D2185</f>
        <v>0.208139908470393</v>
      </c>
      <c r="E2199" s="16" t="n">
        <f aca="false">E2198/E2185</f>
        <v>0.198008112341652</v>
      </c>
      <c r="F2199" s="16" t="n">
        <f aca="false">F2198/F2185</f>
        <v>0.176761899910893</v>
      </c>
      <c r="G2199" s="16" t="n">
        <f aca="false">G2198/G2185</f>
        <v>0.179229132217834</v>
      </c>
    </row>
    <row r="2200" customFormat="false" ht="15" hidden="false" customHeight="false" outlineLevel="0" collapsed="false">
      <c r="A2200" s="4" t="s">
        <v>428</v>
      </c>
      <c r="B2200" s="0" t="s">
        <v>184</v>
      </c>
      <c r="C2200" s="23" t="n">
        <f aca="false">a25_nonop</f>
        <v>1.479</v>
      </c>
      <c r="D2200" s="23" t="n">
        <f aca="false">a26_nonop</f>
        <v>2.10950832169955</v>
      </c>
      <c r="E2200" s="23" t="n">
        <f aca="false">nonop_f</f>
        <v>1.5</v>
      </c>
      <c r="F2200" s="23" t="n">
        <f aca="false">nonop_f</f>
        <v>1.5</v>
      </c>
      <c r="G2200" s="23" t="n">
        <f aca="false">nonop_f</f>
        <v>1.5</v>
      </c>
    </row>
    <row r="2201" customFormat="false" ht="15" hidden="false" customHeight="false" outlineLevel="0" collapsed="false">
      <c r="A2201" s="4" t="s">
        <v>430</v>
      </c>
      <c r="B2201" s="0" t="s">
        <v>184</v>
      </c>
      <c r="C2201" s="23" t="n">
        <f aca="false">C2198+C2200</f>
        <v>9.252</v>
      </c>
      <c r="D2201" s="23" t="n">
        <f aca="false">D2198+D2200</f>
        <v>14.3173427216995</v>
      </c>
      <c r="E2201" s="23" t="n">
        <f aca="false">E2198+E2200</f>
        <v>15.3090935810939</v>
      </c>
      <c r="F2201" s="23" t="n">
        <f aca="false">F2198+F2200</f>
        <v>15.0909881355797</v>
      </c>
      <c r="G2201" s="23" t="n">
        <f aca="false">G2198+G2200</f>
        <v>16.5956373844241</v>
      </c>
    </row>
    <row r="2202" customFormat="false" ht="15" hidden="false" customHeight="false" outlineLevel="0" collapsed="false">
      <c r="A2202" s="4" t="s">
        <v>432</v>
      </c>
      <c r="B2202" s="0" t="s">
        <v>184</v>
      </c>
      <c r="C2202" s="23" t="n">
        <f aca="false">a25_tax</f>
        <v>1.344</v>
      </c>
      <c r="D2202" s="23" t="n">
        <f aca="false">a26_tax</f>
        <v>2.0798215108046</v>
      </c>
      <c r="E2202" s="23" t="n">
        <f aca="false">E2201*tax_hi</f>
        <v>3.06181871621879</v>
      </c>
      <c r="F2202" s="23" t="n">
        <f aca="false">F2201*tax_hi</f>
        <v>3.01819762711594</v>
      </c>
      <c r="G2202" s="23" t="n">
        <f aca="false">G2201*tax_hi</f>
        <v>3.31912747688481</v>
      </c>
    </row>
    <row r="2203" customFormat="false" ht="17.15" hidden="false" customHeight="false" outlineLevel="0" collapsed="false">
      <c r="A2203" s="4" t="s">
        <v>567</v>
      </c>
      <c r="B2203" s="0" t="s">
        <v>184</v>
      </c>
      <c r="C2203" s="23" t="n">
        <f aca="false">a25_mi</f>
        <v>0</v>
      </c>
      <c r="D2203" s="23" t="n">
        <f aca="false">a26_mi</f>
        <v>0</v>
      </c>
      <c r="E2203" s="23" t="n">
        <f aca="false">vmi*E2194*(1-tax_hi)</f>
        <v>-0.10616832</v>
      </c>
      <c r="F2203" s="23" t="n">
        <f aca="false">vmi*F2194*(1-tax_hi)</f>
        <v>0.63700992</v>
      </c>
      <c r="G2203" s="23" t="n">
        <f aca="false">vmi*G2194*(1-tax_hi)</f>
        <v>1.337720832</v>
      </c>
      <c r="K2203" s="8" t="s">
        <v>568</v>
      </c>
    </row>
    <row r="2204" customFormat="false" ht="15" hidden="false" customHeight="false" outlineLevel="0" collapsed="false">
      <c r="A2204" s="4" t="s">
        <v>435</v>
      </c>
      <c r="B2204" s="0" t="s">
        <v>184</v>
      </c>
      <c r="C2204" s="23" t="n">
        <f aca="false">C2201-C2202-C2203</f>
        <v>7.908</v>
      </c>
      <c r="D2204" s="23" t="n">
        <f aca="false">D2201-D2202-D2203</f>
        <v>12.2375212108949</v>
      </c>
      <c r="E2204" s="23" t="n">
        <f aca="false">E2201-E2202-E2203</f>
        <v>12.3534431848752</v>
      </c>
      <c r="F2204" s="23" t="n">
        <f aca="false">F2201-F2202-F2203</f>
        <v>11.4357805884638</v>
      </c>
      <c r="G2204" s="23" t="n">
        <f aca="false">G2201-G2202-G2203</f>
        <v>11.9387890755393</v>
      </c>
      <c r="H2204" s="29" t="n">
        <f aca="false">H2185*H2208</f>
        <v>12.4288541967554</v>
      </c>
      <c r="I2204" s="29" t="n">
        <f aca="false">I2185*I2208</f>
        <v>12.7019671107247</v>
      </c>
      <c r="J2204" s="29" t="n">
        <f aca="false">J2185*J2208</f>
        <v>12.7382584453267</v>
      </c>
    </row>
    <row r="2205" customFormat="false" ht="15" hidden="false" customHeight="false" outlineLevel="0" collapsed="false">
      <c r="A2205" s="4" t="s">
        <v>569</v>
      </c>
      <c r="B2205" s="4" t="s">
        <v>265</v>
      </c>
      <c r="C2205" s="10" t="n">
        <f aca="false">a25_sh</f>
        <v>1.8739336492891</v>
      </c>
      <c r="D2205" s="10" t="n">
        <f aca="false">a26_sh</f>
        <v>1.90613591916558</v>
      </c>
      <c r="E2205" s="10" t="n">
        <f aca="false">q_sh*(1+sh_g)</f>
        <v>1.90705128205128</v>
      </c>
      <c r="F2205" s="10" t="n">
        <f aca="false">E2205*(1+sh_g)</f>
        <v>1.90705128205128</v>
      </c>
      <c r="G2205" s="10" t="n">
        <f aca="false">F2205*(1+sh_g)</f>
        <v>1.90705128205128</v>
      </c>
      <c r="H2205" s="31" t="n">
        <f aca="false">G2205*(1+sh_g)</f>
        <v>1.90705128205128</v>
      </c>
      <c r="I2205" s="31" t="n">
        <f aca="false">H2205*(1+sh_g)</f>
        <v>1.90705128205128</v>
      </c>
      <c r="J2205" s="31" t="n">
        <f aca="false">I2205*(1+sh_g)</f>
        <v>1.90705128205128</v>
      </c>
    </row>
    <row r="2206" customFormat="false" ht="17.15" hidden="false" customHeight="false" outlineLevel="0" collapsed="false">
      <c r="A2206" s="0" t="s">
        <v>442</v>
      </c>
      <c r="B2206" s="0" t="s">
        <v>274</v>
      </c>
      <c r="C2206" s="23" t="n">
        <f aca="false">C2204/C2205</f>
        <v>4.22</v>
      </c>
      <c r="D2206" s="23" t="n">
        <f aca="false">D2204/D2205</f>
        <v>6.42006747150118</v>
      </c>
      <c r="E2206" s="23" t="n">
        <f aca="false">E2204/E2205</f>
        <v>6.47777188853958</v>
      </c>
      <c r="F2206" s="23" t="n">
        <f aca="false">F2204/F2205</f>
        <v>5.99657738420285</v>
      </c>
      <c r="G2206" s="23" t="n">
        <f aca="false">G2204/G2205</f>
        <v>6.26033981776176</v>
      </c>
      <c r="H2206" s="29" t="n">
        <f aca="false">H2204/H2205</f>
        <v>6.51731514182802</v>
      </c>
      <c r="I2206" s="29" t="n">
        <f aca="false">I2204/I2205</f>
        <v>6.66052729167411</v>
      </c>
      <c r="J2206" s="29" t="n">
        <f aca="false">J2204/J2205</f>
        <v>6.67955736965032</v>
      </c>
    </row>
    <row r="2207" customFormat="false" ht="17.15" hidden="false" customHeight="false" outlineLevel="0" collapsed="false">
      <c r="A2207" s="0" t="s">
        <v>570</v>
      </c>
      <c r="B2207" s="0" t="s">
        <v>48</v>
      </c>
      <c r="D2207" s="20" t="n">
        <f aca="false">D2206/C2206-1</f>
        <v>0.521343002725398</v>
      </c>
      <c r="E2207" s="20" t="n">
        <f aca="false">E2206/D2206-1</f>
        <v>0.00898813249152752</v>
      </c>
      <c r="F2207" s="20" t="n">
        <f aca="false">F2206/E2206-1</f>
        <v>-0.0742839532815368</v>
      </c>
      <c r="G2207" s="20" t="n">
        <f aca="false">G2206/F2206-1</f>
        <v>0.043985496502347</v>
      </c>
      <c r="H2207" s="27" t="n">
        <f aca="false">H2206/G2206-1</f>
        <v>0.0410481429997098</v>
      </c>
      <c r="I2207" s="27" t="n">
        <f aca="false">I2206/H2206-1</f>
        <v>0.0219741023304139</v>
      </c>
      <c r="J2207" s="27" t="n">
        <f aca="false">J2206/I2206-1</f>
        <v>0.00285714285714311</v>
      </c>
    </row>
    <row r="2208" customFormat="false" ht="17.15" hidden="false" customHeight="false" outlineLevel="0" collapsed="false">
      <c r="A2208" s="4" t="s">
        <v>571</v>
      </c>
      <c r="B2208" s="0" t="s">
        <v>48</v>
      </c>
      <c r="C2208" s="16" t="n">
        <f aca="false">C2204/C2185</f>
        <v>0.162746187565599</v>
      </c>
      <c r="D2208" s="16" t="n">
        <f aca="false">D2204/D2185</f>
        <v>0.208646059676249</v>
      </c>
      <c r="E2208" s="16" t="n">
        <f aca="false">E2204/E2185</f>
        <v>0.177135591962814</v>
      </c>
      <c r="F2208" s="16" t="n">
        <f aca="false">F2204/F2185</f>
        <v>0.148731665690233</v>
      </c>
      <c r="G2208" s="16" t="n">
        <f aca="false">G2204/G2185</f>
        <v>0.141748158838826</v>
      </c>
      <c r="H2208" s="28" t="n">
        <f aca="false">$G2208+($G$2208*0.9-$G2208)*1/3</f>
        <v>0.137023220210865</v>
      </c>
      <c r="I2208" s="28" t="n">
        <f aca="false">$G2208+($G$2208*0.9-$G2208)*2/3</f>
        <v>0.132298281582904</v>
      </c>
      <c r="J2208" s="28" t="n">
        <f aca="false">$G2208+($G$2208*0.9-$G2208)*3/3</f>
        <v>0.127573342954943</v>
      </c>
    </row>
    <row r="2211" customFormat="false" ht="17.15" hidden="false" customHeight="false" outlineLevel="0" collapsed="false">
      <c r="A2211" s="1" t="s">
        <v>898</v>
      </c>
    </row>
    <row r="2212" customFormat="false" ht="17.15" hidden="false" customHeight="false" outlineLevel="0" collapsed="false">
      <c r="A2212" s="5" t="s">
        <v>24</v>
      </c>
      <c r="B2212" s="5" t="s">
        <v>25</v>
      </c>
      <c r="C2212" s="17" t="s">
        <v>394</v>
      </c>
      <c r="D2212" s="17" t="s">
        <v>521</v>
      </c>
      <c r="E2212" s="17" t="s">
        <v>480</v>
      </c>
      <c r="F2212" s="17" t="s">
        <v>481</v>
      </c>
      <c r="G2212" s="17" t="s">
        <v>482</v>
      </c>
      <c r="H2212" s="17" t="s">
        <v>522</v>
      </c>
      <c r="I2212" s="17" t="s">
        <v>523</v>
      </c>
      <c r="J2212" s="17" t="s">
        <v>524</v>
      </c>
      <c r="K2212" s="5" t="s">
        <v>357</v>
      </c>
    </row>
    <row r="2213" customFormat="false" ht="17.15" hidden="false" customHeight="false" outlineLevel="0" collapsed="false">
      <c r="A2213" s="6" t="s">
        <v>542</v>
      </c>
    </row>
    <row r="2214" customFormat="false" ht="17.15" hidden="false" customHeight="false" outlineLevel="0" collapsed="false">
      <c r="A2214" s="4" t="s">
        <v>543</v>
      </c>
      <c r="B2214" s="4" t="s">
        <v>42</v>
      </c>
      <c r="D2214" s="22" t="n">
        <f aca="false">cap_26</f>
        <v>3306</v>
      </c>
      <c r="E2214" s="22" t="n">
        <f aca="false">D2214*(1+capg27)*cap_adj</f>
        <v>3306</v>
      </c>
      <c r="F2214" s="22" t="n">
        <f aca="false">E2214*(1+capg28)</f>
        <v>3306</v>
      </c>
      <c r="G2214" s="22" t="n">
        <f aca="false">F2214*(1+capg29)</f>
        <v>3306</v>
      </c>
    </row>
    <row r="2215" customFormat="false" ht="15" hidden="false" customHeight="false" outlineLevel="0" collapsed="false">
      <c r="A2215" s="4" t="s">
        <v>544</v>
      </c>
      <c r="B2215" s="0" t="s">
        <v>48</v>
      </c>
      <c r="D2215" s="20" t="n">
        <f aca="false">a26_ship/cap_26</f>
        <v>0.8725</v>
      </c>
      <c r="E2215" s="20" t="n">
        <f aca="false">MIN(0.98,ut27_C+ut_adj)</f>
        <v>0.8</v>
      </c>
      <c r="F2215" s="20" t="n">
        <f aca="false">MIN(0.98,ut28_C+ut_adj)</f>
        <v>0.74</v>
      </c>
      <c r="G2215" s="20" t="n">
        <f aca="false">MIN(0.98,ut29_C+ut_adj)</f>
        <v>0.78</v>
      </c>
    </row>
    <row r="2216" customFormat="false" ht="17.15" hidden="false" customHeight="false" outlineLevel="0" collapsed="false">
      <c r="A2216" s="4" t="s">
        <v>545</v>
      </c>
      <c r="B2216" s="4" t="s">
        <v>42</v>
      </c>
      <c r="D2216" s="22" t="n">
        <f aca="false">D2214*D2215</f>
        <v>2884.485</v>
      </c>
      <c r="E2216" s="22" t="n">
        <f aca="false">E2214*E2215</f>
        <v>2644.8</v>
      </c>
      <c r="F2216" s="22" t="n">
        <f aca="false">F2214*F2215</f>
        <v>2446.44</v>
      </c>
      <c r="G2216" s="22" t="n">
        <f aca="false">G2214*G2215</f>
        <v>2578.68</v>
      </c>
    </row>
    <row r="2217" customFormat="false" ht="17.15" hidden="false" customHeight="false" outlineLevel="0" collapsed="false">
      <c r="A2217" s="4" t="s">
        <v>546</v>
      </c>
      <c r="B2217" s="0" t="s">
        <v>89</v>
      </c>
      <c r="D2217" s="22" t="n">
        <f aca="false">asp_26</f>
        <v>643.469405492234</v>
      </c>
      <c r="E2217" s="22" t="n">
        <f aca="false">D2217*(1+asp27_C)*(1+asp_adj)</f>
        <v>624.165323327467</v>
      </c>
      <c r="F2217" s="22" t="n">
        <f aca="false">E2217*(1+asp28_C)</f>
        <v>592.957057161093</v>
      </c>
      <c r="G2217" s="22" t="n">
        <f aca="false">F2217*(1+asp29_C)</f>
        <v>581.097916017871</v>
      </c>
    </row>
    <row r="2218" customFormat="false" ht="15" hidden="false" customHeight="false" outlineLevel="0" collapsed="false">
      <c r="A2218" s="4" t="s">
        <v>547</v>
      </c>
      <c r="B2218" s="0" t="s">
        <v>48</v>
      </c>
      <c r="E2218" s="20" t="n">
        <f aca="false">E2217/D2217-1</f>
        <v>-0.03</v>
      </c>
      <c r="F2218" s="20" t="n">
        <f aca="false">F2217/E2217-1</f>
        <v>-0.05</v>
      </c>
      <c r="G2218" s="20" t="n">
        <f aca="false">G2217/F2217-1</f>
        <v>-0.02</v>
      </c>
    </row>
    <row r="2219" customFormat="false" ht="15" hidden="false" customHeight="false" outlineLevel="0" collapsed="false">
      <c r="A2219" s="4" t="s">
        <v>548</v>
      </c>
      <c r="B2219" s="0" t="s">
        <v>35</v>
      </c>
      <c r="D2219" s="23" t="n">
        <f aca="false">fx_26</f>
        <v>31.6</v>
      </c>
      <c r="E2219" s="23" t="n">
        <f aca="false">fx</f>
        <v>32</v>
      </c>
      <c r="F2219" s="23" t="n">
        <f aca="false">fx</f>
        <v>32</v>
      </c>
      <c r="G2219" s="23" t="n">
        <f aca="false">fx</f>
        <v>32</v>
      </c>
    </row>
    <row r="2220" customFormat="false" ht="17.15" hidden="false" customHeight="false" outlineLevel="0" collapsed="false">
      <c r="A2220" s="0" t="s">
        <v>549</v>
      </c>
      <c r="B2220" s="0" t="s">
        <v>184</v>
      </c>
      <c r="D2220" s="23" t="n">
        <f aca="false">D2216*D2217*D2219/1000000</f>
        <v>58.65206</v>
      </c>
      <c r="E2220" s="23" t="n">
        <f aca="false">E2216*E2217*E2219/1000000</f>
        <v>52.8253583083675</v>
      </c>
      <c r="F2220" s="23" t="n">
        <f aca="false">F2216*F2217*F2219/1000000</f>
        <v>46.4202836134779</v>
      </c>
      <c r="G2220" s="23" t="n">
        <f aca="false">G2216*G2217*G2219/1000000</f>
        <v>47.9508983704629</v>
      </c>
    </row>
    <row r="2221" customFormat="false" ht="17.15" hidden="false" customHeight="false" outlineLevel="0" collapsed="false">
      <c r="A2221" s="6" t="s">
        <v>550</v>
      </c>
    </row>
    <row r="2222" customFormat="false" ht="17.15" hidden="false" customHeight="false" outlineLevel="0" collapsed="false">
      <c r="A2222" s="0" t="s">
        <v>551</v>
      </c>
      <c r="B2222" s="4" t="s">
        <v>42</v>
      </c>
      <c r="D2222" s="22" t="n">
        <f aca="false">0</f>
        <v>0</v>
      </c>
      <c r="E2222" s="22" t="n">
        <f aca="false">vcap27*vcap_adj</f>
        <v>144</v>
      </c>
      <c r="F2222" s="22" t="n">
        <f aca="false">vcap28*vcap_adj</f>
        <v>360</v>
      </c>
      <c r="G2222" s="22" t="n">
        <f aca="false">vcap29*vcap_adj</f>
        <v>504</v>
      </c>
    </row>
    <row r="2223" customFormat="false" ht="17.15" hidden="false" customHeight="false" outlineLevel="0" collapsed="false">
      <c r="A2223" s="0" t="s">
        <v>552</v>
      </c>
      <c r="B2223" s="0" t="s">
        <v>48</v>
      </c>
      <c r="E2223" s="20" t="n">
        <f aca="false">vut_C</f>
        <v>0.65</v>
      </c>
      <c r="F2223" s="20" t="n">
        <f aca="false">vut_C</f>
        <v>0.65</v>
      </c>
      <c r="G2223" s="20" t="n">
        <f aca="false">vut_C</f>
        <v>0.65</v>
      </c>
    </row>
    <row r="2224" customFormat="false" ht="17.15" hidden="false" customHeight="false" outlineLevel="0" collapsed="false">
      <c r="A2224" s="0" t="s">
        <v>553</v>
      </c>
      <c r="B2224" s="4" t="s">
        <v>42</v>
      </c>
      <c r="D2224" s="22" t="n">
        <f aca="false">0</f>
        <v>0</v>
      </c>
      <c r="E2224" s="22" t="n">
        <f aca="false">E2222*E2223</f>
        <v>93.6</v>
      </c>
      <c r="F2224" s="22" t="n">
        <f aca="false">F2222*F2223</f>
        <v>234</v>
      </c>
      <c r="G2224" s="22" t="n">
        <f aca="false">G2222*G2223</f>
        <v>327.6</v>
      </c>
    </row>
    <row r="2225" customFormat="false" ht="17.15" hidden="false" customHeight="false" outlineLevel="0" collapsed="false">
      <c r="A2225" s="0" t="s">
        <v>554</v>
      </c>
      <c r="B2225" s="0" t="s">
        <v>184</v>
      </c>
      <c r="D2225" s="23" t="n">
        <f aca="false">0</f>
        <v>0</v>
      </c>
      <c r="E2225" s="23" t="n">
        <f aca="false">E2224*vasp*E2219/1000000</f>
        <v>5.39136</v>
      </c>
      <c r="F2225" s="23" t="n">
        <f aca="false">F2224*vasp*F2219/1000000</f>
        <v>13.4784</v>
      </c>
      <c r="G2225" s="23" t="n">
        <f aca="false">G2224*vasp*G2219/1000000</f>
        <v>18.86976</v>
      </c>
    </row>
    <row r="2226" customFormat="false" ht="17.15" hidden="false" customHeight="false" outlineLevel="0" collapsed="false">
      <c r="A2226" s="4" t="s">
        <v>400</v>
      </c>
      <c r="B2226" s="0" t="s">
        <v>184</v>
      </c>
      <c r="C2226" s="23" t="n">
        <f aca="false">a25_rev</f>
        <v>48.591</v>
      </c>
      <c r="D2226" s="23" t="n">
        <f aca="false">D2220+D2225</f>
        <v>58.65206</v>
      </c>
      <c r="E2226" s="23" t="n">
        <f aca="false">E2220+E2225</f>
        <v>58.2167183083675</v>
      </c>
      <c r="F2226" s="23" t="n">
        <f aca="false">F2220+F2225</f>
        <v>59.8986836134779</v>
      </c>
      <c r="G2226" s="23" t="n">
        <f aca="false">G2220+G2225</f>
        <v>66.8206583704629</v>
      </c>
      <c r="H2226" s="29" t="n">
        <f aca="false">G2226*(1+H2229)</f>
        <v>72.4140545845787</v>
      </c>
      <c r="I2226" s="29" t="n">
        <f aca="false">H2226*(1+I2229)</f>
        <v>76.1689980934585</v>
      </c>
      <c r="J2226" s="29" t="n">
        <f aca="false">I2226*(1+J2229)</f>
        <v>77.6923780553276</v>
      </c>
      <c r="K2226" s="8" t="s">
        <v>555</v>
      </c>
    </row>
    <row r="2227" customFormat="false" ht="17.15" hidden="false" customHeight="false" outlineLevel="0" collapsed="false">
      <c r="A2227" s="0" t="s">
        <v>556</v>
      </c>
      <c r="B2227" s="0" t="s">
        <v>48</v>
      </c>
      <c r="D2227" s="20" t="n">
        <f aca="false">D2225/D2226</f>
        <v>0</v>
      </c>
      <c r="E2227" s="20" t="n">
        <f aca="false">E2225/E2226</f>
        <v>0.0926084491991212</v>
      </c>
      <c r="F2227" s="20" t="n">
        <f aca="false">F2225/F2226</f>
        <v>0.225019970171218</v>
      </c>
      <c r="G2227" s="20" t="n">
        <f aca="false">G2225/G2226</f>
        <v>0.28239410475999</v>
      </c>
    </row>
    <row r="2228" customFormat="false" ht="17.15" hidden="false" customHeight="false" outlineLevel="0" collapsed="false">
      <c r="A2228" s="0" t="s">
        <v>557</v>
      </c>
      <c r="B2228" s="0" t="s">
        <v>48</v>
      </c>
      <c r="D2228" s="20" t="n">
        <f aca="false">ai_sh26</f>
        <v>0.1</v>
      </c>
      <c r="E2228" s="20" t="n">
        <f aca="false">ai_sh27_C</f>
        <v>0.15</v>
      </c>
      <c r="F2228" s="20" t="n">
        <f aca="false">ai_sh27_C</f>
        <v>0.15</v>
      </c>
      <c r="G2228" s="20" t="n">
        <f aca="false">ai_sh27_C</f>
        <v>0.15</v>
      </c>
    </row>
    <row r="2229" customFormat="false" ht="15" hidden="false" customHeight="false" outlineLevel="0" collapsed="false">
      <c r="A2229" s="4" t="s">
        <v>558</v>
      </c>
      <c r="B2229" s="0" t="s">
        <v>48</v>
      </c>
      <c r="D2229" s="20" t="n">
        <f aca="false">D2226/C2226-1</f>
        <v>0.207056039184211</v>
      </c>
      <c r="E2229" s="20" t="n">
        <f aca="false">E2226/D2226-1</f>
        <v>-0.0074224450365854</v>
      </c>
      <c r="F2229" s="20" t="n">
        <f aca="false">F2226/E2226-1</f>
        <v>0.028891448264075</v>
      </c>
      <c r="G2229" s="20" t="n">
        <f aca="false">G2226/F2226-1</f>
        <v>0.115561383646625</v>
      </c>
      <c r="H2229" s="27" t="n">
        <f aca="false">$G2229+(fade_gC-$G2229)*1/3</f>
        <v>0.0837075890977501</v>
      </c>
      <c r="I2229" s="27" t="n">
        <f aca="false">$G2229+(fade_gC-$G2229)*2/3</f>
        <v>0.0518537945488751</v>
      </c>
      <c r="J2229" s="27" t="n">
        <f aca="false">$G2229+(fade_gC-$G2229)*3/3</f>
        <v>0.02</v>
      </c>
    </row>
    <row r="2230" customFormat="false" ht="17.15" hidden="false" customHeight="false" outlineLevel="0" collapsed="false">
      <c r="A2230" s="6" t="s">
        <v>559</v>
      </c>
    </row>
    <row r="2231" customFormat="false" ht="15" hidden="false" customHeight="false" outlineLevel="0" collapsed="false">
      <c r="A2231" s="4" t="s">
        <v>560</v>
      </c>
      <c r="B2231" s="0" t="s">
        <v>184</v>
      </c>
      <c r="D2231" s="23" t="n">
        <f aca="false">da_tot26*da_sh</f>
        <v>8.658</v>
      </c>
      <c r="E2231" s="23" t="n">
        <f aca="false">D2231*(1+dag_27+dag_adj)</f>
        <v>8.91774</v>
      </c>
      <c r="F2231" s="23" t="n">
        <f aca="false">E2231*(1+dag_28+dag_adj)</f>
        <v>9.0960948</v>
      </c>
      <c r="G2231" s="23" t="n">
        <f aca="false">F2231*(1+dag_29+dag_adj)</f>
        <v>9.0960948</v>
      </c>
    </row>
    <row r="2232" customFormat="false" ht="17.15" hidden="false" customHeight="false" outlineLevel="0" collapsed="false">
      <c r="A2232" s="4" t="s">
        <v>561</v>
      </c>
      <c r="B2232" s="0" t="s">
        <v>562</v>
      </c>
      <c r="D2232" s="23" t="n">
        <f aca="false">(D2220-a26_gp-D2231)/D2216*1000</f>
        <v>10.7339918911001</v>
      </c>
      <c r="E2232" s="23" t="n">
        <f aca="false">D2232*(1+cc_g)</f>
        <v>10.9486717289221</v>
      </c>
      <c r="F2232" s="23" t="n">
        <f aca="false">E2232*(1+cc_g)</f>
        <v>11.1676451635006</v>
      </c>
      <c r="G2232" s="23" t="n">
        <f aca="false">F2232*(1+cc_g)</f>
        <v>11.3909980667706</v>
      </c>
      <c r="K2232" s="8" t="s">
        <v>563</v>
      </c>
    </row>
    <row r="2233" customFormat="false" ht="17.15" hidden="false" customHeight="false" outlineLevel="0" collapsed="false">
      <c r="A2233" s="4" t="s">
        <v>564</v>
      </c>
      <c r="B2233" s="0" t="s">
        <v>184</v>
      </c>
      <c r="D2233" s="23" t="n">
        <f aca="false">D2232*D2216/1000</f>
        <v>30.9620386</v>
      </c>
      <c r="E2233" s="23" t="n">
        <f aca="false">E2232*E2216/1000</f>
        <v>28.9570469886533</v>
      </c>
      <c r="F2233" s="23" t="n">
        <f aca="false">F2232*F2216/1000</f>
        <v>27.3209738337944</v>
      </c>
      <c r="G2233" s="23" t="n">
        <f aca="false">G2232*G2216/1000</f>
        <v>29.37373889482</v>
      </c>
    </row>
    <row r="2234" customFormat="false" ht="17.15" hidden="false" customHeight="false" outlineLevel="0" collapsed="false">
      <c r="A2234" s="0" t="s">
        <v>565</v>
      </c>
      <c r="B2234" s="0" t="s">
        <v>48</v>
      </c>
      <c r="E2234" s="20" t="n">
        <f aca="false">vgm27_C</f>
        <v>-0.2</v>
      </c>
      <c r="F2234" s="20" t="n">
        <f aca="false">vgm28_C</f>
        <v>0</v>
      </c>
      <c r="G2234" s="20" t="n">
        <f aca="false">vgm29_C</f>
        <v>0.05</v>
      </c>
    </row>
    <row r="2235" customFormat="false" ht="17.15" hidden="false" customHeight="false" outlineLevel="0" collapsed="false">
      <c r="A2235" s="0" t="s">
        <v>566</v>
      </c>
      <c r="B2235" s="0" t="s">
        <v>184</v>
      </c>
      <c r="D2235" s="23" t="n">
        <f aca="false">0</f>
        <v>0</v>
      </c>
      <c r="E2235" s="23" t="n">
        <f aca="false">E2225*E2234</f>
        <v>-1.078272</v>
      </c>
      <c r="F2235" s="23" t="n">
        <f aca="false">F2225*F2234</f>
        <v>0</v>
      </c>
      <c r="G2235" s="23" t="n">
        <f aca="false">G2225*G2234</f>
        <v>0.943488</v>
      </c>
    </row>
    <row r="2236" customFormat="false" ht="15" hidden="false" customHeight="false" outlineLevel="0" collapsed="false">
      <c r="A2236" s="4" t="s">
        <v>417</v>
      </c>
      <c r="B2236" s="0" t="s">
        <v>184</v>
      </c>
      <c r="C2236" s="23" t="n">
        <f aca="false">a25_gp</f>
        <v>13.654</v>
      </c>
      <c r="D2236" s="23" t="n">
        <f aca="false">D2220-D2231-D2233+D2235</f>
        <v>19.0320214</v>
      </c>
      <c r="E2236" s="23" t="n">
        <f aca="false">E2220-E2231-E2233+E2235</f>
        <v>13.8722993197142</v>
      </c>
      <c r="F2236" s="23" t="n">
        <f aca="false">F2220-F2231-F2233+F2235</f>
        <v>10.0032149796835</v>
      </c>
      <c r="G2236" s="23" t="n">
        <f aca="false">G2220-G2231-G2233+G2235</f>
        <v>10.4245526756429</v>
      </c>
    </row>
    <row r="2237" customFormat="false" ht="15" hidden="false" customHeight="false" outlineLevel="0" collapsed="false">
      <c r="A2237" s="4" t="s">
        <v>420</v>
      </c>
      <c r="B2237" s="0" t="s">
        <v>48</v>
      </c>
      <c r="C2237" s="16" t="n">
        <f aca="false">C2236/C2226</f>
        <v>0.280998538824062</v>
      </c>
      <c r="D2237" s="16" t="n">
        <f aca="false">D2236/D2226</f>
        <v>0.324490246378388</v>
      </c>
      <c r="E2237" s="16" t="n">
        <f aca="false">E2236/E2226</f>
        <v>0.238287208946306</v>
      </c>
      <c r="F2237" s="16" t="n">
        <f aca="false">F2236/F2226</f>
        <v>0.167002250737822</v>
      </c>
      <c r="G2237" s="16" t="n">
        <f aca="false">G2236/G2226</f>
        <v>0.156007931227611</v>
      </c>
    </row>
    <row r="2238" customFormat="false" ht="15" hidden="false" customHeight="false" outlineLevel="0" collapsed="false">
      <c r="A2238" s="4" t="s">
        <v>422</v>
      </c>
      <c r="B2238" s="0" t="s">
        <v>184</v>
      </c>
      <c r="C2238" s="23" t="n">
        <f aca="false">a25_opx</f>
        <v>5.881</v>
      </c>
      <c r="D2238" s="23" t="n">
        <f aca="false">a26_opx</f>
        <v>6.824187</v>
      </c>
      <c r="E2238" s="23" t="n">
        <f aca="false">D2238*(1+MAX(g_opx_min,phi*E2229))</f>
        <v>7.02891261</v>
      </c>
      <c r="F2238" s="23" t="n">
        <f aca="false">E2238*(1+MAX(g_opx_min,phi*F2229))</f>
        <v>7.2397799883</v>
      </c>
      <c r="G2238" s="23" t="n">
        <f aca="false">F2238*(1+MAX(g_opx_min,phi*G2229))</f>
        <v>7.65809948467255</v>
      </c>
    </row>
    <row r="2239" customFormat="false" ht="15" hidden="false" customHeight="false" outlineLevel="0" collapsed="false">
      <c r="A2239" s="4" t="s">
        <v>425</v>
      </c>
      <c r="B2239" s="0" t="s">
        <v>184</v>
      </c>
      <c r="C2239" s="23" t="n">
        <f aca="false">C2236-C2238</f>
        <v>7.773</v>
      </c>
      <c r="D2239" s="23" t="n">
        <f aca="false">D2236-D2238</f>
        <v>12.2078344</v>
      </c>
      <c r="E2239" s="23" t="n">
        <f aca="false">E2236-E2238</f>
        <v>6.8433867097142</v>
      </c>
      <c r="F2239" s="23" t="n">
        <f aca="false">F2236-F2238</f>
        <v>2.76343499138354</v>
      </c>
      <c r="G2239" s="23" t="n">
        <f aca="false">G2236-G2238</f>
        <v>2.76645319097031</v>
      </c>
    </row>
    <row r="2240" customFormat="false" ht="15" hidden="false" customHeight="false" outlineLevel="0" collapsed="false">
      <c r="A2240" s="4" t="s">
        <v>531</v>
      </c>
      <c r="B2240" s="0" t="s">
        <v>48</v>
      </c>
      <c r="C2240" s="16" t="n">
        <f aca="false">C2239/C2226</f>
        <v>0.159967895289251</v>
      </c>
      <c r="D2240" s="16" t="n">
        <f aca="false">D2239/D2226</f>
        <v>0.208139908470393</v>
      </c>
      <c r="E2240" s="16" t="n">
        <f aca="false">E2239/E2226</f>
        <v>0.117550197066512</v>
      </c>
      <c r="F2240" s="16" t="n">
        <f aca="false">F2239/F2226</f>
        <v>0.046135153974598</v>
      </c>
      <c r="G2240" s="16" t="n">
        <f aca="false">G2239/G2226</f>
        <v>0.0414011663224375</v>
      </c>
    </row>
    <row r="2241" customFormat="false" ht="15" hidden="false" customHeight="false" outlineLevel="0" collapsed="false">
      <c r="A2241" s="4" t="s">
        <v>428</v>
      </c>
      <c r="B2241" s="0" t="s">
        <v>184</v>
      </c>
      <c r="C2241" s="23" t="n">
        <f aca="false">a25_nonop</f>
        <v>1.479</v>
      </c>
      <c r="D2241" s="23" t="n">
        <f aca="false">a26_nonop</f>
        <v>2.10950832169955</v>
      </c>
      <c r="E2241" s="23" t="n">
        <f aca="false">nonop_f</f>
        <v>1.5</v>
      </c>
      <c r="F2241" s="23" t="n">
        <f aca="false">nonop_f</f>
        <v>1.5</v>
      </c>
      <c r="G2241" s="23" t="n">
        <f aca="false">nonop_f</f>
        <v>1.5</v>
      </c>
    </row>
    <row r="2242" customFormat="false" ht="15" hidden="false" customHeight="false" outlineLevel="0" collapsed="false">
      <c r="A2242" s="4" t="s">
        <v>430</v>
      </c>
      <c r="B2242" s="0" t="s">
        <v>184</v>
      </c>
      <c r="C2242" s="23" t="n">
        <f aca="false">C2239+C2241</f>
        <v>9.252</v>
      </c>
      <c r="D2242" s="23" t="n">
        <f aca="false">D2239+D2241</f>
        <v>14.3173427216995</v>
      </c>
      <c r="E2242" s="23" t="n">
        <f aca="false">E2239+E2241</f>
        <v>8.3433867097142</v>
      </c>
      <c r="F2242" s="23" t="n">
        <f aca="false">F2239+F2241</f>
        <v>4.26343499138354</v>
      </c>
      <c r="G2242" s="23" t="n">
        <f aca="false">G2239+G2241</f>
        <v>4.26645319097031</v>
      </c>
    </row>
    <row r="2243" customFormat="false" ht="15" hidden="false" customHeight="false" outlineLevel="0" collapsed="false">
      <c r="A2243" s="4" t="s">
        <v>432</v>
      </c>
      <c r="B2243" s="0" t="s">
        <v>184</v>
      </c>
      <c r="C2243" s="23" t="n">
        <f aca="false">a25_tax</f>
        <v>1.344</v>
      </c>
      <c r="D2243" s="23" t="n">
        <f aca="false">a26_tax</f>
        <v>2.0798215108046</v>
      </c>
      <c r="E2243" s="23" t="n">
        <f aca="false">E2242*tax_hi</f>
        <v>1.66867734194284</v>
      </c>
      <c r="F2243" s="23" t="n">
        <f aca="false">F2242*tax_hi</f>
        <v>0.852686998276707</v>
      </c>
      <c r="G2243" s="23" t="n">
        <f aca="false">G2242*tax_hi</f>
        <v>0.853290638194061</v>
      </c>
    </row>
    <row r="2244" customFormat="false" ht="17.15" hidden="false" customHeight="false" outlineLevel="0" collapsed="false">
      <c r="A2244" s="4" t="s">
        <v>567</v>
      </c>
      <c r="B2244" s="0" t="s">
        <v>184</v>
      </c>
      <c r="C2244" s="23" t="n">
        <f aca="false">a25_mi</f>
        <v>0</v>
      </c>
      <c r="D2244" s="23" t="n">
        <f aca="false">a26_mi</f>
        <v>0</v>
      </c>
      <c r="E2244" s="23" t="n">
        <f aca="false">vmi*E2235*(1-tax_hi)</f>
        <v>-0.34504704</v>
      </c>
      <c r="F2244" s="23" t="n">
        <f aca="false">vmi*F2235*(1-tax_hi)</f>
        <v>0</v>
      </c>
      <c r="G2244" s="23" t="n">
        <f aca="false">vmi*G2235*(1-tax_hi)</f>
        <v>0.30191616</v>
      </c>
      <c r="K2244" s="8" t="s">
        <v>568</v>
      </c>
    </row>
    <row r="2245" customFormat="false" ht="15" hidden="false" customHeight="false" outlineLevel="0" collapsed="false">
      <c r="A2245" s="4" t="s">
        <v>435</v>
      </c>
      <c r="B2245" s="0" t="s">
        <v>184</v>
      </c>
      <c r="C2245" s="23" t="n">
        <f aca="false">C2242-C2243-C2244</f>
        <v>7.908</v>
      </c>
      <c r="D2245" s="23" t="n">
        <f aca="false">D2242-D2243-D2244</f>
        <v>12.2375212108949</v>
      </c>
      <c r="E2245" s="23" t="n">
        <f aca="false">E2242-E2243-E2244</f>
        <v>7.01975640777136</v>
      </c>
      <c r="F2245" s="23" t="n">
        <f aca="false">F2242-F2243-F2244</f>
        <v>3.41074799310683</v>
      </c>
      <c r="G2245" s="23" t="n">
        <f aca="false">G2242-G2243-G2244</f>
        <v>3.11124639277625</v>
      </c>
      <c r="H2245" s="29" t="n">
        <f aca="false">H2226*H2249</f>
        <v>3.14690257224431</v>
      </c>
      <c r="I2245" s="29" t="n">
        <f aca="false">I2226*I2249</f>
        <v>3.07364702514145</v>
      </c>
      <c r="J2245" s="29" t="n">
        <f aca="false">J2226*J2249</f>
        <v>2.89395689136395</v>
      </c>
    </row>
    <row r="2246" customFormat="false" ht="15" hidden="false" customHeight="false" outlineLevel="0" collapsed="false">
      <c r="A2246" s="4" t="s">
        <v>569</v>
      </c>
      <c r="B2246" s="4" t="s">
        <v>265</v>
      </c>
      <c r="C2246" s="10" t="n">
        <f aca="false">a25_sh</f>
        <v>1.8739336492891</v>
      </c>
      <c r="D2246" s="10" t="n">
        <f aca="false">a26_sh</f>
        <v>1.90613591916558</v>
      </c>
      <c r="E2246" s="10" t="n">
        <f aca="false">q_sh*(1+sh_g)</f>
        <v>1.90705128205128</v>
      </c>
      <c r="F2246" s="10" t="n">
        <f aca="false">E2246*(1+sh_g)</f>
        <v>1.90705128205128</v>
      </c>
      <c r="G2246" s="10" t="n">
        <f aca="false">F2246*(1+sh_g)</f>
        <v>1.90705128205128</v>
      </c>
      <c r="H2246" s="31" t="n">
        <f aca="false">G2246*(1+sh_g)</f>
        <v>1.90705128205128</v>
      </c>
      <c r="I2246" s="31" t="n">
        <f aca="false">H2246*(1+sh_g)</f>
        <v>1.90705128205128</v>
      </c>
      <c r="J2246" s="31" t="n">
        <f aca="false">I2246*(1+sh_g)</f>
        <v>1.90705128205128</v>
      </c>
    </row>
    <row r="2247" customFormat="false" ht="17.15" hidden="false" customHeight="false" outlineLevel="0" collapsed="false">
      <c r="A2247" s="0" t="s">
        <v>442</v>
      </c>
      <c r="B2247" s="0" t="s">
        <v>274</v>
      </c>
      <c r="C2247" s="23" t="n">
        <f aca="false">C2245/C2246</f>
        <v>4.22</v>
      </c>
      <c r="D2247" s="23" t="n">
        <f aca="false">D2245/D2246</f>
        <v>6.42006747150118</v>
      </c>
      <c r="E2247" s="23" t="n">
        <f aca="false">E2245/E2246</f>
        <v>3.68094789785658</v>
      </c>
      <c r="F2247" s="23" t="n">
        <f aca="false">F2245/F2246</f>
        <v>1.78849306529299</v>
      </c>
      <c r="G2247" s="23" t="n">
        <f aca="false">G2245/G2246</f>
        <v>1.63144348663225</v>
      </c>
      <c r="H2247" s="29" t="n">
        <f aca="false">H2245/H2246</f>
        <v>1.65014050847097</v>
      </c>
      <c r="I2247" s="29" t="n">
        <f aca="false">I2245/I2246</f>
        <v>1.61172751570442</v>
      </c>
      <c r="J2247" s="29" t="n">
        <f aca="false">J2245/J2246</f>
        <v>1.51750344555555</v>
      </c>
    </row>
    <row r="2248" customFormat="false" ht="17.15" hidden="false" customHeight="false" outlineLevel="0" collapsed="false">
      <c r="A2248" s="0" t="s">
        <v>570</v>
      </c>
      <c r="B2248" s="0" t="s">
        <v>48</v>
      </c>
      <c r="D2248" s="20" t="n">
        <f aca="false">D2247/C2247-1</f>
        <v>0.521343002725398</v>
      </c>
      <c r="E2248" s="20" t="n">
        <f aca="false">E2247/D2247-1</f>
        <v>-0.426649655288455</v>
      </c>
      <c r="F2248" s="20" t="n">
        <f aca="false">F2247/E2247-1</f>
        <v>-0.514121602662609</v>
      </c>
      <c r="G2248" s="20" t="n">
        <f aca="false">G2247/F2247-1</f>
        <v>-0.0878111197121221</v>
      </c>
      <c r="H2248" s="27" t="n">
        <f aca="false">H2247/G2247-1</f>
        <v>0.0114604164912333</v>
      </c>
      <c r="I2248" s="27" t="n">
        <f aca="false">I2247/H2247-1</f>
        <v>-0.0232786193474733</v>
      </c>
      <c r="J2248" s="27" t="n">
        <f aca="false">J2247/I2247-1</f>
        <v>-0.0584615384615385</v>
      </c>
    </row>
    <row r="2249" customFormat="false" ht="17.15" hidden="false" customHeight="false" outlineLevel="0" collapsed="false">
      <c r="A2249" s="4" t="s">
        <v>571</v>
      </c>
      <c r="B2249" s="0" t="s">
        <v>48</v>
      </c>
      <c r="C2249" s="16" t="n">
        <f aca="false">C2245/C2226</f>
        <v>0.162746187565599</v>
      </c>
      <c r="D2249" s="16" t="n">
        <f aca="false">D2245/D2226</f>
        <v>0.208646059676249</v>
      </c>
      <c r="E2249" s="16" t="n">
        <f aca="false">E2245/E2226</f>
        <v>0.120579733996487</v>
      </c>
      <c r="F2249" s="16" t="n">
        <f aca="false">F2245/F2226</f>
        <v>0.0569419524328139</v>
      </c>
      <c r="G2249" s="16" t="n">
        <f aca="false">G2245/G2226</f>
        <v>0.0465611454398888</v>
      </c>
      <c r="H2249" s="28" t="n">
        <f aca="false">$G2249+($G$2249*0.8-$G2249)*1/3</f>
        <v>0.0434570690772296</v>
      </c>
      <c r="I2249" s="28" t="n">
        <f aca="false">$G2249+($G$2249*0.8-$G2249)*2/3</f>
        <v>0.0403529927145703</v>
      </c>
      <c r="J2249" s="28" t="n">
        <f aca="false">$G2249+($G$2249*0.8-$G2249)*3/3</f>
        <v>0.037248916351911</v>
      </c>
    </row>
    <row r="2252" customFormat="false" ht="17.15" hidden="false" customHeight="false" outlineLevel="0" collapsed="false">
      <c r="A2252" s="1" t="s">
        <v>899</v>
      </c>
    </row>
    <row r="2253" customFormat="false" ht="17.15" hidden="false" customHeight="false" outlineLevel="0" collapsed="false">
      <c r="A2253" s="5" t="s">
        <v>24</v>
      </c>
      <c r="B2253" s="5" t="s">
        <v>25</v>
      </c>
      <c r="C2253" s="17" t="s">
        <v>394</v>
      </c>
      <c r="D2253" s="17" t="s">
        <v>521</v>
      </c>
      <c r="E2253" s="17" t="s">
        <v>480</v>
      </c>
      <c r="F2253" s="17" t="s">
        <v>481</v>
      </c>
      <c r="G2253" s="17" t="s">
        <v>482</v>
      </c>
      <c r="H2253" s="17" t="s">
        <v>522</v>
      </c>
      <c r="I2253" s="17" t="s">
        <v>523</v>
      </c>
      <c r="J2253" s="17" t="s">
        <v>524</v>
      </c>
      <c r="K2253" s="5" t="s">
        <v>357</v>
      </c>
    </row>
    <row r="2254" customFormat="false" ht="17.15" hidden="false" customHeight="false" outlineLevel="0" collapsed="false">
      <c r="A2254" s="6" t="s">
        <v>542</v>
      </c>
    </row>
    <row r="2255" customFormat="false" ht="17.15" hidden="false" customHeight="false" outlineLevel="0" collapsed="false">
      <c r="A2255" s="4" t="s">
        <v>543</v>
      </c>
      <c r="B2255" s="4" t="s">
        <v>42</v>
      </c>
      <c r="D2255" s="22" t="n">
        <f aca="false">cap_26</f>
        <v>3306</v>
      </c>
      <c r="E2255" s="22" t="n">
        <f aca="false">D2255*(1+capg27)*cap_adj</f>
        <v>3306</v>
      </c>
      <c r="F2255" s="22" t="n">
        <f aca="false">E2255*(1+capg28)</f>
        <v>3306</v>
      </c>
      <c r="G2255" s="22" t="n">
        <f aca="false">F2255*(1+capg29)</f>
        <v>3306</v>
      </c>
    </row>
    <row r="2256" customFormat="false" ht="15" hidden="false" customHeight="false" outlineLevel="0" collapsed="false">
      <c r="A2256" s="4" t="s">
        <v>544</v>
      </c>
      <c r="B2256" s="0" t="s">
        <v>48</v>
      </c>
      <c r="D2256" s="20" t="n">
        <f aca="false">a26_ship/cap_26</f>
        <v>0.8725</v>
      </c>
      <c r="E2256" s="20" t="n">
        <f aca="false">MIN(0.98,ut27_A+ut_adj)</f>
        <v>0.95</v>
      </c>
      <c r="F2256" s="20" t="n">
        <f aca="false">MIN(0.98,ut28_A+ut_adj)</f>
        <v>0.94</v>
      </c>
      <c r="G2256" s="20" t="n">
        <f aca="false">MIN(0.98,ut29_A+ut_adj)</f>
        <v>0.93</v>
      </c>
    </row>
    <row r="2257" customFormat="false" ht="17.15" hidden="false" customHeight="false" outlineLevel="0" collapsed="false">
      <c r="A2257" s="4" t="s">
        <v>545</v>
      </c>
      <c r="B2257" s="4" t="s">
        <v>42</v>
      </c>
      <c r="D2257" s="22" t="n">
        <f aca="false">D2255*D2256</f>
        <v>2884.485</v>
      </c>
      <c r="E2257" s="22" t="n">
        <f aca="false">E2255*E2256</f>
        <v>3140.7</v>
      </c>
      <c r="F2257" s="22" t="n">
        <f aca="false">F2255*F2256</f>
        <v>3107.64</v>
      </c>
      <c r="G2257" s="22" t="n">
        <f aca="false">G2255*G2256</f>
        <v>3074.58</v>
      </c>
    </row>
    <row r="2258" customFormat="false" ht="17.15" hidden="false" customHeight="false" outlineLevel="0" collapsed="false">
      <c r="A2258" s="4" t="s">
        <v>546</v>
      </c>
      <c r="B2258" s="0" t="s">
        <v>89</v>
      </c>
      <c r="D2258" s="22" t="n">
        <f aca="false">asp_26</f>
        <v>643.469405492234</v>
      </c>
      <c r="E2258" s="22" t="n">
        <f aca="false">D2258*(1+asp27_A)*(1+asp_adj)</f>
        <v>682.077569821768</v>
      </c>
      <c r="F2258" s="22" t="n">
        <f aca="false">E2258*(1+asp28_A)</f>
        <v>695.719121218203</v>
      </c>
      <c r="G2258" s="22" t="n">
        <f aca="false">F2258*(1+asp29_A)</f>
        <v>702.676312430385</v>
      </c>
    </row>
    <row r="2259" customFormat="false" ht="15" hidden="false" customHeight="false" outlineLevel="0" collapsed="false">
      <c r="A2259" s="4" t="s">
        <v>547</v>
      </c>
      <c r="B2259" s="0" t="s">
        <v>48</v>
      </c>
      <c r="E2259" s="20" t="n">
        <f aca="false">E2258/D2258-1</f>
        <v>0.0600000000000001</v>
      </c>
      <c r="F2259" s="20" t="n">
        <f aca="false">F2258/E2258-1</f>
        <v>0.02</v>
      </c>
      <c r="G2259" s="20" t="n">
        <f aca="false">G2258/F2258-1</f>
        <v>0.01</v>
      </c>
    </row>
    <row r="2260" customFormat="false" ht="15" hidden="false" customHeight="false" outlineLevel="0" collapsed="false">
      <c r="A2260" s="4" t="s">
        <v>548</v>
      </c>
      <c r="B2260" s="0" t="s">
        <v>35</v>
      </c>
      <c r="D2260" s="23" t="n">
        <f aca="false">fx_26</f>
        <v>31.6</v>
      </c>
      <c r="E2260" s="23" t="n">
        <f aca="false">fx</f>
        <v>32</v>
      </c>
      <c r="F2260" s="23" t="n">
        <f aca="false">fx</f>
        <v>32</v>
      </c>
      <c r="G2260" s="23" t="n">
        <f aca="false">fx</f>
        <v>32</v>
      </c>
    </row>
    <row r="2261" customFormat="false" ht="17.15" hidden="false" customHeight="false" outlineLevel="0" collapsed="false">
      <c r="A2261" s="0" t="s">
        <v>549</v>
      </c>
      <c r="B2261" s="0" t="s">
        <v>184</v>
      </c>
      <c r="D2261" s="23" t="n">
        <f aca="false">D2257*D2258*D2260/1000000</f>
        <v>58.65206</v>
      </c>
      <c r="E2261" s="23" t="n">
        <f aca="false">E2257*E2258*E2260/1000000</f>
        <v>68.5504327532552</v>
      </c>
      <c r="F2261" s="23" t="n">
        <f aca="false">F2257*F2258*F2260/1000000</f>
        <v>69.1854262356012</v>
      </c>
      <c r="G2261" s="23" t="n">
        <f aca="false">G2257*G2258*G2260/1000000</f>
        <v>69.1339051735108</v>
      </c>
    </row>
    <row r="2262" customFormat="false" ht="17.15" hidden="false" customHeight="false" outlineLevel="0" collapsed="false">
      <c r="A2262" s="6" t="s">
        <v>550</v>
      </c>
    </row>
    <row r="2263" customFormat="false" ht="17.15" hidden="false" customHeight="false" outlineLevel="0" collapsed="false">
      <c r="A2263" s="0" t="s">
        <v>551</v>
      </c>
      <c r="B2263" s="4" t="s">
        <v>42</v>
      </c>
      <c r="D2263" s="22" t="n">
        <f aca="false">0</f>
        <v>0</v>
      </c>
      <c r="E2263" s="22" t="n">
        <f aca="false">vcap27*vcap_adj_lo</f>
        <v>115.2</v>
      </c>
      <c r="F2263" s="22" t="n">
        <f aca="false">vcap28*vcap_adj_lo</f>
        <v>288</v>
      </c>
      <c r="G2263" s="22" t="n">
        <f aca="false">vcap29*vcap_adj_lo</f>
        <v>403.2</v>
      </c>
    </row>
    <row r="2264" customFormat="false" ht="17.15" hidden="false" customHeight="false" outlineLevel="0" collapsed="false">
      <c r="A2264" s="0" t="s">
        <v>552</v>
      </c>
      <c r="B2264" s="0" t="s">
        <v>48</v>
      </c>
      <c r="E2264" s="20" t="n">
        <f aca="false">vut_A</f>
        <v>0.9</v>
      </c>
      <c r="F2264" s="20" t="n">
        <f aca="false">vut_A</f>
        <v>0.9</v>
      </c>
      <c r="G2264" s="20" t="n">
        <f aca="false">vut_A</f>
        <v>0.9</v>
      </c>
    </row>
    <row r="2265" customFormat="false" ht="17.15" hidden="false" customHeight="false" outlineLevel="0" collapsed="false">
      <c r="A2265" s="0" t="s">
        <v>553</v>
      </c>
      <c r="B2265" s="4" t="s">
        <v>42</v>
      </c>
      <c r="D2265" s="22" t="n">
        <f aca="false">0</f>
        <v>0</v>
      </c>
      <c r="E2265" s="22" t="n">
        <f aca="false">E2263*E2264</f>
        <v>103.68</v>
      </c>
      <c r="F2265" s="22" t="n">
        <f aca="false">F2263*F2264</f>
        <v>259.2</v>
      </c>
      <c r="G2265" s="22" t="n">
        <f aca="false">G2263*G2264</f>
        <v>362.88</v>
      </c>
    </row>
    <row r="2266" customFormat="false" ht="17.15" hidden="false" customHeight="false" outlineLevel="0" collapsed="false">
      <c r="A2266" s="0" t="s">
        <v>554</v>
      </c>
      <c r="B2266" s="0" t="s">
        <v>184</v>
      </c>
      <c r="D2266" s="23" t="n">
        <f aca="false">0</f>
        <v>0</v>
      </c>
      <c r="E2266" s="23" t="n">
        <f aca="false">E2265*vasp*E2260/1000000</f>
        <v>5.971968</v>
      </c>
      <c r="F2266" s="23" t="n">
        <f aca="false">F2265*vasp*F2260/1000000</f>
        <v>14.92992</v>
      </c>
      <c r="G2266" s="23" t="n">
        <f aca="false">G2265*vasp*G2260/1000000</f>
        <v>20.901888</v>
      </c>
    </row>
    <row r="2267" customFormat="false" ht="17.15" hidden="false" customHeight="false" outlineLevel="0" collapsed="false">
      <c r="A2267" s="4" t="s">
        <v>400</v>
      </c>
      <c r="B2267" s="0" t="s">
        <v>184</v>
      </c>
      <c r="C2267" s="23" t="n">
        <f aca="false">a25_rev</f>
        <v>48.591</v>
      </c>
      <c r="D2267" s="23" t="n">
        <f aca="false">D2261+D2266</f>
        <v>58.65206</v>
      </c>
      <c r="E2267" s="23" t="n">
        <f aca="false">E2261+E2266</f>
        <v>74.5224007532552</v>
      </c>
      <c r="F2267" s="23" t="n">
        <f aca="false">F2261+F2266</f>
        <v>84.1153462356012</v>
      </c>
      <c r="G2267" s="23" t="n">
        <f aca="false">G2261+G2266</f>
        <v>90.0357931735108</v>
      </c>
      <c r="H2267" s="29" t="n">
        <f aca="false">G2267*(1+H2270)</f>
        <v>96.0612802180791</v>
      </c>
      <c r="I2267" s="29" t="n">
        <f aca="false">H2267*(1+I2270)</f>
        <v>102.15748470636</v>
      </c>
      <c r="J2267" s="29" t="n">
        <f aca="false">I2267*(1+J2270)</f>
        <v>108.286933788741</v>
      </c>
      <c r="K2267" s="8" t="s">
        <v>555</v>
      </c>
    </row>
    <row r="2268" customFormat="false" ht="17.15" hidden="false" customHeight="false" outlineLevel="0" collapsed="false">
      <c r="A2268" s="0" t="s">
        <v>556</v>
      </c>
      <c r="B2268" s="0" t="s">
        <v>48</v>
      </c>
      <c r="D2268" s="20" t="n">
        <f aca="false">D2266/D2267</f>
        <v>0</v>
      </c>
      <c r="E2268" s="20" t="n">
        <f aca="false">E2266/E2267</f>
        <v>0.0801365487375169</v>
      </c>
      <c r="F2268" s="20" t="n">
        <f aca="false">F2266/F2267</f>
        <v>0.177493414319218</v>
      </c>
      <c r="G2268" s="20" t="n">
        <f aca="false">G2266/G2267</f>
        <v>0.232150873150185</v>
      </c>
    </row>
    <row r="2269" customFormat="false" ht="17.15" hidden="false" customHeight="false" outlineLevel="0" collapsed="false">
      <c r="A2269" s="0" t="s">
        <v>557</v>
      </c>
      <c r="B2269" s="0" t="s">
        <v>48</v>
      </c>
      <c r="D2269" s="20" t="n">
        <f aca="false">ai_sh26</f>
        <v>0.1</v>
      </c>
      <c r="E2269" s="20" t="n">
        <f aca="false">ai_sh27_A</f>
        <v>0.25</v>
      </c>
      <c r="F2269" s="20" t="n">
        <f aca="false">ai_sh27_A</f>
        <v>0.25</v>
      </c>
      <c r="G2269" s="20" t="n">
        <f aca="false">ai_sh27_A</f>
        <v>0.25</v>
      </c>
    </row>
    <row r="2270" customFormat="false" ht="15" hidden="false" customHeight="false" outlineLevel="0" collapsed="false">
      <c r="A2270" s="4" t="s">
        <v>558</v>
      </c>
      <c r="B2270" s="0" t="s">
        <v>48</v>
      </c>
      <c r="D2270" s="20" t="n">
        <f aca="false">D2267/C2267-1</f>
        <v>0.207056039184211</v>
      </c>
      <c r="E2270" s="20" t="n">
        <f aca="false">E2267/D2267-1</f>
        <v>0.27058454133163</v>
      </c>
      <c r="F2270" s="20" t="n">
        <f aca="false">F2267/E2267-1</f>
        <v>0.128725663496917</v>
      </c>
      <c r="G2270" s="20" t="n">
        <f aca="false">G2267/F2267-1</f>
        <v>0.070384860823457</v>
      </c>
      <c r="H2270" s="27" t="n">
        <f aca="false">$G2270+(fade_gA-$G2270)*1/3</f>
        <v>0.0669232405489713</v>
      </c>
      <c r="I2270" s="27" t="n">
        <f aca="false">$G2270+(fade_gA-$G2270)*2/3</f>
        <v>0.0634616202744857</v>
      </c>
      <c r="J2270" s="27" t="n">
        <f aca="false">$G2270+(fade_gA-$G2270)*3/3</f>
        <v>0.06</v>
      </c>
    </row>
    <row r="2271" customFormat="false" ht="17.15" hidden="false" customHeight="false" outlineLevel="0" collapsed="false">
      <c r="A2271" s="6" t="s">
        <v>559</v>
      </c>
    </row>
    <row r="2272" customFormat="false" ht="15" hidden="false" customHeight="false" outlineLevel="0" collapsed="false">
      <c r="A2272" s="4" t="s">
        <v>560</v>
      </c>
      <c r="B2272" s="0" t="s">
        <v>184</v>
      </c>
      <c r="D2272" s="23" t="n">
        <f aca="false">da_tot26*da_sh</f>
        <v>8.658</v>
      </c>
      <c r="E2272" s="23" t="n">
        <f aca="false">D2272*(1+dag_27+dag_adj)</f>
        <v>8.91774</v>
      </c>
      <c r="F2272" s="23" t="n">
        <f aca="false">E2272*(1+dag_28+dag_adj)</f>
        <v>9.0960948</v>
      </c>
      <c r="G2272" s="23" t="n">
        <f aca="false">F2272*(1+dag_29+dag_adj)</f>
        <v>9.0960948</v>
      </c>
    </row>
    <row r="2273" customFormat="false" ht="17.15" hidden="false" customHeight="false" outlineLevel="0" collapsed="false">
      <c r="A2273" s="4" t="s">
        <v>561</v>
      </c>
      <c r="B2273" s="0" t="s">
        <v>562</v>
      </c>
      <c r="D2273" s="23" t="n">
        <f aca="false">(D2261-a26_gp-D2272)/D2257*1000</f>
        <v>10.7339918911001</v>
      </c>
      <c r="E2273" s="23" t="n">
        <f aca="false">D2273*(1+cc_g)</f>
        <v>10.9486717289221</v>
      </c>
      <c r="F2273" s="23" t="n">
        <f aca="false">E2273*(1+cc_g)</f>
        <v>11.1676451635006</v>
      </c>
      <c r="G2273" s="23" t="n">
        <f aca="false">F2273*(1+cc_g)</f>
        <v>11.3909980667706</v>
      </c>
      <c r="K2273" s="8" t="s">
        <v>563</v>
      </c>
    </row>
    <row r="2274" customFormat="false" ht="17.15" hidden="false" customHeight="false" outlineLevel="0" collapsed="false">
      <c r="A2274" s="4" t="s">
        <v>564</v>
      </c>
      <c r="B2274" s="0" t="s">
        <v>184</v>
      </c>
      <c r="D2274" s="23" t="n">
        <f aca="false">D2273*D2257/1000</f>
        <v>30.9620386</v>
      </c>
      <c r="E2274" s="23" t="n">
        <f aca="false">E2273*E2257/1000</f>
        <v>34.3864932990258</v>
      </c>
      <c r="F2274" s="23" t="n">
        <f aca="false">F2273*F2257/1000</f>
        <v>34.705020815901</v>
      </c>
      <c r="G2274" s="23" t="n">
        <f aca="false">G2273*G2257/1000</f>
        <v>35.0225348361316</v>
      </c>
    </row>
    <row r="2275" customFormat="false" ht="17.15" hidden="false" customHeight="false" outlineLevel="0" collapsed="false">
      <c r="A2275" s="0" t="s">
        <v>565</v>
      </c>
      <c r="B2275" s="0" t="s">
        <v>48</v>
      </c>
      <c r="E2275" s="20" t="n">
        <f aca="false">vgm27_A</f>
        <v>0.05</v>
      </c>
      <c r="F2275" s="20" t="n">
        <f aca="false">vgm28_A</f>
        <v>0.2</v>
      </c>
      <c r="G2275" s="20" t="n">
        <f aca="false">vgm29_A</f>
        <v>0.25</v>
      </c>
    </row>
    <row r="2276" customFormat="false" ht="17.15" hidden="false" customHeight="false" outlineLevel="0" collapsed="false">
      <c r="A2276" s="0" t="s">
        <v>566</v>
      </c>
      <c r="B2276" s="0" t="s">
        <v>184</v>
      </c>
      <c r="D2276" s="23" t="n">
        <f aca="false">0</f>
        <v>0</v>
      </c>
      <c r="E2276" s="23" t="n">
        <f aca="false">E2266*E2275</f>
        <v>0.2985984</v>
      </c>
      <c r="F2276" s="23" t="n">
        <f aca="false">F2266*F2275</f>
        <v>2.985984</v>
      </c>
      <c r="G2276" s="23" t="n">
        <f aca="false">G2266*G2275</f>
        <v>5.225472</v>
      </c>
    </row>
    <row r="2277" customFormat="false" ht="15" hidden="false" customHeight="false" outlineLevel="0" collapsed="false">
      <c r="A2277" s="4" t="s">
        <v>417</v>
      </c>
      <c r="B2277" s="0" t="s">
        <v>184</v>
      </c>
      <c r="C2277" s="23" t="n">
        <f aca="false">a25_gp</f>
        <v>13.654</v>
      </c>
      <c r="D2277" s="23" t="n">
        <f aca="false">D2261-D2272-D2274+D2276</f>
        <v>19.0320214</v>
      </c>
      <c r="E2277" s="23" t="n">
        <f aca="false">E2261-E2272-E2274+E2276</f>
        <v>25.5447978542294</v>
      </c>
      <c r="F2277" s="23" t="n">
        <f aca="false">F2261-F2272-F2274+F2276</f>
        <v>28.3702946197002</v>
      </c>
      <c r="G2277" s="23" t="n">
        <f aca="false">G2261-G2272-G2274+G2276</f>
        <v>30.2407475373793</v>
      </c>
    </row>
    <row r="2278" customFormat="false" ht="15" hidden="false" customHeight="false" outlineLevel="0" collapsed="false">
      <c r="A2278" s="4" t="s">
        <v>420</v>
      </c>
      <c r="B2278" s="0" t="s">
        <v>48</v>
      </c>
      <c r="C2278" s="16" t="n">
        <f aca="false">C2277/C2267</f>
        <v>0.280998538824062</v>
      </c>
      <c r="D2278" s="16" t="n">
        <f aca="false">D2277/D2267</f>
        <v>0.324490246378388</v>
      </c>
      <c r="E2278" s="16" t="n">
        <f aca="false">E2277/E2267</f>
        <v>0.342780125117126</v>
      </c>
      <c r="F2278" s="16" t="n">
        <f aca="false">F2277/F2267</f>
        <v>0.33727846212791</v>
      </c>
      <c r="G2278" s="16" t="n">
        <f aca="false">G2277/G2267</f>
        <v>0.335874727944045</v>
      </c>
    </row>
    <row r="2279" customFormat="false" ht="15" hidden="false" customHeight="false" outlineLevel="0" collapsed="false">
      <c r="A2279" s="4" t="s">
        <v>422</v>
      </c>
      <c r="B2279" s="0" t="s">
        <v>184</v>
      </c>
      <c r="C2279" s="23" t="n">
        <f aca="false">a25_opx</f>
        <v>5.881</v>
      </c>
      <c r="D2279" s="23" t="n">
        <f aca="false">a26_opx</f>
        <v>6.824187</v>
      </c>
      <c r="E2279" s="23" t="n">
        <f aca="false">D2279*(1+MAX(g_opx_min,phi*E2270))</f>
        <v>7.74744675467814</v>
      </c>
      <c r="F2279" s="23" t="n">
        <f aca="false">E2279*(1+MAX(g_opx_min,phi*F2270))</f>
        <v>8.24609436662963</v>
      </c>
      <c r="G2279" s="23" t="n">
        <f aca="false">F2279*(1+MAX(g_opx_min,phi*G2270))</f>
        <v>8.53629446879578</v>
      </c>
    </row>
    <row r="2280" customFormat="false" ht="15" hidden="false" customHeight="false" outlineLevel="0" collapsed="false">
      <c r="A2280" s="4" t="s">
        <v>425</v>
      </c>
      <c r="B2280" s="0" t="s">
        <v>184</v>
      </c>
      <c r="C2280" s="23" t="n">
        <f aca="false">C2277-C2279</f>
        <v>7.773</v>
      </c>
      <c r="D2280" s="23" t="n">
        <f aca="false">D2277-D2279</f>
        <v>12.2078344</v>
      </c>
      <c r="E2280" s="23" t="n">
        <f aca="false">E2277-E2279</f>
        <v>17.7973510995513</v>
      </c>
      <c r="F2280" s="23" t="n">
        <f aca="false">F2277-F2279</f>
        <v>20.1242002530706</v>
      </c>
      <c r="G2280" s="23" t="n">
        <f aca="false">G2277-G2279</f>
        <v>21.7044530685835</v>
      </c>
    </row>
    <row r="2281" customFormat="false" ht="15" hidden="false" customHeight="false" outlineLevel="0" collapsed="false">
      <c r="A2281" s="4" t="s">
        <v>531</v>
      </c>
      <c r="B2281" s="0" t="s">
        <v>48</v>
      </c>
      <c r="C2281" s="16" t="n">
        <f aca="false">C2280/C2267</f>
        <v>0.159967895289251</v>
      </c>
      <c r="D2281" s="16" t="n">
        <f aca="false">D2280/D2267</f>
        <v>0.208139908470393</v>
      </c>
      <c r="E2281" s="16" t="n">
        <f aca="false">E2280/E2267</f>
        <v>0.238818810447057</v>
      </c>
      <c r="F2281" s="16" t="n">
        <f aca="false">F2280/F2267</f>
        <v>0.239245288210597</v>
      </c>
      <c r="G2281" s="16" t="n">
        <f aca="false">G2280/G2267</f>
        <v>0.241064717747931</v>
      </c>
    </row>
    <row r="2282" customFormat="false" ht="15" hidden="false" customHeight="false" outlineLevel="0" collapsed="false">
      <c r="A2282" s="4" t="s">
        <v>428</v>
      </c>
      <c r="B2282" s="0" t="s">
        <v>184</v>
      </c>
      <c r="C2282" s="23" t="n">
        <f aca="false">a25_nonop</f>
        <v>1.479</v>
      </c>
      <c r="D2282" s="23" t="n">
        <f aca="false">a26_nonop</f>
        <v>2.10950832169955</v>
      </c>
      <c r="E2282" s="23" t="n">
        <f aca="false">nonop_f</f>
        <v>1.5</v>
      </c>
      <c r="F2282" s="23" t="n">
        <f aca="false">nonop_f</f>
        <v>1.5</v>
      </c>
      <c r="G2282" s="23" t="n">
        <f aca="false">nonop_f</f>
        <v>1.5</v>
      </c>
    </row>
    <row r="2283" customFormat="false" ht="15" hidden="false" customHeight="false" outlineLevel="0" collapsed="false">
      <c r="A2283" s="4" t="s">
        <v>430</v>
      </c>
      <c r="B2283" s="0" t="s">
        <v>184</v>
      </c>
      <c r="C2283" s="23" t="n">
        <f aca="false">C2280+C2282</f>
        <v>9.252</v>
      </c>
      <c r="D2283" s="23" t="n">
        <f aca="false">D2280+D2282</f>
        <v>14.3173427216995</v>
      </c>
      <c r="E2283" s="23" t="n">
        <f aca="false">E2280+E2282</f>
        <v>19.2973510995513</v>
      </c>
      <c r="F2283" s="23" t="n">
        <f aca="false">F2280+F2282</f>
        <v>21.6242002530706</v>
      </c>
      <c r="G2283" s="23" t="n">
        <f aca="false">G2280+G2282</f>
        <v>23.2044530685835</v>
      </c>
    </row>
    <row r="2284" customFormat="false" ht="15" hidden="false" customHeight="false" outlineLevel="0" collapsed="false">
      <c r="A2284" s="4" t="s">
        <v>432</v>
      </c>
      <c r="B2284" s="0" t="s">
        <v>184</v>
      </c>
      <c r="C2284" s="23" t="n">
        <f aca="false">a25_tax</f>
        <v>1.344</v>
      </c>
      <c r="D2284" s="23" t="n">
        <f aca="false">a26_tax</f>
        <v>2.0798215108046</v>
      </c>
      <c r="E2284" s="23" t="n">
        <f aca="false">E2283*tax</f>
        <v>2.8946026649327</v>
      </c>
      <c r="F2284" s="23" t="n">
        <f aca="false">F2283*tax</f>
        <v>3.24363003796059</v>
      </c>
      <c r="G2284" s="23" t="n">
        <f aca="false">G2283*tax</f>
        <v>3.48066796028752</v>
      </c>
    </row>
    <row r="2285" customFormat="false" ht="17.15" hidden="false" customHeight="false" outlineLevel="0" collapsed="false">
      <c r="A2285" s="4" t="s">
        <v>567</v>
      </c>
      <c r="B2285" s="0" t="s">
        <v>184</v>
      </c>
      <c r="C2285" s="23" t="n">
        <f aca="false">a25_mi</f>
        <v>0</v>
      </c>
      <c r="D2285" s="23" t="n">
        <f aca="false">a26_mi</f>
        <v>0</v>
      </c>
      <c r="E2285" s="23" t="n">
        <f aca="false">vmi*E2276*(1-tax)</f>
        <v>0.101523456</v>
      </c>
      <c r="F2285" s="23" t="n">
        <f aca="false">vmi*F2276*(1-tax)</f>
        <v>1.01523456</v>
      </c>
      <c r="G2285" s="23" t="n">
        <f aca="false">vmi*G2276*(1-tax)</f>
        <v>1.77666048</v>
      </c>
      <c r="K2285" s="8" t="s">
        <v>568</v>
      </c>
    </row>
    <row r="2286" customFormat="false" ht="15" hidden="false" customHeight="false" outlineLevel="0" collapsed="false">
      <c r="A2286" s="4" t="s">
        <v>435</v>
      </c>
      <c r="B2286" s="0" t="s">
        <v>184</v>
      </c>
      <c r="C2286" s="23" t="n">
        <f aca="false">C2283-C2284-C2285</f>
        <v>7.908</v>
      </c>
      <c r="D2286" s="23" t="n">
        <f aca="false">D2283-D2284-D2285</f>
        <v>12.2375212108949</v>
      </c>
      <c r="E2286" s="23" t="n">
        <f aca="false">E2283-E2284-E2285</f>
        <v>16.3012249786186</v>
      </c>
      <c r="F2286" s="23" t="n">
        <f aca="false">F2283-F2284-F2285</f>
        <v>17.36533565511</v>
      </c>
      <c r="G2286" s="23" t="n">
        <f aca="false">G2283-G2284-G2285</f>
        <v>17.947124628296</v>
      </c>
      <c r="H2286" s="29" t="n">
        <f aca="false">H2267*H2290</f>
        <v>19.1482043669578</v>
      </c>
      <c r="I2286" s="29" t="n">
        <f aca="false">I2267*I2290</f>
        <v>20.3633804414319</v>
      </c>
      <c r="J2286" s="29" t="n">
        <f aca="false">J2267*J2290</f>
        <v>21.5851832679178</v>
      </c>
    </row>
    <row r="2287" customFormat="false" ht="15" hidden="false" customHeight="false" outlineLevel="0" collapsed="false">
      <c r="A2287" s="4" t="s">
        <v>569</v>
      </c>
      <c r="B2287" s="4" t="s">
        <v>265</v>
      </c>
      <c r="C2287" s="10" t="n">
        <f aca="false">a25_sh</f>
        <v>1.8739336492891</v>
      </c>
      <c r="D2287" s="10" t="n">
        <f aca="false">a26_sh</f>
        <v>1.90613591916558</v>
      </c>
      <c r="E2287" s="10" t="n">
        <f aca="false">q_sh*(1+sh_g)</f>
        <v>1.90705128205128</v>
      </c>
      <c r="F2287" s="10" t="n">
        <f aca="false">E2287*(1+sh_g)</f>
        <v>1.90705128205128</v>
      </c>
      <c r="G2287" s="10" t="n">
        <f aca="false">F2287*(1+sh_g)</f>
        <v>1.90705128205128</v>
      </c>
      <c r="H2287" s="31" t="n">
        <f aca="false">G2287*(1+sh_g)</f>
        <v>1.90705128205128</v>
      </c>
      <c r="I2287" s="31" t="n">
        <f aca="false">H2287*(1+sh_g)</f>
        <v>1.90705128205128</v>
      </c>
      <c r="J2287" s="31" t="n">
        <f aca="false">I2287*(1+sh_g)</f>
        <v>1.90705128205128</v>
      </c>
    </row>
    <row r="2288" customFormat="false" ht="17.15" hidden="false" customHeight="false" outlineLevel="0" collapsed="false">
      <c r="A2288" s="0" t="s">
        <v>442</v>
      </c>
      <c r="B2288" s="0" t="s">
        <v>274</v>
      </c>
      <c r="C2288" s="23" t="n">
        <f aca="false">C2286/C2287</f>
        <v>4.22</v>
      </c>
      <c r="D2288" s="23" t="n">
        <f aca="false">D2286/D2287</f>
        <v>6.42006747150118</v>
      </c>
      <c r="E2288" s="23" t="n">
        <f aca="false">E2286/E2287</f>
        <v>8.54786923248573</v>
      </c>
      <c r="F2288" s="23" t="n">
        <f aca="false">F2286/F2287</f>
        <v>9.10585667965431</v>
      </c>
      <c r="G2288" s="23" t="n">
        <f aca="false">G2286/G2287</f>
        <v>9.41092921685436</v>
      </c>
      <c r="H2288" s="29" t="n">
        <f aca="false">H2286/H2287</f>
        <v>10.0407390966232</v>
      </c>
      <c r="I2288" s="29" t="n">
        <f aca="false">I2286/I2287</f>
        <v>10.6779406684483</v>
      </c>
      <c r="J2288" s="29" t="n">
        <f aca="false">J2286/J2287</f>
        <v>11.3186171085552</v>
      </c>
    </row>
    <row r="2289" customFormat="false" ht="17.15" hidden="false" customHeight="false" outlineLevel="0" collapsed="false">
      <c r="A2289" s="0" t="s">
        <v>570</v>
      </c>
      <c r="B2289" s="0" t="s">
        <v>48</v>
      </c>
      <c r="D2289" s="20" t="n">
        <f aca="false">D2288/C2288-1</f>
        <v>0.521343002725398</v>
      </c>
      <c r="E2289" s="20" t="n">
        <f aca="false">E2288/D2288-1</f>
        <v>0.331429812915504</v>
      </c>
      <c r="F2289" s="20" t="n">
        <f aca="false">F2288/E2288-1</f>
        <v>0.0652779578152629</v>
      </c>
      <c r="G2289" s="20" t="n">
        <f aca="false">G2288/F2288-1</f>
        <v>0.0335028924715763</v>
      </c>
      <c r="H2289" s="27" t="n">
        <f aca="false">H2288/G2288-1</f>
        <v>0.0669232405489715</v>
      </c>
      <c r="I2289" s="27" t="n">
        <f aca="false">I2288/H2288-1</f>
        <v>0.0634616202744858</v>
      </c>
      <c r="J2289" s="27" t="n">
        <f aca="false">J2288/I2288-1</f>
        <v>0.0600000000000001</v>
      </c>
    </row>
    <row r="2290" customFormat="false" ht="17.15" hidden="false" customHeight="false" outlineLevel="0" collapsed="false">
      <c r="A2290" s="4" t="s">
        <v>571</v>
      </c>
      <c r="B2290" s="0" t="s">
        <v>48</v>
      </c>
      <c r="C2290" s="16" t="n">
        <f aca="false">C2286/C2267</f>
        <v>0.162746187565599</v>
      </c>
      <c r="D2290" s="16" t="n">
        <f aca="false">D2286/D2267</f>
        <v>0.208646059676249</v>
      </c>
      <c r="E2290" s="16" t="n">
        <f aca="false">E2286/E2267</f>
        <v>0.218742617170805</v>
      </c>
      <c r="F2290" s="16" t="n">
        <f aca="false">F2286/F2267</f>
        <v>0.206446700064349</v>
      </c>
      <c r="G2290" s="16" t="n">
        <f aca="false">G2286/G2267</f>
        <v>0.199333220663803</v>
      </c>
      <c r="H2290" s="28" t="n">
        <f aca="false">$G2290+($G$2290*1-$G2290)*1/3</f>
        <v>0.199333220663803</v>
      </c>
      <c r="I2290" s="28" t="n">
        <f aca="false">$G2290+($G$2290*1-$G2290)*2/3</f>
        <v>0.199333220663803</v>
      </c>
      <c r="J2290" s="28" t="n">
        <f aca="false">$G2290+($G$2290*1-$G2290)*3/3</f>
        <v>0.199333220663803</v>
      </c>
    </row>
    <row r="2293" customFormat="false" ht="17.15" hidden="false" customHeight="false" outlineLevel="0" collapsed="false">
      <c r="A2293" s="1" t="s">
        <v>900</v>
      </c>
    </row>
    <row r="2294" customFormat="false" ht="17.15" hidden="false" customHeight="false" outlineLevel="0" collapsed="false">
      <c r="A2294" s="5" t="s">
        <v>24</v>
      </c>
      <c r="B2294" s="5" t="s">
        <v>25</v>
      </c>
      <c r="C2294" s="17" t="s">
        <v>394</v>
      </c>
      <c r="D2294" s="17" t="s">
        <v>521</v>
      </c>
      <c r="E2294" s="17" t="s">
        <v>480</v>
      </c>
      <c r="F2294" s="17" t="s">
        <v>481</v>
      </c>
      <c r="G2294" s="17" t="s">
        <v>482</v>
      </c>
      <c r="H2294" s="17" t="s">
        <v>522</v>
      </c>
      <c r="I2294" s="17" t="s">
        <v>523</v>
      </c>
      <c r="J2294" s="17" t="s">
        <v>524</v>
      </c>
      <c r="K2294" s="5" t="s">
        <v>357</v>
      </c>
    </row>
    <row r="2295" customFormat="false" ht="17.15" hidden="false" customHeight="false" outlineLevel="0" collapsed="false">
      <c r="A2295" s="6" t="s">
        <v>542</v>
      </c>
    </row>
    <row r="2296" customFormat="false" ht="17.15" hidden="false" customHeight="false" outlineLevel="0" collapsed="false">
      <c r="A2296" s="4" t="s">
        <v>543</v>
      </c>
      <c r="B2296" s="4" t="s">
        <v>42</v>
      </c>
      <c r="D2296" s="22" t="n">
        <f aca="false">cap_26</f>
        <v>3306</v>
      </c>
      <c r="E2296" s="22" t="n">
        <f aca="false">D2296*(1+capg27)*cap_adj</f>
        <v>3306</v>
      </c>
      <c r="F2296" s="22" t="n">
        <f aca="false">E2296*(1+capg28)</f>
        <v>3306</v>
      </c>
      <c r="G2296" s="22" t="n">
        <f aca="false">F2296*(1+capg29)</f>
        <v>3306</v>
      </c>
    </row>
    <row r="2297" customFormat="false" ht="15" hidden="false" customHeight="false" outlineLevel="0" collapsed="false">
      <c r="A2297" s="4" t="s">
        <v>544</v>
      </c>
      <c r="B2297" s="0" t="s">
        <v>48</v>
      </c>
      <c r="D2297" s="20" t="n">
        <f aca="false">a26_ship/cap_26</f>
        <v>0.8725</v>
      </c>
      <c r="E2297" s="20" t="n">
        <f aca="false">MIN(0.98,ut27_B+ut_adj)</f>
        <v>0.9</v>
      </c>
      <c r="F2297" s="20" t="n">
        <f aca="false">MIN(0.98,ut28_B+ut_adj)</f>
        <v>0.86</v>
      </c>
      <c r="G2297" s="20" t="n">
        <f aca="false">MIN(0.98,ut29_B+ut_adj)</f>
        <v>0.87</v>
      </c>
    </row>
    <row r="2298" customFormat="false" ht="17.15" hidden="false" customHeight="false" outlineLevel="0" collapsed="false">
      <c r="A2298" s="4" t="s">
        <v>545</v>
      </c>
      <c r="B2298" s="4" t="s">
        <v>42</v>
      </c>
      <c r="D2298" s="22" t="n">
        <f aca="false">D2296*D2297</f>
        <v>2884.485</v>
      </c>
      <c r="E2298" s="22" t="n">
        <f aca="false">E2296*E2297</f>
        <v>2975.4</v>
      </c>
      <c r="F2298" s="22" t="n">
        <f aca="false">F2296*F2297</f>
        <v>2843.16</v>
      </c>
      <c r="G2298" s="22" t="n">
        <f aca="false">G2296*G2297</f>
        <v>2876.22</v>
      </c>
    </row>
    <row r="2299" customFormat="false" ht="17.15" hidden="false" customHeight="false" outlineLevel="0" collapsed="false">
      <c r="A2299" s="4" t="s">
        <v>546</v>
      </c>
      <c r="B2299" s="0" t="s">
        <v>89</v>
      </c>
      <c r="D2299" s="22" t="n">
        <f aca="false">asp_26</f>
        <v>643.469405492234</v>
      </c>
      <c r="E2299" s="22" t="n">
        <f aca="false">D2299*(1+asp27_B)*(1+asp_adj)</f>
        <v>662.773487657001</v>
      </c>
      <c r="F2299" s="22" t="n">
        <f aca="false">E2299*(1+asp28_B)</f>
        <v>662.773487657001</v>
      </c>
      <c r="G2299" s="22" t="n">
        <f aca="false">F2299*(1+asp29_B)</f>
        <v>662.773487657001</v>
      </c>
    </row>
    <row r="2300" customFormat="false" ht="15" hidden="false" customHeight="false" outlineLevel="0" collapsed="false">
      <c r="A2300" s="4" t="s">
        <v>547</v>
      </c>
      <c r="B2300" s="0" t="s">
        <v>48</v>
      </c>
      <c r="E2300" s="20" t="n">
        <f aca="false">E2299/D2299-1</f>
        <v>0.03</v>
      </c>
      <c r="F2300" s="20" t="n">
        <f aca="false">F2299/E2299-1</f>
        <v>0</v>
      </c>
      <c r="G2300" s="20" t="n">
        <f aca="false">G2299/F2299-1</f>
        <v>0</v>
      </c>
    </row>
    <row r="2301" customFormat="false" ht="15" hidden="false" customHeight="false" outlineLevel="0" collapsed="false">
      <c r="A2301" s="4" t="s">
        <v>548</v>
      </c>
      <c r="B2301" s="0" t="s">
        <v>35</v>
      </c>
      <c r="D2301" s="23" t="n">
        <f aca="false">fx_26</f>
        <v>31.6</v>
      </c>
      <c r="E2301" s="23" t="n">
        <f aca="false">fx</f>
        <v>32</v>
      </c>
      <c r="F2301" s="23" t="n">
        <f aca="false">fx</f>
        <v>32</v>
      </c>
      <c r="G2301" s="23" t="n">
        <f aca="false">fx</f>
        <v>32</v>
      </c>
    </row>
    <row r="2302" customFormat="false" ht="17.15" hidden="false" customHeight="false" outlineLevel="0" collapsed="false">
      <c r="A2302" s="0" t="s">
        <v>549</v>
      </c>
      <c r="B2302" s="0" t="s">
        <v>184</v>
      </c>
      <c r="D2302" s="23" t="n">
        <f aca="false">D2298*D2299*D2301/1000000</f>
        <v>58.65206</v>
      </c>
      <c r="E2302" s="23" t="n">
        <f aca="false">E2298*E2299*E2301/1000000</f>
        <v>63.1045195255885</v>
      </c>
      <c r="F2302" s="23" t="n">
        <f aca="false">F2298*F2299*F2301/1000000</f>
        <v>60.2998742133401</v>
      </c>
      <c r="G2302" s="23" t="n">
        <f aca="false">G2298*G2299*G2301/1000000</f>
        <v>61.0010355414022</v>
      </c>
    </row>
    <row r="2303" customFormat="false" ht="17.15" hidden="false" customHeight="false" outlineLevel="0" collapsed="false">
      <c r="A2303" s="6" t="s">
        <v>550</v>
      </c>
    </row>
    <row r="2304" customFormat="false" ht="17.15" hidden="false" customHeight="false" outlineLevel="0" collapsed="false">
      <c r="A2304" s="0" t="s">
        <v>551</v>
      </c>
      <c r="B2304" s="4" t="s">
        <v>42</v>
      </c>
      <c r="D2304" s="22" t="n">
        <f aca="false">0</f>
        <v>0</v>
      </c>
      <c r="E2304" s="22" t="n">
        <f aca="false">vcap27*vcap_adj_lo</f>
        <v>115.2</v>
      </c>
      <c r="F2304" s="22" t="n">
        <f aca="false">vcap28*vcap_adj_lo</f>
        <v>288</v>
      </c>
      <c r="G2304" s="22" t="n">
        <f aca="false">vcap29*vcap_adj_lo</f>
        <v>403.2</v>
      </c>
    </row>
    <row r="2305" customFormat="false" ht="17.15" hidden="false" customHeight="false" outlineLevel="0" collapsed="false">
      <c r="A2305" s="0" t="s">
        <v>552</v>
      </c>
      <c r="B2305" s="0" t="s">
        <v>48</v>
      </c>
      <c r="E2305" s="20" t="n">
        <f aca="false">vut_B</f>
        <v>0.8</v>
      </c>
      <c r="F2305" s="20" t="n">
        <f aca="false">vut_B</f>
        <v>0.8</v>
      </c>
      <c r="G2305" s="20" t="n">
        <f aca="false">vut_B</f>
        <v>0.8</v>
      </c>
    </row>
    <row r="2306" customFormat="false" ht="17.15" hidden="false" customHeight="false" outlineLevel="0" collapsed="false">
      <c r="A2306" s="0" t="s">
        <v>553</v>
      </c>
      <c r="B2306" s="4" t="s">
        <v>42</v>
      </c>
      <c r="D2306" s="22" t="n">
        <f aca="false">0</f>
        <v>0</v>
      </c>
      <c r="E2306" s="22" t="n">
        <f aca="false">E2304*E2305</f>
        <v>92.16</v>
      </c>
      <c r="F2306" s="22" t="n">
        <f aca="false">F2304*F2305</f>
        <v>230.4</v>
      </c>
      <c r="G2306" s="22" t="n">
        <f aca="false">G2304*G2305</f>
        <v>322.56</v>
      </c>
    </row>
    <row r="2307" customFormat="false" ht="17.15" hidden="false" customHeight="false" outlineLevel="0" collapsed="false">
      <c r="A2307" s="0" t="s">
        <v>554</v>
      </c>
      <c r="B2307" s="0" t="s">
        <v>184</v>
      </c>
      <c r="D2307" s="23" t="n">
        <f aca="false">0</f>
        <v>0</v>
      </c>
      <c r="E2307" s="23" t="n">
        <f aca="false">E2306*vasp*E2301/1000000</f>
        <v>5.308416</v>
      </c>
      <c r="F2307" s="23" t="n">
        <f aca="false">F2306*vasp*F2301/1000000</f>
        <v>13.27104</v>
      </c>
      <c r="G2307" s="23" t="n">
        <f aca="false">G2306*vasp*G2301/1000000</f>
        <v>18.579456</v>
      </c>
    </row>
    <row r="2308" customFormat="false" ht="17.15" hidden="false" customHeight="false" outlineLevel="0" collapsed="false">
      <c r="A2308" s="4" t="s">
        <v>400</v>
      </c>
      <c r="B2308" s="0" t="s">
        <v>184</v>
      </c>
      <c r="C2308" s="23" t="n">
        <f aca="false">a25_rev</f>
        <v>48.591</v>
      </c>
      <c r="D2308" s="23" t="n">
        <f aca="false">D2302+D2307</f>
        <v>58.65206</v>
      </c>
      <c r="E2308" s="23" t="n">
        <f aca="false">E2302+E2307</f>
        <v>68.4129355255885</v>
      </c>
      <c r="F2308" s="23" t="n">
        <f aca="false">F2302+F2307</f>
        <v>73.5709142133401</v>
      </c>
      <c r="G2308" s="23" t="n">
        <f aca="false">G2302+G2307</f>
        <v>79.5804915414022</v>
      </c>
      <c r="H2308" s="29" t="n">
        <f aca="false">G2308*(1+H2311)</f>
        <v>84.9752077768776</v>
      </c>
      <c r="I2308" s="29" t="n">
        <f aca="false">H2308*(1+I2311)</f>
        <v>89.5549224219942</v>
      </c>
      <c r="J2308" s="29" t="n">
        <f aca="false">I2308*(1+J2311)</f>
        <v>93.137119318874</v>
      </c>
      <c r="K2308" s="8" t="s">
        <v>555</v>
      </c>
    </row>
    <row r="2309" customFormat="false" ht="17.15" hidden="false" customHeight="false" outlineLevel="0" collapsed="false">
      <c r="A2309" s="0" t="s">
        <v>556</v>
      </c>
      <c r="B2309" s="0" t="s">
        <v>48</v>
      </c>
      <c r="D2309" s="20" t="n">
        <f aca="false">D2307/D2308</f>
        <v>0</v>
      </c>
      <c r="E2309" s="20" t="n">
        <f aca="false">E2307/E2308</f>
        <v>0.0775937468435994</v>
      </c>
      <c r="F2309" s="20" t="n">
        <f aca="false">F2307/F2308</f>
        <v>0.180384329077613</v>
      </c>
      <c r="G2309" s="20" t="n">
        <f aca="false">G2307/G2308</f>
        <v>0.233467469729487</v>
      </c>
    </row>
    <row r="2310" customFormat="false" ht="17.15" hidden="false" customHeight="false" outlineLevel="0" collapsed="false">
      <c r="A2310" s="0" t="s">
        <v>557</v>
      </c>
      <c r="B2310" s="0" t="s">
        <v>48</v>
      </c>
      <c r="D2310" s="20" t="n">
        <f aca="false">ai_sh26</f>
        <v>0.1</v>
      </c>
      <c r="E2310" s="20" t="n">
        <f aca="false">ai_sh27_B</f>
        <v>0.2</v>
      </c>
      <c r="F2310" s="20" t="n">
        <f aca="false">ai_sh27_B</f>
        <v>0.2</v>
      </c>
      <c r="G2310" s="20" t="n">
        <f aca="false">ai_sh27_B</f>
        <v>0.2</v>
      </c>
    </row>
    <row r="2311" customFormat="false" ht="15" hidden="false" customHeight="false" outlineLevel="0" collapsed="false">
      <c r="A2311" s="4" t="s">
        <v>558</v>
      </c>
      <c r="B2311" s="0" t="s">
        <v>48</v>
      </c>
      <c r="D2311" s="20" t="n">
        <f aca="false">D2308/C2308-1</f>
        <v>0.207056039184211</v>
      </c>
      <c r="E2311" s="20" t="n">
        <f aca="false">E2308/D2308-1</f>
        <v>0.166419994891714</v>
      </c>
      <c r="F2311" s="20" t="n">
        <f aca="false">F2308/E2308-1</f>
        <v>0.0753947867917812</v>
      </c>
      <c r="G2311" s="20" t="n">
        <f aca="false">G2308/F2308-1</f>
        <v>0.0816841464092126</v>
      </c>
      <c r="H2311" s="27" t="n">
        <f aca="false">$G2311+(fade_gB-$G2311)*1/3</f>
        <v>0.0677894309394751</v>
      </c>
      <c r="I2311" s="27" t="n">
        <f aca="false">$G2311+(fade_gB-$G2311)*2/3</f>
        <v>0.0538947154697375</v>
      </c>
      <c r="J2311" s="27" t="n">
        <f aca="false">$G2311+(fade_gB-$G2311)*3/3</f>
        <v>0.04</v>
      </c>
    </row>
    <row r="2312" customFormat="false" ht="17.15" hidden="false" customHeight="false" outlineLevel="0" collapsed="false">
      <c r="A2312" s="6" t="s">
        <v>559</v>
      </c>
    </row>
    <row r="2313" customFormat="false" ht="15" hidden="false" customHeight="false" outlineLevel="0" collapsed="false">
      <c r="A2313" s="4" t="s">
        <v>560</v>
      </c>
      <c r="B2313" s="0" t="s">
        <v>184</v>
      </c>
      <c r="D2313" s="23" t="n">
        <f aca="false">da_tot26*da_sh</f>
        <v>8.658</v>
      </c>
      <c r="E2313" s="23" t="n">
        <f aca="false">D2313*(1+dag_27+dag_adj)</f>
        <v>8.91774</v>
      </c>
      <c r="F2313" s="23" t="n">
        <f aca="false">E2313*(1+dag_28+dag_adj)</f>
        <v>9.0960948</v>
      </c>
      <c r="G2313" s="23" t="n">
        <f aca="false">F2313*(1+dag_29+dag_adj)</f>
        <v>9.0960948</v>
      </c>
    </row>
    <row r="2314" customFormat="false" ht="17.15" hidden="false" customHeight="false" outlineLevel="0" collapsed="false">
      <c r="A2314" s="4" t="s">
        <v>561</v>
      </c>
      <c r="B2314" s="0" t="s">
        <v>562</v>
      </c>
      <c r="D2314" s="23" t="n">
        <f aca="false">(D2302-a26_gp-D2313)/D2298*1000</f>
        <v>10.7339918911001</v>
      </c>
      <c r="E2314" s="23" t="n">
        <f aca="false">D2314*(1+cc_g)</f>
        <v>10.9486717289221</v>
      </c>
      <c r="F2314" s="23" t="n">
        <f aca="false">E2314*(1+cc_g)</f>
        <v>11.1676451635006</v>
      </c>
      <c r="G2314" s="23" t="n">
        <f aca="false">F2314*(1+cc_g)</f>
        <v>11.3909980667706</v>
      </c>
      <c r="K2314" s="8" t="s">
        <v>563</v>
      </c>
    </row>
    <row r="2315" customFormat="false" ht="17.15" hidden="false" customHeight="false" outlineLevel="0" collapsed="false">
      <c r="A2315" s="4" t="s">
        <v>564</v>
      </c>
      <c r="B2315" s="0" t="s">
        <v>184</v>
      </c>
      <c r="D2315" s="23" t="n">
        <f aca="false">D2314*D2298/1000</f>
        <v>30.9620386</v>
      </c>
      <c r="E2315" s="23" t="n">
        <f aca="false">E2314*E2298/1000</f>
        <v>32.576677862235</v>
      </c>
      <c r="F2315" s="23" t="n">
        <f aca="false">F2314*F2298/1000</f>
        <v>31.7514020230583</v>
      </c>
      <c r="G2315" s="23" t="n">
        <f aca="false">G2314*G2298/1000</f>
        <v>32.7630164596069</v>
      </c>
    </row>
    <row r="2316" customFormat="false" ht="17.15" hidden="false" customHeight="false" outlineLevel="0" collapsed="false">
      <c r="A2316" s="0" t="s">
        <v>565</v>
      </c>
      <c r="B2316" s="0" t="s">
        <v>48</v>
      </c>
      <c r="E2316" s="20" t="n">
        <f aca="false">vgm27_B</f>
        <v>-0.05</v>
      </c>
      <c r="F2316" s="20" t="n">
        <f aca="false">vgm28_B</f>
        <v>0.12</v>
      </c>
      <c r="G2316" s="20" t="n">
        <f aca="false">vgm29_B</f>
        <v>0.18</v>
      </c>
    </row>
    <row r="2317" customFormat="false" ht="17.15" hidden="false" customHeight="false" outlineLevel="0" collapsed="false">
      <c r="A2317" s="0" t="s">
        <v>566</v>
      </c>
      <c r="B2317" s="0" t="s">
        <v>184</v>
      </c>
      <c r="D2317" s="23" t="n">
        <f aca="false">0</f>
        <v>0</v>
      </c>
      <c r="E2317" s="23" t="n">
        <f aca="false">E2307*E2316</f>
        <v>-0.2654208</v>
      </c>
      <c r="F2317" s="23" t="n">
        <f aca="false">F2307*F2316</f>
        <v>1.5925248</v>
      </c>
      <c r="G2317" s="23" t="n">
        <f aca="false">G2307*G2316</f>
        <v>3.34430208</v>
      </c>
    </row>
    <row r="2318" customFormat="false" ht="15" hidden="false" customHeight="false" outlineLevel="0" collapsed="false">
      <c r="A2318" s="4" t="s">
        <v>417</v>
      </c>
      <c r="B2318" s="0" t="s">
        <v>184</v>
      </c>
      <c r="C2318" s="23" t="n">
        <f aca="false">a25_gp</f>
        <v>13.654</v>
      </c>
      <c r="D2318" s="23" t="n">
        <f aca="false">D2302-D2313-D2315+D2317</f>
        <v>19.0320214</v>
      </c>
      <c r="E2318" s="23" t="n">
        <f aca="false">E2302-E2313-E2315+E2317</f>
        <v>21.3446808633535</v>
      </c>
      <c r="F2318" s="23" t="n">
        <f aca="false">F2302-F2313-F2315+F2317</f>
        <v>21.0449021902818</v>
      </c>
      <c r="G2318" s="23" t="n">
        <f aca="false">G2302-G2313-G2315+G2317</f>
        <v>22.4862263617953</v>
      </c>
    </row>
    <row r="2319" customFormat="false" ht="15" hidden="false" customHeight="false" outlineLevel="0" collapsed="false">
      <c r="A2319" s="4" t="s">
        <v>420</v>
      </c>
      <c r="B2319" s="0" t="s">
        <v>48</v>
      </c>
      <c r="C2319" s="16" t="n">
        <f aca="false">C2318/C2308</f>
        <v>0.280998538824062</v>
      </c>
      <c r="D2319" s="16" t="n">
        <f aca="false">D2318/D2308</f>
        <v>0.324490246378388</v>
      </c>
      <c r="E2319" s="16" t="n">
        <f aca="false">E2318/E2308</f>
        <v>0.311997734045047</v>
      </c>
      <c r="F2319" s="16" t="n">
        <f aca="false">F2318/F2308</f>
        <v>0.286049214085556</v>
      </c>
      <c r="G2319" s="16" t="n">
        <f aca="false">G2318/G2308</f>
        <v>0.282559530938517</v>
      </c>
    </row>
    <row r="2320" customFormat="false" ht="15" hidden="false" customHeight="false" outlineLevel="0" collapsed="false">
      <c r="A2320" s="4" t="s">
        <v>422</v>
      </c>
      <c r="B2320" s="0" t="s">
        <v>184</v>
      </c>
      <c r="C2320" s="23" t="n">
        <f aca="false">a25_opx</f>
        <v>5.881</v>
      </c>
      <c r="D2320" s="23" t="n">
        <f aca="false">a26_opx</f>
        <v>6.824187</v>
      </c>
      <c r="E2320" s="23" t="n">
        <f aca="false">D2320*(1+MAX(g_opx_min,phi*E2311))</f>
        <v>7.39202758284005</v>
      </c>
      <c r="F2320" s="23" t="n">
        <f aca="false">E2320*(1+MAX(g_opx_min,phi*F2311))</f>
        <v>7.67068775462364</v>
      </c>
      <c r="G2320" s="23" t="n">
        <f aca="false">F2320*(1+MAX(g_opx_min,phi*G2311))</f>
        <v>7.98397454542766</v>
      </c>
    </row>
    <row r="2321" customFormat="false" ht="15" hidden="false" customHeight="false" outlineLevel="0" collapsed="false">
      <c r="A2321" s="4" t="s">
        <v>425</v>
      </c>
      <c r="B2321" s="0" t="s">
        <v>184</v>
      </c>
      <c r="C2321" s="23" t="n">
        <f aca="false">C2318-C2320</f>
        <v>7.773</v>
      </c>
      <c r="D2321" s="23" t="n">
        <f aca="false">D2318-D2320</f>
        <v>12.2078344</v>
      </c>
      <c r="E2321" s="23" t="n">
        <f aca="false">E2318-E2320</f>
        <v>13.9526532805135</v>
      </c>
      <c r="F2321" s="23" t="n">
        <f aca="false">F2318-F2320</f>
        <v>13.3742144356581</v>
      </c>
      <c r="G2321" s="23" t="n">
        <f aca="false">G2318-G2320</f>
        <v>14.5022518163676</v>
      </c>
    </row>
    <row r="2322" customFormat="false" ht="15" hidden="false" customHeight="false" outlineLevel="0" collapsed="false">
      <c r="A2322" s="4" t="s">
        <v>531</v>
      </c>
      <c r="B2322" s="0" t="s">
        <v>48</v>
      </c>
      <c r="C2322" s="16" t="n">
        <f aca="false">C2321/C2308</f>
        <v>0.159967895289251</v>
      </c>
      <c r="D2322" s="16" t="n">
        <f aca="false">D2321/D2308</f>
        <v>0.208139908470393</v>
      </c>
      <c r="E2322" s="16" t="n">
        <f aca="false">E2321/E2308</f>
        <v>0.203947589345801</v>
      </c>
      <c r="F2322" s="16" t="n">
        <f aca="false">F2321/F2308</f>
        <v>0.181786709852153</v>
      </c>
      <c r="G2322" s="16" t="n">
        <f aca="false">G2321/G2308</f>
        <v>0.18223375522659</v>
      </c>
    </row>
    <row r="2323" customFormat="false" ht="15" hidden="false" customHeight="false" outlineLevel="0" collapsed="false">
      <c r="A2323" s="4" t="s">
        <v>428</v>
      </c>
      <c r="B2323" s="0" t="s">
        <v>184</v>
      </c>
      <c r="C2323" s="23" t="n">
        <f aca="false">a25_nonop</f>
        <v>1.479</v>
      </c>
      <c r="D2323" s="23" t="n">
        <f aca="false">a26_nonop</f>
        <v>2.10950832169955</v>
      </c>
      <c r="E2323" s="23" t="n">
        <f aca="false">nonop_f</f>
        <v>1.5</v>
      </c>
      <c r="F2323" s="23" t="n">
        <f aca="false">nonop_f</f>
        <v>1.5</v>
      </c>
      <c r="G2323" s="23" t="n">
        <f aca="false">nonop_f</f>
        <v>1.5</v>
      </c>
    </row>
    <row r="2324" customFormat="false" ht="15" hidden="false" customHeight="false" outlineLevel="0" collapsed="false">
      <c r="A2324" s="4" t="s">
        <v>430</v>
      </c>
      <c r="B2324" s="0" t="s">
        <v>184</v>
      </c>
      <c r="C2324" s="23" t="n">
        <f aca="false">C2321+C2323</f>
        <v>9.252</v>
      </c>
      <c r="D2324" s="23" t="n">
        <f aca="false">D2321+D2323</f>
        <v>14.3173427216995</v>
      </c>
      <c r="E2324" s="23" t="n">
        <f aca="false">E2321+E2323</f>
        <v>15.4526532805135</v>
      </c>
      <c r="F2324" s="23" t="n">
        <f aca="false">F2321+F2323</f>
        <v>14.8742144356581</v>
      </c>
      <c r="G2324" s="23" t="n">
        <f aca="false">G2321+G2323</f>
        <v>16.0022518163676</v>
      </c>
    </row>
    <row r="2325" customFormat="false" ht="15" hidden="false" customHeight="false" outlineLevel="0" collapsed="false">
      <c r="A2325" s="4" t="s">
        <v>432</v>
      </c>
      <c r="B2325" s="0" t="s">
        <v>184</v>
      </c>
      <c r="C2325" s="23" t="n">
        <f aca="false">a25_tax</f>
        <v>1.344</v>
      </c>
      <c r="D2325" s="23" t="n">
        <f aca="false">a26_tax</f>
        <v>2.0798215108046</v>
      </c>
      <c r="E2325" s="23" t="n">
        <f aca="false">E2324*tax</f>
        <v>2.31789799207702</v>
      </c>
      <c r="F2325" s="23" t="n">
        <f aca="false">F2324*tax</f>
        <v>2.23113216534872</v>
      </c>
      <c r="G2325" s="23" t="n">
        <f aca="false">G2324*tax</f>
        <v>2.40033777245514</v>
      </c>
    </row>
    <row r="2326" customFormat="false" ht="17.15" hidden="false" customHeight="false" outlineLevel="0" collapsed="false">
      <c r="A2326" s="4" t="s">
        <v>567</v>
      </c>
      <c r="B2326" s="0" t="s">
        <v>184</v>
      </c>
      <c r="C2326" s="23" t="n">
        <f aca="false">a25_mi</f>
        <v>0</v>
      </c>
      <c r="D2326" s="23" t="n">
        <f aca="false">a26_mi</f>
        <v>0</v>
      </c>
      <c r="E2326" s="23" t="n">
        <f aca="false">vmi*E2317*(1-tax)</f>
        <v>-0.090243072</v>
      </c>
      <c r="F2326" s="23" t="n">
        <f aca="false">vmi*F2317*(1-tax)</f>
        <v>0.541458432</v>
      </c>
      <c r="G2326" s="23" t="n">
        <f aca="false">vmi*G2317*(1-tax)</f>
        <v>1.1370627072</v>
      </c>
      <c r="K2326" s="8" t="s">
        <v>568</v>
      </c>
    </row>
    <row r="2327" customFormat="false" ht="15" hidden="false" customHeight="false" outlineLevel="0" collapsed="false">
      <c r="A2327" s="4" t="s">
        <v>435</v>
      </c>
      <c r="B2327" s="0" t="s">
        <v>184</v>
      </c>
      <c r="C2327" s="23" t="n">
        <f aca="false">C2324-C2325-C2326</f>
        <v>7.908</v>
      </c>
      <c r="D2327" s="23" t="n">
        <f aca="false">D2324-D2325-D2326</f>
        <v>12.2375212108949</v>
      </c>
      <c r="E2327" s="23" t="n">
        <f aca="false">E2324-E2325-E2326</f>
        <v>13.2249983604365</v>
      </c>
      <c r="F2327" s="23" t="n">
        <f aca="false">F2324-F2325-F2326</f>
        <v>12.1016238383094</v>
      </c>
      <c r="G2327" s="23" t="n">
        <f aca="false">G2324-G2325-G2326</f>
        <v>12.4648513367125</v>
      </c>
      <c r="H2327" s="29" t="n">
        <f aca="false">H2308*H2331</f>
        <v>12.8661752983876</v>
      </c>
      <c r="I2327" s="29" t="n">
        <f aca="false">I2308*I2331</f>
        <v>13.092021943027</v>
      </c>
      <c r="J2327" s="29" t="n">
        <f aca="false">J2308*J2331</f>
        <v>13.1294277200071</v>
      </c>
    </row>
    <row r="2328" customFormat="false" ht="15" hidden="false" customHeight="false" outlineLevel="0" collapsed="false">
      <c r="A2328" s="4" t="s">
        <v>569</v>
      </c>
      <c r="B2328" s="4" t="s">
        <v>265</v>
      </c>
      <c r="C2328" s="10" t="n">
        <f aca="false">a25_sh</f>
        <v>1.8739336492891</v>
      </c>
      <c r="D2328" s="10" t="n">
        <f aca="false">a26_sh</f>
        <v>1.90613591916558</v>
      </c>
      <c r="E2328" s="10" t="n">
        <f aca="false">q_sh*(1+sh_g)</f>
        <v>1.90705128205128</v>
      </c>
      <c r="F2328" s="10" t="n">
        <f aca="false">E2328*(1+sh_g)</f>
        <v>1.90705128205128</v>
      </c>
      <c r="G2328" s="10" t="n">
        <f aca="false">F2328*(1+sh_g)</f>
        <v>1.90705128205128</v>
      </c>
      <c r="H2328" s="31" t="n">
        <f aca="false">G2328*(1+sh_g)</f>
        <v>1.90705128205128</v>
      </c>
      <c r="I2328" s="31" t="n">
        <f aca="false">H2328*(1+sh_g)</f>
        <v>1.90705128205128</v>
      </c>
      <c r="J2328" s="31" t="n">
        <f aca="false">I2328*(1+sh_g)</f>
        <v>1.90705128205128</v>
      </c>
    </row>
    <row r="2329" customFormat="false" ht="17.15" hidden="false" customHeight="false" outlineLevel="0" collapsed="false">
      <c r="A2329" s="0" t="s">
        <v>442</v>
      </c>
      <c r="B2329" s="0" t="s">
        <v>274</v>
      </c>
      <c r="C2329" s="23" t="n">
        <f aca="false">C2327/C2328</f>
        <v>4.22</v>
      </c>
      <c r="D2329" s="23" t="n">
        <f aca="false">D2327/D2328</f>
        <v>6.42006747150118</v>
      </c>
      <c r="E2329" s="23" t="n">
        <f aca="false">E2327/E2328</f>
        <v>6.93478905622886</v>
      </c>
      <c r="F2329" s="23" t="n">
        <f aca="false">F2327/F2328</f>
        <v>6.34572544126476</v>
      </c>
      <c r="G2329" s="23" t="n">
        <f aca="false">G2327/G2328</f>
        <v>6.53619095303242</v>
      </c>
      <c r="H2329" s="29" t="n">
        <f aca="false">H2327/H2328</f>
        <v>6.74663309764189</v>
      </c>
      <c r="I2329" s="29" t="n">
        <f aca="false">I2327/I2328</f>
        <v>6.86506024575532</v>
      </c>
      <c r="J2329" s="29" t="n">
        <f aca="false">J2327/J2328</f>
        <v>6.88467470360034</v>
      </c>
    </row>
    <row r="2330" customFormat="false" ht="17.15" hidden="false" customHeight="false" outlineLevel="0" collapsed="false">
      <c r="A2330" s="0" t="s">
        <v>570</v>
      </c>
      <c r="B2330" s="0" t="s">
        <v>48</v>
      </c>
      <c r="D2330" s="20" t="n">
        <f aca="false">D2329/C2329-1</f>
        <v>0.521343002725398</v>
      </c>
      <c r="E2330" s="20" t="n">
        <f aca="false">E2329/D2329-1</f>
        <v>0.080173859077423</v>
      </c>
      <c r="F2330" s="20" t="n">
        <f aca="false">F2329/E2329-1</f>
        <v>-0.0849432636216962</v>
      </c>
      <c r="G2330" s="20" t="n">
        <f aca="false">G2329/F2329-1</f>
        <v>0.0300147734928935</v>
      </c>
      <c r="H2330" s="27" t="n">
        <f aca="false">H2329/G2329-1</f>
        <v>0.0321964499081593</v>
      </c>
      <c r="I2330" s="27" t="n">
        <f aca="false">I2329/H2329-1</f>
        <v>0.0175535183845743</v>
      </c>
      <c r="J2330" s="27" t="n">
        <f aca="false">J2329/I2329-1</f>
        <v>0.00285714285714311</v>
      </c>
    </row>
    <row r="2331" customFormat="false" ht="17.15" hidden="false" customHeight="false" outlineLevel="0" collapsed="false">
      <c r="A2331" s="4" t="s">
        <v>571</v>
      </c>
      <c r="B2331" s="0" t="s">
        <v>48</v>
      </c>
      <c r="C2331" s="16" t="n">
        <f aca="false">C2327/C2308</f>
        <v>0.162746187565599</v>
      </c>
      <c r="D2331" s="16" t="n">
        <f aca="false">D2327/D2308</f>
        <v>0.208646059676249</v>
      </c>
      <c r="E2331" s="16" t="n">
        <f aca="false">E2327/E2308</f>
        <v>0.193311370997812</v>
      </c>
      <c r="F2331" s="16" t="n">
        <f aca="false">F2327/F2308</f>
        <v>0.164489240995664</v>
      </c>
      <c r="G2331" s="16" t="n">
        <f aca="false">G2327/G2308</f>
        <v>0.156631997305867</v>
      </c>
      <c r="H2331" s="28" t="n">
        <f aca="false">$G2331+($G$2331*0.9-$G2331)*1/3</f>
        <v>0.151410930729005</v>
      </c>
      <c r="I2331" s="28" t="n">
        <f aca="false">$G2331+($G$2331*0.9-$G2331)*2/3</f>
        <v>0.146189864152142</v>
      </c>
      <c r="J2331" s="28" t="n">
        <f aca="false">$G2331+($G$2331*0.9-$G2331)*3/3</f>
        <v>0.14096879757528</v>
      </c>
    </row>
    <row r="2334" customFormat="false" ht="17.15" hidden="false" customHeight="false" outlineLevel="0" collapsed="false">
      <c r="A2334" s="1" t="s">
        <v>901</v>
      </c>
    </row>
    <row r="2335" customFormat="false" ht="17.15" hidden="false" customHeight="false" outlineLevel="0" collapsed="false">
      <c r="A2335" s="5" t="s">
        <v>24</v>
      </c>
      <c r="B2335" s="5" t="s">
        <v>25</v>
      </c>
      <c r="C2335" s="17" t="s">
        <v>394</v>
      </c>
      <c r="D2335" s="17" t="s">
        <v>521</v>
      </c>
      <c r="E2335" s="17" t="s">
        <v>480</v>
      </c>
      <c r="F2335" s="17" t="s">
        <v>481</v>
      </c>
      <c r="G2335" s="17" t="s">
        <v>482</v>
      </c>
      <c r="H2335" s="17" t="s">
        <v>522</v>
      </c>
      <c r="I2335" s="17" t="s">
        <v>523</v>
      </c>
      <c r="J2335" s="17" t="s">
        <v>524</v>
      </c>
      <c r="K2335" s="5" t="s">
        <v>357</v>
      </c>
    </row>
    <row r="2336" customFormat="false" ht="17.15" hidden="false" customHeight="false" outlineLevel="0" collapsed="false">
      <c r="A2336" s="6" t="s">
        <v>542</v>
      </c>
    </row>
    <row r="2337" customFormat="false" ht="17.15" hidden="false" customHeight="false" outlineLevel="0" collapsed="false">
      <c r="A2337" s="4" t="s">
        <v>543</v>
      </c>
      <c r="B2337" s="4" t="s">
        <v>42</v>
      </c>
      <c r="D2337" s="22" t="n">
        <f aca="false">cap_26</f>
        <v>3306</v>
      </c>
      <c r="E2337" s="22" t="n">
        <f aca="false">D2337*(1+capg27)*cap_adj</f>
        <v>3306</v>
      </c>
      <c r="F2337" s="22" t="n">
        <f aca="false">E2337*(1+capg28)</f>
        <v>3306</v>
      </c>
      <c r="G2337" s="22" t="n">
        <f aca="false">F2337*(1+capg29)</f>
        <v>3306</v>
      </c>
    </row>
    <row r="2338" customFormat="false" ht="15" hidden="false" customHeight="false" outlineLevel="0" collapsed="false">
      <c r="A2338" s="4" t="s">
        <v>544</v>
      </c>
      <c r="B2338" s="0" t="s">
        <v>48</v>
      </c>
      <c r="D2338" s="20" t="n">
        <f aca="false">a26_ship/cap_26</f>
        <v>0.8725</v>
      </c>
      <c r="E2338" s="20" t="n">
        <f aca="false">MIN(0.98,ut27_C+ut_adj)</f>
        <v>0.8</v>
      </c>
      <c r="F2338" s="20" t="n">
        <f aca="false">MIN(0.98,ut28_C+ut_adj)</f>
        <v>0.74</v>
      </c>
      <c r="G2338" s="20" t="n">
        <f aca="false">MIN(0.98,ut29_C+ut_adj)</f>
        <v>0.78</v>
      </c>
    </row>
    <row r="2339" customFormat="false" ht="17.15" hidden="false" customHeight="false" outlineLevel="0" collapsed="false">
      <c r="A2339" s="4" t="s">
        <v>545</v>
      </c>
      <c r="B2339" s="4" t="s">
        <v>42</v>
      </c>
      <c r="D2339" s="22" t="n">
        <f aca="false">D2337*D2338</f>
        <v>2884.485</v>
      </c>
      <c r="E2339" s="22" t="n">
        <f aca="false">E2337*E2338</f>
        <v>2644.8</v>
      </c>
      <c r="F2339" s="22" t="n">
        <f aca="false">F2337*F2338</f>
        <v>2446.44</v>
      </c>
      <c r="G2339" s="22" t="n">
        <f aca="false">G2337*G2338</f>
        <v>2578.68</v>
      </c>
    </row>
    <row r="2340" customFormat="false" ht="17.15" hidden="false" customHeight="false" outlineLevel="0" collapsed="false">
      <c r="A2340" s="4" t="s">
        <v>546</v>
      </c>
      <c r="B2340" s="0" t="s">
        <v>89</v>
      </c>
      <c r="D2340" s="22" t="n">
        <f aca="false">asp_26</f>
        <v>643.469405492234</v>
      </c>
      <c r="E2340" s="22" t="n">
        <f aca="false">D2340*(1+asp27_C)*(1+asp_adj)</f>
        <v>624.165323327467</v>
      </c>
      <c r="F2340" s="22" t="n">
        <f aca="false">E2340*(1+asp28_C)</f>
        <v>592.957057161093</v>
      </c>
      <c r="G2340" s="22" t="n">
        <f aca="false">F2340*(1+asp29_C)</f>
        <v>581.097916017871</v>
      </c>
    </row>
    <row r="2341" customFormat="false" ht="15" hidden="false" customHeight="false" outlineLevel="0" collapsed="false">
      <c r="A2341" s="4" t="s">
        <v>547</v>
      </c>
      <c r="B2341" s="0" t="s">
        <v>48</v>
      </c>
      <c r="E2341" s="20" t="n">
        <f aca="false">E2340/D2340-1</f>
        <v>-0.03</v>
      </c>
      <c r="F2341" s="20" t="n">
        <f aca="false">F2340/E2340-1</f>
        <v>-0.05</v>
      </c>
      <c r="G2341" s="20" t="n">
        <f aca="false">G2340/F2340-1</f>
        <v>-0.02</v>
      </c>
    </row>
    <row r="2342" customFormat="false" ht="15" hidden="false" customHeight="false" outlineLevel="0" collapsed="false">
      <c r="A2342" s="4" t="s">
        <v>548</v>
      </c>
      <c r="B2342" s="0" t="s">
        <v>35</v>
      </c>
      <c r="D2342" s="23" t="n">
        <f aca="false">fx_26</f>
        <v>31.6</v>
      </c>
      <c r="E2342" s="23" t="n">
        <f aca="false">fx</f>
        <v>32</v>
      </c>
      <c r="F2342" s="23" t="n">
        <f aca="false">fx</f>
        <v>32</v>
      </c>
      <c r="G2342" s="23" t="n">
        <f aca="false">fx</f>
        <v>32</v>
      </c>
    </row>
    <row r="2343" customFormat="false" ht="17.15" hidden="false" customHeight="false" outlineLevel="0" collapsed="false">
      <c r="A2343" s="0" t="s">
        <v>549</v>
      </c>
      <c r="B2343" s="0" t="s">
        <v>184</v>
      </c>
      <c r="D2343" s="23" t="n">
        <f aca="false">D2339*D2340*D2342/1000000</f>
        <v>58.65206</v>
      </c>
      <c r="E2343" s="23" t="n">
        <f aca="false">E2339*E2340*E2342/1000000</f>
        <v>52.8253583083675</v>
      </c>
      <c r="F2343" s="23" t="n">
        <f aca="false">F2339*F2340*F2342/1000000</f>
        <v>46.4202836134779</v>
      </c>
      <c r="G2343" s="23" t="n">
        <f aca="false">G2339*G2340*G2342/1000000</f>
        <v>47.9508983704629</v>
      </c>
    </row>
    <row r="2344" customFormat="false" ht="17.15" hidden="false" customHeight="false" outlineLevel="0" collapsed="false">
      <c r="A2344" s="6" t="s">
        <v>550</v>
      </c>
    </row>
    <row r="2345" customFormat="false" ht="17.15" hidden="false" customHeight="false" outlineLevel="0" collapsed="false">
      <c r="A2345" s="0" t="s">
        <v>551</v>
      </c>
      <c r="B2345" s="4" t="s">
        <v>42</v>
      </c>
      <c r="D2345" s="22" t="n">
        <f aca="false">0</f>
        <v>0</v>
      </c>
      <c r="E2345" s="22" t="n">
        <f aca="false">vcap27*vcap_adj_lo</f>
        <v>115.2</v>
      </c>
      <c r="F2345" s="22" t="n">
        <f aca="false">vcap28*vcap_adj_lo</f>
        <v>288</v>
      </c>
      <c r="G2345" s="22" t="n">
        <f aca="false">vcap29*vcap_adj_lo</f>
        <v>403.2</v>
      </c>
    </row>
    <row r="2346" customFormat="false" ht="17.15" hidden="false" customHeight="false" outlineLevel="0" collapsed="false">
      <c r="A2346" s="0" t="s">
        <v>552</v>
      </c>
      <c r="B2346" s="0" t="s">
        <v>48</v>
      </c>
      <c r="E2346" s="20" t="n">
        <f aca="false">vut_C</f>
        <v>0.65</v>
      </c>
      <c r="F2346" s="20" t="n">
        <f aca="false">vut_C</f>
        <v>0.65</v>
      </c>
      <c r="G2346" s="20" t="n">
        <f aca="false">vut_C</f>
        <v>0.65</v>
      </c>
    </row>
    <row r="2347" customFormat="false" ht="17.15" hidden="false" customHeight="false" outlineLevel="0" collapsed="false">
      <c r="A2347" s="0" t="s">
        <v>553</v>
      </c>
      <c r="B2347" s="4" t="s">
        <v>42</v>
      </c>
      <c r="D2347" s="22" t="n">
        <f aca="false">0</f>
        <v>0</v>
      </c>
      <c r="E2347" s="22" t="n">
        <f aca="false">E2345*E2346</f>
        <v>74.88</v>
      </c>
      <c r="F2347" s="22" t="n">
        <f aca="false">F2345*F2346</f>
        <v>187.2</v>
      </c>
      <c r="G2347" s="22" t="n">
        <f aca="false">G2345*G2346</f>
        <v>262.08</v>
      </c>
    </row>
    <row r="2348" customFormat="false" ht="17.15" hidden="false" customHeight="false" outlineLevel="0" collapsed="false">
      <c r="A2348" s="0" t="s">
        <v>554</v>
      </c>
      <c r="B2348" s="0" t="s">
        <v>184</v>
      </c>
      <c r="D2348" s="23" t="n">
        <f aca="false">0</f>
        <v>0</v>
      </c>
      <c r="E2348" s="23" t="n">
        <f aca="false">E2347*vasp*E2342/1000000</f>
        <v>4.313088</v>
      </c>
      <c r="F2348" s="23" t="n">
        <f aca="false">F2347*vasp*F2342/1000000</f>
        <v>10.78272</v>
      </c>
      <c r="G2348" s="23" t="n">
        <f aca="false">G2347*vasp*G2342/1000000</f>
        <v>15.095808</v>
      </c>
    </row>
    <row r="2349" customFormat="false" ht="17.15" hidden="false" customHeight="false" outlineLevel="0" collapsed="false">
      <c r="A2349" s="4" t="s">
        <v>400</v>
      </c>
      <c r="B2349" s="0" t="s">
        <v>184</v>
      </c>
      <c r="C2349" s="23" t="n">
        <f aca="false">a25_rev</f>
        <v>48.591</v>
      </c>
      <c r="D2349" s="23" t="n">
        <f aca="false">D2343+D2348</f>
        <v>58.65206</v>
      </c>
      <c r="E2349" s="23" t="n">
        <f aca="false">E2343+E2348</f>
        <v>57.1384463083675</v>
      </c>
      <c r="F2349" s="23" t="n">
        <f aca="false">F2343+F2348</f>
        <v>57.2030036134779</v>
      </c>
      <c r="G2349" s="23" t="n">
        <f aca="false">G2343+G2348</f>
        <v>63.0467063704629</v>
      </c>
      <c r="H2349" s="29" t="n">
        <f aca="false">G2349*(1+H2352)</f>
        <v>67.7608040693917</v>
      </c>
      <c r="I2349" s="29" t="n">
        <f aca="false">H2349*(1+I2352)</f>
        <v>70.9717010710038</v>
      </c>
      <c r="J2349" s="29" t="n">
        <f aca="false">I2349*(1+J2352)</f>
        <v>72.3911350924239</v>
      </c>
      <c r="K2349" s="8" t="s">
        <v>555</v>
      </c>
    </row>
    <row r="2350" customFormat="false" ht="17.15" hidden="false" customHeight="false" outlineLevel="0" collapsed="false">
      <c r="A2350" s="0" t="s">
        <v>556</v>
      </c>
      <c r="B2350" s="0" t="s">
        <v>48</v>
      </c>
      <c r="D2350" s="20" t="n">
        <f aca="false">D2348/D2349</f>
        <v>0</v>
      </c>
      <c r="E2350" s="20" t="n">
        <f aca="false">E2348/E2349</f>
        <v>0.075484866646932</v>
      </c>
      <c r="F2350" s="20" t="n">
        <f aca="false">F2348/F2349</f>
        <v>0.188499192679795</v>
      </c>
      <c r="G2350" s="20" t="n">
        <f aca="false">G2348/G2349</f>
        <v>0.239438487258905</v>
      </c>
    </row>
    <row r="2351" customFormat="false" ht="17.15" hidden="false" customHeight="false" outlineLevel="0" collapsed="false">
      <c r="A2351" s="0" t="s">
        <v>557</v>
      </c>
      <c r="B2351" s="0" t="s">
        <v>48</v>
      </c>
      <c r="D2351" s="20" t="n">
        <f aca="false">ai_sh26</f>
        <v>0.1</v>
      </c>
      <c r="E2351" s="20" t="n">
        <f aca="false">ai_sh27_C</f>
        <v>0.15</v>
      </c>
      <c r="F2351" s="20" t="n">
        <f aca="false">ai_sh27_C</f>
        <v>0.15</v>
      </c>
      <c r="G2351" s="20" t="n">
        <f aca="false">ai_sh27_C</f>
        <v>0.15</v>
      </c>
    </row>
    <row r="2352" customFormat="false" ht="15" hidden="false" customHeight="false" outlineLevel="0" collapsed="false">
      <c r="A2352" s="4" t="s">
        <v>558</v>
      </c>
      <c r="B2352" s="0" t="s">
        <v>48</v>
      </c>
      <c r="D2352" s="20" t="n">
        <f aca="false">D2349/C2349-1</f>
        <v>0.207056039184211</v>
      </c>
      <c r="E2352" s="20" t="n">
        <f aca="false">E2349/D2349-1</f>
        <v>-0.0258066586515888</v>
      </c>
      <c r="F2352" s="20" t="n">
        <f aca="false">F2349/E2349-1</f>
        <v>0.0011298400513382</v>
      </c>
      <c r="G2352" s="20" t="n">
        <f aca="false">G2349/F2349-1</f>
        <v>0.102157271259233</v>
      </c>
      <c r="H2352" s="27" t="n">
        <f aca="false">$G2352+(fade_gC-$G2352)*1/3</f>
        <v>0.0747715141728221</v>
      </c>
      <c r="I2352" s="27" t="n">
        <f aca="false">$G2352+(fade_gC-$G2352)*2/3</f>
        <v>0.047385757086411</v>
      </c>
      <c r="J2352" s="27" t="n">
        <f aca="false">$G2352+(fade_gC-$G2352)*3/3</f>
        <v>0.02</v>
      </c>
    </row>
    <row r="2353" customFormat="false" ht="17.15" hidden="false" customHeight="false" outlineLevel="0" collapsed="false">
      <c r="A2353" s="6" t="s">
        <v>559</v>
      </c>
    </row>
    <row r="2354" customFormat="false" ht="15" hidden="false" customHeight="false" outlineLevel="0" collapsed="false">
      <c r="A2354" s="4" t="s">
        <v>560</v>
      </c>
      <c r="B2354" s="0" t="s">
        <v>184</v>
      </c>
      <c r="D2354" s="23" t="n">
        <f aca="false">da_tot26*da_sh</f>
        <v>8.658</v>
      </c>
      <c r="E2354" s="23" t="n">
        <f aca="false">D2354*(1+dag_27+dag_adj)</f>
        <v>8.91774</v>
      </c>
      <c r="F2354" s="23" t="n">
        <f aca="false">E2354*(1+dag_28+dag_adj)</f>
        <v>9.0960948</v>
      </c>
      <c r="G2354" s="23" t="n">
        <f aca="false">F2354*(1+dag_29+dag_adj)</f>
        <v>9.0960948</v>
      </c>
    </row>
    <row r="2355" customFormat="false" ht="17.15" hidden="false" customHeight="false" outlineLevel="0" collapsed="false">
      <c r="A2355" s="4" t="s">
        <v>561</v>
      </c>
      <c r="B2355" s="0" t="s">
        <v>562</v>
      </c>
      <c r="D2355" s="23" t="n">
        <f aca="false">(D2343-a26_gp-D2354)/D2339*1000</f>
        <v>10.7339918911001</v>
      </c>
      <c r="E2355" s="23" t="n">
        <f aca="false">D2355*(1+cc_g)</f>
        <v>10.9486717289221</v>
      </c>
      <c r="F2355" s="23" t="n">
        <f aca="false">E2355*(1+cc_g)</f>
        <v>11.1676451635006</v>
      </c>
      <c r="G2355" s="23" t="n">
        <f aca="false">F2355*(1+cc_g)</f>
        <v>11.3909980667706</v>
      </c>
      <c r="K2355" s="8" t="s">
        <v>563</v>
      </c>
    </row>
    <row r="2356" customFormat="false" ht="17.15" hidden="false" customHeight="false" outlineLevel="0" collapsed="false">
      <c r="A2356" s="4" t="s">
        <v>564</v>
      </c>
      <c r="B2356" s="0" t="s">
        <v>184</v>
      </c>
      <c r="D2356" s="23" t="n">
        <f aca="false">D2355*D2339/1000</f>
        <v>30.9620386</v>
      </c>
      <c r="E2356" s="23" t="n">
        <f aca="false">E2355*E2339/1000</f>
        <v>28.9570469886533</v>
      </c>
      <c r="F2356" s="23" t="n">
        <f aca="false">F2355*F2339/1000</f>
        <v>27.3209738337944</v>
      </c>
      <c r="G2356" s="23" t="n">
        <f aca="false">G2355*G2339/1000</f>
        <v>29.37373889482</v>
      </c>
    </row>
    <row r="2357" customFormat="false" ht="17.15" hidden="false" customHeight="false" outlineLevel="0" collapsed="false">
      <c r="A2357" s="0" t="s">
        <v>565</v>
      </c>
      <c r="B2357" s="0" t="s">
        <v>48</v>
      </c>
      <c r="E2357" s="20" t="n">
        <f aca="false">vgm27_C</f>
        <v>-0.2</v>
      </c>
      <c r="F2357" s="20" t="n">
        <f aca="false">vgm28_C</f>
        <v>0</v>
      </c>
      <c r="G2357" s="20" t="n">
        <f aca="false">vgm29_C</f>
        <v>0.05</v>
      </c>
    </row>
    <row r="2358" customFormat="false" ht="17.15" hidden="false" customHeight="false" outlineLevel="0" collapsed="false">
      <c r="A2358" s="0" t="s">
        <v>566</v>
      </c>
      <c r="B2358" s="0" t="s">
        <v>184</v>
      </c>
      <c r="D2358" s="23" t="n">
        <f aca="false">0</f>
        <v>0</v>
      </c>
      <c r="E2358" s="23" t="n">
        <f aca="false">E2348*E2357</f>
        <v>-0.8626176</v>
      </c>
      <c r="F2358" s="23" t="n">
        <f aca="false">F2348*F2357</f>
        <v>0</v>
      </c>
      <c r="G2358" s="23" t="n">
        <f aca="false">G2348*G2357</f>
        <v>0.7547904</v>
      </c>
    </row>
    <row r="2359" customFormat="false" ht="15" hidden="false" customHeight="false" outlineLevel="0" collapsed="false">
      <c r="A2359" s="4" t="s">
        <v>417</v>
      </c>
      <c r="B2359" s="0" t="s">
        <v>184</v>
      </c>
      <c r="C2359" s="23" t="n">
        <f aca="false">a25_gp</f>
        <v>13.654</v>
      </c>
      <c r="D2359" s="23" t="n">
        <f aca="false">D2343-D2354-D2356+D2358</f>
        <v>19.0320214</v>
      </c>
      <c r="E2359" s="23" t="n">
        <f aca="false">E2343-E2354-E2356+E2358</f>
        <v>14.0879537197142</v>
      </c>
      <c r="F2359" s="23" t="n">
        <f aca="false">F2343-F2354-F2356+F2358</f>
        <v>10.0032149796835</v>
      </c>
      <c r="G2359" s="23" t="n">
        <f aca="false">G2343-G2354-G2356+G2358</f>
        <v>10.2358550756429</v>
      </c>
    </row>
    <row r="2360" customFormat="false" ht="15" hidden="false" customHeight="false" outlineLevel="0" collapsed="false">
      <c r="A2360" s="4" t="s">
        <v>420</v>
      </c>
      <c r="B2360" s="0" t="s">
        <v>48</v>
      </c>
      <c r="C2360" s="16" t="n">
        <f aca="false">C2359/C2349</f>
        <v>0.280998538824062</v>
      </c>
      <c r="D2360" s="16" t="n">
        <f aca="false">D2359/D2349</f>
        <v>0.324490246378388</v>
      </c>
      <c r="E2360" s="16" t="n">
        <f aca="false">E2359/E2349</f>
        <v>0.246558221826398</v>
      </c>
      <c r="F2360" s="16" t="n">
        <f aca="false">F2359/F2349</f>
        <v>0.17487219809777</v>
      </c>
      <c r="G2360" s="16" t="n">
        <f aca="false">G2359/G2349</f>
        <v>0.162353525900257</v>
      </c>
    </row>
    <row r="2361" customFormat="false" ht="15" hidden="false" customHeight="false" outlineLevel="0" collapsed="false">
      <c r="A2361" s="4" t="s">
        <v>422</v>
      </c>
      <c r="B2361" s="0" t="s">
        <v>184</v>
      </c>
      <c r="C2361" s="23" t="n">
        <f aca="false">a25_opx</f>
        <v>5.881</v>
      </c>
      <c r="D2361" s="23" t="n">
        <f aca="false">a26_opx</f>
        <v>6.824187</v>
      </c>
      <c r="E2361" s="23" t="n">
        <f aca="false">D2361*(1+MAX(g_opx_min,phi*E2352))</f>
        <v>7.02891261</v>
      </c>
      <c r="F2361" s="23" t="n">
        <f aca="false">E2361*(1+MAX(g_opx_min,phi*F2352))</f>
        <v>7.2397799883</v>
      </c>
      <c r="G2361" s="23" t="n">
        <f aca="false">F2361*(1+MAX(g_opx_min,phi*G2352))</f>
        <v>7.60957807236097</v>
      </c>
    </row>
    <row r="2362" customFormat="false" ht="15" hidden="false" customHeight="false" outlineLevel="0" collapsed="false">
      <c r="A2362" s="4" t="s">
        <v>425</v>
      </c>
      <c r="B2362" s="0" t="s">
        <v>184</v>
      </c>
      <c r="C2362" s="23" t="n">
        <f aca="false">C2359-C2361</f>
        <v>7.773</v>
      </c>
      <c r="D2362" s="23" t="n">
        <f aca="false">D2359-D2361</f>
        <v>12.2078344</v>
      </c>
      <c r="E2362" s="23" t="n">
        <f aca="false">E2359-E2361</f>
        <v>7.0590411097142</v>
      </c>
      <c r="F2362" s="23" t="n">
        <f aca="false">F2359-F2361</f>
        <v>2.76343499138354</v>
      </c>
      <c r="G2362" s="23" t="n">
        <f aca="false">G2359-G2361</f>
        <v>2.62627700328189</v>
      </c>
    </row>
    <row r="2363" customFormat="false" ht="15" hidden="false" customHeight="false" outlineLevel="0" collapsed="false">
      <c r="A2363" s="4" t="s">
        <v>531</v>
      </c>
      <c r="B2363" s="0" t="s">
        <v>48</v>
      </c>
      <c r="C2363" s="16" t="n">
        <f aca="false">C2362/C2349</f>
        <v>0.159967895289251</v>
      </c>
      <c r="D2363" s="16" t="n">
        <f aca="false">D2362/D2349</f>
        <v>0.208139908470393</v>
      </c>
      <c r="E2363" s="16" t="n">
        <f aca="false">E2362/E2349</f>
        <v>0.12354275563633</v>
      </c>
      <c r="F2363" s="16" t="n">
        <f aca="false">F2362/F2349</f>
        <v>0.0483092637941905</v>
      </c>
      <c r="G2363" s="16" t="n">
        <f aca="false">G2362/G2349</f>
        <v>0.0416560539713188</v>
      </c>
    </row>
    <row r="2364" customFormat="false" ht="15" hidden="false" customHeight="false" outlineLevel="0" collapsed="false">
      <c r="A2364" s="4" t="s">
        <v>428</v>
      </c>
      <c r="B2364" s="0" t="s">
        <v>184</v>
      </c>
      <c r="C2364" s="23" t="n">
        <f aca="false">a25_nonop</f>
        <v>1.479</v>
      </c>
      <c r="D2364" s="23" t="n">
        <f aca="false">a26_nonop</f>
        <v>2.10950832169955</v>
      </c>
      <c r="E2364" s="23" t="n">
        <f aca="false">nonop_f</f>
        <v>1.5</v>
      </c>
      <c r="F2364" s="23" t="n">
        <f aca="false">nonop_f</f>
        <v>1.5</v>
      </c>
      <c r="G2364" s="23" t="n">
        <f aca="false">nonop_f</f>
        <v>1.5</v>
      </c>
    </row>
    <row r="2365" customFormat="false" ht="15" hidden="false" customHeight="false" outlineLevel="0" collapsed="false">
      <c r="A2365" s="4" t="s">
        <v>430</v>
      </c>
      <c r="B2365" s="0" t="s">
        <v>184</v>
      </c>
      <c r="C2365" s="23" t="n">
        <f aca="false">C2362+C2364</f>
        <v>9.252</v>
      </c>
      <c r="D2365" s="23" t="n">
        <f aca="false">D2362+D2364</f>
        <v>14.3173427216995</v>
      </c>
      <c r="E2365" s="23" t="n">
        <f aca="false">E2362+E2364</f>
        <v>8.5590411097142</v>
      </c>
      <c r="F2365" s="23" t="n">
        <f aca="false">F2362+F2364</f>
        <v>4.26343499138354</v>
      </c>
      <c r="G2365" s="23" t="n">
        <f aca="false">G2362+G2364</f>
        <v>4.12627700328189</v>
      </c>
    </row>
    <row r="2366" customFormat="false" ht="15" hidden="false" customHeight="false" outlineLevel="0" collapsed="false">
      <c r="A2366" s="4" t="s">
        <v>432</v>
      </c>
      <c r="B2366" s="0" t="s">
        <v>184</v>
      </c>
      <c r="C2366" s="23" t="n">
        <f aca="false">a25_tax</f>
        <v>1.344</v>
      </c>
      <c r="D2366" s="23" t="n">
        <f aca="false">a26_tax</f>
        <v>2.0798215108046</v>
      </c>
      <c r="E2366" s="23" t="n">
        <f aca="false">E2365*tax</f>
        <v>1.28385616645713</v>
      </c>
      <c r="F2366" s="23" t="n">
        <f aca="false">F2365*tax</f>
        <v>0.63951524870753</v>
      </c>
      <c r="G2366" s="23" t="n">
        <f aca="false">G2365*tax</f>
        <v>0.618941550492284</v>
      </c>
    </row>
    <row r="2367" customFormat="false" ht="17.15" hidden="false" customHeight="false" outlineLevel="0" collapsed="false">
      <c r="A2367" s="4" t="s">
        <v>567</v>
      </c>
      <c r="B2367" s="0" t="s">
        <v>184</v>
      </c>
      <c r="C2367" s="23" t="n">
        <f aca="false">a25_mi</f>
        <v>0</v>
      </c>
      <c r="D2367" s="23" t="n">
        <f aca="false">a26_mi</f>
        <v>0</v>
      </c>
      <c r="E2367" s="23" t="n">
        <f aca="false">vmi*E2358*(1-tax)</f>
        <v>-0.293289984</v>
      </c>
      <c r="F2367" s="23" t="n">
        <f aca="false">vmi*F2358*(1-tax)</f>
        <v>0</v>
      </c>
      <c r="G2367" s="23" t="n">
        <f aca="false">vmi*G2358*(1-tax)</f>
        <v>0.256628736</v>
      </c>
      <c r="K2367" s="8" t="s">
        <v>568</v>
      </c>
    </row>
    <row r="2368" customFormat="false" ht="15" hidden="false" customHeight="false" outlineLevel="0" collapsed="false">
      <c r="A2368" s="4" t="s">
        <v>435</v>
      </c>
      <c r="B2368" s="0" t="s">
        <v>184</v>
      </c>
      <c r="C2368" s="23" t="n">
        <f aca="false">C2365-C2366-C2367</f>
        <v>7.908</v>
      </c>
      <c r="D2368" s="23" t="n">
        <f aca="false">D2365-D2366-D2367</f>
        <v>12.2375212108949</v>
      </c>
      <c r="E2368" s="23" t="n">
        <f aca="false">E2365-E2366-E2367</f>
        <v>7.56847492725707</v>
      </c>
      <c r="F2368" s="23" t="n">
        <f aca="false">F2365-F2366-F2367</f>
        <v>3.62391974267601</v>
      </c>
      <c r="G2368" s="23" t="n">
        <f aca="false">G2365-G2366-G2367</f>
        <v>3.25070671678961</v>
      </c>
      <c r="H2368" s="29" t="n">
        <f aca="false">H2349*H2372</f>
        <v>3.26084918146001</v>
      </c>
      <c r="I2368" s="29" t="n">
        <f aca="false">I2349*I2372</f>
        <v>3.17141220376324</v>
      </c>
      <c r="J2368" s="29" t="n">
        <f aca="false">J2349*J2372</f>
        <v>2.98600656723554</v>
      </c>
    </row>
    <row r="2369" customFormat="false" ht="15" hidden="false" customHeight="false" outlineLevel="0" collapsed="false">
      <c r="A2369" s="4" t="s">
        <v>569</v>
      </c>
      <c r="B2369" s="4" t="s">
        <v>265</v>
      </c>
      <c r="C2369" s="10" t="n">
        <f aca="false">a25_sh</f>
        <v>1.8739336492891</v>
      </c>
      <c r="D2369" s="10" t="n">
        <f aca="false">a26_sh</f>
        <v>1.90613591916558</v>
      </c>
      <c r="E2369" s="10" t="n">
        <f aca="false">q_sh*(1+sh_g)</f>
        <v>1.90705128205128</v>
      </c>
      <c r="F2369" s="10" t="n">
        <f aca="false">E2369*(1+sh_g)</f>
        <v>1.90705128205128</v>
      </c>
      <c r="G2369" s="10" t="n">
        <f aca="false">F2369*(1+sh_g)</f>
        <v>1.90705128205128</v>
      </c>
      <c r="H2369" s="31" t="n">
        <f aca="false">G2369*(1+sh_g)</f>
        <v>1.90705128205128</v>
      </c>
      <c r="I2369" s="31" t="n">
        <f aca="false">H2369*(1+sh_g)</f>
        <v>1.90705128205128</v>
      </c>
      <c r="J2369" s="31" t="n">
        <f aca="false">I2369*(1+sh_g)</f>
        <v>1.90705128205128</v>
      </c>
    </row>
    <row r="2370" customFormat="false" ht="17.15" hidden="false" customHeight="false" outlineLevel="0" collapsed="false">
      <c r="A2370" s="0" t="s">
        <v>442</v>
      </c>
      <c r="B2370" s="0" t="s">
        <v>274</v>
      </c>
      <c r="C2370" s="23" t="n">
        <f aca="false">C2368/C2369</f>
        <v>4.22</v>
      </c>
      <c r="D2370" s="23" t="n">
        <f aca="false">D2368/D2369</f>
        <v>6.42006747150118</v>
      </c>
      <c r="E2370" s="23" t="n">
        <f aca="false">E2368/E2369</f>
        <v>3.9686792895869</v>
      </c>
      <c r="F2370" s="23" t="n">
        <f aca="false">F2368/F2369</f>
        <v>1.90027388187381</v>
      </c>
      <c r="G2370" s="23" t="n">
        <f aca="false">G2368/G2369</f>
        <v>1.70457226157707</v>
      </c>
      <c r="H2370" s="29" t="n">
        <f aca="false">H2368/H2369</f>
        <v>1.70989066321937</v>
      </c>
      <c r="I2370" s="29" t="n">
        <f aca="false">I2368/I2369</f>
        <v>1.66299261777165</v>
      </c>
      <c r="J2370" s="29" t="n">
        <f aca="false">J2368/J2369</f>
        <v>1.56577151088653</v>
      </c>
    </row>
    <row r="2371" customFormat="false" ht="17.15" hidden="false" customHeight="false" outlineLevel="0" collapsed="false">
      <c r="A2371" s="0" t="s">
        <v>570</v>
      </c>
      <c r="B2371" s="0" t="s">
        <v>48</v>
      </c>
      <c r="D2371" s="20" t="n">
        <f aca="false">D2370/C2370-1</f>
        <v>0.521343002725398</v>
      </c>
      <c r="E2371" s="20" t="n">
        <f aca="false">E2370/D2370-1</f>
        <v>-0.381832152511799</v>
      </c>
      <c r="F2371" s="20" t="n">
        <f aca="false">F2370/E2370-1</f>
        <v>-0.521182301915959</v>
      </c>
      <c r="G2371" s="20" t="n">
        <f aca="false">G2370/F2370-1</f>
        <v>-0.10298600752422</v>
      </c>
      <c r="H2371" s="27" t="n">
        <f aca="false">H2370/G2370-1</f>
        <v>0.00312007989463359</v>
      </c>
      <c r="I2371" s="27" t="n">
        <f aca="false">I2370/H2370-1</f>
        <v>-0.0274275112769038</v>
      </c>
      <c r="J2371" s="27" t="n">
        <f aca="false">J2370/I2370-1</f>
        <v>-0.0584615384615385</v>
      </c>
    </row>
    <row r="2372" customFormat="false" ht="17.15" hidden="false" customHeight="false" outlineLevel="0" collapsed="false">
      <c r="A2372" s="4" t="s">
        <v>571</v>
      </c>
      <c r="B2372" s="0" t="s">
        <v>48</v>
      </c>
      <c r="C2372" s="16" t="n">
        <f aca="false">C2368/C2349</f>
        <v>0.162746187565599</v>
      </c>
      <c r="D2372" s="16" t="n">
        <f aca="false">D2368/D2349</f>
        <v>0.208646059676249</v>
      </c>
      <c r="E2372" s="16" t="n">
        <f aca="false">E2368/E2349</f>
        <v>0.132458535648855</v>
      </c>
      <c r="F2372" s="16" t="n">
        <f aca="false">F2368/F2349</f>
        <v>0.0633519136016514</v>
      </c>
      <c r="G2372" s="16" t="n">
        <f aca="false">G2368/G2349</f>
        <v>0.0515602940094671</v>
      </c>
      <c r="H2372" s="28" t="n">
        <f aca="false">$G2372+($G$2372*0.8-$G2372)*1/3</f>
        <v>0.0481229410755026</v>
      </c>
      <c r="I2372" s="28" t="n">
        <f aca="false">$G2372+($G$2372*0.8-$G2372)*2/3</f>
        <v>0.0446855881415381</v>
      </c>
      <c r="J2372" s="28" t="n">
        <f aca="false">$G2372+($G$2372*0.8-$G2372)*3/3</f>
        <v>0.0412482352075737</v>
      </c>
    </row>
    <row r="2375" customFormat="false" ht="17.15" hidden="false" customHeight="false" outlineLevel="0" collapsed="false">
      <c r="A2375" s="1" t="s">
        <v>902</v>
      </c>
    </row>
    <row r="2376" customFormat="false" ht="17.15" hidden="false" customHeight="false" outlineLevel="0" collapsed="false">
      <c r="A2376" s="5" t="s">
        <v>24</v>
      </c>
      <c r="B2376" s="5" t="s">
        <v>25</v>
      </c>
      <c r="C2376" s="17" t="s">
        <v>394</v>
      </c>
      <c r="D2376" s="17" t="s">
        <v>521</v>
      </c>
      <c r="E2376" s="17" t="s">
        <v>480</v>
      </c>
      <c r="F2376" s="17" t="s">
        <v>481</v>
      </c>
      <c r="G2376" s="17" t="s">
        <v>482</v>
      </c>
      <c r="H2376" s="17" t="s">
        <v>522</v>
      </c>
      <c r="I2376" s="17" t="s">
        <v>523</v>
      </c>
      <c r="J2376" s="17" t="s">
        <v>524</v>
      </c>
      <c r="K2376" s="5" t="s">
        <v>357</v>
      </c>
    </row>
    <row r="2377" customFormat="false" ht="17.15" hidden="false" customHeight="false" outlineLevel="0" collapsed="false">
      <c r="A2377" s="6" t="s">
        <v>542</v>
      </c>
    </row>
    <row r="2378" customFormat="false" ht="17.15" hidden="false" customHeight="false" outlineLevel="0" collapsed="false">
      <c r="A2378" s="4" t="s">
        <v>543</v>
      </c>
      <c r="B2378" s="4" t="s">
        <v>42</v>
      </c>
      <c r="D2378" s="22" t="n">
        <f aca="false">cap_26</f>
        <v>3306</v>
      </c>
      <c r="E2378" s="22" t="n">
        <f aca="false">D2378*(1+capg27)*cap_adj</f>
        <v>3306</v>
      </c>
      <c r="F2378" s="22" t="n">
        <f aca="false">E2378*(1+capg28)</f>
        <v>3306</v>
      </c>
      <c r="G2378" s="22" t="n">
        <f aca="false">F2378*(1+capg29)</f>
        <v>3306</v>
      </c>
    </row>
    <row r="2379" customFormat="false" ht="15" hidden="false" customHeight="false" outlineLevel="0" collapsed="false">
      <c r="A2379" s="4" t="s">
        <v>544</v>
      </c>
      <c r="B2379" s="0" t="s">
        <v>48</v>
      </c>
      <c r="D2379" s="20" t="n">
        <f aca="false">a26_ship/cap_26</f>
        <v>0.8725</v>
      </c>
      <c r="E2379" s="20" t="n">
        <f aca="false">MIN(0.98,ut27_A+ut_adj)</f>
        <v>0.95</v>
      </c>
      <c r="F2379" s="20" t="n">
        <f aca="false">MIN(0.98,ut28_A+ut_adj)</f>
        <v>0.94</v>
      </c>
      <c r="G2379" s="20" t="n">
        <f aca="false">MIN(0.98,ut29_A+ut_adj)</f>
        <v>0.93</v>
      </c>
    </row>
    <row r="2380" customFormat="false" ht="17.15" hidden="false" customHeight="false" outlineLevel="0" collapsed="false">
      <c r="A2380" s="4" t="s">
        <v>545</v>
      </c>
      <c r="B2380" s="4" t="s">
        <v>42</v>
      </c>
      <c r="D2380" s="22" t="n">
        <f aca="false">D2378*D2379</f>
        <v>2884.485</v>
      </c>
      <c r="E2380" s="22" t="n">
        <f aca="false">E2378*E2379</f>
        <v>3140.7</v>
      </c>
      <c r="F2380" s="22" t="n">
        <f aca="false">F2378*F2379</f>
        <v>3107.64</v>
      </c>
      <c r="G2380" s="22" t="n">
        <f aca="false">G2378*G2379</f>
        <v>3074.58</v>
      </c>
    </row>
    <row r="2381" customFormat="false" ht="17.15" hidden="false" customHeight="false" outlineLevel="0" collapsed="false">
      <c r="A2381" s="4" t="s">
        <v>546</v>
      </c>
      <c r="B2381" s="0" t="s">
        <v>89</v>
      </c>
      <c r="D2381" s="22" t="n">
        <f aca="false">asp_26</f>
        <v>643.469405492234</v>
      </c>
      <c r="E2381" s="22" t="n">
        <f aca="false">D2381*(1+asp27_A)*(1+asp_adj)</f>
        <v>682.077569821768</v>
      </c>
      <c r="F2381" s="22" t="n">
        <f aca="false">E2381*(1+asp28_A)</f>
        <v>695.719121218203</v>
      </c>
      <c r="G2381" s="22" t="n">
        <f aca="false">F2381*(1+asp29_A)</f>
        <v>702.676312430385</v>
      </c>
    </row>
    <row r="2382" customFormat="false" ht="15" hidden="false" customHeight="false" outlineLevel="0" collapsed="false">
      <c r="A2382" s="4" t="s">
        <v>547</v>
      </c>
      <c r="B2382" s="0" t="s">
        <v>48</v>
      </c>
      <c r="E2382" s="20" t="n">
        <f aca="false">E2381/D2381-1</f>
        <v>0.0600000000000001</v>
      </c>
      <c r="F2382" s="20" t="n">
        <f aca="false">F2381/E2381-1</f>
        <v>0.02</v>
      </c>
      <c r="G2382" s="20" t="n">
        <f aca="false">G2381/F2381-1</f>
        <v>0.01</v>
      </c>
    </row>
    <row r="2383" customFormat="false" ht="15" hidden="false" customHeight="false" outlineLevel="0" collapsed="false">
      <c r="A2383" s="4" t="s">
        <v>548</v>
      </c>
      <c r="B2383" s="0" t="s">
        <v>35</v>
      </c>
      <c r="D2383" s="23" t="n">
        <f aca="false">fx_26</f>
        <v>31.6</v>
      </c>
      <c r="E2383" s="23" t="n">
        <f aca="false">fx</f>
        <v>32</v>
      </c>
      <c r="F2383" s="23" t="n">
        <f aca="false">fx</f>
        <v>32</v>
      </c>
      <c r="G2383" s="23" t="n">
        <f aca="false">fx</f>
        <v>32</v>
      </c>
    </row>
    <row r="2384" customFormat="false" ht="17.15" hidden="false" customHeight="false" outlineLevel="0" collapsed="false">
      <c r="A2384" s="0" t="s">
        <v>549</v>
      </c>
      <c r="B2384" s="0" t="s">
        <v>184</v>
      </c>
      <c r="D2384" s="23" t="n">
        <f aca="false">D2380*D2381*D2383/1000000</f>
        <v>58.65206</v>
      </c>
      <c r="E2384" s="23" t="n">
        <f aca="false">E2380*E2381*E2383/1000000</f>
        <v>68.5504327532552</v>
      </c>
      <c r="F2384" s="23" t="n">
        <f aca="false">F2380*F2381*F2383/1000000</f>
        <v>69.1854262356012</v>
      </c>
      <c r="G2384" s="23" t="n">
        <f aca="false">G2380*G2381*G2383/1000000</f>
        <v>69.1339051735108</v>
      </c>
    </row>
    <row r="2385" customFormat="false" ht="17.15" hidden="false" customHeight="false" outlineLevel="0" collapsed="false">
      <c r="A2385" s="6" t="s">
        <v>550</v>
      </c>
    </row>
    <row r="2386" customFormat="false" ht="17.15" hidden="false" customHeight="false" outlineLevel="0" collapsed="false">
      <c r="A2386" s="0" t="s">
        <v>551</v>
      </c>
      <c r="B2386" s="4" t="s">
        <v>42</v>
      </c>
      <c r="D2386" s="22" t="n">
        <f aca="false">0</f>
        <v>0</v>
      </c>
      <c r="E2386" s="22" t="n">
        <f aca="false">vcap27*vcap_adj_hi</f>
        <v>172.8</v>
      </c>
      <c r="F2386" s="22" t="n">
        <f aca="false">vcap28*vcap_adj_hi</f>
        <v>432</v>
      </c>
      <c r="G2386" s="22" t="n">
        <f aca="false">vcap29*vcap_adj_hi</f>
        <v>604.8</v>
      </c>
    </row>
    <row r="2387" customFormat="false" ht="17.15" hidden="false" customHeight="false" outlineLevel="0" collapsed="false">
      <c r="A2387" s="0" t="s">
        <v>552</v>
      </c>
      <c r="B2387" s="0" t="s">
        <v>48</v>
      </c>
      <c r="E2387" s="20" t="n">
        <f aca="false">vut_A</f>
        <v>0.9</v>
      </c>
      <c r="F2387" s="20" t="n">
        <f aca="false">vut_A</f>
        <v>0.9</v>
      </c>
      <c r="G2387" s="20" t="n">
        <f aca="false">vut_A</f>
        <v>0.9</v>
      </c>
    </row>
    <row r="2388" customFormat="false" ht="17.15" hidden="false" customHeight="false" outlineLevel="0" collapsed="false">
      <c r="A2388" s="0" t="s">
        <v>553</v>
      </c>
      <c r="B2388" s="4" t="s">
        <v>42</v>
      </c>
      <c r="D2388" s="22" t="n">
        <f aca="false">0</f>
        <v>0</v>
      </c>
      <c r="E2388" s="22" t="n">
        <f aca="false">E2386*E2387</f>
        <v>155.52</v>
      </c>
      <c r="F2388" s="22" t="n">
        <f aca="false">F2386*F2387</f>
        <v>388.8</v>
      </c>
      <c r="G2388" s="22" t="n">
        <f aca="false">G2386*G2387</f>
        <v>544.32</v>
      </c>
    </row>
    <row r="2389" customFormat="false" ht="17.15" hidden="false" customHeight="false" outlineLevel="0" collapsed="false">
      <c r="A2389" s="0" t="s">
        <v>554</v>
      </c>
      <c r="B2389" s="0" t="s">
        <v>184</v>
      </c>
      <c r="D2389" s="23" t="n">
        <f aca="false">0</f>
        <v>0</v>
      </c>
      <c r="E2389" s="23" t="n">
        <f aca="false">E2388*vasp*E2383/1000000</f>
        <v>8.957952</v>
      </c>
      <c r="F2389" s="23" t="n">
        <f aca="false">F2388*vasp*F2383/1000000</f>
        <v>22.39488</v>
      </c>
      <c r="G2389" s="23" t="n">
        <f aca="false">G2388*vasp*G2383/1000000</f>
        <v>31.352832</v>
      </c>
    </row>
    <row r="2390" customFormat="false" ht="17.15" hidden="false" customHeight="false" outlineLevel="0" collapsed="false">
      <c r="A2390" s="4" t="s">
        <v>400</v>
      </c>
      <c r="B2390" s="0" t="s">
        <v>184</v>
      </c>
      <c r="C2390" s="23" t="n">
        <f aca="false">a25_rev</f>
        <v>48.591</v>
      </c>
      <c r="D2390" s="23" t="n">
        <f aca="false">D2384+D2389</f>
        <v>58.65206</v>
      </c>
      <c r="E2390" s="23" t="n">
        <f aca="false">E2384+E2389</f>
        <v>77.5083847532552</v>
      </c>
      <c r="F2390" s="23" t="n">
        <f aca="false">F2384+F2389</f>
        <v>91.5803062356012</v>
      </c>
      <c r="G2390" s="23" t="n">
        <f aca="false">G2384+G2389</f>
        <v>100.486737173511</v>
      </c>
      <c r="H2390" s="29" t="n">
        <f aca="false">G2390*(1+H2393)</f>
        <v>109.011542107649</v>
      </c>
      <c r="I2390" s="29" t="n">
        <f aca="false">H2390*(1+I2393)</f>
        <v>116.90589228511</v>
      </c>
      <c r="J2390" s="29" t="n">
        <f aca="false">I2390*(1+J2393)</f>
        <v>123.920245822217</v>
      </c>
      <c r="K2390" s="8" t="s">
        <v>555</v>
      </c>
    </row>
    <row r="2391" customFormat="false" ht="17.15" hidden="false" customHeight="false" outlineLevel="0" collapsed="false">
      <c r="A2391" s="0" t="s">
        <v>556</v>
      </c>
      <c r="B2391" s="0" t="s">
        <v>48</v>
      </c>
      <c r="D2391" s="20" t="n">
        <f aca="false">D2389/D2390</f>
        <v>0</v>
      </c>
      <c r="E2391" s="20" t="n">
        <f aca="false">E2389/E2390</f>
        <v>0.115573973429033</v>
      </c>
      <c r="F2391" s="20" t="n">
        <f aca="false">F2389/F2390</f>
        <v>0.244538164596071</v>
      </c>
      <c r="G2391" s="20" t="n">
        <f aca="false">G2389/G2390</f>
        <v>0.312009653033743</v>
      </c>
    </row>
    <row r="2392" customFormat="false" ht="17.15" hidden="false" customHeight="false" outlineLevel="0" collapsed="false">
      <c r="A2392" s="0" t="s">
        <v>557</v>
      </c>
      <c r="B2392" s="0" t="s">
        <v>48</v>
      </c>
      <c r="D2392" s="20" t="n">
        <f aca="false">ai_sh26</f>
        <v>0.1</v>
      </c>
      <c r="E2392" s="20" t="n">
        <f aca="false">ai_sh27_A</f>
        <v>0.25</v>
      </c>
      <c r="F2392" s="20" t="n">
        <f aca="false">ai_sh27_A</f>
        <v>0.25</v>
      </c>
      <c r="G2392" s="20" t="n">
        <f aca="false">ai_sh27_A</f>
        <v>0.25</v>
      </c>
    </row>
    <row r="2393" customFormat="false" ht="15" hidden="false" customHeight="false" outlineLevel="0" collapsed="false">
      <c r="A2393" s="4" t="s">
        <v>558</v>
      </c>
      <c r="B2393" s="0" t="s">
        <v>48</v>
      </c>
      <c r="D2393" s="20" t="n">
        <f aca="false">D2390/C2390-1</f>
        <v>0.207056039184211</v>
      </c>
      <c r="E2393" s="20" t="n">
        <f aca="false">E2390/D2390-1</f>
        <v>0.321494671342409</v>
      </c>
      <c r="F2393" s="20" t="n">
        <f aca="false">F2390/E2390-1</f>
        <v>0.181553538073891</v>
      </c>
      <c r="G2393" s="20" t="n">
        <f aca="false">G2390/F2390-1</f>
        <v>0.0972526878758935</v>
      </c>
      <c r="H2393" s="27" t="n">
        <f aca="false">$G2393+(fade_gA-$G2393)*1/3</f>
        <v>0.0848351252505957</v>
      </c>
      <c r="I2393" s="27" t="n">
        <f aca="false">$G2393+(fade_gA-$G2393)*2/3</f>
        <v>0.0724175626252978</v>
      </c>
      <c r="J2393" s="27" t="n">
        <f aca="false">$G2393+(fade_gA-$G2393)*3/3</f>
        <v>0.06</v>
      </c>
    </row>
    <row r="2394" customFormat="false" ht="17.15" hidden="false" customHeight="false" outlineLevel="0" collapsed="false">
      <c r="A2394" s="6" t="s">
        <v>559</v>
      </c>
    </row>
    <row r="2395" customFormat="false" ht="15" hidden="false" customHeight="false" outlineLevel="0" collapsed="false">
      <c r="A2395" s="4" t="s">
        <v>560</v>
      </c>
      <c r="B2395" s="0" t="s">
        <v>184</v>
      </c>
      <c r="D2395" s="23" t="n">
        <f aca="false">da_tot26*da_sh</f>
        <v>8.658</v>
      </c>
      <c r="E2395" s="23" t="n">
        <f aca="false">D2395*(1+dag_27+dag_adj)</f>
        <v>8.91774</v>
      </c>
      <c r="F2395" s="23" t="n">
        <f aca="false">E2395*(1+dag_28+dag_adj)</f>
        <v>9.0960948</v>
      </c>
      <c r="G2395" s="23" t="n">
        <f aca="false">F2395*(1+dag_29+dag_adj)</f>
        <v>9.0960948</v>
      </c>
    </row>
    <row r="2396" customFormat="false" ht="17.15" hidden="false" customHeight="false" outlineLevel="0" collapsed="false">
      <c r="A2396" s="4" t="s">
        <v>561</v>
      </c>
      <c r="B2396" s="0" t="s">
        <v>562</v>
      </c>
      <c r="D2396" s="23" t="n">
        <f aca="false">(D2384-a26_gp-D2395)/D2380*1000</f>
        <v>10.7339918911001</v>
      </c>
      <c r="E2396" s="23" t="n">
        <f aca="false">D2396*(1+cc_g)</f>
        <v>10.9486717289221</v>
      </c>
      <c r="F2396" s="23" t="n">
        <f aca="false">E2396*(1+cc_g)</f>
        <v>11.1676451635006</v>
      </c>
      <c r="G2396" s="23" t="n">
        <f aca="false">F2396*(1+cc_g)</f>
        <v>11.3909980667706</v>
      </c>
      <c r="K2396" s="8" t="s">
        <v>563</v>
      </c>
    </row>
    <row r="2397" customFormat="false" ht="17.15" hidden="false" customHeight="false" outlineLevel="0" collapsed="false">
      <c r="A2397" s="4" t="s">
        <v>564</v>
      </c>
      <c r="B2397" s="0" t="s">
        <v>184</v>
      </c>
      <c r="D2397" s="23" t="n">
        <f aca="false">D2396*D2380/1000</f>
        <v>30.9620386</v>
      </c>
      <c r="E2397" s="23" t="n">
        <f aca="false">E2396*E2380/1000</f>
        <v>34.3864932990258</v>
      </c>
      <c r="F2397" s="23" t="n">
        <f aca="false">F2396*F2380/1000</f>
        <v>34.705020815901</v>
      </c>
      <c r="G2397" s="23" t="n">
        <f aca="false">G2396*G2380/1000</f>
        <v>35.0225348361316</v>
      </c>
    </row>
    <row r="2398" customFormat="false" ht="17.15" hidden="false" customHeight="false" outlineLevel="0" collapsed="false">
      <c r="A2398" s="0" t="s">
        <v>565</v>
      </c>
      <c r="B2398" s="0" t="s">
        <v>48</v>
      </c>
      <c r="E2398" s="20" t="n">
        <f aca="false">vgm27_A</f>
        <v>0.05</v>
      </c>
      <c r="F2398" s="20" t="n">
        <f aca="false">vgm28_A</f>
        <v>0.2</v>
      </c>
      <c r="G2398" s="20" t="n">
        <f aca="false">vgm29_A</f>
        <v>0.25</v>
      </c>
    </row>
    <row r="2399" customFormat="false" ht="17.15" hidden="false" customHeight="false" outlineLevel="0" collapsed="false">
      <c r="A2399" s="0" t="s">
        <v>566</v>
      </c>
      <c r="B2399" s="0" t="s">
        <v>184</v>
      </c>
      <c r="D2399" s="23" t="n">
        <f aca="false">0</f>
        <v>0</v>
      </c>
      <c r="E2399" s="23" t="n">
        <f aca="false">E2389*E2398</f>
        <v>0.4478976</v>
      </c>
      <c r="F2399" s="23" t="n">
        <f aca="false">F2389*F2398</f>
        <v>4.478976</v>
      </c>
      <c r="G2399" s="23" t="n">
        <f aca="false">G2389*G2398</f>
        <v>7.838208</v>
      </c>
    </row>
    <row r="2400" customFormat="false" ht="15" hidden="false" customHeight="false" outlineLevel="0" collapsed="false">
      <c r="A2400" s="4" t="s">
        <v>417</v>
      </c>
      <c r="B2400" s="0" t="s">
        <v>184</v>
      </c>
      <c r="C2400" s="23" t="n">
        <f aca="false">a25_gp</f>
        <v>13.654</v>
      </c>
      <c r="D2400" s="23" t="n">
        <f aca="false">D2384-D2395-D2397+D2399</f>
        <v>19.0320214</v>
      </c>
      <c r="E2400" s="23" t="n">
        <f aca="false">E2384-E2395-E2397+E2399</f>
        <v>25.6940970542294</v>
      </c>
      <c r="F2400" s="23" t="n">
        <f aca="false">F2384-F2395-F2397+F2399</f>
        <v>29.8632866197002</v>
      </c>
      <c r="G2400" s="23" t="n">
        <f aca="false">G2384-G2395-G2397+G2399</f>
        <v>32.8534835373793</v>
      </c>
    </row>
    <row r="2401" customFormat="false" ht="15" hidden="false" customHeight="false" outlineLevel="0" collapsed="false">
      <c r="A2401" s="4" t="s">
        <v>420</v>
      </c>
      <c r="B2401" s="0" t="s">
        <v>48</v>
      </c>
      <c r="C2401" s="16" t="n">
        <f aca="false">C2400/C2390</f>
        <v>0.280998538824062</v>
      </c>
      <c r="D2401" s="16" t="n">
        <f aca="false">D2400/D2390</f>
        <v>0.324490246378388</v>
      </c>
      <c r="E2401" s="16" t="n">
        <f aca="false">E2400/E2390</f>
        <v>0.331500870983514</v>
      </c>
      <c r="F2401" s="16" t="n">
        <f aca="false">F2400/F2390</f>
        <v>0.326088521072133</v>
      </c>
      <c r="G2401" s="16" t="n">
        <f aca="false">G2400/G2390</f>
        <v>0.326943479920649</v>
      </c>
    </row>
    <row r="2402" customFormat="false" ht="15" hidden="false" customHeight="false" outlineLevel="0" collapsed="false">
      <c r="A2402" s="4" t="s">
        <v>422</v>
      </c>
      <c r="B2402" s="0" t="s">
        <v>184</v>
      </c>
      <c r="C2402" s="23" t="n">
        <f aca="false">a25_opx</f>
        <v>5.881</v>
      </c>
      <c r="D2402" s="23" t="n">
        <f aca="false">a26_opx</f>
        <v>6.824187</v>
      </c>
      <c r="E2402" s="23" t="n">
        <f aca="false">D2402*(1+MAX(g_opx_min,phi*E2393))</f>
        <v>7.92115687837207</v>
      </c>
      <c r="F2402" s="23" t="n">
        <f aca="false">E2402*(1+MAX(g_opx_min,phi*F2393))</f>
        <v>8.64021390682546</v>
      </c>
      <c r="G2402" s="23" t="n">
        <f aca="false">F2402*(1+MAX(g_opx_min,phi*G2393))</f>
        <v>9.06035591995619</v>
      </c>
    </row>
    <row r="2403" customFormat="false" ht="15" hidden="false" customHeight="false" outlineLevel="0" collapsed="false">
      <c r="A2403" s="4" t="s">
        <v>425</v>
      </c>
      <c r="B2403" s="0" t="s">
        <v>184</v>
      </c>
      <c r="C2403" s="23" t="n">
        <f aca="false">C2400-C2402</f>
        <v>7.773</v>
      </c>
      <c r="D2403" s="23" t="n">
        <f aca="false">D2400-D2402</f>
        <v>12.2078344</v>
      </c>
      <c r="E2403" s="23" t="n">
        <f aca="false">E2400-E2402</f>
        <v>17.7729401758574</v>
      </c>
      <c r="F2403" s="23" t="n">
        <f aca="false">F2400-F2402</f>
        <v>21.2230727128747</v>
      </c>
      <c r="G2403" s="23" t="n">
        <f aca="false">G2400-G2402</f>
        <v>23.7931276174231</v>
      </c>
    </row>
    <row r="2404" customFormat="false" ht="15" hidden="false" customHeight="false" outlineLevel="0" collapsed="false">
      <c r="A2404" s="4" t="s">
        <v>531</v>
      </c>
      <c r="B2404" s="0" t="s">
        <v>48</v>
      </c>
      <c r="C2404" s="16" t="n">
        <f aca="false">C2403/C2390</f>
        <v>0.159967895289251</v>
      </c>
      <c r="D2404" s="16" t="n">
        <f aca="false">D2403/D2390</f>
        <v>0.208139908470393</v>
      </c>
      <c r="E2404" s="16" t="n">
        <f aca="false">E2403/E2390</f>
        <v>0.229303451909581</v>
      </c>
      <c r="F2404" s="16" t="n">
        <f aca="false">F2403/F2390</f>
        <v>0.231742757643503</v>
      </c>
      <c r="G2404" s="16" t="n">
        <f aca="false">G2403/G2390</f>
        <v>0.236778785804732</v>
      </c>
    </row>
    <row r="2405" customFormat="false" ht="15" hidden="false" customHeight="false" outlineLevel="0" collapsed="false">
      <c r="A2405" s="4" t="s">
        <v>428</v>
      </c>
      <c r="B2405" s="0" t="s">
        <v>184</v>
      </c>
      <c r="C2405" s="23" t="n">
        <f aca="false">a25_nonop</f>
        <v>1.479</v>
      </c>
      <c r="D2405" s="23" t="n">
        <f aca="false">a26_nonop</f>
        <v>2.10950832169955</v>
      </c>
      <c r="E2405" s="23" t="n">
        <f aca="false">nonop_f</f>
        <v>1.5</v>
      </c>
      <c r="F2405" s="23" t="n">
        <f aca="false">nonop_f</f>
        <v>1.5</v>
      </c>
      <c r="G2405" s="23" t="n">
        <f aca="false">nonop_f</f>
        <v>1.5</v>
      </c>
    </row>
    <row r="2406" customFormat="false" ht="15" hidden="false" customHeight="false" outlineLevel="0" collapsed="false">
      <c r="A2406" s="4" t="s">
        <v>430</v>
      </c>
      <c r="B2406" s="0" t="s">
        <v>184</v>
      </c>
      <c r="C2406" s="23" t="n">
        <f aca="false">C2403+C2405</f>
        <v>9.252</v>
      </c>
      <c r="D2406" s="23" t="n">
        <f aca="false">D2403+D2405</f>
        <v>14.3173427216995</v>
      </c>
      <c r="E2406" s="23" t="n">
        <f aca="false">E2403+E2405</f>
        <v>19.2729401758574</v>
      </c>
      <c r="F2406" s="23" t="n">
        <f aca="false">F2403+F2405</f>
        <v>22.7230727128747</v>
      </c>
      <c r="G2406" s="23" t="n">
        <f aca="false">G2403+G2405</f>
        <v>25.2931276174231</v>
      </c>
    </row>
    <row r="2407" customFormat="false" ht="15" hidden="false" customHeight="false" outlineLevel="0" collapsed="false">
      <c r="A2407" s="4" t="s">
        <v>432</v>
      </c>
      <c r="B2407" s="0" t="s">
        <v>184</v>
      </c>
      <c r="C2407" s="23" t="n">
        <f aca="false">a25_tax</f>
        <v>1.344</v>
      </c>
      <c r="D2407" s="23" t="n">
        <f aca="false">a26_tax</f>
        <v>2.0798215108046</v>
      </c>
      <c r="E2407" s="23" t="n">
        <f aca="false">E2406*tax</f>
        <v>2.89094102637861</v>
      </c>
      <c r="F2407" s="23" t="n">
        <f aca="false">F2406*tax</f>
        <v>3.40846090693121</v>
      </c>
      <c r="G2407" s="23" t="n">
        <f aca="false">G2406*tax</f>
        <v>3.79396914261346</v>
      </c>
    </row>
    <row r="2408" customFormat="false" ht="17.15" hidden="false" customHeight="false" outlineLevel="0" collapsed="false">
      <c r="A2408" s="4" t="s">
        <v>567</v>
      </c>
      <c r="B2408" s="0" t="s">
        <v>184</v>
      </c>
      <c r="C2408" s="23" t="n">
        <f aca="false">a25_mi</f>
        <v>0</v>
      </c>
      <c r="D2408" s="23" t="n">
        <f aca="false">a26_mi</f>
        <v>0</v>
      </c>
      <c r="E2408" s="23" t="n">
        <f aca="false">vmi*E2399*(1-tax)</f>
        <v>0.152285184</v>
      </c>
      <c r="F2408" s="23" t="n">
        <f aca="false">vmi*F2399*(1-tax)</f>
        <v>1.52285184</v>
      </c>
      <c r="G2408" s="23" t="n">
        <f aca="false">vmi*G2399*(1-tax)</f>
        <v>2.66499072</v>
      </c>
      <c r="K2408" s="8" t="s">
        <v>568</v>
      </c>
    </row>
    <row r="2409" customFormat="false" ht="15" hidden="false" customHeight="false" outlineLevel="0" collapsed="false">
      <c r="A2409" s="4" t="s">
        <v>435</v>
      </c>
      <c r="B2409" s="0" t="s">
        <v>184</v>
      </c>
      <c r="C2409" s="23" t="n">
        <f aca="false">C2406-C2407-C2408</f>
        <v>7.908</v>
      </c>
      <c r="D2409" s="23" t="n">
        <f aca="false">D2406-D2407-D2408</f>
        <v>12.2375212108949</v>
      </c>
      <c r="E2409" s="23" t="n">
        <f aca="false">E2406-E2407-E2408</f>
        <v>16.2297139654788</v>
      </c>
      <c r="F2409" s="23" t="n">
        <f aca="false">F2406-F2407-F2408</f>
        <v>17.7917599659435</v>
      </c>
      <c r="G2409" s="23" t="n">
        <f aca="false">G2406-G2407-G2408</f>
        <v>18.8341677548096</v>
      </c>
      <c r="H2409" s="29" t="n">
        <f aca="false">H2390*H2413</f>
        <v>20.4319667352796</v>
      </c>
      <c r="I2409" s="29" t="n">
        <f aca="false">I2390*I2413</f>
        <v>21.9115999658898</v>
      </c>
      <c r="J2409" s="29" t="n">
        <f aca="false">J2390*J2413</f>
        <v>23.2262959638431</v>
      </c>
    </row>
    <row r="2410" customFormat="false" ht="15" hidden="false" customHeight="false" outlineLevel="0" collapsed="false">
      <c r="A2410" s="4" t="s">
        <v>569</v>
      </c>
      <c r="B2410" s="4" t="s">
        <v>265</v>
      </c>
      <c r="C2410" s="10" t="n">
        <f aca="false">a25_sh</f>
        <v>1.8739336492891</v>
      </c>
      <c r="D2410" s="10" t="n">
        <f aca="false">a26_sh</f>
        <v>1.90613591916558</v>
      </c>
      <c r="E2410" s="10" t="n">
        <f aca="false">q_sh*(1+sh_g)</f>
        <v>1.90705128205128</v>
      </c>
      <c r="F2410" s="10" t="n">
        <f aca="false">E2410*(1+sh_g)</f>
        <v>1.90705128205128</v>
      </c>
      <c r="G2410" s="10" t="n">
        <f aca="false">F2410*(1+sh_g)</f>
        <v>1.90705128205128</v>
      </c>
      <c r="H2410" s="31" t="n">
        <f aca="false">G2410*(1+sh_g)</f>
        <v>1.90705128205128</v>
      </c>
      <c r="I2410" s="31" t="n">
        <f aca="false">H2410*(1+sh_g)</f>
        <v>1.90705128205128</v>
      </c>
      <c r="J2410" s="31" t="n">
        <f aca="false">I2410*(1+sh_g)</f>
        <v>1.90705128205128</v>
      </c>
    </row>
    <row r="2411" customFormat="false" ht="17.15" hidden="false" customHeight="false" outlineLevel="0" collapsed="false">
      <c r="A2411" s="0" t="s">
        <v>442</v>
      </c>
      <c r="B2411" s="0" t="s">
        <v>274</v>
      </c>
      <c r="C2411" s="23" t="n">
        <f aca="false">C2409/C2410</f>
        <v>4.22</v>
      </c>
      <c r="D2411" s="23" t="n">
        <f aca="false">D2409/D2410</f>
        <v>6.42006747150118</v>
      </c>
      <c r="E2411" s="23" t="n">
        <f aca="false">E2409/E2410</f>
        <v>8.51037102055357</v>
      </c>
      <c r="F2411" s="23" t="n">
        <f aca="false">F2409/F2410</f>
        <v>9.32946068802417</v>
      </c>
      <c r="G2411" s="23" t="n">
        <f aca="false">G2409/G2410</f>
        <v>9.87606779748001</v>
      </c>
      <c r="H2411" s="29" t="n">
        <f aca="false">H2409/H2410</f>
        <v>10.7139052460626</v>
      </c>
      <c r="I2411" s="29" t="n">
        <f aca="false">I2409/I2410</f>
        <v>11.4897801501808</v>
      </c>
      <c r="J2411" s="29" t="n">
        <f aca="false">J2409/J2410</f>
        <v>12.1791669591917</v>
      </c>
    </row>
    <row r="2412" customFormat="false" ht="17.15" hidden="false" customHeight="false" outlineLevel="0" collapsed="false">
      <c r="A2412" s="0" t="s">
        <v>570</v>
      </c>
      <c r="B2412" s="0" t="s">
        <v>48</v>
      </c>
      <c r="D2412" s="20" t="n">
        <f aca="false">D2411/C2411-1</f>
        <v>0.521343002725398</v>
      </c>
      <c r="E2412" s="20" t="n">
        <f aca="false">E2411/D2411-1</f>
        <v>0.325589031319577</v>
      </c>
      <c r="F2412" s="20" t="n">
        <f aca="false">F2411/E2411-1</f>
        <v>0.0962460585434402</v>
      </c>
      <c r="G2412" s="20" t="n">
        <f aca="false">G2411/F2411-1</f>
        <v>0.058589357706121</v>
      </c>
      <c r="H2412" s="27" t="n">
        <f aca="false">H2411/G2411-1</f>
        <v>0.0848351252505957</v>
      </c>
      <c r="I2412" s="27" t="n">
        <f aca="false">I2411/H2411-1</f>
        <v>0.0724175626252979</v>
      </c>
      <c r="J2412" s="27" t="n">
        <f aca="false">J2411/I2411-1</f>
        <v>0.0600000000000003</v>
      </c>
    </row>
    <row r="2413" customFormat="false" ht="17.15" hidden="false" customHeight="false" outlineLevel="0" collapsed="false">
      <c r="A2413" s="4" t="s">
        <v>571</v>
      </c>
      <c r="B2413" s="0" t="s">
        <v>48</v>
      </c>
      <c r="C2413" s="16" t="n">
        <f aca="false">C2409/C2390</f>
        <v>0.162746187565599</v>
      </c>
      <c r="D2413" s="16" t="n">
        <f aca="false">D2409/D2390</f>
        <v>0.208646059676249</v>
      </c>
      <c r="E2413" s="16" t="n">
        <f aca="false">E2409/E2390</f>
        <v>0.209393009764626</v>
      </c>
      <c r="F2413" s="16" t="n">
        <f aca="false">F2409/F2390</f>
        <v>0.194274956016986</v>
      </c>
      <c r="G2413" s="16" t="n">
        <f aca="false">G2409/G2390</f>
        <v>0.187429389037566</v>
      </c>
      <c r="H2413" s="28" t="n">
        <f aca="false">$G2413+($G$2413*1-$G2413)*1/3</f>
        <v>0.187429389037566</v>
      </c>
      <c r="I2413" s="28" t="n">
        <f aca="false">$G2413+($G$2413*1-$G2413)*2/3</f>
        <v>0.187429389037566</v>
      </c>
      <c r="J2413" s="28" t="n">
        <f aca="false">$G2413+($G$2413*1-$G2413)*3/3</f>
        <v>0.187429389037566</v>
      </c>
    </row>
    <row r="2416" customFormat="false" ht="17.15" hidden="false" customHeight="false" outlineLevel="0" collapsed="false">
      <c r="A2416" s="1" t="s">
        <v>903</v>
      </c>
    </row>
    <row r="2417" customFormat="false" ht="17.15" hidden="false" customHeight="false" outlineLevel="0" collapsed="false">
      <c r="A2417" s="5" t="s">
        <v>24</v>
      </c>
      <c r="B2417" s="5" t="s">
        <v>25</v>
      </c>
      <c r="C2417" s="17" t="s">
        <v>394</v>
      </c>
      <c r="D2417" s="17" t="s">
        <v>521</v>
      </c>
      <c r="E2417" s="17" t="s">
        <v>480</v>
      </c>
      <c r="F2417" s="17" t="s">
        <v>481</v>
      </c>
      <c r="G2417" s="17" t="s">
        <v>482</v>
      </c>
      <c r="H2417" s="17" t="s">
        <v>522</v>
      </c>
      <c r="I2417" s="17" t="s">
        <v>523</v>
      </c>
      <c r="J2417" s="17" t="s">
        <v>524</v>
      </c>
      <c r="K2417" s="5" t="s">
        <v>357</v>
      </c>
    </row>
    <row r="2418" customFormat="false" ht="17.15" hidden="false" customHeight="false" outlineLevel="0" collapsed="false">
      <c r="A2418" s="6" t="s">
        <v>542</v>
      </c>
    </row>
    <row r="2419" customFormat="false" ht="17.15" hidden="false" customHeight="false" outlineLevel="0" collapsed="false">
      <c r="A2419" s="4" t="s">
        <v>543</v>
      </c>
      <c r="B2419" s="4" t="s">
        <v>42</v>
      </c>
      <c r="D2419" s="22" t="n">
        <f aca="false">cap_26</f>
        <v>3306</v>
      </c>
      <c r="E2419" s="22" t="n">
        <f aca="false">D2419*(1+capg27)*cap_adj</f>
        <v>3306</v>
      </c>
      <c r="F2419" s="22" t="n">
        <f aca="false">E2419*(1+capg28)</f>
        <v>3306</v>
      </c>
      <c r="G2419" s="22" t="n">
        <f aca="false">F2419*(1+capg29)</f>
        <v>3306</v>
      </c>
    </row>
    <row r="2420" customFormat="false" ht="15" hidden="false" customHeight="false" outlineLevel="0" collapsed="false">
      <c r="A2420" s="4" t="s">
        <v>544</v>
      </c>
      <c r="B2420" s="0" t="s">
        <v>48</v>
      </c>
      <c r="D2420" s="20" t="n">
        <f aca="false">a26_ship/cap_26</f>
        <v>0.8725</v>
      </c>
      <c r="E2420" s="20" t="n">
        <f aca="false">MIN(0.98,ut27_B+ut_adj)</f>
        <v>0.9</v>
      </c>
      <c r="F2420" s="20" t="n">
        <f aca="false">MIN(0.98,ut28_B+ut_adj)</f>
        <v>0.86</v>
      </c>
      <c r="G2420" s="20" t="n">
        <f aca="false">MIN(0.98,ut29_B+ut_adj)</f>
        <v>0.87</v>
      </c>
    </row>
    <row r="2421" customFormat="false" ht="17.15" hidden="false" customHeight="false" outlineLevel="0" collapsed="false">
      <c r="A2421" s="4" t="s">
        <v>545</v>
      </c>
      <c r="B2421" s="4" t="s">
        <v>42</v>
      </c>
      <c r="D2421" s="22" t="n">
        <f aca="false">D2419*D2420</f>
        <v>2884.485</v>
      </c>
      <c r="E2421" s="22" t="n">
        <f aca="false">E2419*E2420</f>
        <v>2975.4</v>
      </c>
      <c r="F2421" s="22" t="n">
        <f aca="false">F2419*F2420</f>
        <v>2843.16</v>
      </c>
      <c r="G2421" s="22" t="n">
        <f aca="false">G2419*G2420</f>
        <v>2876.22</v>
      </c>
    </row>
    <row r="2422" customFormat="false" ht="17.15" hidden="false" customHeight="false" outlineLevel="0" collapsed="false">
      <c r="A2422" s="4" t="s">
        <v>546</v>
      </c>
      <c r="B2422" s="0" t="s">
        <v>89</v>
      </c>
      <c r="D2422" s="22" t="n">
        <f aca="false">asp_26</f>
        <v>643.469405492234</v>
      </c>
      <c r="E2422" s="22" t="n">
        <f aca="false">D2422*(1+asp27_B)*(1+asp_adj)</f>
        <v>662.773487657001</v>
      </c>
      <c r="F2422" s="22" t="n">
        <f aca="false">E2422*(1+asp28_B)</f>
        <v>662.773487657001</v>
      </c>
      <c r="G2422" s="22" t="n">
        <f aca="false">F2422*(1+asp29_B)</f>
        <v>662.773487657001</v>
      </c>
    </row>
    <row r="2423" customFormat="false" ht="15" hidden="false" customHeight="false" outlineLevel="0" collapsed="false">
      <c r="A2423" s="4" t="s">
        <v>547</v>
      </c>
      <c r="B2423" s="0" t="s">
        <v>48</v>
      </c>
      <c r="E2423" s="20" t="n">
        <f aca="false">E2422/D2422-1</f>
        <v>0.03</v>
      </c>
      <c r="F2423" s="20" t="n">
        <f aca="false">F2422/E2422-1</f>
        <v>0</v>
      </c>
      <c r="G2423" s="20" t="n">
        <f aca="false">G2422/F2422-1</f>
        <v>0</v>
      </c>
    </row>
    <row r="2424" customFormat="false" ht="15" hidden="false" customHeight="false" outlineLevel="0" collapsed="false">
      <c r="A2424" s="4" t="s">
        <v>548</v>
      </c>
      <c r="B2424" s="0" t="s">
        <v>35</v>
      </c>
      <c r="D2424" s="23" t="n">
        <f aca="false">fx_26</f>
        <v>31.6</v>
      </c>
      <c r="E2424" s="23" t="n">
        <f aca="false">fx</f>
        <v>32</v>
      </c>
      <c r="F2424" s="23" t="n">
        <f aca="false">fx</f>
        <v>32</v>
      </c>
      <c r="G2424" s="23" t="n">
        <f aca="false">fx</f>
        <v>32</v>
      </c>
    </row>
    <row r="2425" customFormat="false" ht="17.15" hidden="false" customHeight="false" outlineLevel="0" collapsed="false">
      <c r="A2425" s="0" t="s">
        <v>549</v>
      </c>
      <c r="B2425" s="0" t="s">
        <v>184</v>
      </c>
      <c r="D2425" s="23" t="n">
        <f aca="false">D2421*D2422*D2424/1000000</f>
        <v>58.65206</v>
      </c>
      <c r="E2425" s="23" t="n">
        <f aca="false">E2421*E2422*E2424/1000000</f>
        <v>63.1045195255885</v>
      </c>
      <c r="F2425" s="23" t="n">
        <f aca="false">F2421*F2422*F2424/1000000</f>
        <v>60.2998742133401</v>
      </c>
      <c r="G2425" s="23" t="n">
        <f aca="false">G2421*G2422*G2424/1000000</f>
        <v>61.0010355414022</v>
      </c>
    </row>
    <row r="2426" customFormat="false" ht="17.15" hidden="false" customHeight="false" outlineLevel="0" collapsed="false">
      <c r="A2426" s="6" t="s">
        <v>550</v>
      </c>
    </row>
    <row r="2427" customFormat="false" ht="17.15" hidden="false" customHeight="false" outlineLevel="0" collapsed="false">
      <c r="A2427" s="0" t="s">
        <v>551</v>
      </c>
      <c r="B2427" s="4" t="s">
        <v>42</v>
      </c>
      <c r="D2427" s="22" t="n">
        <f aca="false">0</f>
        <v>0</v>
      </c>
      <c r="E2427" s="22" t="n">
        <f aca="false">vcap27*vcap_adj_hi</f>
        <v>172.8</v>
      </c>
      <c r="F2427" s="22" t="n">
        <f aca="false">vcap28*vcap_adj_hi</f>
        <v>432</v>
      </c>
      <c r="G2427" s="22" t="n">
        <f aca="false">vcap29*vcap_adj_hi</f>
        <v>604.8</v>
      </c>
    </row>
    <row r="2428" customFormat="false" ht="17.15" hidden="false" customHeight="false" outlineLevel="0" collapsed="false">
      <c r="A2428" s="0" t="s">
        <v>552</v>
      </c>
      <c r="B2428" s="0" t="s">
        <v>48</v>
      </c>
      <c r="E2428" s="20" t="n">
        <f aca="false">vut_B</f>
        <v>0.8</v>
      </c>
      <c r="F2428" s="20" t="n">
        <f aca="false">vut_B</f>
        <v>0.8</v>
      </c>
      <c r="G2428" s="20" t="n">
        <f aca="false">vut_B</f>
        <v>0.8</v>
      </c>
    </row>
    <row r="2429" customFormat="false" ht="17.15" hidden="false" customHeight="false" outlineLevel="0" collapsed="false">
      <c r="A2429" s="0" t="s">
        <v>553</v>
      </c>
      <c r="B2429" s="4" t="s">
        <v>42</v>
      </c>
      <c r="D2429" s="22" t="n">
        <f aca="false">0</f>
        <v>0</v>
      </c>
      <c r="E2429" s="22" t="n">
        <f aca="false">E2427*E2428</f>
        <v>138.24</v>
      </c>
      <c r="F2429" s="22" t="n">
        <f aca="false">F2427*F2428</f>
        <v>345.6</v>
      </c>
      <c r="G2429" s="22" t="n">
        <f aca="false">G2427*G2428</f>
        <v>483.84</v>
      </c>
    </row>
    <row r="2430" customFormat="false" ht="17.15" hidden="false" customHeight="false" outlineLevel="0" collapsed="false">
      <c r="A2430" s="0" t="s">
        <v>554</v>
      </c>
      <c r="B2430" s="0" t="s">
        <v>184</v>
      </c>
      <c r="D2430" s="23" t="n">
        <f aca="false">0</f>
        <v>0</v>
      </c>
      <c r="E2430" s="23" t="n">
        <f aca="false">E2429*vasp*E2424/1000000</f>
        <v>7.962624</v>
      </c>
      <c r="F2430" s="23" t="n">
        <f aca="false">F2429*vasp*F2424/1000000</f>
        <v>19.90656</v>
      </c>
      <c r="G2430" s="23" t="n">
        <f aca="false">G2429*vasp*G2424/1000000</f>
        <v>27.869184</v>
      </c>
    </row>
    <row r="2431" customFormat="false" ht="17.15" hidden="false" customHeight="false" outlineLevel="0" collapsed="false">
      <c r="A2431" s="4" t="s">
        <v>400</v>
      </c>
      <c r="B2431" s="0" t="s">
        <v>184</v>
      </c>
      <c r="C2431" s="23" t="n">
        <f aca="false">a25_rev</f>
        <v>48.591</v>
      </c>
      <c r="D2431" s="23" t="n">
        <f aca="false">D2425+D2430</f>
        <v>58.65206</v>
      </c>
      <c r="E2431" s="23" t="n">
        <f aca="false">E2425+E2430</f>
        <v>71.0671435255885</v>
      </c>
      <c r="F2431" s="23" t="n">
        <f aca="false">F2425+F2430</f>
        <v>80.2064342133401</v>
      </c>
      <c r="G2431" s="23" t="n">
        <f aca="false">G2425+G2430</f>
        <v>88.8702195414022</v>
      </c>
      <c r="H2431" s="29" t="n">
        <f aca="false">G2431*(1+H2434)</f>
        <v>96.4549125605909</v>
      </c>
      <c r="I2431" s="29" t="n">
        <f aca="false">H2431*(1+I2434)</f>
        <v>102.500017870973</v>
      </c>
      <c r="J2431" s="29" t="n">
        <f aca="false">I2431*(1+J2434)</f>
        <v>106.600018585811</v>
      </c>
      <c r="K2431" s="8" t="s">
        <v>555</v>
      </c>
    </row>
    <row r="2432" customFormat="false" ht="17.15" hidden="false" customHeight="false" outlineLevel="0" collapsed="false">
      <c r="A2432" s="0" t="s">
        <v>556</v>
      </c>
      <c r="B2432" s="0" t="s">
        <v>48</v>
      </c>
      <c r="D2432" s="20" t="n">
        <f aca="false">D2430/D2431</f>
        <v>0</v>
      </c>
      <c r="E2432" s="20" t="n">
        <f aca="false">E2430/E2431</f>
        <v>0.112043675951785</v>
      </c>
      <c r="F2432" s="20" t="n">
        <f aca="false">F2430/F2431</f>
        <v>0.248191559632869</v>
      </c>
      <c r="G2432" s="20" t="n">
        <f aca="false">G2430/G2431</f>
        <v>0.313594184236447</v>
      </c>
    </row>
    <row r="2433" customFormat="false" ht="17.15" hidden="false" customHeight="false" outlineLevel="0" collapsed="false">
      <c r="A2433" s="0" t="s">
        <v>557</v>
      </c>
      <c r="B2433" s="0" t="s">
        <v>48</v>
      </c>
      <c r="D2433" s="20" t="n">
        <f aca="false">ai_sh26</f>
        <v>0.1</v>
      </c>
      <c r="E2433" s="20" t="n">
        <f aca="false">ai_sh27_B</f>
        <v>0.2</v>
      </c>
      <c r="F2433" s="20" t="n">
        <f aca="false">ai_sh27_B</f>
        <v>0.2</v>
      </c>
      <c r="G2433" s="20" t="n">
        <f aca="false">ai_sh27_B</f>
        <v>0.2</v>
      </c>
    </row>
    <row r="2434" customFormat="false" ht="15" hidden="false" customHeight="false" outlineLevel="0" collapsed="false">
      <c r="A2434" s="4" t="s">
        <v>558</v>
      </c>
      <c r="B2434" s="0" t="s">
        <v>48</v>
      </c>
      <c r="D2434" s="20" t="n">
        <f aca="false">D2431/C2431-1</f>
        <v>0.207056039184211</v>
      </c>
      <c r="E2434" s="20" t="n">
        <f aca="false">E2431/D2431-1</f>
        <v>0.211673443790184</v>
      </c>
      <c r="F2434" s="20" t="n">
        <f aca="false">F2431/E2431-1</f>
        <v>0.128600788414423</v>
      </c>
      <c r="G2434" s="20" t="n">
        <f aca="false">G2431/F2431-1</f>
        <v>0.108018582462068</v>
      </c>
      <c r="H2434" s="27" t="n">
        <f aca="false">$G2434+(fade_gB-$G2434)*1/3</f>
        <v>0.0853457216413786</v>
      </c>
      <c r="I2434" s="27" t="n">
        <f aca="false">$G2434+(fade_gB-$G2434)*2/3</f>
        <v>0.0626728608206893</v>
      </c>
      <c r="J2434" s="27" t="n">
        <f aca="false">$G2434+(fade_gB-$G2434)*3/3</f>
        <v>0.04</v>
      </c>
    </row>
    <row r="2435" customFormat="false" ht="17.15" hidden="false" customHeight="false" outlineLevel="0" collapsed="false">
      <c r="A2435" s="6" t="s">
        <v>559</v>
      </c>
    </row>
    <row r="2436" customFormat="false" ht="15" hidden="false" customHeight="false" outlineLevel="0" collapsed="false">
      <c r="A2436" s="4" t="s">
        <v>560</v>
      </c>
      <c r="B2436" s="0" t="s">
        <v>184</v>
      </c>
      <c r="D2436" s="23" t="n">
        <f aca="false">da_tot26*da_sh</f>
        <v>8.658</v>
      </c>
      <c r="E2436" s="23" t="n">
        <f aca="false">D2436*(1+dag_27+dag_adj)</f>
        <v>8.91774</v>
      </c>
      <c r="F2436" s="23" t="n">
        <f aca="false">E2436*(1+dag_28+dag_adj)</f>
        <v>9.0960948</v>
      </c>
      <c r="G2436" s="23" t="n">
        <f aca="false">F2436*(1+dag_29+dag_adj)</f>
        <v>9.0960948</v>
      </c>
    </row>
    <row r="2437" customFormat="false" ht="17.15" hidden="false" customHeight="false" outlineLevel="0" collapsed="false">
      <c r="A2437" s="4" t="s">
        <v>561</v>
      </c>
      <c r="B2437" s="0" t="s">
        <v>562</v>
      </c>
      <c r="D2437" s="23" t="n">
        <f aca="false">(D2425-a26_gp-D2436)/D2421*1000</f>
        <v>10.7339918911001</v>
      </c>
      <c r="E2437" s="23" t="n">
        <f aca="false">D2437*(1+cc_g)</f>
        <v>10.9486717289221</v>
      </c>
      <c r="F2437" s="23" t="n">
        <f aca="false">E2437*(1+cc_g)</f>
        <v>11.1676451635006</v>
      </c>
      <c r="G2437" s="23" t="n">
        <f aca="false">F2437*(1+cc_g)</f>
        <v>11.3909980667706</v>
      </c>
      <c r="K2437" s="8" t="s">
        <v>563</v>
      </c>
    </row>
    <row r="2438" customFormat="false" ht="17.15" hidden="false" customHeight="false" outlineLevel="0" collapsed="false">
      <c r="A2438" s="4" t="s">
        <v>564</v>
      </c>
      <c r="B2438" s="0" t="s">
        <v>184</v>
      </c>
      <c r="D2438" s="23" t="n">
        <f aca="false">D2437*D2421/1000</f>
        <v>30.9620386</v>
      </c>
      <c r="E2438" s="23" t="n">
        <f aca="false">E2437*E2421/1000</f>
        <v>32.576677862235</v>
      </c>
      <c r="F2438" s="23" t="n">
        <f aca="false">F2437*F2421/1000</f>
        <v>31.7514020230583</v>
      </c>
      <c r="G2438" s="23" t="n">
        <f aca="false">G2437*G2421/1000</f>
        <v>32.7630164596069</v>
      </c>
    </row>
    <row r="2439" customFormat="false" ht="17.15" hidden="false" customHeight="false" outlineLevel="0" collapsed="false">
      <c r="A2439" s="0" t="s">
        <v>565</v>
      </c>
      <c r="B2439" s="0" t="s">
        <v>48</v>
      </c>
      <c r="E2439" s="20" t="n">
        <f aca="false">vgm27_B</f>
        <v>-0.05</v>
      </c>
      <c r="F2439" s="20" t="n">
        <f aca="false">vgm28_B</f>
        <v>0.12</v>
      </c>
      <c r="G2439" s="20" t="n">
        <f aca="false">vgm29_B</f>
        <v>0.18</v>
      </c>
    </row>
    <row r="2440" customFormat="false" ht="17.15" hidden="false" customHeight="false" outlineLevel="0" collapsed="false">
      <c r="A2440" s="0" t="s">
        <v>566</v>
      </c>
      <c r="B2440" s="0" t="s">
        <v>184</v>
      </c>
      <c r="D2440" s="23" t="n">
        <f aca="false">0</f>
        <v>0</v>
      </c>
      <c r="E2440" s="23" t="n">
        <f aca="false">E2430*E2439</f>
        <v>-0.3981312</v>
      </c>
      <c r="F2440" s="23" t="n">
        <f aca="false">F2430*F2439</f>
        <v>2.3887872</v>
      </c>
      <c r="G2440" s="23" t="n">
        <f aca="false">G2430*G2439</f>
        <v>5.01645312</v>
      </c>
    </row>
    <row r="2441" customFormat="false" ht="15" hidden="false" customHeight="false" outlineLevel="0" collapsed="false">
      <c r="A2441" s="4" t="s">
        <v>417</v>
      </c>
      <c r="B2441" s="0" t="s">
        <v>184</v>
      </c>
      <c r="C2441" s="23" t="n">
        <f aca="false">a25_gp</f>
        <v>13.654</v>
      </c>
      <c r="D2441" s="23" t="n">
        <f aca="false">D2425-D2436-D2438+D2440</f>
        <v>19.0320214</v>
      </c>
      <c r="E2441" s="23" t="n">
        <f aca="false">E2425-E2436-E2438+E2440</f>
        <v>21.2119704633535</v>
      </c>
      <c r="F2441" s="23" t="n">
        <f aca="false">F2425-F2436-F2438+F2440</f>
        <v>21.8411645902818</v>
      </c>
      <c r="G2441" s="23" t="n">
        <f aca="false">G2425-G2436-G2438+G2440</f>
        <v>24.1583774017953</v>
      </c>
    </row>
    <row r="2442" customFormat="false" ht="15" hidden="false" customHeight="false" outlineLevel="0" collapsed="false">
      <c r="A2442" s="4" t="s">
        <v>420</v>
      </c>
      <c r="B2442" s="0" t="s">
        <v>48</v>
      </c>
      <c r="C2442" s="16" t="n">
        <f aca="false">C2441/C2431</f>
        <v>0.280998538824062</v>
      </c>
      <c r="D2442" s="16" t="n">
        <f aca="false">D2441/D2431</f>
        <v>0.324490246378388</v>
      </c>
      <c r="E2442" s="16" t="n">
        <f aca="false">E2441/E2431</f>
        <v>0.298477881775506</v>
      </c>
      <c r="F2442" s="16" t="n">
        <f aca="false">F2441/F2431</f>
        <v>0.272311876278987</v>
      </c>
      <c r="G2442" s="16" t="n">
        <f aca="false">G2441/G2431</f>
        <v>0.271838840125072</v>
      </c>
    </row>
    <row r="2443" customFormat="false" ht="15" hidden="false" customHeight="false" outlineLevel="0" collapsed="false">
      <c r="A2443" s="4" t="s">
        <v>422</v>
      </c>
      <c r="B2443" s="0" t="s">
        <v>184</v>
      </c>
      <c r="C2443" s="23" t="n">
        <f aca="false">a25_opx</f>
        <v>5.881</v>
      </c>
      <c r="D2443" s="23" t="n">
        <f aca="false">a26_opx</f>
        <v>6.824187</v>
      </c>
      <c r="E2443" s="23" t="n">
        <f aca="false">D2443*(1+MAX(g_opx_min,phi*E2434))</f>
        <v>7.5464365816791</v>
      </c>
      <c r="F2443" s="23" t="n">
        <f aca="false">E2443*(1+MAX(g_opx_min,phi*F2434))</f>
        <v>8.03167542874079</v>
      </c>
      <c r="G2443" s="23" t="n">
        <f aca="false">F2443*(1+MAX(g_opx_min,phi*G2434))</f>
        <v>8.46546052604479</v>
      </c>
    </row>
    <row r="2444" customFormat="false" ht="15" hidden="false" customHeight="false" outlineLevel="0" collapsed="false">
      <c r="A2444" s="4" t="s">
        <v>425</v>
      </c>
      <c r="B2444" s="0" t="s">
        <v>184</v>
      </c>
      <c r="C2444" s="23" t="n">
        <f aca="false">C2441-C2443</f>
        <v>7.773</v>
      </c>
      <c r="D2444" s="23" t="n">
        <f aca="false">D2441-D2443</f>
        <v>12.2078344</v>
      </c>
      <c r="E2444" s="23" t="n">
        <f aca="false">E2441-E2443</f>
        <v>13.6655338816744</v>
      </c>
      <c r="F2444" s="23" t="n">
        <f aca="false">F2441-F2443</f>
        <v>13.809489161541</v>
      </c>
      <c r="G2444" s="23" t="n">
        <f aca="false">G2441-G2443</f>
        <v>15.6929168757505</v>
      </c>
    </row>
    <row r="2445" customFormat="false" ht="15" hidden="false" customHeight="false" outlineLevel="0" collapsed="false">
      <c r="A2445" s="4" t="s">
        <v>531</v>
      </c>
      <c r="B2445" s="0" t="s">
        <v>48</v>
      </c>
      <c r="C2445" s="16" t="n">
        <f aca="false">C2444/C2431</f>
        <v>0.159967895289251</v>
      </c>
      <c r="D2445" s="16" t="n">
        <f aca="false">D2444/D2431</f>
        <v>0.208139908470393</v>
      </c>
      <c r="E2445" s="16" t="n">
        <f aca="false">E2444/E2431</f>
        <v>0.192290462283094</v>
      </c>
      <c r="F2445" s="16" t="n">
        <f aca="false">F2444/F2431</f>
        <v>0.172174331111757</v>
      </c>
      <c r="G2445" s="16" t="n">
        <f aca="false">G2444/G2431</f>
        <v>0.176582402482303</v>
      </c>
    </row>
    <row r="2446" customFormat="false" ht="15" hidden="false" customHeight="false" outlineLevel="0" collapsed="false">
      <c r="A2446" s="4" t="s">
        <v>428</v>
      </c>
      <c r="B2446" s="0" t="s">
        <v>184</v>
      </c>
      <c r="C2446" s="23" t="n">
        <f aca="false">a25_nonop</f>
        <v>1.479</v>
      </c>
      <c r="D2446" s="23" t="n">
        <f aca="false">a26_nonop</f>
        <v>2.10950832169955</v>
      </c>
      <c r="E2446" s="23" t="n">
        <f aca="false">nonop_f</f>
        <v>1.5</v>
      </c>
      <c r="F2446" s="23" t="n">
        <f aca="false">nonop_f</f>
        <v>1.5</v>
      </c>
      <c r="G2446" s="23" t="n">
        <f aca="false">nonop_f</f>
        <v>1.5</v>
      </c>
    </row>
    <row r="2447" customFormat="false" ht="15" hidden="false" customHeight="false" outlineLevel="0" collapsed="false">
      <c r="A2447" s="4" t="s">
        <v>430</v>
      </c>
      <c r="B2447" s="0" t="s">
        <v>184</v>
      </c>
      <c r="C2447" s="23" t="n">
        <f aca="false">C2444+C2446</f>
        <v>9.252</v>
      </c>
      <c r="D2447" s="23" t="n">
        <f aca="false">D2444+D2446</f>
        <v>14.3173427216995</v>
      </c>
      <c r="E2447" s="23" t="n">
        <f aca="false">E2444+E2446</f>
        <v>15.1655338816744</v>
      </c>
      <c r="F2447" s="23" t="n">
        <f aca="false">F2444+F2446</f>
        <v>15.309489161541</v>
      </c>
      <c r="G2447" s="23" t="n">
        <f aca="false">G2444+G2446</f>
        <v>17.1929168757505</v>
      </c>
    </row>
    <row r="2448" customFormat="false" ht="15" hidden="false" customHeight="false" outlineLevel="0" collapsed="false">
      <c r="A2448" s="4" t="s">
        <v>432</v>
      </c>
      <c r="B2448" s="0" t="s">
        <v>184</v>
      </c>
      <c r="C2448" s="23" t="n">
        <f aca="false">a25_tax</f>
        <v>1.344</v>
      </c>
      <c r="D2448" s="23" t="n">
        <f aca="false">a26_tax</f>
        <v>2.0798215108046</v>
      </c>
      <c r="E2448" s="23" t="n">
        <f aca="false">E2447*tax</f>
        <v>2.27483008225116</v>
      </c>
      <c r="F2448" s="23" t="n">
        <f aca="false">F2447*tax</f>
        <v>2.29642337423115</v>
      </c>
      <c r="G2448" s="23" t="n">
        <f aca="false">G2447*tax</f>
        <v>2.57893753136257</v>
      </c>
    </row>
    <row r="2449" customFormat="false" ht="17.15" hidden="false" customHeight="false" outlineLevel="0" collapsed="false">
      <c r="A2449" s="4" t="s">
        <v>567</v>
      </c>
      <c r="B2449" s="0" t="s">
        <v>184</v>
      </c>
      <c r="C2449" s="23" t="n">
        <f aca="false">a25_mi</f>
        <v>0</v>
      </c>
      <c r="D2449" s="23" t="n">
        <f aca="false">a26_mi</f>
        <v>0</v>
      </c>
      <c r="E2449" s="23" t="n">
        <f aca="false">vmi*E2440*(1-tax)</f>
        <v>-0.135364608</v>
      </c>
      <c r="F2449" s="23" t="n">
        <f aca="false">vmi*F2440*(1-tax)</f>
        <v>0.812187648</v>
      </c>
      <c r="G2449" s="23" t="n">
        <f aca="false">vmi*G2440*(1-tax)</f>
        <v>1.7055940608</v>
      </c>
      <c r="K2449" s="8" t="s">
        <v>568</v>
      </c>
    </row>
    <row r="2450" customFormat="false" ht="15" hidden="false" customHeight="false" outlineLevel="0" collapsed="false">
      <c r="A2450" s="4" t="s">
        <v>435</v>
      </c>
      <c r="B2450" s="0" t="s">
        <v>184</v>
      </c>
      <c r="C2450" s="23" t="n">
        <f aca="false">C2447-C2448-C2449</f>
        <v>7.908</v>
      </c>
      <c r="D2450" s="23" t="n">
        <f aca="false">D2447-D2448-D2449</f>
        <v>12.2375212108949</v>
      </c>
      <c r="E2450" s="23" t="n">
        <f aca="false">E2447-E2448-E2449</f>
        <v>13.0260684074233</v>
      </c>
      <c r="F2450" s="23" t="n">
        <f aca="false">F2447-F2448-F2449</f>
        <v>12.2008781393098</v>
      </c>
      <c r="G2450" s="23" t="n">
        <f aca="false">G2447-G2448-G2449</f>
        <v>12.9083852835879</v>
      </c>
      <c r="H2450" s="29" t="n">
        <f aca="false">H2431*H2454</f>
        <v>13.543058716146</v>
      </c>
      <c r="I2450" s="29" t="n">
        <f aca="false">I2431*I2454</f>
        <v>13.8955705725581</v>
      </c>
      <c r="J2450" s="29" t="n">
        <f aca="false">J2431*J2454</f>
        <v>13.9352722027654</v>
      </c>
    </row>
    <row r="2451" customFormat="false" ht="15" hidden="false" customHeight="false" outlineLevel="0" collapsed="false">
      <c r="A2451" s="4" t="s">
        <v>569</v>
      </c>
      <c r="B2451" s="4" t="s">
        <v>265</v>
      </c>
      <c r="C2451" s="10" t="n">
        <f aca="false">a25_sh</f>
        <v>1.8739336492891</v>
      </c>
      <c r="D2451" s="10" t="n">
        <f aca="false">a26_sh</f>
        <v>1.90613591916558</v>
      </c>
      <c r="E2451" s="10" t="n">
        <f aca="false">q_sh*(1+sh_g)</f>
        <v>1.90705128205128</v>
      </c>
      <c r="F2451" s="10" t="n">
        <f aca="false">E2451*(1+sh_g)</f>
        <v>1.90705128205128</v>
      </c>
      <c r="G2451" s="10" t="n">
        <f aca="false">F2451*(1+sh_g)</f>
        <v>1.90705128205128</v>
      </c>
      <c r="H2451" s="31" t="n">
        <f aca="false">G2451*(1+sh_g)</f>
        <v>1.90705128205128</v>
      </c>
      <c r="I2451" s="31" t="n">
        <f aca="false">H2451*(1+sh_g)</f>
        <v>1.90705128205128</v>
      </c>
      <c r="J2451" s="31" t="n">
        <f aca="false">I2451*(1+sh_g)</f>
        <v>1.90705128205128</v>
      </c>
    </row>
    <row r="2452" customFormat="false" ht="17.15" hidden="false" customHeight="false" outlineLevel="0" collapsed="false">
      <c r="A2452" s="0" t="s">
        <v>442</v>
      </c>
      <c r="B2452" s="0" t="s">
        <v>274</v>
      </c>
      <c r="C2452" s="23" t="n">
        <f aca="false">C2450/C2451</f>
        <v>4.22</v>
      </c>
      <c r="D2452" s="23" t="n">
        <f aca="false">D2450/D2451</f>
        <v>6.42006747150118</v>
      </c>
      <c r="E2452" s="23" t="n">
        <f aca="false">E2450/E2451</f>
        <v>6.83047620691774</v>
      </c>
      <c r="F2452" s="23" t="n">
        <f aca="false">F2450/F2451</f>
        <v>6.39777139405827</v>
      </c>
      <c r="G2452" s="23" t="n">
        <f aca="false">G2450/G2451</f>
        <v>6.76876673694021</v>
      </c>
      <c r="H2452" s="29" t="n">
        <f aca="false">H2450/H2451</f>
        <v>7.10157028476898</v>
      </c>
      <c r="I2452" s="29" t="n">
        <f aca="false">I2450/I2451</f>
        <v>7.28641683804725</v>
      </c>
      <c r="J2452" s="29" t="n">
        <f aca="false">J2450/J2451</f>
        <v>7.30723517187024</v>
      </c>
    </row>
    <row r="2453" customFormat="false" ht="17.15" hidden="false" customHeight="false" outlineLevel="0" collapsed="false">
      <c r="A2453" s="0" t="s">
        <v>570</v>
      </c>
      <c r="B2453" s="0" t="s">
        <v>48</v>
      </c>
      <c r="D2453" s="20" t="n">
        <f aca="false">D2452/C2452-1</f>
        <v>0.521343002725398</v>
      </c>
      <c r="E2453" s="20" t="n">
        <f aca="false">E2452/D2452-1</f>
        <v>0.0639259224670732</v>
      </c>
      <c r="F2453" s="20" t="n">
        <f aca="false">F2452/E2452-1</f>
        <v>-0.0633491428344697</v>
      </c>
      <c r="G2453" s="20" t="n">
        <f aca="false">G2452/F2452-1</f>
        <v>0.0579882149628692</v>
      </c>
      <c r="H2453" s="27" t="n">
        <f aca="false">H2452/G2452-1</f>
        <v>0.0491675309199993</v>
      </c>
      <c r="I2453" s="27" t="n">
        <f aca="false">I2452/H2452-1</f>
        <v>0.0260289690682516</v>
      </c>
      <c r="J2453" s="27" t="n">
        <f aca="false">J2452/I2452-1</f>
        <v>0.00285714285714311</v>
      </c>
    </row>
    <row r="2454" customFormat="false" ht="17.15" hidden="false" customHeight="false" outlineLevel="0" collapsed="false">
      <c r="A2454" s="4" t="s">
        <v>571</v>
      </c>
      <c r="B2454" s="0" t="s">
        <v>48</v>
      </c>
      <c r="C2454" s="16" t="n">
        <f aca="false">C2450/C2431</f>
        <v>0.162746187565599</v>
      </c>
      <c r="D2454" s="16" t="n">
        <f aca="false">D2450/D2431</f>
        <v>0.208646059676249</v>
      </c>
      <c r="E2454" s="16" t="n">
        <f aca="false">E2450/E2431</f>
        <v>0.183292415611626</v>
      </c>
      <c r="F2454" s="16" t="n">
        <f aca="false">F2450/F2431</f>
        <v>0.152118446094448</v>
      </c>
      <c r="G2454" s="16" t="n">
        <f aca="false">G2450/G2431</f>
        <v>0.145249841287657</v>
      </c>
      <c r="H2454" s="28" t="n">
        <f aca="false">$G2454+($G$2454*0.9-$G2454)*1/3</f>
        <v>0.140408179911402</v>
      </c>
      <c r="I2454" s="28" t="n">
        <f aca="false">$G2454+($G$2454*0.9-$G2454)*2/3</f>
        <v>0.135566518535147</v>
      </c>
      <c r="J2454" s="28" t="n">
        <f aca="false">$G2454+($G$2454*0.9-$G2454)*3/3</f>
        <v>0.130724857158891</v>
      </c>
    </row>
    <row r="2457" customFormat="false" ht="17.15" hidden="false" customHeight="false" outlineLevel="0" collapsed="false">
      <c r="A2457" s="1" t="s">
        <v>904</v>
      </c>
    </row>
    <row r="2458" customFormat="false" ht="17.15" hidden="false" customHeight="false" outlineLevel="0" collapsed="false">
      <c r="A2458" s="5" t="s">
        <v>24</v>
      </c>
      <c r="B2458" s="5" t="s">
        <v>25</v>
      </c>
      <c r="C2458" s="17" t="s">
        <v>394</v>
      </c>
      <c r="D2458" s="17" t="s">
        <v>521</v>
      </c>
      <c r="E2458" s="17" t="s">
        <v>480</v>
      </c>
      <c r="F2458" s="17" t="s">
        <v>481</v>
      </c>
      <c r="G2458" s="17" t="s">
        <v>482</v>
      </c>
      <c r="H2458" s="17" t="s">
        <v>522</v>
      </c>
      <c r="I2458" s="17" t="s">
        <v>523</v>
      </c>
      <c r="J2458" s="17" t="s">
        <v>524</v>
      </c>
      <c r="K2458" s="5" t="s">
        <v>357</v>
      </c>
    </row>
    <row r="2459" customFormat="false" ht="17.15" hidden="false" customHeight="false" outlineLevel="0" collapsed="false">
      <c r="A2459" s="6" t="s">
        <v>542</v>
      </c>
    </row>
    <row r="2460" customFormat="false" ht="17.15" hidden="false" customHeight="false" outlineLevel="0" collapsed="false">
      <c r="A2460" s="4" t="s">
        <v>543</v>
      </c>
      <c r="B2460" s="4" t="s">
        <v>42</v>
      </c>
      <c r="D2460" s="22" t="n">
        <f aca="false">cap_26</f>
        <v>3306</v>
      </c>
      <c r="E2460" s="22" t="n">
        <f aca="false">D2460*(1+capg27)*cap_adj</f>
        <v>3306</v>
      </c>
      <c r="F2460" s="22" t="n">
        <f aca="false">E2460*(1+capg28)</f>
        <v>3306</v>
      </c>
      <c r="G2460" s="22" t="n">
        <f aca="false">F2460*(1+capg29)</f>
        <v>3306</v>
      </c>
    </row>
    <row r="2461" customFormat="false" ht="15" hidden="false" customHeight="false" outlineLevel="0" collapsed="false">
      <c r="A2461" s="4" t="s">
        <v>544</v>
      </c>
      <c r="B2461" s="0" t="s">
        <v>48</v>
      </c>
      <c r="D2461" s="20" t="n">
        <f aca="false">a26_ship/cap_26</f>
        <v>0.8725</v>
      </c>
      <c r="E2461" s="20" t="n">
        <f aca="false">MIN(0.98,ut27_C+ut_adj)</f>
        <v>0.8</v>
      </c>
      <c r="F2461" s="20" t="n">
        <f aca="false">MIN(0.98,ut28_C+ut_adj)</f>
        <v>0.74</v>
      </c>
      <c r="G2461" s="20" t="n">
        <f aca="false">MIN(0.98,ut29_C+ut_adj)</f>
        <v>0.78</v>
      </c>
    </row>
    <row r="2462" customFormat="false" ht="17.15" hidden="false" customHeight="false" outlineLevel="0" collapsed="false">
      <c r="A2462" s="4" t="s">
        <v>545</v>
      </c>
      <c r="B2462" s="4" t="s">
        <v>42</v>
      </c>
      <c r="D2462" s="22" t="n">
        <f aca="false">D2460*D2461</f>
        <v>2884.485</v>
      </c>
      <c r="E2462" s="22" t="n">
        <f aca="false">E2460*E2461</f>
        <v>2644.8</v>
      </c>
      <c r="F2462" s="22" t="n">
        <f aca="false">F2460*F2461</f>
        <v>2446.44</v>
      </c>
      <c r="G2462" s="22" t="n">
        <f aca="false">G2460*G2461</f>
        <v>2578.68</v>
      </c>
    </row>
    <row r="2463" customFormat="false" ht="17.15" hidden="false" customHeight="false" outlineLevel="0" collapsed="false">
      <c r="A2463" s="4" t="s">
        <v>546</v>
      </c>
      <c r="B2463" s="0" t="s">
        <v>89</v>
      </c>
      <c r="D2463" s="22" t="n">
        <f aca="false">asp_26</f>
        <v>643.469405492234</v>
      </c>
      <c r="E2463" s="22" t="n">
        <f aca="false">D2463*(1+asp27_C)*(1+asp_adj)</f>
        <v>624.165323327467</v>
      </c>
      <c r="F2463" s="22" t="n">
        <f aca="false">E2463*(1+asp28_C)</f>
        <v>592.957057161093</v>
      </c>
      <c r="G2463" s="22" t="n">
        <f aca="false">F2463*(1+asp29_C)</f>
        <v>581.097916017871</v>
      </c>
    </row>
    <row r="2464" customFormat="false" ht="15" hidden="false" customHeight="false" outlineLevel="0" collapsed="false">
      <c r="A2464" s="4" t="s">
        <v>547</v>
      </c>
      <c r="B2464" s="0" t="s">
        <v>48</v>
      </c>
      <c r="E2464" s="20" t="n">
        <f aca="false">E2463/D2463-1</f>
        <v>-0.03</v>
      </c>
      <c r="F2464" s="20" t="n">
        <f aca="false">F2463/E2463-1</f>
        <v>-0.05</v>
      </c>
      <c r="G2464" s="20" t="n">
        <f aca="false">G2463/F2463-1</f>
        <v>-0.02</v>
      </c>
    </row>
    <row r="2465" customFormat="false" ht="15" hidden="false" customHeight="false" outlineLevel="0" collapsed="false">
      <c r="A2465" s="4" t="s">
        <v>548</v>
      </c>
      <c r="B2465" s="0" t="s">
        <v>35</v>
      </c>
      <c r="D2465" s="23" t="n">
        <f aca="false">fx_26</f>
        <v>31.6</v>
      </c>
      <c r="E2465" s="23" t="n">
        <f aca="false">fx</f>
        <v>32</v>
      </c>
      <c r="F2465" s="23" t="n">
        <f aca="false">fx</f>
        <v>32</v>
      </c>
      <c r="G2465" s="23" t="n">
        <f aca="false">fx</f>
        <v>32</v>
      </c>
    </row>
    <row r="2466" customFormat="false" ht="17.15" hidden="false" customHeight="false" outlineLevel="0" collapsed="false">
      <c r="A2466" s="0" t="s">
        <v>549</v>
      </c>
      <c r="B2466" s="0" t="s">
        <v>184</v>
      </c>
      <c r="D2466" s="23" t="n">
        <f aca="false">D2462*D2463*D2465/1000000</f>
        <v>58.65206</v>
      </c>
      <c r="E2466" s="23" t="n">
        <f aca="false">E2462*E2463*E2465/1000000</f>
        <v>52.8253583083675</v>
      </c>
      <c r="F2466" s="23" t="n">
        <f aca="false">F2462*F2463*F2465/1000000</f>
        <v>46.4202836134779</v>
      </c>
      <c r="G2466" s="23" t="n">
        <f aca="false">G2462*G2463*G2465/1000000</f>
        <v>47.9508983704629</v>
      </c>
    </row>
    <row r="2467" customFormat="false" ht="17.15" hidden="false" customHeight="false" outlineLevel="0" collapsed="false">
      <c r="A2467" s="6" t="s">
        <v>550</v>
      </c>
    </row>
    <row r="2468" customFormat="false" ht="17.15" hidden="false" customHeight="false" outlineLevel="0" collapsed="false">
      <c r="A2468" s="0" t="s">
        <v>551</v>
      </c>
      <c r="B2468" s="4" t="s">
        <v>42</v>
      </c>
      <c r="D2468" s="22" t="n">
        <f aca="false">0</f>
        <v>0</v>
      </c>
      <c r="E2468" s="22" t="n">
        <f aca="false">vcap27*vcap_adj_hi</f>
        <v>172.8</v>
      </c>
      <c r="F2468" s="22" t="n">
        <f aca="false">vcap28*vcap_adj_hi</f>
        <v>432</v>
      </c>
      <c r="G2468" s="22" t="n">
        <f aca="false">vcap29*vcap_adj_hi</f>
        <v>604.8</v>
      </c>
    </row>
    <row r="2469" customFormat="false" ht="17.15" hidden="false" customHeight="false" outlineLevel="0" collapsed="false">
      <c r="A2469" s="0" t="s">
        <v>552</v>
      </c>
      <c r="B2469" s="0" t="s">
        <v>48</v>
      </c>
      <c r="E2469" s="20" t="n">
        <f aca="false">vut_C</f>
        <v>0.65</v>
      </c>
      <c r="F2469" s="20" t="n">
        <f aca="false">vut_C</f>
        <v>0.65</v>
      </c>
      <c r="G2469" s="20" t="n">
        <f aca="false">vut_C</f>
        <v>0.65</v>
      </c>
    </row>
    <row r="2470" customFormat="false" ht="17.15" hidden="false" customHeight="false" outlineLevel="0" collapsed="false">
      <c r="A2470" s="0" t="s">
        <v>553</v>
      </c>
      <c r="B2470" s="4" t="s">
        <v>42</v>
      </c>
      <c r="D2470" s="22" t="n">
        <f aca="false">0</f>
        <v>0</v>
      </c>
      <c r="E2470" s="22" t="n">
        <f aca="false">E2468*E2469</f>
        <v>112.32</v>
      </c>
      <c r="F2470" s="22" t="n">
        <f aca="false">F2468*F2469</f>
        <v>280.8</v>
      </c>
      <c r="G2470" s="22" t="n">
        <f aca="false">G2468*G2469</f>
        <v>393.12</v>
      </c>
    </row>
    <row r="2471" customFormat="false" ht="17.15" hidden="false" customHeight="false" outlineLevel="0" collapsed="false">
      <c r="A2471" s="0" t="s">
        <v>554</v>
      </c>
      <c r="B2471" s="0" t="s">
        <v>184</v>
      </c>
      <c r="D2471" s="23" t="n">
        <f aca="false">0</f>
        <v>0</v>
      </c>
      <c r="E2471" s="23" t="n">
        <f aca="false">E2470*vasp*E2465/1000000</f>
        <v>6.469632</v>
      </c>
      <c r="F2471" s="23" t="n">
        <f aca="false">F2470*vasp*F2465/1000000</f>
        <v>16.17408</v>
      </c>
      <c r="G2471" s="23" t="n">
        <f aca="false">G2470*vasp*G2465/1000000</f>
        <v>22.643712</v>
      </c>
    </row>
    <row r="2472" customFormat="false" ht="17.15" hidden="false" customHeight="false" outlineLevel="0" collapsed="false">
      <c r="A2472" s="4" t="s">
        <v>400</v>
      </c>
      <c r="B2472" s="0" t="s">
        <v>184</v>
      </c>
      <c r="C2472" s="23" t="n">
        <f aca="false">a25_rev</f>
        <v>48.591</v>
      </c>
      <c r="D2472" s="23" t="n">
        <f aca="false">D2466+D2471</f>
        <v>58.65206</v>
      </c>
      <c r="E2472" s="23" t="n">
        <f aca="false">E2466+E2471</f>
        <v>59.2949903083675</v>
      </c>
      <c r="F2472" s="23" t="n">
        <f aca="false">F2466+F2471</f>
        <v>62.5943636134779</v>
      </c>
      <c r="G2472" s="23" t="n">
        <f aca="false">G2466+G2471</f>
        <v>70.5946103704629</v>
      </c>
      <c r="H2472" s="29" t="n">
        <f aca="false">G2472*(1+H2475)</f>
        <v>77.080418512807</v>
      </c>
      <c r="I2472" s="29" t="n">
        <f aca="false">H2472*(1+I2475)</f>
        <v>81.3920652876325</v>
      </c>
      <c r="J2472" s="29" t="n">
        <f aca="false">I2472*(1+J2475)</f>
        <v>83.0199065933851</v>
      </c>
      <c r="K2472" s="8" t="s">
        <v>555</v>
      </c>
    </row>
    <row r="2473" customFormat="false" ht="17.15" hidden="false" customHeight="false" outlineLevel="0" collapsed="false">
      <c r="A2473" s="0" t="s">
        <v>556</v>
      </c>
      <c r="B2473" s="0" t="s">
        <v>48</v>
      </c>
      <c r="D2473" s="20" t="n">
        <f aca="false">D2471/D2472</f>
        <v>0</v>
      </c>
      <c r="E2473" s="20" t="n">
        <f aca="false">E2471/E2472</f>
        <v>0.109109251327207</v>
      </c>
      <c r="F2473" s="20" t="n">
        <f aca="false">F2471/F2472</f>
        <v>0.258395150398452</v>
      </c>
      <c r="G2473" s="20" t="n">
        <f aca="false">G2471/G2472</f>
        <v>0.32075695129092</v>
      </c>
    </row>
    <row r="2474" customFormat="false" ht="17.15" hidden="false" customHeight="false" outlineLevel="0" collapsed="false">
      <c r="A2474" s="0" t="s">
        <v>557</v>
      </c>
      <c r="B2474" s="0" t="s">
        <v>48</v>
      </c>
      <c r="D2474" s="20" t="n">
        <f aca="false">ai_sh26</f>
        <v>0.1</v>
      </c>
      <c r="E2474" s="20" t="n">
        <f aca="false">ai_sh27_C</f>
        <v>0.15</v>
      </c>
      <c r="F2474" s="20" t="n">
        <f aca="false">ai_sh27_C</f>
        <v>0.15</v>
      </c>
      <c r="G2474" s="20" t="n">
        <f aca="false">ai_sh27_C</f>
        <v>0.15</v>
      </c>
    </row>
    <row r="2475" customFormat="false" ht="15" hidden="false" customHeight="false" outlineLevel="0" collapsed="false">
      <c r="A2475" s="4" t="s">
        <v>558</v>
      </c>
      <c r="B2475" s="0" t="s">
        <v>48</v>
      </c>
      <c r="D2475" s="20" t="n">
        <f aca="false">D2472/C2472-1</f>
        <v>0.207056039184211</v>
      </c>
      <c r="E2475" s="20" t="n">
        <f aca="false">E2472/D2472-1</f>
        <v>0.010961768578418</v>
      </c>
      <c r="F2475" s="20" t="n">
        <f aca="false">F2472/E2472-1</f>
        <v>0.055643373714235</v>
      </c>
      <c r="G2475" s="20" t="n">
        <f aca="false">G2472/F2472-1</f>
        <v>0.127810976821918</v>
      </c>
      <c r="H2475" s="27" t="n">
        <f aca="false">$G2475+(fade_gC-$G2475)*1/3</f>
        <v>0.0918739845479455</v>
      </c>
      <c r="I2475" s="27" t="n">
        <f aca="false">$G2475+(fade_gC-$G2475)*2/3</f>
        <v>0.0559369922739727</v>
      </c>
      <c r="J2475" s="27" t="n">
        <f aca="false">$G2475+(fade_gC-$G2475)*3/3</f>
        <v>0.02</v>
      </c>
    </row>
    <row r="2476" customFormat="false" ht="17.15" hidden="false" customHeight="false" outlineLevel="0" collapsed="false">
      <c r="A2476" s="6" t="s">
        <v>559</v>
      </c>
    </row>
    <row r="2477" customFormat="false" ht="15" hidden="false" customHeight="false" outlineLevel="0" collapsed="false">
      <c r="A2477" s="4" t="s">
        <v>560</v>
      </c>
      <c r="B2477" s="0" t="s">
        <v>184</v>
      </c>
      <c r="D2477" s="23" t="n">
        <f aca="false">da_tot26*da_sh</f>
        <v>8.658</v>
      </c>
      <c r="E2477" s="23" t="n">
        <f aca="false">D2477*(1+dag_27+dag_adj)</f>
        <v>8.91774</v>
      </c>
      <c r="F2477" s="23" t="n">
        <f aca="false">E2477*(1+dag_28+dag_adj)</f>
        <v>9.0960948</v>
      </c>
      <c r="G2477" s="23" t="n">
        <f aca="false">F2477*(1+dag_29+dag_adj)</f>
        <v>9.0960948</v>
      </c>
    </row>
    <row r="2478" customFormat="false" ht="17.15" hidden="false" customHeight="false" outlineLevel="0" collapsed="false">
      <c r="A2478" s="4" t="s">
        <v>561</v>
      </c>
      <c r="B2478" s="0" t="s">
        <v>562</v>
      </c>
      <c r="D2478" s="23" t="n">
        <f aca="false">(D2466-a26_gp-D2477)/D2462*1000</f>
        <v>10.7339918911001</v>
      </c>
      <c r="E2478" s="23" t="n">
        <f aca="false">D2478*(1+cc_g)</f>
        <v>10.9486717289221</v>
      </c>
      <c r="F2478" s="23" t="n">
        <f aca="false">E2478*(1+cc_g)</f>
        <v>11.1676451635006</v>
      </c>
      <c r="G2478" s="23" t="n">
        <f aca="false">F2478*(1+cc_g)</f>
        <v>11.3909980667706</v>
      </c>
      <c r="K2478" s="8" t="s">
        <v>563</v>
      </c>
    </row>
    <row r="2479" customFormat="false" ht="17.15" hidden="false" customHeight="false" outlineLevel="0" collapsed="false">
      <c r="A2479" s="4" t="s">
        <v>564</v>
      </c>
      <c r="B2479" s="0" t="s">
        <v>184</v>
      </c>
      <c r="D2479" s="23" t="n">
        <f aca="false">D2478*D2462/1000</f>
        <v>30.9620386</v>
      </c>
      <c r="E2479" s="23" t="n">
        <f aca="false">E2478*E2462/1000</f>
        <v>28.9570469886533</v>
      </c>
      <c r="F2479" s="23" t="n">
        <f aca="false">F2478*F2462/1000</f>
        <v>27.3209738337944</v>
      </c>
      <c r="G2479" s="23" t="n">
        <f aca="false">G2478*G2462/1000</f>
        <v>29.37373889482</v>
      </c>
    </row>
    <row r="2480" customFormat="false" ht="17.15" hidden="false" customHeight="false" outlineLevel="0" collapsed="false">
      <c r="A2480" s="0" t="s">
        <v>565</v>
      </c>
      <c r="B2480" s="0" t="s">
        <v>48</v>
      </c>
      <c r="E2480" s="20" t="n">
        <f aca="false">vgm27_C</f>
        <v>-0.2</v>
      </c>
      <c r="F2480" s="20" t="n">
        <f aca="false">vgm28_C</f>
        <v>0</v>
      </c>
      <c r="G2480" s="20" t="n">
        <f aca="false">vgm29_C</f>
        <v>0.05</v>
      </c>
    </row>
    <row r="2481" customFormat="false" ht="17.15" hidden="false" customHeight="false" outlineLevel="0" collapsed="false">
      <c r="A2481" s="0" t="s">
        <v>566</v>
      </c>
      <c r="B2481" s="0" t="s">
        <v>184</v>
      </c>
      <c r="D2481" s="23" t="n">
        <f aca="false">0</f>
        <v>0</v>
      </c>
      <c r="E2481" s="23" t="n">
        <f aca="false">E2471*E2480</f>
        <v>-1.2939264</v>
      </c>
      <c r="F2481" s="23" t="n">
        <f aca="false">F2471*F2480</f>
        <v>0</v>
      </c>
      <c r="G2481" s="23" t="n">
        <f aca="false">G2471*G2480</f>
        <v>1.1321856</v>
      </c>
    </row>
    <row r="2482" customFormat="false" ht="15" hidden="false" customHeight="false" outlineLevel="0" collapsed="false">
      <c r="A2482" s="4" t="s">
        <v>417</v>
      </c>
      <c r="B2482" s="0" t="s">
        <v>184</v>
      </c>
      <c r="C2482" s="23" t="n">
        <f aca="false">a25_gp</f>
        <v>13.654</v>
      </c>
      <c r="D2482" s="23" t="n">
        <f aca="false">D2466-D2477-D2479+D2481</f>
        <v>19.0320214</v>
      </c>
      <c r="E2482" s="23" t="n">
        <f aca="false">E2466-E2477-E2479+E2481</f>
        <v>13.6566449197142</v>
      </c>
      <c r="F2482" s="23" t="n">
        <f aca="false">F2466-F2477-F2479+F2481</f>
        <v>10.0032149796835</v>
      </c>
      <c r="G2482" s="23" t="n">
        <f aca="false">G2466-G2477-G2479+G2481</f>
        <v>10.6132502756429</v>
      </c>
    </row>
    <row r="2483" customFormat="false" ht="15" hidden="false" customHeight="false" outlineLevel="0" collapsed="false">
      <c r="A2483" s="4" t="s">
        <v>420</v>
      </c>
      <c r="B2483" s="0" t="s">
        <v>48</v>
      </c>
      <c r="C2483" s="16" t="n">
        <f aca="false">C2482/C2472</f>
        <v>0.280998538824062</v>
      </c>
      <c r="D2483" s="16" t="n">
        <f aca="false">D2482/D2472</f>
        <v>0.324490246378388</v>
      </c>
      <c r="E2483" s="16" t="n">
        <f aca="false">E2482/E2472</f>
        <v>0.230317010740569</v>
      </c>
      <c r="F2483" s="16" t="n">
        <f aca="false">F2482/F2472</f>
        <v>0.159810155455109</v>
      </c>
      <c r="G2483" s="16" t="n">
        <f aca="false">G2482/G2472</f>
        <v>0.15034080108874</v>
      </c>
    </row>
    <row r="2484" customFormat="false" ht="15" hidden="false" customHeight="false" outlineLevel="0" collapsed="false">
      <c r="A2484" s="4" t="s">
        <v>422</v>
      </c>
      <c r="B2484" s="0" t="s">
        <v>184</v>
      </c>
      <c r="C2484" s="23" t="n">
        <f aca="false">a25_opx</f>
        <v>5.881</v>
      </c>
      <c r="D2484" s="23" t="n">
        <f aca="false">a26_opx</f>
        <v>6.824187</v>
      </c>
      <c r="E2484" s="23" t="n">
        <f aca="false">D2484*(1+MAX(g_opx_min,phi*E2475))</f>
        <v>7.02891261</v>
      </c>
      <c r="F2484" s="23" t="n">
        <f aca="false">E2484*(1+MAX(g_opx_min,phi*F2475))</f>
        <v>7.2397799883</v>
      </c>
      <c r="G2484" s="23" t="n">
        <f aca="false">F2484*(1+MAX(g_opx_min,phi*G2475))</f>
        <v>7.7024416644402</v>
      </c>
    </row>
    <row r="2485" customFormat="false" ht="15" hidden="false" customHeight="false" outlineLevel="0" collapsed="false">
      <c r="A2485" s="4" t="s">
        <v>425</v>
      </c>
      <c r="B2485" s="0" t="s">
        <v>184</v>
      </c>
      <c r="C2485" s="23" t="n">
        <f aca="false">C2482-C2484</f>
        <v>7.773</v>
      </c>
      <c r="D2485" s="23" t="n">
        <f aca="false">D2482-D2484</f>
        <v>12.2078344</v>
      </c>
      <c r="E2485" s="23" t="n">
        <f aca="false">E2482-E2484</f>
        <v>6.6277323097142</v>
      </c>
      <c r="F2485" s="23" t="n">
        <f aca="false">F2482-F2484</f>
        <v>2.76343499138354</v>
      </c>
      <c r="G2485" s="23" t="n">
        <f aca="false">G2482-G2484</f>
        <v>2.91080861120265</v>
      </c>
    </row>
    <row r="2486" customFormat="false" ht="15" hidden="false" customHeight="false" outlineLevel="0" collapsed="false">
      <c r="A2486" s="4" t="s">
        <v>531</v>
      </c>
      <c r="B2486" s="0" t="s">
        <v>48</v>
      </c>
      <c r="C2486" s="16" t="n">
        <f aca="false">C2485/C2472</f>
        <v>0.159967895289251</v>
      </c>
      <c r="D2486" s="16" t="n">
        <f aca="false">D2485/D2472</f>
        <v>0.208139908470393</v>
      </c>
      <c r="E2486" s="16" t="n">
        <f aca="false">E2485/E2472</f>
        <v>0.111775586356389</v>
      </c>
      <c r="F2486" s="16" t="n">
        <f aca="false">F2485/F2472</f>
        <v>0.0441483039662777</v>
      </c>
      <c r="G2486" s="16" t="n">
        <f aca="false">G2485/G2472</f>
        <v>0.0412327314497163</v>
      </c>
    </row>
    <row r="2487" customFormat="false" ht="15" hidden="false" customHeight="false" outlineLevel="0" collapsed="false">
      <c r="A2487" s="4" t="s">
        <v>428</v>
      </c>
      <c r="B2487" s="0" t="s">
        <v>184</v>
      </c>
      <c r="C2487" s="23" t="n">
        <f aca="false">a25_nonop</f>
        <v>1.479</v>
      </c>
      <c r="D2487" s="23" t="n">
        <f aca="false">a26_nonop</f>
        <v>2.10950832169955</v>
      </c>
      <c r="E2487" s="23" t="n">
        <f aca="false">nonop_f</f>
        <v>1.5</v>
      </c>
      <c r="F2487" s="23" t="n">
        <f aca="false">nonop_f</f>
        <v>1.5</v>
      </c>
      <c r="G2487" s="23" t="n">
        <f aca="false">nonop_f</f>
        <v>1.5</v>
      </c>
    </row>
    <row r="2488" customFormat="false" ht="15" hidden="false" customHeight="false" outlineLevel="0" collapsed="false">
      <c r="A2488" s="4" t="s">
        <v>430</v>
      </c>
      <c r="B2488" s="0" t="s">
        <v>184</v>
      </c>
      <c r="C2488" s="23" t="n">
        <f aca="false">C2485+C2487</f>
        <v>9.252</v>
      </c>
      <c r="D2488" s="23" t="n">
        <f aca="false">D2485+D2487</f>
        <v>14.3173427216995</v>
      </c>
      <c r="E2488" s="23" t="n">
        <f aca="false">E2485+E2487</f>
        <v>8.1277323097142</v>
      </c>
      <c r="F2488" s="23" t="n">
        <f aca="false">F2485+F2487</f>
        <v>4.26343499138354</v>
      </c>
      <c r="G2488" s="23" t="n">
        <f aca="false">G2485+G2487</f>
        <v>4.41080861120265</v>
      </c>
    </row>
    <row r="2489" customFormat="false" ht="15" hidden="false" customHeight="false" outlineLevel="0" collapsed="false">
      <c r="A2489" s="4" t="s">
        <v>432</v>
      </c>
      <c r="B2489" s="0" t="s">
        <v>184</v>
      </c>
      <c r="C2489" s="23" t="n">
        <f aca="false">a25_tax</f>
        <v>1.344</v>
      </c>
      <c r="D2489" s="23" t="n">
        <f aca="false">a26_tax</f>
        <v>2.0798215108046</v>
      </c>
      <c r="E2489" s="23" t="n">
        <f aca="false">E2488*tax</f>
        <v>1.21915984645713</v>
      </c>
      <c r="F2489" s="23" t="n">
        <f aca="false">F2488*tax</f>
        <v>0.63951524870753</v>
      </c>
      <c r="G2489" s="23" t="n">
        <f aca="false">G2488*tax</f>
        <v>0.661621291680398</v>
      </c>
    </row>
    <row r="2490" customFormat="false" ht="17.15" hidden="false" customHeight="false" outlineLevel="0" collapsed="false">
      <c r="A2490" s="4" t="s">
        <v>567</v>
      </c>
      <c r="B2490" s="0" t="s">
        <v>184</v>
      </c>
      <c r="C2490" s="23" t="n">
        <f aca="false">a25_mi</f>
        <v>0</v>
      </c>
      <c r="D2490" s="23" t="n">
        <f aca="false">a26_mi</f>
        <v>0</v>
      </c>
      <c r="E2490" s="23" t="n">
        <f aca="false">vmi*E2481*(1-tax)</f>
        <v>-0.439934976</v>
      </c>
      <c r="F2490" s="23" t="n">
        <f aca="false">vmi*F2481*(1-tax)</f>
        <v>0</v>
      </c>
      <c r="G2490" s="23" t="n">
        <f aca="false">vmi*G2481*(1-tax)</f>
        <v>0.384943104</v>
      </c>
      <c r="K2490" s="8" t="s">
        <v>568</v>
      </c>
    </row>
    <row r="2491" customFormat="false" ht="15" hidden="false" customHeight="false" outlineLevel="0" collapsed="false">
      <c r="A2491" s="4" t="s">
        <v>435</v>
      </c>
      <c r="B2491" s="0" t="s">
        <v>184</v>
      </c>
      <c r="C2491" s="23" t="n">
        <f aca="false">C2488-C2489-C2490</f>
        <v>7.908</v>
      </c>
      <c r="D2491" s="23" t="n">
        <f aca="false">D2488-D2489-D2490</f>
        <v>12.2375212108949</v>
      </c>
      <c r="E2491" s="23" t="n">
        <f aca="false">E2488-E2489-E2490</f>
        <v>7.34850743925707</v>
      </c>
      <c r="F2491" s="23" t="n">
        <f aca="false">F2488-F2489-F2490</f>
        <v>3.62391974267601</v>
      </c>
      <c r="G2491" s="23" t="n">
        <f aca="false">G2488-G2489-G2490</f>
        <v>3.36424421552226</v>
      </c>
      <c r="H2491" s="29" t="n">
        <f aca="false">H2472*H2495</f>
        <v>3.42844202082169</v>
      </c>
      <c r="I2491" s="29" t="n">
        <f aca="false">I2472*I2495</f>
        <v>3.361631701677</v>
      </c>
      <c r="J2491" s="29" t="n">
        <f aca="false">J2472*J2495</f>
        <v>3.16510554065588</v>
      </c>
    </row>
    <row r="2492" customFormat="false" ht="15" hidden="false" customHeight="false" outlineLevel="0" collapsed="false">
      <c r="A2492" s="4" t="s">
        <v>569</v>
      </c>
      <c r="B2492" s="4" t="s">
        <v>265</v>
      </c>
      <c r="C2492" s="10" t="n">
        <f aca="false">a25_sh</f>
        <v>1.8739336492891</v>
      </c>
      <c r="D2492" s="10" t="n">
        <f aca="false">a26_sh</f>
        <v>1.90613591916558</v>
      </c>
      <c r="E2492" s="10" t="n">
        <f aca="false">q_sh*(1+sh_g)</f>
        <v>1.90705128205128</v>
      </c>
      <c r="F2492" s="10" t="n">
        <f aca="false">E2492*(1+sh_g)</f>
        <v>1.90705128205128</v>
      </c>
      <c r="G2492" s="10" t="n">
        <f aca="false">F2492*(1+sh_g)</f>
        <v>1.90705128205128</v>
      </c>
      <c r="H2492" s="31" t="n">
        <f aca="false">G2492*(1+sh_g)</f>
        <v>1.90705128205128</v>
      </c>
      <c r="I2492" s="31" t="n">
        <f aca="false">H2492*(1+sh_g)</f>
        <v>1.90705128205128</v>
      </c>
      <c r="J2492" s="31" t="n">
        <f aca="false">I2492*(1+sh_g)</f>
        <v>1.90705128205128</v>
      </c>
    </row>
    <row r="2493" customFormat="false" ht="17.15" hidden="false" customHeight="false" outlineLevel="0" collapsed="false">
      <c r="A2493" s="0" t="s">
        <v>442</v>
      </c>
      <c r="B2493" s="0" t="s">
        <v>274</v>
      </c>
      <c r="C2493" s="23" t="n">
        <f aca="false">C2491/C2492</f>
        <v>4.22</v>
      </c>
      <c r="D2493" s="23" t="n">
        <f aca="false">D2491/D2492</f>
        <v>6.42006747150118</v>
      </c>
      <c r="E2493" s="23" t="n">
        <f aca="false">E2491/E2492</f>
        <v>3.85333499335833</v>
      </c>
      <c r="F2493" s="23" t="n">
        <f aca="false">F2491/F2492</f>
        <v>1.90027388187381</v>
      </c>
      <c r="G2493" s="23" t="n">
        <f aca="false">G2491/G2492</f>
        <v>1.76410789116461</v>
      </c>
      <c r="H2493" s="29" t="n">
        <f aca="false">H2491/H2492</f>
        <v>1.79777127814515</v>
      </c>
      <c r="I2493" s="29" t="n">
        <f aca="false">I2491/I2492</f>
        <v>1.76273796793819</v>
      </c>
      <c r="J2493" s="29" t="n">
        <f aca="false">J2491/J2492</f>
        <v>1.65968559442796</v>
      </c>
    </row>
    <row r="2494" customFormat="false" ht="17.15" hidden="false" customHeight="false" outlineLevel="0" collapsed="false">
      <c r="A2494" s="0" t="s">
        <v>570</v>
      </c>
      <c r="B2494" s="0" t="s">
        <v>48</v>
      </c>
      <c r="D2494" s="20" t="n">
        <f aca="false">D2493/C2493-1</f>
        <v>0.521343002725398</v>
      </c>
      <c r="E2494" s="20" t="n">
        <f aca="false">E2493/D2493-1</f>
        <v>-0.399798364976168</v>
      </c>
      <c r="F2494" s="20" t="n">
        <f aca="false">F2493/E2493-1</f>
        <v>-0.506849551064429</v>
      </c>
      <c r="G2494" s="20" t="n">
        <f aca="false">G2493/F2493-1</f>
        <v>-0.0716559818076982</v>
      </c>
      <c r="H2494" s="27" t="n">
        <f aca="false">H2493/G2493-1</f>
        <v>0.0190823855780826</v>
      </c>
      <c r="I2494" s="27" t="n">
        <f aca="false">I2493/H2493-1</f>
        <v>-0.0194870786027394</v>
      </c>
      <c r="J2494" s="27" t="n">
        <f aca="false">J2493/I2493-1</f>
        <v>-0.0584615384615386</v>
      </c>
    </row>
    <row r="2495" customFormat="false" ht="17.15" hidden="false" customHeight="false" outlineLevel="0" collapsed="false">
      <c r="A2495" s="4" t="s">
        <v>571</v>
      </c>
      <c r="B2495" s="0" t="s">
        <v>48</v>
      </c>
      <c r="C2495" s="16" t="n">
        <f aca="false">C2491/C2472</f>
        <v>0.162746187565599</v>
      </c>
      <c r="D2495" s="16" t="n">
        <f aca="false">D2491/D2472</f>
        <v>0.208646059676249</v>
      </c>
      <c r="E2495" s="16" t="n">
        <f aca="false">E2491/E2472</f>
        <v>0.123931337218215</v>
      </c>
      <c r="F2495" s="16" t="n">
        <f aca="false">F2491/F2472</f>
        <v>0.0578953045206086</v>
      </c>
      <c r="G2495" s="16" t="n">
        <f aca="false">G2491/G2472</f>
        <v>0.0476558224185606</v>
      </c>
      <c r="H2495" s="28" t="n">
        <f aca="false">$G2495+($G$2495*0.8-$G2495)*1/3</f>
        <v>0.0444787675906566</v>
      </c>
      <c r="I2495" s="28" t="n">
        <f aca="false">$G2495+($G$2495*0.8-$G2495)*2/3</f>
        <v>0.0413017127627525</v>
      </c>
      <c r="J2495" s="28" t="n">
        <f aca="false">$G2495+($G$2495*0.8-$G2495)*3/3</f>
        <v>0.0381246579348485</v>
      </c>
    </row>
    <row r="2498" customFormat="false" ht="17.15" hidden="false" customHeight="false" outlineLevel="0" collapsed="false">
      <c r="A2498" s="1" t="s">
        <v>905</v>
      </c>
    </row>
    <row r="2499" customFormat="false" ht="17.15" hidden="false" customHeight="false" outlineLevel="0" collapsed="false">
      <c r="A2499" s="5" t="s">
        <v>24</v>
      </c>
      <c r="B2499" s="5" t="s">
        <v>25</v>
      </c>
      <c r="C2499" s="17" t="s">
        <v>394</v>
      </c>
      <c r="D2499" s="17" t="s">
        <v>521</v>
      </c>
      <c r="E2499" s="17" t="s">
        <v>480</v>
      </c>
      <c r="F2499" s="17" t="s">
        <v>481</v>
      </c>
      <c r="G2499" s="17" t="s">
        <v>482</v>
      </c>
      <c r="H2499" s="17" t="s">
        <v>522</v>
      </c>
      <c r="I2499" s="17" t="s">
        <v>523</v>
      </c>
      <c r="J2499" s="17" t="s">
        <v>524</v>
      </c>
      <c r="K2499" s="5" t="s">
        <v>357</v>
      </c>
    </row>
    <row r="2500" customFormat="false" ht="17.15" hidden="false" customHeight="false" outlineLevel="0" collapsed="false">
      <c r="A2500" s="6" t="s">
        <v>542</v>
      </c>
    </row>
    <row r="2501" customFormat="false" ht="17.15" hidden="false" customHeight="false" outlineLevel="0" collapsed="false">
      <c r="A2501" s="4" t="s">
        <v>543</v>
      </c>
      <c r="B2501" s="4" t="s">
        <v>42</v>
      </c>
      <c r="D2501" s="22" t="n">
        <f aca="false">cap_26</f>
        <v>3306</v>
      </c>
      <c r="E2501" s="22" t="n">
        <f aca="false">D2501*(1+capg27)*cap_adj</f>
        <v>3306</v>
      </c>
      <c r="F2501" s="22" t="n">
        <f aca="false">E2501*(1+capg28)</f>
        <v>3306</v>
      </c>
      <c r="G2501" s="22" t="n">
        <f aca="false">F2501*(1+capg29)</f>
        <v>3306</v>
      </c>
    </row>
    <row r="2502" customFormat="false" ht="15" hidden="false" customHeight="false" outlineLevel="0" collapsed="false">
      <c r="A2502" s="4" t="s">
        <v>544</v>
      </c>
      <c r="B2502" s="0" t="s">
        <v>48</v>
      </c>
      <c r="D2502" s="20" t="n">
        <f aca="false">a26_ship/cap_26</f>
        <v>0.8725</v>
      </c>
      <c r="E2502" s="20" t="n">
        <f aca="false">MIN(0.98,ut27_A+ut_adj)</f>
        <v>0.95</v>
      </c>
      <c r="F2502" s="20" t="n">
        <f aca="false">MIN(0.98,ut28_A+ut_adj)</f>
        <v>0.94</v>
      </c>
      <c r="G2502" s="20" t="n">
        <f aca="false">MIN(0.98,ut29_A+ut_adj)</f>
        <v>0.93</v>
      </c>
    </row>
    <row r="2503" customFormat="false" ht="17.15" hidden="false" customHeight="false" outlineLevel="0" collapsed="false">
      <c r="A2503" s="4" t="s">
        <v>545</v>
      </c>
      <c r="B2503" s="4" t="s">
        <v>42</v>
      </c>
      <c r="D2503" s="22" t="n">
        <f aca="false">D2501*D2502</f>
        <v>2884.485</v>
      </c>
      <c r="E2503" s="22" t="n">
        <f aca="false">E2501*E2502</f>
        <v>3140.7</v>
      </c>
      <c r="F2503" s="22" t="n">
        <f aca="false">F2501*F2502</f>
        <v>3107.64</v>
      </c>
      <c r="G2503" s="22" t="n">
        <f aca="false">G2501*G2502</f>
        <v>3074.58</v>
      </c>
    </row>
    <row r="2504" customFormat="false" ht="17.15" hidden="false" customHeight="false" outlineLevel="0" collapsed="false">
      <c r="A2504" s="4" t="s">
        <v>546</v>
      </c>
      <c r="B2504" s="0" t="s">
        <v>89</v>
      </c>
      <c r="D2504" s="22" t="n">
        <f aca="false">asp_26</f>
        <v>643.469405492234</v>
      </c>
      <c r="E2504" s="22" t="n">
        <f aca="false">D2504*(1+asp27_A)*(1+asp_adj)</f>
        <v>682.077569821768</v>
      </c>
      <c r="F2504" s="22" t="n">
        <f aca="false">E2504*(1+asp28_A)</f>
        <v>695.719121218203</v>
      </c>
      <c r="G2504" s="22" t="n">
        <f aca="false">F2504*(1+asp29_A)</f>
        <v>702.676312430385</v>
      </c>
    </row>
    <row r="2505" customFormat="false" ht="15" hidden="false" customHeight="false" outlineLevel="0" collapsed="false">
      <c r="A2505" s="4" t="s">
        <v>547</v>
      </c>
      <c r="B2505" s="0" t="s">
        <v>48</v>
      </c>
      <c r="E2505" s="20" t="n">
        <f aca="false">E2504/D2504-1</f>
        <v>0.0600000000000001</v>
      </c>
      <c r="F2505" s="20" t="n">
        <f aca="false">F2504/E2504-1</f>
        <v>0.02</v>
      </c>
      <c r="G2505" s="20" t="n">
        <f aca="false">G2504/F2504-1</f>
        <v>0.01</v>
      </c>
    </row>
    <row r="2506" customFormat="false" ht="15" hidden="false" customHeight="false" outlineLevel="0" collapsed="false">
      <c r="A2506" s="4" t="s">
        <v>548</v>
      </c>
      <c r="B2506" s="0" t="s">
        <v>35</v>
      </c>
      <c r="D2506" s="23" t="n">
        <f aca="false">fx_26</f>
        <v>31.6</v>
      </c>
      <c r="E2506" s="23" t="n">
        <f aca="false">fx</f>
        <v>32</v>
      </c>
      <c r="F2506" s="23" t="n">
        <f aca="false">fx</f>
        <v>32</v>
      </c>
      <c r="G2506" s="23" t="n">
        <f aca="false">fx</f>
        <v>32</v>
      </c>
    </row>
    <row r="2507" customFormat="false" ht="17.15" hidden="false" customHeight="false" outlineLevel="0" collapsed="false">
      <c r="A2507" s="0" t="s">
        <v>549</v>
      </c>
      <c r="B2507" s="0" t="s">
        <v>184</v>
      </c>
      <c r="D2507" s="23" t="n">
        <f aca="false">D2503*D2504*D2506/1000000</f>
        <v>58.65206</v>
      </c>
      <c r="E2507" s="23" t="n">
        <f aca="false">E2503*E2504*E2506/1000000</f>
        <v>68.5504327532552</v>
      </c>
      <c r="F2507" s="23" t="n">
        <f aca="false">F2503*F2504*F2506/1000000</f>
        <v>69.1854262356012</v>
      </c>
      <c r="G2507" s="23" t="n">
        <f aca="false">G2503*G2504*G2506/1000000</f>
        <v>69.1339051735108</v>
      </c>
    </row>
    <row r="2508" customFormat="false" ht="17.15" hidden="false" customHeight="false" outlineLevel="0" collapsed="false">
      <c r="A2508" s="6" t="s">
        <v>550</v>
      </c>
    </row>
    <row r="2509" customFormat="false" ht="17.15" hidden="false" customHeight="false" outlineLevel="0" collapsed="false">
      <c r="A2509" s="0" t="s">
        <v>551</v>
      </c>
      <c r="B2509" s="4" t="s">
        <v>42</v>
      </c>
      <c r="D2509" s="22" t="n">
        <f aca="false">0</f>
        <v>0</v>
      </c>
      <c r="E2509" s="22" t="n">
        <f aca="false">vcap27*vcap_adj</f>
        <v>144</v>
      </c>
      <c r="F2509" s="22" t="n">
        <f aca="false">vcap28*vcap_adj</f>
        <v>360</v>
      </c>
      <c r="G2509" s="22" t="n">
        <f aca="false">vcap29*vcap_adj</f>
        <v>504</v>
      </c>
    </row>
    <row r="2510" customFormat="false" ht="17.15" hidden="false" customHeight="false" outlineLevel="0" collapsed="false">
      <c r="A2510" s="0" t="s">
        <v>552</v>
      </c>
      <c r="B2510" s="0" t="s">
        <v>48</v>
      </c>
      <c r="E2510" s="20" t="n">
        <f aca="false">vut_A</f>
        <v>0.9</v>
      </c>
      <c r="F2510" s="20" t="n">
        <f aca="false">vut_A</f>
        <v>0.9</v>
      </c>
      <c r="G2510" s="20" t="n">
        <f aca="false">vut_A</f>
        <v>0.9</v>
      </c>
    </row>
    <row r="2511" customFormat="false" ht="17.15" hidden="false" customHeight="false" outlineLevel="0" collapsed="false">
      <c r="A2511" s="0" t="s">
        <v>553</v>
      </c>
      <c r="B2511" s="4" t="s">
        <v>42</v>
      </c>
      <c r="D2511" s="22" t="n">
        <f aca="false">0</f>
        <v>0</v>
      </c>
      <c r="E2511" s="22" t="n">
        <f aca="false">E2509*E2510</f>
        <v>129.6</v>
      </c>
      <c r="F2511" s="22" t="n">
        <f aca="false">F2509*F2510</f>
        <v>324</v>
      </c>
      <c r="G2511" s="22" t="n">
        <f aca="false">G2509*G2510</f>
        <v>453.6</v>
      </c>
    </row>
    <row r="2512" customFormat="false" ht="17.15" hidden="false" customHeight="false" outlineLevel="0" collapsed="false">
      <c r="A2512" s="0" t="s">
        <v>554</v>
      </c>
      <c r="B2512" s="0" t="s">
        <v>184</v>
      </c>
      <c r="D2512" s="23" t="n">
        <f aca="false">0</f>
        <v>0</v>
      </c>
      <c r="E2512" s="23" t="n">
        <f aca="false">E2511*vasp_lo*E2506/1000000</f>
        <v>6.2208</v>
      </c>
      <c r="F2512" s="23" t="n">
        <f aca="false">F2511*vasp_lo*F2506/1000000</f>
        <v>15.552</v>
      </c>
      <c r="G2512" s="23" t="n">
        <f aca="false">G2511*vasp_lo*G2506/1000000</f>
        <v>21.7728</v>
      </c>
    </row>
    <row r="2513" customFormat="false" ht="17.15" hidden="false" customHeight="false" outlineLevel="0" collapsed="false">
      <c r="A2513" s="4" t="s">
        <v>400</v>
      </c>
      <c r="B2513" s="0" t="s">
        <v>184</v>
      </c>
      <c r="C2513" s="23" t="n">
        <f aca="false">a25_rev</f>
        <v>48.591</v>
      </c>
      <c r="D2513" s="23" t="n">
        <f aca="false">D2507+D2512</f>
        <v>58.65206</v>
      </c>
      <c r="E2513" s="23" t="n">
        <f aca="false">E2507+E2512</f>
        <v>74.7712327532552</v>
      </c>
      <c r="F2513" s="23" t="n">
        <f aca="false">F2507+F2512</f>
        <v>84.7374262356012</v>
      </c>
      <c r="G2513" s="23" t="n">
        <f aca="false">G2507+G2512</f>
        <v>90.9067051735108</v>
      </c>
      <c r="H2513" s="29" t="n">
        <f aca="false">G2513*(1+H2516)</f>
        <v>97.1371267116768</v>
      </c>
      <c r="I2513" s="29" t="n">
        <f aca="false">H2513*(1+I2516)</f>
        <v>103.379956724141</v>
      </c>
      <c r="J2513" s="29" t="n">
        <f aca="false">I2513*(1+J2516)</f>
        <v>109.582754127589</v>
      </c>
      <c r="K2513" s="8" t="s">
        <v>555</v>
      </c>
    </row>
    <row r="2514" customFormat="false" ht="17.15" hidden="false" customHeight="false" outlineLevel="0" collapsed="false">
      <c r="A2514" s="0" t="s">
        <v>556</v>
      </c>
      <c r="B2514" s="0" t="s">
        <v>48</v>
      </c>
      <c r="D2514" s="20" t="n">
        <f aca="false">D2512/D2513</f>
        <v>0</v>
      </c>
      <c r="E2514" s="20" t="n">
        <f aca="false">E2512/E2513</f>
        <v>0.083197772337506</v>
      </c>
      <c r="F2514" s="20" t="n">
        <f aca="false">F2512/F2513</f>
        <v>0.183531654085879</v>
      </c>
      <c r="G2514" s="20" t="n">
        <f aca="false">G2512/G2513</f>
        <v>0.239507085406329</v>
      </c>
    </row>
    <row r="2515" customFormat="false" ht="17.15" hidden="false" customHeight="false" outlineLevel="0" collapsed="false">
      <c r="A2515" s="0" t="s">
        <v>557</v>
      </c>
      <c r="B2515" s="0" t="s">
        <v>48</v>
      </c>
      <c r="D2515" s="20" t="n">
        <f aca="false">ai_sh26</f>
        <v>0.1</v>
      </c>
      <c r="E2515" s="20" t="n">
        <f aca="false">ai_sh27_A</f>
        <v>0.25</v>
      </c>
      <c r="F2515" s="20" t="n">
        <f aca="false">ai_sh27_A</f>
        <v>0.25</v>
      </c>
      <c r="G2515" s="20" t="n">
        <f aca="false">ai_sh27_A</f>
        <v>0.25</v>
      </c>
    </row>
    <row r="2516" customFormat="false" ht="15" hidden="false" customHeight="false" outlineLevel="0" collapsed="false">
      <c r="A2516" s="4" t="s">
        <v>558</v>
      </c>
      <c r="B2516" s="0" t="s">
        <v>48</v>
      </c>
      <c r="D2516" s="20" t="n">
        <f aca="false">D2513/C2513-1</f>
        <v>0.207056039184211</v>
      </c>
      <c r="E2516" s="20" t="n">
        <f aca="false">E2513/D2513-1</f>
        <v>0.274827052165861</v>
      </c>
      <c r="F2516" s="20" t="n">
        <f aca="false">F2513/E2513-1</f>
        <v>0.133289142299343</v>
      </c>
      <c r="G2516" s="20" t="n">
        <f aca="false">G2513/F2513-1</f>
        <v>0.0728046532916498</v>
      </c>
      <c r="H2516" s="27" t="n">
        <f aca="false">$G2516+(fade_gA-$G2516)*1/3</f>
        <v>0.0685364355277665</v>
      </c>
      <c r="I2516" s="27" t="n">
        <f aca="false">$G2516+(fade_gA-$G2516)*2/3</f>
        <v>0.0642682177638833</v>
      </c>
      <c r="J2516" s="27" t="n">
        <f aca="false">$G2516+(fade_gA-$G2516)*3/3</f>
        <v>0.06</v>
      </c>
    </row>
    <row r="2517" customFormat="false" ht="17.15" hidden="false" customHeight="false" outlineLevel="0" collapsed="false">
      <c r="A2517" s="6" t="s">
        <v>559</v>
      </c>
    </row>
    <row r="2518" customFormat="false" ht="15" hidden="false" customHeight="false" outlineLevel="0" collapsed="false">
      <c r="A2518" s="4" t="s">
        <v>560</v>
      </c>
      <c r="B2518" s="0" t="s">
        <v>184</v>
      </c>
      <c r="D2518" s="23" t="n">
        <f aca="false">da_tot26*da_sh</f>
        <v>8.658</v>
      </c>
      <c r="E2518" s="23" t="n">
        <f aca="false">D2518*(1+dag_27+dag_adj)</f>
        <v>8.91774</v>
      </c>
      <c r="F2518" s="23" t="n">
        <f aca="false">E2518*(1+dag_28+dag_adj)</f>
        <v>9.0960948</v>
      </c>
      <c r="G2518" s="23" t="n">
        <f aca="false">F2518*(1+dag_29+dag_adj)</f>
        <v>9.0960948</v>
      </c>
    </row>
    <row r="2519" customFormat="false" ht="17.15" hidden="false" customHeight="false" outlineLevel="0" collapsed="false">
      <c r="A2519" s="4" t="s">
        <v>561</v>
      </c>
      <c r="B2519" s="0" t="s">
        <v>562</v>
      </c>
      <c r="D2519" s="23" t="n">
        <f aca="false">(D2507-a26_gp-D2518)/D2503*1000</f>
        <v>10.7339918911001</v>
      </c>
      <c r="E2519" s="23" t="n">
        <f aca="false">D2519*(1+cc_g)</f>
        <v>10.9486717289221</v>
      </c>
      <c r="F2519" s="23" t="n">
        <f aca="false">E2519*(1+cc_g)</f>
        <v>11.1676451635006</v>
      </c>
      <c r="G2519" s="23" t="n">
        <f aca="false">F2519*(1+cc_g)</f>
        <v>11.3909980667706</v>
      </c>
      <c r="K2519" s="8" t="s">
        <v>563</v>
      </c>
    </row>
    <row r="2520" customFormat="false" ht="17.15" hidden="false" customHeight="false" outlineLevel="0" collapsed="false">
      <c r="A2520" s="4" t="s">
        <v>564</v>
      </c>
      <c r="B2520" s="0" t="s">
        <v>184</v>
      </c>
      <c r="D2520" s="23" t="n">
        <f aca="false">D2519*D2503/1000</f>
        <v>30.9620386</v>
      </c>
      <c r="E2520" s="23" t="n">
        <f aca="false">E2519*E2503/1000</f>
        <v>34.3864932990258</v>
      </c>
      <c r="F2520" s="23" t="n">
        <f aca="false">F2519*F2503/1000</f>
        <v>34.705020815901</v>
      </c>
      <c r="G2520" s="23" t="n">
        <f aca="false">G2519*G2503/1000</f>
        <v>35.0225348361316</v>
      </c>
    </row>
    <row r="2521" customFormat="false" ht="17.15" hidden="false" customHeight="false" outlineLevel="0" collapsed="false">
      <c r="A2521" s="0" t="s">
        <v>565</v>
      </c>
      <c r="B2521" s="0" t="s">
        <v>48</v>
      </c>
      <c r="E2521" s="20" t="n">
        <f aca="false">vgm27_A</f>
        <v>0.05</v>
      </c>
      <c r="F2521" s="20" t="n">
        <f aca="false">vgm28_A</f>
        <v>0.2</v>
      </c>
      <c r="G2521" s="20" t="n">
        <f aca="false">vgm29_A</f>
        <v>0.25</v>
      </c>
    </row>
    <row r="2522" customFormat="false" ht="17.15" hidden="false" customHeight="false" outlineLevel="0" collapsed="false">
      <c r="A2522" s="0" t="s">
        <v>566</v>
      </c>
      <c r="B2522" s="0" t="s">
        <v>184</v>
      </c>
      <c r="D2522" s="23" t="n">
        <f aca="false">0</f>
        <v>0</v>
      </c>
      <c r="E2522" s="23" t="n">
        <f aca="false">E2512*E2521</f>
        <v>0.31104</v>
      </c>
      <c r="F2522" s="23" t="n">
        <f aca="false">F2512*F2521</f>
        <v>3.1104</v>
      </c>
      <c r="G2522" s="23" t="n">
        <f aca="false">G2512*G2521</f>
        <v>5.4432</v>
      </c>
    </row>
    <row r="2523" customFormat="false" ht="15" hidden="false" customHeight="false" outlineLevel="0" collapsed="false">
      <c r="A2523" s="4" t="s">
        <v>417</v>
      </c>
      <c r="B2523" s="0" t="s">
        <v>184</v>
      </c>
      <c r="C2523" s="23" t="n">
        <f aca="false">a25_gp</f>
        <v>13.654</v>
      </c>
      <c r="D2523" s="23" t="n">
        <f aca="false">D2507-D2518-D2520+D2522</f>
        <v>19.0320214</v>
      </c>
      <c r="E2523" s="23" t="n">
        <f aca="false">E2507-E2518-E2520+E2522</f>
        <v>25.5572394542294</v>
      </c>
      <c r="F2523" s="23" t="n">
        <f aca="false">F2507-F2518-F2520+F2522</f>
        <v>28.4947106197002</v>
      </c>
      <c r="G2523" s="23" t="n">
        <f aca="false">G2507-G2518-G2520+G2522</f>
        <v>30.4584755373793</v>
      </c>
    </row>
    <row r="2524" customFormat="false" ht="15" hidden="false" customHeight="false" outlineLevel="0" collapsed="false">
      <c r="A2524" s="4" t="s">
        <v>420</v>
      </c>
      <c r="B2524" s="0" t="s">
        <v>48</v>
      </c>
      <c r="C2524" s="16" t="n">
        <f aca="false">C2523/C2513</f>
        <v>0.280998538824062</v>
      </c>
      <c r="D2524" s="16" t="n">
        <f aca="false">D2523/D2513</f>
        <v>0.324490246378388</v>
      </c>
      <c r="E2524" s="16" t="n">
        <f aca="false">E2523/E2513</f>
        <v>0.341805778949349</v>
      </c>
      <c r="F2524" s="16" t="n">
        <f aca="false">F2523/F2513</f>
        <v>0.336270664398921</v>
      </c>
      <c r="G2524" s="16" t="n">
        <f aca="false">G2523/G2513</f>
        <v>0.335052023712048</v>
      </c>
    </row>
    <row r="2525" customFormat="false" ht="15" hidden="false" customHeight="false" outlineLevel="0" collapsed="false">
      <c r="A2525" s="4" t="s">
        <v>422</v>
      </c>
      <c r="B2525" s="0" t="s">
        <v>184</v>
      </c>
      <c r="C2525" s="23" t="n">
        <f aca="false">a25_opx</f>
        <v>5.881</v>
      </c>
      <c r="D2525" s="23" t="n">
        <f aca="false">a26_opx</f>
        <v>6.824187</v>
      </c>
      <c r="E2525" s="23" t="n">
        <f aca="false">D2525*(1+MAX(g_opx_min,phi*E2516))</f>
        <v>7.7619225983193</v>
      </c>
      <c r="F2525" s="23" t="n">
        <f aca="false">E2525*(1+MAX(g_opx_min,phi*F2516))</f>
        <v>8.27921260118123</v>
      </c>
      <c r="G2525" s="23" t="n">
        <f aca="false">F2525*(1+MAX(g_opx_min,phi*G2516))</f>
        <v>8.58059520265966</v>
      </c>
    </row>
    <row r="2526" customFormat="false" ht="15" hidden="false" customHeight="false" outlineLevel="0" collapsed="false">
      <c r="A2526" s="4" t="s">
        <v>425</v>
      </c>
      <c r="B2526" s="0" t="s">
        <v>184</v>
      </c>
      <c r="C2526" s="23" t="n">
        <f aca="false">C2523-C2525</f>
        <v>7.773</v>
      </c>
      <c r="D2526" s="23" t="n">
        <f aca="false">D2523-D2525</f>
        <v>12.2078344</v>
      </c>
      <c r="E2526" s="23" t="n">
        <f aca="false">E2523-E2525</f>
        <v>17.7953168559101</v>
      </c>
      <c r="F2526" s="23" t="n">
        <f aca="false">F2523-F2525</f>
        <v>20.215498018519</v>
      </c>
      <c r="G2526" s="23" t="n">
        <f aca="false">G2523-G2525</f>
        <v>21.8778803347196</v>
      </c>
    </row>
    <row r="2527" customFormat="false" ht="15" hidden="false" customHeight="false" outlineLevel="0" collapsed="false">
      <c r="A2527" s="4" t="s">
        <v>531</v>
      </c>
      <c r="B2527" s="0" t="s">
        <v>48</v>
      </c>
      <c r="C2527" s="16" t="n">
        <f aca="false">C2526/C2513</f>
        <v>0.159967895289251</v>
      </c>
      <c r="D2527" s="16" t="n">
        <f aca="false">D2526/D2513</f>
        <v>0.208139908470393</v>
      </c>
      <c r="E2527" s="16" t="n">
        <f aca="false">E2526/E2513</f>
        <v>0.23799683649238</v>
      </c>
      <c r="F2527" s="16" t="n">
        <f aca="false">F2526/F2513</f>
        <v>0.238566344490007</v>
      </c>
      <c r="G2527" s="16" t="n">
        <f aca="false">G2526/G2513</f>
        <v>0.240662999423002</v>
      </c>
    </row>
    <row r="2528" customFormat="false" ht="15" hidden="false" customHeight="false" outlineLevel="0" collapsed="false">
      <c r="A2528" s="4" t="s">
        <v>428</v>
      </c>
      <c r="B2528" s="0" t="s">
        <v>184</v>
      </c>
      <c r="C2528" s="23" t="n">
        <f aca="false">a25_nonop</f>
        <v>1.479</v>
      </c>
      <c r="D2528" s="23" t="n">
        <f aca="false">a26_nonop</f>
        <v>2.10950832169955</v>
      </c>
      <c r="E2528" s="23" t="n">
        <f aca="false">nonop_f</f>
        <v>1.5</v>
      </c>
      <c r="F2528" s="23" t="n">
        <f aca="false">nonop_f</f>
        <v>1.5</v>
      </c>
      <c r="G2528" s="23" t="n">
        <f aca="false">nonop_f</f>
        <v>1.5</v>
      </c>
    </row>
    <row r="2529" customFormat="false" ht="15" hidden="false" customHeight="false" outlineLevel="0" collapsed="false">
      <c r="A2529" s="4" t="s">
        <v>430</v>
      </c>
      <c r="B2529" s="0" t="s">
        <v>184</v>
      </c>
      <c r="C2529" s="23" t="n">
        <f aca="false">C2526+C2528</f>
        <v>9.252</v>
      </c>
      <c r="D2529" s="23" t="n">
        <f aca="false">D2526+D2528</f>
        <v>14.3173427216995</v>
      </c>
      <c r="E2529" s="23" t="n">
        <f aca="false">E2526+E2528</f>
        <v>19.2953168559101</v>
      </c>
      <c r="F2529" s="23" t="n">
        <f aca="false">F2526+F2528</f>
        <v>21.715498018519</v>
      </c>
      <c r="G2529" s="23" t="n">
        <f aca="false">G2526+G2528</f>
        <v>23.3778803347196</v>
      </c>
    </row>
    <row r="2530" customFormat="false" ht="15" hidden="false" customHeight="false" outlineLevel="0" collapsed="false">
      <c r="A2530" s="4" t="s">
        <v>432</v>
      </c>
      <c r="B2530" s="0" t="s">
        <v>184</v>
      </c>
      <c r="C2530" s="23" t="n">
        <f aca="false">a25_tax</f>
        <v>1.344</v>
      </c>
      <c r="D2530" s="23" t="n">
        <f aca="false">a26_tax</f>
        <v>2.0798215108046</v>
      </c>
      <c r="E2530" s="23" t="n">
        <f aca="false">E2529*tax</f>
        <v>2.89429752838652</v>
      </c>
      <c r="F2530" s="23" t="n">
        <f aca="false">F2529*tax</f>
        <v>3.25732470277785</v>
      </c>
      <c r="G2530" s="23" t="n">
        <f aca="false">G2529*tax</f>
        <v>3.50668205020794</v>
      </c>
    </row>
    <row r="2531" customFormat="false" ht="17.15" hidden="false" customHeight="false" outlineLevel="0" collapsed="false">
      <c r="A2531" s="4" t="s">
        <v>567</v>
      </c>
      <c r="B2531" s="0" t="s">
        <v>184</v>
      </c>
      <c r="C2531" s="23" t="n">
        <f aca="false">a25_mi</f>
        <v>0</v>
      </c>
      <c r="D2531" s="23" t="n">
        <f aca="false">a26_mi</f>
        <v>0</v>
      </c>
      <c r="E2531" s="23" t="n">
        <f aca="false">vmi*E2522*(1-tax)</f>
        <v>0.1057536</v>
      </c>
      <c r="F2531" s="23" t="n">
        <f aca="false">vmi*F2522*(1-tax)</f>
        <v>1.057536</v>
      </c>
      <c r="G2531" s="23" t="n">
        <f aca="false">vmi*G2522*(1-tax)</f>
        <v>1.850688</v>
      </c>
      <c r="K2531" s="8" t="s">
        <v>568</v>
      </c>
    </row>
    <row r="2532" customFormat="false" ht="15" hidden="false" customHeight="false" outlineLevel="0" collapsed="false">
      <c r="A2532" s="4" t="s">
        <v>435</v>
      </c>
      <c r="B2532" s="0" t="s">
        <v>184</v>
      </c>
      <c r="C2532" s="23" t="n">
        <f aca="false">C2529-C2530-C2531</f>
        <v>7.908</v>
      </c>
      <c r="D2532" s="23" t="n">
        <f aca="false">D2529-D2530-D2531</f>
        <v>12.2375212108949</v>
      </c>
      <c r="E2532" s="23" t="n">
        <f aca="false">E2529-E2530-E2531</f>
        <v>16.2952657275236</v>
      </c>
      <c r="F2532" s="23" t="n">
        <f aca="false">F2529-F2530-F2531</f>
        <v>17.4006373157411</v>
      </c>
      <c r="G2532" s="23" t="n">
        <f aca="false">G2529-G2530-G2531</f>
        <v>18.0205102845117</v>
      </c>
      <c r="H2532" s="29" t="n">
        <f aca="false">H2513*H2536</f>
        <v>19.2555718258036</v>
      </c>
      <c r="I2532" s="29" t="n">
        <f aca="false">I2513*I2536</f>
        <v>20.4930931090724</v>
      </c>
      <c r="J2532" s="29" t="n">
        <f aca="false">J2513*J2536</f>
        <v>21.7226786956167</v>
      </c>
    </row>
    <row r="2533" customFormat="false" ht="15" hidden="false" customHeight="false" outlineLevel="0" collapsed="false">
      <c r="A2533" s="4" t="s">
        <v>569</v>
      </c>
      <c r="B2533" s="4" t="s">
        <v>265</v>
      </c>
      <c r="C2533" s="10" t="n">
        <f aca="false">a25_sh</f>
        <v>1.8739336492891</v>
      </c>
      <c r="D2533" s="10" t="n">
        <f aca="false">a26_sh</f>
        <v>1.90613591916558</v>
      </c>
      <c r="E2533" s="10" t="n">
        <f aca="false">q_sh*(1+sh_g)</f>
        <v>1.90705128205128</v>
      </c>
      <c r="F2533" s="10" t="n">
        <f aca="false">E2533*(1+sh_g)</f>
        <v>1.90705128205128</v>
      </c>
      <c r="G2533" s="10" t="n">
        <f aca="false">F2533*(1+sh_g)</f>
        <v>1.90705128205128</v>
      </c>
      <c r="H2533" s="31" t="n">
        <f aca="false">G2533*(1+sh_g)</f>
        <v>1.90705128205128</v>
      </c>
      <c r="I2533" s="31" t="n">
        <f aca="false">H2533*(1+sh_g)</f>
        <v>1.90705128205128</v>
      </c>
      <c r="J2533" s="31" t="n">
        <f aca="false">I2533*(1+sh_g)</f>
        <v>1.90705128205128</v>
      </c>
    </row>
    <row r="2534" customFormat="false" ht="17.15" hidden="false" customHeight="false" outlineLevel="0" collapsed="false">
      <c r="A2534" s="0" t="s">
        <v>442</v>
      </c>
      <c r="B2534" s="0" t="s">
        <v>274</v>
      </c>
      <c r="C2534" s="23" t="n">
        <f aca="false">C2532/C2533</f>
        <v>4.22</v>
      </c>
      <c r="D2534" s="23" t="n">
        <f aca="false">D2532/D2533</f>
        <v>6.42006747150118</v>
      </c>
      <c r="E2534" s="23" t="n">
        <f aca="false">E2532/E2533</f>
        <v>8.54474438149138</v>
      </c>
      <c r="F2534" s="23" t="n">
        <f aca="false">F2532/F2533</f>
        <v>9.12436780253989</v>
      </c>
      <c r="G2534" s="23" t="n">
        <f aca="false">G2532/G2533</f>
        <v>9.4494104349036</v>
      </c>
      <c r="H2534" s="29" t="n">
        <f aca="false">H2532/H2533</f>
        <v>10.0970393439508</v>
      </c>
      <c r="I2534" s="29" t="n">
        <f aca="false">I2532/I2533</f>
        <v>10.7459580672783</v>
      </c>
      <c r="J2534" s="29" t="n">
        <f aca="false">J2532/J2533</f>
        <v>11.390715551315</v>
      </c>
    </row>
    <row r="2535" customFormat="false" ht="17.15" hidden="false" customHeight="false" outlineLevel="0" collapsed="false">
      <c r="A2535" s="0" t="s">
        <v>570</v>
      </c>
      <c r="B2535" s="0" t="s">
        <v>48</v>
      </c>
      <c r="D2535" s="20" t="n">
        <f aca="false">D2534/C2534-1</f>
        <v>0.521343002725398</v>
      </c>
      <c r="E2535" s="20" t="n">
        <f aca="false">E2534/D2534-1</f>
        <v>0.330943081115843</v>
      </c>
      <c r="F2535" s="20" t="n">
        <f aca="false">F2534/E2534-1</f>
        <v>0.067833909965056</v>
      </c>
      <c r="G2535" s="20" t="n">
        <f aca="false">G2534/F2534-1</f>
        <v>0.0356235784657035</v>
      </c>
      <c r="H2535" s="27" t="n">
        <f aca="false">H2534/G2534-1</f>
        <v>0.0685364355277667</v>
      </c>
      <c r="I2535" s="27" t="n">
        <f aca="false">I2534/H2534-1</f>
        <v>0.0642682177638829</v>
      </c>
      <c r="J2535" s="27" t="n">
        <f aca="false">J2534/I2534-1</f>
        <v>0.0600000000000001</v>
      </c>
    </row>
    <row r="2536" customFormat="false" ht="17.15" hidden="false" customHeight="false" outlineLevel="0" collapsed="false">
      <c r="A2536" s="4" t="s">
        <v>571</v>
      </c>
      <c r="B2536" s="0" t="s">
        <v>48</v>
      </c>
      <c r="C2536" s="16" t="n">
        <f aca="false">C2532/C2513</f>
        <v>0.162746187565599</v>
      </c>
      <c r="D2536" s="16" t="n">
        <f aca="false">D2532/D2513</f>
        <v>0.208646059676249</v>
      </c>
      <c r="E2536" s="16" t="n">
        <f aca="false">E2532/E2513</f>
        <v>0.217934961448314</v>
      </c>
      <c r="F2536" s="16" t="n">
        <f aca="false">F2532/F2513</f>
        <v>0.205347720467234</v>
      </c>
      <c r="G2536" s="16" t="n">
        <f aca="false">G2532/G2513</f>
        <v>0.198230815319029</v>
      </c>
      <c r="H2536" s="28" t="n">
        <f aca="false">$G2536+($G$2536*1-$G2536)*1/3</f>
        <v>0.198230815319029</v>
      </c>
      <c r="I2536" s="28" t="n">
        <f aca="false">$G2536+($G$2536*1-$G2536)*2/3</f>
        <v>0.198230815319029</v>
      </c>
      <c r="J2536" s="28" t="n">
        <f aca="false">$G2536+($G$2536*1-$G2536)*3/3</f>
        <v>0.198230815319029</v>
      </c>
    </row>
    <row r="2539" customFormat="false" ht="17.15" hidden="false" customHeight="false" outlineLevel="0" collapsed="false">
      <c r="A2539" s="1" t="s">
        <v>906</v>
      </c>
    </row>
    <row r="2540" customFormat="false" ht="17.15" hidden="false" customHeight="false" outlineLevel="0" collapsed="false">
      <c r="A2540" s="5" t="s">
        <v>24</v>
      </c>
      <c r="B2540" s="5" t="s">
        <v>25</v>
      </c>
      <c r="C2540" s="17" t="s">
        <v>394</v>
      </c>
      <c r="D2540" s="17" t="s">
        <v>521</v>
      </c>
      <c r="E2540" s="17" t="s">
        <v>480</v>
      </c>
      <c r="F2540" s="17" t="s">
        <v>481</v>
      </c>
      <c r="G2540" s="17" t="s">
        <v>482</v>
      </c>
      <c r="H2540" s="17" t="s">
        <v>522</v>
      </c>
      <c r="I2540" s="17" t="s">
        <v>523</v>
      </c>
      <c r="J2540" s="17" t="s">
        <v>524</v>
      </c>
      <c r="K2540" s="5" t="s">
        <v>357</v>
      </c>
    </row>
    <row r="2541" customFormat="false" ht="17.15" hidden="false" customHeight="false" outlineLevel="0" collapsed="false">
      <c r="A2541" s="6" t="s">
        <v>542</v>
      </c>
    </row>
    <row r="2542" customFormat="false" ht="17.15" hidden="false" customHeight="false" outlineLevel="0" collapsed="false">
      <c r="A2542" s="4" t="s">
        <v>543</v>
      </c>
      <c r="B2542" s="4" t="s">
        <v>42</v>
      </c>
      <c r="D2542" s="22" t="n">
        <f aca="false">cap_26</f>
        <v>3306</v>
      </c>
      <c r="E2542" s="22" t="n">
        <f aca="false">D2542*(1+capg27)*cap_adj</f>
        <v>3306</v>
      </c>
      <c r="F2542" s="22" t="n">
        <f aca="false">E2542*(1+capg28)</f>
        <v>3306</v>
      </c>
      <c r="G2542" s="22" t="n">
        <f aca="false">F2542*(1+capg29)</f>
        <v>3306</v>
      </c>
    </row>
    <row r="2543" customFormat="false" ht="15" hidden="false" customHeight="false" outlineLevel="0" collapsed="false">
      <c r="A2543" s="4" t="s">
        <v>544</v>
      </c>
      <c r="B2543" s="0" t="s">
        <v>48</v>
      </c>
      <c r="D2543" s="20" t="n">
        <f aca="false">a26_ship/cap_26</f>
        <v>0.8725</v>
      </c>
      <c r="E2543" s="20" t="n">
        <f aca="false">MIN(0.98,ut27_B+ut_adj)</f>
        <v>0.9</v>
      </c>
      <c r="F2543" s="20" t="n">
        <f aca="false">MIN(0.98,ut28_B+ut_adj)</f>
        <v>0.86</v>
      </c>
      <c r="G2543" s="20" t="n">
        <f aca="false">MIN(0.98,ut29_B+ut_adj)</f>
        <v>0.87</v>
      </c>
    </row>
    <row r="2544" customFormat="false" ht="17.15" hidden="false" customHeight="false" outlineLevel="0" collapsed="false">
      <c r="A2544" s="4" t="s">
        <v>545</v>
      </c>
      <c r="B2544" s="4" t="s">
        <v>42</v>
      </c>
      <c r="D2544" s="22" t="n">
        <f aca="false">D2542*D2543</f>
        <v>2884.485</v>
      </c>
      <c r="E2544" s="22" t="n">
        <f aca="false">E2542*E2543</f>
        <v>2975.4</v>
      </c>
      <c r="F2544" s="22" t="n">
        <f aca="false">F2542*F2543</f>
        <v>2843.16</v>
      </c>
      <c r="G2544" s="22" t="n">
        <f aca="false">G2542*G2543</f>
        <v>2876.22</v>
      </c>
    </row>
    <row r="2545" customFormat="false" ht="17.15" hidden="false" customHeight="false" outlineLevel="0" collapsed="false">
      <c r="A2545" s="4" t="s">
        <v>546</v>
      </c>
      <c r="B2545" s="0" t="s">
        <v>89</v>
      </c>
      <c r="D2545" s="22" t="n">
        <f aca="false">asp_26</f>
        <v>643.469405492234</v>
      </c>
      <c r="E2545" s="22" t="n">
        <f aca="false">D2545*(1+asp27_B)*(1+asp_adj)</f>
        <v>662.773487657001</v>
      </c>
      <c r="F2545" s="22" t="n">
        <f aca="false">E2545*(1+asp28_B)</f>
        <v>662.773487657001</v>
      </c>
      <c r="G2545" s="22" t="n">
        <f aca="false">F2545*(1+asp29_B)</f>
        <v>662.773487657001</v>
      </c>
    </row>
    <row r="2546" customFormat="false" ht="15" hidden="false" customHeight="false" outlineLevel="0" collapsed="false">
      <c r="A2546" s="4" t="s">
        <v>547</v>
      </c>
      <c r="B2546" s="0" t="s">
        <v>48</v>
      </c>
      <c r="E2546" s="20" t="n">
        <f aca="false">E2545/D2545-1</f>
        <v>0.03</v>
      </c>
      <c r="F2546" s="20" t="n">
        <f aca="false">F2545/E2545-1</f>
        <v>0</v>
      </c>
      <c r="G2546" s="20" t="n">
        <f aca="false">G2545/F2545-1</f>
        <v>0</v>
      </c>
    </row>
    <row r="2547" customFormat="false" ht="15" hidden="false" customHeight="false" outlineLevel="0" collapsed="false">
      <c r="A2547" s="4" t="s">
        <v>548</v>
      </c>
      <c r="B2547" s="0" t="s">
        <v>35</v>
      </c>
      <c r="D2547" s="23" t="n">
        <f aca="false">fx_26</f>
        <v>31.6</v>
      </c>
      <c r="E2547" s="23" t="n">
        <f aca="false">fx</f>
        <v>32</v>
      </c>
      <c r="F2547" s="23" t="n">
        <f aca="false">fx</f>
        <v>32</v>
      </c>
      <c r="G2547" s="23" t="n">
        <f aca="false">fx</f>
        <v>32</v>
      </c>
    </row>
    <row r="2548" customFormat="false" ht="17.15" hidden="false" customHeight="false" outlineLevel="0" collapsed="false">
      <c r="A2548" s="0" t="s">
        <v>549</v>
      </c>
      <c r="B2548" s="0" t="s">
        <v>184</v>
      </c>
      <c r="D2548" s="23" t="n">
        <f aca="false">D2544*D2545*D2547/1000000</f>
        <v>58.65206</v>
      </c>
      <c r="E2548" s="23" t="n">
        <f aca="false">E2544*E2545*E2547/1000000</f>
        <v>63.1045195255885</v>
      </c>
      <c r="F2548" s="23" t="n">
        <f aca="false">F2544*F2545*F2547/1000000</f>
        <v>60.2998742133401</v>
      </c>
      <c r="G2548" s="23" t="n">
        <f aca="false">G2544*G2545*G2547/1000000</f>
        <v>61.0010355414022</v>
      </c>
    </row>
    <row r="2549" customFormat="false" ht="17.15" hidden="false" customHeight="false" outlineLevel="0" collapsed="false">
      <c r="A2549" s="6" t="s">
        <v>550</v>
      </c>
    </row>
    <row r="2550" customFormat="false" ht="17.15" hidden="false" customHeight="false" outlineLevel="0" collapsed="false">
      <c r="A2550" s="0" t="s">
        <v>551</v>
      </c>
      <c r="B2550" s="4" t="s">
        <v>42</v>
      </c>
      <c r="D2550" s="22" t="n">
        <f aca="false">0</f>
        <v>0</v>
      </c>
      <c r="E2550" s="22" t="n">
        <f aca="false">vcap27*vcap_adj</f>
        <v>144</v>
      </c>
      <c r="F2550" s="22" t="n">
        <f aca="false">vcap28*vcap_adj</f>
        <v>360</v>
      </c>
      <c r="G2550" s="22" t="n">
        <f aca="false">vcap29*vcap_adj</f>
        <v>504</v>
      </c>
    </row>
    <row r="2551" customFormat="false" ht="17.15" hidden="false" customHeight="false" outlineLevel="0" collapsed="false">
      <c r="A2551" s="0" t="s">
        <v>552</v>
      </c>
      <c r="B2551" s="0" t="s">
        <v>48</v>
      </c>
      <c r="E2551" s="20" t="n">
        <f aca="false">vut_B</f>
        <v>0.8</v>
      </c>
      <c r="F2551" s="20" t="n">
        <f aca="false">vut_B</f>
        <v>0.8</v>
      </c>
      <c r="G2551" s="20" t="n">
        <f aca="false">vut_B</f>
        <v>0.8</v>
      </c>
    </row>
    <row r="2552" customFormat="false" ht="17.15" hidden="false" customHeight="false" outlineLevel="0" collapsed="false">
      <c r="A2552" s="0" t="s">
        <v>553</v>
      </c>
      <c r="B2552" s="4" t="s">
        <v>42</v>
      </c>
      <c r="D2552" s="22" t="n">
        <f aca="false">0</f>
        <v>0</v>
      </c>
      <c r="E2552" s="22" t="n">
        <f aca="false">E2550*E2551</f>
        <v>115.2</v>
      </c>
      <c r="F2552" s="22" t="n">
        <f aca="false">F2550*F2551</f>
        <v>288</v>
      </c>
      <c r="G2552" s="22" t="n">
        <f aca="false">G2550*G2551</f>
        <v>403.2</v>
      </c>
    </row>
    <row r="2553" customFormat="false" ht="17.15" hidden="false" customHeight="false" outlineLevel="0" collapsed="false">
      <c r="A2553" s="0" t="s">
        <v>554</v>
      </c>
      <c r="B2553" s="0" t="s">
        <v>184</v>
      </c>
      <c r="D2553" s="23" t="n">
        <f aca="false">0</f>
        <v>0</v>
      </c>
      <c r="E2553" s="23" t="n">
        <f aca="false">E2552*vasp_lo*E2547/1000000</f>
        <v>5.5296</v>
      </c>
      <c r="F2553" s="23" t="n">
        <f aca="false">F2552*vasp_lo*F2547/1000000</f>
        <v>13.824</v>
      </c>
      <c r="G2553" s="23" t="n">
        <f aca="false">G2552*vasp_lo*G2547/1000000</f>
        <v>19.3536</v>
      </c>
    </row>
    <row r="2554" customFormat="false" ht="17.15" hidden="false" customHeight="false" outlineLevel="0" collapsed="false">
      <c r="A2554" s="4" t="s">
        <v>400</v>
      </c>
      <c r="B2554" s="0" t="s">
        <v>184</v>
      </c>
      <c r="C2554" s="23" t="n">
        <f aca="false">a25_rev</f>
        <v>48.591</v>
      </c>
      <c r="D2554" s="23" t="n">
        <f aca="false">D2548+D2553</f>
        <v>58.65206</v>
      </c>
      <c r="E2554" s="23" t="n">
        <f aca="false">E2548+E2553</f>
        <v>68.6341195255885</v>
      </c>
      <c r="F2554" s="23" t="n">
        <f aca="false">F2548+F2553</f>
        <v>74.1238742133401</v>
      </c>
      <c r="G2554" s="23" t="n">
        <f aca="false">G2548+G2553</f>
        <v>80.3546355414022</v>
      </c>
      <c r="H2554" s="29" t="n">
        <f aca="false">G2554*(1+H2557)</f>
        <v>85.9290383024219</v>
      </c>
      <c r="I2554" s="29" t="n">
        <f aca="false">H2554*(1+I2557)</f>
        <v>90.6281756047389</v>
      </c>
      <c r="J2554" s="29" t="n">
        <f aca="false">I2554*(1+J2557)</f>
        <v>94.2533026289284</v>
      </c>
      <c r="K2554" s="8" t="s">
        <v>555</v>
      </c>
    </row>
    <row r="2555" customFormat="false" ht="17.15" hidden="false" customHeight="false" outlineLevel="0" collapsed="false">
      <c r="A2555" s="0" t="s">
        <v>556</v>
      </c>
      <c r="B2555" s="0" t="s">
        <v>48</v>
      </c>
      <c r="D2555" s="20" t="n">
        <f aca="false">D2553/D2554</f>
        <v>0</v>
      </c>
      <c r="E2555" s="20" t="n">
        <f aca="false">E2553/E2554</f>
        <v>0.0805663427785131</v>
      </c>
      <c r="F2555" s="20" t="n">
        <f aca="false">F2553/F2554</f>
        <v>0.186498616629406</v>
      </c>
      <c r="G2555" s="20" t="n">
        <f aca="false">G2553/G2554</f>
        <v>0.240852315110411</v>
      </c>
    </row>
    <row r="2556" customFormat="false" ht="17.15" hidden="false" customHeight="false" outlineLevel="0" collapsed="false">
      <c r="A2556" s="0" t="s">
        <v>557</v>
      </c>
      <c r="B2556" s="0" t="s">
        <v>48</v>
      </c>
      <c r="D2556" s="20" t="n">
        <f aca="false">ai_sh26</f>
        <v>0.1</v>
      </c>
      <c r="E2556" s="20" t="n">
        <f aca="false">ai_sh27_B</f>
        <v>0.2</v>
      </c>
      <c r="F2556" s="20" t="n">
        <f aca="false">ai_sh27_B</f>
        <v>0.2</v>
      </c>
      <c r="G2556" s="20" t="n">
        <f aca="false">ai_sh27_B</f>
        <v>0.2</v>
      </c>
    </row>
    <row r="2557" customFormat="false" ht="15" hidden="false" customHeight="false" outlineLevel="0" collapsed="false">
      <c r="A2557" s="4" t="s">
        <v>558</v>
      </c>
      <c r="B2557" s="0" t="s">
        <v>48</v>
      </c>
      <c r="D2557" s="20" t="n">
        <f aca="false">D2554/C2554-1</f>
        <v>0.207056039184211</v>
      </c>
      <c r="E2557" s="20" t="n">
        <f aca="false">E2554/D2554-1</f>
        <v>0.170191115633253</v>
      </c>
      <c r="F2557" s="20" t="n">
        <f aca="false">F2554/E2554-1</f>
        <v>0.0799857960690369</v>
      </c>
      <c r="G2557" s="20" t="n">
        <f aca="false">G2554/F2554-1</f>
        <v>0.0840587650630482</v>
      </c>
      <c r="H2557" s="27" t="n">
        <f aca="false">$G2557+(fade_gB-$G2557)*1/3</f>
        <v>0.0693725100420321</v>
      </c>
      <c r="I2557" s="27" t="n">
        <f aca="false">$G2557+(fade_gB-$G2557)*2/3</f>
        <v>0.0546862550210161</v>
      </c>
      <c r="J2557" s="27" t="n">
        <f aca="false">$G2557+(fade_gB-$G2557)*3/3</f>
        <v>0.04</v>
      </c>
    </row>
    <row r="2558" customFormat="false" ht="17.15" hidden="false" customHeight="false" outlineLevel="0" collapsed="false">
      <c r="A2558" s="6" t="s">
        <v>559</v>
      </c>
    </row>
    <row r="2559" customFormat="false" ht="15" hidden="false" customHeight="false" outlineLevel="0" collapsed="false">
      <c r="A2559" s="4" t="s">
        <v>560</v>
      </c>
      <c r="B2559" s="0" t="s">
        <v>184</v>
      </c>
      <c r="D2559" s="23" t="n">
        <f aca="false">da_tot26*da_sh</f>
        <v>8.658</v>
      </c>
      <c r="E2559" s="23" t="n">
        <f aca="false">D2559*(1+dag_27+dag_adj)</f>
        <v>8.91774</v>
      </c>
      <c r="F2559" s="23" t="n">
        <f aca="false">E2559*(1+dag_28+dag_adj)</f>
        <v>9.0960948</v>
      </c>
      <c r="G2559" s="23" t="n">
        <f aca="false">F2559*(1+dag_29+dag_adj)</f>
        <v>9.0960948</v>
      </c>
    </row>
    <row r="2560" customFormat="false" ht="17.15" hidden="false" customHeight="false" outlineLevel="0" collapsed="false">
      <c r="A2560" s="4" t="s">
        <v>561</v>
      </c>
      <c r="B2560" s="0" t="s">
        <v>562</v>
      </c>
      <c r="D2560" s="23" t="n">
        <f aca="false">(D2548-a26_gp-D2559)/D2544*1000</f>
        <v>10.7339918911001</v>
      </c>
      <c r="E2560" s="23" t="n">
        <f aca="false">D2560*(1+cc_g)</f>
        <v>10.9486717289221</v>
      </c>
      <c r="F2560" s="23" t="n">
        <f aca="false">E2560*(1+cc_g)</f>
        <v>11.1676451635006</v>
      </c>
      <c r="G2560" s="23" t="n">
        <f aca="false">F2560*(1+cc_g)</f>
        <v>11.3909980667706</v>
      </c>
      <c r="K2560" s="8" t="s">
        <v>563</v>
      </c>
    </row>
    <row r="2561" customFormat="false" ht="17.15" hidden="false" customHeight="false" outlineLevel="0" collapsed="false">
      <c r="A2561" s="4" t="s">
        <v>564</v>
      </c>
      <c r="B2561" s="0" t="s">
        <v>184</v>
      </c>
      <c r="D2561" s="23" t="n">
        <f aca="false">D2560*D2544/1000</f>
        <v>30.9620386</v>
      </c>
      <c r="E2561" s="23" t="n">
        <f aca="false">E2560*E2544/1000</f>
        <v>32.576677862235</v>
      </c>
      <c r="F2561" s="23" t="n">
        <f aca="false">F2560*F2544/1000</f>
        <v>31.7514020230583</v>
      </c>
      <c r="G2561" s="23" t="n">
        <f aca="false">G2560*G2544/1000</f>
        <v>32.7630164596069</v>
      </c>
    </row>
    <row r="2562" customFormat="false" ht="17.15" hidden="false" customHeight="false" outlineLevel="0" collapsed="false">
      <c r="A2562" s="0" t="s">
        <v>565</v>
      </c>
      <c r="B2562" s="0" t="s">
        <v>48</v>
      </c>
      <c r="E2562" s="20" t="n">
        <f aca="false">vgm27_B</f>
        <v>-0.05</v>
      </c>
      <c r="F2562" s="20" t="n">
        <f aca="false">vgm28_B</f>
        <v>0.12</v>
      </c>
      <c r="G2562" s="20" t="n">
        <f aca="false">vgm29_B</f>
        <v>0.18</v>
      </c>
    </row>
    <row r="2563" customFormat="false" ht="17.15" hidden="false" customHeight="false" outlineLevel="0" collapsed="false">
      <c r="A2563" s="0" t="s">
        <v>566</v>
      </c>
      <c r="B2563" s="0" t="s">
        <v>184</v>
      </c>
      <c r="D2563" s="23" t="n">
        <f aca="false">0</f>
        <v>0</v>
      </c>
      <c r="E2563" s="23" t="n">
        <f aca="false">E2553*E2562</f>
        <v>-0.27648</v>
      </c>
      <c r="F2563" s="23" t="n">
        <f aca="false">F2553*F2562</f>
        <v>1.65888</v>
      </c>
      <c r="G2563" s="23" t="n">
        <f aca="false">G2553*G2562</f>
        <v>3.483648</v>
      </c>
    </row>
    <row r="2564" customFormat="false" ht="15" hidden="false" customHeight="false" outlineLevel="0" collapsed="false">
      <c r="A2564" s="4" t="s">
        <v>417</v>
      </c>
      <c r="B2564" s="0" t="s">
        <v>184</v>
      </c>
      <c r="C2564" s="23" t="n">
        <f aca="false">a25_gp</f>
        <v>13.654</v>
      </c>
      <c r="D2564" s="23" t="n">
        <f aca="false">D2548-D2559-D2561+D2563</f>
        <v>19.0320214</v>
      </c>
      <c r="E2564" s="23" t="n">
        <f aca="false">E2548-E2559-E2561+E2563</f>
        <v>21.3336216633535</v>
      </c>
      <c r="F2564" s="23" t="n">
        <f aca="false">F2548-F2559-F2561+F2563</f>
        <v>21.1112573902818</v>
      </c>
      <c r="G2564" s="23" t="n">
        <f aca="false">G2548-G2559-G2561+G2563</f>
        <v>22.6255722817953</v>
      </c>
    </row>
    <row r="2565" customFormat="false" ht="15" hidden="false" customHeight="false" outlineLevel="0" collapsed="false">
      <c r="A2565" s="4" t="s">
        <v>420</v>
      </c>
      <c r="B2565" s="0" t="s">
        <v>48</v>
      </c>
      <c r="C2565" s="16" t="n">
        <f aca="false">C2564/C2554</f>
        <v>0.280998538824062</v>
      </c>
      <c r="D2565" s="16" t="n">
        <f aca="false">D2564/D2554</f>
        <v>0.324490246378388</v>
      </c>
      <c r="E2565" s="16" t="n">
        <f aca="false">E2564/E2554</f>
        <v>0.310831140704003</v>
      </c>
      <c r="F2565" s="16" t="n">
        <f aca="false">F2564/F2554</f>
        <v>0.284810496136781</v>
      </c>
      <c r="G2565" s="16" t="n">
        <f aca="false">G2564/G2554</f>
        <v>0.28157146291999</v>
      </c>
    </row>
    <row r="2566" customFormat="false" ht="15" hidden="false" customHeight="false" outlineLevel="0" collapsed="false">
      <c r="A2566" s="4" t="s">
        <v>422</v>
      </c>
      <c r="B2566" s="0" t="s">
        <v>184</v>
      </c>
      <c r="C2566" s="23" t="n">
        <f aca="false">a25_opx</f>
        <v>5.881</v>
      </c>
      <c r="D2566" s="23" t="n">
        <f aca="false">a26_opx</f>
        <v>6.824187</v>
      </c>
      <c r="E2566" s="23" t="n">
        <f aca="false">D2566*(1+MAX(g_opx_min,phi*E2557))</f>
        <v>7.40489499940997</v>
      </c>
      <c r="F2566" s="23" t="n">
        <f aca="false">E2566*(1+MAX(g_opx_min,phi*F2557))</f>
        <v>7.70103821007769</v>
      </c>
      <c r="G2566" s="23" t="n">
        <f aca="false">F2566*(1+MAX(g_opx_min,phi*G2557))</f>
        <v>8.02470809089893</v>
      </c>
    </row>
    <row r="2567" customFormat="false" ht="15" hidden="false" customHeight="false" outlineLevel="0" collapsed="false">
      <c r="A2567" s="4" t="s">
        <v>425</v>
      </c>
      <c r="B2567" s="0" t="s">
        <v>184</v>
      </c>
      <c r="C2567" s="23" t="n">
        <f aca="false">C2564-C2566</f>
        <v>7.773</v>
      </c>
      <c r="D2567" s="23" t="n">
        <f aca="false">D2564-D2566</f>
        <v>12.2078344</v>
      </c>
      <c r="E2567" s="23" t="n">
        <f aca="false">E2564-E2566</f>
        <v>13.9287266639436</v>
      </c>
      <c r="F2567" s="23" t="n">
        <f aca="false">F2564-F2566</f>
        <v>13.4102191802041</v>
      </c>
      <c r="G2567" s="23" t="n">
        <f aca="false">G2564-G2566</f>
        <v>14.6008641908963</v>
      </c>
    </row>
    <row r="2568" customFormat="false" ht="15" hidden="false" customHeight="false" outlineLevel="0" collapsed="false">
      <c r="A2568" s="4" t="s">
        <v>531</v>
      </c>
      <c r="B2568" s="0" t="s">
        <v>48</v>
      </c>
      <c r="C2568" s="16" t="n">
        <f aca="false">C2567/C2554</f>
        <v>0.159967895289251</v>
      </c>
      <c r="D2568" s="16" t="n">
        <f aca="false">D2567/D2554</f>
        <v>0.208139908470393</v>
      </c>
      <c r="E2568" s="16" t="n">
        <f aca="false">E2567/E2554</f>
        <v>0.202941725780435</v>
      </c>
      <c r="F2568" s="16" t="n">
        <f aca="false">F2567/F2554</f>
        <v>0.180916328544935</v>
      </c>
      <c r="G2568" s="16" t="n">
        <f aca="false">G2567/G2554</f>
        <v>0.181705312861177</v>
      </c>
    </row>
    <row r="2569" customFormat="false" ht="15" hidden="false" customHeight="false" outlineLevel="0" collapsed="false">
      <c r="A2569" s="4" t="s">
        <v>428</v>
      </c>
      <c r="B2569" s="0" t="s">
        <v>184</v>
      </c>
      <c r="C2569" s="23" t="n">
        <f aca="false">a25_nonop</f>
        <v>1.479</v>
      </c>
      <c r="D2569" s="23" t="n">
        <f aca="false">a26_nonop</f>
        <v>2.10950832169955</v>
      </c>
      <c r="E2569" s="23" t="n">
        <f aca="false">nonop_f</f>
        <v>1.5</v>
      </c>
      <c r="F2569" s="23" t="n">
        <f aca="false">nonop_f</f>
        <v>1.5</v>
      </c>
      <c r="G2569" s="23" t="n">
        <f aca="false">nonop_f</f>
        <v>1.5</v>
      </c>
    </row>
    <row r="2570" customFormat="false" ht="15" hidden="false" customHeight="false" outlineLevel="0" collapsed="false">
      <c r="A2570" s="4" t="s">
        <v>430</v>
      </c>
      <c r="B2570" s="0" t="s">
        <v>184</v>
      </c>
      <c r="C2570" s="23" t="n">
        <f aca="false">C2567+C2569</f>
        <v>9.252</v>
      </c>
      <c r="D2570" s="23" t="n">
        <f aca="false">D2567+D2569</f>
        <v>14.3173427216995</v>
      </c>
      <c r="E2570" s="23" t="n">
        <f aca="false">E2567+E2569</f>
        <v>15.4287266639436</v>
      </c>
      <c r="F2570" s="23" t="n">
        <f aca="false">F2567+F2569</f>
        <v>14.9102191802041</v>
      </c>
      <c r="G2570" s="23" t="n">
        <f aca="false">G2567+G2569</f>
        <v>16.1008641908963</v>
      </c>
    </row>
    <row r="2571" customFormat="false" ht="15" hidden="false" customHeight="false" outlineLevel="0" collapsed="false">
      <c r="A2571" s="4" t="s">
        <v>432</v>
      </c>
      <c r="B2571" s="0" t="s">
        <v>184</v>
      </c>
      <c r="C2571" s="23" t="n">
        <f aca="false">a25_tax</f>
        <v>1.344</v>
      </c>
      <c r="D2571" s="23" t="n">
        <f aca="false">a26_tax</f>
        <v>2.0798215108046</v>
      </c>
      <c r="E2571" s="23" t="n">
        <f aca="false">E2570*tax</f>
        <v>2.31430899959153</v>
      </c>
      <c r="F2571" s="23" t="n">
        <f aca="false">F2570*tax</f>
        <v>2.23653287703061</v>
      </c>
      <c r="G2571" s="23" t="n">
        <f aca="false">G2570*tax</f>
        <v>2.41512962863445</v>
      </c>
    </row>
    <row r="2572" customFormat="false" ht="17.15" hidden="false" customHeight="false" outlineLevel="0" collapsed="false">
      <c r="A2572" s="4" t="s">
        <v>567</v>
      </c>
      <c r="B2572" s="0" t="s">
        <v>184</v>
      </c>
      <c r="C2572" s="23" t="n">
        <f aca="false">a25_mi</f>
        <v>0</v>
      </c>
      <c r="D2572" s="23" t="n">
        <f aca="false">a26_mi</f>
        <v>0</v>
      </c>
      <c r="E2572" s="23" t="n">
        <f aca="false">vmi*E2563*(1-tax)</f>
        <v>-0.0940032</v>
      </c>
      <c r="F2572" s="23" t="n">
        <f aca="false">vmi*F2563*(1-tax)</f>
        <v>0.5640192</v>
      </c>
      <c r="G2572" s="23" t="n">
        <f aca="false">vmi*G2563*(1-tax)</f>
        <v>1.18444032</v>
      </c>
      <c r="K2572" s="8" t="s">
        <v>568</v>
      </c>
    </row>
    <row r="2573" customFormat="false" ht="15" hidden="false" customHeight="false" outlineLevel="0" collapsed="false">
      <c r="A2573" s="4" t="s">
        <v>435</v>
      </c>
      <c r="B2573" s="0" t="s">
        <v>184</v>
      </c>
      <c r="C2573" s="23" t="n">
        <f aca="false">C2570-C2571-C2572</f>
        <v>7.908</v>
      </c>
      <c r="D2573" s="23" t="n">
        <f aca="false">D2570-D2571-D2572</f>
        <v>12.2375212108949</v>
      </c>
      <c r="E2573" s="23" t="n">
        <f aca="false">E2570-E2571-E2572</f>
        <v>13.208420864352</v>
      </c>
      <c r="F2573" s="23" t="n">
        <f aca="false">F2570-F2571-F2572</f>
        <v>12.1096671031735</v>
      </c>
      <c r="G2573" s="23" t="n">
        <f aca="false">G2570-G2571-G2572</f>
        <v>12.5012942422619</v>
      </c>
      <c r="H2573" s="29" t="n">
        <f aca="false">H2554*H2577</f>
        <v>12.9229223892009</v>
      </c>
      <c r="I2573" s="29" t="n">
        <f aca="false">I2554*I2577</f>
        <v>13.1596414248489</v>
      </c>
      <c r="J2573" s="29" t="n">
        <f aca="false">J2554*J2577</f>
        <v>13.1972404003485</v>
      </c>
    </row>
    <row r="2574" customFormat="false" ht="15" hidden="false" customHeight="false" outlineLevel="0" collapsed="false">
      <c r="A2574" s="4" t="s">
        <v>569</v>
      </c>
      <c r="B2574" s="4" t="s">
        <v>265</v>
      </c>
      <c r="C2574" s="10" t="n">
        <f aca="false">a25_sh</f>
        <v>1.8739336492891</v>
      </c>
      <c r="D2574" s="10" t="n">
        <f aca="false">a26_sh</f>
        <v>1.90613591916558</v>
      </c>
      <c r="E2574" s="10" t="n">
        <f aca="false">q_sh*(1+sh_g)</f>
        <v>1.90705128205128</v>
      </c>
      <c r="F2574" s="10" t="n">
        <f aca="false">E2574*(1+sh_g)</f>
        <v>1.90705128205128</v>
      </c>
      <c r="G2574" s="10" t="n">
        <f aca="false">F2574*(1+sh_g)</f>
        <v>1.90705128205128</v>
      </c>
      <c r="H2574" s="31" t="n">
        <f aca="false">G2574*(1+sh_g)</f>
        <v>1.90705128205128</v>
      </c>
      <c r="I2574" s="31" t="n">
        <f aca="false">H2574*(1+sh_g)</f>
        <v>1.90705128205128</v>
      </c>
      <c r="J2574" s="31" t="n">
        <f aca="false">I2574*(1+sh_g)</f>
        <v>1.90705128205128</v>
      </c>
    </row>
    <row r="2575" customFormat="false" ht="17.15" hidden="false" customHeight="false" outlineLevel="0" collapsed="false">
      <c r="A2575" s="0" t="s">
        <v>442</v>
      </c>
      <c r="B2575" s="0" t="s">
        <v>274</v>
      </c>
      <c r="C2575" s="23" t="n">
        <f aca="false">C2573/C2574</f>
        <v>4.22</v>
      </c>
      <c r="D2575" s="23" t="n">
        <f aca="false">D2573/D2574</f>
        <v>6.42006747150118</v>
      </c>
      <c r="E2575" s="23" t="n">
        <f aca="false">E2573/E2574</f>
        <v>6.92609631878627</v>
      </c>
      <c r="F2575" s="23" t="n">
        <f aca="false">F2573/F2574</f>
        <v>6.34994308603382</v>
      </c>
      <c r="G2575" s="23" t="n">
        <f aca="false">G2573/G2574</f>
        <v>6.55530051022808</v>
      </c>
      <c r="H2575" s="29" t="n">
        <f aca="false">H2573/H2574</f>
        <v>6.77638955534567</v>
      </c>
      <c r="I2575" s="29" t="n">
        <f aca="false">I2573/I2574</f>
        <v>6.90051785639136</v>
      </c>
      <c r="J2575" s="29" t="n">
        <f aca="false">J2573/J2574</f>
        <v>6.92023362169533</v>
      </c>
    </row>
    <row r="2576" customFormat="false" ht="17.15" hidden="false" customHeight="false" outlineLevel="0" collapsed="false">
      <c r="A2576" s="0" t="s">
        <v>570</v>
      </c>
      <c r="B2576" s="0" t="s">
        <v>48</v>
      </c>
      <c r="D2576" s="20" t="n">
        <f aca="false">D2575/C2575-1</f>
        <v>0.521343002725398</v>
      </c>
      <c r="E2576" s="20" t="n">
        <f aca="false">E2575/D2575-1</f>
        <v>0.0788198643598941</v>
      </c>
      <c r="F2576" s="20" t="n">
        <f aca="false">F2575/E2575-1</f>
        <v>-0.0831858533629835</v>
      </c>
      <c r="G2576" s="20" t="n">
        <f aca="false">G2575/F2575-1</f>
        <v>0.03234004169989</v>
      </c>
      <c r="H2576" s="27" t="n">
        <f aca="false">H2575/G2575-1</f>
        <v>0.0337267597072979</v>
      </c>
      <c r="I2576" s="27" t="n">
        <f aca="false">I2575/H2575-1</f>
        <v>0.0183177634685672</v>
      </c>
      <c r="J2576" s="27" t="n">
        <f aca="false">J2575/I2575-1</f>
        <v>0.00285714285714289</v>
      </c>
    </row>
    <row r="2577" customFormat="false" ht="17.15" hidden="false" customHeight="false" outlineLevel="0" collapsed="false">
      <c r="A2577" s="4" t="s">
        <v>571</v>
      </c>
      <c r="B2577" s="0" t="s">
        <v>48</v>
      </c>
      <c r="C2577" s="16" t="n">
        <f aca="false">C2573/C2554</f>
        <v>0.162746187565599</v>
      </c>
      <c r="D2577" s="16" t="n">
        <f aca="false">D2573/D2554</f>
        <v>0.208646059676249</v>
      </c>
      <c r="E2577" s="16" t="n">
        <f aca="false">E2573/E2554</f>
        <v>0.19244686106052</v>
      </c>
      <c r="F2577" s="16" t="n">
        <f aca="false">F2573/F2554</f>
        <v>0.163370671483252</v>
      </c>
      <c r="G2577" s="16" t="n">
        <f aca="false">G2573/G2554</f>
        <v>0.155576516003494</v>
      </c>
      <c r="H2577" s="28" t="n">
        <f aca="false">$G2577+($G$2577*0.9-$G2577)*1/3</f>
        <v>0.150390632136711</v>
      </c>
      <c r="I2577" s="28" t="n">
        <f aca="false">$G2577+($G$2577*0.9-$G2577)*2/3</f>
        <v>0.145204748269928</v>
      </c>
      <c r="J2577" s="28" t="n">
        <f aca="false">$G2577+($G$2577*0.9-$G2577)*3/3</f>
        <v>0.140018864403145</v>
      </c>
    </row>
    <row r="2580" customFormat="false" ht="17.15" hidden="false" customHeight="false" outlineLevel="0" collapsed="false">
      <c r="A2580" s="1" t="s">
        <v>907</v>
      </c>
    </row>
    <row r="2581" customFormat="false" ht="17.15" hidden="false" customHeight="false" outlineLevel="0" collapsed="false">
      <c r="A2581" s="5" t="s">
        <v>24</v>
      </c>
      <c r="B2581" s="5" t="s">
        <v>25</v>
      </c>
      <c r="C2581" s="17" t="s">
        <v>394</v>
      </c>
      <c r="D2581" s="17" t="s">
        <v>521</v>
      </c>
      <c r="E2581" s="17" t="s">
        <v>480</v>
      </c>
      <c r="F2581" s="17" t="s">
        <v>481</v>
      </c>
      <c r="G2581" s="17" t="s">
        <v>482</v>
      </c>
      <c r="H2581" s="17" t="s">
        <v>522</v>
      </c>
      <c r="I2581" s="17" t="s">
        <v>523</v>
      </c>
      <c r="J2581" s="17" t="s">
        <v>524</v>
      </c>
      <c r="K2581" s="5" t="s">
        <v>357</v>
      </c>
    </row>
    <row r="2582" customFormat="false" ht="17.15" hidden="false" customHeight="false" outlineLevel="0" collapsed="false">
      <c r="A2582" s="6" t="s">
        <v>542</v>
      </c>
    </row>
    <row r="2583" customFormat="false" ht="17.15" hidden="false" customHeight="false" outlineLevel="0" collapsed="false">
      <c r="A2583" s="4" t="s">
        <v>543</v>
      </c>
      <c r="B2583" s="4" t="s">
        <v>42</v>
      </c>
      <c r="D2583" s="22" t="n">
        <f aca="false">cap_26</f>
        <v>3306</v>
      </c>
      <c r="E2583" s="22" t="n">
        <f aca="false">D2583*(1+capg27)*cap_adj</f>
        <v>3306</v>
      </c>
      <c r="F2583" s="22" t="n">
        <f aca="false">E2583*(1+capg28)</f>
        <v>3306</v>
      </c>
      <c r="G2583" s="22" t="n">
        <f aca="false">F2583*(1+capg29)</f>
        <v>3306</v>
      </c>
    </row>
    <row r="2584" customFormat="false" ht="15" hidden="false" customHeight="false" outlineLevel="0" collapsed="false">
      <c r="A2584" s="4" t="s">
        <v>544</v>
      </c>
      <c r="B2584" s="0" t="s">
        <v>48</v>
      </c>
      <c r="D2584" s="20" t="n">
        <f aca="false">a26_ship/cap_26</f>
        <v>0.8725</v>
      </c>
      <c r="E2584" s="20" t="n">
        <f aca="false">MIN(0.98,ut27_C+ut_adj)</f>
        <v>0.8</v>
      </c>
      <c r="F2584" s="20" t="n">
        <f aca="false">MIN(0.98,ut28_C+ut_adj)</f>
        <v>0.74</v>
      </c>
      <c r="G2584" s="20" t="n">
        <f aca="false">MIN(0.98,ut29_C+ut_adj)</f>
        <v>0.78</v>
      </c>
    </row>
    <row r="2585" customFormat="false" ht="17.15" hidden="false" customHeight="false" outlineLevel="0" collapsed="false">
      <c r="A2585" s="4" t="s">
        <v>545</v>
      </c>
      <c r="B2585" s="4" t="s">
        <v>42</v>
      </c>
      <c r="D2585" s="22" t="n">
        <f aca="false">D2583*D2584</f>
        <v>2884.485</v>
      </c>
      <c r="E2585" s="22" t="n">
        <f aca="false">E2583*E2584</f>
        <v>2644.8</v>
      </c>
      <c r="F2585" s="22" t="n">
        <f aca="false">F2583*F2584</f>
        <v>2446.44</v>
      </c>
      <c r="G2585" s="22" t="n">
        <f aca="false">G2583*G2584</f>
        <v>2578.68</v>
      </c>
    </row>
    <row r="2586" customFormat="false" ht="17.15" hidden="false" customHeight="false" outlineLevel="0" collapsed="false">
      <c r="A2586" s="4" t="s">
        <v>546</v>
      </c>
      <c r="B2586" s="0" t="s">
        <v>89</v>
      </c>
      <c r="D2586" s="22" t="n">
        <f aca="false">asp_26</f>
        <v>643.469405492234</v>
      </c>
      <c r="E2586" s="22" t="n">
        <f aca="false">D2586*(1+asp27_C)*(1+asp_adj)</f>
        <v>624.165323327467</v>
      </c>
      <c r="F2586" s="22" t="n">
        <f aca="false">E2586*(1+asp28_C)</f>
        <v>592.957057161093</v>
      </c>
      <c r="G2586" s="22" t="n">
        <f aca="false">F2586*(1+asp29_C)</f>
        <v>581.097916017871</v>
      </c>
    </row>
    <row r="2587" customFormat="false" ht="15" hidden="false" customHeight="false" outlineLevel="0" collapsed="false">
      <c r="A2587" s="4" t="s">
        <v>547</v>
      </c>
      <c r="B2587" s="0" t="s">
        <v>48</v>
      </c>
      <c r="E2587" s="20" t="n">
        <f aca="false">E2586/D2586-1</f>
        <v>-0.03</v>
      </c>
      <c r="F2587" s="20" t="n">
        <f aca="false">F2586/E2586-1</f>
        <v>-0.05</v>
      </c>
      <c r="G2587" s="20" t="n">
        <f aca="false">G2586/F2586-1</f>
        <v>-0.02</v>
      </c>
    </row>
    <row r="2588" customFormat="false" ht="15" hidden="false" customHeight="false" outlineLevel="0" collapsed="false">
      <c r="A2588" s="4" t="s">
        <v>548</v>
      </c>
      <c r="B2588" s="0" t="s">
        <v>35</v>
      </c>
      <c r="D2588" s="23" t="n">
        <f aca="false">fx_26</f>
        <v>31.6</v>
      </c>
      <c r="E2588" s="23" t="n">
        <f aca="false">fx</f>
        <v>32</v>
      </c>
      <c r="F2588" s="23" t="n">
        <f aca="false">fx</f>
        <v>32</v>
      </c>
      <c r="G2588" s="23" t="n">
        <f aca="false">fx</f>
        <v>32</v>
      </c>
    </row>
    <row r="2589" customFormat="false" ht="17.15" hidden="false" customHeight="false" outlineLevel="0" collapsed="false">
      <c r="A2589" s="0" t="s">
        <v>549</v>
      </c>
      <c r="B2589" s="0" t="s">
        <v>184</v>
      </c>
      <c r="D2589" s="23" t="n">
        <f aca="false">D2585*D2586*D2588/1000000</f>
        <v>58.65206</v>
      </c>
      <c r="E2589" s="23" t="n">
        <f aca="false">E2585*E2586*E2588/1000000</f>
        <v>52.8253583083675</v>
      </c>
      <c r="F2589" s="23" t="n">
        <f aca="false">F2585*F2586*F2588/1000000</f>
        <v>46.4202836134779</v>
      </c>
      <c r="G2589" s="23" t="n">
        <f aca="false">G2585*G2586*G2588/1000000</f>
        <v>47.9508983704629</v>
      </c>
    </row>
    <row r="2590" customFormat="false" ht="17.15" hidden="false" customHeight="false" outlineLevel="0" collapsed="false">
      <c r="A2590" s="6" t="s">
        <v>550</v>
      </c>
    </row>
    <row r="2591" customFormat="false" ht="17.15" hidden="false" customHeight="false" outlineLevel="0" collapsed="false">
      <c r="A2591" s="0" t="s">
        <v>551</v>
      </c>
      <c r="B2591" s="4" t="s">
        <v>42</v>
      </c>
      <c r="D2591" s="22" t="n">
        <f aca="false">0</f>
        <v>0</v>
      </c>
      <c r="E2591" s="22" t="n">
        <f aca="false">vcap27*vcap_adj</f>
        <v>144</v>
      </c>
      <c r="F2591" s="22" t="n">
        <f aca="false">vcap28*vcap_adj</f>
        <v>360</v>
      </c>
      <c r="G2591" s="22" t="n">
        <f aca="false">vcap29*vcap_adj</f>
        <v>504</v>
      </c>
    </row>
    <row r="2592" customFormat="false" ht="17.15" hidden="false" customHeight="false" outlineLevel="0" collapsed="false">
      <c r="A2592" s="0" t="s">
        <v>552</v>
      </c>
      <c r="B2592" s="0" t="s">
        <v>48</v>
      </c>
      <c r="E2592" s="20" t="n">
        <f aca="false">vut_C</f>
        <v>0.65</v>
      </c>
      <c r="F2592" s="20" t="n">
        <f aca="false">vut_C</f>
        <v>0.65</v>
      </c>
      <c r="G2592" s="20" t="n">
        <f aca="false">vut_C</f>
        <v>0.65</v>
      </c>
    </row>
    <row r="2593" customFormat="false" ht="17.15" hidden="false" customHeight="false" outlineLevel="0" collapsed="false">
      <c r="A2593" s="0" t="s">
        <v>553</v>
      </c>
      <c r="B2593" s="4" t="s">
        <v>42</v>
      </c>
      <c r="D2593" s="22" t="n">
        <f aca="false">0</f>
        <v>0</v>
      </c>
      <c r="E2593" s="22" t="n">
        <f aca="false">E2591*E2592</f>
        <v>93.6</v>
      </c>
      <c r="F2593" s="22" t="n">
        <f aca="false">F2591*F2592</f>
        <v>234</v>
      </c>
      <c r="G2593" s="22" t="n">
        <f aca="false">G2591*G2592</f>
        <v>327.6</v>
      </c>
    </row>
    <row r="2594" customFormat="false" ht="17.15" hidden="false" customHeight="false" outlineLevel="0" collapsed="false">
      <c r="A2594" s="0" t="s">
        <v>554</v>
      </c>
      <c r="B2594" s="0" t="s">
        <v>184</v>
      </c>
      <c r="D2594" s="23" t="n">
        <f aca="false">0</f>
        <v>0</v>
      </c>
      <c r="E2594" s="23" t="n">
        <f aca="false">E2593*vasp_lo*E2588/1000000</f>
        <v>4.4928</v>
      </c>
      <c r="F2594" s="23" t="n">
        <f aca="false">F2593*vasp_lo*F2588/1000000</f>
        <v>11.232</v>
      </c>
      <c r="G2594" s="23" t="n">
        <f aca="false">G2593*vasp_lo*G2588/1000000</f>
        <v>15.7248</v>
      </c>
    </row>
    <row r="2595" customFormat="false" ht="17.15" hidden="false" customHeight="false" outlineLevel="0" collapsed="false">
      <c r="A2595" s="4" t="s">
        <v>400</v>
      </c>
      <c r="B2595" s="0" t="s">
        <v>184</v>
      </c>
      <c r="C2595" s="23" t="n">
        <f aca="false">a25_rev</f>
        <v>48.591</v>
      </c>
      <c r="D2595" s="23" t="n">
        <f aca="false">D2589+D2594</f>
        <v>58.65206</v>
      </c>
      <c r="E2595" s="23" t="n">
        <f aca="false">E2589+E2594</f>
        <v>57.3181583083675</v>
      </c>
      <c r="F2595" s="23" t="n">
        <f aca="false">F2589+F2594</f>
        <v>57.6522836134779</v>
      </c>
      <c r="G2595" s="23" t="n">
        <f aca="false">G2589+G2594</f>
        <v>63.6756983704629</v>
      </c>
      <c r="H2595" s="29" t="n">
        <f aca="false">G2595*(1+H2598)</f>
        <v>68.5353571050115</v>
      </c>
      <c r="I2595" s="29" t="n">
        <f aca="false">H2595*(1+I2598)</f>
        <v>71.8359819279218</v>
      </c>
      <c r="J2595" s="29" t="n">
        <f aca="false">I2595*(1+J2598)</f>
        <v>73.2727015664802</v>
      </c>
      <c r="K2595" s="8" t="s">
        <v>555</v>
      </c>
    </row>
    <row r="2596" customFormat="false" ht="17.15" hidden="false" customHeight="false" outlineLevel="0" collapsed="false">
      <c r="A2596" s="0" t="s">
        <v>556</v>
      </c>
      <c r="B2596" s="0" t="s">
        <v>48</v>
      </c>
      <c r="D2596" s="20" t="n">
        <f aca="false">D2594/D2595</f>
        <v>0</v>
      </c>
      <c r="E2596" s="20" t="n">
        <f aca="false">E2594/E2595</f>
        <v>0.0783835373046891</v>
      </c>
      <c r="F2596" s="20" t="n">
        <f aca="false">F2594/F2595</f>
        <v>0.194823158702671</v>
      </c>
      <c r="G2596" s="20" t="n">
        <f aca="false">G2594/G2595</f>
        <v>0.246951355107465</v>
      </c>
    </row>
    <row r="2597" customFormat="false" ht="17.15" hidden="false" customHeight="false" outlineLevel="0" collapsed="false">
      <c r="A2597" s="0" t="s">
        <v>557</v>
      </c>
      <c r="B2597" s="0" t="s">
        <v>48</v>
      </c>
      <c r="D2597" s="20" t="n">
        <f aca="false">ai_sh26</f>
        <v>0.1</v>
      </c>
      <c r="E2597" s="20" t="n">
        <f aca="false">ai_sh27_C</f>
        <v>0.15</v>
      </c>
      <c r="F2597" s="20" t="n">
        <f aca="false">ai_sh27_C</f>
        <v>0.15</v>
      </c>
      <c r="G2597" s="20" t="n">
        <f aca="false">ai_sh27_C</f>
        <v>0.15</v>
      </c>
    </row>
    <row r="2598" customFormat="false" ht="15" hidden="false" customHeight="false" outlineLevel="0" collapsed="false">
      <c r="A2598" s="4" t="s">
        <v>558</v>
      </c>
      <c r="B2598" s="0" t="s">
        <v>48</v>
      </c>
      <c r="D2598" s="20" t="n">
        <f aca="false">D2595/C2595-1</f>
        <v>0.207056039184211</v>
      </c>
      <c r="E2598" s="20" t="n">
        <f aca="false">E2595/D2595-1</f>
        <v>-0.0227426230490883</v>
      </c>
      <c r="F2598" s="20" t="n">
        <f aca="false">F2595/E2595-1</f>
        <v>0.00582930985522689</v>
      </c>
      <c r="G2598" s="20" t="n">
        <f aca="false">G2595/F2595-1</f>
        <v>0.104478337707629</v>
      </c>
      <c r="H2598" s="27" t="n">
        <f aca="false">$G2598+(fade_gC-$G2598)*1/3</f>
        <v>0.076318891805086</v>
      </c>
      <c r="I2598" s="27" t="n">
        <f aca="false">$G2598+(fade_gC-$G2598)*2/3</f>
        <v>0.048159445902543</v>
      </c>
      <c r="J2598" s="27" t="n">
        <f aca="false">$G2598+(fade_gC-$G2598)*3/3</f>
        <v>0.02</v>
      </c>
    </row>
    <row r="2599" customFormat="false" ht="17.15" hidden="false" customHeight="false" outlineLevel="0" collapsed="false">
      <c r="A2599" s="6" t="s">
        <v>559</v>
      </c>
    </row>
    <row r="2600" customFormat="false" ht="15" hidden="false" customHeight="false" outlineLevel="0" collapsed="false">
      <c r="A2600" s="4" t="s">
        <v>560</v>
      </c>
      <c r="B2600" s="0" t="s">
        <v>184</v>
      </c>
      <c r="D2600" s="23" t="n">
        <f aca="false">da_tot26*da_sh</f>
        <v>8.658</v>
      </c>
      <c r="E2600" s="23" t="n">
        <f aca="false">D2600*(1+dag_27+dag_adj)</f>
        <v>8.91774</v>
      </c>
      <c r="F2600" s="23" t="n">
        <f aca="false">E2600*(1+dag_28+dag_adj)</f>
        <v>9.0960948</v>
      </c>
      <c r="G2600" s="23" t="n">
        <f aca="false">F2600*(1+dag_29+dag_adj)</f>
        <v>9.0960948</v>
      </c>
    </row>
    <row r="2601" customFormat="false" ht="17.15" hidden="false" customHeight="false" outlineLevel="0" collapsed="false">
      <c r="A2601" s="4" t="s">
        <v>561</v>
      </c>
      <c r="B2601" s="0" t="s">
        <v>562</v>
      </c>
      <c r="D2601" s="23" t="n">
        <f aca="false">(D2589-a26_gp-D2600)/D2585*1000</f>
        <v>10.7339918911001</v>
      </c>
      <c r="E2601" s="23" t="n">
        <f aca="false">D2601*(1+cc_g)</f>
        <v>10.9486717289221</v>
      </c>
      <c r="F2601" s="23" t="n">
        <f aca="false">E2601*(1+cc_g)</f>
        <v>11.1676451635006</v>
      </c>
      <c r="G2601" s="23" t="n">
        <f aca="false">F2601*(1+cc_g)</f>
        <v>11.3909980667706</v>
      </c>
      <c r="K2601" s="8" t="s">
        <v>563</v>
      </c>
    </row>
    <row r="2602" customFormat="false" ht="17.15" hidden="false" customHeight="false" outlineLevel="0" collapsed="false">
      <c r="A2602" s="4" t="s">
        <v>564</v>
      </c>
      <c r="B2602" s="0" t="s">
        <v>184</v>
      </c>
      <c r="D2602" s="23" t="n">
        <f aca="false">D2601*D2585/1000</f>
        <v>30.9620386</v>
      </c>
      <c r="E2602" s="23" t="n">
        <f aca="false">E2601*E2585/1000</f>
        <v>28.9570469886533</v>
      </c>
      <c r="F2602" s="23" t="n">
        <f aca="false">F2601*F2585/1000</f>
        <v>27.3209738337944</v>
      </c>
      <c r="G2602" s="23" t="n">
        <f aca="false">G2601*G2585/1000</f>
        <v>29.37373889482</v>
      </c>
    </row>
    <row r="2603" customFormat="false" ht="17.15" hidden="false" customHeight="false" outlineLevel="0" collapsed="false">
      <c r="A2603" s="0" t="s">
        <v>565</v>
      </c>
      <c r="B2603" s="0" t="s">
        <v>48</v>
      </c>
      <c r="E2603" s="20" t="n">
        <f aca="false">vgm27_C</f>
        <v>-0.2</v>
      </c>
      <c r="F2603" s="20" t="n">
        <f aca="false">vgm28_C</f>
        <v>0</v>
      </c>
      <c r="G2603" s="20" t="n">
        <f aca="false">vgm29_C</f>
        <v>0.05</v>
      </c>
    </row>
    <row r="2604" customFormat="false" ht="17.15" hidden="false" customHeight="false" outlineLevel="0" collapsed="false">
      <c r="A2604" s="0" t="s">
        <v>566</v>
      </c>
      <c r="B2604" s="0" t="s">
        <v>184</v>
      </c>
      <c r="D2604" s="23" t="n">
        <f aca="false">0</f>
        <v>0</v>
      </c>
      <c r="E2604" s="23" t="n">
        <f aca="false">E2594*E2603</f>
        <v>-0.89856</v>
      </c>
      <c r="F2604" s="23" t="n">
        <f aca="false">F2594*F2603</f>
        <v>0</v>
      </c>
      <c r="G2604" s="23" t="n">
        <f aca="false">G2594*G2603</f>
        <v>0.78624</v>
      </c>
    </row>
    <row r="2605" customFormat="false" ht="15" hidden="false" customHeight="false" outlineLevel="0" collapsed="false">
      <c r="A2605" s="4" t="s">
        <v>417</v>
      </c>
      <c r="B2605" s="0" t="s">
        <v>184</v>
      </c>
      <c r="C2605" s="23" t="n">
        <f aca="false">a25_gp</f>
        <v>13.654</v>
      </c>
      <c r="D2605" s="23" t="n">
        <f aca="false">D2589-D2600-D2602+D2604</f>
        <v>19.0320214</v>
      </c>
      <c r="E2605" s="23" t="n">
        <f aca="false">E2589-E2600-E2602+E2604</f>
        <v>14.0520113197142</v>
      </c>
      <c r="F2605" s="23" t="n">
        <f aca="false">F2589-F2600-F2602+F2604</f>
        <v>10.0032149796835</v>
      </c>
      <c r="G2605" s="23" t="n">
        <f aca="false">G2589-G2600-G2602+G2604</f>
        <v>10.2673046756429</v>
      </c>
    </row>
    <row r="2606" customFormat="false" ht="15" hidden="false" customHeight="false" outlineLevel="0" collapsed="false">
      <c r="A2606" s="4" t="s">
        <v>420</v>
      </c>
      <c r="B2606" s="0" t="s">
        <v>48</v>
      </c>
      <c r="C2606" s="16" t="n">
        <f aca="false">C2605/C2595</f>
        <v>0.280998538824062</v>
      </c>
      <c r="D2606" s="16" t="n">
        <f aca="false">D2605/D2595</f>
        <v>0.324490246378388</v>
      </c>
      <c r="E2606" s="16" t="n">
        <f aca="false">E2605/E2595</f>
        <v>0.245158109304828</v>
      </c>
      <c r="F2606" s="16" t="n">
        <f aca="false">F2605/F2595</f>
        <v>0.173509431937662</v>
      </c>
      <c r="G2606" s="16" t="n">
        <f aca="false">G2605/G2595</f>
        <v>0.16124369168137</v>
      </c>
    </row>
    <row r="2607" customFormat="false" ht="15" hidden="false" customHeight="false" outlineLevel="0" collapsed="false">
      <c r="A2607" s="4" t="s">
        <v>422</v>
      </c>
      <c r="B2607" s="0" t="s">
        <v>184</v>
      </c>
      <c r="C2607" s="23" t="n">
        <f aca="false">a25_opx</f>
        <v>5.881</v>
      </c>
      <c r="D2607" s="23" t="n">
        <f aca="false">a26_opx</f>
        <v>6.824187</v>
      </c>
      <c r="E2607" s="23" t="n">
        <f aca="false">D2607*(1+MAX(g_opx_min,phi*E2598))</f>
        <v>7.02891261</v>
      </c>
      <c r="F2607" s="23" t="n">
        <f aca="false">E2607*(1+MAX(g_opx_min,phi*F2598))</f>
        <v>7.2397799883</v>
      </c>
      <c r="G2607" s="23" t="n">
        <f aca="false">F2607*(1+MAX(g_opx_min,phi*G2598))</f>
        <v>7.61798007757327</v>
      </c>
    </row>
    <row r="2608" customFormat="false" ht="15" hidden="false" customHeight="false" outlineLevel="0" collapsed="false">
      <c r="A2608" s="4" t="s">
        <v>425</v>
      </c>
      <c r="B2608" s="0" t="s">
        <v>184</v>
      </c>
      <c r="C2608" s="23" t="n">
        <f aca="false">C2605-C2607</f>
        <v>7.773</v>
      </c>
      <c r="D2608" s="23" t="n">
        <f aca="false">D2605-D2607</f>
        <v>12.2078344</v>
      </c>
      <c r="E2608" s="23" t="n">
        <f aca="false">E2605-E2607</f>
        <v>7.0230987097142</v>
      </c>
      <c r="F2608" s="23" t="n">
        <f aca="false">F2605-F2607</f>
        <v>2.76343499138354</v>
      </c>
      <c r="G2608" s="23" t="n">
        <f aca="false">G2605-G2607</f>
        <v>2.64932459806958</v>
      </c>
    </row>
    <row r="2609" customFormat="false" ht="15" hidden="false" customHeight="false" outlineLevel="0" collapsed="false">
      <c r="A2609" s="4" t="s">
        <v>531</v>
      </c>
      <c r="B2609" s="0" t="s">
        <v>48</v>
      </c>
      <c r="C2609" s="16" t="n">
        <f aca="false">C2608/C2595</f>
        <v>0.159967895289251</v>
      </c>
      <c r="D2609" s="16" t="n">
        <f aca="false">D2608/D2595</f>
        <v>0.208139908470393</v>
      </c>
      <c r="E2609" s="16" t="n">
        <f aca="false">E2608/E2595</f>
        <v>0.122528338610087</v>
      </c>
      <c r="F2609" s="16" t="n">
        <f aca="false">F2608/F2595</f>
        <v>0.0479327932595111</v>
      </c>
      <c r="G2609" s="16" t="n">
        <f aca="false">G2608/G2595</f>
        <v>0.0416065259725289</v>
      </c>
    </row>
    <row r="2610" customFormat="false" ht="15" hidden="false" customHeight="false" outlineLevel="0" collapsed="false">
      <c r="A2610" s="4" t="s">
        <v>428</v>
      </c>
      <c r="B2610" s="0" t="s">
        <v>184</v>
      </c>
      <c r="C2610" s="23" t="n">
        <f aca="false">a25_nonop</f>
        <v>1.479</v>
      </c>
      <c r="D2610" s="23" t="n">
        <f aca="false">a26_nonop</f>
        <v>2.10950832169955</v>
      </c>
      <c r="E2610" s="23" t="n">
        <f aca="false">nonop_f</f>
        <v>1.5</v>
      </c>
      <c r="F2610" s="23" t="n">
        <f aca="false">nonop_f</f>
        <v>1.5</v>
      </c>
      <c r="G2610" s="23" t="n">
        <f aca="false">nonop_f</f>
        <v>1.5</v>
      </c>
    </row>
    <row r="2611" customFormat="false" ht="15" hidden="false" customHeight="false" outlineLevel="0" collapsed="false">
      <c r="A2611" s="4" t="s">
        <v>430</v>
      </c>
      <c r="B2611" s="0" t="s">
        <v>184</v>
      </c>
      <c r="C2611" s="23" t="n">
        <f aca="false">C2608+C2610</f>
        <v>9.252</v>
      </c>
      <c r="D2611" s="23" t="n">
        <f aca="false">D2608+D2610</f>
        <v>14.3173427216995</v>
      </c>
      <c r="E2611" s="23" t="n">
        <f aca="false">E2608+E2610</f>
        <v>8.5230987097142</v>
      </c>
      <c r="F2611" s="23" t="n">
        <f aca="false">F2608+F2610</f>
        <v>4.26343499138354</v>
      </c>
      <c r="G2611" s="23" t="n">
        <f aca="false">G2608+G2610</f>
        <v>4.14932459806958</v>
      </c>
    </row>
    <row r="2612" customFormat="false" ht="15" hidden="false" customHeight="false" outlineLevel="0" collapsed="false">
      <c r="A2612" s="4" t="s">
        <v>432</v>
      </c>
      <c r="B2612" s="0" t="s">
        <v>184</v>
      </c>
      <c r="C2612" s="23" t="n">
        <f aca="false">a25_tax</f>
        <v>1.344</v>
      </c>
      <c r="D2612" s="23" t="n">
        <f aca="false">a26_tax</f>
        <v>2.0798215108046</v>
      </c>
      <c r="E2612" s="23" t="n">
        <f aca="false">E2611*tax</f>
        <v>1.27846480645713</v>
      </c>
      <c r="F2612" s="23" t="n">
        <f aca="false">F2611*tax</f>
        <v>0.63951524870753</v>
      </c>
      <c r="G2612" s="23" t="n">
        <f aca="false">G2611*tax</f>
        <v>0.622398689710437</v>
      </c>
    </row>
    <row r="2613" customFormat="false" ht="17.15" hidden="false" customHeight="false" outlineLevel="0" collapsed="false">
      <c r="A2613" s="4" t="s">
        <v>567</v>
      </c>
      <c r="B2613" s="0" t="s">
        <v>184</v>
      </c>
      <c r="C2613" s="23" t="n">
        <f aca="false">a25_mi</f>
        <v>0</v>
      </c>
      <c r="D2613" s="23" t="n">
        <f aca="false">a26_mi</f>
        <v>0</v>
      </c>
      <c r="E2613" s="23" t="n">
        <f aca="false">vmi*E2604*(1-tax)</f>
        <v>-0.3055104</v>
      </c>
      <c r="F2613" s="23" t="n">
        <f aca="false">vmi*F2604*(1-tax)</f>
        <v>0</v>
      </c>
      <c r="G2613" s="23" t="n">
        <f aca="false">vmi*G2604*(1-tax)</f>
        <v>0.2673216</v>
      </c>
      <c r="K2613" s="8" t="s">
        <v>568</v>
      </c>
    </row>
    <row r="2614" customFormat="false" ht="15" hidden="false" customHeight="false" outlineLevel="0" collapsed="false">
      <c r="A2614" s="4" t="s">
        <v>435</v>
      </c>
      <c r="B2614" s="0" t="s">
        <v>184</v>
      </c>
      <c r="C2614" s="23" t="n">
        <f aca="false">C2611-C2612-C2613</f>
        <v>7.908</v>
      </c>
      <c r="D2614" s="23" t="n">
        <f aca="false">D2611-D2612-D2613</f>
        <v>12.2375212108949</v>
      </c>
      <c r="E2614" s="23" t="n">
        <f aca="false">E2611-E2612-E2613</f>
        <v>7.55014430325707</v>
      </c>
      <c r="F2614" s="23" t="n">
        <f aca="false">F2611-F2612-F2613</f>
        <v>3.62391974267601</v>
      </c>
      <c r="G2614" s="23" t="n">
        <f aca="false">G2611-G2612-G2613</f>
        <v>3.25960430835914</v>
      </c>
      <c r="H2614" s="29" t="n">
        <f aca="false">H2595*H2618</f>
        <v>3.27448211710312</v>
      </c>
      <c r="I2614" s="29" t="n">
        <f aca="false">I2595*I2618</f>
        <v>3.18702369280341</v>
      </c>
      <c r="J2614" s="29" t="n">
        <f aca="false">J2595*J2618</f>
        <v>3.00070538460875</v>
      </c>
    </row>
    <row r="2615" customFormat="false" ht="15" hidden="false" customHeight="false" outlineLevel="0" collapsed="false">
      <c r="A2615" s="4" t="s">
        <v>569</v>
      </c>
      <c r="B2615" s="4" t="s">
        <v>265</v>
      </c>
      <c r="C2615" s="10" t="n">
        <f aca="false">a25_sh</f>
        <v>1.8739336492891</v>
      </c>
      <c r="D2615" s="10" t="n">
        <f aca="false">a26_sh</f>
        <v>1.90613591916558</v>
      </c>
      <c r="E2615" s="10" t="n">
        <f aca="false">q_sh*(1+sh_g)</f>
        <v>1.90705128205128</v>
      </c>
      <c r="F2615" s="10" t="n">
        <f aca="false">E2615*(1+sh_g)</f>
        <v>1.90705128205128</v>
      </c>
      <c r="G2615" s="10" t="n">
        <f aca="false">F2615*(1+sh_g)</f>
        <v>1.90705128205128</v>
      </c>
      <c r="H2615" s="31" t="n">
        <f aca="false">G2615*(1+sh_g)</f>
        <v>1.90705128205128</v>
      </c>
      <c r="I2615" s="31" t="n">
        <f aca="false">H2615*(1+sh_g)</f>
        <v>1.90705128205128</v>
      </c>
      <c r="J2615" s="31" t="n">
        <f aca="false">I2615*(1+sh_g)</f>
        <v>1.90705128205128</v>
      </c>
    </row>
    <row r="2616" customFormat="false" ht="17.15" hidden="false" customHeight="false" outlineLevel="0" collapsed="false">
      <c r="A2616" s="0" t="s">
        <v>442</v>
      </c>
      <c r="B2616" s="0" t="s">
        <v>274</v>
      </c>
      <c r="C2616" s="23" t="n">
        <f aca="false">C2614/C2615</f>
        <v>4.22</v>
      </c>
      <c r="D2616" s="23" t="n">
        <f aca="false">D2614/D2615</f>
        <v>6.42006747150118</v>
      </c>
      <c r="E2616" s="23" t="n">
        <f aca="false">E2614/E2615</f>
        <v>3.95906726490119</v>
      </c>
      <c r="F2616" s="23" t="n">
        <f aca="false">F2614/F2615</f>
        <v>1.90027388187381</v>
      </c>
      <c r="G2616" s="23" t="n">
        <f aca="false">G2614/G2615</f>
        <v>1.7092378894253</v>
      </c>
      <c r="H2616" s="29" t="n">
        <f aca="false">H2614/H2615</f>
        <v>1.71703936224567</v>
      </c>
      <c r="I2616" s="29" t="n">
        <f aca="false">I2614/I2615</f>
        <v>1.67117881034397</v>
      </c>
      <c r="J2616" s="29" t="n">
        <f aca="false">J2614/J2615</f>
        <v>1.57347912604694</v>
      </c>
    </row>
    <row r="2617" customFormat="false" ht="17.15" hidden="false" customHeight="false" outlineLevel="0" collapsed="false">
      <c r="A2617" s="0" t="s">
        <v>570</v>
      </c>
      <c r="B2617" s="0" t="s">
        <v>48</v>
      </c>
      <c r="D2617" s="20" t="n">
        <f aca="false">D2616/C2616-1</f>
        <v>0.521343002725398</v>
      </c>
      <c r="E2617" s="20" t="n">
        <f aca="false">E2616/D2616-1</f>
        <v>-0.38332933688383</v>
      </c>
      <c r="F2617" s="20" t="n">
        <f aca="false">F2616/E2616-1</f>
        <v>-0.520019803977432</v>
      </c>
      <c r="G2617" s="20" t="n">
        <f aca="false">G2616/F2616-1</f>
        <v>-0.10053076783865</v>
      </c>
      <c r="H2617" s="27" t="n">
        <f aca="false">H2616/G2616-1</f>
        <v>0.00456429901808031</v>
      </c>
      <c r="I2617" s="27" t="n">
        <f aca="false">I2616/H2616-1</f>
        <v>-0.0267090859476384</v>
      </c>
      <c r="J2617" s="27" t="n">
        <f aca="false">J2616/I2616-1</f>
        <v>-0.0584615384615385</v>
      </c>
    </row>
    <row r="2618" customFormat="false" ht="17.15" hidden="false" customHeight="false" outlineLevel="0" collapsed="false">
      <c r="A2618" s="4" t="s">
        <v>571</v>
      </c>
      <c r="B2618" s="0" t="s">
        <v>48</v>
      </c>
      <c r="C2618" s="16" t="n">
        <f aca="false">C2614/C2595</f>
        <v>0.162746187565599</v>
      </c>
      <c r="D2618" s="16" t="n">
        <f aca="false">D2614/D2595</f>
        <v>0.208646059676249</v>
      </c>
      <c r="E2618" s="16" t="n">
        <f aca="false">E2614/E2595</f>
        <v>0.131723428073837</v>
      </c>
      <c r="F2618" s="16" t="n">
        <f aca="false">F2614/F2595</f>
        <v>0.0628582168049421</v>
      </c>
      <c r="G2618" s="16" t="n">
        <f aca="false">G2614/G2595</f>
        <v>0.0511907115552135</v>
      </c>
      <c r="H2618" s="28" t="n">
        <f aca="false">$G2618+($G$2618*0.8-$G2618)*1/3</f>
        <v>0.0477779974515326</v>
      </c>
      <c r="I2618" s="28" t="n">
        <f aca="false">$G2618+($G$2618*0.8-$G2618)*2/3</f>
        <v>0.0443652833478517</v>
      </c>
      <c r="J2618" s="28" t="n">
        <f aca="false">$G2618+($G$2618*0.8-$G2618)*3/3</f>
        <v>0.0409525692441708</v>
      </c>
    </row>
    <row r="2621" customFormat="false" ht="17.15" hidden="false" customHeight="false" outlineLevel="0" collapsed="false">
      <c r="A2621" s="1" t="s">
        <v>908</v>
      </c>
    </row>
    <row r="2622" customFormat="false" ht="17.15" hidden="false" customHeight="false" outlineLevel="0" collapsed="false">
      <c r="A2622" s="5" t="s">
        <v>24</v>
      </c>
      <c r="B2622" s="5" t="s">
        <v>25</v>
      </c>
      <c r="C2622" s="17" t="s">
        <v>394</v>
      </c>
      <c r="D2622" s="17" t="s">
        <v>521</v>
      </c>
      <c r="E2622" s="17" t="s">
        <v>480</v>
      </c>
      <c r="F2622" s="17" t="s">
        <v>481</v>
      </c>
      <c r="G2622" s="17" t="s">
        <v>482</v>
      </c>
      <c r="H2622" s="17" t="s">
        <v>522</v>
      </c>
      <c r="I2622" s="17" t="s">
        <v>523</v>
      </c>
      <c r="J2622" s="17" t="s">
        <v>524</v>
      </c>
      <c r="K2622" s="5" t="s">
        <v>357</v>
      </c>
    </row>
    <row r="2623" customFormat="false" ht="17.15" hidden="false" customHeight="false" outlineLevel="0" collapsed="false">
      <c r="A2623" s="6" t="s">
        <v>542</v>
      </c>
    </row>
    <row r="2624" customFormat="false" ht="17.15" hidden="false" customHeight="false" outlineLevel="0" collapsed="false">
      <c r="A2624" s="4" t="s">
        <v>543</v>
      </c>
      <c r="B2624" s="4" t="s">
        <v>42</v>
      </c>
      <c r="D2624" s="22" t="n">
        <f aca="false">cap_26</f>
        <v>3306</v>
      </c>
      <c r="E2624" s="22" t="n">
        <f aca="false">D2624*(1+capg27)*cap_adj</f>
        <v>3306</v>
      </c>
      <c r="F2624" s="22" t="n">
        <f aca="false">E2624*(1+capg28)</f>
        <v>3306</v>
      </c>
      <c r="G2624" s="22" t="n">
        <f aca="false">F2624*(1+capg29)</f>
        <v>3306</v>
      </c>
    </row>
    <row r="2625" customFormat="false" ht="15" hidden="false" customHeight="false" outlineLevel="0" collapsed="false">
      <c r="A2625" s="4" t="s">
        <v>544</v>
      </c>
      <c r="B2625" s="0" t="s">
        <v>48</v>
      </c>
      <c r="D2625" s="20" t="n">
        <f aca="false">a26_ship/cap_26</f>
        <v>0.8725</v>
      </c>
      <c r="E2625" s="20" t="n">
        <f aca="false">MIN(0.98,ut27_A+ut_adj)</f>
        <v>0.95</v>
      </c>
      <c r="F2625" s="20" t="n">
        <f aca="false">MIN(0.98,ut28_A+ut_adj)</f>
        <v>0.94</v>
      </c>
      <c r="G2625" s="20" t="n">
        <f aca="false">MIN(0.98,ut29_A+ut_adj)</f>
        <v>0.93</v>
      </c>
    </row>
    <row r="2626" customFormat="false" ht="17.15" hidden="false" customHeight="false" outlineLevel="0" collapsed="false">
      <c r="A2626" s="4" t="s">
        <v>545</v>
      </c>
      <c r="B2626" s="4" t="s">
        <v>42</v>
      </c>
      <c r="D2626" s="22" t="n">
        <f aca="false">D2624*D2625</f>
        <v>2884.485</v>
      </c>
      <c r="E2626" s="22" t="n">
        <f aca="false">E2624*E2625</f>
        <v>3140.7</v>
      </c>
      <c r="F2626" s="22" t="n">
        <f aca="false">F2624*F2625</f>
        <v>3107.64</v>
      </c>
      <c r="G2626" s="22" t="n">
        <f aca="false">G2624*G2625</f>
        <v>3074.58</v>
      </c>
    </row>
    <row r="2627" customFormat="false" ht="17.15" hidden="false" customHeight="false" outlineLevel="0" collapsed="false">
      <c r="A2627" s="4" t="s">
        <v>546</v>
      </c>
      <c r="B2627" s="0" t="s">
        <v>89</v>
      </c>
      <c r="D2627" s="22" t="n">
        <f aca="false">asp_26</f>
        <v>643.469405492234</v>
      </c>
      <c r="E2627" s="22" t="n">
        <f aca="false">D2627*(1+asp27_A)*(1+asp_adj)</f>
        <v>682.077569821768</v>
      </c>
      <c r="F2627" s="22" t="n">
        <f aca="false">E2627*(1+asp28_A)</f>
        <v>695.719121218203</v>
      </c>
      <c r="G2627" s="22" t="n">
        <f aca="false">F2627*(1+asp29_A)</f>
        <v>702.676312430385</v>
      </c>
    </row>
    <row r="2628" customFormat="false" ht="15" hidden="false" customHeight="false" outlineLevel="0" collapsed="false">
      <c r="A2628" s="4" t="s">
        <v>547</v>
      </c>
      <c r="B2628" s="0" t="s">
        <v>48</v>
      </c>
      <c r="E2628" s="20" t="n">
        <f aca="false">E2627/D2627-1</f>
        <v>0.0600000000000001</v>
      </c>
      <c r="F2628" s="20" t="n">
        <f aca="false">F2627/E2627-1</f>
        <v>0.02</v>
      </c>
      <c r="G2628" s="20" t="n">
        <f aca="false">G2627/F2627-1</f>
        <v>0.01</v>
      </c>
    </row>
    <row r="2629" customFormat="false" ht="15" hidden="false" customHeight="false" outlineLevel="0" collapsed="false">
      <c r="A2629" s="4" t="s">
        <v>548</v>
      </c>
      <c r="B2629" s="0" t="s">
        <v>35</v>
      </c>
      <c r="D2629" s="23" t="n">
        <f aca="false">fx_26</f>
        <v>31.6</v>
      </c>
      <c r="E2629" s="23" t="n">
        <f aca="false">fx</f>
        <v>32</v>
      </c>
      <c r="F2629" s="23" t="n">
        <f aca="false">fx</f>
        <v>32</v>
      </c>
      <c r="G2629" s="23" t="n">
        <f aca="false">fx</f>
        <v>32</v>
      </c>
    </row>
    <row r="2630" customFormat="false" ht="17.15" hidden="false" customHeight="false" outlineLevel="0" collapsed="false">
      <c r="A2630" s="0" t="s">
        <v>549</v>
      </c>
      <c r="B2630" s="0" t="s">
        <v>184</v>
      </c>
      <c r="D2630" s="23" t="n">
        <f aca="false">D2626*D2627*D2629/1000000</f>
        <v>58.65206</v>
      </c>
      <c r="E2630" s="23" t="n">
        <f aca="false">E2626*E2627*E2629/1000000</f>
        <v>68.5504327532552</v>
      </c>
      <c r="F2630" s="23" t="n">
        <f aca="false">F2626*F2627*F2629/1000000</f>
        <v>69.1854262356012</v>
      </c>
      <c r="G2630" s="23" t="n">
        <f aca="false">G2626*G2627*G2629/1000000</f>
        <v>69.1339051735108</v>
      </c>
    </row>
    <row r="2631" customFormat="false" ht="17.15" hidden="false" customHeight="false" outlineLevel="0" collapsed="false">
      <c r="A2631" s="6" t="s">
        <v>550</v>
      </c>
    </row>
    <row r="2632" customFormat="false" ht="17.15" hidden="false" customHeight="false" outlineLevel="0" collapsed="false">
      <c r="A2632" s="0" t="s">
        <v>551</v>
      </c>
      <c r="B2632" s="4" t="s">
        <v>42</v>
      </c>
      <c r="D2632" s="22" t="n">
        <f aca="false">0</f>
        <v>0</v>
      </c>
      <c r="E2632" s="22" t="n">
        <f aca="false">vcap27*vcap_adj</f>
        <v>144</v>
      </c>
      <c r="F2632" s="22" t="n">
        <f aca="false">vcap28*vcap_adj</f>
        <v>360</v>
      </c>
      <c r="G2632" s="22" t="n">
        <f aca="false">vcap29*vcap_adj</f>
        <v>504</v>
      </c>
    </row>
    <row r="2633" customFormat="false" ht="17.15" hidden="false" customHeight="false" outlineLevel="0" collapsed="false">
      <c r="A2633" s="0" t="s">
        <v>552</v>
      </c>
      <c r="B2633" s="0" t="s">
        <v>48</v>
      </c>
      <c r="E2633" s="20" t="n">
        <f aca="false">vut_A</f>
        <v>0.9</v>
      </c>
      <c r="F2633" s="20" t="n">
        <f aca="false">vut_A</f>
        <v>0.9</v>
      </c>
      <c r="G2633" s="20" t="n">
        <f aca="false">vut_A</f>
        <v>0.9</v>
      </c>
    </row>
    <row r="2634" customFormat="false" ht="17.15" hidden="false" customHeight="false" outlineLevel="0" collapsed="false">
      <c r="A2634" s="0" t="s">
        <v>553</v>
      </c>
      <c r="B2634" s="4" t="s">
        <v>42</v>
      </c>
      <c r="D2634" s="22" t="n">
        <f aca="false">0</f>
        <v>0</v>
      </c>
      <c r="E2634" s="22" t="n">
        <f aca="false">E2632*E2633</f>
        <v>129.6</v>
      </c>
      <c r="F2634" s="22" t="n">
        <f aca="false">F2632*F2633</f>
        <v>324</v>
      </c>
      <c r="G2634" s="22" t="n">
        <f aca="false">G2632*G2633</f>
        <v>453.6</v>
      </c>
    </row>
    <row r="2635" customFormat="false" ht="17.15" hidden="false" customHeight="false" outlineLevel="0" collapsed="false">
      <c r="A2635" s="0" t="s">
        <v>554</v>
      </c>
      <c r="B2635" s="0" t="s">
        <v>184</v>
      </c>
      <c r="D2635" s="23" t="n">
        <f aca="false">0</f>
        <v>0</v>
      </c>
      <c r="E2635" s="23" t="n">
        <f aca="false">E2634*vasp_hi*E2629/1000000</f>
        <v>8.70912</v>
      </c>
      <c r="F2635" s="23" t="n">
        <f aca="false">F2634*vasp_hi*F2629/1000000</f>
        <v>21.7728</v>
      </c>
      <c r="G2635" s="23" t="n">
        <f aca="false">G2634*vasp_hi*G2629/1000000</f>
        <v>30.48192</v>
      </c>
    </row>
    <row r="2636" customFormat="false" ht="17.15" hidden="false" customHeight="false" outlineLevel="0" collapsed="false">
      <c r="A2636" s="4" t="s">
        <v>400</v>
      </c>
      <c r="B2636" s="0" t="s">
        <v>184</v>
      </c>
      <c r="C2636" s="23" t="n">
        <f aca="false">a25_rev</f>
        <v>48.591</v>
      </c>
      <c r="D2636" s="23" t="n">
        <f aca="false">D2630+D2635</f>
        <v>58.65206</v>
      </c>
      <c r="E2636" s="23" t="n">
        <f aca="false">E2630+E2635</f>
        <v>77.2595527532552</v>
      </c>
      <c r="F2636" s="23" t="n">
        <f aca="false">F2630+F2635</f>
        <v>90.9582262356012</v>
      </c>
      <c r="G2636" s="23" t="n">
        <f aca="false">G2630+G2635</f>
        <v>99.6158251735108</v>
      </c>
      <c r="H2636" s="29" t="n">
        <f aca="false">G2636*(1+H2639)</f>
        <v>107.929240184973</v>
      </c>
      <c r="I2636" s="29" t="n">
        <f aca="false">H2636*(1+I2639)</f>
        <v>115.670721933107</v>
      </c>
      <c r="J2636" s="29" t="n">
        <f aca="false">I2636*(1+J2639)</f>
        <v>122.610965249093</v>
      </c>
      <c r="K2636" s="8" t="s">
        <v>555</v>
      </c>
    </row>
    <row r="2637" customFormat="false" ht="17.15" hidden="false" customHeight="false" outlineLevel="0" collapsed="false">
      <c r="A2637" s="0" t="s">
        <v>556</v>
      </c>
      <c r="B2637" s="0" t="s">
        <v>48</v>
      </c>
      <c r="D2637" s="20" t="n">
        <f aca="false">D2635/D2636</f>
        <v>0</v>
      </c>
      <c r="E2637" s="20" t="n">
        <f aca="false">E2635/E2636</f>
        <v>0.112725477816503</v>
      </c>
      <c r="F2637" s="20" t="n">
        <f aca="false">F2635/F2636</f>
        <v>0.239371422476993</v>
      </c>
      <c r="G2637" s="20" t="n">
        <f aca="false">G2635/G2636</f>
        <v>0.305994754818389</v>
      </c>
    </row>
    <row r="2638" customFormat="false" ht="17.15" hidden="false" customHeight="false" outlineLevel="0" collapsed="false">
      <c r="A2638" s="0" t="s">
        <v>557</v>
      </c>
      <c r="B2638" s="0" t="s">
        <v>48</v>
      </c>
      <c r="D2638" s="20" t="n">
        <f aca="false">ai_sh26</f>
        <v>0.1</v>
      </c>
      <c r="E2638" s="20" t="n">
        <f aca="false">ai_sh27_A</f>
        <v>0.25</v>
      </c>
      <c r="F2638" s="20" t="n">
        <f aca="false">ai_sh27_A</f>
        <v>0.25</v>
      </c>
      <c r="G2638" s="20" t="n">
        <f aca="false">ai_sh27_A</f>
        <v>0.25</v>
      </c>
    </row>
    <row r="2639" customFormat="false" ht="15" hidden="false" customHeight="false" outlineLevel="0" collapsed="false">
      <c r="A2639" s="4" t="s">
        <v>558</v>
      </c>
      <c r="B2639" s="0" t="s">
        <v>48</v>
      </c>
      <c r="D2639" s="20" t="n">
        <f aca="false">D2636/C2636-1</f>
        <v>0.207056039184211</v>
      </c>
      <c r="E2639" s="20" t="n">
        <f aca="false">E2636/D2636-1</f>
        <v>0.317252160508177</v>
      </c>
      <c r="F2639" s="20" t="n">
        <f aca="false">F2636/E2636-1</f>
        <v>0.177307180719717</v>
      </c>
      <c r="G2639" s="20" t="n">
        <f aca="false">G2636/F2636-1</f>
        <v>0.0951821434543441</v>
      </c>
      <c r="H2639" s="27" t="n">
        <f aca="false">$G2639+(fade_gA-$G2639)*1/3</f>
        <v>0.083454762302896</v>
      </c>
      <c r="I2639" s="27" t="n">
        <f aca="false">$G2639+(fade_gA-$G2639)*2/3</f>
        <v>0.071727381151448</v>
      </c>
      <c r="J2639" s="27" t="n">
        <f aca="false">$G2639+(fade_gA-$G2639)*3/3</f>
        <v>0.06</v>
      </c>
    </row>
    <row r="2640" customFormat="false" ht="17.15" hidden="false" customHeight="false" outlineLevel="0" collapsed="false">
      <c r="A2640" s="6" t="s">
        <v>559</v>
      </c>
    </row>
    <row r="2641" customFormat="false" ht="15" hidden="false" customHeight="false" outlineLevel="0" collapsed="false">
      <c r="A2641" s="4" t="s">
        <v>560</v>
      </c>
      <c r="B2641" s="0" t="s">
        <v>184</v>
      </c>
      <c r="D2641" s="23" t="n">
        <f aca="false">da_tot26*da_sh</f>
        <v>8.658</v>
      </c>
      <c r="E2641" s="23" t="n">
        <f aca="false">D2641*(1+dag_27+dag_adj)</f>
        <v>8.91774</v>
      </c>
      <c r="F2641" s="23" t="n">
        <f aca="false">E2641*(1+dag_28+dag_adj)</f>
        <v>9.0960948</v>
      </c>
      <c r="G2641" s="23" t="n">
        <f aca="false">F2641*(1+dag_29+dag_adj)</f>
        <v>9.0960948</v>
      </c>
    </row>
    <row r="2642" customFormat="false" ht="17.15" hidden="false" customHeight="false" outlineLevel="0" collapsed="false">
      <c r="A2642" s="4" t="s">
        <v>561</v>
      </c>
      <c r="B2642" s="0" t="s">
        <v>562</v>
      </c>
      <c r="D2642" s="23" t="n">
        <f aca="false">(D2630-a26_gp-D2641)/D2626*1000</f>
        <v>10.7339918911001</v>
      </c>
      <c r="E2642" s="23" t="n">
        <f aca="false">D2642*(1+cc_g)</f>
        <v>10.9486717289221</v>
      </c>
      <c r="F2642" s="23" t="n">
        <f aca="false">E2642*(1+cc_g)</f>
        <v>11.1676451635006</v>
      </c>
      <c r="G2642" s="23" t="n">
        <f aca="false">F2642*(1+cc_g)</f>
        <v>11.3909980667706</v>
      </c>
      <c r="K2642" s="8" t="s">
        <v>563</v>
      </c>
    </row>
    <row r="2643" customFormat="false" ht="17.15" hidden="false" customHeight="false" outlineLevel="0" collapsed="false">
      <c r="A2643" s="4" t="s">
        <v>564</v>
      </c>
      <c r="B2643" s="0" t="s">
        <v>184</v>
      </c>
      <c r="D2643" s="23" t="n">
        <f aca="false">D2642*D2626/1000</f>
        <v>30.9620386</v>
      </c>
      <c r="E2643" s="23" t="n">
        <f aca="false">E2642*E2626/1000</f>
        <v>34.3864932990258</v>
      </c>
      <c r="F2643" s="23" t="n">
        <f aca="false">F2642*F2626/1000</f>
        <v>34.705020815901</v>
      </c>
      <c r="G2643" s="23" t="n">
        <f aca="false">G2642*G2626/1000</f>
        <v>35.0225348361316</v>
      </c>
    </row>
    <row r="2644" customFormat="false" ht="17.15" hidden="false" customHeight="false" outlineLevel="0" collapsed="false">
      <c r="A2644" s="0" t="s">
        <v>565</v>
      </c>
      <c r="B2644" s="0" t="s">
        <v>48</v>
      </c>
      <c r="E2644" s="20" t="n">
        <f aca="false">vgm27_A</f>
        <v>0.05</v>
      </c>
      <c r="F2644" s="20" t="n">
        <f aca="false">vgm28_A</f>
        <v>0.2</v>
      </c>
      <c r="G2644" s="20" t="n">
        <f aca="false">vgm29_A</f>
        <v>0.25</v>
      </c>
    </row>
    <row r="2645" customFormat="false" ht="17.15" hidden="false" customHeight="false" outlineLevel="0" collapsed="false">
      <c r="A2645" s="0" t="s">
        <v>566</v>
      </c>
      <c r="B2645" s="0" t="s">
        <v>184</v>
      </c>
      <c r="D2645" s="23" t="n">
        <f aca="false">0</f>
        <v>0</v>
      </c>
      <c r="E2645" s="23" t="n">
        <f aca="false">E2635*E2644</f>
        <v>0.435456</v>
      </c>
      <c r="F2645" s="23" t="n">
        <f aca="false">F2635*F2644</f>
        <v>4.35456</v>
      </c>
      <c r="G2645" s="23" t="n">
        <f aca="false">G2635*G2644</f>
        <v>7.62048</v>
      </c>
    </row>
    <row r="2646" customFormat="false" ht="15" hidden="false" customHeight="false" outlineLevel="0" collapsed="false">
      <c r="A2646" s="4" t="s">
        <v>417</v>
      </c>
      <c r="B2646" s="0" t="s">
        <v>184</v>
      </c>
      <c r="C2646" s="23" t="n">
        <f aca="false">a25_gp</f>
        <v>13.654</v>
      </c>
      <c r="D2646" s="23" t="n">
        <f aca="false">D2630-D2641-D2643+D2645</f>
        <v>19.0320214</v>
      </c>
      <c r="E2646" s="23" t="n">
        <f aca="false">E2630-E2641-E2643+E2645</f>
        <v>25.6816554542294</v>
      </c>
      <c r="F2646" s="23" t="n">
        <f aca="false">F2630-F2641-F2643+F2645</f>
        <v>29.7388706197002</v>
      </c>
      <c r="G2646" s="23" t="n">
        <f aca="false">G2630-G2641-G2643+G2645</f>
        <v>32.6357555373793</v>
      </c>
    </row>
    <row r="2647" customFormat="false" ht="15" hidden="false" customHeight="false" outlineLevel="0" collapsed="false">
      <c r="A2647" s="4" t="s">
        <v>420</v>
      </c>
      <c r="B2647" s="0" t="s">
        <v>48</v>
      </c>
      <c r="C2647" s="16" t="n">
        <f aca="false">C2646/C2636</f>
        <v>0.280998538824062</v>
      </c>
      <c r="D2647" s="16" t="n">
        <f aca="false">D2646/D2636</f>
        <v>0.324490246378388</v>
      </c>
      <c r="E2647" s="16" t="n">
        <f aca="false">E2646/E2636</f>
        <v>0.332407508703154</v>
      </c>
      <c r="F2647" s="16" t="n">
        <f aca="false">F2646/F2636</f>
        <v>0.326950863604906</v>
      </c>
      <c r="G2647" s="16" t="n">
        <f aca="false">G2646/G2636</f>
        <v>0.32761617424274</v>
      </c>
    </row>
    <row r="2648" customFormat="false" ht="15" hidden="false" customHeight="false" outlineLevel="0" collapsed="false">
      <c r="A2648" s="4" t="s">
        <v>422</v>
      </c>
      <c r="B2648" s="0" t="s">
        <v>184</v>
      </c>
      <c r="C2648" s="23" t="n">
        <f aca="false">a25_opx</f>
        <v>5.881</v>
      </c>
      <c r="D2648" s="23" t="n">
        <f aca="false">a26_opx</f>
        <v>6.824187</v>
      </c>
      <c r="E2648" s="23" t="n">
        <f aca="false">D2648*(1+MAX(g_opx_min,phi*E2639))</f>
        <v>7.90668103473091</v>
      </c>
      <c r="F2648" s="23" t="n">
        <f aca="false">E2648*(1+MAX(g_opx_min,phi*F2639))</f>
        <v>8.60763669629001</v>
      </c>
      <c r="G2648" s="23" t="n">
        <f aca="false">F2648*(1+MAX(g_opx_min,phi*G2639))</f>
        <v>9.01728335170458</v>
      </c>
    </row>
    <row r="2649" customFormat="false" ht="15" hidden="false" customHeight="false" outlineLevel="0" collapsed="false">
      <c r="A2649" s="4" t="s">
        <v>425</v>
      </c>
      <c r="B2649" s="0" t="s">
        <v>184</v>
      </c>
      <c r="C2649" s="23" t="n">
        <f aca="false">C2646-C2648</f>
        <v>7.773</v>
      </c>
      <c r="D2649" s="23" t="n">
        <f aca="false">D2646-D2648</f>
        <v>12.2078344</v>
      </c>
      <c r="E2649" s="23" t="n">
        <f aca="false">E2646-E2648</f>
        <v>17.7749744194985</v>
      </c>
      <c r="F2649" s="23" t="n">
        <f aca="false">F2646-F2648</f>
        <v>21.1312339234102</v>
      </c>
      <c r="G2649" s="23" t="n">
        <f aca="false">G2646-G2648</f>
        <v>23.6184721856747</v>
      </c>
    </row>
    <row r="2650" customFormat="false" ht="15" hidden="false" customHeight="false" outlineLevel="0" collapsed="false">
      <c r="A2650" s="4" t="s">
        <v>531</v>
      </c>
      <c r="B2650" s="0" t="s">
        <v>48</v>
      </c>
      <c r="C2650" s="16" t="n">
        <f aca="false">C2649/C2636</f>
        <v>0.159967895289251</v>
      </c>
      <c r="D2650" s="16" t="n">
        <f aca="false">D2649/D2636</f>
        <v>0.208139908470393</v>
      </c>
      <c r="E2650" s="16" t="n">
        <f aca="false">E2649/E2636</f>
        <v>0.230068305938383</v>
      </c>
      <c r="F2650" s="16" t="n">
        <f aca="false">F2649/F2636</f>
        <v>0.232318007924603</v>
      </c>
      <c r="G2650" s="16" t="n">
        <f aca="false">G2649/G2636</f>
        <v>0.237095583402899</v>
      </c>
    </row>
    <row r="2651" customFormat="false" ht="15" hidden="false" customHeight="false" outlineLevel="0" collapsed="false">
      <c r="A2651" s="4" t="s">
        <v>428</v>
      </c>
      <c r="B2651" s="0" t="s">
        <v>184</v>
      </c>
      <c r="C2651" s="23" t="n">
        <f aca="false">a25_nonop</f>
        <v>1.479</v>
      </c>
      <c r="D2651" s="23" t="n">
        <f aca="false">a26_nonop</f>
        <v>2.10950832169955</v>
      </c>
      <c r="E2651" s="23" t="n">
        <f aca="false">nonop_f</f>
        <v>1.5</v>
      </c>
      <c r="F2651" s="23" t="n">
        <f aca="false">nonop_f</f>
        <v>1.5</v>
      </c>
      <c r="G2651" s="23" t="n">
        <f aca="false">nonop_f</f>
        <v>1.5</v>
      </c>
    </row>
    <row r="2652" customFormat="false" ht="15" hidden="false" customHeight="false" outlineLevel="0" collapsed="false">
      <c r="A2652" s="4" t="s">
        <v>430</v>
      </c>
      <c r="B2652" s="0" t="s">
        <v>184</v>
      </c>
      <c r="C2652" s="23" t="n">
        <f aca="false">C2649+C2651</f>
        <v>9.252</v>
      </c>
      <c r="D2652" s="23" t="n">
        <f aca="false">D2649+D2651</f>
        <v>14.3173427216995</v>
      </c>
      <c r="E2652" s="23" t="n">
        <f aca="false">E2649+E2651</f>
        <v>19.2749744194985</v>
      </c>
      <c r="F2652" s="23" t="n">
        <f aca="false">F2649+F2651</f>
        <v>22.6312339234102</v>
      </c>
      <c r="G2652" s="23" t="n">
        <f aca="false">G2649+G2651</f>
        <v>25.1184721856747</v>
      </c>
    </row>
    <row r="2653" customFormat="false" ht="15" hidden="false" customHeight="false" outlineLevel="0" collapsed="false">
      <c r="A2653" s="4" t="s">
        <v>432</v>
      </c>
      <c r="B2653" s="0" t="s">
        <v>184</v>
      </c>
      <c r="C2653" s="23" t="n">
        <f aca="false">a25_tax</f>
        <v>1.344</v>
      </c>
      <c r="D2653" s="23" t="n">
        <f aca="false">a26_tax</f>
        <v>2.0798215108046</v>
      </c>
      <c r="E2653" s="23" t="n">
        <f aca="false">E2652*tax</f>
        <v>2.89124616292478</v>
      </c>
      <c r="F2653" s="23" t="n">
        <f aca="false">F2652*tax</f>
        <v>3.39468508851153</v>
      </c>
      <c r="G2653" s="23" t="n">
        <f aca="false">G2652*tax</f>
        <v>3.76777082785121</v>
      </c>
    </row>
    <row r="2654" customFormat="false" ht="17.15" hidden="false" customHeight="false" outlineLevel="0" collapsed="false">
      <c r="A2654" s="4" t="s">
        <v>567</v>
      </c>
      <c r="B2654" s="0" t="s">
        <v>184</v>
      </c>
      <c r="C2654" s="23" t="n">
        <f aca="false">a25_mi</f>
        <v>0</v>
      </c>
      <c r="D2654" s="23" t="n">
        <f aca="false">a26_mi</f>
        <v>0</v>
      </c>
      <c r="E2654" s="23" t="n">
        <f aca="false">vmi*E2645*(1-tax)</f>
        <v>0.14805504</v>
      </c>
      <c r="F2654" s="23" t="n">
        <f aca="false">vmi*F2645*(1-tax)</f>
        <v>1.4805504</v>
      </c>
      <c r="G2654" s="23" t="n">
        <f aca="false">vmi*G2645*(1-tax)</f>
        <v>2.5909632</v>
      </c>
      <c r="K2654" s="8" t="s">
        <v>568</v>
      </c>
    </row>
    <row r="2655" customFormat="false" ht="15" hidden="false" customHeight="false" outlineLevel="0" collapsed="false">
      <c r="A2655" s="4" t="s">
        <v>435</v>
      </c>
      <c r="B2655" s="0" t="s">
        <v>184</v>
      </c>
      <c r="C2655" s="23" t="n">
        <f aca="false">C2652-C2653-C2654</f>
        <v>7.908</v>
      </c>
      <c r="D2655" s="23" t="n">
        <f aca="false">D2652-D2653-D2654</f>
        <v>12.2375212108949</v>
      </c>
      <c r="E2655" s="23" t="n">
        <f aca="false">E2652-E2653-E2654</f>
        <v>16.2356732165738</v>
      </c>
      <c r="F2655" s="23" t="n">
        <f aca="false">F2652-F2653-F2654</f>
        <v>17.7559984348987</v>
      </c>
      <c r="G2655" s="23" t="n">
        <f aca="false">G2652-G2653-G2654</f>
        <v>18.7597381578235</v>
      </c>
      <c r="H2655" s="29" t="n">
        <f aca="false">H2636*H2659</f>
        <v>20.3253276466492</v>
      </c>
      <c r="I2655" s="29" t="n">
        <f aca="false">I2636*I2659</f>
        <v>21.7832101697885</v>
      </c>
      <c r="J2655" s="29" t="n">
        <f aca="false">J2636*J2659</f>
        <v>23.0902027799758</v>
      </c>
    </row>
    <row r="2656" customFormat="false" ht="15" hidden="false" customHeight="false" outlineLevel="0" collapsed="false">
      <c r="A2656" s="4" t="s">
        <v>569</v>
      </c>
      <c r="B2656" s="4" t="s">
        <v>265</v>
      </c>
      <c r="C2656" s="10" t="n">
        <f aca="false">a25_sh</f>
        <v>1.8739336492891</v>
      </c>
      <c r="D2656" s="10" t="n">
        <f aca="false">a26_sh</f>
        <v>1.90613591916558</v>
      </c>
      <c r="E2656" s="10" t="n">
        <f aca="false">q_sh*(1+sh_g)</f>
        <v>1.90705128205128</v>
      </c>
      <c r="F2656" s="10" t="n">
        <f aca="false">E2656*(1+sh_g)</f>
        <v>1.90705128205128</v>
      </c>
      <c r="G2656" s="10" t="n">
        <f aca="false">F2656*(1+sh_g)</f>
        <v>1.90705128205128</v>
      </c>
      <c r="H2656" s="31" t="n">
        <f aca="false">G2656*(1+sh_g)</f>
        <v>1.90705128205128</v>
      </c>
      <c r="I2656" s="31" t="n">
        <f aca="false">H2656*(1+sh_g)</f>
        <v>1.90705128205128</v>
      </c>
      <c r="J2656" s="31" t="n">
        <f aca="false">I2656*(1+sh_g)</f>
        <v>1.90705128205128</v>
      </c>
    </row>
    <row r="2657" customFormat="false" ht="17.15" hidden="false" customHeight="false" outlineLevel="0" collapsed="false">
      <c r="A2657" s="0" t="s">
        <v>442</v>
      </c>
      <c r="B2657" s="0" t="s">
        <v>274</v>
      </c>
      <c r="C2657" s="23" t="n">
        <f aca="false">C2655/C2656</f>
        <v>4.22</v>
      </c>
      <c r="D2657" s="23" t="n">
        <f aca="false">D2655/D2656</f>
        <v>6.42006747150118</v>
      </c>
      <c r="E2657" s="23" t="n">
        <f aca="false">E2655/E2656</f>
        <v>8.51349587154792</v>
      </c>
      <c r="F2657" s="23" t="n">
        <f aca="false">F2655/F2656</f>
        <v>9.31070842300569</v>
      </c>
      <c r="G2657" s="23" t="n">
        <f aca="false">G2655/G2656</f>
        <v>9.83703916847215</v>
      </c>
      <c r="H2657" s="29" t="n">
        <f aca="false">H2655/H2656</f>
        <v>10.6579869340413</v>
      </c>
      <c r="I2657" s="29" t="n">
        <f aca="false">I2655/I2656</f>
        <v>11.4224564251664</v>
      </c>
      <c r="J2657" s="29" t="n">
        <f aca="false">J2655/J2656</f>
        <v>12.1078038106764</v>
      </c>
    </row>
    <row r="2658" customFormat="false" ht="17.15" hidden="false" customHeight="false" outlineLevel="0" collapsed="false">
      <c r="A2658" s="0" t="s">
        <v>570</v>
      </c>
      <c r="B2658" s="0" t="s">
        <v>48</v>
      </c>
      <c r="D2658" s="20" t="n">
        <f aca="false">D2657/C2657-1</f>
        <v>0.521343002725398</v>
      </c>
      <c r="E2658" s="20" t="n">
        <f aca="false">E2657/D2657-1</f>
        <v>0.326075763119237</v>
      </c>
      <c r="F2658" s="20" t="n">
        <f aca="false">F2657/E2657-1</f>
        <v>0.0936410334234201</v>
      </c>
      <c r="G2658" s="20" t="n">
        <f aca="false">G2657/F2657-1</f>
        <v>0.0565296131673465</v>
      </c>
      <c r="H2658" s="27" t="n">
        <f aca="false">H2657/G2657-1</f>
        <v>0.0834547623028963</v>
      </c>
      <c r="I2658" s="27" t="n">
        <f aca="false">I2657/H2657-1</f>
        <v>0.0717273811514478</v>
      </c>
      <c r="J2658" s="27" t="n">
        <f aca="false">J2657/I2657-1</f>
        <v>0.0600000000000001</v>
      </c>
    </row>
    <row r="2659" customFormat="false" ht="17.15" hidden="false" customHeight="false" outlineLevel="0" collapsed="false">
      <c r="A2659" s="4" t="s">
        <v>571</v>
      </c>
      <c r="B2659" s="0" t="s">
        <v>48</v>
      </c>
      <c r="C2659" s="16" t="n">
        <f aca="false">C2655/C2636</f>
        <v>0.162746187565599</v>
      </c>
      <c r="D2659" s="16" t="n">
        <f aca="false">D2655/D2636</f>
        <v>0.208646059676249</v>
      </c>
      <c r="E2659" s="16" t="n">
        <f aca="false">E2655/E2636</f>
        <v>0.210144540551844</v>
      </c>
      <c r="F2659" s="16" t="n">
        <f aca="false">F2655/F2636</f>
        <v>0.19521047374986</v>
      </c>
      <c r="G2659" s="16" t="n">
        <f aca="false">G2655/G2636</f>
        <v>0.188320862926626</v>
      </c>
      <c r="H2659" s="28" t="n">
        <f aca="false">$G2659+($G$2659*1-$G2659)*1/3</f>
        <v>0.188320862926626</v>
      </c>
      <c r="I2659" s="28" t="n">
        <f aca="false">$G2659+($G$2659*1-$G2659)*2/3</f>
        <v>0.188320862926626</v>
      </c>
      <c r="J2659" s="28" t="n">
        <f aca="false">$G2659+($G$2659*1-$G2659)*3/3</f>
        <v>0.188320862926626</v>
      </c>
    </row>
    <row r="2662" customFormat="false" ht="17.15" hidden="false" customHeight="false" outlineLevel="0" collapsed="false">
      <c r="A2662" s="1" t="s">
        <v>909</v>
      </c>
    </row>
    <row r="2663" customFormat="false" ht="17.15" hidden="false" customHeight="false" outlineLevel="0" collapsed="false">
      <c r="A2663" s="5" t="s">
        <v>24</v>
      </c>
      <c r="B2663" s="5" t="s">
        <v>25</v>
      </c>
      <c r="C2663" s="17" t="s">
        <v>394</v>
      </c>
      <c r="D2663" s="17" t="s">
        <v>521</v>
      </c>
      <c r="E2663" s="17" t="s">
        <v>480</v>
      </c>
      <c r="F2663" s="17" t="s">
        <v>481</v>
      </c>
      <c r="G2663" s="17" t="s">
        <v>482</v>
      </c>
      <c r="H2663" s="17" t="s">
        <v>522</v>
      </c>
      <c r="I2663" s="17" t="s">
        <v>523</v>
      </c>
      <c r="J2663" s="17" t="s">
        <v>524</v>
      </c>
      <c r="K2663" s="5" t="s">
        <v>357</v>
      </c>
    </row>
    <row r="2664" customFormat="false" ht="17.15" hidden="false" customHeight="false" outlineLevel="0" collapsed="false">
      <c r="A2664" s="6" t="s">
        <v>542</v>
      </c>
    </row>
    <row r="2665" customFormat="false" ht="17.15" hidden="false" customHeight="false" outlineLevel="0" collapsed="false">
      <c r="A2665" s="4" t="s">
        <v>543</v>
      </c>
      <c r="B2665" s="4" t="s">
        <v>42</v>
      </c>
      <c r="D2665" s="22" t="n">
        <f aca="false">cap_26</f>
        <v>3306</v>
      </c>
      <c r="E2665" s="22" t="n">
        <f aca="false">D2665*(1+capg27)*cap_adj</f>
        <v>3306</v>
      </c>
      <c r="F2665" s="22" t="n">
        <f aca="false">E2665*(1+capg28)</f>
        <v>3306</v>
      </c>
      <c r="G2665" s="22" t="n">
        <f aca="false">F2665*(1+capg29)</f>
        <v>3306</v>
      </c>
    </row>
    <row r="2666" customFormat="false" ht="15" hidden="false" customHeight="false" outlineLevel="0" collapsed="false">
      <c r="A2666" s="4" t="s">
        <v>544</v>
      </c>
      <c r="B2666" s="0" t="s">
        <v>48</v>
      </c>
      <c r="D2666" s="20" t="n">
        <f aca="false">a26_ship/cap_26</f>
        <v>0.8725</v>
      </c>
      <c r="E2666" s="20" t="n">
        <f aca="false">MIN(0.98,ut27_B+ut_adj)</f>
        <v>0.9</v>
      </c>
      <c r="F2666" s="20" t="n">
        <f aca="false">MIN(0.98,ut28_B+ut_adj)</f>
        <v>0.86</v>
      </c>
      <c r="G2666" s="20" t="n">
        <f aca="false">MIN(0.98,ut29_B+ut_adj)</f>
        <v>0.87</v>
      </c>
    </row>
    <row r="2667" customFormat="false" ht="17.15" hidden="false" customHeight="false" outlineLevel="0" collapsed="false">
      <c r="A2667" s="4" t="s">
        <v>545</v>
      </c>
      <c r="B2667" s="4" t="s">
        <v>42</v>
      </c>
      <c r="D2667" s="22" t="n">
        <f aca="false">D2665*D2666</f>
        <v>2884.485</v>
      </c>
      <c r="E2667" s="22" t="n">
        <f aca="false">E2665*E2666</f>
        <v>2975.4</v>
      </c>
      <c r="F2667" s="22" t="n">
        <f aca="false">F2665*F2666</f>
        <v>2843.16</v>
      </c>
      <c r="G2667" s="22" t="n">
        <f aca="false">G2665*G2666</f>
        <v>2876.22</v>
      </c>
    </row>
    <row r="2668" customFormat="false" ht="17.15" hidden="false" customHeight="false" outlineLevel="0" collapsed="false">
      <c r="A2668" s="4" t="s">
        <v>546</v>
      </c>
      <c r="B2668" s="0" t="s">
        <v>89</v>
      </c>
      <c r="D2668" s="22" t="n">
        <f aca="false">asp_26</f>
        <v>643.469405492234</v>
      </c>
      <c r="E2668" s="22" t="n">
        <f aca="false">D2668*(1+asp27_B)*(1+asp_adj)</f>
        <v>662.773487657001</v>
      </c>
      <c r="F2668" s="22" t="n">
        <f aca="false">E2668*(1+asp28_B)</f>
        <v>662.773487657001</v>
      </c>
      <c r="G2668" s="22" t="n">
        <f aca="false">F2668*(1+asp29_B)</f>
        <v>662.773487657001</v>
      </c>
    </row>
    <row r="2669" customFormat="false" ht="15" hidden="false" customHeight="false" outlineLevel="0" collapsed="false">
      <c r="A2669" s="4" t="s">
        <v>547</v>
      </c>
      <c r="B2669" s="0" t="s">
        <v>48</v>
      </c>
      <c r="E2669" s="20" t="n">
        <f aca="false">E2668/D2668-1</f>
        <v>0.03</v>
      </c>
      <c r="F2669" s="20" t="n">
        <f aca="false">F2668/E2668-1</f>
        <v>0</v>
      </c>
      <c r="G2669" s="20" t="n">
        <f aca="false">G2668/F2668-1</f>
        <v>0</v>
      </c>
    </row>
    <row r="2670" customFormat="false" ht="15" hidden="false" customHeight="false" outlineLevel="0" collapsed="false">
      <c r="A2670" s="4" t="s">
        <v>548</v>
      </c>
      <c r="B2670" s="0" t="s">
        <v>35</v>
      </c>
      <c r="D2670" s="23" t="n">
        <f aca="false">fx_26</f>
        <v>31.6</v>
      </c>
      <c r="E2670" s="23" t="n">
        <f aca="false">fx</f>
        <v>32</v>
      </c>
      <c r="F2670" s="23" t="n">
        <f aca="false">fx</f>
        <v>32</v>
      </c>
      <c r="G2670" s="23" t="n">
        <f aca="false">fx</f>
        <v>32</v>
      </c>
    </row>
    <row r="2671" customFormat="false" ht="17.15" hidden="false" customHeight="false" outlineLevel="0" collapsed="false">
      <c r="A2671" s="0" t="s">
        <v>549</v>
      </c>
      <c r="B2671" s="0" t="s">
        <v>184</v>
      </c>
      <c r="D2671" s="23" t="n">
        <f aca="false">D2667*D2668*D2670/1000000</f>
        <v>58.65206</v>
      </c>
      <c r="E2671" s="23" t="n">
        <f aca="false">E2667*E2668*E2670/1000000</f>
        <v>63.1045195255885</v>
      </c>
      <c r="F2671" s="23" t="n">
        <f aca="false">F2667*F2668*F2670/1000000</f>
        <v>60.2998742133401</v>
      </c>
      <c r="G2671" s="23" t="n">
        <f aca="false">G2667*G2668*G2670/1000000</f>
        <v>61.0010355414022</v>
      </c>
    </row>
    <row r="2672" customFormat="false" ht="17.15" hidden="false" customHeight="false" outlineLevel="0" collapsed="false">
      <c r="A2672" s="6" t="s">
        <v>550</v>
      </c>
    </row>
    <row r="2673" customFormat="false" ht="17.15" hidden="false" customHeight="false" outlineLevel="0" collapsed="false">
      <c r="A2673" s="0" t="s">
        <v>551</v>
      </c>
      <c r="B2673" s="4" t="s">
        <v>42</v>
      </c>
      <c r="D2673" s="22" t="n">
        <f aca="false">0</f>
        <v>0</v>
      </c>
      <c r="E2673" s="22" t="n">
        <f aca="false">vcap27*vcap_adj</f>
        <v>144</v>
      </c>
      <c r="F2673" s="22" t="n">
        <f aca="false">vcap28*vcap_adj</f>
        <v>360</v>
      </c>
      <c r="G2673" s="22" t="n">
        <f aca="false">vcap29*vcap_adj</f>
        <v>504</v>
      </c>
    </row>
    <row r="2674" customFormat="false" ht="17.15" hidden="false" customHeight="false" outlineLevel="0" collapsed="false">
      <c r="A2674" s="0" t="s">
        <v>552</v>
      </c>
      <c r="B2674" s="0" t="s">
        <v>48</v>
      </c>
      <c r="E2674" s="20" t="n">
        <f aca="false">vut_B</f>
        <v>0.8</v>
      </c>
      <c r="F2674" s="20" t="n">
        <f aca="false">vut_B</f>
        <v>0.8</v>
      </c>
      <c r="G2674" s="20" t="n">
        <f aca="false">vut_B</f>
        <v>0.8</v>
      </c>
    </row>
    <row r="2675" customFormat="false" ht="17.15" hidden="false" customHeight="false" outlineLevel="0" collapsed="false">
      <c r="A2675" s="0" t="s">
        <v>553</v>
      </c>
      <c r="B2675" s="4" t="s">
        <v>42</v>
      </c>
      <c r="D2675" s="22" t="n">
        <f aca="false">0</f>
        <v>0</v>
      </c>
      <c r="E2675" s="22" t="n">
        <f aca="false">E2673*E2674</f>
        <v>115.2</v>
      </c>
      <c r="F2675" s="22" t="n">
        <f aca="false">F2673*F2674</f>
        <v>288</v>
      </c>
      <c r="G2675" s="22" t="n">
        <f aca="false">G2673*G2674</f>
        <v>403.2</v>
      </c>
    </row>
    <row r="2676" customFormat="false" ht="17.15" hidden="false" customHeight="false" outlineLevel="0" collapsed="false">
      <c r="A2676" s="0" t="s">
        <v>554</v>
      </c>
      <c r="B2676" s="0" t="s">
        <v>184</v>
      </c>
      <c r="D2676" s="23" t="n">
        <f aca="false">0</f>
        <v>0</v>
      </c>
      <c r="E2676" s="23" t="n">
        <f aca="false">E2675*vasp_hi*E2670/1000000</f>
        <v>7.74144</v>
      </c>
      <c r="F2676" s="23" t="n">
        <f aca="false">F2675*vasp_hi*F2670/1000000</f>
        <v>19.3536</v>
      </c>
      <c r="G2676" s="23" t="n">
        <f aca="false">G2675*vasp_hi*G2670/1000000</f>
        <v>27.09504</v>
      </c>
    </row>
    <row r="2677" customFormat="false" ht="17.15" hidden="false" customHeight="false" outlineLevel="0" collapsed="false">
      <c r="A2677" s="4" t="s">
        <v>400</v>
      </c>
      <c r="B2677" s="0" t="s">
        <v>184</v>
      </c>
      <c r="C2677" s="23" t="n">
        <f aca="false">a25_rev</f>
        <v>48.591</v>
      </c>
      <c r="D2677" s="23" t="n">
        <f aca="false">D2671+D2676</f>
        <v>58.65206</v>
      </c>
      <c r="E2677" s="23" t="n">
        <f aca="false">E2671+E2676</f>
        <v>70.8459595255885</v>
      </c>
      <c r="F2677" s="23" t="n">
        <f aca="false">F2671+F2676</f>
        <v>79.6534742133401</v>
      </c>
      <c r="G2677" s="23" t="n">
        <f aca="false">G2671+G2676</f>
        <v>88.0960755414022</v>
      </c>
      <c r="H2677" s="29" t="n">
        <f aca="false">G2677*(1+H2680)</f>
        <v>95.4956541345772</v>
      </c>
      <c r="I2677" s="29" t="n">
        <f aca="false">H2677*(1+I2680)</f>
        <v>101.416118162545</v>
      </c>
      <c r="J2677" s="29" t="n">
        <f aca="false">I2677*(1+J2680)</f>
        <v>105.472762889047</v>
      </c>
      <c r="K2677" s="8" t="s">
        <v>555</v>
      </c>
    </row>
    <row r="2678" customFormat="false" ht="17.15" hidden="false" customHeight="false" outlineLevel="0" collapsed="false">
      <c r="A2678" s="0" t="s">
        <v>556</v>
      </c>
      <c r="B2678" s="0" t="s">
        <v>48</v>
      </c>
      <c r="D2678" s="20" t="n">
        <f aca="false">D2676/D2677</f>
        <v>0</v>
      </c>
      <c r="E2678" s="20" t="n">
        <f aca="false">E2676/E2677</f>
        <v>0.109271439780612</v>
      </c>
      <c r="F2678" s="20" t="n">
        <f aca="false">F2676/F2677</f>
        <v>0.242972452754091</v>
      </c>
      <c r="G2678" s="20" t="n">
        <f aca="false">G2676/G2677</f>
        <v>0.307562395185995</v>
      </c>
    </row>
    <row r="2679" customFormat="false" ht="17.15" hidden="false" customHeight="false" outlineLevel="0" collapsed="false">
      <c r="A2679" s="0" t="s">
        <v>557</v>
      </c>
      <c r="B2679" s="0" t="s">
        <v>48</v>
      </c>
      <c r="D2679" s="20" t="n">
        <f aca="false">ai_sh26</f>
        <v>0.1</v>
      </c>
      <c r="E2679" s="20" t="n">
        <f aca="false">ai_sh27_B</f>
        <v>0.2</v>
      </c>
      <c r="F2679" s="20" t="n">
        <f aca="false">ai_sh27_B</f>
        <v>0.2</v>
      </c>
      <c r="G2679" s="20" t="n">
        <f aca="false">ai_sh27_B</f>
        <v>0.2</v>
      </c>
    </row>
    <row r="2680" customFormat="false" ht="15" hidden="false" customHeight="false" outlineLevel="0" collapsed="false">
      <c r="A2680" s="4" t="s">
        <v>558</v>
      </c>
      <c r="B2680" s="0" t="s">
        <v>48</v>
      </c>
      <c r="D2680" s="20" t="n">
        <f aca="false">D2677/C2677-1</f>
        <v>0.207056039184211</v>
      </c>
      <c r="E2680" s="20" t="n">
        <f aca="false">E2677/D2677-1</f>
        <v>0.207902323048645</v>
      </c>
      <c r="F2680" s="20" t="n">
        <f aca="false">F2677/E2677-1</f>
        <v>0.124319223661167</v>
      </c>
      <c r="G2680" s="20" t="n">
        <f aca="false">G2677/F2677-1</f>
        <v>0.105991626999845</v>
      </c>
      <c r="H2680" s="27" t="n">
        <f aca="false">$G2680+(fade_gB-$G2680)*1/3</f>
        <v>0.0839944179998965</v>
      </c>
      <c r="I2680" s="27" t="n">
        <f aca="false">$G2680+(fade_gB-$G2680)*2/3</f>
        <v>0.0619972089999482</v>
      </c>
      <c r="J2680" s="27" t="n">
        <f aca="false">$G2680+(fade_gB-$G2680)*3/3</f>
        <v>0.04</v>
      </c>
    </row>
    <row r="2681" customFormat="false" ht="17.15" hidden="false" customHeight="false" outlineLevel="0" collapsed="false">
      <c r="A2681" s="6" t="s">
        <v>559</v>
      </c>
    </row>
    <row r="2682" customFormat="false" ht="15" hidden="false" customHeight="false" outlineLevel="0" collapsed="false">
      <c r="A2682" s="4" t="s">
        <v>560</v>
      </c>
      <c r="B2682" s="0" t="s">
        <v>184</v>
      </c>
      <c r="D2682" s="23" t="n">
        <f aca="false">da_tot26*da_sh</f>
        <v>8.658</v>
      </c>
      <c r="E2682" s="23" t="n">
        <f aca="false">D2682*(1+dag_27+dag_adj)</f>
        <v>8.91774</v>
      </c>
      <c r="F2682" s="23" t="n">
        <f aca="false">E2682*(1+dag_28+dag_adj)</f>
        <v>9.0960948</v>
      </c>
      <c r="G2682" s="23" t="n">
        <f aca="false">F2682*(1+dag_29+dag_adj)</f>
        <v>9.0960948</v>
      </c>
    </row>
    <row r="2683" customFormat="false" ht="17.15" hidden="false" customHeight="false" outlineLevel="0" collapsed="false">
      <c r="A2683" s="4" t="s">
        <v>561</v>
      </c>
      <c r="B2683" s="0" t="s">
        <v>562</v>
      </c>
      <c r="D2683" s="23" t="n">
        <f aca="false">(D2671-a26_gp-D2682)/D2667*1000</f>
        <v>10.7339918911001</v>
      </c>
      <c r="E2683" s="23" t="n">
        <f aca="false">D2683*(1+cc_g)</f>
        <v>10.9486717289221</v>
      </c>
      <c r="F2683" s="23" t="n">
        <f aca="false">E2683*(1+cc_g)</f>
        <v>11.1676451635006</v>
      </c>
      <c r="G2683" s="23" t="n">
        <f aca="false">F2683*(1+cc_g)</f>
        <v>11.3909980667706</v>
      </c>
      <c r="K2683" s="8" t="s">
        <v>563</v>
      </c>
    </row>
    <row r="2684" customFormat="false" ht="17.15" hidden="false" customHeight="false" outlineLevel="0" collapsed="false">
      <c r="A2684" s="4" t="s">
        <v>564</v>
      </c>
      <c r="B2684" s="0" t="s">
        <v>184</v>
      </c>
      <c r="D2684" s="23" t="n">
        <f aca="false">D2683*D2667/1000</f>
        <v>30.9620386</v>
      </c>
      <c r="E2684" s="23" t="n">
        <f aca="false">E2683*E2667/1000</f>
        <v>32.576677862235</v>
      </c>
      <c r="F2684" s="23" t="n">
        <f aca="false">F2683*F2667/1000</f>
        <v>31.7514020230583</v>
      </c>
      <c r="G2684" s="23" t="n">
        <f aca="false">G2683*G2667/1000</f>
        <v>32.7630164596069</v>
      </c>
    </row>
    <row r="2685" customFormat="false" ht="17.15" hidden="false" customHeight="false" outlineLevel="0" collapsed="false">
      <c r="A2685" s="0" t="s">
        <v>565</v>
      </c>
      <c r="B2685" s="0" t="s">
        <v>48</v>
      </c>
      <c r="E2685" s="20" t="n">
        <f aca="false">vgm27_B</f>
        <v>-0.05</v>
      </c>
      <c r="F2685" s="20" t="n">
        <f aca="false">vgm28_B</f>
        <v>0.12</v>
      </c>
      <c r="G2685" s="20" t="n">
        <f aca="false">vgm29_B</f>
        <v>0.18</v>
      </c>
    </row>
    <row r="2686" customFormat="false" ht="17.15" hidden="false" customHeight="false" outlineLevel="0" collapsed="false">
      <c r="A2686" s="0" t="s">
        <v>566</v>
      </c>
      <c r="B2686" s="0" t="s">
        <v>184</v>
      </c>
      <c r="D2686" s="23" t="n">
        <f aca="false">0</f>
        <v>0</v>
      </c>
      <c r="E2686" s="23" t="n">
        <f aca="false">E2676*E2685</f>
        <v>-0.387072</v>
      </c>
      <c r="F2686" s="23" t="n">
        <f aca="false">F2676*F2685</f>
        <v>2.322432</v>
      </c>
      <c r="G2686" s="23" t="n">
        <f aca="false">G2676*G2685</f>
        <v>4.8771072</v>
      </c>
    </row>
    <row r="2687" customFormat="false" ht="15" hidden="false" customHeight="false" outlineLevel="0" collapsed="false">
      <c r="A2687" s="4" t="s">
        <v>417</v>
      </c>
      <c r="B2687" s="0" t="s">
        <v>184</v>
      </c>
      <c r="C2687" s="23" t="n">
        <f aca="false">a25_gp</f>
        <v>13.654</v>
      </c>
      <c r="D2687" s="23" t="n">
        <f aca="false">D2671-D2682-D2684+D2686</f>
        <v>19.0320214</v>
      </c>
      <c r="E2687" s="23" t="n">
        <f aca="false">E2671-E2682-E2684+E2686</f>
        <v>21.2230296633535</v>
      </c>
      <c r="F2687" s="23" t="n">
        <f aca="false">F2671-F2682-F2684+F2686</f>
        <v>21.7748093902818</v>
      </c>
      <c r="G2687" s="23" t="n">
        <f aca="false">G2671-G2682-G2684+G2686</f>
        <v>24.0190314817953</v>
      </c>
    </row>
    <row r="2688" customFormat="false" ht="15" hidden="false" customHeight="false" outlineLevel="0" collapsed="false">
      <c r="A2688" s="4" t="s">
        <v>420</v>
      </c>
      <c r="B2688" s="0" t="s">
        <v>48</v>
      </c>
      <c r="C2688" s="16" t="n">
        <f aca="false">C2687/C2677</f>
        <v>0.280998538824062</v>
      </c>
      <c r="D2688" s="16" t="n">
        <f aca="false">D2687/D2677</f>
        <v>0.324490246378388</v>
      </c>
      <c r="E2688" s="16" t="n">
        <f aca="false">E2687/E2677</f>
        <v>0.299565844057601</v>
      </c>
      <c r="F2688" s="16" t="n">
        <f aca="false">F2687/F2677</f>
        <v>0.273369235997932</v>
      </c>
      <c r="G2688" s="16" t="n">
        <f aca="false">G2687/G2677</f>
        <v>0.272645873657642</v>
      </c>
    </row>
    <row r="2689" customFormat="false" ht="15" hidden="false" customHeight="false" outlineLevel="0" collapsed="false">
      <c r="A2689" s="4" t="s">
        <v>422</v>
      </c>
      <c r="B2689" s="0" t="s">
        <v>184</v>
      </c>
      <c r="C2689" s="23" t="n">
        <f aca="false">a25_opx</f>
        <v>5.881</v>
      </c>
      <c r="D2689" s="23" t="n">
        <f aca="false">a26_opx</f>
        <v>6.824187</v>
      </c>
      <c r="E2689" s="23" t="n">
        <f aca="false">D2689*(1+MAX(g_opx_min,phi*E2680))</f>
        <v>7.53356916510918</v>
      </c>
      <c r="F2689" s="23" t="n">
        <f aca="false">E2689*(1+MAX(g_opx_min,phi*F2680))</f>
        <v>8.00185290011122</v>
      </c>
      <c r="G2689" s="23" t="n">
        <f aca="false">F2689*(1+MAX(g_opx_min,phi*G2680))</f>
        <v>8.42591760405933</v>
      </c>
    </row>
    <row r="2690" customFormat="false" ht="15" hidden="false" customHeight="false" outlineLevel="0" collapsed="false">
      <c r="A2690" s="4" t="s">
        <v>425</v>
      </c>
      <c r="B2690" s="0" t="s">
        <v>184</v>
      </c>
      <c r="C2690" s="23" t="n">
        <f aca="false">C2687-C2689</f>
        <v>7.773</v>
      </c>
      <c r="D2690" s="23" t="n">
        <f aca="false">D2687-D2689</f>
        <v>12.2078344</v>
      </c>
      <c r="E2690" s="23" t="n">
        <f aca="false">E2687-E2689</f>
        <v>13.6894604982443</v>
      </c>
      <c r="F2690" s="23" t="n">
        <f aca="false">F2687-F2689</f>
        <v>13.7729564901705</v>
      </c>
      <c r="G2690" s="23" t="n">
        <f aca="false">G2687-G2689</f>
        <v>15.5931138777359</v>
      </c>
    </row>
    <row r="2691" customFormat="false" ht="15" hidden="false" customHeight="false" outlineLevel="0" collapsed="false">
      <c r="A2691" s="4" t="s">
        <v>531</v>
      </c>
      <c r="B2691" s="0" t="s">
        <v>48</v>
      </c>
      <c r="C2691" s="16" t="n">
        <f aca="false">C2690/C2677</f>
        <v>0.159967895289251</v>
      </c>
      <c r="D2691" s="16" t="n">
        <f aca="false">D2690/D2677</f>
        <v>0.208139908470393</v>
      </c>
      <c r="E2691" s="16" t="n">
        <f aca="false">E2690/E2677</f>
        <v>0.193228528343948</v>
      </c>
      <c r="F2691" s="16" t="n">
        <f aca="false">F2690/F2677</f>
        <v>0.172910932337762</v>
      </c>
      <c r="G2691" s="16" t="n">
        <f aca="false">G2690/G2677</f>
        <v>0.177001231688325</v>
      </c>
    </row>
    <row r="2692" customFormat="false" ht="15" hidden="false" customHeight="false" outlineLevel="0" collapsed="false">
      <c r="A2692" s="4" t="s">
        <v>428</v>
      </c>
      <c r="B2692" s="0" t="s">
        <v>184</v>
      </c>
      <c r="C2692" s="23" t="n">
        <f aca="false">a25_nonop</f>
        <v>1.479</v>
      </c>
      <c r="D2692" s="23" t="n">
        <f aca="false">a26_nonop</f>
        <v>2.10950832169955</v>
      </c>
      <c r="E2692" s="23" t="n">
        <f aca="false">nonop_f</f>
        <v>1.5</v>
      </c>
      <c r="F2692" s="23" t="n">
        <f aca="false">nonop_f</f>
        <v>1.5</v>
      </c>
      <c r="G2692" s="23" t="n">
        <f aca="false">nonop_f</f>
        <v>1.5</v>
      </c>
    </row>
    <row r="2693" customFormat="false" ht="15" hidden="false" customHeight="false" outlineLevel="0" collapsed="false">
      <c r="A2693" s="4" t="s">
        <v>430</v>
      </c>
      <c r="B2693" s="0" t="s">
        <v>184</v>
      </c>
      <c r="C2693" s="23" t="n">
        <f aca="false">C2690+C2692</f>
        <v>9.252</v>
      </c>
      <c r="D2693" s="23" t="n">
        <f aca="false">D2690+D2692</f>
        <v>14.3173427216995</v>
      </c>
      <c r="E2693" s="23" t="n">
        <f aca="false">E2690+E2692</f>
        <v>15.1894604982443</v>
      </c>
      <c r="F2693" s="23" t="n">
        <f aca="false">F2690+F2692</f>
        <v>15.2729564901705</v>
      </c>
      <c r="G2693" s="23" t="n">
        <f aca="false">G2690+G2692</f>
        <v>17.0931138777359</v>
      </c>
    </row>
    <row r="2694" customFormat="false" ht="15" hidden="false" customHeight="false" outlineLevel="0" collapsed="false">
      <c r="A2694" s="4" t="s">
        <v>432</v>
      </c>
      <c r="B2694" s="0" t="s">
        <v>184</v>
      </c>
      <c r="C2694" s="23" t="n">
        <f aca="false">a25_tax</f>
        <v>1.344</v>
      </c>
      <c r="D2694" s="23" t="n">
        <f aca="false">a26_tax</f>
        <v>2.0798215108046</v>
      </c>
      <c r="E2694" s="23" t="n">
        <f aca="false">E2693*tax</f>
        <v>2.27841907473665</v>
      </c>
      <c r="F2694" s="23" t="n">
        <f aca="false">F2693*tax</f>
        <v>2.29094347352558</v>
      </c>
      <c r="G2694" s="23" t="n">
        <f aca="false">G2693*tax</f>
        <v>2.56396708166039</v>
      </c>
    </row>
    <row r="2695" customFormat="false" ht="17.15" hidden="false" customHeight="false" outlineLevel="0" collapsed="false">
      <c r="A2695" s="4" t="s">
        <v>567</v>
      </c>
      <c r="B2695" s="0" t="s">
        <v>184</v>
      </c>
      <c r="C2695" s="23" t="n">
        <f aca="false">a25_mi</f>
        <v>0</v>
      </c>
      <c r="D2695" s="23" t="n">
        <f aca="false">a26_mi</f>
        <v>0</v>
      </c>
      <c r="E2695" s="23" t="n">
        <f aca="false">vmi*E2686*(1-tax)</f>
        <v>-0.13160448</v>
      </c>
      <c r="F2695" s="23" t="n">
        <f aca="false">vmi*F2686*(1-tax)</f>
        <v>0.78962688</v>
      </c>
      <c r="G2695" s="23" t="n">
        <f aca="false">vmi*G2686*(1-tax)</f>
        <v>1.658216448</v>
      </c>
      <c r="K2695" s="8" t="s">
        <v>568</v>
      </c>
    </row>
    <row r="2696" customFormat="false" ht="15" hidden="false" customHeight="false" outlineLevel="0" collapsed="false">
      <c r="A2696" s="4" t="s">
        <v>435</v>
      </c>
      <c r="B2696" s="0" t="s">
        <v>184</v>
      </c>
      <c r="C2696" s="23" t="n">
        <f aca="false">C2693-C2694-C2695</f>
        <v>7.908</v>
      </c>
      <c r="D2696" s="23" t="n">
        <f aca="false">D2693-D2694-D2695</f>
        <v>12.2375212108949</v>
      </c>
      <c r="E2696" s="23" t="n">
        <f aca="false">E2693-E2694-E2695</f>
        <v>13.0426459035077</v>
      </c>
      <c r="F2696" s="23" t="n">
        <f aca="false">F2693-F2694-F2695</f>
        <v>12.192386136645</v>
      </c>
      <c r="G2696" s="23" t="n">
        <f aca="false">G2693-G2694-G2695</f>
        <v>12.8709303480755</v>
      </c>
      <c r="H2696" s="29" t="n">
        <f aca="false">H2677*H2700</f>
        <v>13.4869494300534</v>
      </c>
      <c r="I2696" s="29" t="n">
        <f aca="false">I2677*I2700</f>
        <v>13.8292025611698</v>
      </c>
      <c r="J2696" s="29" t="n">
        <f aca="false">J2677*J2700</f>
        <v>13.8687145684874</v>
      </c>
    </row>
    <row r="2697" customFormat="false" ht="15" hidden="false" customHeight="false" outlineLevel="0" collapsed="false">
      <c r="A2697" s="4" t="s">
        <v>569</v>
      </c>
      <c r="B2697" s="4" t="s">
        <v>265</v>
      </c>
      <c r="C2697" s="10" t="n">
        <f aca="false">a25_sh</f>
        <v>1.8739336492891</v>
      </c>
      <c r="D2697" s="10" t="n">
        <f aca="false">a26_sh</f>
        <v>1.90613591916558</v>
      </c>
      <c r="E2697" s="10" t="n">
        <f aca="false">q_sh*(1+sh_g)</f>
        <v>1.90705128205128</v>
      </c>
      <c r="F2697" s="10" t="n">
        <f aca="false">E2697*(1+sh_g)</f>
        <v>1.90705128205128</v>
      </c>
      <c r="G2697" s="10" t="n">
        <f aca="false">F2697*(1+sh_g)</f>
        <v>1.90705128205128</v>
      </c>
      <c r="H2697" s="31" t="n">
        <f aca="false">G2697*(1+sh_g)</f>
        <v>1.90705128205128</v>
      </c>
      <c r="I2697" s="31" t="n">
        <f aca="false">H2697*(1+sh_g)</f>
        <v>1.90705128205128</v>
      </c>
      <c r="J2697" s="31" t="n">
        <f aca="false">I2697*(1+sh_g)</f>
        <v>1.90705128205128</v>
      </c>
    </row>
    <row r="2698" customFormat="false" ht="17.15" hidden="false" customHeight="false" outlineLevel="0" collapsed="false">
      <c r="A2698" s="0" t="s">
        <v>442</v>
      </c>
      <c r="B2698" s="0" t="s">
        <v>274</v>
      </c>
      <c r="C2698" s="23" t="n">
        <f aca="false">C2696/C2697</f>
        <v>4.22</v>
      </c>
      <c r="D2698" s="23" t="n">
        <f aca="false">D2696/D2697</f>
        <v>6.42006747150118</v>
      </c>
      <c r="E2698" s="23" t="n">
        <f aca="false">E2696/E2697</f>
        <v>6.83916894436034</v>
      </c>
      <c r="F2698" s="23" t="n">
        <f aca="false">F2696/F2697</f>
        <v>6.39331844476173</v>
      </c>
      <c r="G2698" s="23" t="n">
        <f aca="false">G2696/G2697</f>
        <v>6.74912650184801</v>
      </c>
      <c r="H2698" s="29" t="n">
        <f aca="false">H2696/H2697</f>
        <v>7.0721482725658</v>
      </c>
      <c r="I2698" s="29" t="n">
        <f aca="false">I2696/I2697</f>
        <v>7.25161546064701</v>
      </c>
      <c r="J2698" s="29" t="n">
        <f aca="false">J2696/J2697</f>
        <v>7.27233436196314</v>
      </c>
    </row>
    <row r="2699" customFormat="false" ht="17.15" hidden="false" customHeight="false" outlineLevel="0" collapsed="false">
      <c r="A2699" s="0" t="s">
        <v>570</v>
      </c>
      <c r="B2699" s="0" t="s">
        <v>48</v>
      </c>
      <c r="D2699" s="20" t="n">
        <f aca="false">D2698/C2698-1</f>
        <v>0.521343002725398</v>
      </c>
      <c r="E2699" s="20" t="n">
        <f aca="false">E2698/D2698-1</f>
        <v>0.0652799171846024</v>
      </c>
      <c r="F2699" s="20" t="n">
        <f aca="false">F2698/E2698-1</f>
        <v>-0.0651907422123651</v>
      </c>
      <c r="G2699" s="20" t="n">
        <f aca="false">G2698/F2698-1</f>
        <v>0.0556531103777276</v>
      </c>
      <c r="H2699" s="27" t="n">
        <f aca="false">H2698/G2698-1</f>
        <v>0.0478612707332333</v>
      </c>
      <c r="I2699" s="27" t="n">
        <f aca="false">I2698/H2698-1</f>
        <v>0.0253766155861568</v>
      </c>
      <c r="J2699" s="27" t="n">
        <f aca="false">J2698/I2698-1</f>
        <v>0.00285714285714289</v>
      </c>
    </row>
    <row r="2700" customFormat="false" ht="17.15" hidden="false" customHeight="false" outlineLevel="0" collapsed="false">
      <c r="A2700" s="4" t="s">
        <v>571</v>
      </c>
      <c r="B2700" s="0" t="s">
        <v>48</v>
      </c>
      <c r="C2700" s="16" t="n">
        <f aca="false">C2696/C2677</f>
        <v>0.162746187565599</v>
      </c>
      <c r="D2700" s="16" t="n">
        <f aca="false">D2696/D2677</f>
        <v>0.208646059676249</v>
      </c>
      <c r="E2700" s="16" t="n">
        <f aca="false">E2696/E2677</f>
        <v>0.184098655602186</v>
      </c>
      <c r="F2700" s="16" t="n">
        <f aca="false">F2696/F2677</f>
        <v>0.153067851177332</v>
      </c>
      <c r="G2700" s="16" t="n">
        <f aca="false">G2696/G2677</f>
        <v>0.146101063741785</v>
      </c>
      <c r="H2700" s="28" t="n">
        <f aca="false">$G2700+($G$2700*0.9-$G2700)*1/3</f>
        <v>0.141231028283726</v>
      </c>
      <c r="I2700" s="28" t="n">
        <f aca="false">$G2700+($G$2700*0.9-$G2700)*2/3</f>
        <v>0.136360992825666</v>
      </c>
      <c r="J2700" s="28" t="n">
        <f aca="false">$G2700+($G$2700*0.9-$G2700)*3/3</f>
        <v>0.131490957367607</v>
      </c>
    </row>
    <row r="2703" customFormat="false" ht="17.15" hidden="false" customHeight="false" outlineLevel="0" collapsed="false">
      <c r="A2703" s="1" t="s">
        <v>910</v>
      </c>
    </row>
    <row r="2704" customFormat="false" ht="17.15" hidden="false" customHeight="false" outlineLevel="0" collapsed="false">
      <c r="A2704" s="5" t="s">
        <v>24</v>
      </c>
      <c r="B2704" s="5" t="s">
        <v>25</v>
      </c>
      <c r="C2704" s="17" t="s">
        <v>394</v>
      </c>
      <c r="D2704" s="17" t="s">
        <v>521</v>
      </c>
      <c r="E2704" s="17" t="s">
        <v>480</v>
      </c>
      <c r="F2704" s="17" t="s">
        <v>481</v>
      </c>
      <c r="G2704" s="17" t="s">
        <v>482</v>
      </c>
      <c r="H2704" s="17" t="s">
        <v>522</v>
      </c>
      <c r="I2704" s="17" t="s">
        <v>523</v>
      </c>
      <c r="J2704" s="17" t="s">
        <v>524</v>
      </c>
      <c r="K2704" s="5" t="s">
        <v>357</v>
      </c>
    </row>
    <row r="2705" customFormat="false" ht="17.15" hidden="false" customHeight="false" outlineLevel="0" collapsed="false">
      <c r="A2705" s="6" t="s">
        <v>542</v>
      </c>
    </row>
    <row r="2706" customFormat="false" ht="17.15" hidden="false" customHeight="false" outlineLevel="0" collapsed="false">
      <c r="A2706" s="4" t="s">
        <v>543</v>
      </c>
      <c r="B2706" s="4" t="s">
        <v>42</v>
      </c>
      <c r="D2706" s="22" t="n">
        <f aca="false">cap_26</f>
        <v>3306</v>
      </c>
      <c r="E2706" s="22" t="n">
        <f aca="false">D2706*(1+capg27)*cap_adj</f>
        <v>3306</v>
      </c>
      <c r="F2706" s="22" t="n">
        <f aca="false">E2706*(1+capg28)</f>
        <v>3306</v>
      </c>
      <c r="G2706" s="22" t="n">
        <f aca="false">F2706*(1+capg29)</f>
        <v>3306</v>
      </c>
    </row>
    <row r="2707" customFormat="false" ht="15" hidden="false" customHeight="false" outlineLevel="0" collapsed="false">
      <c r="A2707" s="4" t="s">
        <v>544</v>
      </c>
      <c r="B2707" s="0" t="s">
        <v>48</v>
      </c>
      <c r="D2707" s="20" t="n">
        <f aca="false">a26_ship/cap_26</f>
        <v>0.8725</v>
      </c>
      <c r="E2707" s="20" t="n">
        <f aca="false">MIN(0.98,ut27_C+ut_adj)</f>
        <v>0.8</v>
      </c>
      <c r="F2707" s="20" t="n">
        <f aca="false">MIN(0.98,ut28_C+ut_adj)</f>
        <v>0.74</v>
      </c>
      <c r="G2707" s="20" t="n">
        <f aca="false">MIN(0.98,ut29_C+ut_adj)</f>
        <v>0.78</v>
      </c>
    </row>
    <row r="2708" customFormat="false" ht="17.15" hidden="false" customHeight="false" outlineLevel="0" collapsed="false">
      <c r="A2708" s="4" t="s">
        <v>545</v>
      </c>
      <c r="B2708" s="4" t="s">
        <v>42</v>
      </c>
      <c r="D2708" s="22" t="n">
        <f aca="false">D2706*D2707</f>
        <v>2884.485</v>
      </c>
      <c r="E2708" s="22" t="n">
        <f aca="false">E2706*E2707</f>
        <v>2644.8</v>
      </c>
      <c r="F2708" s="22" t="n">
        <f aca="false">F2706*F2707</f>
        <v>2446.44</v>
      </c>
      <c r="G2708" s="22" t="n">
        <f aca="false">G2706*G2707</f>
        <v>2578.68</v>
      </c>
    </row>
    <row r="2709" customFormat="false" ht="17.15" hidden="false" customHeight="false" outlineLevel="0" collapsed="false">
      <c r="A2709" s="4" t="s">
        <v>546</v>
      </c>
      <c r="B2709" s="0" t="s">
        <v>89</v>
      </c>
      <c r="D2709" s="22" t="n">
        <f aca="false">asp_26</f>
        <v>643.469405492234</v>
      </c>
      <c r="E2709" s="22" t="n">
        <f aca="false">D2709*(1+asp27_C)*(1+asp_adj)</f>
        <v>624.165323327467</v>
      </c>
      <c r="F2709" s="22" t="n">
        <f aca="false">E2709*(1+asp28_C)</f>
        <v>592.957057161093</v>
      </c>
      <c r="G2709" s="22" t="n">
        <f aca="false">F2709*(1+asp29_C)</f>
        <v>581.097916017871</v>
      </c>
    </row>
    <row r="2710" customFormat="false" ht="15" hidden="false" customHeight="false" outlineLevel="0" collapsed="false">
      <c r="A2710" s="4" t="s">
        <v>547</v>
      </c>
      <c r="B2710" s="0" t="s">
        <v>48</v>
      </c>
      <c r="E2710" s="20" t="n">
        <f aca="false">E2709/D2709-1</f>
        <v>-0.03</v>
      </c>
      <c r="F2710" s="20" t="n">
        <f aca="false">F2709/E2709-1</f>
        <v>-0.05</v>
      </c>
      <c r="G2710" s="20" t="n">
        <f aca="false">G2709/F2709-1</f>
        <v>-0.02</v>
      </c>
    </row>
    <row r="2711" customFormat="false" ht="15" hidden="false" customHeight="false" outlineLevel="0" collapsed="false">
      <c r="A2711" s="4" t="s">
        <v>548</v>
      </c>
      <c r="B2711" s="0" t="s">
        <v>35</v>
      </c>
      <c r="D2711" s="23" t="n">
        <f aca="false">fx_26</f>
        <v>31.6</v>
      </c>
      <c r="E2711" s="23" t="n">
        <f aca="false">fx</f>
        <v>32</v>
      </c>
      <c r="F2711" s="23" t="n">
        <f aca="false">fx</f>
        <v>32</v>
      </c>
      <c r="G2711" s="23" t="n">
        <f aca="false">fx</f>
        <v>32</v>
      </c>
    </row>
    <row r="2712" customFormat="false" ht="17.15" hidden="false" customHeight="false" outlineLevel="0" collapsed="false">
      <c r="A2712" s="0" t="s">
        <v>549</v>
      </c>
      <c r="B2712" s="0" t="s">
        <v>184</v>
      </c>
      <c r="D2712" s="23" t="n">
        <f aca="false">D2708*D2709*D2711/1000000</f>
        <v>58.65206</v>
      </c>
      <c r="E2712" s="23" t="n">
        <f aca="false">E2708*E2709*E2711/1000000</f>
        <v>52.8253583083675</v>
      </c>
      <c r="F2712" s="23" t="n">
        <f aca="false">F2708*F2709*F2711/1000000</f>
        <v>46.4202836134779</v>
      </c>
      <c r="G2712" s="23" t="n">
        <f aca="false">G2708*G2709*G2711/1000000</f>
        <v>47.9508983704629</v>
      </c>
    </row>
    <row r="2713" customFormat="false" ht="17.15" hidden="false" customHeight="false" outlineLevel="0" collapsed="false">
      <c r="A2713" s="6" t="s">
        <v>550</v>
      </c>
    </row>
    <row r="2714" customFormat="false" ht="17.15" hidden="false" customHeight="false" outlineLevel="0" collapsed="false">
      <c r="A2714" s="0" t="s">
        <v>551</v>
      </c>
      <c r="B2714" s="4" t="s">
        <v>42</v>
      </c>
      <c r="D2714" s="22" t="n">
        <f aca="false">0</f>
        <v>0</v>
      </c>
      <c r="E2714" s="22" t="n">
        <f aca="false">vcap27*vcap_adj</f>
        <v>144</v>
      </c>
      <c r="F2714" s="22" t="n">
        <f aca="false">vcap28*vcap_adj</f>
        <v>360</v>
      </c>
      <c r="G2714" s="22" t="n">
        <f aca="false">vcap29*vcap_adj</f>
        <v>504</v>
      </c>
    </row>
    <row r="2715" customFormat="false" ht="17.15" hidden="false" customHeight="false" outlineLevel="0" collapsed="false">
      <c r="A2715" s="0" t="s">
        <v>552</v>
      </c>
      <c r="B2715" s="0" t="s">
        <v>48</v>
      </c>
      <c r="E2715" s="20" t="n">
        <f aca="false">vut_C</f>
        <v>0.65</v>
      </c>
      <c r="F2715" s="20" t="n">
        <f aca="false">vut_C</f>
        <v>0.65</v>
      </c>
      <c r="G2715" s="20" t="n">
        <f aca="false">vut_C</f>
        <v>0.65</v>
      </c>
    </row>
    <row r="2716" customFormat="false" ht="17.15" hidden="false" customHeight="false" outlineLevel="0" collapsed="false">
      <c r="A2716" s="0" t="s">
        <v>553</v>
      </c>
      <c r="B2716" s="4" t="s">
        <v>42</v>
      </c>
      <c r="D2716" s="22" t="n">
        <f aca="false">0</f>
        <v>0</v>
      </c>
      <c r="E2716" s="22" t="n">
        <f aca="false">E2714*E2715</f>
        <v>93.6</v>
      </c>
      <c r="F2716" s="22" t="n">
        <f aca="false">F2714*F2715</f>
        <v>234</v>
      </c>
      <c r="G2716" s="22" t="n">
        <f aca="false">G2714*G2715</f>
        <v>327.6</v>
      </c>
    </row>
    <row r="2717" customFormat="false" ht="17.15" hidden="false" customHeight="false" outlineLevel="0" collapsed="false">
      <c r="A2717" s="0" t="s">
        <v>554</v>
      </c>
      <c r="B2717" s="0" t="s">
        <v>184</v>
      </c>
      <c r="D2717" s="23" t="n">
        <f aca="false">0</f>
        <v>0</v>
      </c>
      <c r="E2717" s="23" t="n">
        <f aca="false">E2716*vasp_hi*E2711/1000000</f>
        <v>6.28992</v>
      </c>
      <c r="F2717" s="23" t="n">
        <f aca="false">F2716*vasp_hi*F2711/1000000</f>
        <v>15.7248</v>
      </c>
      <c r="G2717" s="23" t="n">
        <f aca="false">G2716*vasp_hi*G2711/1000000</f>
        <v>22.01472</v>
      </c>
    </row>
    <row r="2718" customFormat="false" ht="17.15" hidden="false" customHeight="false" outlineLevel="0" collapsed="false">
      <c r="A2718" s="4" t="s">
        <v>400</v>
      </c>
      <c r="B2718" s="0" t="s">
        <v>184</v>
      </c>
      <c r="C2718" s="23" t="n">
        <f aca="false">a25_rev</f>
        <v>48.591</v>
      </c>
      <c r="D2718" s="23" t="n">
        <f aca="false">D2712+D2717</f>
        <v>58.65206</v>
      </c>
      <c r="E2718" s="23" t="n">
        <f aca="false">E2712+E2717</f>
        <v>59.1152783083675</v>
      </c>
      <c r="F2718" s="23" t="n">
        <f aca="false">F2712+F2717</f>
        <v>62.1450836134779</v>
      </c>
      <c r="G2718" s="23" t="n">
        <f aca="false">G2712+G2717</f>
        <v>69.9656183704629</v>
      </c>
      <c r="H2718" s="29" t="n">
        <f aca="false">G2718*(1+H2721)</f>
        <v>76.3018529573725</v>
      </c>
      <c r="I2718" s="29" t="n">
        <f aca="false">H2718*(1+I2721)</f>
        <v>80.5199001925733</v>
      </c>
      <c r="J2718" s="29" t="n">
        <f aca="false">I2718*(1+J2721)</f>
        <v>82.1302981964247</v>
      </c>
      <c r="K2718" s="8" t="s">
        <v>555</v>
      </c>
    </row>
    <row r="2719" customFormat="false" ht="17.15" hidden="false" customHeight="false" outlineLevel="0" collapsed="false">
      <c r="A2719" s="0" t="s">
        <v>556</v>
      </c>
      <c r="B2719" s="0" t="s">
        <v>48</v>
      </c>
      <c r="D2719" s="20" t="n">
        <f aca="false">D2717/D2718</f>
        <v>0</v>
      </c>
      <c r="E2719" s="20" t="n">
        <f aca="false">E2717/E2718</f>
        <v>0.10640092003271</v>
      </c>
      <c r="F2719" s="20" t="n">
        <f aca="false">F2717/F2718</f>
        <v>0.253033692863029</v>
      </c>
      <c r="G2719" s="20" t="n">
        <f aca="false">G2717/G2718</f>
        <v>0.314650545692795</v>
      </c>
    </row>
    <row r="2720" customFormat="false" ht="17.15" hidden="false" customHeight="false" outlineLevel="0" collapsed="false">
      <c r="A2720" s="0" t="s">
        <v>557</v>
      </c>
      <c r="B2720" s="0" t="s">
        <v>48</v>
      </c>
      <c r="D2720" s="20" t="n">
        <f aca="false">ai_sh26</f>
        <v>0.1</v>
      </c>
      <c r="E2720" s="20" t="n">
        <f aca="false">ai_sh27_C</f>
        <v>0.15</v>
      </c>
      <c r="F2720" s="20" t="n">
        <f aca="false">ai_sh27_C</f>
        <v>0.15</v>
      </c>
      <c r="G2720" s="20" t="n">
        <f aca="false">ai_sh27_C</f>
        <v>0.15</v>
      </c>
    </row>
    <row r="2721" customFormat="false" ht="15" hidden="false" customHeight="false" outlineLevel="0" collapsed="false">
      <c r="A2721" s="4" t="s">
        <v>558</v>
      </c>
      <c r="B2721" s="0" t="s">
        <v>48</v>
      </c>
      <c r="D2721" s="20" t="n">
        <f aca="false">D2718/C2718-1</f>
        <v>0.207056039184211</v>
      </c>
      <c r="E2721" s="20" t="n">
        <f aca="false">E2718/D2718-1</f>
        <v>0.00789773297591756</v>
      </c>
      <c r="F2721" s="20" t="n">
        <f aca="false">F2718/E2718-1</f>
        <v>0.0512524916030308</v>
      </c>
      <c r="G2721" s="20" t="n">
        <f aca="false">G2718/F2718-1</f>
        <v>0.12584317700216</v>
      </c>
      <c r="H2721" s="27" t="n">
        <f aca="false">$G2721+(fade_gC-$G2721)*1/3</f>
        <v>0.0905621180014403</v>
      </c>
      <c r="I2721" s="27" t="n">
        <f aca="false">$G2721+(fade_gC-$G2721)*2/3</f>
        <v>0.0552810590007201</v>
      </c>
      <c r="J2721" s="27" t="n">
        <f aca="false">$G2721+(fade_gC-$G2721)*3/3</f>
        <v>0.02</v>
      </c>
    </row>
    <row r="2722" customFormat="false" ht="17.15" hidden="false" customHeight="false" outlineLevel="0" collapsed="false">
      <c r="A2722" s="6" t="s">
        <v>559</v>
      </c>
    </row>
    <row r="2723" customFormat="false" ht="15" hidden="false" customHeight="false" outlineLevel="0" collapsed="false">
      <c r="A2723" s="4" t="s">
        <v>560</v>
      </c>
      <c r="B2723" s="0" t="s">
        <v>184</v>
      </c>
      <c r="D2723" s="23" t="n">
        <f aca="false">da_tot26*da_sh</f>
        <v>8.658</v>
      </c>
      <c r="E2723" s="23" t="n">
        <f aca="false">D2723*(1+dag_27+dag_adj)</f>
        <v>8.91774</v>
      </c>
      <c r="F2723" s="23" t="n">
        <f aca="false">E2723*(1+dag_28+dag_adj)</f>
        <v>9.0960948</v>
      </c>
      <c r="G2723" s="23" t="n">
        <f aca="false">F2723*(1+dag_29+dag_adj)</f>
        <v>9.0960948</v>
      </c>
    </row>
    <row r="2724" customFormat="false" ht="17.15" hidden="false" customHeight="false" outlineLevel="0" collapsed="false">
      <c r="A2724" s="4" t="s">
        <v>561</v>
      </c>
      <c r="B2724" s="0" t="s">
        <v>562</v>
      </c>
      <c r="D2724" s="23" t="n">
        <f aca="false">(D2712-a26_gp-D2723)/D2708*1000</f>
        <v>10.7339918911001</v>
      </c>
      <c r="E2724" s="23" t="n">
        <f aca="false">D2724*(1+cc_g)</f>
        <v>10.9486717289221</v>
      </c>
      <c r="F2724" s="23" t="n">
        <f aca="false">E2724*(1+cc_g)</f>
        <v>11.1676451635006</v>
      </c>
      <c r="G2724" s="23" t="n">
        <f aca="false">F2724*(1+cc_g)</f>
        <v>11.3909980667706</v>
      </c>
      <c r="K2724" s="8" t="s">
        <v>563</v>
      </c>
    </row>
    <row r="2725" customFormat="false" ht="17.15" hidden="false" customHeight="false" outlineLevel="0" collapsed="false">
      <c r="A2725" s="4" t="s">
        <v>564</v>
      </c>
      <c r="B2725" s="0" t="s">
        <v>184</v>
      </c>
      <c r="D2725" s="23" t="n">
        <f aca="false">D2724*D2708/1000</f>
        <v>30.9620386</v>
      </c>
      <c r="E2725" s="23" t="n">
        <f aca="false">E2724*E2708/1000</f>
        <v>28.9570469886533</v>
      </c>
      <c r="F2725" s="23" t="n">
        <f aca="false">F2724*F2708/1000</f>
        <v>27.3209738337944</v>
      </c>
      <c r="G2725" s="23" t="n">
        <f aca="false">G2724*G2708/1000</f>
        <v>29.37373889482</v>
      </c>
    </row>
    <row r="2726" customFormat="false" ht="17.15" hidden="false" customHeight="false" outlineLevel="0" collapsed="false">
      <c r="A2726" s="0" t="s">
        <v>565</v>
      </c>
      <c r="B2726" s="0" t="s">
        <v>48</v>
      </c>
      <c r="E2726" s="20" t="n">
        <f aca="false">vgm27_C</f>
        <v>-0.2</v>
      </c>
      <c r="F2726" s="20" t="n">
        <f aca="false">vgm28_C</f>
        <v>0</v>
      </c>
      <c r="G2726" s="20" t="n">
        <f aca="false">vgm29_C</f>
        <v>0.05</v>
      </c>
    </row>
    <row r="2727" customFormat="false" ht="17.15" hidden="false" customHeight="false" outlineLevel="0" collapsed="false">
      <c r="A2727" s="0" t="s">
        <v>566</v>
      </c>
      <c r="B2727" s="0" t="s">
        <v>184</v>
      </c>
      <c r="D2727" s="23" t="n">
        <f aca="false">0</f>
        <v>0</v>
      </c>
      <c r="E2727" s="23" t="n">
        <f aca="false">E2717*E2726</f>
        <v>-1.257984</v>
      </c>
      <c r="F2727" s="23" t="n">
        <f aca="false">F2717*F2726</f>
        <v>0</v>
      </c>
      <c r="G2727" s="23" t="n">
        <f aca="false">G2717*G2726</f>
        <v>1.100736</v>
      </c>
    </row>
    <row r="2728" customFormat="false" ht="15" hidden="false" customHeight="false" outlineLevel="0" collapsed="false">
      <c r="A2728" s="4" t="s">
        <v>417</v>
      </c>
      <c r="B2728" s="0" t="s">
        <v>184</v>
      </c>
      <c r="C2728" s="23" t="n">
        <f aca="false">a25_gp</f>
        <v>13.654</v>
      </c>
      <c r="D2728" s="23" t="n">
        <f aca="false">D2712-D2723-D2725+D2727</f>
        <v>19.0320214</v>
      </c>
      <c r="E2728" s="23" t="n">
        <f aca="false">E2712-E2723-E2725+E2727</f>
        <v>13.6925873197142</v>
      </c>
      <c r="F2728" s="23" t="n">
        <f aca="false">F2712-F2723-F2725+F2727</f>
        <v>10.0032149796835</v>
      </c>
      <c r="G2728" s="23" t="n">
        <f aca="false">G2712-G2723-G2725+G2727</f>
        <v>10.5818006756429</v>
      </c>
    </row>
    <row r="2729" customFormat="false" ht="15" hidden="false" customHeight="false" outlineLevel="0" collapsed="false">
      <c r="A2729" s="4" t="s">
        <v>420</v>
      </c>
      <c r="B2729" s="0" t="s">
        <v>48</v>
      </c>
      <c r="C2729" s="16" t="n">
        <f aca="false">C2728/C2718</f>
        <v>0.280998538824062</v>
      </c>
      <c r="D2729" s="16" t="n">
        <f aca="false">D2728/D2718</f>
        <v>0.324490246378388</v>
      </c>
      <c r="E2729" s="16" t="n">
        <f aca="false">E2728/E2718</f>
        <v>0.231625185764812</v>
      </c>
      <c r="F2729" s="16" t="n">
        <f aca="false">F2728/F2718</f>
        <v>0.16096550842059</v>
      </c>
      <c r="G2729" s="16" t="n">
        <f aca="false">G2728/G2718</f>
        <v>0.151242866454963</v>
      </c>
    </row>
    <row r="2730" customFormat="false" ht="15" hidden="false" customHeight="false" outlineLevel="0" collapsed="false">
      <c r="A2730" s="4" t="s">
        <v>422</v>
      </c>
      <c r="B2730" s="0" t="s">
        <v>184</v>
      </c>
      <c r="C2730" s="23" t="n">
        <f aca="false">a25_opx</f>
        <v>5.881</v>
      </c>
      <c r="D2730" s="23" t="n">
        <f aca="false">a26_opx</f>
        <v>6.824187</v>
      </c>
      <c r="E2730" s="23" t="n">
        <f aca="false">D2730*(1+MAX(g_opx_min,phi*E2721))</f>
        <v>7.02891261</v>
      </c>
      <c r="F2730" s="23" t="n">
        <f aca="false">E2730*(1+MAX(g_opx_min,phi*F2721))</f>
        <v>7.2397799883</v>
      </c>
      <c r="G2730" s="23" t="n">
        <f aca="false">F2730*(1+MAX(g_opx_min,phi*G2721))</f>
        <v>7.69531844556217</v>
      </c>
    </row>
    <row r="2731" customFormat="false" ht="15" hidden="false" customHeight="false" outlineLevel="0" collapsed="false">
      <c r="A2731" s="4" t="s">
        <v>425</v>
      </c>
      <c r="B2731" s="0" t="s">
        <v>184</v>
      </c>
      <c r="C2731" s="23" t="n">
        <f aca="false">C2728-C2730</f>
        <v>7.773</v>
      </c>
      <c r="D2731" s="23" t="n">
        <f aca="false">D2728-D2730</f>
        <v>12.2078344</v>
      </c>
      <c r="E2731" s="23" t="n">
        <f aca="false">E2728-E2730</f>
        <v>6.6636747097142</v>
      </c>
      <c r="F2731" s="23" t="n">
        <f aca="false">F2728-F2730</f>
        <v>2.76343499138354</v>
      </c>
      <c r="G2731" s="23" t="n">
        <f aca="false">G2728-G2730</f>
        <v>2.88648223008069</v>
      </c>
    </row>
    <row r="2732" customFormat="false" ht="15" hidden="false" customHeight="false" outlineLevel="0" collapsed="false">
      <c r="A2732" s="4" t="s">
        <v>531</v>
      </c>
      <c r="B2732" s="0" t="s">
        <v>48</v>
      </c>
      <c r="C2732" s="16" t="n">
        <f aca="false">C2731/C2718</f>
        <v>0.159967895289251</v>
      </c>
      <c r="D2732" s="16" t="n">
        <f aca="false">D2731/D2718</f>
        <v>0.208139908470393</v>
      </c>
      <c r="E2732" s="16" t="n">
        <f aca="false">E2731/E2718</f>
        <v>0.112723392334448</v>
      </c>
      <c r="F2732" s="16" t="n">
        <f aca="false">F2731/F2718</f>
        <v>0.0444674756344556</v>
      </c>
      <c r="G2732" s="16" t="n">
        <f aca="false">G2731/G2718</f>
        <v>0.0412557238442026</v>
      </c>
    </row>
    <row r="2733" customFormat="false" ht="15" hidden="false" customHeight="false" outlineLevel="0" collapsed="false">
      <c r="A2733" s="4" t="s">
        <v>428</v>
      </c>
      <c r="B2733" s="0" t="s">
        <v>184</v>
      </c>
      <c r="C2733" s="23" t="n">
        <f aca="false">a25_nonop</f>
        <v>1.479</v>
      </c>
      <c r="D2733" s="23" t="n">
        <f aca="false">a26_nonop</f>
        <v>2.10950832169955</v>
      </c>
      <c r="E2733" s="23" t="n">
        <f aca="false">nonop_f</f>
        <v>1.5</v>
      </c>
      <c r="F2733" s="23" t="n">
        <f aca="false">nonop_f</f>
        <v>1.5</v>
      </c>
      <c r="G2733" s="23" t="n">
        <f aca="false">nonop_f</f>
        <v>1.5</v>
      </c>
    </row>
    <row r="2734" customFormat="false" ht="15" hidden="false" customHeight="false" outlineLevel="0" collapsed="false">
      <c r="A2734" s="4" t="s">
        <v>430</v>
      </c>
      <c r="B2734" s="0" t="s">
        <v>184</v>
      </c>
      <c r="C2734" s="23" t="n">
        <f aca="false">C2731+C2733</f>
        <v>9.252</v>
      </c>
      <c r="D2734" s="23" t="n">
        <f aca="false">D2731+D2733</f>
        <v>14.3173427216995</v>
      </c>
      <c r="E2734" s="23" t="n">
        <f aca="false">E2731+E2733</f>
        <v>8.1636747097142</v>
      </c>
      <c r="F2734" s="23" t="n">
        <f aca="false">F2731+F2733</f>
        <v>4.26343499138354</v>
      </c>
      <c r="G2734" s="23" t="n">
        <f aca="false">G2731+G2733</f>
        <v>4.38648223008069</v>
      </c>
    </row>
    <row r="2735" customFormat="false" ht="15" hidden="false" customHeight="false" outlineLevel="0" collapsed="false">
      <c r="A2735" s="4" t="s">
        <v>432</v>
      </c>
      <c r="B2735" s="0" t="s">
        <v>184</v>
      </c>
      <c r="C2735" s="23" t="n">
        <f aca="false">a25_tax</f>
        <v>1.344</v>
      </c>
      <c r="D2735" s="23" t="n">
        <f aca="false">a26_tax</f>
        <v>2.0798215108046</v>
      </c>
      <c r="E2735" s="23" t="n">
        <f aca="false">E2734*tax</f>
        <v>1.22455120645713</v>
      </c>
      <c r="F2735" s="23" t="n">
        <f aca="false">F2734*tax</f>
        <v>0.63951524870753</v>
      </c>
      <c r="G2735" s="23" t="n">
        <f aca="false">G2734*tax</f>
        <v>0.657972334512103</v>
      </c>
    </row>
    <row r="2736" customFormat="false" ht="17.15" hidden="false" customHeight="false" outlineLevel="0" collapsed="false">
      <c r="A2736" s="4" t="s">
        <v>567</v>
      </c>
      <c r="B2736" s="0" t="s">
        <v>184</v>
      </c>
      <c r="C2736" s="23" t="n">
        <f aca="false">a25_mi</f>
        <v>0</v>
      </c>
      <c r="D2736" s="23" t="n">
        <f aca="false">a26_mi</f>
        <v>0</v>
      </c>
      <c r="E2736" s="23" t="n">
        <f aca="false">vmi*E2727*(1-tax)</f>
        <v>-0.42771456</v>
      </c>
      <c r="F2736" s="23" t="n">
        <f aca="false">vmi*F2727*(1-tax)</f>
        <v>0</v>
      </c>
      <c r="G2736" s="23" t="n">
        <f aca="false">vmi*G2727*(1-tax)</f>
        <v>0.37425024</v>
      </c>
      <c r="K2736" s="8" t="s">
        <v>568</v>
      </c>
    </row>
    <row r="2737" customFormat="false" ht="15" hidden="false" customHeight="false" outlineLevel="0" collapsed="false">
      <c r="A2737" s="4" t="s">
        <v>435</v>
      </c>
      <c r="B2737" s="0" t="s">
        <v>184</v>
      </c>
      <c r="C2737" s="23" t="n">
        <f aca="false">C2734-C2735-C2736</f>
        <v>7.908</v>
      </c>
      <c r="D2737" s="23" t="n">
        <f aca="false">D2734-D2735-D2736</f>
        <v>12.2375212108949</v>
      </c>
      <c r="E2737" s="23" t="n">
        <f aca="false">E2734-E2735-E2736</f>
        <v>7.36683806325707</v>
      </c>
      <c r="F2737" s="23" t="n">
        <f aca="false">F2734-F2735-F2736</f>
        <v>3.62391974267601</v>
      </c>
      <c r="G2737" s="23" t="n">
        <f aca="false">G2734-G2735-G2736</f>
        <v>3.35425965556858</v>
      </c>
      <c r="H2737" s="29" t="n">
        <f aca="false">H2718*H2741</f>
        <v>3.41415994668341</v>
      </c>
      <c r="I2737" s="29" t="n">
        <f aca="false">I2718*I2741</f>
        <v>3.34554844383863</v>
      </c>
      <c r="J2737" s="29" t="n">
        <f aca="false">J2718*J2741</f>
        <v>3.14996253481422</v>
      </c>
    </row>
    <row r="2738" customFormat="false" ht="15" hidden="false" customHeight="false" outlineLevel="0" collapsed="false">
      <c r="A2738" s="4" t="s">
        <v>569</v>
      </c>
      <c r="B2738" s="4" t="s">
        <v>265</v>
      </c>
      <c r="C2738" s="10" t="n">
        <f aca="false">a25_sh</f>
        <v>1.8739336492891</v>
      </c>
      <c r="D2738" s="10" t="n">
        <f aca="false">a26_sh</f>
        <v>1.90613591916558</v>
      </c>
      <c r="E2738" s="10" t="n">
        <f aca="false">q_sh*(1+sh_g)</f>
        <v>1.90705128205128</v>
      </c>
      <c r="F2738" s="10" t="n">
        <f aca="false">E2738*(1+sh_g)</f>
        <v>1.90705128205128</v>
      </c>
      <c r="G2738" s="10" t="n">
        <f aca="false">F2738*(1+sh_g)</f>
        <v>1.90705128205128</v>
      </c>
      <c r="H2738" s="31" t="n">
        <f aca="false">G2738*(1+sh_g)</f>
        <v>1.90705128205128</v>
      </c>
      <c r="I2738" s="31" t="n">
        <f aca="false">H2738*(1+sh_g)</f>
        <v>1.90705128205128</v>
      </c>
      <c r="J2738" s="31" t="n">
        <f aca="false">I2738*(1+sh_g)</f>
        <v>1.90705128205128</v>
      </c>
    </row>
    <row r="2739" customFormat="false" ht="17.15" hidden="false" customHeight="false" outlineLevel="0" collapsed="false">
      <c r="A2739" s="0" t="s">
        <v>442</v>
      </c>
      <c r="B2739" s="0" t="s">
        <v>274</v>
      </c>
      <c r="C2739" s="23" t="n">
        <f aca="false">C2737/C2738</f>
        <v>4.22</v>
      </c>
      <c r="D2739" s="23" t="n">
        <f aca="false">D2737/D2738</f>
        <v>6.42006747150118</v>
      </c>
      <c r="E2739" s="23" t="n">
        <f aca="false">E2737/E2738</f>
        <v>3.86294701804404</v>
      </c>
      <c r="F2739" s="23" t="n">
        <f aca="false">F2737/F2738</f>
        <v>1.90027388187381</v>
      </c>
      <c r="G2739" s="23" t="n">
        <f aca="false">G2737/G2738</f>
        <v>1.75887228997882</v>
      </c>
      <c r="H2739" s="29" t="n">
        <f aca="false">H2737/H2738</f>
        <v>1.79028219052979</v>
      </c>
      <c r="I2739" s="29" t="n">
        <f aca="false">I2737/I2738</f>
        <v>1.75430439408009</v>
      </c>
      <c r="J2739" s="29" t="n">
        <f aca="false">J2737/J2738</f>
        <v>1.65174506027233</v>
      </c>
    </row>
    <row r="2740" customFormat="false" ht="17.15" hidden="false" customHeight="false" outlineLevel="0" collapsed="false">
      <c r="A2740" s="0" t="s">
        <v>570</v>
      </c>
      <c r="B2740" s="0" t="s">
        <v>48</v>
      </c>
      <c r="D2740" s="20" t="n">
        <f aca="false">D2739/C2739-1</f>
        <v>0.521343002725398</v>
      </c>
      <c r="E2740" s="20" t="n">
        <f aca="false">E2739/D2739-1</f>
        <v>-0.398301180604137</v>
      </c>
      <c r="F2740" s="20" t="n">
        <f aca="false">F2739/E2739-1</f>
        <v>-0.508076638639484</v>
      </c>
      <c r="G2740" s="20" t="n">
        <f aca="false">G2739/F2739-1</f>
        <v>-0.0744111642241553</v>
      </c>
      <c r="H2740" s="27" t="n">
        <f aca="false">H2739/G2739-1</f>
        <v>0.0178579768013443</v>
      </c>
      <c r="I2740" s="27" t="n">
        <f aca="false">I2739/H2739-1</f>
        <v>-0.0200961594993314</v>
      </c>
      <c r="J2740" s="27" t="n">
        <f aca="false">J2739/I2739-1</f>
        <v>-0.0584615384615383</v>
      </c>
    </row>
    <row r="2741" customFormat="false" ht="17.15" hidden="false" customHeight="false" outlineLevel="0" collapsed="false">
      <c r="A2741" s="4" t="s">
        <v>571</v>
      </c>
      <c r="B2741" s="0" t="s">
        <v>48</v>
      </c>
      <c r="C2741" s="16" t="n">
        <f aca="false">C2737/C2718</f>
        <v>0.162746187565599</v>
      </c>
      <c r="D2741" s="16" t="n">
        <f aca="false">D2737/D2718</f>
        <v>0.208646059676249</v>
      </c>
      <c r="E2741" s="16" t="n">
        <f aca="false">E2737/E2718</f>
        <v>0.124618174422336</v>
      </c>
      <c r="F2741" s="16" t="n">
        <f aca="false">F2737/F2718</f>
        <v>0.0583138605978166</v>
      </c>
      <c r="G2741" s="16" t="n">
        <f aca="false">G2737/G2718</f>
        <v>0.0479415423416688</v>
      </c>
      <c r="H2741" s="28" t="n">
        <f aca="false">$G2741+($G$2741*0.8-$G2741)*1/3</f>
        <v>0.0447454395188908</v>
      </c>
      <c r="I2741" s="28" t="n">
        <f aca="false">$G2741+($G$2741*0.8-$G2741)*2/3</f>
        <v>0.0415493366961129</v>
      </c>
      <c r="J2741" s="28" t="n">
        <f aca="false">$G2741+($G$2741*0.8-$G2741)*3/3</f>
        <v>0.038353233873335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911</v>
      </c>
    </row>
    <row r="2" customFormat="false" ht="17.15" hidden="false" customHeight="false" outlineLevel="0" collapsed="false">
      <c r="A2" s="4" t="s">
        <v>912</v>
      </c>
      <c r="B2" s="0" t="s">
        <v>913</v>
      </c>
    </row>
    <row r="3" customFormat="false" ht="17.15" hidden="false" customHeight="false" outlineLevel="0" collapsed="false">
      <c r="A3" s="4" t="s">
        <v>914</v>
      </c>
      <c r="B3" s="0" t="s">
        <v>915</v>
      </c>
    </row>
    <row r="4" customFormat="false" ht="17.15" hidden="false" customHeight="false" outlineLevel="0" collapsed="false">
      <c r="A4" s="4" t="s">
        <v>916</v>
      </c>
      <c r="B4" s="0" t="s">
        <v>917</v>
      </c>
    </row>
    <row r="5" customFormat="false" ht="17.15" hidden="false" customHeight="false" outlineLevel="0" collapsed="false">
      <c r="A5" s="4" t="s">
        <v>918</v>
      </c>
      <c r="B5" s="0" t="s">
        <v>919</v>
      </c>
    </row>
    <row r="6" customFormat="false" ht="17.15" hidden="false" customHeight="false" outlineLevel="0" collapsed="false">
      <c r="A6" s="4" t="s">
        <v>920</v>
      </c>
      <c r="B6" s="0" t="s">
        <v>921</v>
      </c>
    </row>
    <row r="7" customFormat="false" ht="17.15" hidden="false" customHeight="false" outlineLevel="0" collapsed="false">
      <c r="A7" s="4" t="s">
        <v>922</v>
      </c>
      <c r="B7" s="0" t="s">
        <v>923</v>
      </c>
    </row>
    <row r="8" customFormat="false" ht="17.15" hidden="false" customHeight="false" outlineLevel="0" collapsed="false">
      <c r="A8" s="4" t="s">
        <v>924</v>
      </c>
      <c r="B8" s="0" t="s">
        <v>925</v>
      </c>
    </row>
    <row r="9" customFormat="false" ht="17.15" hidden="false" customHeight="false" outlineLevel="0" collapsed="false">
      <c r="A9" s="4" t="s">
        <v>926</v>
      </c>
      <c r="B9" s="0" t="s">
        <v>927</v>
      </c>
    </row>
    <row r="10" customFormat="false" ht="17.15" hidden="false" customHeight="false" outlineLevel="0" collapsed="false">
      <c r="A10" s="4" t="s">
        <v>928</v>
      </c>
      <c r="B10" s="0" t="s">
        <v>929</v>
      </c>
    </row>
    <row r="11" customFormat="false" ht="17.15" hidden="false" customHeight="false" outlineLevel="0" collapsed="false">
      <c r="A11" s="4" t="s">
        <v>930</v>
      </c>
      <c r="B11" s="0" t="s">
        <v>931</v>
      </c>
    </row>
    <row r="12" customFormat="false" ht="17.15" hidden="false" customHeight="false" outlineLevel="0" collapsed="false">
      <c r="A12" s="4" t="s">
        <v>932</v>
      </c>
      <c r="B12" s="0" t="s">
        <v>933</v>
      </c>
    </row>
    <row r="13" customFormat="false" ht="17.15" hidden="false" customHeight="false" outlineLevel="0" collapsed="false">
      <c r="A13" s="4" t="s">
        <v>934</v>
      </c>
      <c r="B13" s="4" t="s">
        <v>746</v>
      </c>
    </row>
    <row r="14" customFormat="false" ht="15" hidden="false" customHeight="false" outlineLevel="0" collapsed="false">
      <c r="A14" s="0" t="s">
        <v>935</v>
      </c>
      <c r="B14" s="4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2026-10-31T05:43:43Z</dcterms:created>
  <dc:creator>openpyxl</dc:creator>
  <dc:description/>
  <dc:language>en-US</dc:language>
  <cp:lastModifiedBy/>
  <dcterms:modified xsi:type="dcterms:W3CDTF">2026-10-31T05:43:43Z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