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Q!$B$6</definedName>
    <definedName function="false" hidden="false" name="a25_eps" vbProcedure="false">Q!$B$17</definedName>
    <definedName function="false" hidden="false" name="a25_eq" vbProcedure="false">Q!$B$8</definedName>
    <definedName function="false" hidden="false" name="a25_gp" vbProcedure="false">Q!$B$10</definedName>
    <definedName function="false" hidden="false" name="a25_ni" vbProcedure="false">Q!$B$15</definedName>
    <definedName function="false" hidden="false" name="a25_npc" vbProcedure="false">Q!$B$7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oth" vbProcedure="false">Q!$B$9</definedName>
    <definedName function="false" hidden="false" name="a25_pc" vbProcedure="false">Q!$B$5</definedName>
    <definedName function="false" hidden="false" name="a25_rev" vbProcedure="false">Q!$B$4</definedName>
    <definedName function="false" hidden="false" name="a25_sh" vbProcedure="false">Q!$B$16</definedName>
    <definedName function="false" hidden="false" name="a26_ai" vbProcedure="false">Q!$G$6</definedName>
    <definedName function="false" hidden="false" name="a26_eps" vbProcedure="false">Q!$G$17</definedName>
    <definedName function="false" hidden="false" name="a26_eq" vbProcedure="false">Q!$G$8</definedName>
    <definedName function="false" hidden="false" name="a26_gp" vbProcedure="false">Q!$G$10</definedName>
    <definedName function="false" hidden="false" name="a26_ni" vbProcedure="false">Q!$G$15</definedName>
    <definedName function="false" hidden="false" name="a26_npc" vbProcedure="false">Q!$G$7</definedName>
    <definedName function="false" hidden="false" name="a26_oi" vbProcedure="false">Q!$G$13</definedName>
    <definedName function="false" hidden="false" name="a26_opx" vbProcedure="false">Q!$G$12</definedName>
    <definedName function="false" hidden="false" name="a26_oth" vbProcedure="false">Q!$G$9</definedName>
    <definedName function="false" hidden="false" name="a26_pc" vbProcedure="false">Q!$G$5</definedName>
    <definedName function="false" hidden="false" name="a26_rev" vbProcedure="false">Q!$G$4</definedName>
    <definedName function="false" hidden="false" name="a26_sh" vbProcedure="false">Q!$G$16</definedName>
    <definedName function="false" hidden="false" name="ai_sh25" vbProcedure="false">In!$E$45</definedName>
    <definedName function="false" hidden="false" name="ai_sh26" vbProcedure="false">In!$E$46</definedName>
    <definedName function="false" hidden="false" name="ai_sh26_hi" vbProcedure="false">In!$F$46</definedName>
    <definedName function="false" hidden="false" name="ai_sh26_lo" vbProcedure="false">In!$D$46</definedName>
    <definedName function="false" hidden="false" name="al_eps27" vbProcedure="false">In!$E$84</definedName>
    <definedName function="false" hidden="false" name="al_eps28" vbProcedure="false">In!$E$85</definedName>
    <definedName function="false" hidden="false" name="astt_26" vbProcedure="false">In!$E$16</definedName>
    <definedName function="false" hidden="false" name="astt_27" vbProcedure="false">In!$E$18</definedName>
    <definedName function="false" hidden="false" name="astt_28" vbProcedure="false">In!$E$20</definedName>
    <definedName function="false" hidden="false" name="astt_29" vbProcedure="false">In!$E$22</definedName>
    <definedName function="false" hidden="false" name="cons_eps26" vbProcedure="false">In!$E$82</definedName>
    <definedName function="false" hidden="false" name="cons_eps27" vbProcedure="false">In!$E$83</definedName>
    <definedName function="false" hidden="false" name="cons_feps" vbProcedure="false">In!$E$91</definedName>
    <definedName function="false" hidden="false" name="cons_rev26" vbProcedure="false">In!$E$86</definedName>
    <definedName function="false" hidden="false" name="cons_tp" vbProcedure="false">In!$E$92</definedName>
    <definedName function="false" hidden="false" name="cpo_A_26" vbProcedure="false">In!$E$34</definedName>
    <definedName function="false" hidden="false" name="cpo_A_27" vbProcedure="false">In!$E$25</definedName>
    <definedName function="false" hidden="false" name="cpo_A_28" vbProcedure="false">In!$E$26</definedName>
    <definedName function="false" hidden="false" name="cpo_A_29" vbProcedure="false">In!$E$27</definedName>
    <definedName function="false" hidden="false" name="cpo_B_27" vbProcedure="false">In!$E$28</definedName>
    <definedName function="false" hidden="false" name="cpo_B_28" vbProcedure="false">In!$E$29</definedName>
    <definedName function="false" hidden="false" name="cpo_B_29" vbProcedure="false">In!$E$30</definedName>
    <definedName function="false" hidden="false" name="cpo_C_27" vbProcedure="false">In!$E$31</definedName>
    <definedName function="false" hidden="false" name="cpo_C_28" vbProcedure="false">In!$E$32</definedName>
    <definedName function="false" hidden="false" name="cpo_C_29" vbProcedure="false">In!$E$33</definedName>
    <definedName function="false" hidden="false" name="d_npc" vbProcedure="false">In!$E$57</definedName>
    <definedName function="false" hidden="false" name="d_npc_hi" vbProcedure="false">In!$F$57</definedName>
    <definedName function="false" hidden="false" name="d_npc_lo" vbProcedure="false">In!$D$57</definedName>
    <definedName function="false" hidden="false" name="eqk28_A" vbProcedure="false">In!$E$38</definedName>
    <definedName function="false" hidden="false" name="eqk28_B" vbProcedure="false">In!$E$40</definedName>
    <definedName function="false" hidden="false" name="eqk28_C" vbProcedure="false">In!$E$42</definedName>
    <definedName function="false" hidden="false" name="eqk29_A" vbProcedure="false">In!$E$39</definedName>
    <definedName function="false" hidden="false" name="eqk29_B" vbProcedure="false">In!$E$41</definedName>
    <definedName function="false" hidden="false" name="eqk29_C" vbProcedure="false">In!$E$43</definedName>
    <definedName function="false" hidden="false" name="ex_nv" vbProcedure="false">In!$E$23</definedName>
    <definedName function="false" hidden="false" name="ex_nv_hi" vbProcedure="false">In!$F$23</definedName>
    <definedName function="false" hidden="false" name="ex_nv_lo" vbProcedure="false">In!$D$23</definedName>
    <definedName function="false" hidden="false" name="fade_gA" vbProcedure="false">In!$E$101</definedName>
    <definedName function="false" hidden="false" name="fade_gB" vbProcedure="false">In!$E$102</definedName>
    <definedName function="false" hidden="false" name="fade_gC" vbProcedure="false">In!$E$103</definedName>
    <definedName function="false" hidden="false" name="fade_mA" vbProcedure="false">In!$E$104</definedName>
    <definedName function="false" hidden="false" name="fade_mB" vbProcedure="false">In!$E$105</definedName>
    <definedName function="false" hidden="false" name="fade_mC" vbProcedure="false">In!$E$106</definedName>
    <definedName function="false" hidden="false" name="fpe" vbProcedure="false">In!$E$90</definedName>
    <definedName function="false" hidden="false" name="gm27_A" vbProcedure="false">In!$E$62</definedName>
    <definedName function="false" hidden="false" name="gm27_B" vbProcedure="false">In!$E$64</definedName>
    <definedName function="false" hidden="false" name="gm27_C" vbProcedure="false">In!$E$66</definedName>
    <definedName function="false" hidden="false" name="gmL_A" vbProcedure="false">In!$E$63</definedName>
    <definedName function="false" hidden="false" name="gmL_B" vbProcedure="false">In!$E$65</definedName>
    <definedName function="false" hidden="false" name="gmL_C" vbProcedure="false">In!$E$67</definedName>
    <definedName function="false" hidden="false" name="gm_adj" vbProcedure="false">In!$E$68</definedName>
    <definedName function="false" hidden="false" name="gm_adj_hi" vbProcedure="false">In!$F$68</definedName>
    <definedName function="false" hidden="false" name="gm_adj_lo" vbProcedure="false">In!$D$68</definedName>
    <definedName function="false" hidden="false" name="g_ct" vbProcedure="false">In!$E$56</definedName>
    <definedName function="false" hidden="false" name="g_ct_hi" vbProcedure="false">In!$F$56</definedName>
    <definedName function="false" hidden="false" name="g_ct_lo" vbProcedure="false">In!$D$56</definedName>
    <definedName function="false" hidden="false" name="g_nonai" vbProcedure="false">In!$E$24</definedName>
    <definedName function="false" hidden="false" name="g_nonai_hi" vbProcedure="false">In!$F$24</definedName>
    <definedName function="false" hidden="false" name="g_nonai_lo" vbProcedure="false">In!$D$24</definedName>
    <definedName function="false" hidden="false" name="g_oth" vbProcedure="false">In!$E$60</definedName>
    <definedName function="false" hidden="false" name="k_cpo" vbProcedure="false">In!$E$59</definedName>
    <definedName function="false" hidden="false" name="k_cpo_hi" vbProcedure="false">In!$F$59</definedName>
    <definedName function="false" hidden="false" name="k_cpo_lo" vbProcedure="false">In!$D$59</definedName>
    <definedName function="false" hidden="false" name="ni_oi" vbProcedure="false">In!$E$70</definedName>
    <definedName function="false" hidden="false" name="ni_oi_hi" vbProcedure="false">In!$F$70</definedName>
    <definedName function="false" hidden="false" name="ni_oi_lo" vbProcedure="false">In!$D$70</definedName>
    <definedName function="false" hidden="false" name="nvtt_26" vbProcedure="false">In!$E$15</definedName>
    <definedName function="false" hidden="false" name="nvtt_27" vbProcedure="false">In!$E$17</definedName>
    <definedName function="false" hidden="false" name="nvtt_28" vbProcedure="false">In!$E$19</definedName>
    <definedName function="false" hidden="false" name="nvtt_29" vbProcedure="false">In!$E$21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In!$E$89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In!$E$88</definedName>
    <definedName function="false" hidden="false" name="q3_gm" vbProcedure="false">In!$E$75</definedName>
    <definedName function="false" hidden="false" name="q3_oth" vbProcedure="false">In!$E$74</definedName>
    <definedName function="false" hidden="false" name="q3_pcsh" vbProcedure="false">In!$E$73</definedName>
    <definedName function="false" hidden="false" name="q4_g" vbProcedure="false">In!$E$77</definedName>
    <definedName function="false" hidden="false" name="q4_gm" vbProcedure="false">In!$E$76</definedName>
    <definedName function="false" hidden="false" name="q4_pcsh" vbProcedure="false">In!$E$78</definedName>
    <definedName function="false" hidden="false" name="q_nioi" vbProcedure="false">In!$E$80</definedName>
    <definedName function="false" hidden="false" name="q_opx" vbProcedure="false">In!$E$79</definedName>
    <definedName function="false" hidden="false" name="rel27_A" vbProcedure="false">In!$E$47</definedName>
    <definedName function="false" hidden="false" name="rel27_B" vbProcedure="false">In!$E$50</definedName>
    <definedName function="false" hidden="false" name="rel27_C" vbProcedure="false">In!$E$53</definedName>
    <definedName function="false" hidden="false" name="rel28_A" vbProcedure="false">In!$E$48</definedName>
    <definedName function="false" hidden="false" name="rel28_B" vbProcedure="false">In!$E$51</definedName>
    <definedName function="false" hidden="false" name="rel28_C" vbProcedure="false">In!$E$54</definedName>
    <definedName function="false" hidden="false" name="rel29_A" vbProcedure="false">In!$E$49</definedName>
    <definedName function="false" hidden="false" name="rel29_B" vbProcedure="false">In!$E$52</definedName>
    <definedName function="false" hidden="false" name="rel29_C" vbProcedure="false">In!$E$55</definedName>
    <definedName function="false" hidden="false" name="rm_factor" vbProcedure="false">Val!$B$150</definedName>
    <definedName function="false" hidden="false" name="semi_27" vbProcedure="false">In!$E$35</definedName>
    <definedName function="false" hidden="false" name="semi_28" vbProcedure="false">In!$E$36</definedName>
    <definedName function="false" hidden="false" name="semi_29" vbProcedure="false">In!$E$37</definedName>
    <definedName function="false" hidden="false" name="sh_g" vbProcedure="false">In!$E$71</definedName>
    <definedName function="false" hidden="false" name="tp_comp_adj" vbProcedure="false">Val!$B$151</definedName>
    <definedName function="false" hidden="false" name="tp_g" vbProcedure="false">In!$E$98</definedName>
    <definedName function="false" hidden="false" name="tp_r" vbProcedure="false">In!$E$97</definedName>
    <definedName function="false" hidden="false" name="tp_roe" vbProcedure="false">In!$E$99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In!$E$100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<sst xmlns="http://schemas.openxmlformats.org/spreadsheetml/2006/main" count="5990" uniqueCount="889">
  <si>
    <r>
      <rPr>
        <b val="true"/>
        <sz val="11"/>
        <rFont val="Noto Sans CJK SC"/>
        <family val="2"/>
      </rPr>
      <t xml:space="preserve">旺矽（</t>
    </r>
    <r>
      <rPr>
        <b val="true"/>
        <sz val="11"/>
        <rFont val="Cambria"/>
        <family val="0"/>
        <charset val="1"/>
      </rPr>
      <t xml:space="preserve">6223.TWO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MPI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：測試介面）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</si>
  <si>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2026-10-31</t>
    </r>
    <r>
      <rPr>
        <sz val="11"/>
        <rFont val="Noto Sans CJK SC"/>
        <family val="2"/>
      </rPr>
      <t xml:space="preserve">：初版）。探針卡（懸臂 </t>
    </r>
    <r>
      <rPr>
        <sz val="11"/>
        <rFont val="Cambria"/>
        <family val="0"/>
        <charset val="1"/>
      </rPr>
      <t xml:space="preserve">CPC</t>
    </r>
    <r>
      <rPr>
        <sz val="11"/>
        <rFont val="Noto Sans CJK SC"/>
        <family val="2"/>
      </rPr>
      <t xml:space="preserve">、垂直 </t>
    </r>
    <r>
      <rPr>
        <sz val="11"/>
        <rFont val="Cambria"/>
        <family val="0"/>
        <charset val="1"/>
      </rPr>
      <t xml:space="preserve">VPC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MEMS</t>
    </r>
    <r>
      <rPr>
        <sz val="11"/>
        <rFont val="Noto Sans CJK SC"/>
        <family val="2"/>
      </rPr>
      <t xml:space="preserve">）約占營收七成五，設備（</t>
    </r>
    <r>
      <rPr>
        <sz val="11"/>
        <rFont val="Cambria"/>
        <family val="0"/>
        <charset val="1"/>
      </rPr>
      <t xml:space="preserve">AST </t>
    </r>
    <r>
      <rPr>
        <sz val="11"/>
        <rFont val="Noto Sans CJK SC"/>
        <family val="2"/>
      </rPr>
      <t xml:space="preserve">先進半導體測試、溫控、光電／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測試）約兩成五。樣板 </t>
    </r>
    <r>
      <rPr>
        <sz val="11"/>
        <rFont val="Cambria"/>
        <family val="0"/>
        <charset val="1"/>
      </rPr>
      <t xml:space="preserve">kyec/</t>
    </r>
    <r>
      <rPr>
        <sz val="11"/>
        <rFont val="Noto Sans CJK SC"/>
        <family val="2"/>
      </rPr>
      <t xml:space="preserve">；行業變數讀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快照 </t>
    </r>
    <r>
      <rPr>
        <sz val="11"/>
        <rFont val="Cambria"/>
        <family val="0"/>
        <charset val="1"/>
      </rPr>
      <t xml:space="preserve">v0.10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20261031_Siliconomics_v0.10.xlsx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</si>
  <si>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加速器（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相關）用的垂直與 </t>
    </r>
    <r>
      <rPr>
        <sz val="11"/>
        <rFont val="Cambria"/>
        <family val="0"/>
        <charset val="1"/>
      </rPr>
      <t xml:space="preserve">MEMS </t>
    </r>
    <r>
      <rPr>
        <sz val="11"/>
        <rFont val="Noto Sans CJK SC"/>
        <family val="2"/>
      </rPr>
      <t xml:space="preserve">探針卡需求＝晶圓測試量（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部分再乘旺矽曝險）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每顆探針卡內容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旺矽份額與價格相對值；其他探針卡依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SoC </t>
    </r>
    <r>
      <rPr>
        <sz val="11"/>
        <rFont val="Noto Sans CJK SC"/>
        <family val="2"/>
      </rPr>
      <t xml:space="preserve">成長；設備分部依 </t>
    </r>
    <r>
      <rPr>
        <sz val="11"/>
        <rFont val="Cambria"/>
        <family val="0"/>
        <charset val="1"/>
      </rPr>
      <t xml:space="preserve">Siliconomics SEMI </t>
    </r>
    <r>
      <rPr>
        <sz val="11"/>
        <rFont val="Noto Sans CJK SC"/>
        <family val="2"/>
      </rPr>
      <t xml:space="preserve">測試設備路徑與設備情境係數，另加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測試設備（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同字母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滲透率）。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</si>
  <si>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探針卡的量（晶圓測試量）與價（</t>
    </r>
    <r>
      <rPr>
        <sz val="11"/>
        <rFont val="Cambria"/>
        <family val="0"/>
        <charset val="1"/>
      </rPr>
      <t xml:space="preserve">MEMS </t>
    </r>
    <r>
      <rPr>
        <sz val="11"/>
        <rFont val="Noto Sans CJK SC"/>
        <family val="2"/>
      </rPr>
      <t xml:space="preserve">溢價、份額）能否支撐約 </t>
    </r>
    <r>
      <rPr>
        <sz val="11"/>
        <rFont val="Cambria"/>
        <family val="0"/>
        <charset val="1"/>
      </rPr>
      <t xml:space="preserve">36 </t>
    </r>
    <r>
      <rPr>
        <sz val="11"/>
        <rFont val="Noto Sans CJK SC"/>
        <family val="2"/>
      </rPr>
      <t xml:space="preserve">倍法人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本益比；</t>
    </r>
    <r>
      <rPr>
        <sz val="11"/>
        <rFont val="Cambria"/>
        <family val="0"/>
        <charset val="1"/>
      </rPr>
      <t xml:space="preserve">Technoprobe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FormFactor </t>
    </r>
    <r>
      <rPr>
        <sz val="11"/>
        <rFont val="Noto Sans CJK SC"/>
        <family val="2"/>
      </rPr>
      <t xml:space="preserve">擴產後份額與價格是否下滑。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</si>
  <si>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（三年）由驅動因子推導，</t>
    </r>
    <r>
      <rPr>
        <sz val="11"/>
        <rFont val="Cambria"/>
        <family val="0"/>
        <charset val="1"/>
      </rPr>
      <t xml:space="preserve">FY2030–32 </t>
    </r>
    <r>
      <rPr>
        <sz val="11"/>
        <rFont val="Noto Sans CJK SC"/>
        <family val="2"/>
      </rPr>
      <t xml:space="preserve">為收斂法。金額：十億新台幣；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：新台幣。口徑：歸屬母公司淨利。現價 </t>
    </r>
    <r>
      <rPr>
        <sz val="11"/>
        <rFont val="Cambria"/>
        <family val="0"/>
        <charset val="1"/>
      </rPr>
      <t xml:space="preserve">4,610.00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收盤）；其他模型仍用 </t>
    </r>
    <r>
      <rPr>
        <sz val="11"/>
        <rFont val="Cambria"/>
        <family val="0"/>
        <charset val="1"/>
      </rPr>
      <t xml:space="preserve">10-22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10-23 </t>
    </r>
    <r>
      <rPr>
        <sz val="11"/>
        <rFont val="Noto Sans CJK SC"/>
        <family val="2"/>
      </rPr>
      <t xml:space="preserve">收盤。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</si>
  <si>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</si>
  <si>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探針卡：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探針卡 </t>
    </r>
    <r>
      <rPr>
        <sz val="11"/>
        <rFont val="Cambria"/>
        <family val="0"/>
        <charset val="1"/>
      </rPr>
      <t xml:space="preserve">× 60%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晶圓測試量指數（顆數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測試時間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曝險，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份額與價格相對值（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，情境專屬）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＋每顆內容年增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^</t>
    </r>
    <r>
      <rPr>
        <sz val="11"/>
        <rFont val="Noto Sans CJK SC"/>
        <family val="2"/>
      </rPr>
      <t xml:space="preserve">年數。其他探針卡：非 </t>
    </r>
    <r>
      <rPr>
        <sz val="11"/>
        <rFont val="Cambria"/>
        <family val="0"/>
        <charset val="1"/>
      </rPr>
      <t xml:space="preserve">AI SoC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）＋超額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</si>
  <si>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設備：不含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的設備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隨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測試設備成長（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依設備情境係數（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路徑、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下滑兩成）；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測試設備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億元（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），依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同字母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滲透率縮放。</t>
    </r>
  </si>
  <si>
    <r>
      <rPr>
        <sz val="11"/>
        <rFont val="Noto Sans CJK SC"/>
        <family val="2"/>
      </rPr>
      <t xml:space="preserve">毛利率：情境專屬（</t>
    </r>
    <r>
      <rPr>
        <sz val="11"/>
        <rFont val="Cambria"/>
        <family val="0"/>
        <charset val="1"/>
      </rPr>
      <t xml:space="preserve">A 60%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59.5%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58%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56.5%</t>
    </r>
    <r>
      <rPr>
        <sz val="11"/>
        <rFont val="Noto Sans CJK SC"/>
        <family val="2"/>
      </rPr>
      <t xml:space="preserve">）；營業費用彈性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；股數持平。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</si>
  <si>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59.4%</t>
    </r>
    <r>
      <rPr>
        <sz val="11"/>
        <rFont val="Noto Sans CJK SC"/>
        <family val="2"/>
      </rPr>
      <t xml:space="preserve">（公司說法）＋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7.5%</t>
    </r>
    <r>
      <rPr>
        <sz val="11"/>
        <rFont val="Noto Sans CJK SC"/>
        <family val="2"/>
      </rPr>
      <t xml:space="preserve">（指引 </t>
    </r>
    <r>
      <rPr>
        <sz val="11"/>
        <rFont val="Cambria"/>
        <family val="0"/>
        <charset val="1"/>
      </rPr>
      <t xml:space="preserve">5–10%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</si>
  <si>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FormFactor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Advantest</t>
    </r>
    <r>
      <rPr>
        <sz val="11"/>
        <rFont val="Noto Sans CJK SC"/>
        <family val="2"/>
      </rPr>
      <t xml:space="preserve">、泰瑞達、京元電前瞻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；旺矽 </t>
    </r>
    <r>
      <rPr>
        <sz val="11"/>
        <rFont val="Cambria"/>
        <family val="0"/>
        <charset val="1"/>
      </rPr>
      <t xml:space="preserve">Bloomberg </t>
    </r>
    <r>
      <rPr>
        <sz val="11"/>
        <rFont val="Noto Sans CJK SC"/>
        <family val="2"/>
      </rPr>
      <t xml:space="preserve">前瞻倍數待取，相對倍數係數＝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規則值保留為參考。本版未做先驗，無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</si>
  <si>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</si>
  <si>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未使用。公司數字取自月營收與法說摘要；券商、媒體與資料商為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</si>
  <si>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營收、</t>
    </r>
    <r>
      <rPr>
        <sz val="11"/>
        <rFont val="Cambria"/>
        <family val="0"/>
        <charset val="1"/>
      </rPr>
      <t xml:space="preserve">VPC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MEMS </t>
    </r>
    <r>
      <rPr>
        <sz val="11"/>
        <rFont val="Noto Sans CJK SC"/>
        <family val="2"/>
      </rPr>
      <t xml:space="preserve">拆分與份額公司未揭露，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占探針卡六成為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3Q26 </t>
    </r>
    <r>
      <rPr>
        <sz val="11"/>
        <rFont val="Noto Sans CJK SC"/>
        <family val="2"/>
      </rPr>
      <t xml:space="preserve">損益尚未公布（約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只有營收是實績；</t>
    </r>
    <r>
      <rPr>
        <sz val="11"/>
        <rFont val="Cambria"/>
        <family val="0"/>
        <charset val="1"/>
      </rPr>
      <t xml:space="preserve">(3) FY2025 </t>
    </r>
    <r>
      <rPr>
        <sz val="11"/>
        <rFont val="Noto Sans CJK SC"/>
        <family val="2"/>
      </rPr>
      <t xml:space="preserve">營業利益未找到；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產能（針數）未建模，情境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的成長可能超過公司擴產計畫；</t>
    </r>
    <r>
      <rPr>
        <sz val="11"/>
        <rFont val="Cambria"/>
        <family val="0"/>
        <charset val="1"/>
      </rPr>
      <t xml:space="preserve">(5) CPO </t>
    </r>
    <r>
      <rPr>
        <sz val="11"/>
        <rFont val="Noto Sans CJK SC"/>
        <family val="2"/>
      </rPr>
      <t xml:space="preserve">測試設備金額為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賣方共識未找到，以法人與 </t>
    </r>
    <r>
      <rPr>
        <sz val="11"/>
        <rFont val="Cambria"/>
        <family val="0"/>
        <charset val="1"/>
      </rPr>
      <t xml:space="preserve">ALETHEIA </t>
    </r>
    <r>
      <rPr>
        <sz val="11"/>
        <rFont val="Noto Sans CJK SC"/>
        <family val="2"/>
      </rPr>
      <t xml:space="preserve">對照；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2021–2025 </t>
    </r>
    <r>
      <rPr>
        <sz val="11"/>
        <rFont val="Noto Sans CJK SC"/>
        <family val="2"/>
      </rPr>
      <t xml:space="preserve">五年、單一來源；</t>
    </r>
    <r>
      <rPr>
        <sz val="11"/>
        <rFont val="Cambria"/>
        <family val="0"/>
        <charset val="1"/>
      </rPr>
      <t xml:space="preserve">(8) Bloomberg </t>
    </r>
    <r>
      <rPr>
        <sz val="11"/>
        <rFont val="Noto Sans CJK SC"/>
        <family val="2"/>
      </rPr>
      <t xml:space="preserve">前瞻倍數待取。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</si>
  <si>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：上檔空間低於 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的主因是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108.4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ALETHEIA </t>
    </r>
    <r>
      <rPr>
        <sz val="11"/>
        <color theme="1"/>
        <rFont val="Noto Sans CJK SC"/>
        <family val="2"/>
      </rPr>
      <t xml:space="preserve">同口徑 </t>
    </r>
    <r>
      <rPr>
        <sz val="11"/>
        <color theme="1"/>
        <rFont val="Calibri"/>
        <family val="2"/>
        <charset val="1"/>
      </rPr>
      <t xml:space="preserve">269.8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59.8%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102.3 </t>
    </r>
    <r>
      <rPr>
        <sz val="11"/>
        <color theme="1"/>
        <rFont val="Noto Sans CJK SC"/>
        <family val="2"/>
      </rPr>
      <t xml:space="preserve">也比法人 </t>
    </r>
    <r>
      <rPr>
        <sz val="11"/>
        <color theme="1"/>
        <rFont val="Calibri"/>
        <family val="2"/>
        <charset val="1"/>
      </rPr>
      <t xml:space="preserve">128.95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），而 </t>
    </r>
    <r>
      <rPr>
        <sz val="11"/>
        <color theme="1"/>
        <rFont val="Calibri"/>
        <family val="2"/>
        <charset val="1"/>
      </rPr>
      <t xml:space="preserve">ALETHEIA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37.1 </t>
    </r>
    <r>
      <rPr>
        <sz val="11"/>
        <color theme="1"/>
        <rFont val="Noto Sans CJK SC"/>
        <family val="2"/>
      </rPr>
      <t xml:space="preserve">倍、只比同業中位數 </t>
    </r>
    <r>
      <rPr>
        <sz val="11"/>
        <color theme="1"/>
        <rFont val="Calibri"/>
        <family val="2"/>
        <charset val="1"/>
      </rPr>
      <t xml:space="preserve">30.3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；現價 </t>
    </r>
    <r>
      <rPr>
        <sz val="11"/>
        <color theme="1"/>
        <rFont val="Calibri"/>
        <family val="2"/>
        <charset val="1"/>
      </rPr>
      <t xml:space="preserve">÷ FY2027 EPS 42.3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49.9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），情境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只比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</si>
  <si>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需較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；晶圓測試量指數 </t>
    </r>
    <r>
      <rPr>
        <sz val="11"/>
        <color theme="1"/>
        <rFont val="Calibri"/>
        <family val="2"/>
        <charset val="1"/>
      </rPr>
      <t xml:space="preserve">1.68 × </t>
    </r>
    <r>
      <rPr>
        <sz val="11"/>
        <color theme="1"/>
        <rFont val="Noto Sans CJK SC"/>
        <family val="2"/>
      </rPr>
      <t xml:space="preserve">份額與價格相對值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內容），已高於公司「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產能增幅不低於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約五成」的計畫，產能是上檔的瓶頸；最敏感的是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（加權目標價 </t>
    </r>
    <r>
      <rPr>
        <sz val="11"/>
        <color theme="1"/>
        <rFont val="Calibri"/>
        <family val="2"/>
        <charset val="1"/>
      </rPr>
      <t xml:space="preserve">±12.4%</t>
    </r>
    <r>
      <rPr>
        <sz val="11"/>
        <color theme="1"/>
        <rFont val="Noto Sans CJK SC"/>
        <family val="2"/>
      </rPr>
      <t xml:space="preserve">）與每顆內容成長（−</t>
    </r>
    <r>
      <rPr>
        <sz val="11"/>
        <color theme="1"/>
        <rFont val="Calibri"/>
        <family val="2"/>
        <charset val="1"/>
      </rPr>
      <t xml:space="preserve">7.1%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+7.8%</t>
    </r>
    <r>
      <rPr>
        <sz val="11"/>
        <color theme="1"/>
        <rFont val="Noto Sans CJK SC"/>
        <family val="2"/>
      </rPr>
      <t xml:space="preserve">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月中）的毛利率是否回到 </t>
    </r>
    <r>
      <rPr>
        <sz val="11"/>
        <color theme="1"/>
        <rFont val="Calibri"/>
        <family val="2"/>
        <charset val="1"/>
      </rPr>
      <t xml:space="preserve">59.4%</t>
    </r>
    <r>
      <rPr>
        <sz val="11"/>
        <color theme="1"/>
        <rFont val="Noto Sans CJK SC"/>
        <family val="2"/>
      </rPr>
      <t xml:space="preserve">，以及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前）。</t>
    </r>
  </si>
  <si>
    <r>
      <rPr>
        <sz val="11"/>
        <color theme="1"/>
        <rFont val="Noto Sans CJK SC"/>
        <family val="2"/>
      </rPr>
      <t xml:space="preserve">相對倍數調整（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節）：旺矽本身沒有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前瞻倍數（</t>
    </r>
    <r>
      <rPr>
        <sz val="11"/>
        <color theme="1"/>
        <rFont val="Calibri"/>
        <family val="2"/>
        <charset val="1"/>
      </rPr>
      <t xml:space="preserve">tools/data/fwd_mult_hist.csv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6223</t>
    </r>
    <r>
      <rPr>
        <sz val="11"/>
        <color theme="1"/>
        <rFont val="Noto Sans CJK SC"/>
        <family val="2"/>
      </rPr>
      <t xml:space="preserve">），調整係數自動取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（不調整）；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前瞻倍數待取。重點觀察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的第一句為公式。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</si>
  <si>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</si>
  <si>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</si>
  <si>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給低／高區間（放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），情境專屬列不給區間。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未使用。公司原文＝公開資訊觀測站月營收與季報；法說內容經富果、口袋學堂等摘要；公司指引與說法為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</si>
  <si>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</si>
  <si>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</si>
  <si>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</si>
  <si>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</si>
  <si>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</si>
  <si>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</si>
  <si>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</si>
  <si>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</si>
  <si>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</si>
  <si>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加速器顆數、情境係數與晶圓測試量（讀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快照 </t>
    </r>
    <r>
      <rPr>
        <b val="true"/>
        <sz val="11"/>
        <rFont val="Cambria"/>
        <family val="0"/>
        <charset val="1"/>
      </rPr>
      <t xml:space="preserve">v0.10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20261031_Siliconomics_v0.10.xlsx</t>
    </r>
    <r>
      <rPr>
        <b val="true"/>
        <sz val="11"/>
        <rFont val="Noto Sans CJK SC"/>
        <family val="2"/>
      </rPr>
      <t xml:space="preserve">）；唯讀，不自行重估）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</si>
  <si>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</si>
  <si>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</si>
  <si>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</si>
  <si>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</si>
  <si>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Siliconomics SIF_UnitsPlat_Total_A</t>
    </r>
    <r>
      <rPr>
        <sz val="11"/>
        <color theme="1"/>
        <rFont val="Noto Sans CJK SC"/>
        <family val="2"/>
      </rPr>
      <t xml:space="preserve">（八類加速器合計）</t>
    </r>
  </si>
  <si>
    <t xml:space="preserve">與台積電、日月光、京元電模型同一份</t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</si>
  <si>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</si>
  <si>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</si>
  <si>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</si>
  <si>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</si>
  <si>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</si>
  <si>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</si>
  <si>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</si>
  <si>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</si>
  <si>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</si>
  <si>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</si>
  <si>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</si>
  <si>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um28_A</t>
    </r>
    <r>
      <rPr>
        <sz val="11"/>
        <color theme="1"/>
        <rFont val="Noto Sans CJK SC"/>
        <family val="2"/>
      </rPr>
      <t xml:space="preserve">（同字母行業情境）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</si>
  <si>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</si>
  <si>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</si>
  <si>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</si>
  <si>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um29_A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</si>
  <si>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</si>
  <si>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</si>
  <si>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um28_B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</si>
  <si>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</si>
  <si>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</si>
  <si>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um29_B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</si>
  <si>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</si>
  <si>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</si>
  <si>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um28_C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</si>
  <si>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</si>
  <si>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</si>
  <si>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um29_C</t>
    </r>
    <r>
      <rPr>
        <sz val="11"/>
        <color theme="1"/>
        <rFont val="Noto Sans CJK SC"/>
        <family val="2"/>
      </rPr>
      <t xml:space="preserve">（同字母行業情境）</t>
    </r>
  </si>
  <si>
    <t xml:space="preserve">nvtt_26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</si>
  <si>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加速器的測試時間加權顆數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</si>
  <si>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平台顆數 </t>
    </r>
    <r>
      <rPr>
        <sz val="11"/>
        <color theme="1"/>
        <rFont val="Calibri"/>
        <family val="2"/>
        <charset val="1"/>
      </rPr>
      <t xml:space="preserve">SIF_UnitsPlat_bw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 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ts_tt_*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</si>
  <si>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晶圓測試量的代理：測試時間越長、探針卡耗用越多（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：京元電、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模型同係數）</t>
    </r>
  </si>
  <si>
    <t xml:space="preserve">astt_26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</si>
  <si>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旺矽曝險加權顆數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</si>
  <si>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平台顆數 </t>
    </r>
    <r>
      <rPr>
        <sz val="11"/>
        <color theme="1"/>
        <rFont val="Calibri"/>
        <family val="2"/>
        <charset val="1"/>
      </rPr>
      <t xml:space="preserve">× ts_tt_*</t>
    </r>
    <r>
      <rPr>
        <sz val="11"/>
        <color theme="1"/>
        <rFont val="Noto Sans CJK SC"/>
        <family val="2"/>
      </rPr>
      <t xml:space="preserve">；旺矽曝險 </t>
    </r>
    <r>
      <rPr>
        <sz val="11"/>
        <color theme="1"/>
        <rFont val="Calibri"/>
        <family val="2"/>
        <charset val="1"/>
      </rPr>
      <t xml:space="preserve">AMD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1.0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0.8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，本模型）</t>
    </r>
  </si>
  <si>
    <r>
      <rPr>
        <sz val="11"/>
        <color theme="1"/>
        <rFont val="Noto Sans CJK SC"/>
        <family val="2"/>
      </rPr>
      <t xml:space="preserve">媒體：旺矽為多數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探針卡主要供應商，平均份額逾六成（傳聞；財訊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</si>
  <si>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nvtt_27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</si>
  <si>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加速器的測試時間加權顆數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2027</t>
    </r>
  </si>
  <si>
    <t xml:space="preserve">astt_27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</si>
  <si>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旺矽曝險加權顆數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2027</t>
    </r>
  </si>
  <si>
    <t xml:space="preserve">nvtt_28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</si>
  <si>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加速器的測試時間加權顆數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2028</t>
    </r>
  </si>
  <si>
    <t xml:space="preserve">astt_28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</si>
  <si>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旺矽曝險加權顆數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2028</t>
    </r>
  </si>
  <si>
    <t xml:space="preserve">nvtt_29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</si>
  <si>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加速器的測試時間加權顆數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2029</t>
    </r>
  </si>
  <si>
    <t xml:space="preserve">astt_29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</si>
  <si>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旺矽曝險加權顆數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總顆數 </t>
    </r>
    <r>
      <rPr>
        <sz val="11"/>
        <color theme="1"/>
        <rFont val="Calibri"/>
        <family val="2"/>
        <charset val="1"/>
      </rPr>
      <t xml:space="preserve">2029</t>
    </r>
  </si>
  <si>
    <t xml:space="preserve">ex_nv</t>
  </si>
  <si>
    <r>
      <rPr>
        <sz val="11"/>
        <color theme="1"/>
        <rFont val="Noto Sans CJK SC"/>
        <family val="2"/>
      </rPr>
      <t xml:space="preserve">旺矽對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加速器的曝險（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</si>
  <si>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：客戶含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（媒體）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</si>
  <si>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探針卡主力為 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（產業常識；量化：未找到）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</si>
  <si>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</si>
  <si>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市場年增（其他探針卡的行業成長）</t>
    </r>
  </si>
  <si>
    <t xml:space="preserve">%</t>
  </si>
  <si>
    <r>
      <rPr>
        <sz val="11"/>
        <color theme="1"/>
        <rFont val="Calibri"/>
        <family val="2"/>
        <charset val="1"/>
      </rPr>
      <t xml:space="preserve">Siliconomics ts_g_nonai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</si>
  <si>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其他探針卡＝</t>
    </r>
    <r>
      <rPr>
        <sz val="11"/>
        <color theme="1"/>
        <rFont val="Calibri"/>
        <family val="2"/>
        <charset val="1"/>
      </rPr>
      <t xml:space="preserve">CPC</t>
    </r>
    <r>
      <rPr>
        <sz val="11"/>
        <color theme="1"/>
        <rFont val="Noto Sans CJK SC"/>
        <family val="2"/>
      </rPr>
      <t xml:space="preserve">、手機 </t>
    </r>
    <r>
      <rPr>
        <sz val="11"/>
        <color theme="1"/>
        <rFont val="Calibri"/>
        <family val="2"/>
        <charset val="1"/>
      </rPr>
      <t xml:space="preserve">AP</t>
    </r>
    <r>
      <rPr>
        <sz val="11"/>
        <color theme="1"/>
        <rFont val="Noto Sans CJK SC"/>
        <family val="2"/>
      </rPr>
      <t xml:space="preserve">、網通、車用</t>
    </r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</si>
  <si>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</si>
  <si>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</si>
  <si>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 cpo_A_27</t>
    </r>
    <r>
      <rPr>
        <sz val="11"/>
        <color theme="1"/>
        <rFont val="Noto Sans CJK SC"/>
        <family val="2"/>
      </rPr>
      <t xml:space="preserve">（技術替代屬行業情境，同字母）</t>
    </r>
  </si>
  <si>
    <r>
      <rPr>
        <sz val="11"/>
        <color theme="1"/>
        <rFont val="Noto Sans CJK SC"/>
        <family val="2"/>
      </rPr>
      <t xml:space="preserve">旺矽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測試設備營收依此滲透率相對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縮放</t>
    </r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</si>
  <si>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</si>
  <si>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</si>
  <si>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 cpo_A_28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</si>
  <si>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</si>
  <si>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</si>
  <si>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 cpo_A_29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</si>
  <si>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</si>
  <si>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</si>
  <si>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 cpo_B_27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</si>
  <si>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</si>
  <si>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</si>
  <si>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 cpo_B_28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</si>
  <si>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</si>
  <si>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</si>
  <si>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 cpo_B_29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</si>
  <si>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</si>
  <si>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</si>
  <si>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 cpo_C_27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</si>
  <si>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</si>
  <si>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</si>
  <si>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 cpo_C_28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</si>
  <si>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</si>
  <si>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</si>
  <si>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 cpo_C_29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</si>
  <si>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</si>
  <si>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</si>
  <si>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Calibri"/>
        <family val="2"/>
        <charset val="1"/>
      </rPr>
      <t xml:space="preserve">Siliconomics cpo_A_26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同值）</t>
    </r>
  </si>
  <si>
    <t xml:space="preserve">—</t>
  </si>
  <si>
    <t xml:space="preserve">semi_27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</si>
  <si>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設備路徑）</t>
    </r>
  </si>
  <si>
    <r>
      <rPr>
        <sz val="11"/>
        <color theme="1"/>
        <rFont val="Calibri"/>
        <family val="2"/>
        <charset val="1"/>
      </rPr>
      <t xml:space="preserve">Siliconomics SIF_SEMI_Test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</si>
  <si>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設備分部的行業成長（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、記憶體測試設備合計）</t>
    </r>
  </si>
  <si>
    <t xml:space="preserve">semi_28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</si>
  <si>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設備路徑）</t>
    </r>
  </si>
  <si>
    <t xml:space="preserve">semi_29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</si>
  <si>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設備路徑）</t>
    </r>
  </si>
  <si>
    <t xml:space="preserve">eqk28_A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</si>
  <si>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：設備水準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</si>
  <si>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Siliconomics SIF_SEMI_Test </t>
    </r>
    <r>
      <rPr>
        <sz val="11"/>
        <color theme="1"/>
        <rFont val="Noto Sans CJK SC"/>
        <family val="2"/>
      </rPr>
      <t xml:space="preserve">推得</t>
    </r>
  </si>
  <si>
    <t xml:space="preserve">eqk29_A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</si>
  <si>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：設備水準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路徑）</t>
    </r>
  </si>
  <si>
    <t xml:space="preserve">eqk28_B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</si>
  <si>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：設備水準 </t>
    </r>
    <r>
      <rPr>
        <sz val="11"/>
        <color theme="1"/>
        <rFont val="Calibri"/>
        <family val="2"/>
        <charset val="1"/>
      </rPr>
      <t xml:space="preserve">2028 ÷ 2027</t>
    </r>
  </si>
  <si>
    <r>
      <rPr>
        <sz val="11"/>
        <color theme="1"/>
        <rFont val="Calibri"/>
        <family val="2"/>
        <charset val="1"/>
      </rPr>
      <t xml:space="preserve">Siliconomics eq_ck_B_28</t>
    </r>
    <r>
      <rPr>
        <sz val="11"/>
        <color theme="1"/>
        <rFont val="Noto Sans CJK SC"/>
        <family val="2"/>
      </rPr>
      <t xml:space="preserve">（設備情境係數，套用於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水準；與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同口徑）</t>
    </r>
  </si>
  <si>
    <t xml:space="preserve">eqk29_B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</si>
  <si>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：設備水準 </t>
    </r>
    <r>
      <rPr>
        <sz val="11"/>
        <color theme="1"/>
        <rFont val="Calibri"/>
        <family val="2"/>
        <charset val="1"/>
      </rPr>
      <t xml:space="preserve">2029 ÷ 2027</t>
    </r>
  </si>
  <si>
    <r>
      <rPr>
        <sz val="11"/>
        <color theme="1"/>
        <rFont val="Calibri"/>
        <family val="2"/>
        <charset val="1"/>
      </rPr>
      <t xml:space="preserve">Siliconomics eq_ck_B_29</t>
    </r>
    <r>
      <rPr>
        <sz val="11"/>
        <color theme="1"/>
        <rFont val="Noto Sans CJK SC"/>
        <family val="2"/>
      </rPr>
      <t xml:space="preserve">（設備情境係數，套用於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水準；與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同口徑）</t>
    </r>
  </si>
  <si>
    <t xml:space="preserve">eqk28_C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</si>
  <si>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：設備水準 </t>
    </r>
    <r>
      <rPr>
        <sz val="11"/>
        <color theme="1"/>
        <rFont val="Calibri"/>
        <family val="2"/>
        <charset val="1"/>
      </rPr>
      <t xml:space="preserve">2028 ÷ 2027</t>
    </r>
  </si>
  <si>
    <r>
      <rPr>
        <sz val="11"/>
        <color theme="1"/>
        <rFont val="Calibri"/>
        <family val="2"/>
        <charset val="1"/>
      </rPr>
      <t xml:space="preserve">Siliconomics eq_ck_C_28</t>
    </r>
    <r>
      <rPr>
        <sz val="11"/>
        <color theme="1"/>
        <rFont val="Noto Sans CJK SC"/>
        <family val="2"/>
      </rPr>
      <t xml:space="preserve">（設備情境係數，套用於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水準；與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同口徑）</t>
    </r>
  </si>
  <si>
    <t xml:space="preserve">eqk29_C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</si>
  <si>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：設備水準 </t>
    </r>
    <r>
      <rPr>
        <sz val="11"/>
        <color theme="1"/>
        <rFont val="Calibri"/>
        <family val="2"/>
        <charset val="1"/>
      </rPr>
      <t xml:space="preserve">2029 ÷ 2027</t>
    </r>
  </si>
  <si>
    <r>
      <rPr>
        <sz val="11"/>
        <color theme="1"/>
        <rFont val="Calibri"/>
        <family val="2"/>
        <charset val="1"/>
      </rPr>
      <t xml:space="preserve">Siliconomics eq_ck_C_29</t>
    </r>
    <r>
      <rPr>
        <sz val="11"/>
        <color theme="1"/>
        <rFont val="Noto Sans CJK SC"/>
        <family val="2"/>
      </rPr>
      <t xml:space="preserve">（設備情境係數，套用於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水準；與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同口徑）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</si>
  <si>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探針卡分部：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探針卡（</t>
    </r>
    <r>
      <rPr>
        <b val="true"/>
        <sz val="11"/>
        <rFont val="Cambria"/>
        <family val="0"/>
        <charset val="1"/>
      </rPr>
      <t xml:space="preserve">VPC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MEMS</t>
    </r>
    <r>
      <rPr>
        <b val="true"/>
        <sz val="11"/>
        <rFont val="Noto Sans CJK SC"/>
        <family val="2"/>
      </rPr>
      <t xml:space="preserve">）＝ </t>
    </r>
    <r>
      <rPr>
        <b val="true"/>
        <sz val="11"/>
        <rFont val="Cambria"/>
        <family val="0"/>
        <charset val="1"/>
      </rPr>
      <t xml:space="preserve">AI_26 × </t>
    </r>
    <r>
      <rPr>
        <b val="true"/>
        <sz val="11"/>
        <rFont val="Noto Sans CJK SC"/>
        <family val="2"/>
      </rPr>
      <t xml:space="preserve">晶圓測試量指數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旺矽份額與價格相對值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每顆內容成長；其他探針卡依非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成長</t>
    </r>
  </si>
  <si>
    <t xml:space="preserve">ai_sh25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</si>
  <si>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探針卡營收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</si>
  <si>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VPC </t>
    </r>
    <r>
      <rPr>
        <sz val="11"/>
        <color theme="1"/>
        <rFont val="Noto Sans CJK SC"/>
        <family val="2"/>
      </rPr>
      <t xml:space="preserve">需求主要來自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VPC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起滿載（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</si>
  <si>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</si>
  <si>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ai_sh26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</si>
  <si>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探針卡營收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</si>
  <si>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：法人預估 </t>
    </r>
    <r>
      <rPr>
        <sz val="11"/>
        <color theme="1"/>
        <rFont val="Calibri"/>
        <family val="2"/>
        <charset val="1"/>
      </rPr>
      <t xml:space="preserve">VPC </t>
    </r>
    <r>
      <rPr>
        <sz val="11"/>
        <color theme="1"/>
        <rFont val="Noto Sans CJK SC"/>
        <family val="2"/>
      </rPr>
      <t xml:space="preserve">逾探針卡營收六成、高階探針卡約占營收五成（媒體，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</si>
  <si>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與其他的成長差異使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起受影響</t>
    </r>
  </si>
  <si>
    <t xml:space="preserve">rel27_A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</si>
  <si>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</si>
  <si>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客戶的垂直 </t>
    </r>
    <r>
      <rPr>
        <sz val="11"/>
        <color theme="1"/>
        <rFont val="Calibri"/>
        <family val="2"/>
        <charset val="1"/>
      </rPr>
      <t xml:space="preserve">MEMS </t>
    </r>
    <r>
      <rPr>
        <sz val="11"/>
        <color theme="1"/>
        <rFont val="Noto Sans CJK SC"/>
        <family val="2"/>
      </rPr>
      <t xml:space="preserve">探針卡單價可高出平均五成以上；</t>
    </r>
    <r>
      <rPr>
        <sz val="11"/>
        <color theme="1"/>
        <rFont val="Calibri"/>
        <family val="2"/>
        <charset val="1"/>
      </rPr>
      <t xml:space="preserve">ALETHEIA </t>
    </r>
    <r>
      <rPr>
        <sz val="11"/>
        <color theme="1"/>
        <rFont val="Noto Sans CJK SC"/>
        <family val="2"/>
      </rPr>
      <t xml:space="preserve">估旺矽需擴產約四倍（媒體轉述券商，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</si>
  <si>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＝新客戶（美系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）與價格；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＝維持；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 </t>
    </r>
    <r>
      <rPr>
        <sz val="11"/>
        <color theme="1"/>
        <rFont val="Noto Sans CJK SC"/>
        <family val="2"/>
      </rPr>
      <t xml:space="preserve">兩年內針產能倍增（同上）後份額與價格下滑</t>
    </r>
  </si>
  <si>
    <t xml:space="preserve">rel28_A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</si>
  <si>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</si>
  <si>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</si>
  <si>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</si>
  <si>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</si>
  <si>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</si>
  <si>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</si>
  <si>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</si>
  <si>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</si>
  <si>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</si>
  <si>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</si>
  <si>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</si>
  <si>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</si>
  <si>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</si>
  <si>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</si>
  <si>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：旺矽份額與價格相對值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</si>
  <si>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g_ct</t>
  </si>
  <si>
    <t xml:space="preserve">每顆加速器探針卡內容年增（針數、晶粒面積）</t>
  </si>
  <si>
    <r>
      <rPr>
        <sz val="11"/>
        <color theme="1"/>
        <rFont val="Noto Sans CJK SC"/>
        <family val="2"/>
      </rPr>
      <t xml:space="preserve">晶粒面積與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堆疊增加 → 每片晶圓針數上升（產業常識；量化：未找到）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</si>
  <si>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VPC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萬針、</t>
    </r>
    <r>
      <rPr>
        <sz val="11"/>
        <color theme="1"/>
        <rFont val="Calibri"/>
        <family val="2"/>
        <charset val="1"/>
      </rPr>
      <t xml:space="preserve">MEMS 350 </t>
    </r>
    <r>
      <rPr>
        <sz val="11"/>
        <color theme="1"/>
        <rFont val="Noto Sans CJK SC"/>
        <family val="2"/>
      </rPr>
      <t xml:space="preserve">萬針（富果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</si>
  <si>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d_npc</t>
  </si>
  <si>
    <r>
      <rPr>
        <sz val="11"/>
        <color theme="1"/>
        <rFont val="Noto Sans CJK SC"/>
        <family val="2"/>
      </rPr>
      <t xml:space="preserve">其他探針卡相對非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市場的超額成長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</si>
  <si>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CPC </t>
    </r>
    <r>
      <rPr>
        <sz val="11"/>
        <color theme="1"/>
        <rFont val="Noto Sans CJK SC"/>
        <family val="2"/>
      </rPr>
      <t xml:space="preserve">訂單出貨比大於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法說）；非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新客戶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小量（經濟日報 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</si>
  <si>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設備分部（</t>
    </r>
    <r>
      <rPr>
        <b val="true"/>
        <sz val="11"/>
        <rFont val="Cambria"/>
        <family val="0"/>
        <charset val="1"/>
      </rPr>
      <t xml:space="preserve">AST</t>
    </r>
    <r>
      <rPr>
        <b val="true"/>
        <sz val="11"/>
        <rFont val="Noto Sans CJK SC"/>
        <family val="2"/>
      </rPr>
      <t xml:space="preserve">、溫控、光電／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測試）</t>
    </r>
  </si>
  <si>
    <t xml:space="preserve">k_cpo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</si>
  <si>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測試設備營收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滲透率下）</t>
    </r>
  </si>
  <si>
    <t xml:space="preserve">NT$B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</si>
  <si>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測試設備為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年設備事業主要成長動能；湖口新廠一期供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機台量產（媒體轉述法人）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</si>
  <si>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）：每增加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相關營收約增 </t>
    </r>
    <r>
      <rPr>
        <sz val="11"/>
        <color theme="1"/>
        <rFont val="Calibri"/>
        <family val="2"/>
        <charset val="1"/>
      </rPr>
      <t xml:space="preserve">EPS 4–5 </t>
    </r>
    <r>
      <rPr>
        <sz val="11"/>
        <color theme="1"/>
        <rFont val="Noto Sans CJK SC"/>
        <family val="2"/>
      </rPr>
      <t xml:space="preserve">元（券商）</t>
    </r>
  </si>
  <si>
    <t xml:space="preserve">g_oth</t>
  </si>
  <si>
    <t xml:space="preserve">其他營收年增</t>
  </si>
  <si>
    <r>
      <rPr>
        <sz val="11"/>
        <color theme="1"/>
        <rFont val="Noto Sans CJK SC"/>
        <family val="2"/>
      </rPr>
      <t xml:space="preserve">其他約占營收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</si>
  <si>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</si>
  <si>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</si>
  <si>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</si>
  <si>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高盛估 </t>
    </r>
    <r>
      <rPr>
        <sz val="11"/>
        <color theme="1"/>
        <rFont val="Calibri"/>
        <family val="2"/>
        <charset val="1"/>
      </rPr>
      <t xml:space="preserve">2025 57.4%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2026 59.1%</t>
    </r>
    <r>
      <rPr>
        <sz val="11"/>
        <color theme="1"/>
        <rFont val="Noto Sans CJK SC"/>
        <family val="2"/>
      </rPr>
      <t xml:space="preserve">（財訊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毛利率續升（經濟日報 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</si>
  <si>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＝高階 </t>
    </r>
    <r>
      <rPr>
        <sz val="11"/>
        <color theme="1"/>
        <rFont val="Calibri"/>
        <family val="2"/>
        <charset val="1"/>
      </rPr>
      <t xml:space="preserve">MEMS </t>
    </r>
    <r>
      <rPr>
        <sz val="11"/>
        <color theme="1"/>
        <rFont val="Noto Sans CJK SC"/>
        <family val="2"/>
      </rPr>
      <t xml:space="preserve">比重與價格；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＝擴產折舊與價格競爭</t>
    </r>
  </si>
  <si>
    <t xml:space="preserve">gmL_A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</si>
  <si>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FY2028–29</t>
    </r>
  </si>
  <si>
    <t xml:space="preserve">gm27_B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</si>
  <si>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FY2027</t>
    </r>
  </si>
  <si>
    <t xml:space="preserve">gmL_B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</si>
  <si>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FY2028–29</t>
    </r>
  </si>
  <si>
    <t xml:space="preserve">gm27_C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</si>
  <si>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FY2027</t>
    </r>
  </si>
  <si>
    <t xml:space="preserve">gmL_C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</si>
  <si>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FY2028–29</t>
    </r>
  </si>
  <si>
    <t xml:space="preserve">gm_adj</t>
  </si>
  <si>
    <t xml:space="preserve">毛利率平移（三情境同時；敏感度用）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</si>
  <si>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</t>
    </r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</si>
  <si>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</si>
  <si>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</si>
  <si>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頁；公司：研發費用占營收至少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法說）</t>
    </r>
  </si>
  <si>
    <t xml:space="preserve">ni_oi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</si>
  <si>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</si>
  <si>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1Q26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0.85</t>
    </r>
    <r>
      <rPr>
        <sz val="11"/>
        <color theme="1"/>
        <rFont val="Noto Sans CJK SC"/>
        <family val="2"/>
      </rPr>
      <t xml:space="preserve">（公司；業外含匯兌）</t>
    </r>
  </si>
  <si>
    <t xml:space="preserve">稅率與業外未分別揭露：未找到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</si>
  <si>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</si>
  <si>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</si>
  <si>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95.0 → 2Q26 98.0 </t>
    </r>
    <r>
      <rPr>
        <sz val="11"/>
        <color theme="1"/>
        <rFont val="Noto Sans CJK SC"/>
        <family val="2"/>
      </rPr>
      <t xml:space="preserve">百萬股（淨利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推得）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</si>
  <si>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</si>
  <si>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q3_pcsh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</si>
  <si>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</si>
  <si>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71.1%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74.7%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</si>
  <si>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事業別：未找到（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月法說）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</si>
  <si>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</si>
  <si>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</si>
  <si>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2.0%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</si>
  <si>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</si>
  <si>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</si>
  <si>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</si>
  <si>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財報與法說摘要（口袋學堂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）：公司稱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毛利率回到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水準（</t>
    </r>
    <r>
      <rPr>
        <sz val="11"/>
        <color theme="1"/>
        <rFont val="Calibri"/>
        <family val="2"/>
        <charset val="1"/>
      </rPr>
      <t xml:space="preserve">59.4%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再小升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</si>
  <si>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財報：未公布（約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</si>
  <si>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</si>
  <si>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</si>
  <si>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小升）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</si>
  <si>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</si>
  <si>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</si>
  <si>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財報與法說摘要（口袋學堂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法說）；取中點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</si>
  <si>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實績季增 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，高於指引 </t>
    </r>
    <r>
      <rPr>
        <sz val="11"/>
        <color theme="1"/>
        <rFont val="Calibri"/>
        <family val="2"/>
        <charset val="1"/>
      </rPr>
      <t xml:space="preserve">0–5%</t>
    </r>
  </si>
  <si>
    <t xml:space="preserve">q4_pcsh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</si>
  <si>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</si>
  <si>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</si>
  <si>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年設備占比與 </t>
    </r>
    <r>
      <rPr>
        <sz val="11"/>
        <color theme="1"/>
        <rFont val="Calibri"/>
        <family val="2"/>
        <charset val="1"/>
      </rPr>
      <t xml:space="preserve">1Q26 26.9% </t>
    </r>
    <r>
      <rPr>
        <sz val="11"/>
        <color theme="1"/>
        <rFont val="Noto Sans CJK SC"/>
        <family val="2"/>
      </rPr>
      <t xml:space="preserve">差異不大（</t>
    </r>
    <r>
      <rPr>
        <sz val="11"/>
        <color theme="1"/>
        <rFont val="Calibri"/>
        <family val="2"/>
        <charset val="1"/>
      </rPr>
      <t xml:space="preserve">2H CPO </t>
    </r>
    <r>
      <rPr>
        <sz val="11"/>
        <color theme="1"/>
        <rFont val="Noto Sans CJK SC"/>
        <family val="2"/>
      </rPr>
      <t xml:space="preserve">出貨小）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</si>
  <si>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</si>
  <si>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營業費用季增</t>
    </r>
  </si>
  <si>
    <r>
      <rPr>
        <sz val="11"/>
        <color theme="1"/>
        <rFont val="Calibri"/>
        <family val="2"/>
        <charset val="1"/>
      </rPr>
      <t xml:space="preserve">1Q26 1.07 → 2Q26 1.25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）</t>
    </r>
  </si>
  <si>
    <t xml:space="preserve">q_nioi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</si>
  <si>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</si>
  <si>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2.751 ÷ 3.074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0.895</t>
    </r>
    <r>
      <rPr>
        <sz val="11"/>
        <color theme="1"/>
        <rFont val="Noto Sans CJK SC"/>
        <family val="2"/>
      </rPr>
      <t xml:space="preserve">（公司）；匯兌利益不延續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</si>
  <si>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公司指引、券商預估（只作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</si>
  <si>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</si>
  <si>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</si>
  <si>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</si>
  <si>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Noto Sans CJK SC"/>
        <family val="2"/>
      </rPr>
      <t xml:space="preserve">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：法人預估 </t>
    </r>
    <r>
      <rPr>
        <sz val="11"/>
        <color theme="1"/>
        <rFont val="Calibri"/>
        <family val="2"/>
        <charset val="1"/>
      </rPr>
      <t xml:space="preserve">2026 EPS 64.79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2027 128.95</t>
    </r>
    <r>
      <rPr>
        <sz val="11"/>
        <color theme="1"/>
        <rFont val="Noto Sans CJK SC"/>
        <family val="2"/>
      </rPr>
      <t xml:space="preserve">（財訊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</si>
  <si>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：券商 </t>
    </r>
    <r>
      <rPr>
        <sz val="11"/>
        <color theme="1"/>
        <rFont val="Calibri"/>
        <family val="2"/>
        <charset val="1"/>
      </rPr>
      <t xml:space="preserve">60.89–70.84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8/17 </t>
    </r>
    <r>
      <rPr>
        <sz val="11"/>
        <color theme="1"/>
        <rFont val="Noto Sans CJK SC"/>
        <family val="2"/>
      </rPr>
      <t xml:space="preserve">報告）</t>
    </r>
  </si>
  <si>
    <t xml:space="preserve">cons_eps27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</si>
  <si>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EPS FY2027</t>
    </r>
  </si>
  <si>
    <t xml:space="preserve">al_eps27</t>
  </si>
  <si>
    <t xml:space="preserve">ALETHEIA EPS FY2027</t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</si>
  <si>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ALETHEIA 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78.1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2027 186.5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2028 286.5</t>
    </r>
    <r>
      <rPr>
        <sz val="11"/>
        <color theme="1"/>
        <rFont val="Noto Sans CJK SC"/>
        <family val="2"/>
      </rPr>
      <t xml:space="preserve">（數位時代 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）</t>
    </r>
  </si>
  <si>
    <t xml:space="preserve">單一券商</t>
  </si>
  <si>
    <t xml:space="preserve">al_eps28</t>
  </si>
  <si>
    <t xml:space="preserve">ALETHEIA EPS FY2028</t>
  </si>
  <si>
    <t xml:space="preserve">cons_rev26</t>
  </si>
  <si>
    <r>
      <rPr>
        <sz val="11"/>
        <color theme="1"/>
        <rFont val="Noto Sans CJK SC"/>
        <family val="2"/>
      </rPr>
      <t xml:space="preserve">券商營收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（區間中點）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</si>
  <si>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財報與法說摘要（口袋學堂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）：券商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20.38–23.80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8/17 </t>
    </r>
    <r>
      <rPr>
        <sz val="11"/>
        <color theme="1"/>
        <rFont val="Noto Sans CJK SC"/>
        <family val="2"/>
      </rPr>
      <t xml:space="preserve">報告）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</si>
  <si>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</si>
  <si>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</si>
  <si>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收盤，櫃買中心）</t>
    </r>
  </si>
  <si>
    <r>
      <rPr>
        <sz val="11"/>
        <color theme="1"/>
        <rFont val="Noto Sans CJK SC"/>
        <family val="2"/>
      </rPr>
      <t xml:space="preserve">富邦證券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點通（</t>
    </r>
    <r>
      <rPr>
        <sz val="11"/>
        <color theme="1"/>
        <rFont val="Calibri"/>
        <family val="2"/>
        <charset val="1"/>
      </rPr>
      <t xml:space="preserve">6223 </t>
    </r>
    <r>
      <rPr>
        <sz val="11"/>
        <color theme="1"/>
        <rFont val="Noto Sans CJK SC"/>
        <family val="2"/>
      </rPr>
      <t xml:space="preserve">日線）：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4,610.00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230.00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</si>
  <si>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玩股網本益比河流圖：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4,610.00</t>
    </r>
    <r>
      <rPr>
        <sz val="11"/>
        <color theme="1"/>
        <rFont val="Noto Sans CJK SC"/>
        <family val="2"/>
      </rPr>
      <t xml:space="preserve">（玩股網）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</si>
  <si>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</si>
  <si>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（玩股網，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</t>
    </r>
  </si>
  <si>
    <t xml:space="preserve">玩股網本益比河流圖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</si>
  <si>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</si>
  <si>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</si>
  <si>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前瞻倍數待取（</t>
    </r>
    <r>
      <rPr>
        <sz val="11"/>
        <color theme="1"/>
        <rFont val="Calibri"/>
        <family val="2"/>
        <charset val="1"/>
      </rPr>
      <t xml:space="preserve">fwd_mult_hist.csv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6223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</si>
  <si>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</si>
  <si>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；單一券商）</t>
    </r>
  </si>
  <si>
    <r>
      <rPr>
        <sz val="11"/>
        <color theme="1"/>
        <rFont val="Noto Sans CJK SC"/>
        <family val="2"/>
      </rPr>
      <t xml:space="preserve">與市場共識目標價同一券商（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）；與本模型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</t>
    </r>
  </si>
  <si>
    <r>
      <rPr>
        <sz val="11"/>
        <color theme="1"/>
        <rFont val="Noto Sans CJK SC"/>
        <family val="2"/>
      </rPr>
      <t xml:space="preserve">賣方共識前瞻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</si>
  <si>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</si>
  <si>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市場共識目標價（以 </t>
    </r>
    <r>
      <rPr>
        <sz val="11"/>
        <color theme="1"/>
        <rFont val="Calibri"/>
        <family val="2"/>
        <charset val="1"/>
      </rPr>
      <t xml:space="preserve">ALETHEIA </t>
    </r>
    <r>
      <rPr>
        <sz val="11"/>
        <color theme="1"/>
        <rFont val="Noto Sans CJK SC"/>
        <family val="2"/>
      </rPr>
      <t xml:space="preserve">單一券商代替）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</si>
  <si>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ALETHEIA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4,000 → 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）</t>
    </r>
  </si>
  <si>
    <t xml:space="preserve">賣方平均目標價：未找到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</si>
  <si>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</si>
  <si>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</si>
  <si>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</si>
  <si>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</si>
  <si>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</si>
  <si>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</si>
  <si>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</si>
  <si>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</si>
  <si>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</si>
  <si>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</si>
  <si>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</si>
  <si>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</si>
  <si>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</si>
  <si>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</si>
  <si>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</si>
  <si>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</si>
  <si>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</si>
  <si>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</si>
  <si>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（近兩年平均，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</si>
  <si>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法說摘要（富果）：每股淨值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98 →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148</t>
    </r>
    <r>
      <rPr>
        <sz val="11"/>
        <color theme="1"/>
        <rFont val="Noto Sans CJK SC"/>
        <family val="2"/>
      </rPr>
      <t xml:space="preserve">；權益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14.5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）；淨利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24.42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百萬股）、</t>
    </r>
    <r>
      <rPr>
        <sz val="11"/>
        <color theme="1"/>
        <rFont val="Calibri"/>
        <family val="2"/>
        <charset val="1"/>
      </rPr>
      <t xml:space="preserve">2025 3.18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</si>
  <si>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年以年底權益計（期初未找到）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</si>
  <si>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</si>
  <si>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</si>
  <si>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</si>
  <si>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</si>
  <si>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</si>
  <si>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</si>
  <si>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</si>
  <si>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</si>
  <si>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</si>
  <si>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</si>
  <si>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</si>
  <si>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</si>
  <si>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</si>
  <si>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</si>
  <si>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</si>
  <si>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與其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的中點）</t>
    </r>
  </si>
  <si>
    <r>
      <rPr>
        <sz val="11"/>
        <color theme="1"/>
        <rFont val="Noto Sans CJK SC"/>
        <family val="2"/>
      </rPr>
      <t xml:space="preserve">十年平均淨利率未找到：工作單規則以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</si>
  <si>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</si>
  <si>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</si>
  <si>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</si>
  <si>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t xml:space="preserve">同上（十年平均未找到）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</si>
  <si>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</si>
  <si>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</si>
  <si>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</si>
  <si>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</si>
  <si>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</si>
  <si>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</si>
  <si>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</si>
  <si>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</si>
  <si>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</si>
  <si>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</si>
  <si>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</si>
  <si>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</si>
  <si>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</si>
  <si>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</si>
  <si>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</si>
  <si>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</si>
  <si>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</si>
  <si>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</si>
  <si>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</si>
  <si>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</si>
  <si>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</si>
  <si>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scn_eqk28</t>
  </si>
  <si>
    <r>
      <rPr>
        <sz val="11"/>
        <color theme="1"/>
        <rFont val="Noto Sans CJK SC"/>
        <family val="2"/>
      </rPr>
      <t xml:space="preserve">設備水準 </t>
    </r>
    <r>
      <rPr>
        <sz val="11"/>
        <color theme="1"/>
        <rFont val="Calibri"/>
        <family val="2"/>
        <charset val="1"/>
      </rPr>
      <t xml:space="preserve">2028 ÷ 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</si>
  <si>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eqk28_A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eqk28_B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eqk28_C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</si>
  <si>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scn_eqk29</t>
  </si>
  <si>
    <r>
      <rPr>
        <sz val="11"/>
        <color theme="1"/>
        <rFont val="Noto Sans CJK SC"/>
        <family val="2"/>
      </rPr>
      <t xml:space="preserve">設備水準 </t>
    </r>
    <r>
      <rPr>
        <sz val="11"/>
        <color theme="1"/>
        <rFont val="Calibri"/>
        <family val="2"/>
        <charset val="1"/>
      </rPr>
      <t xml:space="preserve">2029 ÷ 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</si>
  <si>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eqk29_A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eqk29_B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eqk29_C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</si>
  <si>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scn_rel27</t>
  </si>
  <si>
    <r>
      <rPr>
        <sz val="11"/>
        <color theme="1"/>
        <rFont val="Noto Sans CJK SC"/>
        <family val="2"/>
      </rPr>
      <t xml:space="preserve">旺矽份額與價格相對值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</si>
  <si>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</si>
  <si>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scn_rel28</t>
  </si>
  <si>
    <r>
      <rPr>
        <sz val="11"/>
        <color theme="1"/>
        <rFont val="Noto Sans CJK SC"/>
        <family val="2"/>
      </rPr>
      <t xml:space="preserve">旺矽份額與價格相對值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</si>
  <si>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</si>
  <si>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scn_rel29</t>
  </si>
  <si>
    <r>
      <rPr>
        <sz val="11"/>
        <color theme="1"/>
        <rFont val="Noto Sans CJK SC"/>
        <family val="2"/>
      </rPr>
      <t xml:space="preserve">旺矽份額與價格相對值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</si>
  <si>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</si>
  <si>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</si>
  <si>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</si>
  <si>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</si>
  <si>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scn_gmL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</si>
  <si>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</si>
  <si>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</si>
  <si>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</si>
  <si>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</si>
  <si>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</si>
  <si>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</si>
  <si>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</si>
  <si>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</si>
  <si>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scn_cpo_A_26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</si>
  <si>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</si>
  <si>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cpo_A_26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</si>
  <si>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</si>
  <si>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</si>
  <si>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</si>
  <si>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為新台幣；股數為百萬股）。藍字＝輸入（公司月營收、季報與法說）；黑字＝公式。事業別＝公司法說揭露的探針卡、設備、其他占比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</si>
  <si>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營收實績（月營收：前三季 </t>
    </r>
    <r>
      <rPr>
        <sz val="11"/>
        <color theme="1"/>
        <rFont val="Calibri"/>
        <family val="2"/>
        <charset val="1"/>
      </rPr>
      <t xml:space="preserve">15.068 − 1H26 9.166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損益依公司說法（毛利率回到 </t>
    </r>
    <r>
      <rPr>
        <sz val="11"/>
        <color theme="1"/>
        <rFont val="Calibri"/>
        <family val="2"/>
        <charset val="1"/>
      </rPr>
      <t xml:space="preserve">59.4%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依指引（季增 </t>
    </r>
    <r>
      <rPr>
        <sz val="11"/>
        <color theme="1"/>
        <rFont val="Calibri"/>
        <family val="2"/>
        <charset val="1"/>
      </rPr>
      <t xml:space="preserve">5–10%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月中公布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</si>
  <si>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</si>
  <si>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</si>
  <si>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</si>
  <si>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</si>
  <si>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</si>
  <si>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</si>
  <si>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</si>
  <si>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</si>
  <si>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</si>
  <si>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：公司法說（富果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：口袋學堂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營收：公司月營收（科技新報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</si>
  <si>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13.377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+31.5%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9.166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15.068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+58.0%</t>
    </r>
    <r>
      <rPr>
        <sz val="11"/>
        <color theme="1"/>
        <rFont val="Noto Sans CJK SC"/>
        <family val="2"/>
      </rPr>
      <t xml:space="preserve">）</t>
    </r>
  </si>
  <si>
    <t xml:space="preserve">探針卡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</si>
  <si>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</si>
  <si>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73.8%</t>
    </r>
    <r>
      <rPr>
        <sz val="11"/>
        <color theme="1"/>
        <rFont val="Noto Sans CJK SC"/>
        <family val="2"/>
      </rPr>
      <t xml:space="preserve">（富果；口袋學堂另載 </t>
    </r>
    <r>
      <rPr>
        <sz val="11"/>
        <color theme="1"/>
        <rFont val="Calibri"/>
        <family val="2"/>
        <charset val="1"/>
      </rPr>
      <t xml:space="preserve">72.2%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71.1%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74.7%</t>
    </r>
  </si>
  <si>
    <r>
      <rPr>
        <sz val="11"/>
        <color theme="1"/>
        <rFont val="Calibri"/>
        <family val="2"/>
        <charset val="1"/>
      </rPr>
      <t xml:space="preserve"> 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探針卡（</t>
    </r>
    <r>
      <rPr>
        <sz val="11"/>
        <color theme="1"/>
        <rFont val="Calibri"/>
        <family val="2"/>
        <charset val="1"/>
      </rPr>
      <t xml:space="preserve">VPC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MEMS</t>
    </r>
    <r>
      <rPr>
        <sz val="11"/>
        <color theme="1"/>
        <rFont val="Noto Sans CJK SC"/>
        <family val="2"/>
      </rPr>
      <t xml:space="preserve">；命題子列）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</si>
  <si>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（占比）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</si>
  <si>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占比公司未揭露</t>
    </r>
  </si>
  <si>
    <r>
      <rPr>
        <sz val="11"/>
        <color theme="1"/>
        <rFont val="Noto Sans CJK SC"/>
        <family val="2"/>
      </rPr>
      <t xml:space="preserve">  其他探針卡（</t>
    </r>
    <r>
      <rPr>
        <sz val="11"/>
        <color theme="1"/>
        <rFont val="Calibri"/>
        <family val="2"/>
        <charset val="1"/>
      </rPr>
      <t xml:space="preserve">CPC </t>
    </r>
    <r>
      <rPr>
        <sz val="11"/>
        <color theme="1"/>
        <rFont val="Noto Sans CJK SC"/>
        <family val="2"/>
      </rPr>
      <t xml:space="preserve">等）</t>
    </r>
  </si>
  <si>
    <t xml:space="preserve">設備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</si>
  <si>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24.6%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26.9%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23.3%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AST</t>
    </r>
    <r>
      <rPr>
        <sz val="11"/>
        <color theme="1"/>
        <rFont val="Noto Sans CJK SC"/>
        <family val="2"/>
      </rPr>
      <t xml:space="preserve">、溫控、光電）</t>
    </r>
  </si>
  <si>
    <t xml:space="preserve">其他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</si>
  <si>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2.0%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</si>
  <si>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</si>
  <si>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</si>
  <si>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57.4%</t>
    </r>
    <r>
      <rPr>
        <sz val="11"/>
        <color theme="1"/>
        <rFont val="Noto Sans CJK SC"/>
        <family val="2"/>
      </rPr>
      <t xml:space="preserve">（高盛，財訊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58.37%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</si>
  <si>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</si>
  <si>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</si>
  <si>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營業利益：未找到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</si>
  <si>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</si>
  <si>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</si>
  <si>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</si>
  <si>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</si>
  <si>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</si>
  <si>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3.18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+38.1%</t>
    </r>
    <r>
      <rPr>
        <sz val="11"/>
        <color theme="1"/>
        <rFont val="Noto Sans CJK SC"/>
        <family val="2"/>
      </rPr>
      <t xml:space="preserve">；富果摘要）；</t>
    </r>
    <r>
      <rPr>
        <sz val="11"/>
        <color theme="1"/>
        <rFont val="Calibri"/>
        <family val="2"/>
        <charset val="1"/>
      </rPr>
      <t xml:space="preserve">1H26 2.751</t>
    </r>
  </si>
  <si>
    <t xml:space="preserve">股數（百萬股）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</si>
  <si>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</si>
  <si>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</si>
  <si>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＝四季加總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</si>
  <si>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</si>
  <si>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</si>
  <si>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1H26 28.08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9.81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</si>
  <si>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</si>
  <si>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</si>
  <si>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營收季增（指引 </t>
    </r>
    <r>
      <rPr>
        <sz val="11"/>
        <color theme="1"/>
        <rFont val="Calibri"/>
        <family val="2"/>
        <charset val="1"/>
      </rPr>
      <t xml:space="preserve">0–5%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</si>
  <si>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探針卡年增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</si>
  <si>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設備年增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</si>
  <si>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券商區間中點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</si>
  <si>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28.08</t>
    </r>
    <r>
      <rPr>
        <sz val="11"/>
        <color theme="1"/>
        <rFont val="Noto Sans CJK SC"/>
        <family val="2"/>
      </rPr>
      <t xml:space="preserve">（應約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</si>
  <si>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</si>
  <si>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條：事業別＝探針卡、設備、其他（公司法說揭露占比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</si>
  <si>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b val="true"/>
        <sz val="11"/>
        <rFont val="Noto Sans CJK SC"/>
        <family val="2"/>
      </rPr>
      <t xml:space="preserve">檢查：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＋其他探針卡 − 探針卡（命題子列合計）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</si>
  <si>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 → 晶圓測試量 → 旺矽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Siliconomics SIF_TestSoCMkt_A</t>
    </r>
    <r>
      <rPr>
        <sz val="11"/>
        <color theme="1"/>
        <rFont val="Noto Sans CJK SC"/>
        <family val="2"/>
      </rPr>
      <t xml:space="preserve">）只作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</si>
  <si>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</si>
  <si>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</si>
  <si>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</si>
  <si>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</si>
  <si>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</si>
  <si>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（台積電、日月光、京元電模型同一份）</t>
    </r>
  </si>
  <si>
    <r>
      <rPr>
        <sz val="11"/>
        <color theme="1"/>
        <rFont val="Noto Sans CJK SC"/>
        <family val="2"/>
      </rPr>
      <t xml:space="preserve">每顆加權係數（測試時間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曝險）</t>
    </r>
  </si>
  <si>
    <r>
      <rPr>
        <sz val="11"/>
        <color theme="1"/>
        <rFont val="Calibri"/>
        <family val="2"/>
        <charset val="1"/>
      </rPr>
      <t xml:space="preserve">Siliconomics ts_tt_*</t>
    </r>
    <r>
      <rPr>
        <sz val="11"/>
        <color theme="1"/>
        <rFont val="Noto Sans CJK SC"/>
        <family val="2"/>
      </rPr>
      <t xml:space="preserve">；曝險為本模型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</si>
  <si>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晶圓測試量指數（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</si>
  <si>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</si>
  <si>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t xml:space="preserve">份額與價格相對值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</si>
  <si>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</si>
  <si>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每顆探針卡內容指數</t>
  </si>
  <si>
    <r>
      <rPr>
        <sz val="11"/>
        <color theme="1"/>
        <rFont val="Noto Sans CJK SC"/>
        <family val="2"/>
      </rPr>
      <t xml:space="preserve">旺矽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探針卡營收</t>
    </r>
  </si>
  <si>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</t>
    </r>
  </si>
  <si>
    <r>
      <rPr>
        <sz val="11"/>
        <color theme="1"/>
        <rFont val="Noto Sans CJK SC"/>
        <family val="2"/>
      </rPr>
      <t xml:space="preserve">每顆加速器的旺矽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探針卡營收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</si>
  <si>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</si>
  <si>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十億元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1,000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</si>
  <si>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Siliconomics SIF_TestSoCMkt_A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</si>
  <si>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</si>
  <si>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推導值（唯讀）</t>
    </r>
  </si>
  <si>
    <r>
      <rPr>
        <sz val="11"/>
        <color theme="1"/>
        <rFont val="Noto Sans CJK SC"/>
        <family val="2"/>
      </rPr>
      <t xml:space="preserve">旺矽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探針卡年增</t>
    </r>
  </si>
  <si>
    <r>
      <rPr>
        <sz val="11"/>
        <color theme="1"/>
        <rFont val="Noto Sans CJK SC"/>
        <family val="2"/>
      </rPr>
      <t xml:space="preserve">對照下列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測試機市場年增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</si>
  <si>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測試機市場年增</t>
    </r>
  </si>
  <si>
    <t xml:space="preserve">測試機（設備）與探針卡（耗材）同受晶圓測試量驅動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</si>
  <si>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探針卡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占探針卡六成（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）校準，不是公司揭露數字；晶圓測試量用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的每顆測試時間係數加權，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部分再乘旺矽曝險 </t>
    </r>
    <r>
      <rPr>
        <b val="true"/>
        <sz val="11"/>
        <rFont val="Cambria"/>
        <family val="0"/>
        <charset val="1"/>
      </rPr>
      <t xml:space="preserve">ex_nv</t>
    </r>
    <r>
      <rPr>
        <b val="true"/>
        <sz val="11"/>
        <rFont val="Noto Sans CJK SC"/>
        <family val="2"/>
      </rPr>
      <t xml:space="preserve">。份額與價格相對值是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</si>
  <si>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旺矽損益（十億新台幣；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</si>
  <si>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</si>
  <si>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</si>
  <si>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</si>
  <si>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</si>
  <si>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</si>
  <si>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</si>
  <si>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</si>
  <si>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</si>
  <si>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</si>
  <si>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</si>
  <si>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</si>
  <si>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探針卡</t>
  </si>
  <si>
    <r>
      <rPr>
        <sz val="11"/>
        <color theme="1"/>
        <rFont val="Calibri"/>
        <family val="2"/>
        <charset val="1"/>
      </rPr>
      <t xml:space="preserve">   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</t>
    </r>
  </si>
  <si>
    <r>
      <rPr>
        <sz val="11"/>
        <color theme="1"/>
        <rFont val="Calibri"/>
        <family val="2"/>
        <charset val="1"/>
      </rPr>
      <t xml:space="preserve">   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</si>
  <si>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設備</t>
  </si>
  <si>
    <r>
      <rPr>
        <sz val="11"/>
        <color theme="1"/>
        <rFont val="Calibri"/>
        <family val="2"/>
        <charset val="1"/>
      </rPr>
      <t xml:space="preserve">    CPO </t>
    </r>
    <r>
      <rPr>
        <sz val="11"/>
        <color theme="1"/>
        <rFont val="Noto Sans CJK SC"/>
        <family val="2"/>
      </rPr>
      <t xml:space="preserve">測試設備</t>
    </r>
  </si>
  <si>
    <t xml:space="preserve">營業利益率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</si>
  <si>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</si>
  <si>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</si>
  <si>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</si>
  <si>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</si>
  <si>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</si>
  <si>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</si>
  <si>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</si>
  <si>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＋其他探針卡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頁探針卡（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</si>
  <si>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：顆數基準；份額與價格相對值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1.08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1.10</t>
    </r>
    <r>
      <rPr>
        <b val="true"/>
        <sz val="11"/>
        <rFont val="Noto Sans CJK SC"/>
        <family val="2"/>
      </rPr>
      <t xml:space="preserve">；毛利率 </t>
    </r>
    <r>
      <rPr>
        <b val="true"/>
        <sz val="11"/>
        <rFont val="Cambria"/>
        <family val="0"/>
        <charset val="1"/>
      </rPr>
      <t xml:space="preserve">60.0%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61.0%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與設備依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</si>
  <si>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晶圓測試量 →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探針卡（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</si>
  <si>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</si>
  <si>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Noto Sans CJK SC"/>
        <family val="2"/>
      </rPr>
      <t xml:space="preserve">每顆加權係數（測試時間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旺矽曝險）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</si>
  <si>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× ex_nv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部分（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測試時間係數）</t>
    </r>
  </si>
  <si>
    <r>
      <rPr>
        <sz val="11"/>
        <color theme="1"/>
        <rFont val="Noto Sans CJK SC"/>
        <family val="2"/>
      </rPr>
      <t xml:space="preserve">旺矽份額與價格相對值（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</si>
  <si>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每顆探針卡內容指數（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</si>
  <si>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營收分部（十億新台幣）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</si>
  <si>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晶圓測試量指數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份額與價格相對值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</si>
  <si>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）＋超額成長</t>
    </r>
  </si>
  <si>
    <r>
      <rPr>
        <sz val="11"/>
        <color theme="1"/>
        <rFont val="Calibri"/>
        <family val="2"/>
        <charset val="1"/>
      </rPr>
      <t xml:space="preserve">  CPO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</si>
  <si>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k_cpo</t>
    </r>
    <r>
      <rPr>
        <sz val="11"/>
        <color theme="1"/>
        <rFont val="Noto Sans CJK SC"/>
        <family val="2"/>
      </rPr>
      <t xml:space="preserve">；依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同字母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滲透率縮放</t>
    </r>
  </si>
  <si>
    <r>
      <rPr>
        <sz val="11"/>
        <color theme="1"/>
        <rFont val="Noto Sans CJK SC"/>
        <family val="2"/>
      </rPr>
      <t xml:space="preserve">  設備（不含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AST</t>
    </r>
    <r>
      <rPr>
        <sz val="11"/>
        <color theme="1"/>
        <rFont val="Noto Sans CJK SC"/>
        <family val="2"/>
      </rPr>
      <t xml:space="preserve">、溫控、其他光電）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</si>
  <si>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SEMI </t>
    </r>
    <r>
      <rPr>
        <sz val="11"/>
        <color theme="1"/>
        <rFont val="Noto Sans CJK SC"/>
        <family val="2"/>
      </rPr>
      <t xml:space="preserve">測試設備成長；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 × </t>
    </r>
    <r>
      <rPr>
        <sz val="11"/>
        <color theme="1"/>
        <rFont val="Noto Sans CJK SC"/>
        <family val="2"/>
      </rPr>
      <t xml:space="preserve">設備情境係數（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</si>
  <si>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</si>
  <si>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</si>
  <si>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</si>
  <si>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</si>
  <si>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</si>
  <si>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</si>
  <si>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營業利益未找到，自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</t>
    </r>
  </si>
  <si>
    <t xml:space="preserve">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</si>
  <si>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</si>
  <si>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</si>
  <si>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</si>
  <si>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；相對值 </t>
    </r>
    <r>
      <rPr>
        <b val="true"/>
        <sz val="11"/>
        <rFont val="Cambria"/>
        <family val="0"/>
        <charset val="1"/>
      </rPr>
      <t xml:space="preserve">1.00</t>
    </r>
    <r>
      <rPr>
        <b val="true"/>
        <sz val="11"/>
        <rFont val="Noto Sans CJK SC"/>
        <family val="2"/>
      </rPr>
      <t xml:space="preserve">；毛利率 </t>
    </r>
    <r>
      <rPr>
        <b val="true"/>
        <sz val="11"/>
        <rFont val="Cambria"/>
        <family val="0"/>
        <charset val="1"/>
      </rPr>
      <t xml:space="preserve">59.5%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</si>
  <si>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；相對值 </t>
    </r>
    <r>
      <rPr>
        <b val="true"/>
        <sz val="11"/>
        <rFont val="Cambria"/>
        <family val="0"/>
        <charset val="1"/>
      </rPr>
      <t xml:space="preserve">0.92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0.88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；毛利率 </t>
    </r>
    <r>
      <rPr>
        <b val="true"/>
        <sz val="11"/>
        <rFont val="Cambria"/>
        <family val="0"/>
        <charset val="1"/>
      </rPr>
      <t xml:space="preserve">58.0%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56.5%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下滑兩成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</si>
  <si>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</si>
  <si>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循環位置：旺矽以探針卡（耗材）為主、設備約占四分之一，不套設備市場見頂年；比照京元電，以本模型營收最高的會計年度為見頂年（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</si>
  <si>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</si>
  <si>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</si>
  <si>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</si>
  <si>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</si>
  <si>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</si>
  <si>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</si>
  <si>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</si>
  <si>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</si>
  <si>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</si>
  <si>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</si>
  <si>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</si>
  <si>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</si>
  <si>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</si>
  <si>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</si>
  <si>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</si>
  <si>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</si>
  <si>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</si>
  <si>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年底；下限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</si>
  <si>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</si>
  <si>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</si>
  <si>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</si>
  <si>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</si>
  <si>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</si>
  <si>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</si>
  <si>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</si>
  <si>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</si>
  <si>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</si>
  <si>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FormFactor</t>
  </si>
  <si>
    <t xml:space="preserve">FORM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</si>
  <si>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</si>
  <si>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（分析師共識；價格日期如左；與泰瑞達、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模型同一組數字）</t>
    </r>
  </si>
  <si>
    <t xml:space="preserve">Advantest</t>
  </si>
  <si>
    <t xml:space="preserve">6857.T</t>
  </si>
  <si>
    <t xml:space="preserve">2026-10-21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</si>
  <si>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</si>
  <si>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</si>
  <si>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</si>
  <si>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</si>
  <si>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</si>
  <si>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</si>
  <si>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測試介面與測試同業：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（探針卡）、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、泰瑞達（測試機）、京元電（測試）；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、精測不在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檔，未納入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</si>
  <si>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</si>
  <si>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</si>
  <si>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</si>
  <si>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</si>
  <si>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</si>
  <si>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</si>
  <si>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</si>
  <si>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（相對倍數調整後，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</si>
  <si>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</si>
  <si>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</si>
  <si>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賣方平均：未找到；以 </t>
    </r>
    <r>
      <rPr>
        <sz val="11"/>
        <color theme="1"/>
        <rFont val="Calibri"/>
        <family val="2"/>
        <charset val="1"/>
      </rPr>
      <t xml:space="preserve">ALETHEIA 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，單一券商）代替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</si>
  <si>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</si>
  <si>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</si>
  <si>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</si>
  <si>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</si>
  <si>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ALETHEIA </t>
    </r>
    <r>
      <rPr>
        <sz val="11"/>
        <color theme="1"/>
        <rFont val="Noto Sans CJK SC"/>
        <family val="2"/>
      </rPr>
      <t xml:space="preserve">同口徑前瞻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</si>
  <si>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</si>
  <si>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</si>
  <si>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</si>
  <si>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</si>
  <si>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</si>
  <si>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</si>
  <si>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明確期＋永續；旺矽資本支出小（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億元），本式適用。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：測試介面與測試同業（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、泰瑞達、京元電）前瞻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中位數；旺矽本身沒有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前瞻倍數，相對倍數調整係數＝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）；設備分部讀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設備情境係數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</si>
  <si>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</si>
  <si>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</si>
  <si>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</si>
  <si>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</si>
  <si>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</si>
  <si>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</si>
  <si>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</si>
  <si>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</si>
  <si>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</si>
  <si>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</si>
  <si>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</si>
  <si>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</si>
  <si>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三情境只差份額與價格相對值、毛利率與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</si>
  <si>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</si>
  <si>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</si>
  <si>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</si>
  <si>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</si>
  <si>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</si>
  <si>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</si>
  <si>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</si>
  <si>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</si>
  <si>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</si>
  <si>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</si>
  <si>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；本模型營收最高年取代設備市場見頂年（比照京元電）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</si>
  <si>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</si>
  <si>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</si>
  <si>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</si>
  <si>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</si>
  <si>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</si>
  <si>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</si>
  <si>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</si>
  <si>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</si>
  <si>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</si>
  <si>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</si>
  <si>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</si>
  <si>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</si>
  <si>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</si>
  <si>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</si>
  <si>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2021–2025 </t>
    </r>
    <r>
      <rPr>
        <b val="true"/>
        <sz val="11"/>
        <rFont val="Noto Sans CJK SC"/>
        <family val="2"/>
      </rPr>
      <t xml:space="preserve">年底；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未找到；單一來源，分位排名用；無負值或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</si>
  <si>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</si>
  <si>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</si>
  <si>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玩股網（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</si>
  <si>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（第二來源：未找到）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</si>
  <si>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</si>
  <si>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</si>
  <si>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</si>
  <si>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</si>
  <si>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</si>
  <si>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</si>
  <si>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</si>
  <si>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</si>
  <si>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</si>
  <si>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</si>
  <si>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</si>
  <si>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</si>
  <si>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依循環位置取分位。旺矽只取得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五年，且 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重新評價期（</t>
    </r>
    <r>
      <rPr>
        <sz val="11"/>
        <color theme="1"/>
        <rFont val="Calibri"/>
        <family val="2"/>
        <charset val="1"/>
      </rPr>
      <t xml:space="preserve">47x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73x</t>
    </r>
    <r>
      <rPr>
        <sz val="11"/>
        <color theme="1"/>
        <rFont val="Noto Sans CJK SC"/>
        <family val="2"/>
      </rPr>
      <t xml:space="preserve">），分位偏高；玩股網的近四季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與公司年度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2025 31.01 vs 33.49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</si>
  <si>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</si>
  <si>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標記／說明</t>
  </si>
  <si>
    <r>
      <rPr>
        <sz val="11"/>
        <color theme="1"/>
        <rFont val="Noto Sans CJK SC"/>
        <family val="2"/>
      </rPr>
      <t xml:space="preserve">玩股網（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年，本模型以頁面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月收盤與近四季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</si>
  <si>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</si>
  <si>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</si>
  <si>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</si>
  <si>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</si>
  <si>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</si>
  <si>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</si>
  <si>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</si>
  <si>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</si>
  <si>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</si>
  <si>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</si>
  <si>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</si>
  <si>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</si>
  <si>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</si>
  <si>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</si>
  <si>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</si>
  <si>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</si>
  <si>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</si>
  <si>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</si>
  <si>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</si>
  <si>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</si>
  <si>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</si>
  <si>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</si>
  <si>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</si>
  <si>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</si>
  <si>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</si>
  <si>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</si>
  <si>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</si>
  <si>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</si>
  <si>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</si>
  <si>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</si>
  <si>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</si>
  <si>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</si>
  <si>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</si>
  <si>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</si>
  <si>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</si>
  <si>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</si>
  <si>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</si>
  <si>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</si>
  <si>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</si>
  <si>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</si>
  <si>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</si>
  <si>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旺矽</t>
  </si>
  <si>
    <t xml:space="preserve">6223.TWO</t>
  </si>
  <si>
    <t xml:space="preserve">本公司</t>
  </si>
  <si>
    <t xml:space="preserve">未找到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</si>
  <si>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</si>
  <si>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FORM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</si>
  <si>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</si>
  <si>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</si>
  <si>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</si>
  <si>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</si>
  <si>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</si>
  <si>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</si>
  <si>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</si>
  <si>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</si>
  <si>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</si>
  <si>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</si>
  <si>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</si>
  <si>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</si>
  <si>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</si>
  <si>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</si>
  <si>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</si>
  <si>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</si>
  <si>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</si>
  <si>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公司指引、券商預估與市場口徑。只作事後對照，不為對上數字而調參數。賣方共識未找到，以法人（財訊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轉述）與 </t>
    </r>
    <r>
      <rPr>
        <sz val="11"/>
        <color theme="1"/>
        <rFont val="Calibri"/>
        <family val="2"/>
        <charset val="1"/>
      </rPr>
      <t xml:space="preserve">ALETHEIA</t>
    </r>
    <r>
      <rPr>
        <sz val="11"/>
        <color theme="1"/>
        <rFont val="Noto Sans CJK SC"/>
        <family val="2"/>
      </rPr>
      <t xml:space="preserve">（單一券商）對照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</si>
  <si>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</si>
  <si>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</si>
  <si>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</si>
  <si>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</si>
  <si>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</si>
  <si>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</si>
  <si>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</si>
  <si>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</si>
  <si>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公司指引與券商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</si>
  <si>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</si>
  <si>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法說（口袋學堂）：</t>
    </r>
    <r>
      <rPr>
        <sz val="11"/>
        <color theme="1"/>
        <rFont val="Calibri"/>
        <family val="2"/>
        <charset val="1"/>
      </rPr>
      <t xml:space="preserve">0–5%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</si>
  <si>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月法說曾為 </t>
    </r>
    <r>
      <rPr>
        <sz val="11"/>
        <color theme="1"/>
        <rFont val="Calibri"/>
        <family val="2"/>
        <charset val="1"/>
      </rPr>
      <t xml:space="preserve">+10–15%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</si>
  <si>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券商區間中點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</si>
  <si>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20.38–23.80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</si>
  <si>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法人</t>
    </r>
  </si>
  <si>
    <r>
      <rPr>
        <sz val="11"/>
        <color theme="1"/>
        <rFont val="Noto Sans CJK SC"/>
        <family val="2"/>
      </rPr>
      <t xml:space="preserve">財訊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</si>
  <si>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Noto Sans CJK SC"/>
        <family val="2"/>
      </rPr>
      <t xml:space="preserve">口袋學堂：券商 </t>
    </r>
    <r>
      <rPr>
        <sz val="11"/>
        <color theme="1"/>
        <rFont val="Calibri"/>
        <family val="2"/>
        <charset val="1"/>
      </rPr>
      <t xml:space="preserve">60.89–70.84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</si>
  <si>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</t>
    </r>
  </si>
  <si>
    <t xml:space="preserve">FY2027 EPS vs ALETHEIA</t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</si>
  <si>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2026-06-13</t>
    </r>
  </si>
  <si>
    <r>
      <rPr>
        <sz val="11"/>
        <color theme="1"/>
        <rFont val="Noto Sans CJK SC"/>
        <family val="2"/>
      </rPr>
      <t xml:space="preserve">看多券商；差距超過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說明</t>
    </r>
  </si>
  <si>
    <t xml:space="preserve">FY2028 EPS vs ALETHEIA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</si>
  <si>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晶圓測試量與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測試機市場（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</si>
  <si>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探針卡年增 </t>
    </r>
    <r>
      <rPr>
        <sz val="11"/>
        <color theme="1"/>
        <rFont val="Calibri"/>
        <family val="2"/>
        <charset val="1"/>
      </rPr>
      <t xml:space="preserve">vs SoC </t>
    </r>
    <r>
      <rPr>
        <sz val="11"/>
        <color theme="1"/>
        <rFont val="Noto Sans CJK SC"/>
        <family val="2"/>
      </rPr>
      <t xml:space="preserve">測試機市場年增（同字母情境，百分點）</t>
    </r>
  </si>
  <si>
    <r>
      <rPr>
        <sz val="11"/>
        <color theme="1"/>
        <rFont val="Calibri"/>
        <family val="2"/>
        <charset val="1"/>
      </rPr>
      <t xml:space="preserve">Siliconomics SIF_TestSoCMkt_A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</si>
  <si>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正值＝探針卡成長快於測試機市場</t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</si>
  <si>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探針卡年增 </t>
    </r>
    <r>
      <rPr>
        <sz val="11"/>
        <color theme="1"/>
        <rFont val="Calibri"/>
        <family val="2"/>
        <charset val="1"/>
      </rPr>
      <t xml:space="preserve">vs SoC </t>
    </r>
    <r>
      <rPr>
        <sz val="11"/>
        <color theme="1"/>
        <rFont val="Noto Sans CJK SC"/>
        <family val="2"/>
      </rPr>
      <t xml:space="preserve">測試機市場年增（同字母情境，百分點）</t>
    </r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</si>
  <si>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探針卡年增 </t>
    </r>
    <r>
      <rPr>
        <sz val="11"/>
        <color theme="1"/>
        <rFont val="Calibri"/>
        <family val="2"/>
        <charset val="1"/>
      </rPr>
      <t xml:space="preserve">vs SoC </t>
    </r>
    <r>
      <rPr>
        <sz val="11"/>
        <color theme="1"/>
        <rFont val="Noto Sans CJK SC"/>
        <family val="2"/>
      </rPr>
      <t xml:space="preserve">測試機市場年增（同字母情境，百分點）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</si>
  <si>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每顆加速器的旺矽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探針卡營收（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</si>
  <si>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對照：京元電每顆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等值測試營收 </t>
    </r>
    <r>
      <rPr>
        <sz val="11"/>
        <color theme="1"/>
        <rFont val="Calibri"/>
        <family val="2"/>
        <charset val="1"/>
      </rPr>
      <t xml:space="preserve">US$46.9</t>
    </r>
    <r>
      <rPr>
        <sz val="11"/>
        <color theme="1"/>
        <rFont val="Noto Sans CJK SC"/>
        <family val="2"/>
      </rPr>
      <t xml:space="preserve">（京元電模型）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</si>
  <si>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</si>
  <si>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產能增幅不低於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的約五成）</t>
    </r>
  </si>
  <si>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VPC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萬針、</t>
    </r>
    <r>
      <rPr>
        <sz val="11"/>
        <color theme="1"/>
        <rFont val="Calibri"/>
        <family val="2"/>
        <charset val="1"/>
      </rPr>
      <t xml:space="preserve">MEMS 350 </t>
    </r>
    <r>
      <rPr>
        <sz val="11"/>
        <color theme="1"/>
        <rFont val="Noto Sans CJK SC"/>
        <family val="2"/>
      </rPr>
      <t xml:space="preserve">萬針（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</si>
  <si>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比值高於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表示需要比公司計畫更多的產能或漲價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</si>
  <si>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一次動一個輸入（三情境同時重算，再依情境權重求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）與加權目標價的影響。每個案例的三情境推導區塊在本頁下方</t>
    </r>
  </si>
  <si>
    <r>
      <rPr>
        <sz val="11"/>
        <color theme="1"/>
        <rFont val="Noto Sans CJK SC"/>
        <family val="2"/>
      </rPr>
      <t xml:space="preserve">註：情境專屬列（份額與價格相對值、毛利率、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滲透率、設備情境係數、顆數係數）不給敏感度區間，差異見情境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ai_sh26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占探針卡）改的是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錨點拆分，案例區塊以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低／高占比重算拆分（錨點合計不變）；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欄已乘相對倍數調整係數（</t>
    </r>
    <r>
      <rPr>
        <sz val="11"/>
        <color theme="1"/>
        <rFont val="Calibri"/>
        <family val="2"/>
        <charset val="1"/>
      </rPr>
      <t xml:space="preserve">rm_factor</t>
    </r>
    <r>
      <rPr>
        <sz val="11"/>
        <color theme="1"/>
        <rFont val="Noto Sans CJK SC"/>
        <family val="2"/>
      </rPr>
      <t xml:space="preserve">）。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</si>
  <si>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</si>
  <si>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</si>
  <si>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</si>
  <si>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</si>
  <si>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）相對基準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</si>
  <si>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</si>
  <si>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</si>
  <si>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</si>
  <si>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加權目標價相對基準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</si>
  <si>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三情境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</si>
  <si>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</si>
  <si>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t xml:space="preserve">mf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</si>
  <si>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（三情境）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</si>
  <si>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</si>
  <si>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</si>
  <si>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曝險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</si>
  <si>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</si>
  <si>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曝險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</si>
  <si>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占探針卡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</si>
  <si>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校準；基準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</si>
  <si>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占探針卡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</si>
  <si>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每顆內容年增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</si>
  <si>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</si>
  <si>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每顆內容年增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</si>
  <si>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</si>
  <si>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Siliconomics ts_g_nonai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</si>
  <si>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</si>
  <si>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</si>
  <si>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其他探針卡超額成長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</si>
  <si>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</si>
  <si>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其他探針卡超額成長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</si>
  <si>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</si>
  <si>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</si>
  <si>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2.0</t>
    </r>
  </si>
  <si>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</si>
  <si>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</si>
  <si>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</si>
  <si>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</si>
  <si>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</si>
  <si>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</si>
  <si>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</si>
  <si>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</si>
  <si>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</si>
  <si>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</si>
  <si>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</si>
  <si>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</si>
  <si>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</si>
  <si>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</si>
  <si>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</si>
  <si>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</si>
  <si>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</si>
  <si>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</si>
  <si>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</si>
  <si>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</si>
  <si>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</si>
  <si>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全權重</t>
    </r>
  </si>
  <si>
    <r>
      <rPr>
        <sz val="11"/>
        <color theme="1"/>
        <rFont val="Noto Sans CJK SC"/>
        <family val="2"/>
      </rPr>
      <t xml:space="preserve">只看情境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</si>
  <si>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全權重</t>
    </r>
  </si>
  <si>
    <r>
      <rPr>
        <sz val="11"/>
        <color theme="1"/>
        <rFont val="Noto Sans CJK SC"/>
        <family val="2"/>
      </rPr>
      <t xml:space="preserve">只看情境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</si>
  <si>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只差份額與價格相對值、毛利率與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探針卡約占營收四成五，晶圓測試量指數（顆數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測試時間）與毛利率是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最敏感的兩項；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曝險越低，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世代測試時間加長的好處越少。</t>
    </r>
  </si>
  <si>
    <t xml:space="preserve">敏感度「逐案推導區塊」（以下每案三個情境各一區塊；不是案例列）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</si>
  <si>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</si>
  <si>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</si>
  <si>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</si>
  <si>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</si>
  <si>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</si>
  <si>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</si>
  <si>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</si>
  <si>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</si>
  <si>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</si>
  <si>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</si>
  <si>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</si>
  <si>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</si>
  <si>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</si>
  <si>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</si>
  <si>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</si>
  <si>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</si>
  <si>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</si>
  <si>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占探針卡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</si>
  <si>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案例區塊：每顆內容年增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</si>
  <si>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案例區塊：每顆內容年增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</si>
  <si>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案例區塊：每顆內容年增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</si>
  <si>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案例區塊：每顆內容年增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</si>
  <si>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案例區塊：每顆內容年增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</si>
  <si>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案例區塊：每顆內容年增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</si>
  <si>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</si>
  <si>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</si>
  <si>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</si>
  <si>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</si>
  <si>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</si>
  <si>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</si>
  <si>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案例區塊：其他探針卡超額成長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</si>
  <si>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案例區塊：其他探針卡超額成長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</si>
  <si>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案例區塊：其他探針卡超額成長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</si>
  <si>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案例區塊：其他探針卡超額成長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</si>
  <si>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案例區塊：其他探針卡超額成長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</si>
  <si>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案例區塊：其他探針卡超額成長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</si>
  <si>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測試設備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</si>
  <si>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測試設備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</si>
  <si>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測試設備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</si>
  <si>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測試設備 </t>
    </r>
    <r>
      <rPr>
        <b val="true"/>
        <sz val="11"/>
        <rFont val="Cambria"/>
        <family val="0"/>
        <charset val="1"/>
      </rPr>
      <t xml:space="preserve">2.0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</si>
  <si>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測試設備 </t>
    </r>
    <r>
      <rPr>
        <b val="true"/>
        <sz val="11"/>
        <rFont val="Cambria"/>
        <family val="0"/>
        <charset val="1"/>
      </rPr>
      <t xml:space="preserve">2.0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</si>
  <si>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測試設備 </t>
    </r>
    <r>
      <rPr>
        <b val="true"/>
        <sz val="11"/>
        <rFont val="Cambria"/>
        <family val="0"/>
        <charset val="1"/>
      </rPr>
      <t xml:space="preserve">2.0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</si>
  <si>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</si>
  <si>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</si>
  <si>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</si>
  <si>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</si>
  <si>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</si>
  <si>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</si>
  <si>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</si>
  <si>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</si>
  <si>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</si>
  <si>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</si>
  <si>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</si>
  <si>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</si>
  <si>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</si>
  <si>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</si>
  <si>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</si>
  <si>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</si>
  <si>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</si>
  <si>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</si>
  <si>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來源（公司月營收與法說為公司原文或摘要；券商、媒體與資料商皆為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</si>
  <si>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法說（富果；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損益、事業別、產能、資本支出、季度指引）</t>
    </r>
  </si>
  <si>
    <t xml:space="preserve">https://blog.fugle.tw/post/earnings-call-6223-2026-05-15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</si>
  <si>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法說（富果；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、事業別、每股淨值）</t>
    </r>
  </si>
  <si>
    <t xml:space="preserve">https://blog.fugle.tw/post/earnings-call-6223-2026-03-03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</si>
  <si>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財報與法說（口袋學堂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損益、事業別、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指引、券商區間）</t>
    </r>
  </si>
  <si>
    <t xml:space="preserve">https://www.pocket.tw/school/articles/6433/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</si>
  <si>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月營收（科技新報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150.68 </t>
    </r>
    <r>
      <rPr>
        <sz val="11"/>
        <color theme="1"/>
        <rFont val="Noto Sans CJK SC"/>
        <family val="2"/>
      </rPr>
      <t xml:space="preserve">億元）</t>
    </r>
  </si>
  <si>
    <t xml:space="preserve">https://finance.technews.tw/2026/10/08/mpi-6223-202609-financial-report/</t>
  </si>
  <si>
    <r>
      <rPr>
        <sz val="11"/>
        <color theme="1"/>
        <rFont val="Noto Sans CJK SC"/>
        <family val="2"/>
      </rPr>
      <t xml:space="preserve">媒體：財訊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（客戶、份額傳聞、產能、高盛毛利率、法人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</si>
  <si>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https://www.moneyweekly.com.tw/_Article?AID=254951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</si>
  <si>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測試設備、</t>
    </r>
    <r>
      <rPr>
        <sz val="11"/>
        <color theme="1"/>
        <rFont val="Calibri"/>
        <family val="2"/>
        <charset val="1"/>
      </rPr>
      <t xml:space="preserve">Insertion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展望）</t>
    </r>
  </si>
  <si>
    <t xml:space="preserve">https://money.udn.com/money/amp/story/5607/9703462</t>
  </si>
  <si>
    <r>
      <rPr>
        <sz val="11"/>
        <color theme="1"/>
        <rFont val="Noto Sans CJK SC"/>
        <family val="2"/>
      </rPr>
      <t xml:space="preserve">媒體：數位時代 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ALETHEIA </t>
    </r>
    <r>
      <rPr>
        <sz val="11"/>
        <color theme="1"/>
        <rFont val="Noto Sans CJK SC"/>
        <family val="2"/>
      </rPr>
      <t xml:space="preserve">目標價與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探針卡市場、擴產倍數）</t>
    </r>
  </si>
  <si>
    <t xml:space="preserve">https://www.bnext.com.tw/article/91242/mpi-probe-card-ten-thousand</t>
  </si>
  <si>
    <r>
      <rPr>
        <sz val="11"/>
        <color theme="1"/>
        <rFont val="Noto Sans CJK SC"/>
        <family val="2"/>
      </rPr>
      <t xml:space="preserve">價格：富邦證券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點通 </t>
    </r>
    <r>
      <rPr>
        <sz val="11"/>
        <color theme="1"/>
        <rFont val="Calibri"/>
        <family val="2"/>
        <charset val="1"/>
      </rPr>
      <t xml:space="preserve">6223 </t>
    </r>
    <r>
      <rPr>
        <sz val="11"/>
        <color theme="1"/>
        <rFont val="Noto Sans CJK SC"/>
        <family val="2"/>
      </rPr>
      <t xml:space="preserve">日線（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4,610.00</t>
    </r>
    <r>
      <rPr>
        <sz val="11"/>
        <color theme="1"/>
        <rFont val="Noto Sans CJK SC"/>
        <family val="2"/>
      </rPr>
      <t xml:space="preserve">）</t>
    </r>
  </si>
  <si>
    <t xml:space="preserve">https://fubon-ebrokerdj.fbs.com.tw/Z/ZC/ZCX/ZCX_6223.djhtm</t>
  </si>
  <si>
    <r>
      <rPr>
        <sz val="11"/>
        <color theme="1"/>
        <rFont val="Noto Sans CJK SC"/>
        <family val="2"/>
      </rPr>
      <t xml:space="preserve">資料商：玩股網本益比河流圖（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月收盤與近四季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</si>
  <si>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https://www.wantgoo.com/stock/6223/enterprise-value/price-to-earning-river</t>
  </si>
  <si>
    <r>
      <rPr>
        <sz val="11"/>
        <color theme="1"/>
        <rFont val="Noto Sans CJK SC"/>
        <family val="2"/>
      </rPr>
      <t xml:space="preserve">行業層：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20261031_Siliconomics_v0.10.xlsx</t>
    </r>
    <r>
      <rPr>
        <sz val="11"/>
        <color theme="1"/>
        <rFont val="Noto Sans CJK SC"/>
        <family val="2"/>
      </rPr>
      <t xml:space="preserve">）（加速器顆數、情境係數、每顆測試時間係數、非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成長、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測試設備、設備情境係數、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</si>
  <si>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t xml:space="preserve">siliconomics/data/siliconomics_snapshot_v0.10.json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</si>
  <si>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營業利益與年報營運部門；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營收占比；</t>
    </r>
    <r>
      <rPr>
        <sz val="11"/>
        <color theme="1"/>
        <rFont val="Calibri"/>
        <family val="2"/>
        <charset val="1"/>
      </rPr>
      <t xml:space="preserve">VPC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MEMS </t>
    </r>
    <r>
      <rPr>
        <sz val="11"/>
        <color theme="1"/>
        <rFont val="Noto Sans CJK SC"/>
        <family val="2"/>
      </rPr>
      <t xml:space="preserve">份額；賣方共識與平均目標價；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</si>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</sst>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0"/>
    <numFmt numFmtId="169" formatCode="#,##0.00"/>
    <numFmt numFmtId="170" formatCode="0.00"/>
    <numFmt numFmtId="171" formatCode="0.0%"/>
    <numFmt numFmtId="172" formatCode="#,##0"/>
    <numFmt numFmtId="173" formatCode="0.0000"/>
    <numFmt numFmtId="174" formatCode="0.0"/>
    <numFmt numFmtId="175" formatCode="@"/>
    <numFmt numFmtId="176" formatCode="0%"/>
    <numFmt numFmtId="177" formatCode="#,##0.0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"&amp;TEXT(px,"0.00")&amp;"（2026-10-30）"&amp;IF(Val!$B$42&gt;=0,"高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</f>
        <v>重點觀察 1：目標價 NT$2641.37（DCF 1994.80、Comparable（相對倍數調整後）3287.93；DCF 權重 50%），比現價 4610.00（2026-10-30）低 42.7%，級距 −25%～−50%、投資建議 放空。相對倍數調整係數 1.00（本公司 10 年前瞻倍數中位數 ÷ 同業的中位數，夾在 0.5–2.0；Val 第 0.5 節），調整前加權上檔空間 −42.7%；Comparable 單獨（市場主流同業法、未調整）為 −28.7%。</v>
      </c>
    </row>
    <row r="21" customFormat="false" ht="17.15" hidden="false" customHeight="false" outlineLevel="0" collapsed="false">
      <c r="A21" s="4" t="s">
        <v>14</v>
      </c>
    </row>
    <row r="22" customFormat="false" ht="17.15" hidden="false" customHeight="false" outlineLevel="0" collapsed="false">
      <c r="A22" s="4" t="s">
        <v>15</v>
      </c>
    </row>
    <row r="24" customFormat="false" ht="17.15" hidden="false" customHeight="false" outlineLevel="0" collapsed="false">
      <c r="A24" s="4" t="s">
        <v>16</v>
      </c>
    </row>
    <row r="26" customFormat="false" ht="17.15" hidden="false" customHeight="false" outlineLevel="0" collapsed="false">
      <c r="A26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15.2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4" t="s">
        <v>32</v>
      </c>
      <c r="E6" s="7" t="n">
        <v>23.7</v>
      </c>
      <c r="G6" s="8" t="s">
        <v>33</v>
      </c>
      <c r="H6" s="4" t="s">
        <v>38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4" t="s">
        <v>32</v>
      </c>
      <c r="E7" s="7" t="n">
        <v>26.5</v>
      </c>
      <c r="G7" s="8" t="s">
        <v>33</v>
      </c>
      <c r="H7" s="4" t="s">
        <v>38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4" t="s">
        <v>32</v>
      </c>
      <c r="E8" s="7" t="n">
        <v>30.15</v>
      </c>
      <c r="G8" s="8" t="s">
        <v>33</v>
      </c>
      <c r="H8" s="4" t="s">
        <v>38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45</v>
      </c>
      <c r="E9" s="7" t="n">
        <v>1</v>
      </c>
      <c r="G9" s="8" t="s">
        <v>46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4" t="s">
        <v>50</v>
      </c>
      <c r="C10" s="0" t="s">
        <v>45</v>
      </c>
      <c r="E10" s="7" t="n">
        <v>1</v>
      </c>
      <c r="G10" s="8" t="s">
        <v>46</v>
      </c>
      <c r="H10" s="8" t="s">
        <v>51</v>
      </c>
      <c r="I10" s="4" t="s">
        <v>38</v>
      </c>
    </row>
    <row r="11" customFormat="false" ht="17.15" hidden="false" customHeight="false" outlineLevel="0" collapsed="false">
      <c r="A11" s="0" t="s">
        <v>52</v>
      </c>
      <c r="B11" s="4" t="s">
        <v>53</v>
      </c>
      <c r="C11" s="0" t="s">
        <v>45</v>
      </c>
      <c r="E11" s="7" t="n">
        <v>0.8</v>
      </c>
      <c r="G11" s="8" t="s">
        <v>46</v>
      </c>
      <c r="H11" s="8" t="s">
        <v>54</v>
      </c>
      <c r="I11" s="4" t="s">
        <v>38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0" t="s">
        <v>45</v>
      </c>
      <c r="E12" s="7" t="n">
        <v>0.85</v>
      </c>
      <c r="G12" s="8" t="s">
        <v>46</v>
      </c>
      <c r="H12" s="8" t="s">
        <v>57</v>
      </c>
      <c r="I12" s="4" t="s">
        <v>38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0" t="s">
        <v>45</v>
      </c>
      <c r="E13" s="7" t="n">
        <v>0.6</v>
      </c>
      <c r="G13" s="8" t="s">
        <v>46</v>
      </c>
      <c r="H13" s="8" t="s">
        <v>60</v>
      </c>
      <c r="I13" s="4" t="s">
        <v>38</v>
      </c>
    </row>
    <row r="14" customFormat="false" ht="17.15" hidden="false" customHeight="false" outlineLevel="0" collapsed="false">
      <c r="A14" s="0" t="s">
        <v>61</v>
      </c>
      <c r="B14" s="4" t="s">
        <v>62</v>
      </c>
      <c r="C14" s="0" t="s">
        <v>45</v>
      </c>
      <c r="E14" s="7" t="n">
        <v>0.6</v>
      </c>
      <c r="G14" s="8" t="s">
        <v>46</v>
      </c>
      <c r="H14" s="8" t="s">
        <v>63</v>
      </c>
      <c r="I14" s="4" t="s">
        <v>38</v>
      </c>
    </row>
    <row r="15" customFormat="false" ht="17.15" hidden="false" customHeight="false" outlineLevel="0" collapsed="false">
      <c r="A15" s="0" t="s">
        <v>64</v>
      </c>
      <c r="B15" s="0" t="s">
        <v>65</v>
      </c>
      <c r="C15" s="0" t="s">
        <v>45</v>
      </c>
      <c r="E15" s="7" t="n">
        <v>0.520395</v>
      </c>
      <c r="G15" s="8" t="s">
        <v>33</v>
      </c>
      <c r="H15" s="8" t="s">
        <v>66</v>
      </c>
      <c r="I15" s="4" t="s">
        <v>67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45</v>
      </c>
      <c r="E16" s="7" t="n">
        <v>0.399836</v>
      </c>
      <c r="G16" s="8" t="s">
        <v>33</v>
      </c>
      <c r="H16" s="8" t="s">
        <v>70</v>
      </c>
      <c r="I16" s="4" t="s">
        <v>71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0" t="s">
        <v>45</v>
      </c>
      <c r="E17" s="7" t="n">
        <v>0.506751</v>
      </c>
      <c r="G17" s="8" t="s">
        <v>33</v>
      </c>
      <c r="H17" s="4" t="s">
        <v>38</v>
      </c>
      <c r="I17" s="4" t="s">
        <v>38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0" t="s">
        <v>45</v>
      </c>
      <c r="E18" s="7" t="n">
        <v>0.453376</v>
      </c>
      <c r="G18" s="8" t="s">
        <v>33</v>
      </c>
      <c r="H18" s="4" t="s">
        <v>38</v>
      </c>
      <c r="I18" s="4" t="s">
        <v>38</v>
      </c>
    </row>
    <row r="19" customFormat="false" ht="17.15" hidden="false" customHeight="false" outlineLevel="0" collapsed="false">
      <c r="A19" s="0" t="s">
        <v>76</v>
      </c>
      <c r="B19" s="0" t="s">
        <v>77</v>
      </c>
      <c r="C19" s="0" t="s">
        <v>45</v>
      </c>
      <c r="E19" s="7" t="n">
        <v>0.490566</v>
      </c>
      <c r="G19" s="8" t="s">
        <v>33</v>
      </c>
      <c r="H19" s="4" t="s">
        <v>38</v>
      </c>
      <c r="I19" s="4" t="s">
        <v>38</v>
      </c>
    </row>
    <row r="20" customFormat="false" ht="17.15" hidden="false" customHeight="false" outlineLevel="0" collapsed="false">
      <c r="A20" s="0" t="s">
        <v>78</v>
      </c>
      <c r="B20" s="0" t="s">
        <v>79</v>
      </c>
      <c r="C20" s="0" t="s">
        <v>45</v>
      </c>
      <c r="E20" s="7" t="n">
        <v>0.493585</v>
      </c>
      <c r="G20" s="8" t="s">
        <v>33</v>
      </c>
      <c r="H20" s="4" t="s">
        <v>38</v>
      </c>
      <c r="I20" s="4" t="s">
        <v>38</v>
      </c>
    </row>
    <row r="21" customFormat="false" ht="17.15" hidden="false" customHeight="false" outlineLevel="0" collapsed="false">
      <c r="A21" s="0" t="s">
        <v>80</v>
      </c>
      <c r="B21" s="0" t="s">
        <v>81</v>
      </c>
      <c r="C21" s="0" t="s">
        <v>45</v>
      </c>
      <c r="E21" s="7" t="n">
        <v>0.485075</v>
      </c>
      <c r="G21" s="8" t="s">
        <v>33</v>
      </c>
      <c r="H21" s="4" t="s">
        <v>38</v>
      </c>
      <c r="I21" s="4" t="s">
        <v>38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0" t="s">
        <v>45</v>
      </c>
      <c r="E22" s="7" t="n">
        <v>0.498905</v>
      </c>
      <c r="G22" s="8" t="s">
        <v>33</v>
      </c>
      <c r="H22" s="4" t="s">
        <v>38</v>
      </c>
      <c r="I22" s="4" t="s">
        <v>38</v>
      </c>
    </row>
    <row r="23" customFormat="false" ht="17.15" hidden="false" customHeight="false" outlineLevel="0" collapsed="false">
      <c r="A23" s="0" t="s">
        <v>84</v>
      </c>
      <c r="B23" s="4" t="s">
        <v>85</v>
      </c>
      <c r="C23" s="0" t="s">
        <v>45</v>
      </c>
      <c r="D23" s="7" t="n">
        <v>0.2</v>
      </c>
      <c r="E23" s="7" t="n">
        <v>0.4</v>
      </c>
      <c r="F23" s="7" t="n">
        <v>0.7</v>
      </c>
      <c r="G23" s="8" t="s">
        <v>46</v>
      </c>
      <c r="H23" s="4" t="s">
        <v>86</v>
      </c>
      <c r="I23" s="8" t="s">
        <v>87</v>
      </c>
    </row>
    <row r="24" customFormat="false" ht="17.15" hidden="false" customHeight="false" outlineLevel="0" collapsed="false">
      <c r="A24" s="0" t="s">
        <v>88</v>
      </c>
      <c r="B24" s="4" t="s">
        <v>89</v>
      </c>
      <c r="C24" s="0" t="s">
        <v>90</v>
      </c>
      <c r="D24" s="7" t="n">
        <v>0</v>
      </c>
      <c r="E24" s="7" t="n">
        <v>0.04</v>
      </c>
      <c r="F24" s="7" t="n">
        <v>0.08</v>
      </c>
      <c r="G24" s="8" t="s">
        <v>46</v>
      </c>
      <c r="H24" s="8" t="s">
        <v>91</v>
      </c>
      <c r="I24" s="4" t="s">
        <v>92</v>
      </c>
    </row>
    <row r="25" customFormat="false" ht="17.15" hidden="false" customHeight="false" outlineLevel="0" collapsed="false">
      <c r="A25" s="0" t="s">
        <v>93</v>
      </c>
      <c r="B25" s="4" t="s">
        <v>94</v>
      </c>
      <c r="C25" s="0" t="s">
        <v>90</v>
      </c>
      <c r="E25" s="7" t="n">
        <v>0.05</v>
      </c>
      <c r="G25" s="8" t="s">
        <v>46</v>
      </c>
      <c r="H25" s="8" t="s">
        <v>95</v>
      </c>
      <c r="I25" s="4" t="s">
        <v>96</v>
      </c>
    </row>
    <row r="26" customFormat="false" ht="17.15" hidden="false" customHeight="false" outlineLevel="0" collapsed="false">
      <c r="A26" s="0" t="s">
        <v>97</v>
      </c>
      <c r="B26" s="4" t="s">
        <v>98</v>
      </c>
      <c r="C26" s="0" t="s">
        <v>90</v>
      </c>
      <c r="E26" s="7" t="n">
        <v>0.1</v>
      </c>
      <c r="G26" s="8" t="s">
        <v>46</v>
      </c>
      <c r="H26" s="8" t="s">
        <v>99</v>
      </c>
      <c r="I26" s="4" t="s">
        <v>38</v>
      </c>
    </row>
    <row r="27" customFormat="false" ht="17.15" hidden="false" customHeight="false" outlineLevel="0" collapsed="false">
      <c r="A27" s="0" t="s">
        <v>100</v>
      </c>
      <c r="B27" s="4" t="s">
        <v>101</v>
      </c>
      <c r="C27" s="0" t="s">
        <v>90</v>
      </c>
      <c r="E27" s="7" t="n">
        <v>0.16</v>
      </c>
      <c r="G27" s="8" t="s">
        <v>46</v>
      </c>
      <c r="H27" s="8" t="s">
        <v>102</v>
      </c>
      <c r="I27" s="4" t="s">
        <v>38</v>
      </c>
    </row>
    <row r="28" customFormat="false" ht="17.15" hidden="false" customHeight="false" outlineLevel="0" collapsed="false">
      <c r="A28" s="0" t="s">
        <v>103</v>
      </c>
      <c r="B28" s="4" t="s">
        <v>104</v>
      </c>
      <c r="C28" s="0" t="s">
        <v>90</v>
      </c>
      <c r="E28" s="7" t="n">
        <v>0.03</v>
      </c>
      <c r="G28" s="8" t="s">
        <v>46</v>
      </c>
      <c r="H28" s="8" t="s">
        <v>105</v>
      </c>
      <c r="I28" s="4" t="s">
        <v>38</v>
      </c>
    </row>
    <row r="29" customFormat="false" ht="17.15" hidden="false" customHeight="false" outlineLevel="0" collapsed="false">
      <c r="A29" s="0" t="s">
        <v>106</v>
      </c>
      <c r="B29" s="4" t="s">
        <v>107</v>
      </c>
      <c r="C29" s="0" t="s">
        <v>90</v>
      </c>
      <c r="E29" s="7" t="n">
        <v>0.05</v>
      </c>
      <c r="G29" s="8" t="s">
        <v>46</v>
      </c>
      <c r="H29" s="8" t="s">
        <v>108</v>
      </c>
      <c r="I29" s="4" t="s">
        <v>38</v>
      </c>
    </row>
    <row r="30" customFormat="false" ht="17.15" hidden="false" customHeight="false" outlineLevel="0" collapsed="false">
      <c r="A30" s="0" t="s">
        <v>109</v>
      </c>
      <c r="B30" s="4" t="s">
        <v>110</v>
      </c>
      <c r="C30" s="0" t="s">
        <v>90</v>
      </c>
      <c r="E30" s="7" t="n">
        <v>0.08</v>
      </c>
      <c r="G30" s="8" t="s">
        <v>46</v>
      </c>
      <c r="H30" s="8" t="s">
        <v>111</v>
      </c>
      <c r="I30" s="4" t="s">
        <v>38</v>
      </c>
    </row>
    <row r="31" customFormat="false" ht="17.15" hidden="false" customHeight="false" outlineLevel="0" collapsed="false">
      <c r="A31" s="0" t="s">
        <v>112</v>
      </c>
      <c r="B31" s="4" t="s">
        <v>113</v>
      </c>
      <c r="C31" s="0" t="s">
        <v>90</v>
      </c>
      <c r="E31" s="7" t="n">
        <v>0.02</v>
      </c>
      <c r="G31" s="8" t="s">
        <v>46</v>
      </c>
      <c r="H31" s="8" t="s">
        <v>114</v>
      </c>
      <c r="I31" s="4" t="s">
        <v>38</v>
      </c>
    </row>
    <row r="32" customFormat="false" ht="17.15" hidden="false" customHeight="false" outlineLevel="0" collapsed="false">
      <c r="A32" s="0" t="s">
        <v>115</v>
      </c>
      <c r="B32" s="4" t="s">
        <v>116</v>
      </c>
      <c r="C32" s="0" t="s">
        <v>90</v>
      </c>
      <c r="E32" s="7" t="n">
        <v>0.03</v>
      </c>
      <c r="G32" s="8" t="s">
        <v>46</v>
      </c>
      <c r="H32" s="8" t="s">
        <v>117</v>
      </c>
      <c r="I32" s="4" t="s">
        <v>38</v>
      </c>
    </row>
    <row r="33" customFormat="false" ht="17.15" hidden="false" customHeight="false" outlineLevel="0" collapsed="false">
      <c r="A33" s="0" t="s">
        <v>118</v>
      </c>
      <c r="B33" s="4" t="s">
        <v>119</v>
      </c>
      <c r="C33" s="0" t="s">
        <v>90</v>
      </c>
      <c r="E33" s="7" t="n">
        <v>0.05</v>
      </c>
      <c r="G33" s="8" t="s">
        <v>46</v>
      </c>
      <c r="H33" s="8" t="s">
        <v>120</v>
      </c>
      <c r="I33" s="4" t="s">
        <v>38</v>
      </c>
    </row>
    <row r="34" customFormat="false" ht="17.15" hidden="false" customHeight="false" outlineLevel="0" collapsed="false">
      <c r="A34" s="0" t="s">
        <v>121</v>
      </c>
      <c r="B34" s="4" t="s">
        <v>122</v>
      </c>
      <c r="C34" s="0" t="s">
        <v>90</v>
      </c>
      <c r="E34" s="7" t="n">
        <v>0.01</v>
      </c>
      <c r="G34" s="8" t="s">
        <v>46</v>
      </c>
      <c r="H34" s="8" t="s">
        <v>123</v>
      </c>
      <c r="I34" s="8" t="s">
        <v>124</v>
      </c>
    </row>
    <row r="35" customFormat="false" ht="17.15" hidden="false" customHeight="false" outlineLevel="0" collapsed="false">
      <c r="A35" s="0" t="s">
        <v>125</v>
      </c>
      <c r="B35" s="0" t="s">
        <v>126</v>
      </c>
      <c r="C35" s="0" t="s">
        <v>45</v>
      </c>
      <c r="E35" s="7" t="n">
        <v>1.165966</v>
      </c>
      <c r="G35" s="8" t="s">
        <v>33</v>
      </c>
      <c r="H35" s="8" t="s">
        <v>127</v>
      </c>
      <c r="I35" s="4" t="s">
        <v>128</v>
      </c>
    </row>
    <row r="36" customFormat="false" ht="17.15" hidden="false" customHeight="false" outlineLevel="0" collapsed="false">
      <c r="A36" s="0" t="s">
        <v>129</v>
      </c>
      <c r="B36" s="0" t="s">
        <v>130</v>
      </c>
      <c r="C36" s="0" t="s">
        <v>45</v>
      </c>
      <c r="E36" s="7" t="n">
        <v>1.359477</v>
      </c>
      <c r="G36" s="8" t="s">
        <v>33</v>
      </c>
      <c r="H36" s="4" t="s">
        <v>38</v>
      </c>
      <c r="I36" s="4" t="s">
        <v>38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45</v>
      </c>
      <c r="E37" s="7" t="n">
        <v>1.468235</v>
      </c>
      <c r="G37" s="8" t="s">
        <v>33</v>
      </c>
      <c r="H37" s="4" t="s">
        <v>38</v>
      </c>
      <c r="I37" s="4" t="s">
        <v>38</v>
      </c>
    </row>
    <row r="38" customFormat="false" ht="17.15" hidden="false" customHeight="false" outlineLevel="0" collapsed="false">
      <c r="A38" s="0" t="s">
        <v>133</v>
      </c>
      <c r="B38" s="4" t="s">
        <v>134</v>
      </c>
      <c r="C38" s="0" t="s">
        <v>45</v>
      </c>
      <c r="E38" s="7" t="n">
        <v>1.165966</v>
      </c>
      <c r="G38" s="8" t="s">
        <v>33</v>
      </c>
      <c r="H38" s="8" t="s">
        <v>135</v>
      </c>
      <c r="I38" s="8" t="s">
        <v>124</v>
      </c>
    </row>
    <row r="39" customFormat="false" ht="17.15" hidden="false" customHeight="false" outlineLevel="0" collapsed="false">
      <c r="A39" s="0" t="s">
        <v>136</v>
      </c>
      <c r="B39" s="4" t="s">
        <v>137</v>
      </c>
      <c r="C39" s="0" t="s">
        <v>45</v>
      </c>
      <c r="E39" s="7" t="n">
        <v>1.259243</v>
      </c>
      <c r="G39" s="8" t="s">
        <v>33</v>
      </c>
      <c r="H39" s="8" t="s">
        <v>135</v>
      </c>
      <c r="I39" s="8" t="s">
        <v>124</v>
      </c>
    </row>
    <row r="40" customFormat="false" ht="17.15" hidden="false" customHeight="false" outlineLevel="0" collapsed="false">
      <c r="A40" s="0" t="s">
        <v>138</v>
      </c>
      <c r="B40" s="4" t="s">
        <v>139</v>
      </c>
      <c r="C40" s="0" t="s">
        <v>45</v>
      </c>
      <c r="E40" s="7" t="n">
        <v>1</v>
      </c>
      <c r="G40" s="8" t="s">
        <v>46</v>
      </c>
      <c r="H40" s="8" t="s">
        <v>140</v>
      </c>
      <c r="I40" s="8" t="s">
        <v>124</v>
      </c>
    </row>
    <row r="41" customFormat="false" ht="17.15" hidden="false" customHeight="false" outlineLevel="0" collapsed="false">
      <c r="A41" s="0" t="s">
        <v>141</v>
      </c>
      <c r="B41" s="4" t="s">
        <v>142</v>
      </c>
      <c r="C41" s="0" t="s">
        <v>45</v>
      </c>
      <c r="E41" s="7" t="n">
        <v>0.95</v>
      </c>
      <c r="G41" s="8" t="s">
        <v>46</v>
      </c>
      <c r="H41" s="8" t="s">
        <v>143</v>
      </c>
      <c r="I41" s="8" t="s">
        <v>124</v>
      </c>
    </row>
    <row r="42" customFormat="false" ht="17.15" hidden="false" customHeight="false" outlineLevel="0" collapsed="false">
      <c r="A42" s="0" t="s">
        <v>144</v>
      </c>
      <c r="B42" s="4" t="s">
        <v>145</v>
      </c>
      <c r="C42" s="0" t="s">
        <v>45</v>
      </c>
      <c r="E42" s="7" t="n">
        <v>0.8</v>
      </c>
      <c r="G42" s="8" t="s">
        <v>46</v>
      </c>
      <c r="H42" s="8" t="s">
        <v>146</v>
      </c>
      <c r="I42" s="8" t="s">
        <v>124</v>
      </c>
    </row>
    <row r="43" customFormat="false" ht="17.15" hidden="false" customHeight="false" outlineLevel="0" collapsed="false">
      <c r="A43" s="0" t="s">
        <v>147</v>
      </c>
      <c r="B43" s="4" t="s">
        <v>148</v>
      </c>
      <c r="C43" s="0" t="s">
        <v>45</v>
      </c>
      <c r="E43" s="7" t="n">
        <v>1</v>
      </c>
      <c r="G43" s="8" t="s">
        <v>46</v>
      </c>
      <c r="H43" s="8" t="s">
        <v>149</v>
      </c>
      <c r="I43" s="8" t="s">
        <v>124</v>
      </c>
    </row>
    <row r="44" customFormat="false" ht="17.15" hidden="false" customHeight="false" outlineLevel="0" collapsed="false">
      <c r="A44" s="6" t="s">
        <v>150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0" t="s">
        <v>90</v>
      </c>
      <c r="E45" s="7" t="n">
        <v>0.55</v>
      </c>
      <c r="G45" s="8" t="s">
        <v>46</v>
      </c>
      <c r="H45" s="4" t="s">
        <v>153</v>
      </c>
      <c r="I45" s="8" t="s">
        <v>154</v>
      </c>
    </row>
    <row r="46" customFormat="false" ht="17.15" hidden="false" customHeight="false" outlineLevel="0" collapsed="false">
      <c r="A46" s="0" t="s">
        <v>155</v>
      </c>
      <c r="B46" s="0" t="s">
        <v>156</v>
      </c>
      <c r="C46" s="0" t="s">
        <v>90</v>
      </c>
      <c r="D46" s="7" t="n">
        <v>0.45</v>
      </c>
      <c r="E46" s="7" t="n">
        <v>0.6</v>
      </c>
      <c r="F46" s="7" t="n">
        <v>0.7</v>
      </c>
      <c r="G46" s="8" t="s">
        <v>46</v>
      </c>
      <c r="H46" s="4" t="s">
        <v>157</v>
      </c>
      <c r="I46" s="8" t="s">
        <v>158</v>
      </c>
    </row>
    <row r="47" customFormat="false" ht="17.15" hidden="false" customHeight="false" outlineLevel="0" collapsed="false">
      <c r="A47" s="0" t="s">
        <v>159</v>
      </c>
      <c r="B47" s="4" t="s">
        <v>160</v>
      </c>
      <c r="C47" s="0" t="s">
        <v>45</v>
      </c>
      <c r="E47" s="7" t="n">
        <v>1.05</v>
      </c>
      <c r="G47" s="8" t="s">
        <v>46</v>
      </c>
      <c r="H47" s="4" t="s">
        <v>161</v>
      </c>
      <c r="I47" s="8" t="s">
        <v>162</v>
      </c>
    </row>
    <row r="48" customFormat="false" ht="17.15" hidden="false" customHeight="false" outlineLevel="0" collapsed="false">
      <c r="A48" s="0" t="s">
        <v>163</v>
      </c>
      <c r="B48" s="4" t="s">
        <v>164</v>
      </c>
      <c r="C48" s="0" t="s">
        <v>45</v>
      </c>
      <c r="E48" s="7" t="n">
        <v>1.08</v>
      </c>
      <c r="G48" s="8" t="s">
        <v>46</v>
      </c>
      <c r="H48" s="4" t="s">
        <v>38</v>
      </c>
      <c r="I48" s="4" t="s">
        <v>38</v>
      </c>
    </row>
    <row r="49" customFormat="false" ht="17.15" hidden="false" customHeight="false" outlineLevel="0" collapsed="false">
      <c r="A49" s="0" t="s">
        <v>165</v>
      </c>
      <c r="B49" s="4" t="s">
        <v>166</v>
      </c>
      <c r="C49" s="0" t="s">
        <v>45</v>
      </c>
      <c r="E49" s="7" t="n">
        <v>1.1</v>
      </c>
      <c r="G49" s="8" t="s">
        <v>46</v>
      </c>
      <c r="H49" s="4" t="s">
        <v>38</v>
      </c>
      <c r="I49" s="4" t="s">
        <v>38</v>
      </c>
    </row>
    <row r="50" customFormat="false" ht="17.15" hidden="false" customHeight="false" outlineLevel="0" collapsed="false">
      <c r="A50" s="0" t="s">
        <v>167</v>
      </c>
      <c r="B50" s="4" t="s">
        <v>168</v>
      </c>
      <c r="C50" s="0" t="s">
        <v>45</v>
      </c>
      <c r="E50" s="7" t="n">
        <v>1</v>
      </c>
      <c r="G50" s="8" t="s">
        <v>46</v>
      </c>
      <c r="H50" s="4" t="s">
        <v>38</v>
      </c>
      <c r="I50" s="4" t="s">
        <v>38</v>
      </c>
    </row>
    <row r="51" customFormat="false" ht="17.15" hidden="false" customHeight="false" outlineLevel="0" collapsed="false">
      <c r="A51" s="0" t="s">
        <v>169</v>
      </c>
      <c r="B51" s="4" t="s">
        <v>170</v>
      </c>
      <c r="C51" s="0" t="s">
        <v>45</v>
      </c>
      <c r="E51" s="7" t="n">
        <v>1</v>
      </c>
      <c r="G51" s="8" t="s">
        <v>46</v>
      </c>
      <c r="H51" s="4" t="s">
        <v>38</v>
      </c>
      <c r="I51" s="4" t="s">
        <v>38</v>
      </c>
    </row>
    <row r="52" customFormat="false" ht="17.15" hidden="false" customHeight="false" outlineLevel="0" collapsed="false">
      <c r="A52" s="0" t="s">
        <v>171</v>
      </c>
      <c r="B52" s="4" t="s">
        <v>172</v>
      </c>
      <c r="C52" s="0" t="s">
        <v>45</v>
      </c>
      <c r="E52" s="7" t="n">
        <v>1</v>
      </c>
      <c r="G52" s="8" t="s">
        <v>46</v>
      </c>
      <c r="H52" s="4" t="s">
        <v>38</v>
      </c>
      <c r="I52" s="4" t="s">
        <v>38</v>
      </c>
    </row>
    <row r="53" customFormat="false" ht="17.15" hidden="false" customHeight="false" outlineLevel="0" collapsed="false">
      <c r="A53" s="0" t="s">
        <v>173</v>
      </c>
      <c r="B53" s="4" t="s">
        <v>174</v>
      </c>
      <c r="C53" s="0" t="s">
        <v>45</v>
      </c>
      <c r="E53" s="7" t="n">
        <v>0.92</v>
      </c>
      <c r="G53" s="8" t="s">
        <v>46</v>
      </c>
      <c r="H53" s="4" t="s">
        <v>38</v>
      </c>
      <c r="I53" s="4" t="s">
        <v>38</v>
      </c>
    </row>
    <row r="54" customFormat="false" ht="17.15" hidden="false" customHeight="false" outlineLevel="0" collapsed="false">
      <c r="A54" s="0" t="s">
        <v>175</v>
      </c>
      <c r="B54" s="4" t="s">
        <v>176</v>
      </c>
      <c r="C54" s="0" t="s">
        <v>45</v>
      </c>
      <c r="E54" s="7" t="n">
        <v>0.88</v>
      </c>
      <c r="G54" s="8" t="s">
        <v>46</v>
      </c>
      <c r="H54" s="4" t="s">
        <v>38</v>
      </c>
      <c r="I54" s="4" t="s">
        <v>38</v>
      </c>
    </row>
    <row r="55" customFormat="false" ht="17.15" hidden="false" customHeight="false" outlineLevel="0" collapsed="false">
      <c r="A55" s="0" t="s">
        <v>177</v>
      </c>
      <c r="B55" s="4" t="s">
        <v>178</v>
      </c>
      <c r="C55" s="0" t="s">
        <v>45</v>
      </c>
      <c r="E55" s="7" t="n">
        <v>0.85</v>
      </c>
      <c r="G55" s="8" t="s">
        <v>46</v>
      </c>
      <c r="H55" s="4" t="s">
        <v>38</v>
      </c>
      <c r="I55" s="4" t="s">
        <v>38</v>
      </c>
    </row>
    <row r="56" customFormat="false" ht="17.15" hidden="false" customHeight="false" outlineLevel="0" collapsed="false">
      <c r="A56" s="0" t="s">
        <v>179</v>
      </c>
      <c r="B56" s="4" t="s">
        <v>180</v>
      </c>
      <c r="C56" s="0" t="s">
        <v>90</v>
      </c>
      <c r="D56" s="7" t="n">
        <v>0</v>
      </c>
      <c r="E56" s="7" t="n">
        <v>0.05</v>
      </c>
      <c r="F56" s="7" t="n">
        <v>0.1</v>
      </c>
      <c r="G56" s="8" t="s">
        <v>46</v>
      </c>
      <c r="H56" s="4" t="s">
        <v>181</v>
      </c>
      <c r="I56" s="4" t="s">
        <v>182</v>
      </c>
    </row>
    <row r="57" customFormat="false" ht="17.15" hidden="false" customHeight="false" outlineLevel="0" collapsed="false">
      <c r="A57" s="0" t="s">
        <v>183</v>
      </c>
      <c r="B57" s="4" t="s">
        <v>184</v>
      </c>
      <c r="C57" s="0" t="s">
        <v>90</v>
      </c>
      <c r="D57" s="7" t="n">
        <v>0</v>
      </c>
      <c r="E57" s="7" t="n">
        <v>0.03</v>
      </c>
      <c r="F57" s="7" t="n">
        <v>0.06</v>
      </c>
      <c r="G57" s="8" t="s">
        <v>46</v>
      </c>
      <c r="H57" s="4" t="s">
        <v>185</v>
      </c>
      <c r="I57" s="8" t="s">
        <v>124</v>
      </c>
    </row>
    <row r="58" customFormat="false" ht="17.15" hidden="false" customHeight="false" outlineLevel="0" collapsed="false">
      <c r="A58" s="6" t="s">
        <v>186</v>
      </c>
    </row>
    <row r="59" customFormat="false" ht="17.15" hidden="false" customHeight="false" outlineLevel="0" collapsed="false">
      <c r="A59" s="0" t="s">
        <v>187</v>
      </c>
      <c r="B59" s="0" t="s">
        <v>188</v>
      </c>
      <c r="C59" s="0" t="s">
        <v>189</v>
      </c>
      <c r="D59" s="7" t="n">
        <v>0.5</v>
      </c>
      <c r="E59" s="7" t="n">
        <v>1.2</v>
      </c>
      <c r="F59" s="7" t="n">
        <v>2</v>
      </c>
      <c r="G59" s="8" t="s">
        <v>46</v>
      </c>
      <c r="H59" s="4" t="s">
        <v>190</v>
      </c>
      <c r="I59" s="4" t="s">
        <v>191</v>
      </c>
    </row>
    <row r="60" customFormat="false" ht="17.15" hidden="false" customHeight="false" outlineLevel="0" collapsed="false">
      <c r="A60" s="0" t="s">
        <v>192</v>
      </c>
      <c r="B60" s="4" t="s">
        <v>193</v>
      </c>
      <c r="C60" s="0" t="s">
        <v>90</v>
      </c>
      <c r="E60" s="7" t="n">
        <v>0.05</v>
      </c>
      <c r="G60" s="8" t="s">
        <v>46</v>
      </c>
      <c r="H60" s="4" t="s">
        <v>194</v>
      </c>
      <c r="I60" s="8" t="s">
        <v>124</v>
      </c>
    </row>
    <row r="61" customFormat="false" ht="17.15" hidden="false" customHeight="false" outlineLevel="0" collapsed="false">
      <c r="A61" s="6" t="s">
        <v>195</v>
      </c>
    </row>
    <row r="62" customFormat="false" ht="17.15" hidden="false" customHeight="false" outlineLevel="0" collapsed="false">
      <c r="A62" s="0" t="s">
        <v>196</v>
      </c>
      <c r="B62" s="4" t="s">
        <v>197</v>
      </c>
      <c r="C62" s="0" t="s">
        <v>90</v>
      </c>
      <c r="E62" s="7" t="n">
        <v>0.6</v>
      </c>
      <c r="G62" s="8" t="s">
        <v>46</v>
      </c>
      <c r="H62" s="4" t="s">
        <v>198</v>
      </c>
      <c r="I62" s="8" t="s">
        <v>199</v>
      </c>
    </row>
    <row r="63" customFormat="false" ht="17.15" hidden="false" customHeight="false" outlineLevel="0" collapsed="false">
      <c r="A63" s="0" t="s">
        <v>200</v>
      </c>
      <c r="B63" s="4" t="s">
        <v>201</v>
      </c>
      <c r="C63" s="0" t="s">
        <v>90</v>
      </c>
      <c r="E63" s="7" t="n">
        <v>0.61</v>
      </c>
      <c r="G63" s="8" t="s">
        <v>46</v>
      </c>
      <c r="H63" s="4" t="s">
        <v>38</v>
      </c>
      <c r="I63" s="4" t="s">
        <v>38</v>
      </c>
    </row>
    <row r="64" customFormat="false" ht="17.15" hidden="false" customHeight="false" outlineLevel="0" collapsed="false">
      <c r="A64" s="0" t="s">
        <v>202</v>
      </c>
      <c r="B64" s="4" t="s">
        <v>203</v>
      </c>
      <c r="C64" s="0" t="s">
        <v>90</v>
      </c>
      <c r="E64" s="7" t="n">
        <v>0.595</v>
      </c>
      <c r="G64" s="8" t="s">
        <v>46</v>
      </c>
      <c r="H64" s="4" t="s">
        <v>38</v>
      </c>
      <c r="I64" s="4" t="s">
        <v>38</v>
      </c>
    </row>
    <row r="65" customFormat="false" ht="17.15" hidden="false" customHeight="false" outlineLevel="0" collapsed="false">
      <c r="A65" s="0" t="s">
        <v>204</v>
      </c>
      <c r="B65" s="4" t="s">
        <v>205</v>
      </c>
      <c r="C65" s="0" t="s">
        <v>90</v>
      </c>
      <c r="E65" s="7" t="n">
        <v>0.595</v>
      </c>
      <c r="G65" s="8" t="s">
        <v>46</v>
      </c>
      <c r="H65" s="4" t="s">
        <v>38</v>
      </c>
      <c r="I65" s="4" t="s">
        <v>38</v>
      </c>
    </row>
    <row r="66" customFormat="false" ht="17.15" hidden="false" customHeight="false" outlineLevel="0" collapsed="false">
      <c r="A66" s="0" t="s">
        <v>206</v>
      </c>
      <c r="B66" s="4" t="s">
        <v>207</v>
      </c>
      <c r="C66" s="0" t="s">
        <v>90</v>
      </c>
      <c r="E66" s="7" t="n">
        <v>0.58</v>
      </c>
      <c r="G66" s="8" t="s">
        <v>46</v>
      </c>
      <c r="H66" s="4" t="s">
        <v>38</v>
      </c>
      <c r="I66" s="4" t="s">
        <v>38</v>
      </c>
    </row>
    <row r="67" customFormat="false" ht="17.15" hidden="false" customHeight="false" outlineLevel="0" collapsed="false">
      <c r="A67" s="0" t="s">
        <v>208</v>
      </c>
      <c r="B67" s="4" t="s">
        <v>209</v>
      </c>
      <c r="C67" s="0" t="s">
        <v>90</v>
      </c>
      <c r="E67" s="7" t="n">
        <v>0.565</v>
      </c>
      <c r="G67" s="8" t="s">
        <v>46</v>
      </c>
      <c r="H67" s="4" t="s">
        <v>38</v>
      </c>
      <c r="I67" s="4" t="s">
        <v>38</v>
      </c>
    </row>
    <row r="68" customFormat="false" ht="17.15" hidden="false" customHeight="false" outlineLevel="0" collapsed="false">
      <c r="A68" s="0" t="s">
        <v>210</v>
      </c>
      <c r="B68" s="4" t="s">
        <v>211</v>
      </c>
      <c r="C68" s="0" t="s">
        <v>90</v>
      </c>
      <c r="D68" s="7" t="n">
        <v>-0.02</v>
      </c>
      <c r="E68" s="7" t="n">
        <v>0</v>
      </c>
      <c r="F68" s="7" t="n">
        <v>0.02</v>
      </c>
      <c r="G68" s="8" t="s">
        <v>46</v>
      </c>
      <c r="H68" s="4" t="s">
        <v>212</v>
      </c>
      <c r="I68" s="8" t="s">
        <v>124</v>
      </c>
    </row>
    <row r="69" customFormat="false" ht="17.15" hidden="false" customHeight="false" outlineLevel="0" collapsed="false">
      <c r="A69" s="0" t="s">
        <v>213</v>
      </c>
      <c r="B69" s="4" t="s">
        <v>214</v>
      </c>
      <c r="C69" s="0" t="s">
        <v>45</v>
      </c>
      <c r="D69" s="7" t="n">
        <v>0.4</v>
      </c>
      <c r="E69" s="7" t="n">
        <v>0.6</v>
      </c>
      <c r="F69" s="7" t="n">
        <v>0.9</v>
      </c>
      <c r="G69" s="8" t="s">
        <v>46</v>
      </c>
      <c r="H69" s="8" t="s">
        <v>215</v>
      </c>
      <c r="I69" s="8" t="s">
        <v>124</v>
      </c>
    </row>
    <row r="70" customFormat="false" ht="17.15" hidden="false" customHeight="false" outlineLevel="0" collapsed="false">
      <c r="A70" s="0" t="s">
        <v>216</v>
      </c>
      <c r="B70" s="4" t="s">
        <v>217</v>
      </c>
      <c r="C70" s="0" t="s">
        <v>45</v>
      </c>
      <c r="D70" s="7" t="n">
        <v>0.8</v>
      </c>
      <c r="E70" s="7" t="n">
        <v>0.85</v>
      </c>
      <c r="F70" s="7" t="n">
        <v>0.9</v>
      </c>
      <c r="G70" s="8" t="s">
        <v>33</v>
      </c>
      <c r="H70" s="8" t="s">
        <v>218</v>
      </c>
      <c r="I70" s="4" t="s">
        <v>219</v>
      </c>
    </row>
    <row r="71" customFormat="false" ht="17.15" hidden="false" customHeight="false" outlineLevel="0" collapsed="false">
      <c r="A71" s="0" t="s">
        <v>220</v>
      </c>
      <c r="B71" s="4" t="s">
        <v>221</v>
      </c>
      <c r="C71" s="0" t="s">
        <v>90</v>
      </c>
      <c r="E71" s="7" t="n">
        <v>0</v>
      </c>
      <c r="G71" s="8" t="s">
        <v>46</v>
      </c>
      <c r="H71" s="8" t="s">
        <v>222</v>
      </c>
      <c r="I71" s="8" t="s">
        <v>124</v>
      </c>
    </row>
    <row r="72" customFormat="false" ht="17.15" hidden="false" customHeight="false" outlineLevel="0" collapsed="false">
      <c r="A72" s="6" t="s">
        <v>223</v>
      </c>
    </row>
    <row r="73" customFormat="false" ht="17.15" hidden="false" customHeight="false" outlineLevel="0" collapsed="false">
      <c r="A73" s="0" t="s">
        <v>224</v>
      </c>
      <c r="B73" s="0" t="s">
        <v>225</v>
      </c>
      <c r="C73" s="0" t="s">
        <v>90</v>
      </c>
      <c r="E73" s="7" t="n">
        <v>0.75</v>
      </c>
      <c r="G73" s="8" t="s">
        <v>46</v>
      </c>
      <c r="H73" s="8" t="s">
        <v>226</v>
      </c>
      <c r="I73" s="8" t="s">
        <v>227</v>
      </c>
    </row>
    <row r="74" customFormat="false" ht="17.15" hidden="false" customHeight="false" outlineLevel="0" collapsed="false">
      <c r="A74" s="0" t="s">
        <v>228</v>
      </c>
      <c r="B74" s="0" t="s">
        <v>229</v>
      </c>
      <c r="C74" s="0" t="s">
        <v>90</v>
      </c>
      <c r="E74" s="7" t="n">
        <v>0.02</v>
      </c>
      <c r="G74" s="8" t="s">
        <v>33</v>
      </c>
      <c r="H74" s="8" t="s">
        <v>230</v>
      </c>
      <c r="I74" s="8" t="s">
        <v>124</v>
      </c>
    </row>
    <row r="75" customFormat="false" ht="17.15" hidden="false" customHeight="false" outlineLevel="0" collapsed="false">
      <c r="A75" s="0" t="s">
        <v>231</v>
      </c>
      <c r="B75" s="0" t="s">
        <v>232</v>
      </c>
      <c r="C75" s="0" t="s">
        <v>90</v>
      </c>
      <c r="E75" s="7" t="n">
        <v>0.594</v>
      </c>
      <c r="G75" s="8" t="s">
        <v>233</v>
      </c>
      <c r="H75" s="8" t="s">
        <v>234</v>
      </c>
      <c r="I75" s="8" t="s">
        <v>235</v>
      </c>
    </row>
    <row r="76" customFormat="false" ht="17.15" hidden="false" customHeight="false" outlineLevel="0" collapsed="false">
      <c r="A76" s="0" t="s">
        <v>236</v>
      </c>
      <c r="B76" s="0" t="s">
        <v>237</v>
      </c>
      <c r="C76" s="0" t="s">
        <v>90</v>
      </c>
      <c r="E76" s="7" t="n">
        <v>0.6</v>
      </c>
      <c r="G76" s="8" t="s">
        <v>233</v>
      </c>
      <c r="H76" s="4" t="s">
        <v>238</v>
      </c>
      <c r="I76" s="8" t="s">
        <v>124</v>
      </c>
    </row>
    <row r="77" customFormat="false" ht="17.15" hidden="false" customHeight="false" outlineLevel="0" collapsed="false">
      <c r="A77" s="0" t="s">
        <v>239</v>
      </c>
      <c r="B77" s="0" t="s">
        <v>240</v>
      </c>
      <c r="C77" s="0" t="s">
        <v>90</v>
      </c>
      <c r="E77" s="7" t="n">
        <v>0.075</v>
      </c>
      <c r="G77" s="8" t="s">
        <v>233</v>
      </c>
      <c r="H77" s="8" t="s">
        <v>241</v>
      </c>
      <c r="I77" s="8" t="s">
        <v>242</v>
      </c>
    </row>
    <row r="78" customFormat="false" ht="17.15" hidden="false" customHeight="false" outlineLevel="0" collapsed="false">
      <c r="A78" s="0" t="s">
        <v>243</v>
      </c>
      <c r="B78" s="0" t="s">
        <v>244</v>
      </c>
      <c r="C78" s="0" t="s">
        <v>90</v>
      </c>
      <c r="E78" s="7" t="n">
        <v>0.75</v>
      </c>
      <c r="G78" s="8" t="s">
        <v>46</v>
      </c>
      <c r="H78" s="4" t="s">
        <v>245</v>
      </c>
      <c r="I78" s="4" t="s">
        <v>246</v>
      </c>
    </row>
    <row r="79" customFormat="false" ht="17.15" hidden="false" customHeight="false" outlineLevel="0" collapsed="false">
      <c r="A79" s="0" t="s">
        <v>247</v>
      </c>
      <c r="B79" s="0" t="s">
        <v>248</v>
      </c>
      <c r="C79" s="0" t="s">
        <v>90</v>
      </c>
      <c r="E79" s="7" t="n">
        <v>0.06</v>
      </c>
      <c r="G79" s="8" t="s">
        <v>46</v>
      </c>
      <c r="H79" s="8" t="s">
        <v>249</v>
      </c>
      <c r="I79" s="8" t="s">
        <v>124</v>
      </c>
    </row>
    <row r="80" customFormat="false" ht="17.15" hidden="false" customHeight="false" outlineLevel="0" collapsed="false">
      <c r="A80" s="0" t="s">
        <v>250</v>
      </c>
      <c r="B80" s="0" t="s">
        <v>251</v>
      </c>
      <c r="C80" s="0" t="s">
        <v>45</v>
      </c>
      <c r="E80" s="7" t="n">
        <v>0.87</v>
      </c>
      <c r="G80" s="8" t="s">
        <v>33</v>
      </c>
      <c r="H80" s="8" t="s">
        <v>252</v>
      </c>
      <c r="I80" s="8" t="s">
        <v>124</v>
      </c>
    </row>
    <row r="81" customFormat="false" ht="17.15" hidden="false" customHeight="false" outlineLevel="0" collapsed="false">
      <c r="A81" s="6" t="s">
        <v>253</v>
      </c>
    </row>
    <row r="82" customFormat="false" ht="17.15" hidden="false" customHeight="false" outlineLevel="0" collapsed="false">
      <c r="A82" s="0" t="s">
        <v>254</v>
      </c>
      <c r="B82" s="4" t="s">
        <v>255</v>
      </c>
      <c r="C82" s="0" t="s">
        <v>256</v>
      </c>
      <c r="E82" s="7" t="n">
        <v>64.79</v>
      </c>
      <c r="G82" s="8" t="s">
        <v>233</v>
      </c>
      <c r="H82" s="4" t="s">
        <v>257</v>
      </c>
      <c r="I82" s="4" t="s">
        <v>258</v>
      </c>
    </row>
    <row r="83" customFormat="false" ht="17.15" hidden="false" customHeight="false" outlineLevel="0" collapsed="false">
      <c r="A83" s="0" t="s">
        <v>259</v>
      </c>
      <c r="B83" s="4" t="s">
        <v>260</v>
      </c>
      <c r="C83" s="0" t="s">
        <v>256</v>
      </c>
      <c r="E83" s="7" t="n">
        <v>128.95</v>
      </c>
      <c r="G83" s="8" t="s">
        <v>233</v>
      </c>
      <c r="H83" s="4" t="s">
        <v>38</v>
      </c>
      <c r="I83" s="8" t="s">
        <v>124</v>
      </c>
    </row>
    <row r="84" customFormat="false" ht="17.15" hidden="false" customHeight="false" outlineLevel="0" collapsed="false">
      <c r="A84" s="0" t="s">
        <v>261</v>
      </c>
      <c r="B84" s="0" t="s">
        <v>262</v>
      </c>
      <c r="C84" s="0" t="s">
        <v>256</v>
      </c>
      <c r="E84" s="7" t="n">
        <v>186.5</v>
      </c>
      <c r="G84" s="8" t="s">
        <v>233</v>
      </c>
      <c r="H84" s="4" t="s">
        <v>263</v>
      </c>
      <c r="I84" s="4" t="s">
        <v>264</v>
      </c>
    </row>
    <row r="85" customFormat="false" ht="15" hidden="false" customHeight="false" outlineLevel="0" collapsed="false">
      <c r="A85" s="0" t="s">
        <v>265</v>
      </c>
      <c r="B85" s="0" t="s">
        <v>266</v>
      </c>
      <c r="C85" s="0" t="s">
        <v>256</v>
      </c>
      <c r="E85" s="7" t="n">
        <v>286.5</v>
      </c>
      <c r="G85" s="8" t="s">
        <v>233</v>
      </c>
      <c r="H85" s="4" t="s">
        <v>38</v>
      </c>
      <c r="I85" s="8" t="s">
        <v>124</v>
      </c>
    </row>
    <row r="86" customFormat="false" ht="17.15" hidden="false" customHeight="false" outlineLevel="0" collapsed="false">
      <c r="A86" s="0" t="s">
        <v>267</v>
      </c>
      <c r="B86" s="4" t="s">
        <v>268</v>
      </c>
      <c r="C86" s="0" t="s">
        <v>189</v>
      </c>
      <c r="E86" s="7" t="n">
        <v>22.09</v>
      </c>
      <c r="G86" s="8" t="s">
        <v>233</v>
      </c>
      <c r="H86" s="8" t="s">
        <v>269</v>
      </c>
      <c r="I86" s="8" t="s">
        <v>124</v>
      </c>
    </row>
    <row r="87" customFormat="false" ht="17.15" hidden="false" customHeight="false" outlineLevel="0" collapsed="false">
      <c r="A87" s="6" t="s">
        <v>270</v>
      </c>
    </row>
    <row r="88" customFormat="false" ht="17.15" hidden="false" customHeight="false" outlineLevel="0" collapsed="false">
      <c r="A88" s="0" t="s">
        <v>271</v>
      </c>
      <c r="B88" s="4" t="s">
        <v>272</v>
      </c>
      <c r="C88" s="0" t="s">
        <v>256</v>
      </c>
      <c r="E88" s="7" t="n">
        <v>4610</v>
      </c>
      <c r="G88" s="8" t="s">
        <v>233</v>
      </c>
      <c r="H88" s="4" t="s">
        <v>273</v>
      </c>
      <c r="I88" s="4" t="s">
        <v>274</v>
      </c>
    </row>
    <row r="89" customFormat="false" ht="17.15" hidden="false" customHeight="false" outlineLevel="0" collapsed="false">
      <c r="A89" s="0" t="s">
        <v>275</v>
      </c>
      <c r="B89" s="4" t="s">
        <v>276</v>
      </c>
      <c r="C89" s="0" t="s">
        <v>45</v>
      </c>
      <c r="E89" s="7" t="n">
        <v>103.64</v>
      </c>
      <c r="G89" s="8" t="s">
        <v>233</v>
      </c>
      <c r="H89" s="4" t="s">
        <v>277</v>
      </c>
      <c r="I89" s="8" t="s">
        <v>124</v>
      </c>
    </row>
    <row r="90" customFormat="false" ht="17.15" hidden="false" customHeight="false" outlineLevel="0" collapsed="false">
      <c r="A90" s="0" t="s">
        <v>278</v>
      </c>
      <c r="B90" s="4" t="s">
        <v>279</v>
      </c>
      <c r="C90" s="0" t="s">
        <v>45</v>
      </c>
      <c r="E90" s="0" t="n">
        <f aca="false">px/cons_eps27</f>
        <v>35.7502908103916</v>
      </c>
      <c r="G90" s="0" t="s">
        <v>33</v>
      </c>
      <c r="H90" s="0" t="s">
        <v>280</v>
      </c>
      <c r="I90" s="0" t="s">
        <v>124</v>
      </c>
    </row>
    <row r="91" customFormat="false" ht="17.15" hidden="false" customHeight="false" outlineLevel="0" collapsed="false">
      <c r="A91" s="0" t="s">
        <v>281</v>
      </c>
      <c r="B91" s="4" t="s">
        <v>282</v>
      </c>
      <c r="C91" s="0" t="s">
        <v>256</v>
      </c>
      <c r="E91" s="0" t="n">
        <f aca="false">2/12*al_eps27+10/12*al_eps28</f>
        <v>269.833333333333</v>
      </c>
      <c r="G91" s="0" t="s">
        <v>33</v>
      </c>
      <c r="H91" s="4" t="s">
        <v>283</v>
      </c>
      <c r="I91" s="4" t="s">
        <v>284</v>
      </c>
    </row>
    <row r="92" customFormat="false" ht="17.15" hidden="false" customHeight="false" outlineLevel="0" collapsed="false">
      <c r="A92" s="0" t="s">
        <v>285</v>
      </c>
      <c r="B92" s="4" t="s">
        <v>286</v>
      </c>
      <c r="C92" s="0" t="s">
        <v>256</v>
      </c>
      <c r="E92" s="7" t="n">
        <v>10000</v>
      </c>
      <c r="G92" s="8" t="s">
        <v>233</v>
      </c>
      <c r="H92" s="4" t="s">
        <v>287</v>
      </c>
      <c r="I92" s="4" t="s">
        <v>288</v>
      </c>
    </row>
    <row r="93" customFormat="false" ht="17.15" hidden="false" customHeight="false" outlineLevel="0" collapsed="false">
      <c r="A93" s="6" t="s">
        <v>289</v>
      </c>
    </row>
    <row r="94" customFormat="false" ht="17.15" hidden="false" customHeight="false" outlineLevel="0" collapsed="false">
      <c r="A94" s="9" t="s">
        <v>290</v>
      </c>
      <c r="B94" s="10" t="s">
        <v>291</v>
      </c>
      <c r="C94" s="9" t="s">
        <v>90</v>
      </c>
      <c r="D94" s="9"/>
      <c r="E94" s="11" t="n">
        <v>0.3</v>
      </c>
      <c r="F94" s="9"/>
      <c r="G94" s="9" t="s">
        <v>46</v>
      </c>
      <c r="H94" s="9" t="s">
        <v>292</v>
      </c>
      <c r="I94" s="10" t="s">
        <v>293</v>
      </c>
    </row>
    <row r="95" customFormat="false" ht="17.15" hidden="false" customHeight="false" outlineLevel="0" collapsed="false">
      <c r="A95" s="9" t="s">
        <v>294</v>
      </c>
      <c r="B95" s="10" t="s">
        <v>295</v>
      </c>
      <c r="C95" s="9" t="s">
        <v>90</v>
      </c>
      <c r="D95" s="9"/>
      <c r="E95" s="11" t="n">
        <v>0.5</v>
      </c>
      <c r="F95" s="9"/>
      <c r="G95" s="9" t="s">
        <v>46</v>
      </c>
      <c r="H95" s="9" t="s">
        <v>292</v>
      </c>
      <c r="I95" s="10" t="s">
        <v>293</v>
      </c>
    </row>
    <row r="96" customFormat="false" ht="17.15" hidden="false" customHeight="false" outlineLevel="0" collapsed="false">
      <c r="A96" s="9" t="s">
        <v>296</v>
      </c>
      <c r="B96" s="10" t="s">
        <v>297</v>
      </c>
      <c r="C96" s="9" t="s">
        <v>90</v>
      </c>
      <c r="D96" s="9"/>
      <c r="E96" s="11" t="n">
        <v>0.2</v>
      </c>
      <c r="F96" s="9"/>
      <c r="G96" s="9" t="s">
        <v>46</v>
      </c>
      <c r="H96" s="9" t="s">
        <v>292</v>
      </c>
      <c r="I96" s="10" t="s">
        <v>293</v>
      </c>
    </row>
    <row r="97" customFormat="false" ht="17.15" hidden="false" customHeight="false" outlineLevel="0" collapsed="false">
      <c r="A97" s="9" t="s">
        <v>298</v>
      </c>
      <c r="B97" s="10" t="s">
        <v>299</v>
      </c>
      <c r="C97" s="9" t="s">
        <v>90</v>
      </c>
      <c r="D97" s="9"/>
      <c r="E97" s="11" t="n">
        <v>0.1</v>
      </c>
      <c r="F97" s="9"/>
      <c r="G97" s="9" t="s">
        <v>46</v>
      </c>
      <c r="H97" s="9" t="s">
        <v>300</v>
      </c>
      <c r="I97" s="9" t="s">
        <v>301</v>
      </c>
    </row>
    <row r="98" customFormat="false" ht="17.15" hidden="false" customHeight="false" outlineLevel="0" collapsed="false">
      <c r="A98" s="9" t="s">
        <v>302</v>
      </c>
      <c r="B98" s="10" t="s">
        <v>303</v>
      </c>
      <c r="C98" s="9" t="s">
        <v>90</v>
      </c>
      <c r="D98" s="9"/>
      <c r="E98" s="11" t="n">
        <v>0.04</v>
      </c>
      <c r="F98" s="9"/>
      <c r="G98" s="9" t="s">
        <v>46</v>
      </c>
      <c r="H98" s="9" t="s">
        <v>304</v>
      </c>
      <c r="I98" s="10" t="s">
        <v>305</v>
      </c>
    </row>
    <row r="99" customFormat="false" ht="17.15" hidden="false" customHeight="false" outlineLevel="0" collapsed="false">
      <c r="A99" s="9" t="s">
        <v>306</v>
      </c>
      <c r="B99" s="9" t="s">
        <v>307</v>
      </c>
      <c r="C99" s="9" t="s">
        <v>90</v>
      </c>
      <c r="D99" s="9"/>
      <c r="E99" s="9" t="n">
        <f aca="false">AVERAGE(2.3/9.2,3.18/AVERAGE(9.2,14.5))</f>
        <v>0.259177215189873</v>
      </c>
      <c r="F99" s="9"/>
      <c r="G99" s="9" t="s">
        <v>33</v>
      </c>
      <c r="H99" s="9" t="s">
        <v>308</v>
      </c>
      <c r="I99" s="9" t="s">
        <v>309</v>
      </c>
    </row>
    <row r="100" customFormat="false" ht="17.15" hidden="false" customHeight="false" outlineLevel="0" collapsed="false">
      <c r="A100" s="9" t="s">
        <v>310</v>
      </c>
      <c r="B100" s="10" t="s">
        <v>311</v>
      </c>
      <c r="C100" s="9" t="s">
        <v>90</v>
      </c>
      <c r="D100" s="9"/>
      <c r="E100" s="11" t="n">
        <v>0.5</v>
      </c>
      <c r="F100" s="9"/>
      <c r="G100" s="9" t="s">
        <v>46</v>
      </c>
      <c r="H100" s="9" t="s">
        <v>312</v>
      </c>
      <c r="I100" s="9" t="s">
        <v>124</v>
      </c>
    </row>
    <row r="101" customFormat="false" ht="17.15" hidden="false" customHeight="false" outlineLevel="0" collapsed="false">
      <c r="A101" s="9" t="s">
        <v>313</v>
      </c>
      <c r="B101" s="10" t="s">
        <v>314</v>
      </c>
      <c r="C101" s="9" t="s">
        <v>90</v>
      </c>
      <c r="D101" s="9"/>
      <c r="E101" s="9" t="n">
        <f aca="false">tp_g+0.02</f>
        <v>0.06</v>
      </c>
      <c r="F101" s="9"/>
      <c r="G101" s="9" t="s">
        <v>46</v>
      </c>
      <c r="H101" s="10" t="s">
        <v>315</v>
      </c>
      <c r="I101" s="9" t="s">
        <v>316</v>
      </c>
    </row>
    <row r="102" customFormat="false" ht="17.15" hidden="false" customHeight="false" outlineLevel="0" collapsed="false">
      <c r="A102" s="9" t="s">
        <v>317</v>
      </c>
      <c r="B102" s="10" t="s">
        <v>318</v>
      </c>
      <c r="C102" s="9" t="s">
        <v>90</v>
      </c>
      <c r="D102" s="9"/>
      <c r="E102" s="9" t="n">
        <f aca="false">tp_g</f>
        <v>0.04</v>
      </c>
      <c r="F102" s="9"/>
      <c r="G102" s="9" t="s">
        <v>46</v>
      </c>
      <c r="H102" s="10" t="s">
        <v>38</v>
      </c>
      <c r="I102" s="9" t="s">
        <v>124</v>
      </c>
    </row>
    <row r="103" customFormat="false" ht="17.15" hidden="false" customHeight="false" outlineLevel="0" collapsed="false">
      <c r="A103" s="9" t="s">
        <v>319</v>
      </c>
      <c r="B103" s="10" t="s">
        <v>320</v>
      </c>
      <c r="C103" s="9" t="s">
        <v>90</v>
      </c>
      <c r="D103" s="9"/>
      <c r="E103" s="9" t="n">
        <f aca="false">tp_g-0.02</f>
        <v>0.02</v>
      </c>
      <c r="F103" s="9"/>
      <c r="G103" s="9" t="s">
        <v>46</v>
      </c>
      <c r="H103" s="10" t="s">
        <v>38</v>
      </c>
      <c r="I103" s="9" t="s">
        <v>124</v>
      </c>
    </row>
    <row r="104" customFormat="false" ht="17.15" hidden="false" customHeight="false" outlineLevel="0" collapsed="false">
      <c r="A104" s="9" t="s">
        <v>321</v>
      </c>
      <c r="B104" s="10" t="s">
        <v>322</v>
      </c>
      <c r="C104" s="9" t="s">
        <v>90</v>
      </c>
      <c r="D104" s="9"/>
      <c r="E104" s="12" t="n">
        <f aca="false">PL!G15</f>
        <v>0.367562906725343</v>
      </c>
      <c r="F104" s="9"/>
      <c r="G104" s="9" t="s">
        <v>33</v>
      </c>
      <c r="H104" s="9" t="s">
        <v>323</v>
      </c>
      <c r="I104" s="9" t="s">
        <v>124</v>
      </c>
    </row>
    <row r="105" customFormat="false" ht="17.15" hidden="false" customHeight="false" outlineLevel="0" collapsed="false">
      <c r="A105" s="9" t="s">
        <v>324</v>
      </c>
      <c r="B105" s="10" t="s">
        <v>325</v>
      </c>
      <c r="C105" s="9" t="s">
        <v>90</v>
      </c>
      <c r="D105" s="9"/>
      <c r="E105" s="13" t="n">
        <f aca="false">(PL!G30+PL!G30*0.8)/2</f>
        <v>0.30710304369719</v>
      </c>
      <c r="F105" s="9"/>
      <c r="G105" s="9" t="s">
        <v>46</v>
      </c>
      <c r="H105" s="10" t="s">
        <v>326</v>
      </c>
      <c r="I105" s="9" t="s">
        <v>327</v>
      </c>
    </row>
    <row r="106" customFormat="false" ht="17.15" hidden="false" customHeight="false" outlineLevel="0" collapsed="false">
      <c r="A106" s="9" t="s">
        <v>328</v>
      </c>
      <c r="B106" s="10" t="s">
        <v>329</v>
      </c>
      <c r="C106" s="9" t="s">
        <v>90</v>
      </c>
      <c r="D106" s="9"/>
      <c r="E106" s="13" t="n">
        <f aca="false">PL!G45*0.8</f>
        <v>0.237169501244778</v>
      </c>
      <c r="F106" s="9"/>
      <c r="G106" s="9" t="s">
        <v>46</v>
      </c>
      <c r="H106" s="10" t="s">
        <v>330</v>
      </c>
      <c r="I106" s="9" t="s">
        <v>331</v>
      </c>
    </row>
    <row r="108" customFormat="false" ht="17.15" hidden="false" customHeight="false" outlineLevel="0" collapsed="false">
      <c r="A108" s="1" t="s">
        <v>332</v>
      </c>
    </row>
    <row r="109" customFormat="false" ht="17.15" hidden="false" customHeight="false" outlineLevel="0" collapsed="false">
      <c r="A109" s="1" t="s">
        <v>20</v>
      </c>
      <c r="B109" s="1" t="s">
        <v>21</v>
      </c>
      <c r="C109" s="1" t="s">
        <v>22</v>
      </c>
      <c r="D109" s="1" t="s">
        <v>333</v>
      </c>
      <c r="E109" s="1" t="s">
        <v>334</v>
      </c>
      <c r="F109" s="1" t="s">
        <v>335</v>
      </c>
      <c r="G109" s="1" t="s">
        <v>26</v>
      </c>
      <c r="H109" s="1" t="s">
        <v>336</v>
      </c>
    </row>
    <row r="110" customFormat="false" ht="17.15" hidden="false" customHeight="false" outlineLevel="0" collapsed="false">
      <c r="A110" s="0" t="s">
        <v>337</v>
      </c>
      <c r="B110" s="0" t="s">
        <v>338</v>
      </c>
      <c r="C110" s="0" t="s">
        <v>45</v>
      </c>
      <c r="D110" s="0" t="n">
        <f aca="false">E9</f>
        <v>1</v>
      </c>
      <c r="E110" s="0" t="n">
        <f aca="false">E11</f>
        <v>0.8</v>
      </c>
      <c r="F110" s="0" t="n">
        <f aca="false">E13</f>
        <v>0.6</v>
      </c>
      <c r="G110" s="0" t="s">
        <v>33</v>
      </c>
      <c r="H110" s="4" t="s">
        <v>339</v>
      </c>
    </row>
    <row r="111" customFormat="false" ht="17.15" hidden="false" customHeight="false" outlineLevel="0" collapsed="false">
      <c r="A111" s="0" t="s">
        <v>340</v>
      </c>
      <c r="B111" s="0" t="s">
        <v>341</v>
      </c>
      <c r="C111" s="0" t="s">
        <v>45</v>
      </c>
      <c r="D111" s="0" t="n">
        <f aca="false">E10</f>
        <v>1</v>
      </c>
      <c r="E111" s="0" t="n">
        <f aca="false">E12</f>
        <v>0.85</v>
      </c>
      <c r="F111" s="0" t="n">
        <f aca="false">E14</f>
        <v>0.6</v>
      </c>
      <c r="G111" s="0" t="s">
        <v>33</v>
      </c>
      <c r="H111" s="4" t="s">
        <v>342</v>
      </c>
    </row>
    <row r="112" customFormat="false" ht="17.15" hidden="false" customHeight="false" outlineLevel="0" collapsed="false">
      <c r="A112" s="0" t="s">
        <v>343</v>
      </c>
      <c r="B112" s="0" t="s">
        <v>344</v>
      </c>
      <c r="C112" s="0" t="s">
        <v>90</v>
      </c>
      <c r="D112" s="0" t="n">
        <f aca="false">E25</f>
        <v>0.05</v>
      </c>
      <c r="E112" s="0" t="n">
        <f aca="false">E28</f>
        <v>0.03</v>
      </c>
      <c r="F112" s="0" t="n">
        <f aca="false">E31</f>
        <v>0.02</v>
      </c>
      <c r="G112" s="0" t="s">
        <v>33</v>
      </c>
      <c r="H112" s="4" t="s">
        <v>345</v>
      </c>
    </row>
    <row r="113" customFormat="false" ht="17.15" hidden="false" customHeight="false" outlineLevel="0" collapsed="false">
      <c r="A113" s="0" t="s">
        <v>346</v>
      </c>
      <c r="B113" s="0" t="s">
        <v>347</v>
      </c>
      <c r="C113" s="0" t="s">
        <v>90</v>
      </c>
      <c r="D113" s="0" t="n">
        <f aca="false">E26</f>
        <v>0.1</v>
      </c>
      <c r="E113" s="0" t="n">
        <f aca="false">E29</f>
        <v>0.05</v>
      </c>
      <c r="F113" s="0" t="n">
        <f aca="false">E32</f>
        <v>0.03</v>
      </c>
      <c r="G113" s="0" t="s">
        <v>33</v>
      </c>
      <c r="H113" s="4" t="s">
        <v>348</v>
      </c>
    </row>
    <row r="114" customFormat="false" ht="17.15" hidden="false" customHeight="false" outlineLevel="0" collapsed="false">
      <c r="A114" s="0" t="s">
        <v>349</v>
      </c>
      <c r="B114" s="0" t="s">
        <v>350</v>
      </c>
      <c r="C114" s="0" t="s">
        <v>90</v>
      </c>
      <c r="D114" s="0" t="n">
        <f aca="false">E27</f>
        <v>0.16</v>
      </c>
      <c r="E114" s="0" t="n">
        <f aca="false">E30</f>
        <v>0.08</v>
      </c>
      <c r="F114" s="0" t="n">
        <f aca="false">E33</f>
        <v>0.05</v>
      </c>
      <c r="G114" s="0" t="s">
        <v>33</v>
      </c>
      <c r="H114" s="4" t="s">
        <v>351</v>
      </c>
    </row>
    <row r="115" customFormat="false" ht="17.15" hidden="false" customHeight="false" outlineLevel="0" collapsed="false">
      <c r="A115" s="0" t="s">
        <v>352</v>
      </c>
      <c r="B115" s="4" t="s">
        <v>353</v>
      </c>
      <c r="C115" s="0" t="s">
        <v>45</v>
      </c>
      <c r="D115" s="0" t="n">
        <f aca="false">E38</f>
        <v>1.165966</v>
      </c>
      <c r="E115" s="0" t="n">
        <f aca="false">E40</f>
        <v>1</v>
      </c>
      <c r="F115" s="0" t="n">
        <f aca="false">E42</f>
        <v>0.8</v>
      </c>
      <c r="G115" s="0" t="s">
        <v>33</v>
      </c>
      <c r="H115" s="4" t="s">
        <v>354</v>
      </c>
    </row>
    <row r="116" customFormat="false" ht="17.15" hidden="false" customHeight="false" outlineLevel="0" collapsed="false">
      <c r="A116" s="0" t="s">
        <v>355</v>
      </c>
      <c r="B116" s="4" t="s">
        <v>356</v>
      </c>
      <c r="C116" s="0" t="s">
        <v>45</v>
      </c>
      <c r="D116" s="0" t="n">
        <f aca="false">E39</f>
        <v>1.259243</v>
      </c>
      <c r="E116" s="0" t="n">
        <f aca="false">E41</f>
        <v>0.95</v>
      </c>
      <c r="F116" s="0" t="n">
        <f aca="false">E43</f>
        <v>1</v>
      </c>
      <c r="G116" s="0" t="s">
        <v>33</v>
      </c>
      <c r="H116" s="4" t="s">
        <v>357</v>
      </c>
    </row>
    <row r="117" customFormat="false" ht="17.15" hidden="false" customHeight="false" outlineLevel="0" collapsed="false">
      <c r="A117" s="0" t="s">
        <v>358</v>
      </c>
      <c r="B117" s="4" t="s">
        <v>359</v>
      </c>
      <c r="C117" s="0" t="s">
        <v>45</v>
      </c>
      <c r="D117" s="0" t="n">
        <f aca="false">E47</f>
        <v>1.05</v>
      </c>
      <c r="E117" s="0" t="n">
        <f aca="false">E50</f>
        <v>1</v>
      </c>
      <c r="F117" s="0" t="n">
        <f aca="false">E53</f>
        <v>0.92</v>
      </c>
      <c r="G117" s="0" t="s">
        <v>33</v>
      </c>
      <c r="H117" s="4" t="s">
        <v>360</v>
      </c>
    </row>
    <row r="118" customFormat="false" ht="17.15" hidden="false" customHeight="false" outlineLevel="0" collapsed="false">
      <c r="A118" s="0" t="s">
        <v>361</v>
      </c>
      <c r="B118" s="4" t="s">
        <v>362</v>
      </c>
      <c r="C118" s="0" t="s">
        <v>45</v>
      </c>
      <c r="D118" s="0" t="n">
        <f aca="false">E48</f>
        <v>1.08</v>
      </c>
      <c r="E118" s="0" t="n">
        <f aca="false">E51</f>
        <v>1</v>
      </c>
      <c r="F118" s="0" t="n">
        <f aca="false">E54</f>
        <v>0.88</v>
      </c>
      <c r="G118" s="0" t="s">
        <v>33</v>
      </c>
      <c r="H118" s="4" t="s">
        <v>363</v>
      </c>
    </row>
    <row r="119" customFormat="false" ht="17.15" hidden="false" customHeight="false" outlineLevel="0" collapsed="false">
      <c r="A119" s="0" t="s">
        <v>364</v>
      </c>
      <c r="B119" s="4" t="s">
        <v>365</v>
      </c>
      <c r="C119" s="0" t="s">
        <v>45</v>
      </c>
      <c r="D119" s="0" t="n">
        <f aca="false">E49</f>
        <v>1.1</v>
      </c>
      <c r="E119" s="0" t="n">
        <f aca="false">E52</f>
        <v>1</v>
      </c>
      <c r="F119" s="0" t="n">
        <f aca="false">E55</f>
        <v>0.85</v>
      </c>
      <c r="G119" s="0" t="s">
        <v>33</v>
      </c>
      <c r="H119" s="4" t="s">
        <v>366</v>
      </c>
    </row>
    <row r="120" customFormat="false" ht="17.15" hidden="false" customHeight="false" outlineLevel="0" collapsed="false">
      <c r="A120" s="0" t="s">
        <v>367</v>
      </c>
      <c r="B120" s="4" t="s">
        <v>368</v>
      </c>
      <c r="C120" s="0" t="s">
        <v>90</v>
      </c>
      <c r="D120" s="0" t="n">
        <f aca="false">E62</f>
        <v>0.6</v>
      </c>
      <c r="E120" s="0" t="n">
        <f aca="false">E64</f>
        <v>0.595</v>
      </c>
      <c r="F120" s="0" t="n">
        <f aca="false">E66</f>
        <v>0.58</v>
      </c>
      <c r="G120" s="0" t="s">
        <v>33</v>
      </c>
      <c r="H120" s="4" t="s">
        <v>369</v>
      </c>
    </row>
    <row r="121" customFormat="false" ht="17.15" hidden="false" customHeight="false" outlineLevel="0" collapsed="false">
      <c r="A121" s="0" t="s">
        <v>370</v>
      </c>
      <c r="B121" s="4" t="s">
        <v>371</v>
      </c>
      <c r="C121" s="0" t="s">
        <v>90</v>
      </c>
      <c r="D121" s="0" t="n">
        <f aca="false">E63</f>
        <v>0.61</v>
      </c>
      <c r="E121" s="0" t="n">
        <f aca="false">E65</f>
        <v>0.595</v>
      </c>
      <c r="F121" s="0" t="n">
        <f aca="false">E67</f>
        <v>0.565</v>
      </c>
      <c r="G121" s="0" t="s">
        <v>33</v>
      </c>
      <c r="H121" s="4" t="s">
        <v>372</v>
      </c>
    </row>
    <row r="122" customFormat="false" ht="17.15" hidden="false" customHeight="false" outlineLevel="0" collapsed="false">
      <c r="A122" s="0" t="s">
        <v>373</v>
      </c>
      <c r="B122" s="0" t="s">
        <v>374</v>
      </c>
      <c r="C122" s="0" t="s">
        <v>90</v>
      </c>
      <c r="D122" s="0" t="n">
        <f aca="false">E101</f>
        <v>0.06</v>
      </c>
      <c r="E122" s="0" t="n">
        <f aca="false">E102</f>
        <v>0.04</v>
      </c>
      <c r="F122" s="0" t="n">
        <f aca="false">E103</f>
        <v>0.02</v>
      </c>
      <c r="G122" s="0" t="s">
        <v>33</v>
      </c>
      <c r="H122" s="4" t="s">
        <v>375</v>
      </c>
    </row>
    <row r="123" customFormat="false" ht="17.15" hidden="false" customHeight="false" outlineLevel="0" collapsed="false">
      <c r="A123" s="0" t="s">
        <v>376</v>
      </c>
      <c r="B123" s="0" t="s">
        <v>377</v>
      </c>
      <c r="C123" s="0" t="s">
        <v>90</v>
      </c>
      <c r="D123" s="14" t="n">
        <f aca="false">E104</f>
        <v>0.367562906725343</v>
      </c>
      <c r="E123" s="8" t="n">
        <f aca="false">E105</f>
        <v>0.30710304369719</v>
      </c>
      <c r="F123" s="8" t="n">
        <f aca="false">E106</f>
        <v>0.237169501244778</v>
      </c>
      <c r="G123" s="8" t="s">
        <v>33</v>
      </c>
      <c r="H123" s="4" t="s">
        <v>378</v>
      </c>
    </row>
    <row r="124" customFormat="false" ht="17.15" hidden="false" customHeight="false" outlineLevel="0" collapsed="false">
      <c r="A124" s="0" t="s">
        <v>379</v>
      </c>
      <c r="B124" s="0" t="s">
        <v>380</v>
      </c>
      <c r="C124" s="0" t="s">
        <v>90</v>
      </c>
      <c r="D124" s="0" t="n">
        <f aca="false">E34</f>
        <v>0.01</v>
      </c>
      <c r="E124" s="0" t="n">
        <v>0</v>
      </c>
      <c r="F124" s="0" t="n">
        <v>0</v>
      </c>
      <c r="G124" s="0" t="s">
        <v>33</v>
      </c>
      <c r="H124" s="4" t="s">
        <v>381</v>
      </c>
    </row>
    <row r="125" customFormat="false" ht="17.15" hidden="false" customHeight="false" outlineLevel="0" collapsed="false">
      <c r="A125" s="0" t="s">
        <v>382</v>
      </c>
      <c r="B125" s="4" t="s">
        <v>383</v>
      </c>
      <c r="C125" s="0" t="s">
        <v>90</v>
      </c>
      <c r="D125" s="0" t="n">
        <f aca="false">E94</f>
        <v>0.3</v>
      </c>
      <c r="E125" s="0" t="n">
        <f aca="false">E95</f>
        <v>0.5</v>
      </c>
      <c r="F125" s="0" t="n">
        <f aca="false">E96</f>
        <v>0.2</v>
      </c>
      <c r="G125" s="0" t="s">
        <v>33</v>
      </c>
      <c r="H125" s="4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385</v>
      </c>
    </row>
    <row r="2" customFormat="false" ht="17.15" hidden="false" customHeight="false" outlineLevel="0" collapsed="false">
      <c r="A2" s="0" t="s">
        <v>386</v>
      </c>
    </row>
    <row r="3" customFormat="false" ht="17.15" hidden="false" customHeight="false" outlineLevel="0" collapsed="false">
      <c r="A3" s="5" t="s">
        <v>21</v>
      </c>
      <c r="B3" s="15" t="s">
        <v>387</v>
      </c>
      <c r="C3" s="15" t="s">
        <v>388</v>
      </c>
      <c r="D3" s="15" t="s">
        <v>389</v>
      </c>
      <c r="E3" s="15" t="s">
        <v>390</v>
      </c>
      <c r="F3" s="15" t="s">
        <v>391</v>
      </c>
      <c r="G3" s="15" t="s">
        <v>392</v>
      </c>
      <c r="H3" s="5" t="s">
        <v>26</v>
      </c>
      <c r="I3" s="5" t="s">
        <v>393</v>
      </c>
      <c r="J3" s="5" t="s">
        <v>28</v>
      </c>
    </row>
    <row r="4" customFormat="false" ht="17.15" hidden="false" customHeight="false" outlineLevel="0" collapsed="false">
      <c r="A4" s="4" t="s">
        <v>394</v>
      </c>
      <c r="B4" s="16" t="n">
        <v>13.377</v>
      </c>
      <c r="C4" s="16" t="n">
        <v>3.933</v>
      </c>
      <c r="D4" s="16" t="n">
        <v>5.233</v>
      </c>
      <c r="E4" s="17" t="n">
        <f aca="false">15.068-9.166</f>
        <v>5.902</v>
      </c>
      <c r="F4" s="17" t="n">
        <f aca="false">E4*(1+q4_g)</f>
        <v>6.34465</v>
      </c>
      <c r="G4" s="17" t="n">
        <f aca="false">SUM(C4:F4)</f>
        <v>21.41265</v>
      </c>
      <c r="H4" s="8" t="s">
        <v>395</v>
      </c>
      <c r="I4" s="8" t="s">
        <v>396</v>
      </c>
      <c r="J4" s="8" t="s">
        <v>397</v>
      </c>
    </row>
    <row r="5" customFormat="false" ht="17.15" hidden="false" customHeight="false" outlineLevel="0" collapsed="false">
      <c r="A5" s="4" t="s">
        <v>398</v>
      </c>
      <c r="B5" s="17" t="n">
        <f aca="false">B4*0.738</f>
        <v>9.872226</v>
      </c>
      <c r="C5" s="17" t="n">
        <f aca="false">C4*0.711</f>
        <v>2.796363</v>
      </c>
      <c r="D5" s="17" t="n">
        <f aca="false">D4*0.747</f>
        <v>3.909051</v>
      </c>
      <c r="E5" s="17" t="n">
        <f aca="false">E4*q3_pcsh</f>
        <v>4.4265</v>
      </c>
      <c r="F5" s="17" t="n">
        <f aca="false">F4*q4_pcsh</f>
        <v>4.7584875</v>
      </c>
      <c r="G5" s="17" t="n">
        <f aca="false">SUM(C5:F5)</f>
        <v>15.8904015</v>
      </c>
      <c r="H5" s="8" t="s">
        <v>399</v>
      </c>
      <c r="I5" s="8" t="s">
        <v>396</v>
      </c>
      <c r="J5" s="4" t="s">
        <v>400</v>
      </c>
    </row>
    <row r="6" customFormat="false" ht="17.15" hidden="false" customHeight="false" outlineLevel="0" collapsed="false">
      <c r="A6" s="0" t="s">
        <v>401</v>
      </c>
      <c r="B6" s="17" t="n">
        <f aca="false">B5*ai_sh25</f>
        <v>5.4297243</v>
      </c>
      <c r="C6" s="17" t="n">
        <f aca="false">C5*ai_sh26</f>
        <v>1.6778178</v>
      </c>
      <c r="D6" s="17" t="n">
        <f aca="false">D5*ai_sh26</f>
        <v>2.3454306</v>
      </c>
      <c r="E6" s="17" t="n">
        <f aca="false">E5*ai_sh26</f>
        <v>2.6559</v>
      </c>
      <c r="F6" s="17" t="n">
        <f aca="false">F5*ai_sh26</f>
        <v>2.8550925</v>
      </c>
      <c r="G6" s="17" t="n">
        <f aca="false">SUM(C6:F6)</f>
        <v>9.5342409</v>
      </c>
      <c r="H6" s="8" t="s">
        <v>402</v>
      </c>
      <c r="I6" s="8" t="s">
        <v>396</v>
      </c>
      <c r="J6" s="8" t="s">
        <v>403</v>
      </c>
    </row>
    <row r="7" customFormat="false" ht="17.15" hidden="false" customHeight="false" outlineLevel="0" collapsed="false">
      <c r="A7" s="4" t="s">
        <v>404</v>
      </c>
      <c r="B7" s="17" t="n">
        <f aca="false">B5-B6</f>
        <v>4.4425017</v>
      </c>
      <c r="C7" s="17" t="n">
        <f aca="false">C5-C6</f>
        <v>1.1185452</v>
      </c>
      <c r="D7" s="17" t="n">
        <f aca="false">D5-D6</f>
        <v>1.5636204</v>
      </c>
      <c r="E7" s="17" t="n">
        <f aca="false">E5-E6</f>
        <v>1.7706</v>
      </c>
      <c r="F7" s="17" t="n">
        <f aca="false">F5-F6</f>
        <v>1.903395</v>
      </c>
      <c r="G7" s="17" t="n">
        <f aca="false">SUM(C7:F7)</f>
        <v>6.3561606</v>
      </c>
      <c r="H7" s="8" t="s">
        <v>33</v>
      </c>
      <c r="I7" s="8" t="s">
        <v>124</v>
      </c>
      <c r="J7" s="8" t="s">
        <v>124</v>
      </c>
    </row>
    <row r="8" customFormat="false" ht="17.15" hidden="false" customHeight="false" outlineLevel="0" collapsed="false">
      <c r="A8" s="4" t="s">
        <v>405</v>
      </c>
      <c r="B8" s="17" t="n">
        <f aca="false">B4*0.246</f>
        <v>3.290742</v>
      </c>
      <c r="C8" s="17" t="n">
        <f aca="false">C4*0.269</f>
        <v>1.057977</v>
      </c>
      <c r="D8" s="17" t="n">
        <f aca="false">D4*0.233</f>
        <v>1.219289</v>
      </c>
      <c r="E8" s="17" t="n">
        <f aca="false">E4*(1-q3_pcsh-q3_oth)</f>
        <v>1.35746</v>
      </c>
      <c r="F8" s="17" t="n">
        <f aca="false">F4*(1-q4_pcsh-q3_oth)</f>
        <v>1.4592695</v>
      </c>
      <c r="G8" s="17" t="n">
        <f aca="false">SUM(C8:F8)</f>
        <v>5.0939955</v>
      </c>
      <c r="H8" s="8" t="s">
        <v>399</v>
      </c>
      <c r="I8" s="8" t="s">
        <v>396</v>
      </c>
      <c r="J8" s="4" t="s">
        <v>406</v>
      </c>
    </row>
    <row r="9" customFormat="false" ht="17.15" hidden="false" customHeight="false" outlineLevel="0" collapsed="false">
      <c r="A9" s="4" t="s">
        <v>407</v>
      </c>
      <c r="B9" s="17" t="n">
        <f aca="false">B4-B5-B8</f>
        <v>0.214032000000001</v>
      </c>
      <c r="C9" s="17" t="n">
        <f aca="false">C4*0.02</f>
        <v>0.07866</v>
      </c>
      <c r="D9" s="17" t="n">
        <f aca="false">D4-D5-D8</f>
        <v>0.10466</v>
      </c>
      <c r="E9" s="17" t="n">
        <f aca="false">E4*q3_oth</f>
        <v>0.11804</v>
      </c>
      <c r="F9" s="17" t="n">
        <f aca="false">F4*q3_oth</f>
        <v>0.126893</v>
      </c>
      <c r="G9" s="17" t="n">
        <f aca="false">SUM(C9:F9)</f>
        <v>0.428253</v>
      </c>
      <c r="H9" s="8" t="s">
        <v>33</v>
      </c>
      <c r="I9" s="8" t="s">
        <v>396</v>
      </c>
      <c r="J9" s="8" t="s">
        <v>408</v>
      </c>
    </row>
    <row r="10" customFormat="false" ht="17.15" hidden="false" customHeight="false" outlineLevel="0" collapsed="false">
      <c r="A10" s="4" t="s">
        <v>409</v>
      </c>
      <c r="B10" s="17" t="n">
        <f aca="false">B4*0.574</f>
        <v>7.678398</v>
      </c>
      <c r="C10" s="16" t="n">
        <v>2.338</v>
      </c>
      <c r="D10" s="17" t="n">
        <f aca="false">D4*0.5837</f>
        <v>3.0545021</v>
      </c>
      <c r="E10" s="17" t="n">
        <f aca="false">E4*q3_gm</f>
        <v>3.505788</v>
      </c>
      <c r="F10" s="17" t="n">
        <f aca="false">F4*q4_gm</f>
        <v>3.80679</v>
      </c>
      <c r="G10" s="17" t="n">
        <f aca="false">SUM(C10:F10)</f>
        <v>12.7050801</v>
      </c>
      <c r="H10" s="8" t="s">
        <v>410</v>
      </c>
      <c r="I10" s="8" t="s">
        <v>396</v>
      </c>
      <c r="J10" s="8" t="s">
        <v>411</v>
      </c>
    </row>
    <row r="11" customFormat="false" ht="15" hidden="false" customHeight="false" outlineLevel="0" collapsed="false">
      <c r="A11" s="4" t="s">
        <v>412</v>
      </c>
      <c r="B11" s="14" t="n">
        <f aca="false">B10/B4</f>
        <v>0.574</v>
      </c>
      <c r="C11" s="14" t="n">
        <f aca="false">C10/C4</f>
        <v>0.594457157386219</v>
      </c>
      <c r="D11" s="14" t="n">
        <f aca="false">D10/D4</f>
        <v>0.5837</v>
      </c>
      <c r="E11" s="14" t="n">
        <f aca="false">E10/E4</f>
        <v>0.594</v>
      </c>
      <c r="F11" s="14" t="n">
        <f aca="false">F10/F4</f>
        <v>0.6</v>
      </c>
      <c r="G11" s="14" t="n">
        <f aca="false">G10/G4</f>
        <v>0.593344593032623</v>
      </c>
      <c r="H11" s="8" t="s">
        <v>33</v>
      </c>
      <c r="I11" s="8" t="s">
        <v>124</v>
      </c>
      <c r="J11" s="8" t="s">
        <v>124</v>
      </c>
    </row>
    <row r="12" customFormat="false" ht="17.15" hidden="false" customHeight="false" outlineLevel="0" collapsed="false">
      <c r="A12" s="4" t="s">
        <v>413</v>
      </c>
      <c r="C12" s="17" t="n">
        <f aca="false">C10-C13</f>
        <v>1.065</v>
      </c>
      <c r="D12" s="17" t="n">
        <f aca="false">D10-D13</f>
        <v>1.2535021</v>
      </c>
      <c r="E12" s="17" t="n">
        <f aca="false">D12*(1+q_opx)</f>
        <v>1.328712226</v>
      </c>
      <c r="F12" s="17" t="n">
        <f aca="false">E12*(1+q_opx)</f>
        <v>1.40843495956</v>
      </c>
      <c r="G12" s="17" t="n">
        <f aca="false">SUM(C12:F12)</f>
        <v>5.05564928556</v>
      </c>
      <c r="H12" s="8" t="s">
        <v>33</v>
      </c>
      <c r="I12" s="8" t="s">
        <v>124</v>
      </c>
      <c r="J12" s="8" t="s">
        <v>414</v>
      </c>
    </row>
    <row r="13" customFormat="false" ht="17.15" hidden="false" customHeight="false" outlineLevel="0" collapsed="false">
      <c r="A13" s="4" t="s">
        <v>415</v>
      </c>
      <c r="C13" s="16" t="n">
        <v>1.273</v>
      </c>
      <c r="D13" s="16" t="n">
        <v>1.801</v>
      </c>
      <c r="E13" s="17" t="n">
        <f aca="false">E10-E12</f>
        <v>2.177075774</v>
      </c>
      <c r="F13" s="17" t="n">
        <f aca="false">F10-F12</f>
        <v>2.39835504044</v>
      </c>
      <c r="G13" s="17" t="n">
        <f aca="false">SUM(C13:F13)</f>
        <v>7.64943081444</v>
      </c>
      <c r="H13" s="8" t="s">
        <v>416</v>
      </c>
      <c r="I13" s="8" t="s">
        <v>396</v>
      </c>
      <c r="J13" s="8" t="s">
        <v>124</v>
      </c>
    </row>
    <row r="14" customFormat="false" ht="17.15" hidden="false" customHeight="false" outlineLevel="0" collapsed="false">
      <c r="A14" s="4" t="s">
        <v>417</v>
      </c>
      <c r="C14" s="18" t="n">
        <f aca="false">C15/C13</f>
        <v>0.963864886095837</v>
      </c>
      <c r="D14" s="18" t="n">
        <f aca="false">D15/D13</f>
        <v>0.846196557468073</v>
      </c>
      <c r="E14" s="18" t="n">
        <f aca="false">q_nioi</f>
        <v>0.87</v>
      </c>
      <c r="F14" s="18" t="n">
        <f aca="false">q_nioi</f>
        <v>0.87</v>
      </c>
      <c r="G14" s="18" t="n">
        <f aca="false">G15/G13</f>
        <v>0.880016431530482</v>
      </c>
      <c r="H14" s="8" t="s">
        <v>33</v>
      </c>
      <c r="I14" s="8" t="s">
        <v>124</v>
      </c>
      <c r="J14" s="8" t="s">
        <v>124</v>
      </c>
    </row>
    <row r="15" customFormat="false" ht="17.15" hidden="false" customHeight="false" outlineLevel="0" collapsed="false">
      <c r="A15" s="4" t="s">
        <v>418</v>
      </c>
      <c r="B15" s="16" t="n">
        <v>3.18</v>
      </c>
      <c r="C15" s="16" t="n">
        <v>1.227</v>
      </c>
      <c r="D15" s="16" t="n">
        <v>1.524</v>
      </c>
      <c r="E15" s="17" t="n">
        <f aca="false">E13*E14</f>
        <v>1.89405592338</v>
      </c>
      <c r="F15" s="17" t="n">
        <f aca="false">F13*F14</f>
        <v>2.0865688851828</v>
      </c>
      <c r="G15" s="17" t="n">
        <f aca="false">SUM(C15:F15)</f>
        <v>6.7316248085628</v>
      </c>
      <c r="H15" s="8" t="s">
        <v>419</v>
      </c>
      <c r="I15" s="8" t="s">
        <v>396</v>
      </c>
      <c r="J15" s="8" t="s">
        <v>420</v>
      </c>
    </row>
    <row r="16" customFormat="false" ht="17.15" hidden="false" customHeight="false" outlineLevel="0" collapsed="false">
      <c r="A16" s="4" t="s">
        <v>421</v>
      </c>
      <c r="B16" s="19" t="n">
        <f aca="false">B15/B18*1000</f>
        <v>94.9537175276202</v>
      </c>
      <c r="C16" s="19" t="n">
        <f aca="false">C15/C18*1000</f>
        <v>97.9249800478851</v>
      </c>
      <c r="D16" s="19" t="n">
        <f aca="false">D15/D18*1000</f>
        <v>98.0064308681672</v>
      </c>
      <c r="E16" s="19" t="n">
        <f aca="false">D16</f>
        <v>98.0064308681672</v>
      </c>
      <c r="F16" s="19" t="n">
        <f aca="false">D16</f>
        <v>98.0064308681672</v>
      </c>
      <c r="G16" s="19" t="n">
        <f aca="false">AVERAGE(C16:F16)</f>
        <v>97.9860681630967</v>
      </c>
      <c r="H16" s="8" t="s">
        <v>33</v>
      </c>
      <c r="I16" s="4" t="s">
        <v>422</v>
      </c>
      <c r="J16" s="8" t="s">
        <v>124</v>
      </c>
    </row>
    <row r="17" customFormat="false" ht="17.15" hidden="false" customHeight="false" outlineLevel="0" collapsed="false">
      <c r="A17" s="0" t="s">
        <v>423</v>
      </c>
      <c r="B17" s="20" t="n">
        <f aca="false">B15/B16*1000</f>
        <v>33.49</v>
      </c>
      <c r="C17" s="20" t="n">
        <f aca="false">C15/C16*1000</f>
        <v>12.53</v>
      </c>
      <c r="D17" s="20" t="n">
        <f aca="false">D15/D16*1000</f>
        <v>15.55</v>
      </c>
      <c r="E17" s="20" t="n">
        <f aca="false">E15/E16*1000</f>
        <v>19.3258330764823</v>
      </c>
      <c r="F17" s="20" t="n">
        <f aca="false">F15/F16*1000</f>
        <v>21.2901221552444</v>
      </c>
      <c r="G17" s="20" t="n">
        <f aca="false">SUM(C17:F17)</f>
        <v>68.6959552317267</v>
      </c>
      <c r="H17" s="8" t="s">
        <v>33</v>
      </c>
      <c r="I17" s="4" t="s">
        <v>424</v>
      </c>
      <c r="J17" s="8" t="s">
        <v>124</v>
      </c>
    </row>
    <row r="18" customFormat="false" ht="17.15" hidden="false" customHeight="false" outlineLevel="0" collapsed="false">
      <c r="A18" s="4" t="s">
        <v>425</v>
      </c>
      <c r="B18" s="21" t="n">
        <v>33.49</v>
      </c>
      <c r="C18" s="21" t="n">
        <v>12.53</v>
      </c>
      <c r="D18" s="21" t="n">
        <v>15.55</v>
      </c>
      <c r="H18" s="8" t="s">
        <v>426</v>
      </c>
      <c r="I18" s="8" t="s">
        <v>396</v>
      </c>
      <c r="J18" s="8" t="s">
        <v>427</v>
      </c>
    </row>
    <row r="20" customFormat="false" ht="17.15" hidden="false" customHeight="false" outlineLevel="0" collapsed="false">
      <c r="A20" s="6" t="s">
        <v>428</v>
      </c>
    </row>
    <row r="21" customFormat="false" ht="17.15" hidden="false" customHeight="false" outlineLevel="0" collapsed="false">
      <c r="A21" s="0" t="s">
        <v>429</v>
      </c>
      <c r="B21" s="22" t="n">
        <f aca="false">G4/B4-1</f>
        <v>0.600706436420722</v>
      </c>
    </row>
    <row r="22" customFormat="false" ht="17.15" hidden="false" customHeight="false" outlineLevel="0" collapsed="false">
      <c r="A22" s="0" t="s">
        <v>430</v>
      </c>
      <c r="B22" s="22" t="n">
        <f aca="false">E4/D4-1</f>
        <v>0.127842537741257</v>
      </c>
    </row>
    <row r="23" customFormat="false" ht="17.15" hidden="false" customHeight="false" outlineLevel="0" collapsed="false">
      <c r="A23" s="0" t="s">
        <v>431</v>
      </c>
      <c r="B23" s="22" t="n">
        <f aca="false">G5/B5-1</f>
        <v>0.6096067391488</v>
      </c>
    </row>
    <row r="24" customFormat="false" ht="17.15" hidden="false" customHeight="false" outlineLevel="0" collapsed="false">
      <c r="A24" s="0" t="s">
        <v>432</v>
      </c>
      <c r="B24" s="22" t="n">
        <f aca="false">G8/B8-1</f>
        <v>0.547977781302818</v>
      </c>
    </row>
    <row r="25" customFormat="false" ht="17.15" hidden="false" customHeight="false" outlineLevel="0" collapsed="false">
      <c r="A25" s="0" t="s">
        <v>433</v>
      </c>
      <c r="B25" s="22" t="n">
        <f aca="false">G4/cons_rev26-1</f>
        <v>-0.0306631960162972</v>
      </c>
    </row>
    <row r="26" customFormat="false" ht="17.15" hidden="false" customHeight="false" outlineLevel="0" collapsed="false">
      <c r="A26" s="0" t="s">
        <v>434</v>
      </c>
      <c r="B26" s="18" t="n">
        <f aca="false">C17+D17-28.08</f>
        <v>0</v>
      </c>
    </row>
    <row r="28" customFormat="false" ht="15" hidden="false" customHeight="false" outlineLevel="0" collapsed="false">
      <c r="A28" s="1" t="s">
        <v>435</v>
      </c>
      <c r="B28" s="18" t="n">
        <f aca="false">ROUND(B5+B8+B9-B4,6)</f>
        <v>0</v>
      </c>
      <c r="C28" s="18" t="n">
        <f aca="false">ROUND(C5+C8+C9-C4,6)</f>
        <v>0</v>
      </c>
      <c r="D28" s="18" t="n">
        <f aca="false">ROUND(D5+D8+D9-D4,6)</f>
        <v>0</v>
      </c>
      <c r="E28" s="18" t="n">
        <f aca="false">ROUND(E5+E8+E9-E4,6)</f>
        <v>0</v>
      </c>
      <c r="F28" s="18" t="n">
        <f aca="false">ROUND(F5+F8+F9-F4,6)</f>
        <v>0</v>
      </c>
      <c r="G28" s="18" t="n">
        <f aca="false">ROUND(G5+G8+G9-G4,6)</f>
        <v>0</v>
      </c>
    </row>
    <row r="29" customFormat="false" ht="17.15" hidden="false" customHeight="false" outlineLevel="0" collapsed="false">
      <c r="A29" s="4" t="s">
        <v>436</v>
      </c>
    </row>
    <row r="30" customFormat="false" ht="17.15" hidden="false" customHeight="false" outlineLevel="0" collapsed="false">
      <c r="A30" s="1" t="s">
        <v>437</v>
      </c>
      <c r="B30" s="18" t="n">
        <f aca="false">ROUND(B6+B7-B5,6)</f>
        <v>0</v>
      </c>
      <c r="C30" s="18" t="n">
        <f aca="false">ROUND(C6+C7-C5,6)</f>
        <v>0</v>
      </c>
      <c r="D30" s="18" t="n">
        <f aca="false">ROUND(D6+D7-D5,6)</f>
        <v>0</v>
      </c>
      <c r="E30" s="18" t="n">
        <f aca="false">ROUND(E6+E7-E5,6)</f>
        <v>0</v>
      </c>
      <c r="F30" s="18" t="n">
        <f aca="false">ROUND(F6+F7-F5,6)</f>
        <v>0</v>
      </c>
      <c r="G30" s="18" t="n">
        <f aca="false">ROUND(G6+G7-G5,6)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438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439</v>
      </c>
      <c r="D3" s="15" t="s">
        <v>440</v>
      </c>
      <c r="E3" s="15" t="s">
        <v>441</v>
      </c>
      <c r="F3" s="15" t="s">
        <v>442</v>
      </c>
      <c r="G3" s="5" t="s">
        <v>336</v>
      </c>
    </row>
    <row r="4" customFormat="false" ht="17.15" hidden="false" customHeight="false" outlineLevel="0" collapsed="false">
      <c r="A4" s="0" t="s">
        <v>443</v>
      </c>
      <c r="B4" s="4" t="s">
        <v>32</v>
      </c>
      <c r="C4" s="20" t="n">
        <f aca="false">PL!D73</f>
        <v>15.2</v>
      </c>
      <c r="D4" s="20" t="n">
        <f aca="false">PL!E73</f>
        <v>23.7</v>
      </c>
      <c r="E4" s="20" t="n">
        <f aca="false">PL!F73</f>
        <v>26.5</v>
      </c>
      <c r="F4" s="20" t="n">
        <f aca="false">PL!G73</f>
        <v>30.15</v>
      </c>
      <c r="G4" s="8" t="s">
        <v>444</v>
      </c>
    </row>
    <row r="5" customFormat="false" ht="17.15" hidden="false" customHeight="false" outlineLevel="0" collapsed="false">
      <c r="A5" s="4" t="s">
        <v>445</v>
      </c>
      <c r="B5" s="0" t="s">
        <v>45</v>
      </c>
      <c r="C5" s="18" t="n">
        <f aca="false">PL!D74</f>
        <v>0.607994</v>
      </c>
      <c r="D5" s="18" t="n">
        <f aca="false">PL!E74</f>
        <v>0.6560764</v>
      </c>
      <c r="E5" s="18" t="n">
        <f aca="false">PL!F74</f>
        <v>0.6898114</v>
      </c>
      <c r="F5" s="18" t="n">
        <f aca="false">PL!G74</f>
        <v>0.692935</v>
      </c>
      <c r="G5" s="8" t="s">
        <v>446</v>
      </c>
    </row>
    <row r="6" customFormat="false" ht="17.15" hidden="false" customHeight="false" outlineLevel="0" collapsed="false">
      <c r="A6" s="4" t="s">
        <v>447</v>
      </c>
      <c r="B6" s="0" t="s">
        <v>45</v>
      </c>
      <c r="C6" s="18" t="n">
        <f aca="false">PL!D75</f>
        <v>1</v>
      </c>
      <c r="D6" s="18" t="n">
        <f aca="false">PL!E75</f>
        <v>1.68251862509724</v>
      </c>
      <c r="E6" s="18" t="n">
        <f aca="false">PL!F75</f>
        <v>1.97803221266207</v>
      </c>
      <c r="F6" s="18" t="n">
        <f aca="false">PL!G75</f>
        <v>2.26066876114428</v>
      </c>
      <c r="G6" s="4" t="s">
        <v>448</v>
      </c>
    </row>
    <row r="7" customFormat="false" ht="17.15" hidden="false" customHeight="false" outlineLevel="0" collapsed="false">
      <c r="A7" s="4" t="s">
        <v>449</v>
      </c>
      <c r="B7" s="0" t="s">
        <v>45</v>
      </c>
      <c r="C7" s="20" t="n">
        <f aca="false">PL!D76</f>
        <v>1</v>
      </c>
      <c r="D7" s="20" t="n">
        <f aca="false">PL!E76</f>
        <v>1.05</v>
      </c>
      <c r="E7" s="20" t="n">
        <f aca="false">PL!F76</f>
        <v>1.08</v>
      </c>
      <c r="F7" s="20" t="n">
        <f aca="false">PL!G76</f>
        <v>1.1</v>
      </c>
      <c r="G7" s="8" t="s">
        <v>450</v>
      </c>
    </row>
    <row r="8" customFormat="false" ht="15" hidden="false" customHeight="false" outlineLevel="0" collapsed="false">
      <c r="A8" s="4" t="s">
        <v>451</v>
      </c>
      <c r="B8" s="0" t="s">
        <v>45</v>
      </c>
      <c r="C8" s="18" t="n">
        <f aca="false">PL!D77</f>
        <v>1</v>
      </c>
      <c r="D8" s="18" t="n">
        <f aca="false">PL!E77</f>
        <v>1.05</v>
      </c>
      <c r="E8" s="18" t="n">
        <f aca="false">PL!F77</f>
        <v>1.1025</v>
      </c>
      <c r="F8" s="18" t="n">
        <f aca="false">PL!G77</f>
        <v>1.157625</v>
      </c>
      <c r="G8" s="8" t="s">
        <v>46</v>
      </c>
    </row>
    <row r="9" customFormat="false" ht="17.15" hidden="false" customHeight="false" outlineLevel="0" collapsed="false">
      <c r="A9" s="4" t="s">
        <v>452</v>
      </c>
      <c r="B9" s="0" t="s">
        <v>189</v>
      </c>
      <c r="C9" s="20" t="n">
        <f aca="false">PL!D79</f>
        <v>9.5342409</v>
      </c>
      <c r="D9" s="20" t="n">
        <f aca="false">PL!E79</f>
        <v>17.6857955241812</v>
      </c>
      <c r="E9" s="20" t="n">
        <f aca="false">PL!F79</f>
        <v>22.4554537168779</v>
      </c>
      <c r="F9" s="20" t="n">
        <f aca="false">PL!G79</f>
        <v>27.4462892800048</v>
      </c>
      <c r="G9" s="8" t="s">
        <v>453</v>
      </c>
    </row>
    <row r="10" customFormat="false" ht="17.15" hidden="false" customHeight="false" outlineLevel="0" collapsed="false">
      <c r="A10" s="4" t="s">
        <v>454</v>
      </c>
      <c r="B10" s="0" t="s">
        <v>455</v>
      </c>
      <c r="C10" s="23" t="n">
        <f aca="false">PL!D79/PL!D73*1000</f>
        <v>627.252690789474</v>
      </c>
      <c r="D10" s="23" t="n">
        <f aca="false">PL!E79/PL!E73*1000</f>
        <v>746.236098066719</v>
      </c>
      <c r="E10" s="23" t="n">
        <f aca="false">PL!F79/PL!F73*1000</f>
        <v>847.375611957656</v>
      </c>
      <c r="F10" s="23" t="n">
        <f aca="false">PL!G79/PL!G73*1000</f>
        <v>910.324685903975</v>
      </c>
      <c r="G10" s="4" t="s">
        <v>456</v>
      </c>
    </row>
    <row r="11" customFormat="false" ht="17.15" hidden="false" customHeight="false" outlineLevel="0" collapsed="false">
      <c r="A11" s="0" t="s">
        <v>457</v>
      </c>
      <c r="B11" s="0" t="s">
        <v>458</v>
      </c>
      <c r="C11" s="21" t="n">
        <v>11.5</v>
      </c>
      <c r="D11" s="21" t="n">
        <v>16.2309519650655</v>
      </c>
      <c r="E11" s="21" t="n">
        <v>18.2430869197178</v>
      </c>
      <c r="F11" s="21" t="n">
        <v>20.3107479175008</v>
      </c>
      <c r="G11" s="8" t="s">
        <v>459</v>
      </c>
    </row>
    <row r="12" customFormat="false" ht="17.15" hidden="false" customHeight="false" outlineLevel="0" collapsed="false">
      <c r="A12" s="4" t="s">
        <v>460</v>
      </c>
      <c r="B12" s="0" t="s">
        <v>90</v>
      </c>
      <c r="D12" s="22" t="n">
        <f aca="false">D9/C9-1</f>
        <v>0.854976784169702</v>
      </c>
      <c r="E12" s="22" t="n">
        <f aca="false">E9/D9-1</f>
        <v>0.269688642853257</v>
      </c>
      <c r="F12" s="22" t="n">
        <f aca="false">F9/E9-1</f>
        <v>0.222254941986577</v>
      </c>
      <c r="G12" s="4" t="s">
        <v>461</v>
      </c>
    </row>
    <row r="13" customFormat="false" ht="17.15" hidden="false" customHeight="false" outlineLevel="0" collapsed="false">
      <c r="A13" s="0" t="s">
        <v>462</v>
      </c>
      <c r="B13" s="0" t="s">
        <v>90</v>
      </c>
      <c r="C13" s="24" t="n">
        <v>0.666666666666667</v>
      </c>
      <c r="D13" s="22" t="n">
        <f aca="false">D11/C11-1</f>
        <v>0.411387127397</v>
      </c>
      <c r="E13" s="22" t="n">
        <f aca="false">E11/D11-1</f>
        <v>0.123969004343251</v>
      </c>
      <c r="F13" s="22" t="n">
        <f aca="false">F11/E11-1</f>
        <v>0.113339425881274</v>
      </c>
      <c r="G13" s="4" t="s">
        <v>463</v>
      </c>
    </row>
    <row r="15" customFormat="false" ht="17.15" hidden="false" customHeight="false" outlineLevel="0" collapsed="false">
      <c r="A15" s="1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465</v>
      </c>
    </row>
    <row r="2" customFormat="false" ht="17.15" hidden="false" customHeight="false" outlineLevel="0" collapsed="false">
      <c r="A2" s="4" t="s">
        <v>466</v>
      </c>
    </row>
    <row r="3" customFormat="false" ht="17.15" hidden="false" customHeight="false" outlineLevel="0" collapsed="false">
      <c r="A3" s="5" t="s">
        <v>467</v>
      </c>
      <c r="B3" s="5" t="s">
        <v>22</v>
      </c>
      <c r="C3" s="15" t="s">
        <v>387</v>
      </c>
      <c r="D3" s="15" t="s">
        <v>468</v>
      </c>
      <c r="E3" s="15" t="s">
        <v>469</v>
      </c>
      <c r="F3" s="15" t="s">
        <v>470</v>
      </c>
      <c r="G3" s="15" t="s">
        <v>471</v>
      </c>
      <c r="H3" s="15" t="s">
        <v>472</v>
      </c>
      <c r="I3" s="15" t="s">
        <v>473</v>
      </c>
      <c r="J3" s="15" t="s">
        <v>474</v>
      </c>
      <c r="K3" s="5" t="s">
        <v>336</v>
      </c>
    </row>
    <row r="4" customFormat="false" ht="17.15" hidden="false" customHeight="false" outlineLevel="0" collapsed="false">
      <c r="A4" s="1" t="s">
        <v>475</v>
      </c>
    </row>
    <row r="5" customFormat="false" ht="15" hidden="false" customHeight="false" outlineLevel="0" collapsed="false">
      <c r="A5" s="4" t="s">
        <v>394</v>
      </c>
      <c r="B5" s="0" t="s">
        <v>189</v>
      </c>
      <c r="C5" s="19" t="n">
        <f aca="false">C86</f>
        <v>13.377</v>
      </c>
      <c r="D5" s="19" t="n">
        <f aca="false">D86</f>
        <v>21.41265</v>
      </c>
      <c r="E5" s="19" t="n">
        <f aca="false">E86</f>
        <v>31.7961467333342</v>
      </c>
      <c r="F5" s="19" t="n">
        <f aca="false">F86</f>
        <v>39.2036647683319</v>
      </c>
      <c r="G5" s="19" t="n">
        <f aca="false">G86</f>
        <v>46.6954194802045</v>
      </c>
      <c r="H5" s="25" t="n">
        <f aca="false">H86</f>
        <v>53.5782722007526</v>
      </c>
      <c r="I5" s="25" t="n">
        <f aca="false">I86</f>
        <v>59.1343091320141</v>
      </c>
      <c r="J5" s="25" t="n">
        <f aca="false">J86</f>
        <v>62.682367679935</v>
      </c>
    </row>
    <row r="6" customFormat="false" ht="15" hidden="false" customHeight="false" outlineLevel="0" collapsed="false">
      <c r="A6" s="4" t="s">
        <v>476</v>
      </c>
      <c r="B6" s="0" t="s">
        <v>90</v>
      </c>
      <c r="D6" s="22" t="n">
        <f aca="false">D87</f>
        <v>0.600706436420722</v>
      </c>
      <c r="E6" s="22" t="n">
        <f aca="false">E87</f>
        <v>0.484923479033854</v>
      </c>
      <c r="F6" s="22" t="n">
        <f aca="false">F87</f>
        <v>0.232969048014608</v>
      </c>
      <c r="G6" s="22" t="n">
        <f aca="false">G87</f>
        <v>0.191098326040283</v>
      </c>
      <c r="H6" s="26" t="n">
        <f aca="false">H87</f>
        <v>0.147398884026855</v>
      </c>
      <c r="I6" s="26" t="n">
        <f aca="false">I87</f>
        <v>0.103699442013428</v>
      </c>
      <c r="J6" s="26" t="n">
        <f aca="false">J87</f>
        <v>0.06</v>
      </c>
    </row>
    <row r="7" customFormat="false" ht="15" hidden="false" customHeight="false" outlineLevel="0" collapsed="false">
      <c r="A7" s="4" t="s">
        <v>477</v>
      </c>
      <c r="B7" s="0" t="s">
        <v>189</v>
      </c>
      <c r="C7" s="19" t="n">
        <f aca="false">C81</f>
        <v>9.872226</v>
      </c>
      <c r="D7" s="19" t="n">
        <f aca="false">D81</f>
        <v>15.8904015</v>
      </c>
      <c r="E7" s="19" t="n">
        <f aca="false">E81</f>
        <v>24.4868873661812</v>
      </c>
      <c r="F7" s="19" t="n">
        <f aca="false">F81</f>
        <v>29.7326219878179</v>
      </c>
      <c r="G7" s="19" t="n">
        <f aca="false">G81</f>
        <v>35.2328593299106</v>
      </c>
    </row>
    <row r="8" customFormat="false" ht="17.15" hidden="false" customHeight="false" outlineLevel="0" collapsed="false">
      <c r="A8" s="0" t="s">
        <v>478</v>
      </c>
      <c r="B8" s="0" t="s">
        <v>189</v>
      </c>
      <c r="C8" s="19" t="n">
        <f aca="false">C79</f>
        <v>5.4297243</v>
      </c>
      <c r="D8" s="19" t="n">
        <f aca="false">D79</f>
        <v>9.5342409</v>
      </c>
      <c r="E8" s="19" t="n">
        <f aca="false">E79</f>
        <v>17.6857955241812</v>
      </c>
      <c r="F8" s="19" t="n">
        <f aca="false">F79</f>
        <v>22.4554537168779</v>
      </c>
      <c r="G8" s="19" t="n">
        <f aca="false">G79</f>
        <v>27.4462892800048</v>
      </c>
    </row>
    <row r="9" customFormat="false" ht="17.15" hidden="false" customHeight="false" outlineLevel="0" collapsed="false">
      <c r="A9" s="0" t="s">
        <v>479</v>
      </c>
      <c r="B9" s="0" t="s">
        <v>90</v>
      </c>
      <c r="C9" s="22" t="n">
        <f aca="false">C88</f>
        <v>0.4059</v>
      </c>
      <c r="D9" s="22" t="n">
        <f aca="false">D88</f>
        <v>0.445262071719287</v>
      </c>
      <c r="E9" s="22" t="n">
        <f aca="false">E88</f>
        <v>0.556224490738053</v>
      </c>
      <c r="F9" s="22" t="n">
        <f aca="false">F88</f>
        <v>0.572789657537758</v>
      </c>
      <c r="G9" s="22" t="n">
        <f aca="false">G88</f>
        <v>0.587772624928235</v>
      </c>
    </row>
    <row r="10" customFormat="false" ht="15" hidden="false" customHeight="false" outlineLevel="0" collapsed="false">
      <c r="A10" s="4" t="s">
        <v>480</v>
      </c>
      <c r="B10" s="0" t="s">
        <v>189</v>
      </c>
      <c r="C10" s="19" t="n">
        <f aca="false">C84</f>
        <v>3.290742</v>
      </c>
      <c r="D10" s="19" t="n">
        <f aca="false">D84</f>
        <v>5.0939955</v>
      </c>
      <c r="E10" s="19" t="n">
        <f aca="false">E84</f>
        <v>6.859593717153</v>
      </c>
      <c r="F10" s="19" t="n">
        <f aca="false">F84</f>
        <v>8.99889384801401</v>
      </c>
      <c r="G10" s="19" t="n">
        <f aca="false">G84</f>
        <v>10.9668037711689</v>
      </c>
    </row>
    <row r="11" customFormat="false" ht="17.15" hidden="false" customHeight="false" outlineLevel="0" collapsed="false">
      <c r="A11" s="0" t="s">
        <v>481</v>
      </c>
      <c r="B11" s="0" t="s">
        <v>189</v>
      </c>
      <c r="D11" s="19" t="n">
        <f aca="false">D82</f>
        <v>0.24</v>
      </c>
      <c r="E11" s="19" t="n">
        <f aca="false">E82</f>
        <v>1.2</v>
      </c>
      <c r="F11" s="19" t="n">
        <f aca="false">F82</f>
        <v>2.4</v>
      </c>
      <c r="G11" s="19" t="n">
        <f aca="false">G82</f>
        <v>3.84</v>
      </c>
    </row>
    <row r="12" customFormat="false" ht="15" hidden="false" customHeight="false" outlineLevel="0" collapsed="false">
      <c r="A12" s="4" t="s">
        <v>412</v>
      </c>
      <c r="B12" s="0" t="s">
        <v>90</v>
      </c>
      <c r="C12" s="14" t="n">
        <f aca="false">C91</f>
        <v>0.574</v>
      </c>
      <c r="D12" s="14" t="n">
        <f aca="false">D91</f>
        <v>0.593344593032623</v>
      </c>
      <c r="E12" s="14" t="n">
        <f aca="false">E91</f>
        <v>0.6</v>
      </c>
      <c r="F12" s="14" t="n">
        <f aca="false">F91</f>
        <v>0.61</v>
      </c>
      <c r="G12" s="14" t="n">
        <f aca="false">G91</f>
        <v>0.61</v>
      </c>
    </row>
    <row r="13" customFormat="false" ht="15" hidden="false" customHeight="false" outlineLevel="0" collapsed="false">
      <c r="A13" s="4" t="s">
        <v>482</v>
      </c>
      <c r="B13" s="0" t="s">
        <v>90</v>
      </c>
      <c r="D13" s="14" t="n">
        <f aca="false">D95</f>
        <v>0.357238866484999</v>
      </c>
      <c r="E13" s="14" t="n">
        <f aca="false">E95</f>
        <v>0.394735784669312</v>
      </c>
      <c r="F13" s="14" t="n">
        <f aca="false">F95</f>
        <v>0.420249623857428</v>
      </c>
      <c r="G13" s="14" t="n">
        <f aca="false">G95</f>
        <v>0.432426949088639</v>
      </c>
    </row>
    <row r="14" customFormat="false" ht="15" hidden="false" customHeight="false" outlineLevel="0" collapsed="false">
      <c r="A14" s="4" t="s">
        <v>418</v>
      </c>
      <c r="B14" s="0" t="s">
        <v>189</v>
      </c>
      <c r="C14" s="19" t="n">
        <f aca="false">C96</f>
        <v>3.18</v>
      </c>
      <c r="D14" s="19" t="n">
        <f aca="false">D96</f>
        <v>6.7316248085628</v>
      </c>
      <c r="E14" s="19" t="n">
        <f aca="false">E96</f>
        <v>10.6684153907068</v>
      </c>
      <c r="F14" s="19" t="n">
        <f aca="false">F96</f>
        <v>14.0040265668155</v>
      </c>
      <c r="G14" s="19" t="n">
        <f aca="false">G96</f>
        <v>17.1635041149032</v>
      </c>
      <c r="H14" s="25" t="n">
        <f aca="false">H96</f>
        <v>19.6933854674303</v>
      </c>
      <c r="I14" s="25" t="n">
        <f aca="false">I96</f>
        <v>21.7355785517581</v>
      </c>
      <c r="J14" s="25" t="n">
        <f aca="false">J96</f>
        <v>23.0397132648636</v>
      </c>
    </row>
    <row r="15" customFormat="false" ht="15" hidden="false" customHeight="false" outlineLevel="0" collapsed="false">
      <c r="A15" s="4" t="s">
        <v>483</v>
      </c>
      <c r="B15" s="0" t="s">
        <v>90</v>
      </c>
      <c r="C15" s="14" t="n">
        <f aca="false">C100</f>
        <v>0.237721462211258</v>
      </c>
      <c r="D15" s="14" t="n">
        <f aca="false">D100</f>
        <v>0.314376072488123</v>
      </c>
      <c r="E15" s="14" t="n">
        <f aca="false">E100</f>
        <v>0.335525416968915</v>
      </c>
      <c r="F15" s="14" t="n">
        <f aca="false">F100</f>
        <v>0.357212180278813</v>
      </c>
      <c r="G15" s="14" t="n">
        <f aca="false">G100</f>
        <v>0.367562906725343</v>
      </c>
      <c r="H15" s="27" t="n">
        <f aca="false">H100</f>
        <v>0.367562906725343</v>
      </c>
      <c r="I15" s="27" t="n">
        <f aca="false">I100</f>
        <v>0.367562906725343</v>
      </c>
      <c r="J15" s="27" t="n">
        <f aca="false">J100</f>
        <v>0.367562906725343</v>
      </c>
    </row>
    <row r="16" customFormat="false" ht="15" hidden="false" customHeight="false" outlineLevel="0" collapsed="false">
      <c r="A16" s="0" t="s">
        <v>423</v>
      </c>
      <c r="B16" s="0" t="s">
        <v>256</v>
      </c>
      <c r="C16" s="20" t="n">
        <f aca="false">C98</f>
        <v>33.49</v>
      </c>
      <c r="D16" s="20" t="n">
        <f aca="false">D98</f>
        <v>68.6959552317267</v>
      </c>
      <c r="E16" s="20" t="n">
        <f aca="false">E98</f>
        <v>108.876859646509</v>
      </c>
      <c r="F16" s="20" t="n">
        <f aca="false">F98</f>
        <v>142.918547803204</v>
      </c>
      <c r="G16" s="20" t="n">
        <f aca="false">G98</f>
        <v>175.162698500513</v>
      </c>
      <c r="H16" s="28" t="n">
        <f aca="false">H98</f>
        <v>200.981484782621</v>
      </c>
      <c r="I16" s="28" t="n">
        <f aca="false">I98</f>
        <v>221.823152609609</v>
      </c>
      <c r="J16" s="28" t="n">
        <f aca="false">J98</f>
        <v>235.132541766185</v>
      </c>
    </row>
    <row r="17" customFormat="false" ht="17.15" hidden="false" customHeight="false" outlineLevel="0" collapsed="false">
      <c r="A17" s="0" t="s">
        <v>484</v>
      </c>
      <c r="B17" s="0" t="s">
        <v>90</v>
      </c>
      <c r="D17" s="22" t="n">
        <f aca="false">D99</f>
        <v>1.05123783910799</v>
      </c>
      <c r="E17" s="22" t="n">
        <f aca="false">E99</f>
        <v>0.584909319322275</v>
      </c>
      <c r="F17" s="22" t="n">
        <f aca="false">F99</f>
        <v>0.312662289004456</v>
      </c>
      <c r="G17" s="22" t="n">
        <f aca="false">G99</f>
        <v>0.225612078998369</v>
      </c>
      <c r="H17" s="26" t="n">
        <f aca="false">H99</f>
        <v>0.147398884026855</v>
      </c>
      <c r="I17" s="26" t="n">
        <f aca="false">I99</f>
        <v>0.103699442013428</v>
      </c>
      <c r="J17" s="26" t="n">
        <f aca="false">J99</f>
        <v>0.0600000000000001</v>
      </c>
    </row>
    <row r="19" customFormat="false" ht="17.15" hidden="false" customHeight="false" outlineLevel="0" collapsed="false">
      <c r="A19" s="1" t="s">
        <v>485</v>
      </c>
    </row>
    <row r="20" customFormat="false" ht="15" hidden="false" customHeight="false" outlineLevel="0" collapsed="false">
      <c r="A20" s="4" t="s">
        <v>394</v>
      </c>
      <c r="B20" s="0" t="s">
        <v>189</v>
      </c>
      <c r="C20" s="19" t="n">
        <f aca="false">C119</f>
        <v>13.377</v>
      </c>
      <c r="D20" s="19" t="n">
        <f aca="false">D119</f>
        <v>21.41265</v>
      </c>
      <c r="E20" s="19" t="n">
        <f aca="false">E119</f>
        <v>30.4739659940875</v>
      </c>
      <c r="F20" s="19" t="n">
        <f aca="false">F119</f>
        <v>31.2425803405026</v>
      </c>
      <c r="G20" s="19" t="n">
        <f aca="false">G119</f>
        <v>36.7874367221481</v>
      </c>
      <c r="H20" s="25" t="n">
        <f aca="false">H119</f>
        <v>41.6305651224657</v>
      </c>
      <c r="I20" s="25" t="n">
        <f aca="false">I119</f>
        <v>45.2035436566513</v>
      </c>
      <c r="J20" s="25" t="n">
        <f aca="false">J119</f>
        <v>47.0116854029173</v>
      </c>
    </row>
    <row r="21" customFormat="false" ht="15" hidden="false" customHeight="false" outlineLevel="0" collapsed="false">
      <c r="A21" s="4" t="s">
        <v>476</v>
      </c>
      <c r="B21" s="0" t="s">
        <v>90</v>
      </c>
      <c r="D21" s="22" t="n">
        <f aca="false">D120</f>
        <v>0.600706436420722</v>
      </c>
      <c r="E21" s="22" t="n">
        <f aca="false">E120</f>
        <v>0.423175832701115</v>
      </c>
      <c r="F21" s="22" t="n">
        <f aca="false">F120</f>
        <v>0.0252219992161231</v>
      </c>
      <c r="G21" s="22" t="n">
        <f aca="false">G120</f>
        <v>0.177477542546549</v>
      </c>
      <c r="H21" s="26" t="n">
        <f aca="false">H120</f>
        <v>0.131651695031033</v>
      </c>
      <c r="I21" s="26" t="n">
        <f aca="false">I120</f>
        <v>0.0858258475155164</v>
      </c>
      <c r="J21" s="26" t="n">
        <f aca="false">J120</f>
        <v>0.04</v>
      </c>
    </row>
    <row r="22" customFormat="false" ht="15" hidden="false" customHeight="false" outlineLevel="0" collapsed="false">
      <c r="A22" s="4" t="s">
        <v>477</v>
      </c>
      <c r="B22" s="0" t="s">
        <v>189</v>
      </c>
      <c r="C22" s="19" t="n">
        <f aca="false">C114</f>
        <v>9.872226</v>
      </c>
      <c r="D22" s="19" t="n">
        <f aca="false">D114</f>
        <v>15.8904015</v>
      </c>
      <c r="E22" s="19" t="n">
        <f aca="false">E114</f>
        <v>23.6447066269345</v>
      </c>
      <c r="F22" s="19" t="n">
        <f aca="false">F114</f>
        <v>23.9108376908495</v>
      </c>
      <c r="G22" s="19" t="n">
        <f aca="false">G114</f>
        <v>28.9950663117277</v>
      </c>
    </row>
    <row r="23" customFormat="false" ht="17.15" hidden="false" customHeight="false" outlineLevel="0" collapsed="false">
      <c r="A23" s="0" t="s">
        <v>478</v>
      </c>
      <c r="B23" s="0" t="s">
        <v>189</v>
      </c>
      <c r="C23" s="19" t="n">
        <f aca="false">C112</f>
        <v>5.4297243</v>
      </c>
      <c r="D23" s="19" t="n">
        <f aca="false">D112</f>
        <v>9.5342409</v>
      </c>
      <c r="E23" s="19" t="n">
        <f aca="false">E112</f>
        <v>16.8436147849345</v>
      </c>
      <c r="F23" s="19" t="n">
        <f aca="false">F112</f>
        <v>16.6336694199096</v>
      </c>
      <c r="G23" s="19" t="n">
        <f aca="false">G112</f>
        <v>21.2084962618219</v>
      </c>
    </row>
    <row r="24" customFormat="false" ht="17.15" hidden="false" customHeight="false" outlineLevel="0" collapsed="false">
      <c r="A24" s="0" t="s">
        <v>479</v>
      </c>
      <c r="B24" s="0" t="s">
        <v>90</v>
      </c>
      <c r="C24" s="22" t="n">
        <f aca="false">C121</f>
        <v>0.4059</v>
      </c>
      <c r="D24" s="22" t="n">
        <f aca="false">D121</f>
        <v>0.445262071719287</v>
      </c>
      <c r="E24" s="22" t="n">
        <f aca="false">E121</f>
        <v>0.552721453722252</v>
      </c>
      <c r="F24" s="22" t="n">
        <f aca="false">F121</f>
        <v>0.532403829601291</v>
      </c>
      <c r="G24" s="22" t="n">
        <f aca="false">G121</f>
        <v>0.576514651510178</v>
      </c>
    </row>
    <row r="25" customFormat="false" ht="15" hidden="false" customHeight="false" outlineLevel="0" collapsed="false">
      <c r="A25" s="4" t="s">
        <v>480</v>
      </c>
      <c r="B25" s="0" t="s">
        <v>189</v>
      </c>
      <c r="C25" s="19" t="n">
        <f aca="false">C117</f>
        <v>3.290742</v>
      </c>
      <c r="D25" s="19" t="n">
        <f aca="false">D117</f>
        <v>5.0939955</v>
      </c>
      <c r="E25" s="19" t="n">
        <f aca="false">E117</f>
        <v>6.379593717153</v>
      </c>
      <c r="F25" s="19" t="n">
        <f aca="false">F117</f>
        <v>6.859593717153</v>
      </c>
      <c r="G25" s="19" t="n">
        <f aca="false">G117</f>
        <v>7.29661403129535</v>
      </c>
    </row>
    <row r="26" customFormat="false" ht="17.15" hidden="false" customHeight="false" outlineLevel="0" collapsed="false">
      <c r="A26" s="0" t="s">
        <v>481</v>
      </c>
      <c r="B26" s="0" t="s">
        <v>189</v>
      </c>
      <c r="D26" s="19" t="n">
        <f aca="false">D115</f>
        <v>0.24</v>
      </c>
      <c r="E26" s="19" t="n">
        <f aca="false">E115</f>
        <v>0.72</v>
      </c>
      <c r="F26" s="19" t="n">
        <f aca="false">F115</f>
        <v>1.2</v>
      </c>
      <c r="G26" s="19" t="n">
        <f aca="false">G115</f>
        <v>1.92</v>
      </c>
    </row>
    <row r="27" customFormat="false" ht="15" hidden="false" customHeight="false" outlineLevel="0" collapsed="false">
      <c r="A27" s="4" t="s">
        <v>412</v>
      </c>
      <c r="B27" s="0" t="s">
        <v>90</v>
      </c>
      <c r="C27" s="14" t="n">
        <f aca="false">C124</f>
        <v>0.574</v>
      </c>
      <c r="D27" s="14" t="n">
        <f aca="false">D124</f>
        <v>0.593344593032623</v>
      </c>
      <c r="E27" s="14" t="n">
        <f aca="false">E124</f>
        <v>0.595</v>
      </c>
      <c r="F27" s="14" t="n">
        <f aca="false">F124</f>
        <v>0.595</v>
      </c>
      <c r="G27" s="14" t="n">
        <f aca="false">G124</f>
        <v>0.595</v>
      </c>
    </row>
    <row r="28" customFormat="false" ht="15" hidden="false" customHeight="false" outlineLevel="0" collapsed="false">
      <c r="A28" s="4" t="s">
        <v>482</v>
      </c>
      <c r="B28" s="0" t="s">
        <v>90</v>
      </c>
      <c r="D28" s="14" t="n">
        <f aca="false">D128</f>
        <v>0.357238866484999</v>
      </c>
      <c r="E28" s="14" t="n">
        <f aca="false">E128</f>
        <v>0.386976323510142</v>
      </c>
      <c r="F28" s="14" t="n">
        <f aca="false">F128</f>
        <v>0.389023401317436</v>
      </c>
      <c r="G28" s="14" t="n">
        <f aca="false">G128</f>
        <v>0.401441887185869</v>
      </c>
    </row>
    <row r="29" customFormat="false" ht="15" hidden="false" customHeight="false" outlineLevel="0" collapsed="false">
      <c r="A29" s="4" t="s">
        <v>418</v>
      </c>
      <c r="B29" s="0" t="s">
        <v>189</v>
      </c>
      <c r="C29" s="19" t="n">
        <f aca="false">C129</f>
        <v>3.18</v>
      </c>
      <c r="D29" s="19" t="n">
        <f aca="false">D129</f>
        <v>6.7316248085628</v>
      </c>
      <c r="E29" s="19" t="n">
        <f aca="false">E129</f>
        <v>10.0237978246903</v>
      </c>
      <c r="F29" s="19" t="n">
        <f aca="false">F129</f>
        <v>10.3309806394962</v>
      </c>
      <c r="G29" s="19" t="n">
        <f aca="false">G129</f>
        <v>12.5528153190994</v>
      </c>
      <c r="H29" s="25" t="n">
        <f aca="false">H129</f>
        <v>13.731900908828</v>
      </c>
      <c r="I29" s="25" t="n">
        <f aca="false">I129</f>
        <v>14.3962993925918</v>
      </c>
      <c r="J29" s="25" t="n">
        <f aca="false">J129</f>
        <v>14.4374316765707</v>
      </c>
    </row>
    <row r="30" customFormat="false" ht="15" hidden="false" customHeight="false" outlineLevel="0" collapsed="false">
      <c r="A30" s="4" t="s">
        <v>483</v>
      </c>
      <c r="B30" s="0" t="s">
        <v>90</v>
      </c>
      <c r="C30" s="14" t="n">
        <f aca="false">C133</f>
        <v>0.237721462211258</v>
      </c>
      <c r="D30" s="14" t="n">
        <f aca="false">D133</f>
        <v>0.314376072488123</v>
      </c>
      <c r="E30" s="14" t="n">
        <f aca="false">E133</f>
        <v>0.328929874983621</v>
      </c>
      <c r="F30" s="14" t="n">
        <f aca="false">F133</f>
        <v>0.330669891119821</v>
      </c>
      <c r="G30" s="14" t="n">
        <f aca="false">G133</f>
        <v>0.341225604107989</v>
      </c>
      <c r="H30" s="27" t="n">
        <f aca="false">H133</f>
        <v>0.329851417304389</v>
      </c>
      <c r="I30" s="27" t="n">
        <f aca="false">I133</f>
        <v>0.318477230500789</v>
      </c>
      <c r="J30" s="27" t="n">
        <f aca="false">J133</f>
        <v>0.30710304369719</v>
      </c>
    </row>
    <row r="31" customFormat="false" ht="15" hidden="false" customHeight="false" outlineLevel="0" collapsed="false">
      <c r="A31" s="0" t="s">
        <v>423</v>
      </c>
      <c r="B31" s="0" t="s">
        <v>256</v>
      </c>
      <c r="C31" s="20" t="n">
        <f aca="false">C131</f>
        <v>33.49</v>
      </c>
      <c r="D31" s="20" t="n">
        <f aca="false">D131</f>
        <v>68.6959552317267</v>
      </c>
      <c r="E31" s="20" t="n">
        <f aca="false">E131</f>
        <v>102.298194147415</v>
      </c>
      <c r="F31" s="20" t="n">
        <f aca="false">F131</f>
        <v>105.433158337371</v>
      </c>
      <c r="G31" s="20" t="n">
        <f aca="false">G131</f>
        <v>128.108164297453</v>
      </c>
      <c r="H31" s="28" t="n">
        <f aca="false">H131</f>
        <v>140.141360565375</v>
      </c>
      <c r="I31" s="28" t="n">
        <f aca="false">I131</f>
        <v>146.921900862777</v>
      </c>
      <c r="J31" s="28" t="n">
        <f aca="false">J131</f>
        <v>147.341677722385</v>
      </c>
    </row>
    <row r="32" customFormat="false" ht="17.15" hidden="false" customHeight="false" outlineLevel="0" collapsed="false">
      <c r="A32" s="0" t="s">
        <v>484</v>
      </c>
      <c r="B32" s="0" t="s">
        <v>90</v>
      </c>
      <c r="D32" s="22" t="n">
        <f aca="false">D132</f>
        <v>1.05123783910799</v>
      </c>
      <c r="E32" s="22" t="n">
        <f aca="false">E132</f>
        <v>0.489144357951507</v>
      </c>
      <c r="F32" s="22" t="n">
        <f aca="false">F132</f>
        <v>0.0306453522086474</v>
      </c>
      <c r="G32" s="22" t="n">
        <f aca="false">G132</f>
        <v>0.215065225377433</v>
      </c>
      <c r="H32" s="26" t="n">
        <f aca="false">H132</f>
        <v>0.0939299718633315</v>
      </c>
      <c r="I32" s="26" t="n">
        <f aca="false">I132</f>
        <v>0.0483835769115333</v>
      </c>
      <c r="J32" s="26" t="n">
        <f aca="false">J132</f>
        <v>0.00285714285714289</v>
      </c>
    </row>
    <row r="34" customFormat="false" ht="17.15" hidden="false" customHeight="false" outlineLevel="0" collapsed="false">
      <c r="A34" s="1" t="s">
        <v>486</v>
      </c>
    </row>
    <row r="35" customFormat="false" ht="15" hidden="false" customHeight="false" outlineLevel="0" collapsed="false">
      <c r="A35" s="4" t="s">
        <v>394</v>
      </c>
      <c r="B35" s="0" t="s">
        <v>189</v>
      </c>
      <c r="C35" s="19" t="n">
        <f aca="false">C152</f>
        <v>13.377</v>
      </c>
      <c r="D35" s="19" t="n">
        <f aca="false">D152</f>
        <v>21.41265</v>
      </c>
      <c r="E35" s="19" t="n">
        <f aca="false">E152</f>
        <v>28.8864768112928</v>
      </c>
      <c r="F35" s="19" t="n">
        <f aca="false">F152</f>
        <v>23.9752139943027</v>
      </c>
      <c r="G35" s="19" t="n">
        <f aca="false">G152</f>
        <v>27.867017903277</v>
      </c>
      <c r="H35" s="25" t="n">
        <f aca="false">H152</f>
        <v>31.0684949623466</v>
      </c>
      <c r="I35" s="25" t="n">
        <f aca="false">I152</f>
        <v>33.1638178346034</v>
      </c>
      <c r="J35" s="25" t="n">
        <f aca="false">J152</f>
        <v>33.8270941912954</v>
      </c>
    </row>
    <row r="36" customFormat="false" ht="15" hidden="false" customHeight="false" outlineLevel="0" collapsed="false">
      <c r="A36" s="4" t="s">
        <v>476</v>
      </c>
      <c r="B36" s="0" t="s">
        <v>90</v>
      </c>
      <c r="D36" s="22" t="n">
        <f aca="false">D153</f>
        <v>0.600706436420722</v>
      </c>
      <c r="E36" s="22" t="n">
        <f aca="false">E153</f>
        <v>0.349037919701333</v>
      </c>
      <c r="F36" s="22" t="n">
        <f aca="false">F153</f>
        <v>-0.170019447130017</v>
      </c>
      <c r="G36" s="22" t="n">
        <f aca="false">G153</f>
        <v>0.162326138565398</v>
      </c>
      <c r="H36" s="26" t="n">
        <f aca="false">H153</f>
        <v>0.114884092376932</v>
      </c>
      <c r="I36" s="26" t="n">
        <f aca="false">I153</f>
        <v>0.0674420461884661</v>
      </c>
      <c r="J36" s="26" t="n">
        <f aca="false">J153</f>
        <v>0.02</v>
      </c>
    </row>
    <row r="37" customFormat="false" ht="15" hidden="false" customHeight="false" outlineLevel="0" collapsed="false">
      <c r="A37" s="4" t="s">
        <v>477</v>
      </c>
      <c r="B37" s="0" t="s">
        <v>189</v>
      </c>
      <c r="C37" s="19" t="n">
        <f aca="false">C147</f>
        <v>9.872226</v>
      </c>
      <c r="D37" s="19" t="n">
        <f aca="false">D147</f>
        <v>15.8904015</v>
      </c>
      <c r="E37" s="19" t="n">
        <f aca="false">E147</f>
        <v>22.2972174441398</v>
      </c>
      <c r="F37" s="19" t="n">
        <f aca="false">F147</f>
        <v>18.2553900880803</v>
      </c>
      <c r="G37" s="19" t="n">
        <f aca="false">G147</f>
        <v>20.511667806999</v>
      </c>
    </row>
    <row r="38" customFormat="false" ht="17.15" hidden="false" customHeight="false" outlineLevel="0" collapsed="false">
      <c r="A38" s="0" t="s">
        <v>478</v>
      </c>
      <c r="B38" s="0" t="s">
        <v>189</v>
      </c>
      <c r="C38" s="19" t="n">
        <f aca="false">C145</f>
        <v>5.4297243</v>
      </c>
      <c r="D38" s="19" t="n">
        <f aca="false">D145</f>
        <v>9.5342409</v>
      </c>
      <c r="E38" s="19" t="n">
        <f aca="false">E145</f>
        <v>15.4961256021398</v>
      </c>
      <c r="F38" s="19" t="n">
        <f aca="false">F145</f>
        <v>10.9782218171403</v>
      </c>
      <c r="G38" s="19" t="n">
        <f aca="false">G145</f>
        <v>12.7250977570932</v>
      </c>
    </row>
    <row r="39" customFormat="false" ht="17.15" hidden="false" customHeight="false" outlineLevel="0" collapsed="false">
      <c r="A39" s="0" t="s">
        <v>479</v>
      </c>
      <c r="B39" s="0" t="s">
        <v>90</v>
      </c>
      <c r="C39" s="22" t="n">
        <f aca="false">C154</f>
        <v>0.4059</v>
      </c>
      <c r="D39" s="22" t="n">
        <f aca="false">D154</f>
        <v>0.445262071719287</v>
      </c>
      <c r="E39" s="22" t="n">
        <f aca="false">E154</f>
        <v>0.536449138583829</v>
      </c>
      <c r="F39" s="22" t="n">
        <f aca="false">F154</f>
        <v>0.457898804146194</v>
      </c>
      <c r="G39" s="22" t="n">
        <f aca="false">G154</f>
        <v>0.456636508479681</v>
      </c>
    </row>
    <row r="40" customFormat="false" ht="15" hidden="false" customHeight="false" outlineLevel="0" collapsed="false">
      <c r="A40" s="4" t="s">
        <v>480</v>
      </c>
      <c r="B40" s="0" t="s">
        <v>189</v>
      </c>
      <c r="C40" s="19" t="n">
        <f aca="false">C150</f>
        <v>3.290742</v>
      </c>
      <c r="D40" s="19" t="n">
        <f aca="false">D150</f>
        <v>5.0939955</v>
      </c>
      <c r="E40" s="19" t="n">
        <f aca="false">E150</f>
        <v>6.139593717153</v>
      </c>
      <c r="F40" s="19" t="n">
        <f aca="false">F150</f>
        <v>5.2476749737224</v>
      </c>
      <c r="G40" s="19" t="n">
        <f aca="false">G150</f>
        <v>6.859593717153</v>
      </c>
    </row>
    <row r="41" customFormat="false" ht="17.15" hidden="false" customHeight="false" outlineLevel="0" collapsed="false">
      <c r="A41" s="0" t="s">
        <v>481</v>
      </c>
      <c r="B41" s="0" t="s">
        <v>189</v>
      </c>
      <c r="D41" s="19" t="n">
        <f aca="false">D148</f>
        <v>0.24</v>
      </c>
      <c r="E41" s="19" t="n">
        <f aca="false">E148</f>
        <v>0.48</v>
      </c>
      <c r="F41" s="19" t="n">
        <f aca="false">F148</f>
        <v>0.72</v>
      </c>
      <c r="G41" s="19" t="n">
        <f aca="false">G148</f>
        <v>1.2</v>
      </c>
    </row>
    <row r="42" customFormat="false" ht="15" hidden="false" customHeight="false" outlineLevel="0" collapsed="false">
      <c r="A42" s="4" t="s">
        <v>412</v>
      </c>
      <c r="B42" s="0" t="s">
        <v>90</v>
      </c>
      <c r="C42" s="14" t="n">
        <f aca="false">C157</f>
        <v>0.574</v>
      </c>
      <c r="D42" s="14" t="n">
        <f aca="false">D157</f>
        <v>0.593344593032623</v>
      </c>
      <c r="E42" s="14" t="n">
        <f aca="false">E157</f>
        <v>0.58</v>
      </c>
      <c r="F42" s="14" t="n">
        <f aca="false">F157</f>
        <v>0.565</v>
      </c>
      <c r="G42" s="14" t="n">
        <f aca="false">G157</f>
        <v>0.565</v>
      </c>
    </row>
    <row r="43" customFormat="false" ht="15" hidden="false" customHeight="false" outlineLevel="0" collapsed="false">
      <c r="A43" s="4" t="s">
        <v>482</v>
      </c>
      <c r="B43" s="0" t="s">
        <v>90</v>
      </c>
      <c r="D43" s="14" t="n">
        <f aca="false">D161</f>
        <v>0.357238866484999</v>
      </c>
      <c r="E43" s="14" t="n">
        <f aca="false">E161</f>
        <v>0.368329421025395</v>
      </c>
      <c r="F43" s="14" t="n">
        <f aca="false">F161</f>
        <v>0.335985344860473</v>
      </c>
      <c r="G43" s="14" t="n">
        <f aca="false">G161</f>
        <v>0.348778678301144</v>
      </c>
    </row>
    <row r="44" customFormat="false" ht="15" hidden="false" customHeight="false" outlineLevel="0" collapsed="false">
      <c r="A44" s="4" t="s">
        <v>418</v>
      </c>
      <c r="B44" s="0" t="s">
        <v>189</v>
      </c>
      <c r="C44" s="19" t="n">
        <f aca="false">C162</f>
        <v>3.18</v>
      </c>
      <c r="D44" s="19" t="n">
        <f aca="false">D162</f>
        <v>6.7316248085628</v>
      </c>
      <c r="E44" s="19" t="n">
        <f aca="false">E162</f>
        <v>9.04377838746191</v>
      </c>
      <c r="F44" s="19" t="n">
        <f aca="false">F162</f>
        <v>6.84702246068251</v>
      </c>
      <c r="G44" s="19" t="n">
        <f aca="false">G162</f>
        <v>8.26150842162435</v>
      </c>
      <c r="H44" s="25" t="n">
        <f aca="false">H162</f>
        <v>8.59658269708658</v>
      </c>
      <c r="I44" s="25" t="n">
        <f aca="false">I162</f>
        <v>8.520899979806</v>
      </c>
      <c r="J44" s="25" t="n">
        <f aca="false">J162</f>
        <v>8.02275505790965</v>
      </c>
    </row>
    <row r="45" customFormat="false" ht="15" hidden="false" customHeight="false" outlineLevel="0" collapsed="false">
      <c r="A45" s="4" t="s">
        <v>483</v>
      </c>
      <c r="B45" s="0" t="s">
        <v>90</v>
      </c>
      <c r="C45" s="14" t="n">
        <f aca="false">C166</f>
        <v>0.237721462211258</v>
      </c>
      <c r="D45" s="14" t="n">
        <f aca="false">D166</f>
        <v>0.314376072488123</v>
      </c>
      <c r="E45" s="14" t="n">
        <f aca="false">E166</f>
        <v>0.313080007871586</v>
      </c>
      <c r="F45" s="14" t="n">
        <f aca="false">F166</f>
        <v>0.285587543131402</v>
      </c>
      <c r="G45" s="14" t="n">
        <f aca="false">G166</f>
        <v>0.296461876555972</v>
      </c>
      <c r="H45" s="27" t="n">
        <f aca="false">H166</f>
        <v>0.276697751452241</v>
      </c>
      <c r="I45" s="27" t="n">
        <f aca="false">I166</f>
        <v>0.256933626348509</v>
      </c>
      <c r="J45" s="27" t="n">
        <f aca="false">J166</f>
        <v>0.237169501244778</v>
      </c>
    </row>
    <row r="46" customFormat="false" ht="15" hidden="false" customHeight="false" outlineLevel="0" collapsed="false">
      <c r="A46" s="0" t="s">
        <v>423</v>
      </c>
      <c r="B46" s="0" t="s">
        <v>256</v>
      </c>
      <c r="C46" s="20" t="n">
        <f aca="false">C164</f>
        <v>33.49</v>
      </c>
      <c r="D46" s="20" t="n">
        <f aca="false">D164</f>
        <v>68.6959552317267</v>
      </c>
      <c r="E46" s="20" t="n">
        <f aca="false">E164</f>
        <v>92.2965739620111</v>
      </c>
      <c r="F46" s="20" t="n">
        <f aca="false">F164</f>
        <v>69.8775100281167</v>
      </c>
      <c r="G46" s="20" t="n">
        <f aca="false">G164</f>
        <v>84.313092427315</v>
      </c>
      <c r="H46" s="28" t="n">
        <f aca="false">H164</f>
        <v>87.7327038245648</v>
      </c>
      <c r="I46" s="28" t="n">
        <f aca="false">I164</f>
        <v>86.9603213961301</v>
      </c>
      <c r="J46" s="28" t="n">
        <f aca="false">J164</f>
        <v>81.8764872222025</v>
      </c>
    </row>
    <row r="47" customFormat="false" ht="17.15" hidden="false" customHeight="false" outlineLevel="0" collapsed="false">
      <c r="A47" s="0" t="s">
        <v>484</v>
      </c>
      <c r="B47" s="0" t="s">
        <v>90</v>
      </c>
      <c r="D47" s="22" t="n">
        <f aca="false">D165</f>
        <v>1.05123783910799</v>
      </c>
      <c r="E47" s="22" t="n">
        <f aca="false">E165</f>
        <v>0.34355179501725</v>
      </c>
      <c r="F47" s="22" t="n">
        <f aca="false">F165</f>
        <v>-0.24290244991241</v>
      </c>
      <c r="G47" s="22" t="n">
        <f aca="false">G165</f>
        <v>0.206584098279831</v>
      </c>
      <c r="H47" s="26" t="n">
        <f aca="false">H165</f>
        <v>0.0405584862184694</v>
      </c>
      <c r="I47" s="26" t="n">
        <f aca="false">I165</f>
        <v>-0.00880381425356691</v>
      </c>
      <c r="J47" s="26" t="n">
        <f aca="false">J165</f>
        <v>-0.0584615384615383</v>
      </c>
    </row>
    <row r="49" customFormat="false" ht="17.15" hidden="false" customHeight="false" outlineLevel="0" collapsed="false">
      <c r="A49" s="1" t="s">
        <v>487</v>
      </c>
    </row>
    <row r="50" customFormat="false" ht="17.15" hidden="false" customHeight="false" outlineLevel="0" collapsed="false">
      <c r="A50" s="4" t="s">
        <v>488</v>
      </c>
      <c r="D50" s="29" t="n">
        <f aca="false">ABS(D86-a26_rev)+ABS(D119-a26_rev)+ABS(D152-a26_rev)</f>
        <v>0</v>
      </c>
    </row>
    <row r="51" customFormat="false" ht="17.15" hidden="false" customHeight="false" outlineLevel="0" collapsed="false">
      <c r="A51" s="4" t="s">
        <v>489</v>
      </c>
      <c r="D51" s="29" t="n">
        <f aca="false">ABS(D98-a26_eps)+ABS(D131-a26_eps)+ABS(D164-a26_eps)</f>
        <v>0</v>
      </c>
    </row>
    <row r="52" customFormat="false" ht="17.15" hidden="false" customHeight="false" outlineLevel="0" collapsed="false">
      <c r="A52" s="4" t="s">
        <v>490</v>
      </c>
      <c r="D52" s="29" t="n">
        <f aca="false">D79+D80-a26_pc</f>
        <v>0</v>
      </c>
    </row>
    <row r="70" customFormat="false" ht="17.15" hidden="false" customHeight="false" outlineLevel="0" collapsed="false">
      <c r="A70" s="1" t="s">
        <v>491</v>
      </c>
    </row>
    <row r="71" customFormat="false" ht="17.15" hidden="false" customHeight="false" outlineLevel="0" collapsed="false">
      <c r="A71" s="5" t="s">
        <v>21</v>
      </c>
      <c r="B71" s="5" t="s">
        <v>22</v>
      </c>
      <c r="C71" s="15" t="s">
        <v>387</v>
      </c>
      <c r="D71" s="15" t="s">
        <v>468</v>
      </c>
      <c r="E71" s="15" t="s">
        <v>469</v>
      </c>
      <c r="F71" s="15" t="s">
        <v>470</v>
      </c>
      <c r="G71" s="15" t="s">
        <v>471</v>
      </c>
      <c r="H71" s="15" t="s">
        <v>472</v>
      </c>
      <c r="I71" s="15" t="s">
        <v>473</v>
      </c>
      <c r="J71" s="15" t="s">
        <v>474</v>
      </c>
      <c r="K71" s="5" t="s">
        <v>336</v>
      </c>
    </row>
    <row r="72" customFormat="false" ht="17.15" hidden="false" customHeight="false" outlineLevel="0" collapsed="false">
      <c r="A72" s="6" t="s">
        <v>492</v>
      </c>
    </row>
    <row r="73" customFormat="false" ht="17.15" hidden="false" customHeight="false" outlineLevel="0" collapsed="false">
      <c r="A73" s="0" t="s">
        <v>493</v>
      </c>
      <c r="B73" s="4" t="s">
        <v>32</v>
      </c>
      <c r="D73" s="20" t="n">
        <f aca="false">units_26</f>
        <v>15.2</v>
      </c>
      <c r="E73" s="20" t="n">
        <f aca="false">units_27*1</f>
        <v>23.7</v>
      </c>
      <c r="F73" s="20" t="n">
        <f aca="false">units_28*um28_A*1</f>
        <v>26.5</v>
      </c>
      <c r="G73" s="20" t="n">
        <f aca="false">units_29*um29_A*1</f>
        <v>30.15</v>
      </c>
    </row>
    <row r="74" customFormat="false" ht="17.15" hidden="false" customHeight="false" outlineLevel="0" collapsed="false">
      <c r="A74" s="4" t="s">
        <v>494</v>
      </c>
      <c r="B74" s="0" t="s">
        <v>45</v>
      </c>
      <c r="D74" s="18" t="n">
        <f aca="false">ex_nv*nvtt_26+astt_26</f>
        <v>0.607994</v>
      </c>
      <c r="E74" s="18" t="n">
        <f aca="false">ex_nv*nvtt_27+astt_27</f>
        <v>0.6560764</v>
      </c>
      <c r="F74" s="18" t="n">
        <f aca="false">ex_nv*nvtt_28+astt_28</f>
        <v>0.6898114</v>
      </c>
      <c r="G74" s="18" t="n">
        <f aca="false">ex_nv*nvtt_29+astt_29</f>
        <v>0.692935</v>
      </c>
      <c r="K74" s="8" t="s">
        <v>495</v>
      </c>
    </row>
    <row r="75" customFormat="false" ht="17.15" hidden="false" customHeight="false" outlineLevel="0" collapsed="false">
      <c r="A75" s="4" t="s">
        <v>447</v>
      </c>
      <c r="B75" s="0" t="s">
        <v>45</v>
      </c>
      <c r="D75" s="18" t="n">
        <f aca="false">D73*D74/($D73*$D74)</f>
        <v>1</v>
      </c>
      <c r="E75" s="18" t="n">
        <f aca="false">E73*E74/($D73*$D74)</f>
        <v>1.68251862509724</v>
      </c>
      <c r="F75" s="18" t="n">
        <f aca="false">F73*F74/($D73*$D74)</f>
        <v>1.97803221266207</v>
      </c>
      <c r="G75" s="18" t="n">
        <f aca="false">G73*G74/($D73*$D74)</f>
        <v>2.26066876114428</v>
      </c>
    </row>
    <row r="76" customFormat="false" ht="17.15" hidden="false" customHeight="false" outlineLevel="0" collapsed="false">
      <c r="A76" s="4" t="s">
        <v>496</v>
      </c>
      <c r="B76" s="0" t="s">
        <v>45</v>
      </c>
      <c r="D76" s="20" t="n">
        <f aca="false">1</f>
        <v>1</v>
      </c>
      <c r="E76" s="20" t="n">
        <f aca="false">rel27_A</f>
        <v>1.05</v>
      </c>
      <c r="F76" s="20" t="n">
        <f aca="false">rel28_A</f>
        <v>1.08</v>
      </c>
      <c r="G76" s="20" t="n">
        <f aca="false">rel29_A</f>
        <v>1.1</v>
      </c>
    </row>
    <row r="77" customFormat="false" ht="17.15" hidden="false" customHeight="false" outlineLevel="0" collapsed="false">
      <c r="A77" s="4" t="s">
        <v>497</v>
      </c>
      <c r="B77" s="0" t="s">
        <v>45</v>
      </c>
      <c r="D77" s="18" t="n">
        <f aca="false">1</f>
        <v>1</v>
      </c>
      <c r="E77" s="18" t="n">
        <f aca="false">(1+g_ct)^1</f>
        <v>1.05</v>
      </c>
      <c r="F77" s="18" t="n">
        <f aca="false">(1+g_ct)^2</f>
        <v>1.1025</v>
      </c>
      <c r="G77" s="18" t="n">
        <f aca="false">(1+g_ct)^3</f>
        <v>1.157625</v>
      </c>
    </row>
    <row r="78" customFormat="false" ht="17.15" hidden="false" customHeight="false" outlineLevel="0" collapsed="false">
      <c r="A78" s="6" t="s">
        <v>498</v>
      </c>
    </row>
    <row r="79" customFormat="false" ht="17.15" hidden="false" customHeight="false" outlineLevel="0" collapsed="false">
      <c r="A79" s="0" t="s">
        <v>401</v>
      </c>
      <c r="B79" s="0" t="s">
        <v>189</v>
      </c>
      <c r="C79" s="17" t="n">
        <f aca="false">a25_ai</f>
        <v>5.4297243</v>
      </c>
      <c r="D79" s="17" t="n">
        <f aca="false">a26_ai</f>
        <v>9.5342409</v>
      </c>
      <c r="E79" s="17" t="n">
        <f aca="false">$D79*E75*E76*E77</f>
        <v>17.6857955241812</v>
      </c>
      <c r="F79" s="17" t="n">
        <f aca="false">$D79*F75*F76*F77</f>
        <v>22.4554537168779</v>
      </c>
      <c r="G79" s="17" t="n">
        <f aca="false">$D79*G75*G76*G77</f>
        <v>27.4462892800048</v>
      </c>
      <c r="K79" s="8" t="s">
        <v>499</v>
      </c>
    </row>
    <row r="80" customFormat="false" ht="17.15" hidden="false" customHeight="false" outlineLevel="0" collapsed="false">
      <c r="A80" s="4" t="s">
        <v>404</v>
      </c>
      <c r="B80" s="0" t="s">
        <v>189</v>
      </c>
      <c r="C80" s="17" t="n">
        <f aca="false">a25_npc</f>
        <v>4.4425017</v>
      </c>
      <c r="D80" s="17" t="n">
        <f aca="false">a26_npc</f>
        <v>6.3561606</v>
      </c>
      <c r="E80" s="17" t="n">
        <f aca="false">D80*(1+g_nonai+d_npc)</f>
        <v>6.801091842</v>
      </c>
      <c r="F80" s="17" t="n">
        <f aca="false">E80*(1+g_nonai+d_npc)</f>
        <v>7.27716827094</v>
      </c>
      <c r="G80" s="17" t="n">
        <f aca="false">F80*(1+g_nonai+d_npc)</f>
        <v>7.7865700499058</v>
      </c>
      <c r="K80" s="4" t="s">
        <v>500</v>
      </c>
    </row>
    <row r="81" customFormat="false" ht="15" hidden="false" customHeight="false" outlineLevel="0" collapsed="false">
      <c r="A81" s="4" t="s">
        <v>398</v>
      </c>
      <c r="B81" s="0" t="s">
        <v>189</v>
      </c>
      <c r="C81" s="17" t="n">
        <f aca="false">C79+C80</f>
        <v>9.872226</v>
      </c>
      <c r="D81" s="17" t="n">
        <f aca="false">D79+D80</f>
        <v>15.8904015</v>
      </c>
      <c r="E81" s="17" t="n">
        <f aca="false">E79+E80</f>
        <v>24.4868873661812</v>
      </c>
      <c r="F81" s="17" t="n">
        <f aca="false">F79+F80</f>
        <v>29.7326219878179</v>
      </c>
      <c r="G81" s="17" t="n">
        <f aca="false">G79+G80</f>
        <v>35.2328593299106</v>
      </c>
    </row>
    <row r="82" customFormat="false" ht="17.15" hidden="false" customHeight="false" outlineLevel="0" collapsed="false">
      <c r="A82" s="0" t="s">
        <v>501</v>
      </c>
      <c r="B82" s="0" t="s">
        <v>189</v>
      </c>
      <c r="D82" s="17" t="n">
        <f aca="false">k_cpo*cpo_A_26/cpo_A_27</f>
        <v>0.24</v>
      </c>
      <c r="E82" s="17" t="n">
        <f aca="false">k_cpo*cpo_A_27/cpo_A_27</f>
        <v>1.2</v>
      </c>
      <c r="F82" s="17" t="n">
        <f aca="false">k_cpo*cpo_A_28/cpo_A_27</f>
        <v>2.4</v>
      </c>
      <c r="G82" s="17" t="n">
        <f aca="false">k_cpo*cpo_A_29/cpo_A_27</f>
        <v>3.84</v>
      </c>
      <c r="K82" s="8" t="s">
        <v>502</v>
      </c>
    </row>
    <row r="83" customFormat="false" ht="17.15" hidden="false" customHeight="false" outlineLevel="0" collapsed="false">
      <c r="A83" s="4" t="s">
        <v>503</v>
      </c>
      <c r="B83" s="0" t="s">
        <v>189</v>
      </c>
      <c r="C83" s="17" t="n">
        <f aca="false">a25_eq</f>
        <v>3.290742</v>
      </c>
      <c r="D83" s="17" t="n">
        <f aca="false">a26_eq-D82</f>
        <v>4.8539955</v>
      </c>
      <c r="E83" s="17" t="n">
        <f aca="false">D83*semi_27</f>
        <v>5.659593717153</v>
      </c>
      <c r="F83" s="17" t="n">
        <f aca="false">$E83*eqk28_A</f>
        <v>6.59889384801401</v>
      </c>
      <c r="G83" s="17" t="n">
        <f aca="false">$E83*eqk29_A</f>
        <v>7.12680377116889</v>
      </c>
      <c r="K83" s="8" t="s">
        <v>504</v>
      </c>
    </row>
    <row r="84" customFormat="false" ht="15" hidden="false" customHeight="false" outlineLevel="0" collapsed="false">
      <c r="A84" s="4" t="s">
        <v>405</v>
      </c>
      <c r="B84" s="0" t="s">
        <v>189</v>
      </c>
      <c r="C84" s="17" t="n">
        <f aca="false">a25_eq</f>
        <v>3.290742</v>
      </c>
      <c r="D84" s="17" t="n">
        <f aca="false">D82+D83</f>
        <v>5.0939955</v>
      </c>
      <c r="E84" s="17" t="n">
        <f aca="false">E82+E83</f>
        <v>6.859593717153</v>
      </c>
      <c r="F84" s="17" t="n">
        <f aca="false">F82+F83</f>
        <v>8.99889384801401</v>
      </c>
      <c r="G84" s="17" t="n">
        <f aca="false">G82+G83</f>
        <v>10.9668037711689</v>
      </c>
    </row>
    <row r="85" customFormat="false" ht="15" hidden="false" customHeight="false" outlineLevel="0" collapsed="false">
      <c r="A85" s="4" t="s">
        <v>407</v>
      </c>
      <c r="B85" s="0" t="s">
        <v>189</v>
      </c>
      <c r="C85" s="17" t="n">
        <f aca="false">a25_oth</f>
        <v>0.214032000000001</v>
      </c>
      <c r="D85" s="17" t="n">
        <f aca="false">a26_oth</f>
        <v>0.428253</v>
      </c>
      <c r="E85" s="17" t="n">
        <f aca="false">D85*(1+g_oth)</f>
        <v>0.44966565</v>
      </c>
      <c r="F85" s="17" t="n">
        <f aca="false">E85*(1+g_oth)</f>
        <v>0.4721489325</v>
      </c>
      <c r="G85" s="17" t="n">
        <f aca="false">F85*(1+g_oth)</f>
        <v>0.495756379125</v>
      </c>
    </row>
    <row r="86" customFormat="false" ht="17.15" hidden="false" customHeight="false" outlineLevel="0" collapsed="false">
      <c r="A86" s="4" t="s">
        <v>394</v>
      </c>
      <c r="B86" s="0" t="s">
        <v>189</v>
      </c>
      <c r="C86" s="17" t="n">
        <f aca="false">C81+C84+C85</f>
        <v>13.377</v>
      </c>
      <c r="D86" s="17" t="n">
        <f aca="false">D81+D84+D85</f>
        <v>21.41265</v>
      </c>
      <c r="E86" s="17" t="n">
        <f aca="false">E81+E84+E85</f>
        <v>31.7961467333342</v>
      </c>
      <c r="F86" s="17" t="n">
        <f aca="false">F81+F84+F85</f>
        <v>39.2036647683319</v>
      </c>
      <c r="G86" s="17" t="n">
        <f aca="false">G81+G84+G85</f>
        <v>46.6954194802045</v>
      </c>
      <c r="H86" s="30" t="n">
        <f aca="false">G86*(1+H87)</f>
        <v>53.5782722007526</v>
      </c>
      <c r="I86" s="30" t="n">
        <f aca="false">H86*(1+I87)</f>
        <v>59.1343091320141</v>
      </c>
      <c r="J86" s="30" t="n">
        <f aca="false">I86*(1+J87)</f>
        <v>62.682367679935</v>
      </c>
      <c r="K86" s="8" t="s">
        <v>505</v>
      </c>
    </row>
    <row r="87" customFormat="false" ht="15" hidden="false" customHeight="false" outlineLevel="0" collapsed="false">
      <c r="A87" s="4" t="s">
        <v>506</v>
      </c>
      <c r="B87" s="0" t="s">
        <v>90</v>
      </c>
      <c r="D87" s="22" t="n">
        <f aca="false">D86/C86-1</f>
        <v>0.600706436420722</v>
      </c>
      <c r="E87" s="22" t="n">
        <f aca="false">E86/D86-1</f>
        <v>0.484923479033854</v>
      </c>
      <c r="F87" s="22" t="n">
        <f aca="false">F86/E86-1</f>
        <v>0.232969048014608</v>
      </c>
      <c r="G87" s="22" t="n">
        <f aca="false">G86/F86-1</f>
        <v>0.191098326040283</v>
      </c>
      <c r="H87" s="26" t="n">
        <f aca="false">$G87+(fade_gA-$G87)*1/3</f>
        <v>0.147398884026855</v>
      </c>
      <c r="I87" s="26" t="n">
        <f aca="false">$G87+(fade_gA-$G87)*2/3</f>
        <v>0.103699442013428</v>
      </c>
      <c r="J87" s="26" t="n">
        <f aca="false">$G87+(fade_gA-$G87)*3/3</f>
        <v>0.06</v>
      </c>
    </row>
    <row r="88" customFormat="false" ht="17.15" hidden="false" customHeight="false" outlineLevel="0" collapsed="false">
      <c r="A88" s="0" t="s">
        <v>507</v>
      </c>
      <c r="B88" s="0" t="s">
        <v>90</v>
      </c>
      <c r="C88" s="22" t="n">
        <f aca="false">C79/C86</f>
        <v>0.4059</v>
      </c>
      <c r="D88" s="22" t="n">
        <f aca="false">D79/D86</f>
        <v>0.445262071719287</v>
      </c>
      <c r="E88" s="22" t="n">
        <f aca="false">E79/E86</f>
        <v>0.556224490738053</v>
      </c>
      <c r="F88" s="22" t="n">
        <f aca="false">F79/F86</f>
        <v>0.572789657537758</v>
      </c>
      <c r="G88" s="22" t="n">
        <f aca="false">G79/G86</f>
        <v>0.587772624928235</v>
      </c>
    </row>
    <row r="89" customFormat="false" ht="17.15" hidden="false" customHeight="false" outlineLevel="0" collapsed="false">
      <c r="A89" s="4" t="s">
        <v>508</v>
      </c>
      <c r="B89" s="0" t="s">
        <v>90</v>
      </c>
      <c r="C89" s="22" t="n">
        <f aca="false">C81/C86</f>
        <v>0.738</v>
      </c>
      <c r="D89" s="22" t="n">
        <f aca="false">D81/D86</f>
        <v>0.742103452865479</v>
      </c>
      <c r="E89" s="22" t="n">
        <f aca="false">E81/E86</f>
        <v>0.770121221654504</v>
      </c>
      <c r="F89" s="22" t="n">
        <f aca="false">F81/F86</f>
        <v>0.758414351401031</v>
      </c>
      <c r="G89" s="22" t="n">
        <f aca="false">G81/G86</f>
        <v>0.754524956025865</v>
      </c>
    </row>
    <row r="90" customFormat="false" ht="17.15" hidden="false" customHeight="false" outlineLevel="0" collapsed="false">
      <c r="A90" s="6" t="s">
        <v>509</v>
      </c>
    </row>
    <row r="91" customFormat="false" ht="15" hidden="false" customHeight="false" outlineLevel="0" collapsed="false">
      <c r="A91" s="4" t="s">
        <v>412</v>
      </c>
      <c r="B91" s="0" t="s">
        <v>90</v>
      </c>
      <c r="C91" s="14" t="n">
        <f aca="false">a25_gp/a25_rev</f>
        <v>0.574</v>
      </c>
      <c r="D91" s="14" t="n">
        <f aca="false">a26_gp/a26_rev</f>
        <v>0.593344593032623</v>
      </c>
      <c r="E91" s="14" t="n">
        <f aca="false">gm27_A+gm_adj</f>
        <v>0.6</v>
      </c>
      <c r="F91" s="14" t="n">
        <f aca="false">gmL_A+gm_adj</f>
        <v>0.61</v>
      </c>
      <c r="G91" s="14" t="n">
        <f aca="false">gmL_A+gm_adj</f>
        <v>0.61</v>
      </c>
    </row>
    <row r="92" customFormat="false" ht="15" hidden="false" customHeight="false" outlineLevel="0" collapsed="false">
      <c r="A92" s="4" t="s">
        <v>409</v>
      </c>
      <c r="B92" s="0" t="s">
        <v>189</v>
      </c>
      <c r="C92" s="17" t="n">
        <f aca="false">C86*C91</f>
        <v>7.678398</v>
      </c>
      <c r="D92" s="17" t="n">
        <f aca="false">D86*D91</f>
        <v>12.7050801</v>
      </c>
      <c r="E92" s="17" t="n">
        <f aca="false">E86*E91</f>
        <v>19.0776880400005</v>
      </c>
      <c r="F92" s="17" t="n">
        <f aca="false">F86*F91</f>
        <v>23.9142355086825</v>
      </c>
      <c r="G92" s="17" t="n">
        <f aca="false">G86*G91</f>
        <v>28.4842058829248</v>
      </c>
    </row>
    <row r="93" customFormat="false" ht="17.15" hidden="false" customHeight="false" outlineLevel="0" collapsed="false">
      <c r="A93" s="4" t="s">
        <v>510</v>
      </c>
      <c r="B93" s="0" t="s">
        <v>189</v>
      </c>
      <c r="D93" s="17" t="n">
        <f aca="false">a26_opx</f>
        <v>5.05564928556</v>
      </c>
      <c r="E93" s="17" t="n">
        <f aca="false">D93*(1+phi*E87)</f>
        <v>6.52661110975726</v>
      </c>
      <c r="F93" s="17" t="n">
        <f aca="false">E93*(1+phi*F87)</f>
        <v>7.43891013595829</v>
      </c>
      <c r="G93" s="17" t="n">
        <f aca="false">F93*(1+phi*G87)</f>
        <v>8.29184810068572</v>
      </c>
      <c r="K93" s="8" t="s">
        <v>511</v>
      </c>
    </row>
    <row r="94" customFormat="false" ht="15" hidden="false" customHeight="false" outlineLevel="0" collapsed="false">
      <c r="A94" s="4" t="s">
        <v>415</v>
      </c>
      <c r="B94" s="0" t="s">
        <v>189</v>
      </c>
      <c r="D94" s="17" t="n">
        <f aca="false">D92-D93</f>
        <v>7.64943081444</v>
      </c>
      <c r="E94" s="17" t="n">
        <f aca="false">E92-E93</f>
        <v>12.5510769302433</v>
      </c>
      <c r="F94" s="17" t="n">
        <f aca="false">F92-F93</f>
        <v>16.4753253727242</v>
      </c>
      <c r="G94" s="17" t="n">
        <f aca="false">G92-G93</f>
        <v>20.192357782239</v>
      </c>
    </row>
    <row r="95" customFormat="false" ht="15" hidden="false" customHeight="false" outlineLevel="0" collapsed="false">
      <c r="A95" s="4" t="s">
        <v>482</v>
      </c>
      <c r="B95" s="0" t="s">
        <v>90</v>
      </c>
      <c r="D95" s="14" t="n">
        <f aca="false">D94/D86</f>
        <v>0.357238866484999</v>
      </c>
      <c r="E95" s="14" t="n">
        <f aca="false">E94/E86</f>
        <v>0.394735784669312</v>
      </c>
      <c r="F95" s="14" t="n">
        <f aca="false">F94/F86</f>
        <v>0.420249623857428</v>
      </c>
      <c r="G95" s="14" t="n">
        <f aca="false">G94/G86</f>
        <v>0.432426949088639</v>
      </c>
    </row>
    <row r="96" customFormat="false" ht="15" hidden="false" customHeight="false" outlineLevel="0" collapsed="false">
      <c r="A96" s="4" t="s">
        <v>418</v>
      </c>
      <c r="B96" s="0" t="s">
        <v>189</v>
      </c>
      <c r="C96" s="17" t="n">
        <f aca="false">a25_ni</f>
        <v>3.18</v>
      </c>
      <c r="D96" s="17" t="n">
        <f aca="false">a26_ni</f>
        <v>6.7316248085628</v>
      </c>
      <c r="E96" s="17" t="n">
        <f aca="false">E94*ni_oi</f>
        <v>10.6684153907068</v>
      </c>
      <c r="F96" s="17" t="n">
        <f aca="false">F94*ni_oi</f>
        <v>14.0040265668155</v>
      </c>
      <c r="G96" s="17" t="n">
        <f aca="false">G94*ni_oi</f>
        <v>17.1635041149032</v>
      </c>
      <c r="H96" s="30" t="n">
        <f aca="false">H86*H100</f>
        <v>19.6933854674303</v>
      </c>
      <c r="I96" s="30" t="n">
        <f aca="false">I86*I100</f>
        <v>21.7355785517581</v>
      </c>
      <c r="J96" s="30" t="n">
        <f aca="false">J86*J100</f>
        <v>23.0397132648636</v>
      </c>
    </row>
    <row r="97" customFormat="false" ht="15" hidden="false" customHeight="false" outlineLevel="0" collapsed="false">
      <c r="A97" s="4" t="s">
        <v>512</v>
      </c>
      <c r="B97" s="4" t="s">
        <v>513</v>
      </c>
      <c r="C97" s="19" t="n">
        <f aca="false">a25_sh</f>
        <v>94.9537175276202</v>
      </c>
      <c r="D97" s="19" t="n">
        <f aca="false">a26_sh</f>
        <v>97.9860681630967</v>
      </c>
      <c r="E97" s="19" t="n">
        <f aca="false">D97*(1+sh_g)</f>
        <v>97.9860681630967</v>
      </c>
      <c r="F97" s="19" t="n">
        <f aca="false">E97*(1+sh_g)</f>
        <v>97.9860681630967</v>
      </c>
      <c r="G97" s="19" t="n">
        <f aca="false">F97*(1+sh_g)</f>
        <v>97.9860681630967</v>
      </c>
      <c r="H97" s="25" t="n">
        <f aca="false">G97*(1+sh_g)</f>
        <v>97.9860681630967</v>
      </c>
      <c r="I97" s="25" t="n">
        <f aca="false">H97*(1+sh_g)</f>
        <v>97.9860681630967</v>
      </c>
      <c r="J97" s="25" t="n">
        <f aca="false">I97*(1+sh_g)</f>
        <v>97.9860681630967</v>
      </c>
    </row>
    <row r="98" customFormat="false" ht="15" hidden="false" customHeight="false" outlineLevel="0" collapsed="false">
      <c r="A98" s="0" t="s">
        <v>423</v>
      </c>
      <c r="B98" s="0" t="s">
        <v>256</v>
      </c>
      <c r="C98" s="20" t="n">
        <f aca="false">a25_eps</f>
        <v>33.49</v>
      </c>
      <c r="D98" s="20" t="n">
        <f aca="false">a26_eps</f>
        <v>68.6959552317267</v>
      </c>
      <c r="E98" s="20" t="n">
        <f aca="false">E96/E97*1000</f>
        <v>108.876859646509</v>
      </c>
      <c r="F98" s="20" t="n">
        <f aca="false">F96/F97*1000</f>
        <v>142.918547803204</v>
      </c>
      <c r="G98" s="20" t="n">
        <f aca="false">G96/G97*1000</f>
        <v>175.162698500513</v>
      </c>
      <c r="H98" s="28" t="n">
        <f aca="false">H96/H97*1000</f>
        <v>200.981484782621</v>
      </c>
      <c r="I98" s="28" t="n">
        <f aca="false">I96/I97*1000</f>
        <v>221.823152609609</v>
      </c>
      <c r="J98" s="28" t="n">
        <f aca="false">J96/J97*1000</f>
        <v>235.132541766185</v>
      </c>
    </row>
    <row r="99" customFormat="false" ht="17.15" hidden="false" customHeight="false" outlineLevel="0" collapsed="false">
      <c r="A99" s="0" t="s">
        <v>514</v>
      </c>
      <c r="B99" s="0" t="s">
        <v>90</v>
      </c>
      <c r="D99" s="22" t="n">
        <f aca="false">D98/C98-1</f>
        <v>1.05123783910799</v>
      </c>
      <c r="E99" s="22" t="n">
        <f aca="false">E98/D98-1</f>
        <v>0.584909319322275</v>
      </c>
      <c r="F99" s="22" t="n">
        <f aca="false">F98/E98-1</f>
        <v>0.312662289004456</v>
      </c>
      <c r="G99" s="22" t="n">
        <f aca="false">G98/F98-1</f>
        <v>0.225612078998369</v>
      </c>
      <c r="H99" s="26" t="n">
        <f aca="false">H98/G98-1</f>
        <v>0.147398884026855</v>
      </c>
      <c r="I99" s="26" t="n">
        <f aca="false">I98/H98-1</f>
        <v>0.103699442013428</v>
      </c>
      <c r="J99" s="26" t="n">
        <f aca="false">J98/I98-1</f>
        <v>0.0600000000000001</v>
      </c>
    </row>
    <row r="100" customFormat="false" ht="17.15" hidden="false" customHeight="false" outlineLevel="0" collapsed="false">
      <c r="A100" s="4" t="s">
        <v>515</v>
      </c>
      <c r="B100" s="0" t="s">
        <v>90</v>
      </c>
      <c r="C100" s="14" t="n">
        <f aca="false">C96/C86</f>
        <v>0.237721462211258</v>
      </c>
      <c r="D100" s="14" t="n">
        <f aca="false">D96/D86</f>
        <v>0.314376072488123</v>
      </c>
      <c r="E100" s="14" t="n">
        <f aca="false">E96/E86</f>
        <v>0.335525416968915</v>
      </c>
      <c r="F100" s="14" t="n">
        <f aca="false">F96/F86</f>
        <v>0.357212180278813</v>
      </c>
      <c r="G100" s="14" t="n">
        <f aca="false">G96/G86</f>
        <v>0.367562906725343</v>
      </c>
      <c r="H100" s="27" t="n">
        <f aca="false">$G100+(fade_mA-$G100)*1/3</f>
        <v>0.367562906725343</v>
      </c>
      <c r="I100" s="27" t="n">
        <f aca="false">$G100+(fade_mA-$G100)*2/3</f>
        <v>0.367562906725343</v>
      </c>
      <c r="J100" s="27" t="n">
        <f aca="false">$G100+(fade_mA-$G100)*3/3</f>
        <v>0.367562906725343</v>
      </c>
    </row>
    <row r="103" customFormat="false" ht="17.15" hidden="false" customHeight="false" outlineLevel="0" collapsed="false">
      <c r="A103" s="1" t="s">
        <v>516</v>
      </c>
    </row>
    <row r="104" customFormat="false" ht="17.15" hidden="false" customHeight="false" outlineLevel="0" collapsed="false">
      <c r="A104" s="5" t="s">
        <v>21</v>
      </c>
      <c r="B104" s="5" t="s">
        <v>22</v>
      </c>
      <c r="C104" s="15" t="s">
        <v>387</v>
      </c>
      <c r="D104" s="15" t="s">
        <v>468</v>
      </c>
      <c r="E104" s="15" t="s">
        <v>469</v>
      </c>
      <c r="F104" s="15" t="s">
        <v>470</v>
      </c>
      <c r="G104" s="15" t="s">
        <v>471</v>
      </c>
      <c r="H104" s="15" t="s">
        <v>472</v>
      </c>
      <c r="I104" s="15" t="s">
        <v>473</v>
      </c>
      <c r="J104" s="15" t="s">
        <v>474</v>
      </c>
      <c r="K104" s="5" t="s">
        <v>336</v>
      </c>
    </row>
    <row r="105" customFormat="false" ht="17.15" hidden="false" customHeight="false" outlineLevel="0" collapsed="false">
      <c r="A105" s="6" t="s">
        <v>492</v>
      </c>
    </row>
    <row r="106" customFormat="false" ht="17.15" hidden="false" customHeight="false" outlineLevel="0" collapsed="false">
      <c r="A106" s="0" t="s">
        <v>493</v>
      </c>
      <c r="B106" s="4" t="s">
        <v>32</v>
      </c>
      <c r="D106" s="20" t="n">
        <f aca="false">units_26</f>
        <v>15.2</v>
      </c>
      <c r="E106" s="20" t="n">
        <f aca="false">units_27*1</f>
        <v>23.7</v>
      </c>
      <c r="F106" s="20" t="n">
        <f aca="false">units_28*um28_B*1</f>
        <v>21.2</v>
      </c>
      <c r="G106" s="20" t="n">
        <f aca="false">units_29*um29_B*1</f>
        <v>25.6275</v>
      </c>
    </row>
    <row r="107" customFormat="false" ht="17.15" hidden="false" customHeight="false" outlineLevel="0" collapsed="false">
      <c r="A107" s="4" t="s">
        <v>494</v>
      </c>
      <c r="B107" s="0" t="s">
        <v>45</v>
      </c>
      <c r="D107" s="18" t="n">
        <f aca="false">ex_nv*nvtt_26+astt_26</f>
        <v>0.607994</v>
      </c>
      <c r="E107" s="18" t="n">
        <f aca="false">ex_nv*nvtt_27+astt_27</f>
        <v>0.6560764</v>
      </c>
      <c r="F107" s="18" t="n">
        <f aca="false">ex_nv*nvtt_28+astt_28</f>
        <v>0.6898114</v>
      </c>
      <c r="G107" s="18" t="n">
        <f aca="false">ex_nv*nvtt_29+astt_29</f>
        <v>0.692935</v>
      </c>
      <c r="K107" s="8" t="s">
        <v>495</v>
      </c>
    </row>
    <row r="108" customFormat="false" ht="17.15" hidden="false" customHeight="false" outlineLevel="0" collapsed="false">
      <c r="A108" s="4" t="s">
        <v>447</v>
      </c>
      <c r="B108" s="0" t="s">
        <v>45</v>
      </c>
      <c r="D108" s="18" t="n">
        <f aca="false">D106*D107/($D106*$D107)</f>
        <v>1</v>
      </c>
      <c r="E108" s="18" t="n">
        <f aca="false">E106*E107/($D106*$D107)</f>
        <v>1.68251862509724</v>
      </c>
      <c r="F108" s="18" t="n">
        <f aca="false">F106*F107/($D106*$D107)</f>
        <v>1.58242577012966</v>
      </c>
      <c r="G108" s="18" t="n">
        <f aca="false">G106*G107/($D106*$D107)</f>
        <v>1.92156844697264</v>
      </c>
    </row>
    <row r="109" customFormat="false" ht="17.15" hidden="false" customHeight="false" outlineLevel="0" collapsed="false">
      <c r="A109" s="4" t="s">
        <v>496</v>
      </c>
      <c r="B109" s="0" t="s">
        <v>45</v>
      </c>
      <c r="D109" s="20" t="n">
        <f aca="false">1</f>
        <v>1</v>
      </c>
      <c r="E109" s="20" t="n">
        <f aca="false">rel27_B</f>
        <v>1</v>
      </c>
      <c r="F109" s="20" t="n">
        <f aca="false">rel28_B</f>
        <v>1</v>
      </c>
      <c r="G109" s="20" t="n">
        <f aca="false">rel29_B</f>
        <v>1</v>
      </c>
    </row>
    <row r="110" customFormat="false" ht="17.15" hidden="false" customHeight="false" outlineLevel="0" collapsed="false">
      <c r="A110" s="4" t="s">
        <v>497</v>
      </c>
      <c r="B110" s="0" t="s">
        <v>45</v>
      </c>
      <c r="D110" s="18" t="n">
        <f aca="false">1</f>
        <v>1</v>
      </c>
      <c r="E110" s="18" t="n">
        <f aca="false">(1+g_ct)^1</f>
        <v>1.05</v>
      </c>
      <c r="F110" s="18" t="n">
        <f aca="false">(1+g_ct)^2</f>
        <v>1.1025</v>
      </c>
      <c r="G110" s="18" t="n">
        <f aca="false">(1+g_ct)^3</f>
        <v>1.157625</v>
      </c>
    </row>
    <row r="111" customFormat="false" ht="17.15" hidden="false" customHeight="false" outlineLevel="0" collapsed="false">
      <c r="A111" s="6" t="s">
        <v>498</v>
      </c>
    </row>
    <row r="112" customFormat="false" ht="17.15" hidden="false" customHeight="false" outlineLevel="0" collapsed="false">
      <c r="A112" s="0" t="s">
        <v>401</v>
      </c>
      <c r="B112" s="0" t="s">
        <v>189</v>
      </c>
      <c r="C112" s="17" t="n">
        <f aca="false">a25_ai</f>
        <v>5.4297243</v>
      </c>
      <c r="D112" s="17" t="n">
        <f aca="false">a26_ai</f>
        <v>9.5342409</v>
      </c>
      <c r="E112" s="17" t="n">
        <f aca="false">$D112*E108*E109*E110</f>
        <v>16.8436147849345</v>
      </c>
      <c r="F112" s="17" t="n">
        <f aca="false">$D112*F108*F109*F110</f>
        <v>16.6336694199096</v>
      </c>
      <c r="G112" s="17" t="n">
        <f aca="false">$D112*G108*G109*G110</f>
        <v>21.2084962618219</v>
      </c>
      <c r="K112" s="8" t="s">
        <v>499</v>
      </c>
    </row>
    <row r="113" customFormat="false" ht="17.15" hidden="false" customHeight="false" outlineLevel="0" collapsed="false">
      <c r="A113" s="4" t="s">
        <v>404</v>
      </c>
      <c r="B113" s="0" t="s">
        <v>189</v>
      </c>
      <c r="C113" s="17" t="n">
        <f aca="false">a25_npc</f>
        <v>4.4425017</v>
      </c>
      <c r="D113" s="17" t="n">
        <f aca="false">a26_npc</f>
        <v>6.3561606</v>
      </c>
      <c r="E113" s="17" t="n">
        <f aca="false">D113*(1+g_nonai+d_npc)</f>
        <v>6.801091842</v>
      </c>
      <c r="F113" s="17" t="n">
        <f aca="false">E113*(1+g_nonai+d_npc)</f>
        <v>7.27716827094</v>
      </c>
      <c r="G113" s="17" t="n">
        <f aca="false">F113*(1+g_nonai+d_npc)</f>
        <v>7.7865700499058</v>
      </c>
      <c r="K113" s="4" t="s">
        <v>500</v>
      </c>
    </row>
    <row r="114" customFormat="false" ht="15" hidden="false" customHeight="false" outlineLevel="0" collapsed="false">
      <c r="A114" s="4" t="s">
        <v>398</v>
      </c>
      <c r="B114" s="0" t="s">
        <v>189</v>
      </c>
      <c r="C114" s="17" t="n">
        <f aca="false">C112+C113</f>
        <v>9.872226</v>
      </c>
      <c r="D114" s="17" t="n">
        <f aca="false">D112+D113</f>
        <v>15.8904015</v>
      </c>
      <c r="E114" s="17" t="n">
        <f aca="false">E112+E113</f>
        <v>23.6447066269345</v>
      </c>
      <c r="F114" s="17" t="n">
        <f aca="false">F112+F113</f>
        <v>23.9108376908495</v>
      </c>
      <c r="G114" s="17" t="n">
        <f aca="false">G112+G113</f>
        <v>28.9950663117277</v>
      </c>
    </row>
    <row r="115" customFormat="false" ht="17.15" hidden="false" customHeight="false" outlineLevel="0" collapsed="false">
      <c r="A115" s="0" t="s">
        <v>501</v>
      </c>
      <c r="B115" s="0" t="s">
        <v>189</v>
      </c>
      <c r="D115" s="17" t="n">
        <f aca="false">k_cpo*cpo_A_26/cpo_A_27</f>
        <v>0.24</v>
      </c>
      <c r="E115" s="17" t="n">
        <f aca="false">k_cpo*cpo_B_27/cpo_A_27</f>
        <v>0.72</v>
      </c>
      <c r="F115" s="17" t="n">
        <f aca="false">k_cpo*cpo_B_28/cpo_A_27</f>
        <v>1.2</v>
      </c>
      <c r="G115" s="17" t="n">
        <f aca="false">k_cpo*cpo_B_29/cpo_A_27</f>
        <v>1.92</v>
      </c>
      <c r="K115" s="8" t="s">
        <v>502</v>
      </c>
    </row>
    <row r="116" customFormat="false" ht="17.15" hidden="false" customHeight="false" outlineLevel="0" collapsed="false">
      <c r="A116" s="4" t="s">
        <v>503</v>
      </c>
      <c r="B116" s="0" t="s">
        <v>189</v>
      </c>
      <c r="C116" s="17" t="n">
        <f aca="false">a25_eq</f>
        <v>3.290742</v>
      </c>
      <c r="D116" s="17" t="n">
        <f aca="false">a26_eq-D115</f>
        <v>4.8539955</v>
      </c>
      <c r="E116" s="17" t="n">
        <f aca="false">D116*semi_27</f>
        <v>5.659593717153</v>
      </c>
      <c r="F116" s="17" t="n">
        <f aca="false">$E116*eqk28_B</f>
        <v>5.659593717153</v>
      </c>
      <c r="G116" s="17" t="n">
        <f aca="false">$E116*eqk29_B</f>
        <v>5.37661403129535</v>
      </c>
      <c r="K116" s="8" t="s">
        <v>504</v>
      </c>
    </row>
    <row r="117" customFormat="false" ht="15" hidden="false" customHeight="false" outlineLevel="0" collapsed="false">
      <c r="A117" s="4" t="s">
        <v>405</v>
      </c>
      <c r="B117" s="0" t="s">
        <v>189</v>
      </c>
      <c r="C117" s="17" t="n">
        <f aca="false">a25_eq</f>
        <v>3.290742</v>
      </c>
      <c r="D117" s="17" t="n">
        <f aca="false">D115+D116</f>
        <v>5.0939955</v>
      </c>
      <c r="E117" s="17" t="n">
        <f aca="false">E115+E116</f>
        <v>6.379593717153</v>
      </c>
      <c r="F117" s="17" t="n">
        <f aca="false">F115+F116</f>
        <v>6.859593717153</v>
      </c>
      <c r="G117" s="17" t="n">
        <f aca="false">G115+G116</f>
        <v>7.29661403129535</v>
      </c>
    </row>
    <row r="118" customFormat="false" ht="15" hidden="false" customHeight="false" outlineLevel="0" collapsed="false">
      <c r="A118" s="4" t="s">
        <v>407</v>
      </c>
      <c r="B118" s="0" t="s">
        <v>189</v>
      </c>
      <c r="C118" s="17" t="n">
        <f aca="false">a25_oth</f>
        <v>0.214032000000001</v>
      </c>
      <c r="D118" s="17" t="n">
        <f aca="false">a26_oth</f>
        <v>0.428253</v>
      </c>
      <c r="E118" s="17" t="n">
        <f aca="false">D118*(1+g_oth)</f>
        <v>0.44966565</v>
      </c>
      <c r="F118" s="17" t="n">
        <f aca="false">E118*(1+g_oth)</f>
        <v>0.4721489325</v>
      </c>
      <c r="G118" s="17" t="n">
        <f aca="false">F118*(1+g_oth)</f>
        <v>0.495756379125</v>
      </c>
    </row>
    <row r="119" customFormat="false" ht="17.15" hidden="false" customHeight="false" outlineLevel="0" collapsed="false">
      <c r="A119" s="4" t="s">
        <v>394</v>
      </c>
      <c r="B119" s="0" t="s">
        <v>189</v>
      </c>
      <c r="C119" s="17" t="n">
        <f aca="false">C114+C117+C118</f>
        <v>13.377</v>
      </c>
      <c r="D119" s="17" t="n">
        <f aca="false">D114+D117+D118</f>
        <v>21.41265</v>
      </c>
      <c r="E119" s="17" t="n">
        <f aca="false">E114+E117+E118</f>
        <v>30.4739659940875</v>
      </c>
      <c r="F119" s="17" t="n">
        <f aca="false">F114+F117+F118</f>
        <v>31.2425803405026</v>
      </c>
      <c r="G119" s="17" t="n">
        <f aca="false">G114+G117+G118</f>
        <v>36.7874367221481</v>
      </c>
      <c r="H119" s="30" t="n">
        <f aca="false">G119*(1+H120)</f>
        <v>41.6305651224657</v>
      </c>
      <c r="I119" s="30" t="n">
        <f aca="false">H119*(1+I120)</f>
        <v>45.2035436566513</v>
      </c>
      <c r="J119" s="30" t="n">
        <f aca="false">I119*(1+J120)</f>
        <v>47.0116854029173</v>
      </c>
      <c r="K119" s="8" t="s">
        <v>505</v>
      </c>
    </row>
    <row r="120" customFormat="false" ht="15" hidden="false" customHeight="false" outlineLevel="0" collapsed="false">
      <c r="A120" s="4" t="s">
        <v>506</v>
      </c>
      <c r="B120" s="0" t="s">
        <v>90</v>
      </c>
      <c r="D120" s="22" t="n">
        <f aca="false">D119/C119-1</f>
        <v>0.600706436420722</v>
      </c>
      <c r="E120" s="22" t="n">
        <f aca="false">E119/D119-1</f>
        <v>0.423175832701115</v>
      </c>
      <c r="F120" s="22" t="n">
        <f aca="false">F119/E119-1</f>
        <v>0.0252219992161231</v>
      </c>
      <c r="G120" s="22" t="n">
        <f aca="false">G119/F119-1</f>
        <v>0.177477542546549</v>
      </c>
      <c r="H120" s="26" t="n">
        <f aca="false">$G120+(fade_gB-$G120)*1/3</f>
        <v>0.131651695031033</v>
      </c>
      <c r="I120" s="26" t="n">
        <f aca="false">$G120+(fade_gB-$G120)*2/3</f>
        <v>0.0858258475155164</v>
      </c>
      <c r="J120" s="26" t="n">
        <f aca="false">$G120+(fade_gB-$G120)*3/3</f>
        <v>0.04</v>
      </c>
    </row>
    <row r="121" customFormat="false" ht="17.15" hidden="false" customHeight="false" outlineLevel="0" collapsed="false">
      <c r="A121" s="0" t="s">
        <v>507</v>
      </c>
      <c r="B121" s="0" t="s">
        <v>90</v>
      </c>
      <c r="C121" s="22" t="n">
        <f aca="false">C112/C119</f>
        <v>0.4059</v>
      </c>
      <c r="D121" s="22" t="n">
        <f aca="false">D112/D119</f>
        <v>0.445262071719287</v>
      </c>
      <c r="E121" s="22" t="n">
        <f aca="false">E112/E119</f>
        <v>0.552721453722252</v>
      </c>
      <c r="F121" s="22" t="n">
        <f aca="false">F112/F119</f>
        <v>0.532403829601291</v>
      </c>
      <c r="G121" s="22" t="n">
        <f aca="false">G112/G119</f>
        <v>0.576514651510178</v>
      </c>
    </row>
    <row r="122" customFormat="false" ht="17.15" hidden="false" customHeight="false" outlineLevel="0" collapsed="false">
      <c r="A122" s="4" t="s">
        <v>508</v>
      </c>
      <c r="B122" s="0" t="s">
        <v>90</v>
      </c>
      <c r="C122" s="22" t="n">
        <f aca="false">C114/C119</f>
        <v>0.738</v>
      </c>
      <c r="D122" s="22" t="n">
        <f aca="false">D114/D119</f>
        <v>0.742103452865479</v>
      </c>
      <c r="E122" s="22" t="n">
        <f aca="false">E114/E119</f>
        <v>0.775898569668353</v>
      </c>
      <c r="F122" s="22" t="n">
        <f aca="false">F114/F119</f>
        <v>0.765328517371268</v>
      </c>
      <c r="G122" s="22" t="n">
        <f aca="false">G114/G119</f>
        <v>0.788178489594821</v>
      </c>
    </row>
    <row r="123" customFormat="false" ht="17.15" hidden="false" customHeight="false" outlineLevel="0" collapsed="false">
      <c r="A123" s="6" t="s">
        <v>509</v>
      </c>
    </row>
    <row r="124" customFormat="false" ht="15" hidden="false" customHeight="false" outlineLevel="0" collapsed="false">
      <c r="A124" s="4" t="s">
        <v>412</v>
      </c>
      <c r="B124" s="0" t="s">
        <v>90</v>
      </c>
      <c r="C124" s="14" t="n">
        <f aca="false">a25_gp/a25_rev</f>
        <v>0.574</v>
      </c>
      <c r="D124" s="14" t="n">
        <f aca="false">a26_gp/a26_rev</f>
        <v>0.593344593032623</v>
      </c>
      <c r="E124" s="14" t="n">
        <f aca="false">gm27_B+gm_adj</f>
        <v>0.595</v>
      </c>
      <c r="F124" s="14" t="n">
        <f aca="false">gmL_B+gm_adj</f>
        <v>0.595</v>
      </c>
      <c r="G124" s="14" t="n">
        <f aca="false">gmL_B+gm_adj</f>
        <v>0.595</v>
      </c>
    </row>
    <row r="125" customFormat="false" ht="15" hidden="false" customHeight="false" outlineLevel="0" collapsed="false">
      <c r="A125" s="4" t="s">
        <v>409</v>
      </c>
      <c r="B125" s="0" t="s">
        <v>189</v>
      </c>
      <c r="C125" s="17" t="n">
        <f aca="false">C119*C124</f>
        <v>7.678398</v>
      </c>
      <c r="D125" s="17" t="n">
        <f aca="false">D119*D124</f>
        <v>12.7050801</v>
      </c>
      <c r="E125" s="17" t="n">
        <f aca="false">E119*E124</f>
        <v>18.1320097664821</v>
      </c>
      <c r="F125" s="17" t="n">
        <f aca="false">F119*F124</f>
        <v>18.589335302599</v>
      </c>
      <c r="G125" s="17" t="n">
        <f aca="false">G119*G124</f>
        <v>21.8885248496781</v>
      </c>
    </row>
    <row r="126" customFormat="false" ht="17.15" hidden="false" customHeight="false" outlineLevel="0" collapsed="false">
      <c r="A126" s="4" t="s">
        <v>510</v>
      </c>
      <c r="B126" s="0" t="s">
        <v>189</v>
      </c>
      <c r="D126" s="17" t="n">
        <f aca="false">a26_opx</f>
        <v>5.05564928556</v>
      </c>
      <c r="E126" s="17" t="n">
        <f aca="false">D126*(1+phi*E120)</f>
        <v>6.33930644331699</v>
      </c>
      <c r="F126" s="17" t="n">
        <f aca="false">E126*(1+phi*F120)</f>
        <v>6.43524043260345</v>
      </c>
      <c r="G126" s="17" t="n">
        <f aca="false">F126*(1+phi*G120)</f>
        <v>7.12050682720824</v>
      </c>
      <c r="K126" s="8" t="s">
        <v>511</v>
      </c>
    </row>
    <row r="127" customFormat="false" ht="15" hidden="false" customHeight="false" outlineLevel="0" collapsed="false">
      <c r="A127" s="4" t="s">
        <v>415</v>
      </c>
      <c r="B127" s="0" t="s">
        <v>189</v>
      </c>
      <c r="D127" s="17" t="n">
        <f aca="false">D125-D126</f>
        <v>7.64943081444</v>
      </c>
      <c r="E127" s="17" t="n">
        <f aca="false">E125-E126</f>
        <v>11.7927033231651</v>
      </c>
      <c r="F127" s="17" t="n">
        <f aca="false">F125-F126</f>
        <v>12.1540948699956</v>
      </c>
      <c r="G127" s="17" t="n">
        <f aca="false">G125-G126</f>
        <v>14.7680180224699</v>
      </c>
    </row>
    <row r="128" customFormat="false" ht="15" hidden="false" customHeight="false" outlineLevel="0" collapsed="false">
      <c r="A128" s="4" t="s">
        <v>482</v>
      </c>
      <c r="B128" s="0" t="s">
        <v>90</v>
      </c>
      <c r="D128" s="14" t="n">
        <f aca="false">D127/D119</f>
        <v>0.357238866484999</v>
      </c>
      <c r="E128" s="14" t="n">
        <f aca="false">E127/E119</f>
        <v>0.386976323510142</v>
      </c>
      <c r="F128" s="14" t="n">
        <f aca="false">F127/F119</f>
        <v>0.389023401317436</v>
      </c>
      <c r="G128" s="14" t="n">
        <f aca="false">G127/G119</f>
        <v>0.401441887185869</v>
      </c>
    </row>
    <row r="129" customFormat="false" ht="15" hidden="false" customHeight="false" outlineLevel="0" collapsed="false">
      <c r="A129" s="4" t="s">
        <v>418</v>
      </c>
      <c r="B129" s="0" t="s">
        <v>189</v>
      </c>
      <c r="C129" s="17" t="n">
        <f aca="false">a25_ni</f>
        <v>3.18</v>
      </c>
      <c r="D129" s="17" t="n">
        <f aca="false">a26_ni</f>
        <v>6.7316248085628</v>
      </c>
      <c r="E129" s="17" t="n">
        <f aca="false">E127*ni_oi</f>
        <v>10.0237978246903</v>
      </c>
      <c r="F129" s="17" t="n">
        <f aca="false">F127*ni_oi</f>
        <v>10.3309806394962</v>
      </c>
      <c r="G129" s="17" t="n">
        <f aca="false">G127*ni_oi</f>
        <v>12.5528153190994</v>
      </c>
      <c r="H129" s="30" t="n">
        <f aca="false">H119*H133</f>
        <v>13.731900908828</v>
      </c>
      <c r="I129" s="30" t="n">
        <f aca="false">I119*I133</f>
        <v>14.3962993925918</v>
      </c>
      <c r="J129" s="30" t="n">
        <f aca="false">J119*J133</f>
        <v>14.4374316765707</v>
      </c>
    </row>
    <row r="130" customFormat="false" ht="15" hidden="false" customHeight="false" outlineLevel="0" collapsed="false">
      <c r="A130" s="4" t="s">
        <v>512</v>
      </c>
      <c r="B130" s="4" t="s">
        <v>513</v>
      </c>
      <c r="C130" s="19" t="n">
        <f aca="false">a25_sh</f>
        <v>94.9537175276202</v>
      </c>
      <c r="D130" s="19" t="n">
        <f aca="false">a26_sh</f>
        <v>97.9860681630967</v>
      </c>
      <c r="E130" s="19" t="n">
        <f aca="false">D130*(1+sh_g)</f>
        <v>97.9860681630967</v>
      </c>
      <c r="F130" s="19" t="n">
        <f aca="false">E130*(1+sh_g)</f>
        <v>97.9860681630967</v>
      </c>
      <c r="G130" s="19" t="n">
        <f aca="false">F130*(1+sh_g)</f>
        <v>97.9860681630967</v>
      </c>
      <c r="H130" s="25" t="n">
        <f aca="false">G130*(1+sh_g)</f>
        <v>97.9860681630967</v>
      </c>
      <c r="I130" s="25" t="n">
        <f aca="false">H130*(1+sh_g)</f>
        <v>97.9860681630967</v>
      </c>
      <c r="J130" s="25" t="n">
        <f aca="false">I130*(1+sh_g)</f>
        <v>97.9860681630967</v>
      </c>
    </row>
    <row r="131" customFormat="false" ht="15" hidden="false" customHeight="false" outlineLevel="0" collapsed="false">
      <c r="A131" s="0" t="s">
        <v>423</v>
      </c>
      <c r="B131" s="0" t="s">
        <v>256</v>
      </c>
      <c r="C131" s="20" t="n">
        <f aca="false">a25_eps</f>
        <v>33.49</v>
      </c>
      <c r="D131" s="20" t="n">
        <f aca="false">a26_eps</f>
        <v>68.6959552317267</v>
      </c>
      <c r="E131" s="20" t="n">
        <f aca="false">E129/E130*1000</f>
        <v>102.298194147415</v>
      </c>
      <c r="F131" s="20" t="n">
        <f aca="false">F129/F130*1000</f>
        <v>105.433158337371</v>
      </c>
      <c r="G131" s="20" t="n">
        <f aca="false">G129/G130*1000</f>
        <v>128.108164297453</v>
      </c>
      <c r="H131" s="28" t="n">
        <f aca="false">H129/H130*1000</f>
        <v>140.141360565375</v>
      </c>
      <c r="I131" s="28" t="n">
        <f aca="false">I129/I130*1000</f>
        <v>146.921900862777</v>
      </c>
      <c r="J131" s="28" t="n">
        <f aca="false">J129/J130*1000</f>
        <v>147.341677722385</v>
      </c>
    </row>
    <row r="132" customFormat="false" ht="17.15" hidden="false" customHeight="false" outlineLevel="0" collapsed="false">
      <c r="A132" s="0" t="s">
        <v>514</v>
      </c>
      <c r="B132" s="0" t="s">
        <v>90</v>
      </c>
      <c r="D132" s="22" t="n">
        <f aca="false">D131/C131-1</f>
        <v>1.05123783910799</v>
      </c>
      <c r="E132" s="22" t="n">
        <f aca="false">E131/D131-1</f>
        <v>0.489144357951507</v>
      </c>
      <c r="F132" s="22" t="n">
        <f aca="false">F131/E131-1</f>
        <v>0.0306453522086474</v>
      </c>
      <c r="G132" s="22" t="n">
        <f aca="false">G131/F131-1</f>
        <v>0.215065225377433</v>
      </c>
      <c r="H132" s="26" t="n">
        <f aca="false">H131/G131-1</f>
        <v>0.0939299718633315</v>
      </c>
      <c r="I132" s="26" t="n">
        <f aca="false">I131/H131-1</f>
        <v>0.0483835769115333</v>
      </c>
      <c r="J132" s="26" t="n">
        <f aca="false">J131/I131-1</f>
        <v>0.00285714285714289</v>
      </c>
    </row>
    <row r="133" customFormat="false" ht="17.15" hidden="false" customHeight="false" outlineLevel="0" collapsed="false">
      <c r="A133" s="4" t="s">
        <v>515</v>
      </c>
      <c r="B133" s="0" t="s">
        <v>90</v>
      </c>
      <c r="C133" s="14" t="n">
        <f aca="false">C129/C119</f>
        <v>0.237721462211258</v>
      </c>
      <c r="D133" s="14" t="n">
        <f aca="false">D129/D119</f>
        <v>0.314376072488123</v>
      </c>
      <c r="E133" s="14" t="n">
        <f aca="false">E129/E119</f>
        <v>0.328929874983621</v>
      </c>
      <c r="F133" s="14" t="n">
        <f aca="false">F129/F119</f>
        <v>0.330669891119821</v>
      </c>
      <c r="G133" s="14" t="n">
        <f aca="false">G129/G119</f>
        <v>0.341225604107989</v>
      </c>
      <c r="H133" s="27" t="n">
        <f aca="false">$G133+(fade_mB-$G133)*1/3</f>
        <v>0.329851417304389</v>
      </c>
      <c r="I133" s="27" t="n">
        <f aca="false">$G133+(fade_mB-$G133)*2/3</f>
        <v>0.318477230500789</v>
      </c>
      <c r="J133" s="27" t="n">
        <f aca="false">$G133+(fade_mB-$G133)*3/3</f>
        <v>0.30710304369719</v>
      </c>
    </row>
    <row r="136" customFormat="false" ht="17.15" hidden="false" customHeight="false" outlineLevel="0" collapsed="false">
      <c r="A136" s="1" t="s">
        <v>517</v>
      </c>
    </row>
    <row r="137" customFormat="false" ht="17.15" hidden="false" customHeight="false" outlineLevel="0" collapsed="false">
      <c r="A137" s="5" t="s">
        <v>21</v>
      </c>
      <c r="B137" s="5" t="s">
        <v>22</v>
      </c>
      <c r="C137" s="15" t="s">
        <v>387</v>
      </c>
      <c r="D137" s="15" t="s">
        <v>468</v>
      </c>
      <c r="E137" s="15" t="s">
        <v>469</v>
      </c>
      <c r="F137" s="15" t="s">
        <v>470</v>
      </c>
      <c r="G137" s="15" t="s">
        <v>471</v>
      </c>
      <c r="H137" s="15" t="s">
        <v>472</v>
      </c>
      <c r="I137" s="15" t="s">
        <v>473</v>
      </c>
      <c r="J137" s="15" t="s">
        <v>474</v>
      </c>
      <c r="K137" s="5" t="s">
        <v>336</v>
      </c>
    </row>
    <row r="138" customFormat="false" ht="17.15" hidden="false" customHeight="false" outlineLevel="0" collapsed="false">
      <c r="A138" s="6" t="s">
        <v>492</v>
      </c>
    </row>
    <row r="139" customFormat="false" ht="17.15" hidden="false" customHeight="false" outlineLevel="0" collapsed="false">
      <c r="A139" s="0" t="s">
        <v>493</v>
      </c>
      <c r="B139" s="4" t="s">
        <v>32</v>
      </c>
      <c r="D139" s="20" t="n">
        <f aca="false">units_26</f>
        <v>15.2</v>
      </c>
      <c r="E139" s="20" t="n">
        <f aca="false">units_27*1</f>
        <v>23.7</v>
      </c>
      <c r="F139" s="20" t="n">
        <f aca="false">units_28*um28_C*1</f>
        <v>15.9</v>
      </c>
      <c r="G139" s="20" t="n">
        <f aca="false">units_29*um29_C*1</f>
        <v>18.09</v>
      </c>
    </row>
    <row r="140" customFormat="false" ht="17.15" hidden="false" customHeight="false" outlineLevel="0" collapsed="false">
      <c r="A140" s="4" t="s">
        <v>494</v>
      </c>
      <c r="B140" s="0" t="s">
        <v>45</v>
      </c>
      <c r="D140" s="18" t="n">
        <f aca="false">ex_nv*nvtt_26+astt_26</f>
        <v>0.607994</v>
      </c>
      <c r="E140" s="18" t="n">
        <f aca="false">ex_nv*nvtt_27+astt_27</f>
        <v>0.6560764</v>
      </c>
      <c r="F140" s="18" t="n">
        <f aca="false">ex_nv*nvtt_28+astt_28</f>
        <v>0.6898114</v>
      </c>
      <c r="G140" s="18" t="n">
        <f aca="false">ex_nv*nvtt_29+astt_29</f>
        <v>0.692935</v>
      </c>
      <c r="K140" s="8" t="s">
        <v>495</v>
      </c>
    </row>
    <row r="141" customFormat="false" ht="17.15" hidden="false" customHeight="false" outlineLevel="0" collapsed="false">
      <c r="A141" s="4" t="s">
        <v>447</v>
      </c>
      <c r="B141" s="0" t="s">
        <v>45</v>
      </c>
      <c r="D141" s="18" t="n">
        <f aca="false">D139*D140/($D139*$D140)</f>
        <v>1</v>
      </c>
      <c r="E141" s="18" t="n">
        <f aca="false">E139*E140/($D139*$D140)</f>
        <v>1.68251862509724</v>
      </c>
      <c r="F141" s="18" t="n">
        <f aca="false">F139*F140/($D139*$D140)</f>
        <v>1.18681932759724</v>
      </c>
      <c r="G141" s="18" t="n">
        <f aca="false">G139*G140/($D139*$D140)</f>
        <v>1.35640125668657</v>
      </c>
    </row>
    <row r="142" customFormat="false" ht="17.15" hidden="false" customHeight="false" outlineLevel="0" collapsed="false">
      <c r="A142" s="4" t="s">
        <v>496</v>
      </c>
      <c r="B142" s="0" t="s">
        <v>45</v>
      </c>
      <c r="D142" s="20" t="n">
        <f aca="false">1</f>
        <v>1</v>
      </c>
      <c r="E142" s="20" t="n">
        <f aca="false">rel27_C</f>
        <v>0.92</v>
      </c>
      <c r="F142" s="20" t="n">
        <f aca="false">rel28_C</f>
        <v>0.88</v>
      </c>
      <c r="G142" s="20" t="n">
        <f aca="false">rel29_C</f>
        <v>0.85</v>
      </c>
    </row>
    <row r="143" customFormat="false" ht="17.15" hidden="false" customHeight="false" outlineLevel="0" collapsed="false">
      <c r="A143" s="4" t="s">
        <v>497</v>
      </c>
      <c r="B143" s="0" t="s">
        <v>45</v>
      </c>
      <c r="D143" s="18" t="n">
        <f aca="false">1</f>
        <v>1</v>
      </c>
      <c r="E143" s="18" t="n">
        <f aca="false">(1+g_ct)^1</f>
        <v>1.05</v>
      </c>
      <c r="F143" s="18" t="n">
        <f aca="false">(1+g_ct)^2</f>
        <v>1.1025</v>
      </c>
      <c r="G143" s="18" t="n">
        <f aca="false">(1+g_ct)^3</f>
        <v>1.157625</v>
      </c>
    </row>
    <row r="144" customFormat="false" ht="17.15" hidden="false" customHeight="false" outlineLevel="0" collapsed="false">
      <c r="A144" s="6" t="s">
        <v>498</v>
      </c>
    </row>
    <row r="145" customFormat="false" ht="17.15" hidden="false" customHeight="false" outlineLevel="0" collapsed="false">
      <c r="A145" s="0" t="s">
        <v>401</v>
      </c>
      <c r="B145" s="0" t="s">
        <v>189</v>
      </c>
      <c r="C145" s="17" t="n">
        <f aca="false">a25_ai</f>
        <v>5.4297243</v>
      </c>
      <c r="D145" s="17" t="n">
        <f aca="false">a26_ai</f>
        <v>9.5342409</v>
      </c>
      <c r="E145" s="17" t="n">
        <f aca="false">$D145*E141*E142*E143</f>
        <v>15.4961256021398</v>
      </c>
      <c r="F145" s="17" t="n">
        <f aca="false">$D145*F141*F142*F143</f>
        <v>10.9782218171403</v>
      </c>
      <c r="G145" s="17" t="n">
        <f aca="false">$D145*G141*G142*G143</f>
        <v>12.7250977570932</v>
      </c>
      <c r="K145" s="8" t="s">
        <v>499</v>
      </c>
    </row>
    <row r="146" customFormat="false" ht="17.15" hidden="false" customHeight="false" outlineLevel="0" collapsed="false">
      <c r="A146" s="4" t="s">
        <v>404</v>
      </c>
      <c r="B146" s="0" t="s">
        <v>189</v>
      </c>
      <c r="C146" s="17" t="n">
        <f aca="false">a25_npc</f>
        <v>4.4425017</v>
      </c>
      <c r="D146" s="17" t="n">
        <f aca="false">a26_npc</f>
        <v>6.3561606</v>
      </c>
      <c r="E146" s="17" t="n">
        <f aca="false">D146*(1+g_nonai+d_npc)</f>
        <v>6.801091842</v>
      </c>
      <c r="F146" s="17" t="n">
        <f aca="false">E146*(1+g_nonai+d_npc)</f>
        <v>7.27716827094</v>
      </c>
      <c r="G146" s="17" t="n">
        <f aca="false">F146*(1+g_nonai+d_npc)</f>
        <v>7.7865700499058</v>
      </c>
      <c r="K146" s="4" t="s">
        <v>500</v>
      </c>
    </row>
    <row r="147" customFormat="false" ht="15" hidden="false" customHeight="false" outlineLevel="0" collapsed="false">
      <c r="A147" s="4" t="s">
        <v>398</v>
      </c>
      <c r="B147" s="0" t="s">
        <v>189</v>
      </c>
      <c r="C147" s="17" t="n">
        <f aca="false">C145+C146</f>
        <v>9.872226</v>
      </c>
      <c r="D147" s="17" t="n">
        <f aca="false">D145+D146</f>
        <v>15.8904015</v>
      </c>
      <c r="E147" s="17" t="n">
        <f aca="false">E145+E146</f>
        <v>22.2972174441398</v>
      </c>
      <c r="F147" s="17" t="n">
        <f aca="false">F145+F146</f>
        <v>18.2553900880803</v>
      </c>
      <c r="G147" s="17" t="n">
        <f aca="false">G145+G146</f>
        <v>20.511667806999</v>
      </c>
    </row>
    <row r="148" customFormat="false" ht="17.15" hidden="false" customHeight="false" outlineLevel="0" collapsed="false">
      <c r="A148" s="0" t="s">
        <v>501</v>
      </c>
      <c r="B148" s="0" t="s">
        <v>189</v>
      </c>
      <c r="D148" s="17" t="n">
        <f aca="false">k_cpo*cpo_A_26/cpo_A_27</f>
        <v>0.24</v>
      </c>
      <c r="E148" s="17" t="n">
        <f aca="false">k_cpo*cpo_C_27/cpo_A_27</f>
        <v>0.48</v>
      </c>
      <c r="F148" s="17" t="n">
        <f aca="false">k_cpo*cpo_C_28/cpo_A_27</f>
        <v>0.72</v>
      </c>
      <c r="G148" s="17" t="n">
        <f aca="false">k_cpo*cpo_C_29/cpo_A_27</f>
        <v>1.2</v>
      </c>
      <c r="K148" s="8" t="s">
        <v>502</v>
      </c>
    </row>
    <row r="149" customFormat="false" ht="17.15" hidden="false" customHeight="false" outlineLevel="0" collapsed="false">
      <c r="A149" s="4" t="s">
        <v>503</v>
      </c>
      <c r="B149" s="0" t="s">
        <v>189</v>
      </c>
      <c r="C149" s="17" t="n">
        <f aca="false">a25_eq</f>
        <v>3.290742</v>
      </c>
      <c r="D149" s="17" t="n">
        <f aca="false">a26_eq-D148</f>
        <v>4.8539955</v>
      </c>
      <c r="E149" s="17" t="n">
        <f aca="false">D149*semi_27</f>
        <v>5.659593717153</v>
      </c>
      <c r="F149" s="17" t="n">
        <f aca="false">$E149*eqk28_C</f>
        <v>4.5276749737224</v>
      </c>
      <c r="G149" s="17" t="n">
        <f aca="false">$E149*eqk29_C</f>
        <v>5.659593717153</v>
      </c>
      <c r="K149" s="8" t="s">
        <v>504</v>
      </c>
    </row>
    <row r="150" customFormat="false" ht="15" hidden="false" customHeight="false" outlineLevel="0" collapsed="false">
      <c r="A150" s="4" t="s">
        <v>405</v>
      </c>
      <c r="B150" s="0" t="s">
        <v>189</v>
      </c>
      <c r="C150" s="17" t="n">
        <f aca="false">a25_eq</f>
        <v>3.290742</v>
      </c>
      <c r="D150" s="17" t="n">
        <f aca="false">D148+D149</f>
        <v>5.0939955</v>
      </c>
      <c r="E150" s="17" t="n">
        <f aca="false">E148+E149</f>
        <v>6.139593717153</v>
      </c>
      <c r="F150" s="17" t="n">
        <f aca="false">F148+F149</f>
        <v>5.2476749737224</v>
      </c>
      <c r="G150" s="17" t="n">
        <f aca="false">G148+G149</f>
        <v>6.859593717153</v>
      </c>
    </row>
    <row r="151" customFormat="false" ht="15" hidden="false" customHeight="false" outlineLevel="0" collapsed="false">
      <c r="A151" s="4" t="s">
        <v>407</v>
      </c>
      <c r="B151" s="0" t="s">
        <v>189</v>
      </c>
      <c r="C151" s="17" t="n">
        <f aca="false">a25_oth</f>
        <v>0.214032000000001</v>
      </c>
      <c r="D151" s="17" t="n">
        <f aca="false">a26_oth</f>
        <v>0.428253</v>
      </c>
      <c r="E151" s="17" t="n">
        <f aca="false">D151*(1+g_oth)</f>
        <v>0.44966565</v>
      </c>
      <c r="F151" s="17" t="n">
        <f aca="false">E151*(1+g_oth)</f>
        <v>0.4721489325</v>
      </c>
      <c r="G151" s="17" t="n">
        <f aca="false">F151*(1+g_oth)</f>
        <v>0.495756379125</v>
      </c>
    </row>
    <row r="152" customFormat="false" ht="17.15" hidden="false" customHeight="false" outlineLevel="0" collapsed="false">
      <c r="A152" s="4" t="s">
        <v>394</v>
      </c>
      <c r="B152" s="0" t="s">
        <v>189</v>
      </c>
      <c r="C152" s="17" t="n">
        <f aca="false">C147+C150+C151</f>
        <v>13.377</v>
      </c>
      <c r="D152" s="17" t="n">
        <f aca="false">D147+D150+D151</f>
        <v>21.41265</v>
      </c>
      <c r="E152" s="17" t="n">
        <f aca="false">E147+E150+E151</f>
        <v>28.8864768112928</v>
      </c>
      <c r="F152" s="17" t="n">
        <f aca="false">F147+F150+F151</f>
        <v>23.9752139943027</v>
      </c>
      <c r="G152" s="17" t="n">
        <f aca="false">G147+G150+G151</f>
        <v>27.867017903277</v>
      </c>
      <c r="H152" s="30" t="n">
        <f aca="false">G152*(1+H153)</f>
        <v>31.0684949623466</v>
      </c>
      <c r="I152" s="30" t="n">
        <f aca="false">H152*(1+I153)</f>
        <v>33.1638178346034</v>
      </c>
      <c r="J152" s="30" t="n">
        <f aca="false">I152*(1+J153)</f>
        <v>33.8270941912954</v>
      </c>
      <c r="K152" s="8" t="s">
        <v>505</v>
      </c>
    </row>
    <row r="153" customFormat="false" ht="15" hidden="false" customHeight="false" outlineLevel="0" collapsed="false">
      <c r="A153" s="4" t="s">
        <v>506</v>
      </c>
      <c r="B153" s="0" t="s">
        <v>90</v>
      </c>
      <c r="D153" s="22" t="n">
        <f aca="false">D152/C152-1</f>
        <v>0.600706436420722</v>
      </c>
      <c r="E153" s="22" t="n">
        <f aca="false">E152/D152-1</f>
        <v>0.349037919701333</v>
      </c>
      <c r="F153" s="22" t="n">
        <f aca="false">F152/E152-1</f>
        <v>-0.170019447130017</v>
      </c>
      <c r="G153" s="22" t="n">
        <f aca="false">G152/F152-1</f>
        <v>0.162326138565398</v>
      </c>
      <c r="H153" s="26" t="n">
        <f aca="false">$G153+(fade_gC-$G153)*1/3</f>
        <v>0.114884092376932</v>
      </c>
      <c r="I153" s="26" t="n">
        <f aca="false">$G153+(fade_gC-$G153)*2/3</f>
        <v>0.0674420461884661</v>
      </c>
      <c r="J153" s="26" t="n">
        <f aca="false">$G153+(fade_gC-$G153)*3/3</f>
        <v>0.02</v>
      </c>
    </row>
    <row r="154" customFormat="false" ht="17.15" hidden="false" customHeight="false" outlineLevel="0" collapsed="false">
      <c r="A154" s="0" t="s">
        <v>507</v>
      </c>
      <c r="B154" s="0" t="s">
        <v>90</v>
      </c>
      <c r="C154" s="22" t="n">
        <f aca="false">C145/C152</f>
        <v>0.4059</v>
      </c>
      <c r="D154" s="22" t="n">
        <f aca="false">D145/D152</f>
        <v>0.445262071719287</v>
      </c>
      <c r="E154" s="22" t="n">
        <f aca="false">E145/E152</f>
        <v>0.536449138583829</v>
      </c>
      <c r="F154" s="22" t="n">
        <f aca="false">F145/F152</f>
        <v>0.457898804146194</v>
      </c>
      <c r="G154" s="22" t="n">
        <f aca="false">G145/G152</f>
        <v>0.456636508479681</v>
      </c>
    </row>
    <row r="155" customFormat="false" ht="17.15" hidden="false" customHeight="false" outlineLevel="0" collapsed="false">
      <c r="A155" s="4" t="s">
        <v>508</v>
      </c>
      <c r="B155" s="0" t="s">
        <v>90</v>
      </c>
      <c r="C155" s="22" t="n">
        <f aca="false">C147/C152</f>
        <v>0.738</v>
      </c>
      <c r="D155" s="22" t="n">
        <f aca="false">D147/D152</f>
        <v>0.742103452865479</v>
      </c>
      <c r="E155" s="22" t="n">
        <f aca="false">E147/E152</f>
        <v>0.771891206733214</v>
      </c>
      <c r="F155" s="22" t="n">
        <f aca="false">F147/F152</f>
        <v>0.761427618223486</v>
      </c>
      <c r="G155" s="22" t="n">
        <f aca="false">G147/G152</f>
        <v>0.736055356844872</v>
      </c>
    </row>
    <row r="156" customFormat="false" ht="17.15" hidden="false" customHeight="false" outlineLevel="0" collapsed="false">
      <c r="A156" s="6" t="s">
        <v>509</v>
      </c>
    </row>
    <row r="157" customFormat="false" ht="15" hidden="false" customHeight="false" outlineLevel="0" collapsed="false">
      <c r="A157" s="4" t="s">
        <v>412</v>
      </c>
      <c r="B157" s="0" t="s">
        <v>90</v>
      </c>
      <c r="C157" s="14" t="n">
        <f aca="false">a25_gp/a25_rev</f>
        <v>0.574</v>
      </c>
      <c r="D157" s="14" t="n">
        <f aca="false">a26_gp/a26_rev</f>
        <v>0.593344593032623</v>
      </c>
      <c r="E157" s="14" t="n">
        <f aca="false">gm27_C+gm_adj</f>
        <v>0.58</v>
      </c>
      <c r="F157" s="14" t="n">
        <f aca="false">gmL_C+gm_adj</f>
        <v>0.565</v>
      </c>
      <c r="G157" s="14" t="n">
        <f aca="false">gmL_C+gm_adj</f>
        <v>0.565</v>
      </c>
    </row>
    <row r="158" customFormat="false" ht="15" hidden="false" customHeight="false" outlineLevel="0" collapsed="false">
      <c r="A158" s="4" t="s">
        <v>409</v>
      </c>
      <c r="B158" s="0" t="s">
        <v>189</v>
      </c>
      <c r="C158" s="17" t="n">
        <f aca="false">C152*C157</f>
        <v>7.678398</v>
      </c>
      <c r="D158" s="17" t="n">
        <f aca="false">D152*D157</f>
        <v>12.7050801</v>
      </c>
      <c r="E158" s="17" t="n">
        <f aca="false">E152*E157</f>
        <v>16.7541565505498</v>
      </c>
      <c r="F158" s="17" t="n">
        <f aca="false">F152*F157</f>
        <v>13.545995906781</v>
      </c>
      <c r="G158" s="17" t="n">
        <f aca="false">G152*G157</f>
        <v>15.7448651153515</v>
      </c>
    </row>
    <row r="159" customFormat="false" ht="17.15" hidden="false" customHeight="false" outlineLevel="0" collapsed="false">
      <c r="A159" s="4" t="s">
        <v>510</v>
      </c>
      <c r="B159" s="0" t="s">
        <v>189</v>
      </c>
      <c r="D159" s="17" t="n">
        <f aca="false">a26_opx</f>
        <v>5.05564928556</v>
      </c>
      <c r="E159" s="17" t="n">
        <f aca="false">D159*(1+phi*E153)</f>
        <v>6.11441727118284</v>
      </c>
      <c r="F159" s="17" t="n">
        <f aca="false">E159*(1+phi*F153)</f>
        <v>5.4906753648016</v>
      </c>
      <c r="G159" s="17" t="n">
        <f aca="false">F159*(1+phi*G153)</f>
        <v>6.02544344285224</v>
      </c>
      <c r="K159" s="8" t="s">
        <v>511</v>
      </c>
    </row>
    <row r="160" customFormat="false" ht="15" hidden="false" customHeight="false" outlineLevel="0" collapsed="false">
      <c r="A160" s="4" t="s">
        <v>415</v>
      </c>
      <c r="B160" s="0" t="s">
        <v>189</v>
      </c>
      <c r="D160" s="17" t="n">
        <f aca="false">D158-D159</f>
        <v>7.64943081444</v>
      </c>
      <c r="E160" s="17" t="n">
        <f aca="false">E158-E159</f>
        <v>10.639739279367</v>
      </c>
      <c r="F160" s="17" t="n">
        <f aca="false">F158-F159</f>
        <v>8.05532054197943</v>
      </c>
      <c r="G160" s="17" t="n">
        <f aca="false">G158-G159</f>
        <v>9.71942167249924</v>
      </c>
    </row>
    <row r="161" customFormat="false" ht="15" hidden="false" customHeight="false" outlineLevel="0" collapsed="false">
      <c r="A161" s="4" t="s">
        <v>482</v>
      </c>
      <c r="B161" s="0" t="s">
        <v>90</v>
      </c>
      <c r="D161" s="14" t="n">
        <f aca="false">D160/D152</f>
        <v>0.357238866484999</v>
      </c>
      <c r="E161" s="14" t="n">
        <f aca="false">E160/E152</f>
        <v>0.368329421025395</v>
      </c>
      <c r="F161" s="14" t="n">
        <f aca="false">F160/F152</f>
        <v>0.335985344860473</v>
      </c>
      <c r="G161" s="14" t="n">
        <f aca="false">G160/G152</f>
        <v>0.348778678301144</v>
      </c>
    </row>
    <row r="162" customFormat="false" ht="15" hidden="false" customHeight="false" outlineLevel="0" collapsed="false">
      <c r="A162" s="4" t="s">
        <v>418</v>
      </c>
      <c r="B162" s="0" t="s">
        <v>189</v>
      </c>
      <c r="C162" s="17" t="n">
        <f aca="false">a25_ni</f>
        <v>3.18</v>
      </c>
      <c r="D162" s="17" t="n">
        <f aca="false">a26_ni</f>
        <v>6.7316248085628</v>
      </c>
      <c r="E162" s="17" t="n">
        <f aca="false">E160*ni_oi</f>
        <v>9.04377838746191</v>
      </c>
      <c r="F162" s="17" t="n">
        <f aca="false">F160*ni_oi</f>
        <v>6.84702246068251</v>
      </c>
      <c r="G162" s="17" t="n">
        <f aca="false">G160*ni_oi</f>
        <v>8.26150842162435</v>
      </c>
      <c r="H162" s="30" t="n">
        <f aca="false">H152*H166</f>
        <v>8.59658269708658</v>
      </c>
      <c r="I162" s="30" t="n">
        <f aca="false">I152*I166</f>
        <v>8.520899979806</v>
      </c>
      <c r="J162" s="30" t="n">
        <f aca="false">J152*J166</f>
        <v>8.02275505790965</v>
      </c>
    </row>
    <row r="163" customFormat="false" ht="15" hidden="false" customHeight="false" outlineLevel="0" collapsed="false">
      <c r="A163" s="4" t="s">
        <v>512</v>
      </c>
      <c r="B163" s="4" t="s">
        <v>513</v>
      </c>
      <c r="C163" s="19" t="n">
        <f aca="false">a25_sh</f>
        <v>94.9537175276202</v>
      </c>
      <c r="D163" s="19" t="n">
        <f aca="false">a26_sh</f>
        <v>97.9860681630967</v>
      </c>
      <c r="E163" s="19" t="n">
        <f aca="false">D163*(1+sh_g)</f>
        <v>97.9860681630967</v>
      </c>
      <c r="F163" s="19" t="n">
        <f aca="false">E163*(1+sh_g)</f>
        <v>97.9860681630967</v>
      </c>
      <c r="G163" s="19" t="n">
        <f aca="false">F163*(1+sh_g)</f>
        <v>97.9860681630967</v>
      </c>
      <c r="H163" s="25" t="n">
        <f aca="false">G163*(1+sh_g)</f>
        <v>97.9860681630967</v>
      </c>
      <c r="I163" s="25" t="n">
        <f aca="false">H163*(1+sh_g)</f>
        <v>97.9860681630967</v>
      </c>
      <c r="J163" s="25" t="n">
        <f aca="false">I163*(1+sh_g)</f>
        <v>97.9860681630967</v>
      </c>
    </row>
    <row r="164" customFormat="false" ht="15" hidden="false" customHeight="false" outlineLevel="0" collapsed="false">
      <c r="A164" s="0" t="s">
        <v>423</v>
      </c>
      <c r="B164" s="0" t="s">
        <v>256</v>
      </c>
      <c r="C164" s="20" t="n">
        <f aca="false">a25_eps</f>
        <v>33.49</v>
      </c>
      <c r="D164" s="20" t="n">
        <f aca="false">a26_eps</f>
        <v>68.6959552317267</v>
      </c>
      <c r="E164" s="20" t="n">
        <f aca="false">E162/E163*1000</f>
        <v>92.2965739620111</v>
      </c>
      <c r="F164" s="20" t="n">
        <f aca="false">F162/F163*1000</f>
        <v>69.8775100281167</v>
      </c>
      <c r="G164" s="20" t="n">
        <f aca="false">G162/G163*1000</f>
        <v>84.313092427315</v>
      </c>
      <c r="H164" s="28" t="n">
        <f aca="false">H162/H163*1000</f>
        <v>87.7327038245648</v>
      </c>
      <c r="I164" s="28" t="n">
        <f aca="false">I162/I163*1000</f>
        <v>86.9603213961301</v>
      </c>
      <c r="J164" s="28" t="n">
        <f aca="false">J162/J163*1000</f>
        <v>81.8764872222025</v>
      </c>
    </row>
    <row r="165" customFormat="false" ht="17.15" hidden="false" customHeight="false" outlineLevel="0" collapsed="false">
      <c r="A165" s="0" t="s">
        <v>514</v>
      </c>
      <c r="B165" s="0" t="s">
        <v>90</v>
      </c>
      <c r="D165" s="22" t="n">
        <f aca="false">D164/C164-1</f>
        <v>1.05123783910799</v>
      </c>
      <c r="E165" s="22" t="n">
        <f aca="false">E164/D164-1</f>
        <v>0.34355179501725</v>
      </c>
      <c r="F165" s="22" t="n">
        <f aca="false">F164/E164-1</f>
        <v>-0.24290244991241</v>
      </c>
      <c r="G165" s="22" t="n">
        <f aca="false">G164/F164-1</f>
        <v>0.206584098279831</v>
      </c>
      <c r="H165" s="26" t="n">
        <f aca="false">H164/G164-1</f>
        <v>0.0405584862184694</v>
      </c>
      <c r="I165" s="26" t="n">
        <f aca="false">I164/H164-1</f>
        <v>-0.00880381425356691</v>
      </c>
      <c r="J165" s="26" t="n">
        <f aca="false">J164/I164-1</f>
        <v>-0.0584615384615383</v>
      </c>
    </row>
    <row r="166" customFormat="false" ht="17.15" hidden="false" customHeight="false" outlineLevel="0" collapsed="false">
      <c r="A166" s="4" t="s">
        <v>515</v>
      </c>
      <c r="B166" s="0" t="s">
        <v>90</v>
      </c>
      <c r="C166" s="14" t="n">
        <f aca="false">C162/C152</f>
        <v>0.237721462211258</v>
      </c>
      <c r="D166" s="14" t="n">
        <f aca="false">D162/D152</f>
        <v>0.314376072488123</v>
      </c>
      <c r="E166" s="14" t="n">
        <f aca="false">E162/E152</f>
        <v>0.313080007871586</v>
      </c>
      <c r="F166" s="14" t="n">
        <f aca="false">F162/F152</f>
        <v>0.285587543131402</v>
      </c>
      <c r="G166" s="14" t="n">
        <f aca="false">G162/G152</f>
        <v>0.296461876555972</v>
      </c>
      <c r="H166" s="27" t="n">
        <f aca="false">$G166+(fade_mC-$G166)*1/3</f>
        <v>0.276697751452241</v>
      </c>
      <c r="I166" s="27" t="n">
        <f aca="false">$G166+(fade_mC-$G166)*2/3</f>
        <v>0.256933626348509</v>
      </c>
      <c r="J166" s="27" t="n">
        <f aca="false">$G166+(fade_mC-$G166)*3/3</f>
        <v>0.237169501244778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518</v>
      </c>
    </row>
    <row r="2" customFormat="false" ht="17.15" hidden="false" customHeight="false" outlineLevel="0" collapsed="false">
      <c r="A2" s="4" t="s">
        <v>519</v>
      </c>
    </row>
    <row r="4" customFormat="false" ht="17.15" hidden="false" customHeight="false" outlineLevel="0" collapsed="false">
      <c r="A4" s="6" t="s">
        <v>520</v>
      </c>
    </row>
    <row r="5" customFormat="false" ht="17.15" hidden="false" customHeight="false" outlineLevel="0" collapsed="false">
      <c r="A5" s="6" t="s">
        <v>521</v>
      </c>
    </row>
    <row r="6" customFormat="false" ht="17.15" hidden="false" customHeight="false" outlineLevel="0" collapsed="false">
      <c r="A6" s="5" t="s">
        <v>21</v>
      </c>
      <c r="B6" s="15" t="s">
        <v>522</v>
      </c>
      <c r="C6" s="15" t="s">
        <v>523</v>
      </c>
      <c r="D6" s="15" t="s">
        <v>524</v>
      </c>
      <c r="E6" s="5" t="s">
        <v>336</v>
      </c>
    </row>
    <row r="7" customFormat="false" ht="17.15" hidden="false" customHeight="false" outlineLevel="0" collapsed="false">
      <c r="A7" s="4" t="s">
        <v>525</v>
      </c>
      <c r="E7" s="0" t="s">
        <v>526</v>
      </c>
    </row>
    <row r="8" customFormat="false" ht="15" hidden="false" customHeight="false" outlineLevel="0" collapsed="false">
      <c r="A8" s="0" t="s">
        <v>527</v>
      </c>
      <c r="B8" s="20" t="n">
        <f aca="false">PL!E16</f>
        <v>108.876859646509</v>
      </c>
      <c r="C8" s="20" t="n">
        <f aca="false">PL!E31</f>
        <v>102.298194147415</v>
      </c>
      <c r="D8" s="20" t="n">
        <f aca="false">PL!E46</f>
        <v>92.2965739620111</v>
      </c>
    </row>
    <row r="9" customFormat="false" ht="15" hidden="false" customHeight="false" outlineLevel="0" collapsed="false">
      <c r="A9" s="0" t="s">
        <v>528</v>
      </c>
      <c r="B9" s="20" t="n">
        <f aca="false">PL!F16</f>
        <v>142.918547803204</v>
      </c>
      <c r="C9" s="20" t="n">
        <f aca="false">PL!F31</f>
        <v>105.433158337371</v>
      </c>
      <c r="D9" s="20" t="n">
        <f aca="false">PL!F46</f>
        <v>69.8775100281167</v>
      </c>
    </row>
    <row r="10" customFormat="false" ht="15" hidden="false" customHeight="false" outlineLevel="0" collapsed="false">
      <c r="A10" s="0" t="s">
        <v>529</v>
      </c>
      <c r="B10" s="20" t="n">
        <f aca="false">PL!G16</f>
        <v>175.162698500513</v>
      </c>
      <c r="C10" s="20" t="n">
        <f aca="false">PL!G31</f>
        <v>128.108164297453</v>
      </c>
      <c r="D10" s="20" t="n">
        <f aca="false">PL!G46</f>
        <v>84.313092427315</v>
      </c>
    </row>
    <row r="11" customFormat="false" ht="15" hidden="false" customHeight="false" outlineLevel="0" collapsed="false">
      <c r="A11" s="0" t="s">
        <v>530</v>
      </c>
      <c r="B11" s="20" t="n">
        <f aca="false">PL!H16</f>
        <v>200.981484782621</v>
      </c>
      <c r="C11" s="20" t="n">
        <f aca="false">PL!H31</f>
        <v>140.141360565375</v>
      </c>
      <c r="D11" s="20" t="n">
        <f aca="false">PL!H46</f>
        <v>87.7327038245648</v>
      </c>
    </row>
    <row r="12" customFormat="false" ht="15" hidden="false" customHeight="false" outlineLevel="0" collapsed="false">
      <c r="A12" s="0" t="s">
        <v>531</v>
      </c>
      <c r="B12" s="20" t="n">
        <f aca="false">PL!I16</f>
        <v>221.823152609609</v>
      </c>
      <c r="C12" s="20" t="n">
        <f aca="false">PL!I31</f>
        <v>146.921900862777</v>
      </c>
      <c r="D12" s="20" t="n">
        <f aca="false">PL!I46</f>
        <v>86.9603213961301</v>
      </c>
    </row>
    <row r="13" customFormat="false" ht="15" hidden="false" customHeight="false" outlineLevel="0" collapsed="false">
      <c r="A13" s="0" t="s">
        <v>532</v>
      </c>
      <c r="B13" s="20" t="n">
        <f aca="false">PL!J16</f>
        <v>235.132541766185</v>
      </c>
      <c r="C13" s="20" t="n">
        <f aca="false">PL!J31</f>
        <v>147.341677722385</v>
      </c>
      <c r="D13" s="20" t="n">
        <f aca="false">PL!J46</f>
        <v>81.8764872222025</v>
      </c>
    </row>
    <row r="14" customFormat="false" ht="17.15" hidden="false" customHeight="false" outlineLevel="0" collapsed="false">
      <c r="A14" s="4" t="s">
        <v>533</v>
      </c>
    </row>
    <row r="15" customFormat="false" ht="17.15" hidden="false" customHeight="false" outlineLevel="0" collapsed="false">
      <c r="A15" s="4" t="s">
        <v>534</v>
      </c>
      <c r="B15" s="22" t="n">
        <f aca="false">MIN(tp_g/tp_roe,0.8)</f>
        <v>0.154334554334554</v>
      </c>
      <c r="E15" s="8" t="s">
        <v>535</v>
      </c>
    </row>
    <row r="16" customFormat="false" ht="15" hidden="false" customHeight="false" outlineLevel="0" collapsed="false">
      <c r="A16" s="0" t="s">
        <v>527</v>
      </c>
      <c r="B16" s="20" t="n">
        <f aca="false">B8*(1-$B$15)</f>
        <v>92.0733980356196</v>
      </c>
      <c r="C16" s="20" t="n">
        <f aca="false">C8*(1-$B$15)</f>
        <v>86.5100479444441</v>
      </c>
      <c r="D16" s="20" t="n">
        <f aca="false">D8*(1-$B$15)</f>
        <v>78.0520233529779</v>
      </c>
    </row>
    <row r="17" customFormat="false" ht="15" hidden="false" customHeight="false" outlineLevel="0" collapsed="false">
      <c r="A17" s="0" t="s">
        <v>528</v>
      </c>
      <c r="B17" s="20" t="n">
        <f aca="false">B9*(1-$B$15)</f>
        <v>120.861277421855</v>
      </c>
      <c r="C17" s="20" t="n">
        <f aca="false">C9*(1-$B$15)</f>
        <v>89.1611788332886</v>
      </c>
      <c r="D17" s="20" t="n">
        <f aca="false">D9*(1-$B$15)</f>
        <v>59.0929956599189</v>
      </c>
    </row>
    <row r="18" customFormat="false" ht="15" hidden="false" customHeight="false" outlineLevel="0" collapsed="false">
      <c r="A18" s="0" t="s">
        <v>529</v>
      </c>
      <c r="B18" s="20" t="n">
        <f aca="false">B10*(1-$B$15)</f>
        <v>148.129041491398</v>
      </c>
      <c r="C18" s="20" t="n">
        <f aca="false">C10*(1-$B$15)</f>
        <v>108.336647853987</v>
      </c>
      <c r="D18" s="20" t="n">
        <f aca="false">D10*(1-$B$15)</f>
        <v>71.3006688829772</v>
      </c>
    </row>
    <row r="19" customFormat="false" ht="15" hidden="false" customHeight="false" outlineLevel="0" collapsed="false">
      <c r="A19" s="0" t="s">
        <v>530</v>
      </c>
      <c r="B19" s="20" t="n">
        <f aca="false">B11*(1-$B$15)</f>
        <v>169.963096899198</v>
      </c>
      <c r="C19" s="20" t="n">
        <f aca="false">C11*(1-$B$15)</f>
        <v>118.51270613868</v>
      </c>
      <c r="D19" s="20" t="n">
        <f aca="false">D11*(1-$B$15)</f>
        <v>74.1925160792351</v>
      </c>
    </row>
    <row r="20" customFormat="false" ht="15" hidden="false" customHeight="false" outlineLevel="0" collapsed="false">
      <c r="A20" s="0" t="s">
        <v>531</v>
      </c>
      <c r="B20" s="20" t="n">
        <f aca="false">B12*(1-$B$15)</f>
        <v>187.588175210519</v>
      </c>
      <c r="C20" s="20" t="n">
        <f aca="false">C12*(1-$B$15)</f>
        <v>124.246774771135</v>
      </c>
      <c r="D20" s="20" t="n">
        <f aca="false">D12*(1-$B$15)</f>
        <v>73.5393389486687</v>
      </c>
    </row>
    <row r="21" customFormat="false" ht="15" hidden="false" customHeight="false" outlineLevel="0" collapsed="false">
      <c r="A21" s="0" t="s">
        <v>532</v>
      </c>
      <c r="B21" s="20" t="n">
        <f aca="false">B13*(1-$B$15)</f>
        <v>198.84346572315</v>
      </c>
      <c r="C21" s="20" t="n">
        <f aca="false">C13*(1-$B$15)</f>
        <v>124.601765556195</v>
      </c>
      <c r="D21" s="20" t="n">
        <f aca="false">D13*(1-$B$15)</f>
        <v>69.2401160562851</v>
      </c>
    </row>
    <row r="22" customFormat="false" ht="17.15" hidden="false" customHeight="false" outlineLevel="0" collapsed="false">
      <c r="A22" s="0" t="s">
        <v>536</v>
      </c>
      <c r="B22" s="20" t="n">
        <f aca="false">MAX(0,SUMPRODUCT(B16:B21,1/(1+tp_r)^{1;2;3;4;5;6})+B21*(1+tp_g)/(tp_r-tp_g)/(1+tp_r)^6)</f>
        <v>2585.21369402808</v>
      </c>
      <c r="C22" s="20" t="n">
        <f aca="false">MAX(0,SUMPRODUCT(C16:C21,1/(1+tp_r)^{1;2;3;4;5;6})+C21*(1+tp_g)/(tp_r-tp_g)/(1+tp_r)^6)</f>
        <v>1681.28547991185</v>
      </c>
      <c r="D22" s="20" t="n">
        <f aca="false">MAX(0,SUMPRODUCT(D16:D21,1/(1+tp_r)^{1;2;3;4;5;6})+D21*(1+tp_g)/(tp_r-tp_g)/(1+tp_r)^6)</f>
        <v>986.24385745515</v>
      </c>
      <c r="E22" s="8" t="s">
        <v>537</v>
      </c>
    </row>
    <row r="23" customFormat="false" ht="17.15" hidden="false" customHeight="false" outlineLevel="0" collapsed="false">
      <c r="A23" s="0" t="s">
        <v>538</v>
      </c>
      <c r="B23" s="20" t="n">
        <f aca="false">B22*(1+tp_r)</f>
        <v>2843.73506343089</v>
      </c>
      <c r="C23" s="20" t="n">
        <f aca="false">C22*(1+tp_r)</f>
        <v>1849.41402790303</v>
      </c>
      <c r="D23" s="20" t="n">
        <f aca="false">D22*(1+tp_r)</f>
        <v>1084.86824320067</v>
      </c>
    </row>
    <row r="24" customFormat="false" ht="17.15" hidden="false" customHeight="false" outlineLevel="0" collapsed="false">
      <c r="A24" s="0" t="s">
        <v>539</v>
      </c>
      <c r="B24" s="31" t="n">
        <f aca="false">tp_wA*B23+tp_wB*C23+tp_wC*D23</f>
        <v>1994.80118162092</v>
      </c>
      <c r="E24" s="8" t="s">
        <v>540</v>
      </c>
    </row>
    <row r="26" customFormat="false" ht="17.15" hidden="false" customHeight="false" outlineLevel="0" collapsed="false">
      <c r="A26" s="6" t="s">
        <v>541</v>
      </c>
    </row>
    <row r="27" customFormat="false" ht="17.15" hidden="false" customHeight="false" outlineLevel="0" collapsed="false">
      <c r="A27" s="5" t="s">
        <v>542</v>
      </c>
      <c r="B27" s="5" t="s">
        <v>543</v>
      </c>
      <c r="C27" s="5" t="s">
        <v>544</v>
      </c>
      <c r="D27" s="5" t="s">
        <v>545</v>
      </c>
      <c r="E27" s="5" t="s">
        <v>546</v>
      </c>
      <c r="F27" s="5" t="s">
        <v>26</v>
      </c>
    </row>
    <row r="28" customFormat="false" ht="17.15" hidden="false" customHeight="false" outlineLevel="0" collapsed="false">
      <c r="A28" s="0" t="s">
        <v>547</v>
      </c>
      <c r="B28" s="0" t="s">
        <v>548</v>
      </c>
      <c r="C28" s="32" t="n">
        <v>28.17</v>
      </c>
      <c r="D28" s="8" t="s">
        <v>549</v>
      </c>
      <c r="E28" s="8" t="s">
        <v>550</v>
      </c>
      <c r="F28" s="8" t="s">
        <v>233</v>
      </c>
    </row>
    <row r="29" customFormat="false" ht="17.15" hidden="false" customHeight="false" outlineLevel="0" collapsed="false">
      <c r="A29" s="0" t="s">
        <v>551</v>
      </c>
      <c r="B29" s="0" t="s">
        <v>552</v>
      </c>
      <c r="C29" s="32" t="n">
        <v>37.69</v>
      </c>
      <c r="D29" s="8" t="s">
        <v>553</v>
      </c>
      <c r="E29" s="8" t="s">
        <v>550</v>
      </c>
      <c r="F29" s="8" t="s">
        <v>233</v>
      </c>
    </row>
    <row r="30" customFormat="false" ht="17.15" hidden="false" customHeight="false" outlineLevel="0" collapsed="false">
      <c r="A30" s="4" t="s">
        <v>554</v>
      </c>
      <c r="B30" s="0" t="s">
        <v>555</v>
      </c>
      <c r="C30" s="32" t="n">
        <v>32.52</v>
      </c>
      <c r="D30" s="8" t="s">
        <v>549</v>
      </c>
      <c r="E30" s="8" t="s">
        <v>550</v>
      </c>
      <c r="F30" s="8" t="s">
        <v>233</v>
      </c>
    </row>
    <row r="31" customFormat="false" ht="17.15" hidden="false" customHeight="false" outlineLevel="0" collapsed="false">
      <c r="A31" s="4" t="s">
        <v>556</v>
      </c>
      <c r="B31" s="0" t="s">
        <v>557</v>
      </c>
      <c r="C31" s="32" t="n">
        <v>26.13</v>
      </c>
      <c r="D31" s="8" t="s">
        <v>558</v>
      </c>
      <c r="E31" s="8" t="s">
        <v>550</v>
      </c>
      <c r="F31" s="8" t="s">
        <v>233</v>
      </c>
    </row>
    <row r="33" customFormat="false" ht="17.15" hidden="false" customHeight="false" outlineLevel="0" collapsed="false">
      <c r="A33" s="4" t="s">
        <v>559</v>
      </c>
      <c r="B33" s="33" t="n">
        <f aca="false">MEDIAN(C28:C31)</f>
        <v>30.345</v>
      </c>
      <c r="E33" s="4" t="s">
        <v>560</v>
      </c>
    </row>
    <row r="34" customFormat="false" ht="17.15" hidden="false" customHeight="false" outlineLevel="0" collapsed="false">
      <c r="A34" s="0" t="s">
        <v>561</v>
      </c>
      <c r="B34" s="20" t="n">
        <f aca="false">tp_wA*(2/12*B8+10/12*B9)+tp_wB*(2/12*C8+10/12*C9)+tp_wC*(2/12*D8+10/12*D9)</f>
        <v>108.351616222736</v>
      </c>
      <c r="E34" s="4" t="s">
        <v>562</v>
      </c>
    </row>
    <row r="35" customFormat="false" ht="17.15" hidden="false" customHeight="false" outlineLevel="0" collapsed="false">
      <c r="A35" s="0" t="s">
        <v>563</v>
      </c>
      <c r="B35" s="31" t="n">
        <f aca="false">B33*B34</f>
        <v>3287.92979427891</v>
      </c>
      <c r="E35" s="4" t="s">
        <v>564</v>
      </c>
    </row>
    <row r="37" customFormat="false" ht="17.15" hidden="false" customHeight="false" outlineLevel="0" collapsed="false">
      <c r="A37" s="6" t="s">
        <v>565</v>
      </c>
    </row>
    <row r="38" customFormat="false" ht="15" hidden="false" customHeight="false" outlineLevel="0" collapsed="false">
      <c r="A38" s="5" t="s">
        <v>21</v>
      </c>
      <c r="B38" s="5" t="s">
        <v>566</v>
      </c>
      <c r="C38" s="5"/>
      <c r="D38" s="5"/>
      <c r="E38" s="5" t="s">
        <v>336</v>
      </c>
    </row>
    <row r="39" customFormat="false" ht="17.15" hidden="false" customHeight="false" outlineLevel="0" collapsed="false">
      <c r="A39" s="4" t="s">
        <v>567</v>
      </c>
      <c r="B39" s="31" t="n">
        <f aca="false">tp_w_dcf*B24+(1-tp_w_dcf)*tp_comp_adj</f>
        <v>2641.36548794991</v>
      </c>
      <c r="E39" s="8" t="s">
        <v>568</v>
      </c>
    </row>
    <row r="40" customFormat="false" ht="17.15" hidden="false" customHeight="false" outlineLevel="0" collapsed="false">
      <c r="A40" s="0" t="s">
        <v>569</v>
      </c>
      <c r="B40" s="20" t="n">
        <f aca="false">B35</f>
        <v>3287.92979427891</v>
      </c>
    </row>
    <row r="41" customFormat="false" ht="17.15" hidden="false" customHeight="false" outlineLevel="0" collapsed="false">
      <c r="A41" s="4" t="s">
        <v>570</v>
      </c>
      <c r="B41" s="20" t="n">
        <f aca="false">cons_tp</f>
        <v>10000</v>
      </c>
      <c r="E41" s="4" t="s">
        <v>571</v>
      </c>
    </row>
    <row r="42" customFormat="false" ht="17.15" hidden="false" customHeight="false" outlineLevel="0" collapsed="false">
      <c r="A42" s="4" t="s">
        <v>572</v>
      </c>
      <c r="B42" s="22" t="n">
        <f aca="false">B39/px-1</f>
        <v>-0.427035685911081</v>
      </c>
      <c r="E42" s="4" t="s">
        <v>573</v>
      </c>
    </row>
    <row r="43" customFormat="false" ht="17.15" hidden="false" customHeight="false" outlineLevel="0" collapsed="false">
      <c r="A43" s="4" t="s">
        <v>574</v>
      </c>
      <c r="B43" s="22" t="n">
        <f aca="false">B40/px-1</f>
        <v>-0.286783124885268</v>
      </c>
    </row>
    <row r="44" customFormat="false" ht="17.15" hidden="false" customHeight="false" outlineLevel="0" collapsed="false">
      <c r="A44" s="4" t="s">
        <v>575</v>
      </c>
      <c r="B44" s="22" t="n">
        <f aca="false">B34/cons_feps-1</f>
        <v>-0.598449847228898</v>
      </c>
      <c r="E44" s="4" t="s">
        <v>576</v>
      </c>
    </row>
    <row r="45" customFormat="false" ht="17.15" hidden="false" customHeight="false" outlineLevel="0" collapsed="false">
      <c r="A45" s="4" t="s">
        <v>577</v>
      </c>
      <c r="B45" s="22" t="n">
        <f aca="false">(cons_tp/cons_feps)/B33-1</f>
        <v>0.221285665739609</v>
      </c>
      <c r="E45" s="0" t="str">
        <f aca="false">"共識目標價隱含 "&amp;TEXT(cons_tp/cons_feps,"0.0")&amp;"x，同業中位數 "&amp;TEXT(B33,"0.0")&amp;"x"</f>
        <v>共識目標價隱含 37.1x，同業中位數 30.3x</v>
      </c>
    </row>
    <row r="46" customFormat="false" ht="17.15" hidden="false" customHeight="false" outlineLevel="0" collapsed="false">
      <c r="A46" s="4" t="s">
        <v>578</v>
      </c>
      <c r="B46" s="34" t="str">
        <f aca="false">TEXT(D23,"0.00")&amp;"～"&amp;TEXT(B23,"0.00")</f>
        <v>1084.87～2843.74</v>
      </c>
      <c r="E46" s="8" t="s">
        <v>579</v>
      </c>
    </row>
    <row r="47" customFormat="false" ht="17.15" hidden="false" customHeight="false" outlineLevel="0" collapsed="false">
      <c r="A47" s="4" t="s">
        <v>580</v>
      </c>
      <c r="B47" s="35" t="n">
        <f aca="false">IF(px/B9&gt;=MAX($B$86:$B$95),1,IF(px/B9&lt;=MIN($B$86:$B$95),0,PERCENTRANK($B$86:$B$95,px/B9)))</f>
        <v>0.622</v>
      </c>
      <c r="C47" s="35" t="n">
        <f aca="false">IF(px/C9&gt;=MAX($B$86:$B$95),1,IF(px/C9&lt;=MIN($B$86:$B$95),0,PERCENTRANK($B$86:$B$95,px/C9)))</f>
        <v>0.723</v>
      </c>
      <c r="D47" s="35" t="n">
        <f aca="false">IF(px/D9&gt;=MAX($B$86:$B$95),1,IF(px/D9&lt;=MIN($B$86:$B$95),0,PERCENTRANK($B$86:$B$95,px/D9)))</f>
        <v>0.936</v>
      </c>
      <c r="E47" s="4" t="s">
        <v>581</v>
      </c>
    </row>
    <row r="48" customFormat="false" ht="17.15" hidden="false" customHeight="false" outlineLevel="0" collapsed="false">
      <c r="A48" s="4" t="s">
        <v>582</v>
      </c>
      <c r="B48" s="0" t="s">
        <v>583</v>
      </c>
    </row>
    <row r="49" customFormat="false" ht="17.15" hidden="false" customHeight="false" outlineLevel="0" collapsed="false">
      <c r="A49" s="4" t="s">
        <v>584</v>
      </c>
      <c r="B49" s="34" t="str">
        <f aca="false">IF(B42&gt;0.5,"大於 50%",IF(B42&gt;0.25,"25%–50%",IF(B42&gt;=0,"0%–25%",IF(B42&gt;=-0.25,"0%～−25%",IF(B42&gt;=-0.5,"−25%～−50%","小於 −50%")))))</f>
        <v>−25%～−50%</v>
      </c>
      <c r="E49" s="4" t="s">
        <v>585</v>
      </c>
    </row>
    <row r="50" customFormat="false" ht="17.15" hidden="false" customHeight="false" outlineLevel="0" collapsed="false">
      <c r="A50" s="4" t="s">
        <v>586</v>
      </c>
      <c r="B50" s="34" t="str">
        <f aca="false">IF(B42&gt;0.5,"強力買進",IF(B42&gt;0.25,"買進",IF(B42&gt;=-0.25,"中立",IF(B42&gt;=-0.5,"放空","強力放空"))))</f>
        <v>放空</v>
      </c>
      <c r="E50" s="4" t="s">
        <v>587</v>
      </c>
    </row>
    <row r="51" customFormat="false" ht="17.15" hidden="false" customHeight="false" outlineLevel="0" collapsed="false">
      <c r="A51" s="6" t="s">
        <v>588</v>
      </c>
    </row>
    <row r="52" customFormat="false" ht="15" hidden="false" customHeight="false" outlineLevel="0" collapsed="false">
      <c r="A52" s="5" t="s">
        <v>21</v>
      </c>
      <c r="B52" s="15" t="s">
        <v>589</v>
      </c>
      <c r="C52" s="15" t="s">
        <v>590</v>
      </c>
      <c r="D52" s="15" t="s">
        <v>591</v>
      </c>
      <c r="E52" s="5" t="s">
        <v>336</v>
      </c>
    </row>
    <row r="53" customFormat="false" ht="17.15" hidden="false" customHeight="false" outlineLevel="0" collapsed="false">
      <c r="A53" s="4" t="s">
        <v>592</v>
      </c>
      <c r="B53" s="20" t="n">
        <f aca="false">px</f>
        <v>4610</v>
      </c>
    </row>
    <row r="54" customFormat="false" ht="17.15" hidden="false" customHeight="false" outlineLevel="0" collapsed="false">
      <c r="A54" s="4" t="s">
        <v>593</v>
      </c>
      <c r="B54" s="33" t="n">
        <f aca="false">px/PL!D16</f>
        <v>67.1072988860763</v>
      </c>
      <c r="C54" s="33" t="n">
        <f aca="false">px/PL!D31</f>
        <v>67.1072988860763</v>
      </c>
      <c r="D54" s="33" t="n">
        <f aca="false">px/PL!D46</f>
        <v>67.1072988860763</v>
      </c>
      <c r="E54" s="8" t="s">
        <v>594</v>
      </c>
    </row>
    <row r="55" customFormat="false" ht="17.15" hidden="false" customHeight="false" outlineLevel="0" collapsed="false">
      <c r="A55" s="4" t="s">
        <v>595</v>
      </c>
      <c r="B55" s="33" t="n">
        <f aca="false">px/PL!E16</f>
        <v>42.3414122612214</v>
      </c>
      <c r="C55" s="33" t="n">
        <f aca="false">px/PL!E31</f>
        <v>45.0643341108919</v>
      </c>
      <c r="D55" s="33" t="n">
        <f aca="false">px/PL!E46</f>
        <v>49.9476828023699</v>
      </c>
      <c r="E55" s="8" t="s">
        <v>596</v>
      </c>
    </row>
    <row r="56" customFormat="false" ht="17.15" hidden="false" customHeight="false" outlineLevel="0" collapsed="false">
      <c r="A56" s="4" t="s">
        <v>597</v>
      </c>
      <c r="B56" s="33" t="n">
        <f aca="false">px/PL!F16</f>
        <v>32.2561351963069</v>
      </c>
      <c r="C56" s="33" t="n">
        <f aca="false">px/PL!F31</f>
        <v>43.7243849344686</v>
      </c>
      <c r="D56" s="33" t="n">
        <f aca="false">px/PL!F46</f>
        <v>65.9725854304922</v>
      </c>
    </row>
    <row r="57" customFormat="false" ht="17.15" hidden="false" customHeight="false" outlineLevel="0" collapsed="false">
      <c r="A57" s="4" t="s">
        <v>598</v>
      </c>
      <c r="B57" s="33" t="n">
        <f aca="false">px/PL!G16</f>
        <v>26.3183887863346</v>
      </c>
      <c r="C57" s="33" t="n">
        <f aca="false">px/PL!G31</f>
        <v>35.9852162840778</v>
      </c>
      <c r="D57" s="33" t="n">
        <f aca="false">px/PL!G46</f>
        <v>54.6771547251005</v>
      </c>
    </row>
    <row r="58" customFormat="false" ht="17.15" hidden="false" customHeight="false" outlineLevel="0" collapsed="false">
      <c r="A58" s="4" t="s">
        <v>599</v>
      </c>
      <c r="B58" s="20" t="n">
        <f aca="false">0.2*PL!D31+0.8*PL!E31</f>
        <v>95.5777463642775</v>
      </c>
    </row>
    <row r="59" customFormat="false" ht="17.15" hidden="false" customHeight="false" outlineLevel="0" collapsed="false">
      <c r="A59" s="4" t="s">
        <v>600</v>
      </c>
      <c r="B59" s="33" t="n">
        <f aca="false">px/B58</f>
        <v>48.2329849296698</v>
      </c>
    </row>
    <row r="60" customFormat="false" ht="17.15" hidden="false" customHeight="false" outlineLevel="0" collapsed="false">
      <c r="A60" s="4" t="s">
        <v>276</v>
      </c>
      <c r="B60" s="33" t="n">
        <f aca="false">pe_ttm</f>
        <v>103.64</v>
      </c>
    </row>
    <row r="61" customFormat="false" ht="17.15" hidden="false" customHeight="false" outlineLevel="0" collapsed="false">
      <c r="A61" s="4" t="s">
        <v>279</v>
      </c>
      <c r="B61" s="33" t="n">
        <f aca="false">fpe</f>
        <v>35.7502908103916</v>
      </c>
    </row>
    <row r="63" customFormat="false" ht="17.15" hidden="false" customHeight="false" outlineLevel="0" collapsed="false">
      <c r="A63" s="6" t="s">
        <v>601</v>
      </c>
    </row>
    <row r="64" customFormat="false" ht="17.15" hidden="false" customHeight="false" outlineLevel="0" collapsed="false">
      <c r="A64" s="5" t="s">
        <v>602</v>
      </c>
      <c r="B64" s="5" t="s">
        <v>603</v>
      </c>
      <c r="C64" s="15" t="s">
        <v>604</v>
      </c>
      <c r="D64" s="5" t="s">
        <v>605</v>
      </c>
      <c r="E64" s="5" t="s">
        <v>606</v>
      </c>
      <c r="F64" s="5" t="s">
        <v>336</v>
      </c>
    </row>
    <row r="65" customFormat="false" ht="17.15" hidden="false" customHeight="false" outlineLevel="0" collapsed="false">
      <c r="A65" s="0" t="s">
        <v>589</v>
      </c>
      <c r="B65" s="0" t="n">
        <f aca="false">INDEX({2026,2027,2028,2029},MATCH(MAX(PL!D86:G86),PL!D86:G86,0))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18.26</v>
      </c>
      <c r="E65" s="0" t="str">
        <f aca="false">IF(B65=2029,"是：營收到觀測期末仍在增加","否")</f>
        <v>是：營收到觀測期末仍在增加</v>
      </c>
      <c r="F65" s="8" t="s">
        <v>607</v>
      </c>
    </row>
    <row r="66" customFormat="false" ht="15" hidden="false" customHeight="false" outlineLevel="0" collapsed="false">
      <c r="A66" s="0" t="s">
        <v>590</v>
      </c>
      <c r="B66" s="0" t="n">
        <f aca="false">INDEX({2026,2027,2028,2029},MATCH(MAX(PL!D119:G119),PL!D119:G119,0))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18.26</v>
      </c>
      <c r="E66" s="0" t="str">
        <f aca="false">IF(B66=2029,"是：營收到觀測期末仍在增加","否")</f>
        <v>是：營收到觀測期末仍在增加</v>
      </c>
      <c r="F66" s="4" t="s">
        <v>38</v>
      </c>
    </row>
    <row r="67" customFormat="false" ht="15" hidden="false" customHeight="false" outlineLevel="0" collapsed="false">
      <c r="A67" s="0" t="s">
        <v>591</v>
      </c>
      <c r="B67" s="0" t="n">
        <f aca="false">INDEX({2026,2027,2028,2029},MATCH(MAX(PL!D152:G152),PL!D152:G152,0))</f>
        <v>2027</v>
      </c>
      <c r="C67" s="0" t="str">
        <f aca="false">IF(B67=2029,"中段",IF(2027&lt;B67,"中段",IF(2027=B67,"見頂","谷底")))</f>
        <v>見頂</v>
      </c>
      <c r="D67" s="33" t="n">
        <f aca="false">IF(C67="見頂",pe_peak,IF(C67="谷底",pe_trough,pe_mid))</f>
        <v>16.05</v>
      </c>
      <c r="E67" s="0" t="str">
        <f aca="false">IF(B67=2029,"是：營收到觀測期末仍在增加","否")</f>
        <v>否</v>
      </c>
      <c r="F67" s="4" t="s">
        <v>38</v>
      </c>
    </row>
    <row r="69" customFormat="false" ht="17.15" hidden="false" customHeight="false" outlineLevel="0" collapsed="false">
      <c r="A69" s="6" t="s">
        <v>608</v>
      </c>
    </row>
    <row r="70" customFormat="false" ht="17.15" hidden="false" customHeight="false" outlineLevel="0" collapsed="false">
      <c r="A70" s="5" t="s">
        <v>602</v>
      </c>
      <c r="B70" s="15" t="s">
        <v>609</v>
      </c>
      <c r="C70" s="5" t="s">
        <v>610</v>
      </c>
      <c r="D70" s="5" t="s">
        <v>611</v>
      </c>
      <c r="E70" s="5" t="s">
        <v>612</v>
      </c>
      <c r="F70" s="5" t="s">
        <v>613</v>
      </c>
      <c r="G70" s="5" t="s">
        <v>614</v>
      </c>
    </row>
    <row r="71" customFormat="false" ht="15" hidden="false" customHeight="false" outlineLevel="0" collapsed="false">
      <c r="A71" s="9" t="s">
        <v>589</v>
      </c>
      <c r="B71" s="31" t="n">
        <f aca="false">PL!E16</f>
        <v>108.876859646509</v>
      </c>
      <c r="C71" s="31" t="n">
        <f aca="false">B71</f>
        <v>108.876859646509</v>
      </c>
      <c r="D71" s="36" t="n">
        <f aca="false">D65</f>
        <v>18.26</v>
      </c>
      <c r="E71" s="31" t="n">
        <f aca="false">C71*D71</f>
        <v>1988.09145714526</v>
      </c>
      <c r="F71" s="37" t="n">
        <f aca="false">E71/px-1</f>
        <v>-0.568743718623587</v>
      </c>
      <c r="G71" s="36" t="n">
        <f aca="false">px/C71</f>
        <v>42.3414122612214</v>
      </c>
    </row>
    <row r="72" customFormat="false" ht="15" hidden="false" customHeight="false" outlineLevel="0" collapsed="false">
      <c r="A72" s="9" t="s">
        <v>590</v>
      </c>
      <c r="B72" s="31" t="n">
        <f aca="false">PL!E31</f>
        <v>102.298194147415</v>
      </c>
      <c r="C72" s="31" t="n">
        <f aca="false">B72</f>
        <v>102.298194147415</v>
      </c>
      <c r="D72" s="36" t="n">
        <f aca="false">D66</f>
        <v>18.26</v>
      </c>
      <c r="E72" s="31" t="n">
        <f aca="false">C72*D72</f>
        <v>1867.9650251318</v>
      </c>
      <c r="F72" s="37" t="n">
        <f aca="false">E72/px-1</f>
        <v>-0.594801512986594</v>
      </c>
      <c r="G72" s="36" t="n">
        <f aca="false">px/C72</f>
        <v>45.0643341108919</v>
      </c>
    </row>
    <row r="73" customFormat="false" ht="15" hidden="false" customHeight="false" outlineLevel="0" collapsed="false">
      <c r="A73" s="9" t="s">
        <v>591</v>
      </c>
      <c r="B73" s="31" t="n">
        <f aca="false">PL!E46</f>
        <v>92.2965739620111</v>
      </c>
      <c r="C73" s="31" t="n">
        <f aca="false">B73</f>
        <v>92.2965739620111</v>
      </c>
      <c r="D73" s="36" t="n">
        <f aca="false">D67</f>
        <v>16.05</v>
      </c>
      <c r="E73" s="31" t="n">
        <f aca="false">C73*D73</f>
        <v>1481.36001209028</v>
      </c>
      <c r="F73" s="37" t="n">
        <f aca="false">E73/px-1</f>
        <v>-0.678663771780851</v>
      </c>
      <c r="G73" s="36" t="n">
        <f aca="false">px/C73</f>
        <v>49.9476828023699</v>
      </c>
    </row>
    <row r="75" customFormat="false" ht="17.15" hidden="false" customHeight="false" outlineLevel="0" collapsed="false">
      <c r="A75" s="6" t="s">
        <v>615</v>
      </c>
    </row>
    <row r="76" customFormat="false" ht="17.15" hidden="false" customHeight="false" outlineLevel="0" collapsed="false">
      <c r="A76" s="15" t="s">
        <v>616</v>
      </c>
      <c r="B76" s="5" t="s">
        <v>617</v>
      </c>
      <c r="C76" s="5" t="s">
        <v>618</v>
      </c>
      <c r="D76" s="5" t="s">
        <v>619</v>
      </c>
      <c r="E76" s="5" t="s">
        <v>620</v>
      </c>
    </row>
    <row r="77" customFormat="false" ht="15" hidden="false" customHeight="false" outlineLevel="0" collapsed="false">
      <c r="A77" s="21" t="n">
        <v>1</v>
      </c>
      <c r="B77" s="33" t="n">
        <f aca="false">px*A77/PL!F16</f>
        <v>32.2561351963069</v>
      </c>
      <c r="C77" s="33" t="n">
        <f aca="false">px*A77/PL!F31</f>
        <v>43.7243849344686</v>
      </c>
      <c r="D77" s="33" t="n">
        <f aca="false">px*A77/PL!F46</f>
        <v>65.9725854304922</v>
      </c>
      <c r="E77" s="33" t="n">
        <f aca="false">pe_mid</f>
        <v>18.26</v>
      </c>
    </row>
    <row r="78" customFormat="false" ht="15" hidden="false" customHeight="false" outlineLevel="0" collapsed="false">
      <c r="A78" s="21" t="n">
        <v>1.1</v>
      </c>
      <c r="B78" s="33" t="n">
        <f aca="false">px*A78/PL!F16</f>
        <v>35.4817487159376</v>
      </c>
      <c r="C78" s="33" t="n">
        <f aca="false">px*A78/PL!F31</f>
        <v>48.0968234279155</v>
      </c>
      <c r="D78" s="33" t="n">
        <f aca="false">px*A78/PL!F46</f>
        <v>72.5698439735414</v>
      </c>
      <c r="E78" s="33" t="n">
        <f aca="false">pe_mid</f>
        <v>18.26</v>
      </c>
    </row>
    <row r="79" customFormat="false" ht="15" hidden="false" customHeight="false" outlineLevel="0" collapsed="false">
      <c r="A79" s="21" t="n">
        <v>1.21</v>
      </c>
      <c r="B79" s="33" t="n">
        <f aca="false">px*A79/PL!F16</f>
        <v>39.0299235875314</v>
      </c>
      <c r="C79" s="33" t="n">
        <f aca="false">px*A79/PL!F31</f>
        <v>52.906505770707</v>
      </c>
      <c r="D79" s="33" t="n">
        <f aca="false">px*A79/PL!F46</f>
        <v>79.8268283708955</v>
      </c>
      <c r="E79" s="33" t="n">
        <f aca="false">pe_mid</f>
        <v>18.26</v>
      </c>
    </row>
    <row r="80" customFormat="false" ht="15" hidden="false" customHeight="false" outlineLevel="0" collapsed="false">
      <c r="A80" s="21" t="n">
        <v>1.5</v>
      </c>
      <c r="B80" s="33" t="n">
        <f aca="false">px*A80/PL!F16</f>
        <v>48.3842027944604</v>
      </c>
      <c r="C80" s="33" t="n">
        <f aca="false">px*A80/PL!F31</f>
        <v>65.5865774017029</v>
      </c>
      <c r="D80" s="33" t="n">
        <f aca="false">px*A80/PL!F46</f>
        <v>98.9588781457382</v>
      </c>
      <c r="E80" s="33" t="n">
        <f aca="false">pe_mid</f>
        <v>18.26</v>
      </c>
    </row>
    <row r="81" customFormat="false" ht="15" hidden="false" customHeight="false" outlineLevel="0" collapsed="false">
      <c r="A81" s="21" t="n">
        <v>2</v>
      </c>
      <c r="B81" s="33" t="n">
        <f aca="false">px*A81/PL!F16</f>
        <v>64.5122703926138</v>
      </c>
      <c r="C81" s="33" t="n">
        <f aca="false">px*A81/PL!F31</f>
        <v>87.4487698689372</v>
      </c>
      <c r="D81" s="33" t="n">
        <f aca="false">px*A81/PL!F46</f>
        <v>131.945170860984</v>
      </c>
      <c r="E81" s="33" t="n">
        <f aca="false">pe_mid</f>
        <v>18.26</v>
      </c>
    </row>
    <row r="82" customFormat="false" ht="17.15" hidden="false" customHeight="false" outlineLevel="0" collapsed="false">
      <c r="A82" s="4" t="s">
        <v>621</v>
      </c>
    </row>
    <row r="84" customFormat="false" ht="17.15" hidden="false" customHeight="false" outlineLevel="0" collapsed="false">
      <c r="A84" s="6" t="s">
        <v>622</v>
      </c>
    </row>
    <row r="85" customFormat="false" ht="17.15" hidden="false" customHeight="false" outlineLevel="0" collapsed="false">
      <c r="A85" s="5" t="s">
        <v>623</v>
      </c>
      <c r="B85" s="5" t="s">
        <v>624</v>
      </c>
      <c r="C85" s="5" t="s">
        <v>625</v>
      </c>
      <c r="D85" s="5" t="s">
        <v>626</v>
      </c>
    </row>
    <row r="86" customFormat="false" ht="15" hidden="false" customHeight="false" outlineLevel="0" collapsed="false">
      <c r="A86" s="0" t="s">
        <v>627</v>
      </c>
      <c r="B86" s="20" t="str">
        <f aca="false">IF(ISNUMBER(C86),C86,"")</f>
        <v/>
      </c>
      <c r="C86" s="20" t="str">
        <f aca="false">IF(ISNUMBER(B105),B105,"")</f>
        <v/>
      </c>
    </row>
    <row r="87" customFormat="false" ht="15" hidden="false" customHeight="false" outlineLevel="0" collapsed="false">
      <c r="A87" s="0" t="s">
        <v>628</v>
      </c>
      <c r="B87" s="20" t="str">
        <f aca="false">IF(ISNUMBER(C87),C87,"")</f>
        <v/>
      </c>
      <c r="C87" s="20" t="str">
        <f aca="false">IF(ISNUMBER(B106),B106,"")</f>
        <v/>
      </c>
    </row>
    <row r="88" customFormat="false" ht="15" hidden="false" customHeight="false" outlineLevel="0" collapsed="false">
      <c r="A88" s="0" t="s">
        <v>629</v>
      </c>
      <c r="B88" s="20" t="str">
        <f aca="false">IF(ISNUMBER(C88),C88,"")</f>
        <v/>
      </c>
      <c r="C88" s="20" t="str">
        <f aca="false">IF(ISNUMBER(B107),B107,"")</f>
        <v/>
      </c>
    </row>
    <row r="89" customFormat="false" ht="15" hidden="false" customHeight="false" outlineLevel="0" collapsed="false">
      <c r="A89" s="0" t="s">
        <v>630</v>
      </c>
      <c r="B89" s="20" t="str">
        <f aca="false">IF(ISNUMBER(C89),C89,"")</f>
        <v/>
      </c>
      <c r="C89" s="20" t="str">
        <f aca="false">IF(ISNUMBER(B108),B108,"")</f>
        <v/>
      </c>
    </row>
    <row r="90" customFormat="false" ht="15" hidden="false" customHeight="false" outlineLevel="0" collapsed="false">
      <c r="A90" s="0" t="s">
        <v>631</v>
      </c>
      <c r="B90" s="20" t="str">
        <f aca="false">IF(ISNUMBER(C90),C90,"")</f>
        <v/>
      </c>
      <c r="C90" s="20" t="str">
        <f aca="false">IF(ISNUMBER(B109),B109,"")</f>
        <v/>
      </c>
    </row>
    <row r="91" customFormat="false" ht="15" hidden="false" customHeight="false" outlineLevel="0" collapsed="false">
      <c r="A91" s="0" t="s">
        <v>632</v>
      </c>
      <c r="B91" s="20" t="n">
        <f aca="false">IF(ISNUMBER(C91),C91,"")</f>
        <v>18.2601880877743</v>
      </c>
      <c r="C91" s="20" t="n">
        <f aca="false">IF(ISNUMBER(B110),B110,"")</f>
        <v>18.2601880877743</v>
      </c>
    </row>
    <row r="92" customFormat="false" ht="15" hidden="false" customHeight="false" outlineLevel="0" collapsed="false">
      <c r="A92" s="0" t="s">
        <v>633</v>
      </c>
      <c r="B92" s="20" t="n">
        <f aca="false">IF(ISNUMBER(C92),C92,"")</f>
        <v>8.87924230465667</v>
      </c>
      <c r="C92" s="20" t="n">
        <f aca="false">IF(ISNUMBER(B111),B111,"")</f>
        <v>8.87924230465667</v>
      </c>
    </row>
    <row r="93" customFormat="false" ht="15" hidden="false" customHeight="false" outlineLevel="0" collapsed="false">
      <c r="A93" s="0" t="s">
        <v>634</v>
      </c>
      <c r="B93" s="20" t="n">
        <f aca="false">IF(ISNUMBER(C93),C93,"")</f>
        <v>16.0516605166052</v>
      </c>
      <c r="C93" s="20" t="n">
        <f aca="false">IF(ISNUMBER(B112),B112,"")</f>
        <v>16.0516605166052</v>
      </c>
    </row>
    <row r="94" customFormat="false" ht="15" hidden="false" customHeight="false" outlineLevel="0" collapsed="false">
      <c r="A94" s="0" t="s">
        <v>635</v>
      </c>
      <c r="B94" s="20" t="n">
        <f aca="false">IF(ISNUMBER(C94),C94,"")</f>
        <v>46.8623481781377</v>
      </c>
      <c r="C94" s="20" t="n">
        <f aca="false">IF(ISNUMBER(B113),B113,"")</f>
        <v>46.8623481781377</v>
      </c>
    </row>
    <row r="95" customFormat="false" ht="15" hidden="false" customHeight="false" outlineLevel="0" collapsed="false">
      <c r="A95" s="0" t="s">
        <v>636</v>
      </c>
      <c r="B95" s="20" t="n">
        <f aca="false">IF(ISNUMBER(C95),C95,"")</f>
        <v>72.557239600129</v>
      </c>
      <c r="C95" s="20" t="n">
        <f aca="false">IF(ISNUMBER(B114),B114,"")</f>
        <v>72.557239600129</v>
      </c>
    </row>
    <row r="96" customFormat="false" ht="15" hidden="false" customHeight="false" outlineLevel="0" collapsed="false">
      <c r="A96" s="4" t="s">
        <v>637</v>
      </c>
      <c r="B96" s="0" t="n">
        <f aca="false">COUNT($B$86:$B$95)</f>
        <v>5</v>
      </c>
    </row>
    <row r="100" customFormat="false" ht="17.15" hidden="false" customHeight="false" outlineLevel="0" collapsed="false">
      <c r="A100" s="6" t="s">
        <v>638</v>
      </c>
    </row>
    <row r="101" customFormat="false" ht="17.15" hidden="false" customHeight="false" outlineLevel="0" collapsed="false">
      <c r="A101" s="4" t="s">
        <v>639</v>
      </c>
    </row>
    <row r="103" customFormat="false" ht="17.15" hidden="false" customHeight="false" outlineLevel="0" collapsed="false">
      <c r="A103" s="6" t="s">
        <v>640</v>
      </c>
    </row>
    <row r="104" customFormat="false" ht="17.15" hidden="false" customHeight="false" outlineLevel="0" collapsed="false">
      <c r="A104" s="5" t="s">
        <v>623</v>
      </c>
      <c r="B104" s="5" t="s">
        <v>625</v>
      </c>
      <c r="C104" s="5" t="s">
        <v>641</v>
      </c>
    </row>
    <row r="105" customFormat="false" ht="17.15" hidden="false" customHeight="false" outlineLevel="0" collapsed="false">
      <c r="A105" s="0" t="s">
        <v>627</v>
      </c>
      <c r="C105" s="4" t="s">
        <v>642</v>
      </c>
    </row>
    <row r="106" customFormat="false" ht="15" hidden="false" customHeight="false" outlineLevel="0" collapsed="false">
      <c r="A106" s="0" t="s">
        <v>628</v>
      </c>
    </row>
    <row r="107" customFormat="false" ht="15" hidden="false" customHeight="false" outlineLevel="0" collapsed="false">
      <c r="A107" s="0" t="s">
        <v>629</v>
      </c>
    </row>
    <row r="108" customFormat="false" ht="15" hidden="false" customHeight="false" outlineLevel="0" collapsed="false">
      <c r="A108" s="0" t="s">
        <v>630</v>
      </c>
    </row>
    <row r="109" customFormat="false" ht="15" hidden="false" customHeight="false" outlineLevel="0" collapsed="false">
      <c r="A109" s="0" t="s">
        <v>631</v>
      </c>
    </row>
    <row r="110" customFormat="false" ht="15" hidden="false" customHeight="false" outlineLevel="0" collapsed="false">
      <c r="A110" s="0" t="s">
        <v>632</v>
      </c>
      <c r="B110" s="20" t="n">
        <f aca="false">116.5/6.38</f>
        <v>18.2601880877743</v>
      </c>
    </row>
    <row r="111" customFormat="false" ht="15" hidden="false" customHeight="false" outlineLevel="0" collapsed="false">
      <c r="A111" s="0" t="s">
        <v>633</v>
      </c>
      <c r="B111" s="20" t="n">
        <f aca="false">112.5/12.67</f>
        <v>8.87924230465667</v>
      </c>
    </row>
    <row r="112" customFormat="false" ht="15" hidden="false" customHeight="false" outlineLevel="0" collapsed="false">
      <c r="A112" s="0" t="s">
        <v>634</v>
      </c>
      <c r="B112" s="20" t="n">
        <f aca="false">217.5/13.55</f>
        <v>16.0516605166052</v>
      </c>
    </row>
    <row r="113" customFormat="false" ht="15" hidden="false" customHeight="false" outlineLevel="0" collapsed="false">
      <c r="A113" s="0" t="s">
        <v>635</v>
      </c>
      <c r="B113" s="20" t="n">
        <f aca="false">926/19.76</f>
        <v>46.8623481781377</v>
      </c>
    </row>
    <row r="114" customFormat="false" ht="15" hidden="false" customHeight="false" outlineLevel="0" collapsed="false">
      <c r="A114" s="0" t="s">
        <v>636</v>
      </c>
      <c r="B114" s="20" t="n">
        <f aca="false">2250/31.01</f>
        <v>72.557239600129</v>
      </c>
    </row>
    <row r="115" customFormat="false" ht="17.15" hidden="false" customHeight="false" outlineLevel="0" collapsed="false">
      <c r="A115" s="0" t="s">
        <v>643</v>
      </c>
      <c r="B115" s="20" t="n">
        <f aca="false">PERCENTILE(B105:B114,0.25)</f>
        <v>16.0516605166052</v>
      </c>
    </row>
    <row r="116" customFormat="false" ht="15" hidden="false" customHeight="false" outlineLevel="0" collapsed="false">
      <c r="A116" s="4" t="s">
        <v>644</v>
      </c>
      <c r="B116" s="20" t="n">
        <f aca="false">MEDIAN(B105:B114)</f>
        <v>18.2601880877743</v>
      </c>
    </row>
    <row r="117" customFormat="false" ht="17.15" hidden="false" customHeight="false" outlineLevel="0" collapsed="false">
      <c r="A117" s="0" t="s">
        <v>645</v>
      </c>
      <c r="B117" s="20" t="n">
        <f aca="false">PERCENTILE(B105:B114,0.75)</f>
        <v>46.8623481781377</v>
      </c>
    </row>
    <row r="118" customFormat="false" ht="15" hidden="false" customHeight="false" outlineLevel="0" collapsed="false">
      <c r="A118" s="4" t="s">
        <v>646</v>
      </c>
      <c r="B118" s="20" t="n">
        <f aca="false">MIN(B105:B114)</f>
        <v>8.87924230465667</v>
      </c>
    </row>
    <row r="119" customFormat="false" ht="15" hidden="false" customHeight="false" outlineLevel="0" collapsed="false">
      <c r="A119" s="4" t="s">
        <v>647</v>
      </c>
      <c r="B119" s="20" t="n">
        <f aca="false">MAX(B105:B114)</f>
        <v>72.557239600129</v>
      </c>
    </row>
    <row r="120" customFormat="false" ht="17.15" hidden="false" customHeight="false" outlineLevel="0" collapsed="false">
      <c r="A120" s="1" t="s">
        <v>648</v>
      </c>
      <c r="B120" s="20" t="n">
        <f aca="false">ROUND(AVERAGE(B115),2)</f>
        <v>16.05</v>
      </c>
    </row>
    <row r="121" customFormat="false" ht="17.15" hidden="false" customHeight="false" outlineLevel="0" collapsed="false">
      <c r="A121" s="1" t="s">
        <v>649</v>
      </c>
      <c r="B121" s="20" t="n">
        <f aca="false">ROUND(AVERAGE(B116),2)</f>
        <v>18.26</v>
      </c>
    </row>
    <row r="122" customFormat="false" ht="17.15" hidden="false" customHeight="false" outlineLevel="0" collapsed="false">
      <c r="A122" s="1" t="s">
        <v>650</v>
      </c>
      <c r="B122" s="20" t="n">
        <f aca="false">ROUND(AVERAGE(B117),2)</f>
        <v>46.86</v>
      </c>
    </row>
    <row r="123" customFormat="false" ht="17.15" hidden="false" customHeight="false" outlineLevel="0" collapsed="false">
      <c r="A123" s="1" t="s">
        <v>651</v>
      </c>
      <c r="B123" s="20" t="n">
        <f aca="false">ROUND(MIN(B118),2)</f>
        <v>8.88</v>
      </c>
    </row>
    <row r="124" customFormat="false" ht="17.15" hidden="false" customHeight="false" outlineLevel="0" collapsed="false">
      <c r="A124" s="1" t="s">
        <v>652</v>
      </c>
      <c r="B124" s="20" t="n">
        <f aca="false">ROUND(MAX(B119),2)</f>
        <v>72.56</v>
      </c>
    </row>
    <row r="126" customFormat="false" ht="17.15" hidden="false" customHeight="false" outlineLevel="0" collapsed="false">
      <c r="A126" s="6" t="s">
        <v>653</v>
      </c>
    </row>
    <row r="127" customFormat="false" ht="17.15" hidden="false" customHeight="false" outlineLevel="0" collapsed="false">
      <c r="A127" s="5" t="s">
        <v>654</v>
      </c>
      <c r="B127" s="5" t="s">
        <v>655</v>
      </c>
      <c r="C127" s="5" t="s">
        <v>656</v>
      </c>
      <c r="D127" s="5" t="s">
        <v>24</v>
      </c>
      <c r="E127" s="5" t="s">
        <v>657</v>
      </c>
      <c r="F127" s="5" t="s">
        <v>612</v>
      </c>
      <c r="G127" s="5" t="s">
        <v>658</v>
      </c>
      <c r="H127" s="5" t="s">
        <v>659</v>
      </c>
    </row>
    <row r="128" customFormat="false" ht="17.15" hidden="false" customHeight="false" outlineLevel="0" collapsed="false">
      <c r="A128" s="4" t="s">
        <v>660</v>
      </c>
      <c r="B128" s="0" t="s">
        <v>661</v>
      </c>
      <c r="C128" s="20" t="n">
        <f aca="false">B120</f>
        <v>16.05</v>
      </c>
      <c r="D128" s="8" t="s">
        <v>662</v>
      </c>
      <c r="E128" s="20" t="n">
        <f aca="false">C72</f>
        <v>102.298194147415</v>
      </c>
      <c r="F128" s="38" t="n">
        <f aca="false">C128*E128</f>
        <v>1641.88601606601</v>
      </c>
      <c r="G128" s="22" t="n">
        <f aca="false">F128/px-1</f>
        <v>-0.643842512783945</v>
      </c>
      <c r="H128" s="20" t="n">
        <f aca="false">px/E128</f>
        <v>45.0643341108919</v>
      </c>
    </row>
    <row r="129" customFormat="false" ht="17.15" hidden="false" customHeight="false" outlineLevel="0" collapsed="false">
      <c r="A129" s="4" t="s">
        <v>663</v>
      </c>
      <c r="B129" s="4" t="s">
        <v>664</v>
      </c>
      <c r="C129" s="20" t="n">
        <f aca="false">B121</f>
        <v>18.26</v>
      </c>
      <c r="D129" s="8" t="s">
        <v>662</v>
      </c>
      <c r="E129" s="20" t="n">
        <f aca="false">C72</f>
        <v>102.298194147415</v>
      </c>
      <c r="F129" s="38" t="n">
        <f aca="false">C129*E129</f>
        <v>1867.9650251318</v>
      </c>
      <c r="G129" s="22" t="n">
        <f aca="false">F129/px-1</f>
        <v>-0.594801512986594</v>
      </c>
      <c r="H129" s="20" t="n">
        <f aca="false">px/E129</f>
        <v>45.0643341108919</v>
      </c>
    </row>
    <row r="130" customFormat="false" ht="17.15" hidden="false" customHeight="false" outlineLevel="0" collapsed="false">
      <c r="A130" s="4" t="s">
        <v>665</v>
      </c>
      <c r="B130" s="0" t="s">
        <v>666</v>
      </c>
      <c r="C130" s="20" t="n">
        <f aca="false">B122</f>
        <v>46.86</v>
      </c>
      <c r="D130" s="8" t="s">
        <v>662</v>
      </c>
      <c r="E130" s="20" t="n">
        <f aca="false">C72</f>
        <v>102.298194147415</v>
      </c>
      <c r="F130" s="38" t="n">
        <f aca="false">C130*E130</f>
        <v>4793.69337774787</v>
      </c>
      <c r="G130" s="22" t="n">
        <f aca="false">F130/px-1</f>
        <v>0.0398467196850052</v>
      </c>
      <c r="H130" s="20" t="n">
        <f aca="false">px/E130</f>
        <v>45.0643341108919</v>
      </c>
    </row>
    <row r="135" customFormat="false" ht="17.15" hidden="false" customHeight="false" outlineLevel="0" collapsed="false">
      <c r="A135" s="6" t="s">
        <v>667</v>
      </c>
    </row>
    <row r="136" customFormat="false" ht="17.15" hidden="false" customHeight="false" outlineLevel="0" collapsed="false">
      <c r="A136" s="4" t="s">
        <v>668</v>
      </c>
    </row>
    <row r="137" customFormat="false" ht="17.15" hidden="false" customHeight="false" outlineLevel="0" collapsed="false">
      <c r="A137" s="5" t="s">
        <v>669</v>
      </c>
      <c r="B137" s="5" t="s">
        <v>543</v>
      </c>
      <c r="C137" s="5" t="s">
        <v>670</v>
      </c>
      <c r="D137" s="15" t="s">
        <v>671</v>
      </c>
      <c r="E137" s="15" t="s">
        <v>672</v>
      </c>
      <c r="F137" s="15" t="s">
        <v>673</v>
      </c>
      <c r="G137" s="15" t="s">
        <v>674</v>
      </c>
      <c r="H137" s="15" t="s">
        <v>675</v>
      </c>
      <c r="I137" s="15" t="s">
        <v>676</v>
      </c>
      <c r="J137" s="15" t="s">
        <v>677</v>
      </c>
      <c r="K137" s="15" t="s">
        <v>678</v>
      </c>
      <c r="L137" s="15" t="s">
        <v>679</v>
      </c>
      <c r="M137" s="15" t="s">
        <v>680</v>
      </c>
      <c r="N137" s="5" t="s">
        <v>681</v>
      </c>
      <c r="O137" s="15" t="s">
        <v>682</v>
      </c>
      <c r="P137" s="5" t="s">
        <v>683</v>
      </c>
      <c r="Q137" s="5" t="s">
        <v>546</v>
      </c>
    </row>
    <row r="138" customFormat="false" ht="15" hidden="false" customHeight="false" outlineLevel="0" collapsed="false">
      <c r="A138" s="4" t="s">
        <v>684</v>
      </c>
      <c r="B138" s="0" t="s">
        <v>685</v>
      </c>
      <c r="C138" s="4" t="s">
        <v>686</v>
      </c>
      <c r="N138" s="0" t="n">
        <f aca="false">COUNT(D138:M138)</f>
        <v>0</v>
      </c>
      <c r="O138" s="20" t="str">
        <f aca="false">IF(N138&gt;0,MEDIAN(D138:M138),"")</f>
        <v/>
      </c>
      <c r="P138" s="20" t="str">
        <f aca="false">IF(N138&gt;=7,O138,"")</f>
        <v/>
      </c>
      <c r="Q138" s="4" t="s">
        <v>687</v>
      </c>
    </row>
    <row r="139" customFormat="false" ht="17.15" hidden="false" customHeight="false" outlineLevel="0" collapsed="false">
      <c r="A139" s="0" t="s">
        <v>547</v>
      </c>
      <c r="B139" s="0" t="s">
        <v>548</v>
      </c>
      <c r="C139" s="4" t="s">
        <v>688</v>
      </c>
      <c r="D139" s="21" t="n">
        <v>13.11</v>
      </c>
      <c r="E139" s="21" t="n">
        <v>11.4445</v>
      </c>
      <c r="F139" s="21" t="n">
        <v>17.0315</v>
      </c>
      <c r="G139" s="21" t="n">
        <v>21.322</v>
      </c>
      <c r="H139" s="21" t="n">
        <v>24.026</v>
      </c>
      <c r="I139" s="21" t="n">
        <v>20.6985</v>
      </c>
      <c r="J139" s="21" t="n">
        <v>32.431</v>
      </c>
      <c r="K139" s="21" t="n">
        <v>35.799</v>
      </c>
      <c r="L139" s="21" t="n">
        <v>23.8575</v>
      </c>
      <c r="M139" s="21" t="n">
        <v>41.8845</v>
      </c>
      <c r="N139" s="8" t="n">
        <f aca="false">COUNT(D139:M139)</f>
        <v>10</v>
      </c>
      <c r="O139" s="20" t="n">
        <f aca="false">IF(N139&gt;0,MEDIAN(D139:M139),"")</f>
        <v>22.58975</v>
      </c>
      <c r="P139" s="20" t="n">
        <f aca="false">IF(N139&gt;=7,O139,"")</f>
        <v>22.58975</v>
      </c>
      <c r="Q139" s="8" t="s">
        <v>689</v>
      </c>
    </row>
    <row r="140" customFormat="false" ht="17.15" hidden="false" customHeight="false" outlineLevel="0" collapsed="false">
      <c r="A140" s="0" t="s">
        <v>551</v>
      </c>
      <c r="B140" s="0" t="s">
        <v>552</v>
      </c>
      <c r="C140" s="4" t="s">
        <v>688</v>
      </c>
      <c r="D140" s="21" t="n">
        <v>22.23</v>
      </c>
      <c r="E140" s="21" t="n">
        <v>17.0615</v>
      </c>
      <c r="F140" s="21" t="n">
        <v>16.77</v>
      </c>
      <c r="G140" s="21" t="n">
        <v>20.9025</v>
      </c>
      <c r="H140" s="21" t="n">
        <v>27.204</v>
      </c>
      <c r="I140" s="21" t="n">
        <v>15.2445</v>
      </c>
      <c r="J140" s="21" t="n">
        <v>23.799</v>
      </c>
      <c r="K140" s="21" t="n">
        <v>41.1</v>
      </c>
      <c r="L140" s="21" t="n">
        <v>33.0075</v>
      </c>
      <c r="M140" s="21" t="n">
        <v>38.411</v>
      </c>
      <c r="N140" s="8" t="n">
        <f aca="false">COUNT(D140:M140)</f>
        <v>10</v>
      </c>
      <c r="O140" s="20" t="n">
        <f aca="false">IF(N140&gt;0,MEDIAN(D140:M140),"")</f>
        <v>23.0145</v>
      </c>
      <c r="P140" s="20" t="n">
        <f aca="false">IF(N140&gt;=7,O140,"")</f>
        <v>23.0145</v>
      </c>
      <c r="Q140" s="8" t="s">
        <v>690</v>
      </c>
    </row>
    <row r="141" customFormat="false" ht="17.15" hidden="false" customHeight="false" outlineLevel="0" collapsed="false">
      <c r="A141" s="4" t="s">
        <v>554</v>
      </c>
      <c r="B141" s="0" t="s">
        <v>555</v>
      </c>
      <c r="C141" s="4" t="s">
        <v>688</v>
      </c>
      <c r="D141" s="21" t="n">
        <v>17.063</v>
      </c>
      <c r="E141" s="21" t="n">
        <v>17.1795</v>
      </c>
      <c r="F141" s="21" t="n">
        <v>17.9435</v>
      </c>
      <c r="G141" s="21" t="n">
        <v>19.976</v>
      </c>
      <c r="H141" s="21" t="n">
        <v>23.2035</v>
      </c>
      <c r="I141" s="21" t="n">
        <v>20.8505</v>
      </c>
      <c r="J141" s="21" t="n">
        <v>27.7495</v>
      </c>
      <c r="K141" s="21" t="n">
        <v>32.015</v>
      </c>
      <c r="L141" s="21" t="n">
        <v>26.7775</v>
      </c>
      <c r="M141" s="21" t="n">
        <v>39.7645</v>
      </c>
      <c r="N141" s="8" t="n">
        <f aca="false">COUNT(D141:M141)</f>
        <v>10</v>
      </c>
      <c r="O141" s="20" t="n">
        <f aca="false">IF(N141&gt;0,MEDIAN(D141:M141),"")</f>
        <v>22.027</v>
      </c>
      <c r="P141" s="20" t="n">
        <f aca="false">IF(N141&gt;=7,O141,"")</f>
        <v>22.027</v>
      </c>
      <c r="Q141" s="8" t="s">
        <v>691</v>
      </c>
    </row>
    <row r="142" customFormat="false" ht="17.15" hidden="false" customHeight="false" outlineLevel="0" collapsed="false">
      <c r="A142" s="4" t="s">
        <v>556</v>
      </c>
      <c r="B142" s="0" t="s">
        <v>557</v>
      </c>
      <c r="C142" s="4" t="s">
        <v>688</v>
      </c>
      <c r="D142" s="21" t="n">
        <v>10.0995</v>
      </c>
      <c r="E142" s="21" t="n">
        <v>10.402</v>
      </c>
      <c r="F142" s="21" t="n">
        <v>11.493</v>
      </c>
      <c r="G142" s="21" t="n">
        <v>11.011</v>
      </c>
      <c r="H142" s="21" t="n">
        <v>11.7675</v>
      </c>
      <c r="I142" s="21" t="n">
        <v>7.96</v>
      </c>
      <c r="J142" s="21" t="n">
        <v>10.6255</v>
      </c>
      <c r="K142" s="21" t="n">
        <v>15.3285</v>
      </c>
      <c r="L142" s="21" t="n">
        <v>15.404</v>
      </c>
      <c r="M142" s="21" t="n">
        <v>25.259</v>
      </c>
      <c r="N142" s="8" t="n">
        <f aca="false">COUNT(D142:M142)</f>
        <v>10</v>
      </c>
      <c r="O142" s="20" t="n">
        <f aca="false">IF(N142&gt;0,MEDIAN(D142:M142),"")</f>
        <v>11.252</v>
      </c>
      <c r="P142" s="20" t="n">
        <f aca="false">IF(N142&gt;=7,O142,"")</f>
        <v>11.252</v>
      </c>
      <c r="Q142" s="8" t="s">
        <v>692</v>
      </c>
    </row>
    <row r="144" customFormat="false" ht="17.15" hidden="false" customHeight="false" outlineLevel="0" collapsed="false">
      <c r="A144" s="4" t="s">
        <v>693</v>
      </c>
      <c r="B144" s="20" t="str">
        <f aca="false">P138</f>
        <v/>
      </c>
      <c r="E144" s="4" t="s">
        <v>694</v>
      </c>
    </row>
    <row r="145" customFormat="false" ht="15" hidden="false" customHeight="false" outlineLevel="0" collapsed="false">
      <c r="A145" s="4" t="s">
        <v>695</v>
      </c>
      <c r="B145" s="39" t="n">
        <f aca="false">COUNT(P139:P142)</f>
        <v>4</v>
      </c>
    </row>
    <row r="146" customFormat="false" ht="17.15" hidden="false" customHeight="false" outlineLevel="0" collapsed="false">
      <c r="A146" s="4" t="s">
        <v>696</v>
      </c>
      <c r="B146" s="20" t="n">
        <f aca="false">IF(B145&gt;0,MEDIAN(P139:P142),"")</f>
        <v>22.308375</v>
      </c>
    </row>
    <row r="147" customFormat="false" ht="17.15" hidden="false" customHeight="false" outlineLevel="0" collapsed="false">
      <c r="A147" s="4" t="s">
        <v>697</v>
      </c>
      <c r="B147" s="20" t="str">
        <f aca="false">IF(AND(ISNUMBER(B144),B145&gt;=2),B144/B146,"")</f>
        <v/>
      </c>
      <c r="E147" s="4" t="s">
        <v>698</v>
      </c>
    </row>
    <row r="148" customFormat="false" ht="17.15" hidden="false" customHeight="false" outlineLevel="0" collapsed="false">
      <c r="A148" s="4" t="s">
        <v>699</v>
      </c>
      <c r="B148" s="21" t="n">
        <v>0.5</v>
      </c>
      <c r="E148" s="8" t="s">
        <v>700</v>
      </c>
    </row>
    <row r="149" customFormat="false" ht="17.15" hidden="false" customHeight="false" outlineLevel="0" collapsed="false">
      <c r="A149" s="4" t="s">
        <v>701</v>
      </c>
      <c r="B149" s="21" t="n">
        <v>2</v>
      </c>
      <c r="E149" s="8" t="s">
        <v>702</v>
      </c>
    </row>
    <row r="150" customFormat="false" ht="17.15" hidden="false" customHeight="false" outlineLevel="0" collapsed="false">
      <c r="A150" s="1" t="s">
        <v>703</v>
      </c>
      <c r="B150" s="31" t="n">
        <f aca="false">IF(ISNUMBER(B147),MIN(MAX(B147,B148),B149),1)</f>
        <v>1</v>
      </c>
      <c r="E150" s="4" t="s">
        <v>704</v>
      </c>
    </row>
    <row r="151" customFormat="false" ht="17.15" hidden="false" customHeight="false" outlineLevel="0" collapsed="false">
      <c r="A151" s="6" t="s">
        <v>705</v>
      </c>
      <c r="B151" s="31" t="n">
        <f aca="false">Val!$B$35*B150</f>
        <v>3287.92979427891</v>
      </c>
      <c r="E151" s="4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707</v>
      </c>
    </row>
    <row r="3" customFormat="false" ht="17.15" hidden="false" customHeight="false" outlineLevel="0" collapsed="false">
      <c r="A3" s="5" t="s">
        <v>21</v>
      </c>
      <c r="B3" s="5" t="s">
        <v>708</v>
      </c>
      <c r="C3" s="5" t="s">
        <v>709</v>
      </c>
      <c r="D3" s="5" t="s">
        <v>710</v>
      </c>
      <c r="E3" s="5" t="s">
        <v>711</v>
      </c>
      <c r="F3" s="5" t="s">
        <v>712</v>
      </c>
      <c r="G3" s="5" t="s">
        <v>713</v>
      </c>
      <c r="H3" s="5" t="s">
        <v>714</v>
      </c>
      <c r="I3" s="5" t="s">
        <v>715</v>
      </c>
      <c r="J3" s="5" t="s">
        <v>336</v>
      </c>
    </row>
    <row r="4" customFormat="false" ht="17.15" hidden="false" customHeight="false" outlineLevel="0" collapsed="false">
      <c r="A4" s="6" t="s">
        <v>716</v>
      </c>
    </row>
    <row r="5" customFormat="false" ht="17.15" hidden="false" customHeight="false" outlineLevel="0" collapsed="false">
      <c r="A5" s="0" t="s">
        <v>717</v>
      </c>
      <c r="B5" s="22" t="n">
        <v>0.025</v>
      </c>
      <c r="C5" s="22" t="n">
        <f aca="false">Q!E4/Q!D4-1</f>
        <v>0.127842537741257</v>
      </c>
      <c r="D5" s="22" t="n">
        <f aca="false">C5-B5</f>
        <v>0.102842537741257</v>
      </c>
      <c r="E5" s="22" t="n">
        <f aca="false">Q!E4/Q!D4-1</f>
        <v>0.127842537741257</v>
      </c>
      <c r="F5" s="22" t="n">
        <f aca="false">E5-B5</f>
        <v>0.102842537741257</v>
      </c>
      <c r="G5" s="22" t="n">
        <f aca="false">Q!E4/Q!D4-1</f>
        <v>0.127842537741257</v>
      </c>
      <c r="H5" s="22" t="n">
        <f aca="false">G5-B5</f>
        <v>0.102842537741257</v>
      </c>
      <c r="I5" s="8" t="s">
        <v>718</v>
      </c>
      <c r="J5" s="8" t="s">
        <v>719</v>
      </c>
    </row>
    <row r="6" customFormat="false" ht="17.15" hidden="false" customHeight="false" outlineLevel="0" collapsed="false">
      <c r="A6" s="0" t="s">
        <v>720</v>
      </c>
      <c r="B6" s="19" t="n">
        <f aca="false">cons_rev26</f>
        <v>22.09</v>
      </c>
      <c r="C6" s="19" t="n">
        <f aca="false">PL!D86</f>
        <v>21.41265</v>
      </c>
      <c r="D6" s="22" t="n">
        <f aca="false">C6/B6-1</f>
        <v>-0.0306631960162972</v>
      </c>
      <c r="E6" s="19" t="n">
        <f aca="false">PL!D119</f>
        <v>21.41265</v>
      </c>
      <c r="F6" s="22" t="n">
        <f aca="false">E6/B6-1</f>
        <v>-0.0306631960162972</v>
      </c>
      <c r="G6" s="19" t="n">
        <f aca="false">PL!D152</f>
        <v>21.41265</v>
      </c>
      <c r="H6" s="22" t="n">
        <f aca="false">G6/B6-1</f>
        <v>-0.0306631960162972</v>
      </c>
      <c r="I6" s="4" t="s">
        <v>721</v>
      </c>
    </row>
    <row r="7" customFormat="false" ht="17.15" hidden="false" customHeight="false" outlineLevel="0" collapsed="false">
      <c r="A7" s="0" t="s">
        <v>722</v>
      </c>
      <c r="B7" s="19" t="n">
        <f aca="false">cons_eps26</f>
        <v>64.79</v>
      </c>
      <c r="C7" s="19" t="n">
        <f aca="false">PL!D98</f>
        <v>68.6959552317267</v>
      </c>
      <c r="D7" s="22" t="n">
        <f aca="false">C7/B7-1</f>
        <v>0.060286390364666</v>
      </c>
      <c r="E7" s="19" t="n">
        <f aca="false">PL!D131</f>
        <v>68.6959552317267</v>
      </c>
      <c r="F7" s="22" t="n">
        <f aca="false">E7/B7-1</f>
        <v>0.060286390364666</v>
      </c>
      <c r="G7" s="19" t="n">
        <f aca="false">PL!D164</f>
        <v>68.6959552317267</v>
      </c>
      <c r="H7" s="22" t="n">
        <f aca="false">G7/B7-1</f>
        <v>0.060286390364666</v>
      </c>
      <c r="I7" s="4" t="s">
        <v>723</v>
      </c>
      <c r="J7" s="4" t="s">
        <v>724</v>
      </c>
    </row>
    <row r="8" customFormat="false" ht="17.15" hidden="false" customHeight="false" outlineLevel="0" collapsed="false">
      <c r="A8" s="0" t="s">
        <v>725</v>
      </c>
      <c r="B8" s="19" t="n">
        <f aca="false">cons_eps27</f>
        <v>128.95</v>
      </c>
      <c r="C8" s="19" t="n">
        <f aca="false">PL!E98</f>
        <v>108.876859646509</v>
      </c>
      <c r="D8" s="22" t="n">
        <f aca="false">C8/B8-1</f>
        <v>-0.155666074862276</v>
      </c>
      <c r="E8" s="19" t="n">
        <f aca="false">PL!E131</f>
        <v>102.298194147415</v>
      </c>
      <c r="F8" s="22" t="n">
        <f aca="false">E8/B8-1</f>
        <v>-0.20668325593319</v>
      </c>
      <c r="G8" s="19" t="n">
        <f aca="false">PL!E164</f>
        <v>92.2965739620111</v>
      </c>
      <c r="H8" s="22" t="n">
        <f aca="false">G8/B8-1</f>
        <v>-0.284245258146482</v>
      </c>
      <c r="I8" s="4" t="s">
        <v>723</v>
      </c>
    </row>
    <row r="9" customFormat="false" ht="17.15" hidden="false" customHeight="false" outlineLevel="0" collapsed="false">
      <c r="A9" s="0" t="s">
        <v>726</v>
      </c>
      <c r="B9" s="19" t="n">
        <f aca="false">al_eps27</f>
        <v>186.5</v>
      </c>
      <c r="C9" s="19" t="n">
        <f aca="false">PL!E98</f>
        <v>108.876859646509</v>
      </c>
      <c r="D9" s="22" t="n">
        <f aca="false">C9/B9-1</f>
        <v>-0.416209867847134</v>
      </c>
      <c r="E9" s="19" t="n">
        <f aca="false">PL!E131</f>
        <v>102.298194147415</v>
      </c>
      <c r="F9" s="22" t="n">
        <f aca="false">E9/B9-1</f>
        <v>-0.451484213686782</v>
      </c>
      <c r="G9" s="19" t="n">
        <f aca="false">PL!E164</f>
        <v>92.2965739620111</v>
      </c>
      <c r="H9" s="22" t="n">
        <f aca="false">G9/B9-1</f>
        <v>-0.505112203957045</v>
      </c>
      <c r="I9" s="4" t="s">
        <v>727</v>
      </c>
      <c r="J9" s="4" t="s">
        <v>728</v>
      </c>
    </row>
    <row r="10" customFormat="false" ht="15" hidden="false" customHeight="false" outlineLevel="0" collapsed="false">
      <c r="A10" s="0" t="s">
        <v>729</v>
      </c>
      <c r="B10" s="19" t="n">
        <f aca="false">al_eps28</f>
        <v>286.5</v>
      </c>
      <c r="C10" s="19" t="n">
        <f aca="false">PL!F98</f>
        <v>142.918547803204</v>
      </c>
      <c r="D10" s="22" t="n">
        <f aca="false">C10/B10-1</f>
        <v>-0.501156901210457</v>
      </c>
      <c r="E10" s="19" t="n">
        <f aca="false">PL!F131</f>
        <v>105.433158337371</v>
      </c>
      <c r="F10" s="22" t="n">
        <f aca="false">E10/B10-1</f>
        <v>-0.631995956937622</v>
      </c>
      <c r="G10" s="19" t="n">
        <f aca="false">PL!F164</f>
        <v>69.8775100281167</v>
      </c>
      <c r="H10" s="22" t="n">
        <f aca="false">G10/B10-1</f>
        <v>-0.756099441437638</v>
      </c>
      <c r="I10" s="4" t="s">
        <v>38</v>
      </c>
    </row>
    <row r="11" customFormat="false" ht="17.15" hidden="false" customHeight="false" outlineLevel="0" collapsed="false">
      <c r="A11" s="6" t="s">
        <v>730</v>
      </c>
    </row>
    <row r="12" customFormat="false" ht="17.15" hidden="false" customHeight="false" outlineLevel="0" collapsed="false">
      <c r="A12" s="0" t="s">
        <v>731</v>
      </c>
      <c r="C12" s="22" t="n">
        <f aca="false">PL!E79/PL!D79-1-(16.2309519650655/11.5-1)</f>
        <v>0.443589656772702</v>
      </c>
      <c r="E12" s="22" t="n">
        <f aca="false">PL!E112/PL!D112-1-(16.2309519650655/11.5-1)</f>
        <v>0.355257428955097</v>
      </c>
      <c r="G12" s="22" t="n">
        <f aca="false">PL!E145/PL!D145-1-(16.2309519650655/11.5-1)</f>
        <v>0.213925864446929</v>
      </c>
      <c r="I12" s="8" t="s">
        <v>732</v>
      </c>
      <c r="J12" s="4" t="s">
        <v>733</v>
      </c>
    </row>
    <row r="13" customFormat="false" ht="17.15" hidden="false" customHeight="false" outlineLevel="0" collapsed="false">
      <c r="A13" s="0" t="s">
        <v>734</v>
      </c>
      <c r="C13" s="22" t="n">
        <f aca="false">PL!F79/PL!E79-1-(18.2430869197178/16.2309519650655-1)</f>
        <v>0.145719638510006</v>
      </c>
      <c r="E13" s="22" t="n">
        <f aca="false">PL!F112/PL!E112-1-(15.5246455357743/16.2309519650655-1)</f>
        <v>0.0310516310440366</v>
      </c>
      <c r="G13" s="22" t="n">
        <f aca="false">PL!F145/PL!E145-1-(12.8062041518307/16.2309519650655-1)</f>
        <v>-0.0805494956420882</v>
      </c>
      <c r="I13" s="8" t="s">
        <v>732</v>
      </c>
      <c r="J13" s="4" t="s">
        <v>733</v>
      </c>
    </row>
    <row r="14" customFormat="false" ht="17.15" hidden="false" customHeight="false" outlineLevel="0" collapsed="false">
      <c r="A14" s="0" t="s">
        <v>735</v>
      </c>
      <c r="C14" s="22" t="n">
        <f aca="false">PL!G79/PL!F79-1-(20.3107479175008/18.2430869197178-1)</f>
        <v>0.108915516105302</v>
      </c>
      <c r="E14" s="22" t="n">
        <f aca="false">PL!G112/PL!F112-1-(17.9896730098757/15.5246455357743-1)</f>
        <v>0.116252570248778</v>
      </c>
      <c r="G14" s="22" t="n">
        <f aca="false">PL!G145/PL!F145-1-(14.1212148305005/12.8062041518307-1)</f>
        <v>0.0564365010798318</v>
      </c>
      <c r="I14" s="8" t="s">
        <v>732</v>
      </c>
      <c r="J14" s="4" t="s">
        <v>733</v>
      </c>
    </row>
    <row r="15" customFormat="false" ht="17.15" hidden="false" customHeight="false" outlineLevel="0" collapsed="false">
      <c r="A15" s="0" t="s">
        <v>736</v>
      </c>
      <c r="C15" s="23" t="n">
        <f aca="false">Units!C10</f>
        <v>627.252690789474</v>
      </c>
      <c r="E15" s="23" t="n">
        <f aca="false">Units!C10</f>
        <v>627.252690789474</v>
      </c>
      <c r="G15" s="23" t="n">
        <f aca="false">Units!C10</f>
        <v>627.252690789474</v>
      </c>
      <c r="I15" s="8" t="s">
        <v>124</v>
      </c>
      <c r="J15" s="4" t="s">
        <v>737</v>
      </c>
    </row>
    <row r="16" customFormat="false" ht="17.15" hidden="false" customHeight="false" outlineLevel="0" collapsed="false">
      <c r="A16" s="6" t="s">
        <v>738</v>
      </c>
    </row>
    <row r="17" customFormat="false" ht="17.15" hidden="false" customHeight="false" outlineLevel="0" collapsed="false">
      <c r="A17" s="0" t="s">
        <v>739</v>
      </c>
      <c r="B17" s="20" t="n">
        <v>1.5</v>
      </c>
      <c r="C17" s="20" t="n">
        <f aca="false">PL!E79/PL!D79</f>
        <v>1.8549767841697</v>
      </c>
      <c r="D17" s="22" t="n">
        <f aca="false">C17/B17-1</f>
        <v>0.236651189446468</v>
      </c>
      <c r="E17" s="20" t="n">
        <f aca="false">PL!E112/PL!D112</f>
        <v>1.7666445563521</v>
      </c>
      <c r="F17" s="22" t="n">
        <f aca="false">E17/B17-1</f>
        <v>0.177763037568065</v>
      </c>
      <c r="G17" s="20" t="n">
        <f aca="false">PL!E145/PL!D145</f>
        <v>1.62531299184393</v>
      </c>
      <c r="H17" s="22" t="n">
        <f aca="false">G17/B17-1</f>
        <v>0.0835419945626195</v>
      </c>
      <c r="I17" s="8" t="s">
        <v>740</v>
      </c>
      <c r="J17" s="4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10" min="4" style="0" width="14"/>
  </cols>
  <sheetData>
    <row r="1" customFormat="false" ht="17.15" hidden="false" customHeight="false" outlineLevel="0" collapsed="false">
      <c r="A1" s="0" t="s">
        <v>742</v>
      </c>
    </row>
    <row r="2" customFormat="false" ht="17.15" hidden="false" customHeight="false" outlineLevel="0" collapsed="false">
      <c r="A2" s="4" t="s">
        <v>743</v>
      </c>
    </row>
    <row r="3" customFormat="false" ht="17.15" hidden="false" customHeight="false" outlineLevel="0" collapsed="false">
      <c r="A3" s="5" t="s">
        <v>744</v>
      </c>
      <c r="B3" s="5" t="s">
        <v>20</v>
      </c>
      <c r="C3" s="5" t="s">
        <v>745</v>
      </c>
      <c r="D3" s="15" t="s">
        <v>746</v>
      </c>
      <c r="E3" s="15" t="s">
        <v>747</v>
      </c>
      <c r="F3" s="15" t="s">
        <v>748</v>
      </c>
      <c r="G3" s="15" t="s">
        <v>749</v>
      </c>
      <c r="H3" s="15" t="s">
        <v>750</v>
      </c>
      <c r="I3" s="5" t="s">
        <v>751</v>
      </c>
      <c r="J3" s="5" t="s">
        <v>752</v>
      </c>
    </row>
    <row r="4" customFormat="false" ht="17.15" hidden="false" customHeight="false" outlineLevel="0" collapsed="false">
      <c r="A4" s="4" t="s">
        <v>24</v>
      </c>
      <c r="B4" s="0" t="s">
        <v>124</v>
      </c>
      <c r="C4" s="0" t="s">
        <v>753</v>
      </c>
      <c r="D4" s="20" t="n">
        <f aca="false">PL!E131</f>
        <v>102.298194147415</v>
      </c>
      <c r="E4" s="20" t="n">
        <f aca="false">PL!F131</f>
        <v>105.433158337371</v>
      </c>
      <c r="F4" s="22" t="n">
        <f aca="false">E4/E$4-1</f>
        <v>0</v>
      </c>
      <c r="G4" s="38" t="n">
        <f aca="false">(tp_wA*MAX(0,PL!E98*(1-MIN(tp_g/tp_roe,0.8))/(1+tp_r)^1+PL!F98*(1-MIN(tp_g/tp_roe,0.8))/(1+tp_r)^2+PL!G98*(1-MIN(tp_g/tp_roe,0.8))/(1+tp_r)^3+PL!H98*(1-MIN(tp_g/tp_roe,0.8))/(1+tp_r)^4+PL!I98*(1-MIN(tp_g/tp_roe,0.8))/(1+tp_r)^5+PL!J98*(1-MIN(tp_g/tp_roe,0.8))/(1+tp_r)^6+PL!J98*(1-MIN(tp_g/tp_roe,0.8))*(1+tp_g)/(tp_r-tp_g)/(1+tp_r)^6)+tp_wB*MAX(0,PL!E131*(1-MIN(tp_g/tp_roe,0.8))/(1+tp_r)^1+PL!F131*(1-MIN(tp_g/tp_roe,0.8))/(1+tp_r)^2+PL!G131*(1-MIN(tp_g/tp_roe,0.8))/(1+tp_r)^3+PL!H131*(1-MIN(tp_g/tp_roe,0.8))/(1+tp_r)^4+PL!I131*(1-MIN(tp_g/tp_roe,0.8))/(1+tp_r)^5+PL!J131*(1-MIN(tp_g/tp_roe,0.8))/(1+tp_r)^6+PL!J131*(1-MIN(tp_g/tp_roe,0.8))*(1+tp_g)/(tp_r-tp_g)/(1+tp_r)^6)+tp_wC*MAX(0,PL!E164*(1-MIN(tp_g/tp_roe,0.8))/(1+tp_r)^1+PL!F164*(1-MIN(tp_g/tp_roe,0.8))/(1+tp_r)^2+PL!G164*(1-MIN(tp_g/tp_roe,0.8))/(1+tp_r)^3+PL!H164*(1-MIN(tp_g/tp_roe,0.8))/(1+tp_r)^4+PL!I164*(1-MIN(tp_g/tp_roe,0.8))/(1+tp_r)^5+PL!J164*(1-MIN(tp_g/tp_roe,0.8))/(1+tp_r)^6+PL!J164*(1-MIN(tp_g/tp_roe,0.8))*(1+tp_g)/(tp_r-tp_g)/(1+tp_r)^6))*(1+tp_r)</f>
        <v>1994.80118162092</v>
      </c>
      <c r="H4" s="38" t="n">
        <f aca="false">Val!$B$33*(tp_wA*(2/12*PL!E98+10/12*PL!F98)+tp_wB*(2/12*PL!E131+10/12*PL!F131)+tp_wC*(2/12*PL!E164+10/12*PL!F164))*rm_factor</f>
        <v>3287.92979427891</v>
      </c>
      <c r="I4" s="38" t="n">
        <f aca="false">tp_w_dcf*G4+(1-tp_w_dcf)*H4</f>
        <v>2641.36548794991</v>
      </c>
      <c r="J4" s="22" t="n">
        <f aca="false">I4/I$4-1</f>
        <v>0</v>
      </c>
    </row>
    <row r="5" customFormat="false" ht="17.15" hidden="false" customHeight="false" outlineLevel="0" collapsed="false">
      <c r="A5" s="0" t="s">
        <v>754</v>
      </c>
      <c r="B5" s="0" t="s">
        <v>755</v>
      </c>
      <c r="C5" s="0" t="s">
        <v>756</v>
      </c>
      <c r="D5" s="20" t="n">
        <f aca="false">E181</f>
        <v>89.0504894341903</v>
      </c>
      <c r="E5" s="20" t="n">
        <f aca="false">F181</f>
        <v>92.3219189847152</v>
      </c>
      <c r="F5" s="22" t="n">
        <f aca="false">E5/E$4-1</f>
        <v>-0.124355938486657</v>
      </c>
      <c r="G5" s="38" t="n">
        <f aca="false">(tp_wA*MAX(0,E148*(1-MIN(tp_g/tp_roe,0.8))/(1+tp_r)^1+F148*(1-MIN(tp_g/tp_roe,0.8))/(1+tp_r)^2+G148*(1-MIN(tp_g/tp_roe,0.8))/(1+tp_r)^3+H148*(1-MIN(tp_g/tp_roe,0.8))/(1+tp_r)^4+I148*(1-MIN(tp_g/tp_roe,0.8))/(1+tp_r)^5+J148*(1-MIN(tp_g/tp_roe,0.8))/(1+tp_r)^6+J148*(1-MIN(tp_g/tp_roe,0.8))*(1+tp_g)/(tp_r-tp_g)/(1+tp_r)^6)+tp_wB*MAX(0,E181*(1-MIN(tp_g/tp_roe,0.8))/(1+tp_r)^1+F181*(1-MIN(tp_g/tp_roe,0.8))/(1+tp_r)^2+G181*(1-MIN(tp_g/tp_roe,0.8))/(1+tp_r)^3+H181*(1-MIN(tp_g/tp_roe,0.8))/(1+tp_r)^4+I181*(1-MIN(tp_g/tp_roe,0.8))/(1+tp_r)^5+J181*(1-MIN(tp_g/tp_roe,0.8))/(1+tp_r)^6+J181*(1-MIN(tp_g/tp_roe,0.8))*(1+tp_g)/(tp_r-tp_g)/(1+tp_r)^6)+tp_wC*MAX(0,E214*(1-MIN(tp_g/tp_roe,0.8))/(1+tp_r)^1+F214*(1-MIN(tp_g/tp_roe,0.8))/(1+tp_r)^2+G214*(1-MIN(tp_g/tp_roe,0.8))/(1+tp_r)^3+H214*(1-MIN(tp_g/tp_roe,0.8))/(1+tp_r)^4+I214*(1-MIN(tp_g/tp_roe,0.8))/(1+tp_r)^5+J214*(1-MIN(tp_g/tp_roe,0.8))/(1+tp_r)^6+J214*(1-MIN(tp_g/tp_roe,0.8))*(1+tp_g)/(tp_r-tp_g)/(1+tp_r)^6))*(1+tp_r)</f>
        <v>1752.95230287358</v>
      </c>
      <c r="H5" s="38" t="n">
        <f aca="false">Val!$B$33*(tp_wA*(2/12*E148+10/12*F148)+tp_wB*(2/12*E181+10/12*F181)+tp_wC*(2/12*E214+10/12*F214))*rm_factor</f>
        <v>2874.47811255336</v>
      </c>
      <c r="I5" s="38" t="n">
        <f aca="false">tp_w_dcf*G5+(1-tp_w_dcf)*H5</f>
        <v>2313.71520771347</v>
      </c>
      <c r="J5" s="22" t="n">
        <f aca="false">I5/I$4-1</f>
        <v>-0.124045794393546</v>
      </c>
    </row>
    <row r="6" customFormat="false" ht="17.15" hidden="false" customHeight="false" outlineLevel="0" collapsed="false">
      <c r="A6" s="0" t="s">
        <v>757</v>
      </c>
      <c r="B6" s="0" t="s">
        <v>755</v>
      </c>
      <c r="C6" s="0" t="s">
        <v>758</v>
      </c>
      <c r="D6" s="20" t="n">
        <f aca="false">E280</f>
        <v>115.54589886064</v>
      </c>
      <c r="E6" s="20" t="n">
        <f aca="false">F280</f>
        <v>118.534583155406</v>
      </c>
      <c r="F6" s="22" t="n">
        <f aca="false">E6/E$4-1</f>
        <v>0.124262850744847</v>
      </c>
      <c r="G6" s="38" t="n">
        <f aca="false">(tp_wA*MAX(0,E247*(1-MIN(tp_g/tp_roe,0.8))/(1+tp_r)^1+F247*(1-MIN(tp_g/tp_roe,0.8))/(1+tp_r)^2+G247*(1-MIN(tp_g/tp_roe,0.8))/(1+tp_r)^3+H247*(1-MIN(tp_g/tp_roe,0.8))/(1+tp_r)^4+I247*(1-MIN(tp_g/tp_roe,0.8))/(1+tp_r)^5+J247*(1-MIN(tp_g/tp_roe,0.8))/(1+tp_r)^6+J247*(1-MIN(tp_g/tp_roe,0.8))*(1+tp_g)/(tp_r-tp_g)/(1+tp_r)^6)+tp_wB*MAX(0,E280*(1-MIN(tp_g/tp_roe,0.8))/(1+tp_r)^1+F280*(1-MIN(tp_g/tp_roe,0.8))/(1+tp_r)^2+G280*(1-MIN(tp_g/tp_roe,0.8))/(1+tp_r)^3+H280*(1-MIN(tp_g/tp_roe,0.8))/(1+tp_r)^4+I280*(1-MIN(tp_g/tp_roe,0.8))/(1+tp_r)^5+J280*(1-MIN(tp_g/tp_roe,0.8))/(1+tp_r)^6+J280*(1-MIN(tp_g/tp_roe,0.8))*(1+tp_g)/(tp_r-tp_g)/(1+tp_r)^6)+tp_wC*MAX(0,E313*(1-MIN(tp_g/tp_roe,0.8))/(1+tp_r)^1+F313*(1-MIN(tp_g/tp_roe,0.8))/(1+tp_r)^2+G313*(1-MIN(tp_g/tp_roe,0.8))/(1+tp_r)^3+H313*(1-MIN(tp_g/tp_roe,0.8))/(1+tp_r)^4+I313*(1-MIN(tp_g/tp_roe,0.8))/(1+tp_r)^5+J313*(1-MIN(tp_g/tp_roe,0.8))/(1+tp_r)^6+J313*(1-MIN(tp_g/tp_roe,0.8))*(1+tp_g)/(tp_r-tp_g)/(1+tp_r)^6))*(1+tp_r)</f>
        <v>2236.84405674576</v>
      </c>
      <c r="H6" s="38" t="n">
        <f aca="false">Val!$B$33*(tp_wA*(2/12*E247+10/12*F247)+tp_wB*(2/12*E280+10/12*F280)+tp_wC*(2/12*E313+10/12*F313))*rm_factor</f>
        <v>3701.18018791224</v>
      </c>
      <c r="I6" s="38" t="n">
        <f aca="false">tp_w_dcf*G6+(1-tp_w_dcf)*H6</f>
        <v>2969.012122329</v>
      </c>
      <c r="J6" s="22" t="n">
        <f aca="false">I6/I$4-1</f>
        <v>0.124044414100901</v>
      </c>
    </row>
    <row r="7" customFormat="false" ht="17.15" hidden="false" customHeight="false" outlineLevel="0" collapsed="false">
      <c r="A7" s="0" t="s">
        <v>759</v>
      </c>
      <c r="B7" s="0" t="s">
        <v>84</v>
      </c>
      <c r="C7" s="4" t="s">
        <v>760</v>
      </c>
      <c r="D7" s="20" t="n">
        <f aca="false">E379</f>
        <v>103.633248281441</v>
      </c>
      <c r="E7" s="20" t="n">
        <f aca="false">F379</f>
        <v>107.757324531966</v>
      </c>
      <c r="F7" s="22" t="n">
        <f aca="false">E7/E$4-1</f>
        <v>0.0220439777319192</v>
      </c>
      <c r="G7" s="38" t="n">
        <f aca="false">(tp_wA*MAX(0,E346*(1-MIN(tp_g/tp_roe,0.8))/(1+tp_r)^1+F346*(1-MIN(tp_g/tp_roe,0.8))/(1+tp_r)^2+G346*(1-MIN(tp_g/tp_roe,0.8))/(1+tp_r)^3+H346*(1-MIN(tp_g/tp_roe,0.8))/(1+tp_r)^4+I346*(1-MIN(tp_g/tp_roe,0.8))/(1+tp_r)^5+J346*(1-MIN(tp_g/tp_roe,0.8))/(1+tp_r)^6+J346*(1-MIN(tp_g/tp_roe,0.8))*(1+tp_g)/(tp_r-tp_g)/(1+tp_r)^6)+tp_wB*MAX(0,E379*(1-MIN(tp_g/tp_roe,0.8))/(1+tp_r)^1+F379*(1-MIN(tp_g/tp_roe,0.8))/(1+tp_r)^2+G379*(1-MIN(tp_g/tp_roe,0.8))/(1+tp_r)^3+H379*(1-MIN(tp_g/tp_roe,0.8))/(1+tp_r)^4+I379*(1-MIN(tp_g/tp_roe,0.8))/(1+tp_r)^5+J379*(1-MIN(tp_g/tp_roe,0.8))/(1+tp_r)^6+J379*(1-MIN(tp_g/tp_roe,0.8))*(1+tp_g)/(tp_r-tp_g)/(1+tp_r)^6)+tp_wC*MAX(0,E412*(1-MIN(tp_g/tp_roe,0.8))/(1+tp_r)^1+F412*(1-MIN(tp_g/tp_roe,0.8))/(1+tp_r)^2+G412*(1-MIN(tp_g/tp_roe,0.8))/(1+tp_r)^3+H412*(1-MIN(tp_g/tp_roe,0.8))/(1+tp_r)^4+I412*(1-MIN(tp_g/tp_roe,0.8))/(1+tp_r)^5+J412*(1-MIN(tp_g/tp_roe,0.8))/(1+tp_r)^6+J412*(1-MIN(tp_g/tp_roe,0.8))*(1+tp_g)/(tp_r-tp_g)/(1+tp_r)^6))*(1+tp_r)</f>
        <v>2041.90118213761</v>
      </c>
      <c r="H7" s="38" t="n">
        <f aca="false">Val!$B$33*(tp_wA*(2/12*E346+10/12*F346)+tp_wB*(2/12*E379+10/12*F379)+tp_wC*(2/12*E412+10/12*F412))*rm_factor</f>
        <v>3356.03195794879</v>
      </c>
      <c r="I7" s="38" t="n">
        <f aca="false">tp_w_dcf*G7+(1-tp_w_dcf)*H7</f>
        <v>2698.9665700432</v>
      </c>
      <c r="J7" s="22" t="n">
        <f aca="false">I7/I$4-1</f>
        <v>0.0218073122996671</v>
      </c>
    </row>
    <row r="8" customFormat="false" ht="17.15" hidden="false" customHeight="false" outlineLevel="0" collapsed="false">
      <c r="A8" s="0" t="s">
        <v>761</v>
      </c>
      <c r="B8" s="0" t="s">
        <v>84</v>
      </c>
      <c r="D8" s="20" t="n">
        <f aca="false">E478</f>
        <v>100.977536906601</v>
      </c>
      <c r="E8" s="20" t="n">
        <f aca="false">F478</f>
        <v>103.135819541094</v>
      </c>
      <c r="F8" s="22" t="n">
        <f aca="false">E8/E$4-1</f>
        <v>-0.021789528384665</v>
      </c>
      <c r="G8" s="38" t="n">
        <f aca="false">(tp_wA*MAX(0,E445*(1-MIN(tp_g/tp_roe,0.8))/(1+tp_r)^1+F445*(1-MIN(tp_g/tp_roe,0.8))/(1+tp_r)^2+G445*(1-MIN(tp_g/tp_roe,0.8))/(1+tp_r)^3+H445*(1-MIN(tp_g/tp_roe,0.8))/(1+tp_r)^4+I445*(1-MIN(tp_g/tp_roe,0.8))/(1+tp_r)^5+J445*(1-MIN(tp_g/tp_roe,0.8))/(1+tp_r)^6+J445*(1-MIN(tp_g/tp_roe,0.8))*(1+tp_g)/(tp_r-tp_g)/(1+tp_r)^6)+tp_wB*MAX(0,E478*(1-MIN(tp_g/tp_roe,0.8))/(1+tp_r)^1+F478*(1-MIN(tp_g/tp_roe,0.8))/(1+tp_r)^2+G478*(1-MIN(tp_g/tp_roe,0.8))/(1+tp_r)^3+H478*(1-MIN(tp_g/tp_roe,0.8))/(1+tp_r)^4+I478*(1-MIN(tp_g/tp_roe,0.8))/(1+tp_r)^5+J478*(1-MIN(tp_g/tp_roe,0.8))/(1+tp_r)^6+J478*(1-MIN(tp_g/tp_roe,0.8))*(1+tp_g)/(tp_r-tp_g)/(1+tp_r)^6)+tp_wC*MAX(0,E511*(1-MIN(tp_g/tp_roe,0.8))/(1+tp_r)^1+F511*(1-MIN(tp_g/tp_roe,0.8))/(1+tp_r)^2+G511*(1-MIN(tp_g/tp_roe,0.8))/(1+tp_r)^3+H511*(1-MIN(tp_g/tp_roe,0.8))/(1+tp_r)^4+I511*(1-MIN(tp_g/tp_roe,0.8))/(1+tp_r)^5+J511*(1-MIN(tp_g/tp_roe,0.8))/(1+tp_r)^6+J511*(1-MIN(tp_g/tp_roe,0.8))*(1+tp_g)/(tp_r-tp_g)/(1+tp_r)^6))*(1+tp_r)</f>
        <v>1948.24444207331</v>
      </c>
      <c r="H8" s="38" t="n">
        <f aca="false">Val!$B$33*(tp_wA*(2/12*E445+10/12*F445)+tp_wB*(2/12*E478+10/12*F478)+tp_wC*(2/12*E511+10/12*F511))*rm_factor</f>
        <v>3220.60831343254</v>
      </c>
      <c r="I8" s="38" t="n">
        <f aca="false">tp_w_dcf*G8+(1-tp_w_dcf)*H8</f>
        <v>2584.42637775292</v>
      </c>
      <c r="J8" s="22" t="n">
        <f aca="false">I8/I$4-1</f>
        <v>-0.0215566949961116</v>
      </c>
    </row>
    <row r="9" customFormat="false" ht="17.15" hidden="false" customHeight="false" outlineLevel="0" collapsed="false">
      <c r="A9" s="0" t="s">
        <v>762</v>
      </c>
      <c r="B9" s="0" t="s">
        <v>155</v>
      </c>
      <c r="C9" s="0" t="s">
        <v>763</v>
      </c>
      <c r="D9" s="20" t="n">
        <f aca="false">E577</f>
        <v>95.7682010742155</v>
      </c>
      <c r="E9" s="20" t="n">
        <f aca="false">F577</f>
        <v>99.8255138993764</v>
      </c>
      <c r="F9" s="22" t="n">
        <f aca="false">E9/E$4-1</f>
        <v>-0.0531867253758181</v>
      </c>
      <c r="G9" s="38" t="n">
        <f aca="false">(tp_wA*MAX(0,E544*(1-MIN(tp_g/tp_roe,0.8))/(1+tp_r)^1+F544*(1-MIN(tp_g/tp_roe,0.8))/(1+tp_r)^2+G544*(1-MIN(tp_g/tp_roe,0.8))/(1+tp_r)^3+H544*(1-MIN(tp_g/tp_roe,0.8))/(1+tp_r)^4+I544*(1-MIN(tp_g/tp_roe,0.8))/(1+tp_r)^5+J544*(1-MIN(tp_g/tp_roe,0.8))/(1+tp_r)^6+J544*(1-MIN(tp_g/tp_roe,0.8))*(1+tp_g)/(tp_r-tp_g)/(1+tp_r)^6)+tp_wB*MAX(0,E577*(1-MIN(tp_g/tp_roe,0.8))/(1+tp_r)^1+F577*(1-MIN(tp_g/tp_roe,0.8))/(1+tp_r)^2+G577*(1-MIN(tp_g/tp_roe,0.8))/(1+tp_r)^3+H577*(1-MIN(tp_g/tp_roe,0.8))/(1+tp_r)^4+I577*(1-MIN(tp_g/tp_roe,0.8))/(1+tp_r)^5+J577*(1-MIN(tp_g/tp_roe,0.8))/(1+tp_r)^6+J577*(1-MIN(tp_g/tp_roe,0.8))*(1+tp_g)/(tp_r-tp_g)/(1+tp_r)^6)+tp_wC*MAX(0,E610*(1-MIN(tp_g/tp_roe,0.8))/(1+tp_r)^1+F610*(1-MIN(tp_g/tp_roe,0.8))/(1+tp_r)^2+G610*(1-MIN(tp_g/tp_roe,0.8))/(1+tp_r)^3+H610*(1-MIN(tp_g/tp_roe,0.8))/(1+tp_r)^4+I610*(1-MIN(tp_g/tp_roe,0.8))/(1+tp_r)^5+J610*(1-MIN(tp_g/tp_roe,0.8))/(1+tp_r)^6+J610*(1-MIN(tp_g/tp_roe,0.8))*(1+tp_g)/(tp_r-tp_g)/(1+tp_r)^6))*(1+tp_r)</f>
        <v>1834.3506369578</v>
      </c>
      <c r="H9" s="38" t="n">
        <f aca="false">Val!$B$33*(tp_wA*(2/12*E544+10/12*F544)+tp_wB*(2/12*E577+10/12*F577)+tp_wC*(2/12*E610+10/12*F610))*rm_factor</f>
        <v>3093.85422039157</v>
      </c>
      <c r="I9" s="38" t="n">
        <f aca="false">tp_w_dcf*G9+(1-tp_w_dcf)*H9</f>
        <v>2464.10242867468</v>
      </c>
      <c r="J9" s="22" t="n">
        <f aca="false">I9/I$4-1</f>
        <v>-0.067110386685946</v>
      </c>
    </row>
    <row r="10" customFormat="false" ht="17.15" hidden="false" customHeight="false" outlineLevel="0" collapsed="false">
      <c r="A10" s="0" t="s">
        <v>764</v>
      </c>
      <c r="B10" s="0" t="s">
        <v>155</v>
      </c>
      <c r="D10" s="20" t="n">
        <f aca="false">E676</f>
        <v>106.651522862882</v>
      </c>
      <c r="E10" s="20" t="n">
        <f aca="false">F676</f>
        <v>109.165764063558</v>
      </c>
      <c r="F10" s="22" t="n">
        <f aca="false">E10/E$4-1</f>
        <v>0.0354025790846875</v>
      </c>
      <c r="G10" s="38" t="n">
        <f aca="false">(tp_wA*MAX(0,E643*(1-MIN(tp_g/tp_roe,0.8))/(1+tp_r)^1+F643*(1-MIN(tp_g/tp_roe,0.8))/(1+tp_r)^2+G643*(1-MIN(tp_g/tp_roe,0.8))/(1+tp_r)^3+H643*(1-MIN(tp_g/tp_roe,0.8))/(1+tp_r)^4+I643*(1-MIN(tp_g/tp_roe,0.8))/(1+tp_r)^5+J643*(1-MIN(tp_g/tp_roe,0.8))/(1+tp_r)^6+J643*(1-MIN(tp_g/tp_roe,0.8))*(1+tp_g)/(tp_r-tp_g)/(1+tp_r)^6)+tp_wB*MAX(0,E676*(1-MIN(tp_g/tp_roe,0.8))/(1+tp_r)^1+F676*(1-MIN(tp_g/tp_roe,0.8))/(1+tp_r)^2+G676*(1-MIN(tp_g/tp_roe,0.8))/(1+tp_r)^3+H676*(1-MIN(tp_g/tp_roe,0.8))/(1+tp_r)^4+I676*(1-MIN(tp_g/tp_roe,0.8))/(1+tp_r)^5+J676*(1-MIN(tp_g/tp_roe,0.8))/(1+tp_r)^6+J676*(1-MIN(tp_g/tp_roe,0.8))*(1+tp_g)/(tp_r-tp_g)/(1+tp_r)^6)+tp_wC*MAX(0,E709*(1-MIN(tp_g/tp_roe,0.8))/(1+tp_r)^1+F709*(1-MIN(tp_g/tp_roe,0.8))/(1+tp_r)^2+G709*(1-MIN(tp_g/tp_roe,0.8))/(1+tp_r)^3+H709*(1-MIN(tp_g/tp_roe,0.8))/(1+tp_r)^4+I709*(1-MIN(tp_g/tp_roe,0.8))/(1+tp_r)^5+J709*(1-MIN(tp_g/tp_roe,0.8))/(1+tp_r)^6+J709*(1-MIN(tp_g/tp_roe,0.8))*(1+tp_g)/(tp_r-tp_g)/(1+tp_r)^6))*(1+tp_r)</f>
        <v>2102.34697196908</v>
      </c>
      <c r="H10" s="38" t="n">
        <f aca="false">Val!$B$33*(tp_wA*(2/12*E643+10/12*F643)+tp_wB*(2/12*E676+10/12*F676)+tp_wC*(2/12*E709+10/12*F709))*rm_factor</f>
        <v>3417.23357505733</v>
      </c>
      <c r="I10" s="38" t="n">
        <f aca="false">tp_w_dcf*G10+(1-tp_w_dcf)*H10</f>
        <v>2759.7902735132</v>
      </c>
      <c r="J10" s="22" t="n">
        <f aca="false">I10/I$4-1</f>
        <v>0.0448346834633646</v>
      </c>
    </row>
    <row r="11" customFormat="false" ht="17.15" hidden="false" customHeight="false" outlineLevel="0" collapsed="false">
      <c r="A11" s="4" t="s">
        <v>765</v>
      </c>
      <c r="B11" s="0" t="s">
        <v>179</v>
      </c>
      <c r="C11" s="4" t="s">
        <v>766</v>
      </c>
      <c r="D11" s="20" t="n">
        <f aca="false">E775</f>
        <v>99.1439787395045</v>
      </c>
      <c r="E11" s="20" t="n">
        <f aca="false">F775</f>
        <v>99.2426626373359</v>
      </c>
      <c r="F11" s="22" t="n">
        <f aca="false">E11/E$4-1</f>
        <v>-0.058714884365189</v>
      </c>
      <c r="G11" s="38" t="n">
        <f aca="false">(tp_wA*MAX(0,E742*(1-MIN(tp_g/tp_roe,0.8))/(1+tp_r)^1+F742*(1-MIN(tp_g/tp_roe,0.8))/(1+tp_r)^2+G742*(1-MIN(tp_g/tp_roe,0.8))/(1+tp_r)^3+H742*(1-MIN(tp_g/tp_roe,0.8))/(1+tp_r)^4+I742*(1-MIN(tp_g/tp_roe,0.8))/(1+tp_r)^5+J742*(1-MIN(tp_g/tp_roe,0.8))/(1+tp_r)^6+J742*(1-MIN(tp_g/tp_roe,0.8))*(1+tp_g)/(tp_r-tp_g)/(1+tp_r)^6)+tp_wB*MAX(0,E775*(1-MIN(tp_g/tp_roe,0.8))/(1+tp_r)^1+F775*(1-MIN(tp_g/tp_roe,0.8))/(1+tp_r)^2+G775*(1-MIN(tp_g/tp_roe,0.8))/(1+tp_r)^3+H775*(1-MIN(tp_g/tp_roe,0.8))/(1+tp_r)^4+I775*(1-MIN(tp_g/tp_roe,0.8))/(1+tp_r)^5+J775*(1-MIN(tp_g/tp_roe,0.8))/(1+tp_r)^6+J775*(1-MIN(tp_g/tp_roe,0.8))*(1+tp_g)/(tp_r-tp_g)/(1+tp_r)^6)+tp_wC*MAX(0,E808*(1-MIN(tp_g/tp_roe,0.8))/(1+tp_r)^1+F808*(1-MIN(tp_g/tp_roe,0.8))/(1+tp_r)^2+G808*(1-MIN(tp_g/tp_roe,0.8))/(1+tp_r)^3+H808*(1-MIN(tp_g/tp_roe,0.8))/(1+tp_r)^4+I808*(1-MIN(tp_g/tp_roe,0.8))/(1+tp_r)^5+J808*(1-MIN(tp_g/tp_roe,0.8))/(1+tp_r)^6+J808*(1-MIN(tp_g/tp_roe,0.8))*(1+tp_g)/(tp_r-tp_g)/(1+tp_r)^6))*(1+tp_r)</f>
        <v>1796.80431152798</v>
      </c>
      <c r="H11" s="38" t="n">
        <f aca="false">Val!$B$33*(tp_wA*(2/12*E742+10/12*F742)+tp_wB*(2/12*E775+10/12*F775)+tp_wC*(2/12*E808+10/12*F808))*rm_factor</f>
        <v>3108.59506294793</v>
      </c>
      <c r="I11" s="38" t="n">
        <f aca="false">tp_w_dcf*G11+(1-tp_w_dcf)*H11</f>
        <v>2452.69968723796</v>
      </c>
      <c r="J11" s="22" t="n">
        <f aca="false">I11/I$4-1</f>
        <v>-0.071427374050529</v>
      </c>
    </row>
    <row r="12" customFormat="false" ht="17.15" hidden="false" customHeight="false" outlineLevel="0" collapsed="false">
      <c r="A12" s="4" t="s">
        <v>767</v>
      </c>
      <c r="B12" s="0" t="s">
        <v>179</v>
      </c>
      <c r="D12" s="20" t="n">
        <f aca="false">E874</f>
        <v>105.452409555326</v>
      </c>
      <c r="E12" s="20" t="n">
        <f aca="false">F874</f>
        <v>111.945180275893</v>
      </c>
      <c r="F12" s="22" t="n">
        <f aca="false">E12/E$4-1</f>
        <v>0.0617644585556671</v>
      </c>
      <c r="G12" s="38" t="n">
        <f aca="false">(tp_wA*MAX(0,E841*(1-MIN(tp_g/tp_roe,0.8))/(1+tp_r)^1+F841*(1-MIN(tp_g/tp_roe,0.8))/(1+tp_r)^2+G841*(1-MIN(tp_g/tp_roe,0.8))/(1+tp_r)^3+H841*(1-MIN(tp_g/tp_roe,0.8))/(1+tp_r)^4+I841*(1-MIN(tp_g/tp_roe,0.8))/(1+tp_r)^5+J841*(1-MIN(tp_g/tp_roe,0.8))/(1+tp_r)^6+J841*(1-MIN(tp_g/tp_roe,0.8))*(1+tp_g)/(tp_r-tp_g)/(1+tp_r)^6)+tp_wB*MAX(0,E874*(1-MIN(tp_g/tp_roe,0.8))/(1+tp_r)^1+F874*(1-MIN(tp_g/tp_roe,0.8))/(1+tp_r)^2+G874*(1-MIN(tp_g/tp_roe,0.8))/(1+tp_r)^3+H874*(1-MIN(tp_g/tp_roe,0.8))/(1+tp_r)^4+I874*(1-MIN(tp_g/tp_roe,0.8))/(1+tp_r)^5+J874*(1-MIN(tp_g/tp_roe,0.8))/(1+tp_r)^6+J874*(1-MIN(tp_g/tp_roe,0.8))*(1+tp_g)/(tp_r-tp_g)/(1+tp_r)^6)+tp_wC*MAX(0,E907*(1-MIN(tp_g/tp_roe,0.8))/(1+tp_r)^1+F907*(1-MIN(tp_g/tp_roe,0.8))/(1+tp_r)^2+G907*(1-MIN(tp_g/tp_roe,0.8))/(1+tp_r)^3+H907*(1-MIN(tp_g/tp_roe,0.8))/(1+tp_r)^4+I907*(1-MIN(tp_g/tp_roe,0.8))/(1+tp_r)^5+J907*(1-MIN(tp_g/tp_roe,0.8))/(1+tp_r)^6+J907*(1-MIN(tp_g/tp_roe,0.8))*(1+tp_g)/(tp_r-tp_g)/(1+tp_r)^6))*(1+tp_r)</f>
        <v>2220.94783543542</v>
      </c>
      <c r="H12" s="38" t="n">
        <f aca="false">Val!$B$33*(tp_wA*(2/12*E841+10/12*F841)+tp_wB*(2/12*E874+10/12*F874)+tp_wC*(2/12*E907+10/12*F907))*rm_factor</f>
        <v>3475.73631746823</v>
      </c>
      <c r="I12" s="38" t="n">
        <f aca="false">tp_w_dcf*G12+(1-tp_w_dcf)*H12</f>
        <v>2848.34207645183</v>
      </c>
      <c r="J12" s="22" t="n">
        <f aca="false">I12/I$4-1</f>
        <v>0.0783596929111683</v>
      </c>
    </row>
    <row r="13" customFormat="false" ht="17.15" hidden="false" customHeight="false" outlineLevel="0" collapsed="false">
      <c r="A13" s="4" t="s">
        <v>768</v>
      </c>
      <c r="B13" s="0" t="s">
        <v>88</v>
      </c>
      <c r="C13" s="0" t="s">
        <v>769</v>
      </c>
      <c r="D13" s="20" t="n">
        <f aca="false">E973</f>
        <v>101.298354863345</v>
      </c>
      <c r="E13" s="20" t="n">
        <f aca="false">F973</f>
        <v>103.291197729485</v>
      </c>
      <c r="F13" s="22" t="n">
        <f aca="false">E13/E$4-1</f>
        <v>-0.02031581564722</v>
      </c>
      <c r="G13" s="38" t="n">
        <f aca="false">(tp_wA*MAX(0,E940*(1-MIN(tp_g/tp_roe,0.8))/(1+tp_r)^1+F940*(1-MIN(tp_g/tp_roe,0.8))/(1+tp_r)^2+G940*(1-MIN(tp_g/tp_roe,0.8))/(1+tp_r)^3+H940*(1-MIN(tp_g/tp_roe,0.8))/(1+tp_r)^4+I940*(1-MIN(tp_g/tp_roe,0.8))/(1+tp_r)^5+J940*(1-MIN(tp_g/tp_roe,0.8))/(1+tp_r)^6+J940*(1-MIN(tp_g/tp_roe,0.8))*(1+tp_g)/(tp_r-tp_g)/(1+tp_r)^6)+tp_wB*MAX(0,E973*(1-MIN(tp_g/tp_roe,0.8))/(1+tp_r)^1+F973*(1-MIN(tp_g/tp_roe,0.8))/(1+tp_r)^2+G973*(1-MIN(tp_g/tp_roe,0.8))/(1+tp_r)^3+H973*(1-MIN(tp_g/tp_roe,0.8))/(1+tp_r)^4+I973*(1-MIN(tp_g/tp_roe,0.8))/(1+tp_r)^5+J973*(1-MIN(tp_g/tp_roe,0.8))/(1+tp_r)^6+J973*(1-MIN(tp_g/tp_roe,0.8))*(1+tp_g)/(tp_r-tp_g)/(1+tp_r)^6)+tp_wC*MAX(0,E1006*(1-MIN(tp_g/tp_roe,0.8))/(1+tp_r)^1+F1006*(1-MIN(tp_g/tp_roe,0.8))/(1+tp_r)^2+G1006*(1-MIN(tp_g/tp_roe,0.8))/(1+tp_r)^3+H1006*(1-MIN(tp_g/tp_roe,0.8))/(1+tp_r)^4+I1006*(1-MIN(tp_g/tp_roe,0.8))/(1+tp_r)^5+J1006*(1-MIN(tp_g/tp_roe,0.8))/(1+tp_r)^6+J1006*(1-MIN(tp_g/tp_roe,0.8))*(1+tp_g)/(tp_r-tp_g)/(1+tp_r)^6))*(1+tp_r)</f>
        <v>1942.76841163118</v>
      </c>
      <c r="H13" s="38" t="n">
        <f aca="false">Val!$B$33*(tp_wA*(2/12*E940+10/12*F940)+tp_wB*(2/12*E973+10/12*F973)+tp_wC*(2/12*E1006+10/12*F1006))*rm_factor</f>
        <v>3228.85568991023</v>
      </c>
      <c r="I13" s="38" t="n">
        <f aca="false">tp_w_dcf*G13+(1-tp_w_dcf)*H13</f>
        <v>2585.8120507707</v>
      </c>
      <c r="J13" s="22" t="n">
        <f aca="false">I13/I$4-1</f>
        <v>-0.021032090194503</v>
      </c>
    </row>
    <row r="14" customFormat="false" ht="17.15" hidden="false" customHeight="false" outlineLevel="0" collapsed="false">
      <c r="A14" s="4" t="s">
        <v>770</v>
      </c>
      <c r="B14" s="0" t="s">
        <v>88</v>
      </c>
      <c r="C14" s="0" t="s">
        <v>771</v>
      </c>
      <c r="D14" s="20" t="n">
        <f aca="false">E1072</f>
        <v>103.298033431486</v>
      </c>
      <c r="E14" s="20" t="n">
        <f aca="false">F1072</f>
        <v>107.659712083705</v>
      </c>
      <c r="F14" s="22" t="n">
        <f aca="false">E14/E$4-1</f>
        <v>0.0211181546815531</v>
      </c>
      <c r="G14" s="38" t="n">
        <f aca="false">(tp_wA*MAX(0,E1039*(1-MIN(tp_g/tp_roe,0.8))/(1+tp_r)^1+F1039*(1-MIN(tp_g/tp_roe,0.8))/(1+tp_r)^2+G1039*(1-MIN(tp_g/tp_roe,0.8))/(1+tp_r)^3+H1039*(1-MIN(tp_g/tp_roe,0.8))/(1+tp_r)^4+I1039*(1-MIN(tp_g/tp_roe,0.8))/(1+tp_r)^5+J1039*(1-MIN(tp_g/tp_roe,0.8))/(1+tp_r)^6+J1039*(1-MIN(tp_g/tp_roe,0.8))*(1+tp_g)/(tp_r-tp_g)/(1+tp_r)^6)+tp_wB*MAX(0,E1072*(1-MIN(tp_g/tp_roe,0.8))/(1+tp_r)^1+F1072*(1-MIN(tp_g/tp_roe,0.8))/(1+tp_r)^2+G1072*(1-MIN(tp_g/tp_roe,0.8))/(1+tp_r)^3+H1072*(1-MIN(tp_g/tp_roe,0.8))/(1+tp_r)^4+I1072*(1-MIN(tp_g/tp_roe,0.8))/(1+tp_r)^5+J1072*(1-MIN(tp_g/tp_roe,0.8))/(1+tp_r)^6+J1072*(1-MIN(tp_g/tp_roe,0.8))*(1+tp_g)/(tp_r-tp_g)/(1+tp_r)^6)+tp_wC*MAX(0,E1105*(1-MIN(tp_g/tp_roe,0.8))/(1+tp_r)^1+F1105*(1-MIN(tp_g/tp_roe,0.8))/(1+tp_r)^2+G1105*(1-MIN(tp_g/tp_roe,0.8))/(1+tp_r)^3+H1105*(1-MIN(tp_g/tp_roe,0.8))/(1+tp_r)^4+I1105*(1-MIN(tp_g/tp_roe,0.8))/(1+tp_r)^5+J1105*(1-MIN(tp_g/tp_roe,0.8))/(1+tp_r)^6+J1105*(1-MIN(tp_g/tp_roe,0.8))*(1+tp_g)/(tp_r-tp_g)/(1+tp_r)^6))*(1+tp_r)</f>
        <v>2052.0654440033</v>
      </c>
      <c r="H14" s="38" t="n">
        <f aca="false">Val!$B$33*(tp_wA*(2/12*E1039+10/12*F1039)+tp_wB*(2/12*E1072+10/12*F1072)+tp_wC*(2/12*E1105+10/12*F1105))*rm_factor</f>
        <v>3349.13603140877</v>
      </c>
      <c r="I14" s="38" t="n">
        <f aca="false">tp_w_dcf*G14+(1-tp_w_dcf)*H14</f>
        <v>2700.60073770603</v>
      </c>
      <c r="J14" s="22" t="n">
        <f aca="false">I14/I$4-1</f>
        <v>0.0224259952007222</v>
      </c>
    </row>
    <row r="15" customFormat="false" ht="17.15" hidden="false" customHeight="false" outlineLevel="0" collapsed="false">
      <c r="A15" s="4" t="s">
        <v>772</v>
      </c>
      <c r="B15" s="0" t="s">
        <v>183</v>
      </c>
      <c r="C15" s="4" t="s">
        <v>773</v>
      </c>
      <c r="D15" s="20" t="n">
        <f aca="false">E1171</f>
        <v>101.548314684362</v>
      </c>
      <c r="E15" s="20" t="n">
        <f aca="false">F1171</f>
        <v>103.818764701823</v>
      </c>
      <c r="F15" s="22" t="n">
        <f aca="false">E15/E$4-1</f>
        <v>-0.0153120105762421</v>
      </c>
      <c r="G15" s="38" t="n">
        <f aca="false">(tp_wA*MAX(0,E1138*(1-MIN(tp_g/tp_roe,0.8))/(1+tp_r)^1+F1138*(1-MIN(tp_g/tp_roe,0.8))/(1+tp_r)^2+G1138*(1-MIN(tp_g/tp_roe,0.8))/(1+tp_r)^3+H1138*(1-MIN(tp_g/tp_roe,0.8))/(1+tp_r)^4+I1138*(1-MIN(tp_g/tp_roe,0.8))/(1+tp_r)^5+J1138*(1-MIN(tp_g/tp_roe,0.8))/(1+tp_r)^6+J1138*(1-MIN(tp_g/tp_roe,0.8))*(1+tp_g)/(tp_r-tp_g)/(1+tp_r)^6)+tp_wB*MAX(0,E1171*(1-MIN(tp_g/tp_roe,0.8))/(1+tp_r)^1+F1171*(1-MIN(tp_g/tp_roe,0.8))/(1+tp_r)^2+G1171*(1-MIN(tp_g/tp_roe,0.8))/(1+tp_r)^3+H1171*(1-MIN(tp_g/tp_roe,0.8))/(1+tp_r)^4+I1171*(1-MIN(tp_g/tp_roe,0.8))/(1+tp_r)^5+J1171*(1-MIN(tp_g/tp_roe,0.8))/(1+tp_r)^6+J1171*(1-MIN(tp_g/tp_roe,0.8))*(1+tp_g)/(tp_r-tp_g)/(1+tp_r)^6)+tp_wC*MAX(0,E1204*(1-MIN(tp_g/tp_roe,0.8))/(1+tp_r)^1+F1204*(1-MIN(tp_g/tp_roe,0.8))/(1+tp_r)^2+G1204*(1-MIN(tp_g/tp_roe,0.8))/(1+tp_r)^3+H1204*(1-MIN(tp_g/tp_roe,0.8))/(1+tp_r)^4+I1204*(1-MIN(tp_g/tp_roe,0.8))/(1+tp_r)^5+J1204*(1-MIN(tp_g/tp_roe,0.8))/(1+tp_r)^6+J1204*(1-MIN(tp_g/tp_roe,0.8))*(1+tp_g)/(tp_r-tp_g)/(1+tp_r)^6))*(1+tp_r)</f>
        <v>1955.30283278681</v>
      </c>
      <c r="H15" s="38" t="n">
        <f aca="false">Val!$B$33*(tp_wA*(2/12*E1138+10/12*F1138)+tp_wB*(2/12*E1171+10/12*F1171)+tp_wC*(2/12*E1204+10/12*F1204))*rm_factor</f>
        <v>3243.42451643771</v>
      </c>
      <c r="I15" s="38" t="n">
        <f aca="false">tp_w_dcf*G15+(1-tp_w_dcf)*H15</f>
        <v>2599.36367461226</v>
      </c>
      <c r="J15" s="22" t="n">
        <f aca="false">I15/I$4-1</f>
        <v>-0.0159015530146313</v>
      </c>
    </row>
    <row r="16" customFormat="false" ht="17.15" hidden="false" customHeight="false" outlineLevel="0" collapsed="false">
      <c r="A16" s="4" t="s">
        <v>774</v>
      </c>
      <c r="B16" s="0" t="s">
        <v>183</v>
      </c>
      <c r="D16" s="20" t="n">
        <f aca="false">E1270</f>
        <v>103.048073610468</v>
      </c>
      <c r="E16" s="20" t="n">
        <f aca="false">F1270</f>
        <v>107.095135705665</v>
      </c>
      <c r="F16" s="22" t="n">
        <f aca="false">E16/E$4-1</f>
        <v>0.0157633271591471</v>
      </c>
      <c r="G16" s="38" t="n">
        <f aca="false">(tp_wA*MAX(0,E1237*(1-MIN(tp_g/tp_roe,0.8))/(1+tp_r)^1+F1237*(1-MIN(tp_g/tp_roe,0.8))/(1+tp_r)^2+G1237*(1-MIN(tp_g/tp_roe,0.8))/(1+tp_r)^3+H1237*(1-MIN(tp_g/tp_roe,0.8))/(1+tp_r)^4+I1237*(1-MIN(tp_g/tp_roe,0.8))/(1+tp_r)^5+J1237*(1-MIN(tp_g/tp_roe,0.8))/(1+tp_r)^6+J1237*(1-MIN(tp_g/tp_roe,0.8))*(1+tp_g)/(tp_r-tp_g)/(1+tp_r)^6)+tp_wB*MAX(0,E1270*(1-MIN(tp_g/tp_roe,0.8))/(1+tp_r)^1+F1270*(1-MIN(tp_g/tp_roe,0.8))/(1+tp_r)^2+G1270*(1-MIN(tp_g/tp_roe,0.8))/(1+tp_r)^3+H1270*(1-MIN(tp_g/tp_roe,0.8))/(1+tp_r)^4+I1270*(1-MIN(tp_g/tp_roe,0.8))/(1+tp_r)^5+J1270*(1-MIN(tp_g/tp_roe,0.8))/(1+tp_r)^6+J1270*(1-MIN(tp_g/tp_roe,0.8))*(1+tp_g)/(tp_r-tp_g)/(1+tp_r)^6)+tp_wC*MAX(0,E1303*(1-MIN(tp_g/tp_roe,0.8))/(1+tp_r)^1+F1303*(1-MIN(tp_g/tp_roe,0.8))/(1+tp_r)^2+G1303*(1-MIN(tp_g/tp_roe,0.8))/(1+tp_r)^3+H1303*(1-MIN(tp_g/tp_roe,0.8))/(1+tp_r)^4+I1303*(1-MIN(tp_g/tp_roe,0.8))/(1+tp_r)^5+J1303*(1-MIN(tp_g/tp_roe,0.8))/(1+tp_r)^6+J1303*(1-MIN(tp_g/tp_roe,0.8))*(1+tp_g)/(tp_r-tp_g)/(1+tp_r)^6))*(1+tp_r)</f>
        <v>2037.24190235615</v>
      </c>
      <c r="H16" s="38" t="n">
        <f aca="false">Val!$B$33*(tp_wA*(2/12*E1237+10/12*F1237)+tp_wB*(2/12*E1270+10/12*F1270)+tp_wC*(2/12*E1303+10/12*F1303))*rm_factor</f>
        <v>3333.63439913288</v>
      </c>
      <c r="I16" s="38" t="n">
        <f aca="false">tp_w_dcf*G16+(1-tp_w_dcf)*H16</f>
        <v>2685.43815074451</v>
      </c>
      <c r="J16" s="22" t="n">
        <f aca="false">I16/I$4-1</f>
        <v>0.0166855601754696</v>
      </c>
    </row>
    <row r="17" customFormat="false" ht="17.15" hidden="false" customHeight="false" outlineLevel="0" collapsed="false">
      <c r="A17" s="0" t="s">
        <v>775</v>
      </c>
      <c r="B17" s="0" t="s">
        <v>187</v>
      </c>
      <c r="C17" s="0" t="s">
        <v>776</v>
      </c>
      <c r="D17" s="20" t="n">
        <f aca="false">E1369</f>
        <v>101.288451356252</v>
      </c>
      <c r="E17" s="20" t="n">
        <f aca="false">F1369</f>
        <v>103.279939366225</v>
      </c>
      <c r="F17" s="22" t="n">
        <f aca="false">E17/E$4-1</f>
        <v>-0.0204225976448179</v>
      </c>
      <c r="G17" s="38" t="n">
        <f aca="false">(tp_wA*MAX(0,E1336*(1-MIN(tp_g/tp_roe,0.8))/(1+tp_r)^1+F1336*(1-MIN(tp_g/tp_roe,0.8))/(1+tp_r)^2+G1336*(1-MIN(tp_g/tp_roe,0.8))/(1+tp_r)^3+H1336*(1-MIN(tp_g/tp_roe,0.8))/(1+tp_r)^4+I1336*(1-MIN(tp_g/tp_roe,0.8))/(1+tp_r)^5+J1336*(1-MIN(tp_g/tp_roe,0.8))/(1+tp_r)^6+J1336*(1-MIN(tp_g/tp_roe,0.8))*(1+tp_g)/(tp_r-tp_g)/(1+tp_r)^6)+tp_wB*MAX(0,E1369*(1-MIN(tp_g/tp_roe,0.8))/(1+tp_r)^1+F1369*(1-MIN(tp_g/tp_roe,0.8))/(1+tp_r)^2+G1369*(1-MIN(tp_g/tp_roe,0.8))/(1+tp_r)^3+H1369*(1-MIN(tp_g/tp_roe,0.8))/(1+tp_r)^4+I1369*(1-MIN(tp_g/tp_roe,0.8))/(1+tp_r)^5+J1369*(1-MIN(tp_g/tp_roe,0.8))/(1+tp_r)^6+J1369*(1-MIN(tp_g/tp_roe,0.8))*(1+tp_g)/(tp_r-tp_g)/(1+tp_r)^6)+tp_wC*MAX(0,E1402*(1-MIN(tp_g/tp_roe,0.8))/(1+tp_r)^1+F1402*(1-MIN(tp_g/tp_roe,0.8))/(1+tp_r)^2+G1402*(1-MIN(tp_g/tp_roe,0.8))/(1+tp_r)^3+H1402*(1-MIN(tp_g/tp_roe,0.8))/(1+tp_r)^4+I1402*(1-MIN(tp_g/tp_roe,0.8))/(1+tp_r)^5+J1402*(1-MIN(tp_g/tp_roe,0.8))/(1+tp_r)^6+J1402*(1-MIN(tp_g/tp_roe,0.8))*(1+tp_g)/(tp_r-tp_g)/(1+tp_r)^6))*(1+tp_r)</f>
        <v>1911.91293168184</v>
      </c>
      <c r="H17" s="38" t="n">
        <f aca="false">Val!$B$33*(tp_wA*(2/12*E1336+10/12*F1336)+tp_wB*(2/12*E1369+10/12*F1369)+tp_wC*(2/12*E1402+10/12*F1402))*rm_factor</f>
        <v>3210.62371361507</v>
      </c>
      <c r="I17" s="38" t="n">
        <f aca="false">tp_w_dcf*G17+(1-tp_w_dcf)*H17</f>
        <v>2561.26832264846</v>
      </c>
      <c r="J17" s="22" t="n">
        <f aca="false">I17/I$4-1</f>
        <v>-0.0303241507723437</v>
      </c>
    </row>
    <row r="18" customFormat="false" ht="17.15" hidden="false" customHeight="false" outlineLevel="0" collapsed="false">
      <c r="A18" s="0" t="s">
        <v>777</v>
      </c>
      <c r="B18" s="0" t="s">
        <v>187</v>
      </c>
      <c r="D18" s="20" t="n">
        <f aca="false">E1468</f>
        <v>103.452185908744</v>
      </c>
      <c r="E18" s="20" t="n">
        <f aca="false">F1468</f>
        <v>107.89592723146</v>
      </c>
      <c r="F18" s="22" t="n">
        <f aca="false">E18/E$4-1</f>
        <v>0.0233585802884515</v>
      </c>
      <c r="G18" s="38" t="n">
        <f aca="false">(tp_wA*MAX(0,E1435*(1-MIN(tp_g/tp_roe,0.8))/(1+tp_r)^1+F1435*(1-MIN(tp_g/tp_roe,0.8))/(1+tp_r)^2+G1435*(1-MIN(tp_g/tp_roe,0.8))/(1+tp_r)^3+H1435*(1-MIN(tp_g/tp_roe,0.8))/(1+tp_r)^4+I1435*(1-MIN(tp_g/tp_roe,0.8))/(1+tp_r)^5+J1435*(1-MIN(tp_g/tp_roe,0.8))/(1+tp_r)^6+J1435*(1-MIN(tp_g/tp_roe,0.8))*(1+tp_g)/(tp_r-tp_g)/(1+tp_r)^6)+tp_wB*MAX(0,E1468*(1-MIN(tp_g/tp_roe,0.8))/(1+tp_r)^1+F1468*(1-MIN(tp_g/tp_roe,0.8))/(1+tp_r)^2+G1468*(1-MIN(tp_g/tp_roe,0.8))/(1+tp_r)^3+H1468*(1-MIN(tp_g/tp_roe,0.8))/(1+tp_r)^4+I1468*(1-MIN(tp_g/tp_roe,0.8))/(1+tp_r)^5+J1468*(1-MIN(tp_g/tp_roe,0.8))/(1+tp_r)^6+J1468*(1-MIN(tp_g/tp_roe,0.8))*(1+tp_g)/(tp_r-tp_g)/(1+tp_r)^6)+tp_wC*MAX(0,E1501*(1-MIN(tp_g/tp_roe,0.8))/(1+tp_r)^1+F1501*(1-MIN(tp_g/tp_roe,0.8))/(1+tp_r)^2+G1501*(1-MIN(tp_g/tp_roe,0.8))/(1+tp_r)^3+H1501*(1-MIN(tp_g/tp_roe,0.8))/(1+tp_r)^4+I1501*(1-MIN(tp_g/tp_roe,0.8))/(1+tp_r)^5+J1501*(1-MIN(tp_g/tp_roe,0.8))/(1+tp_r)^6+J1501*(1-MIN(tp_g/tp_roe,0.8))*(1+tp_g)/(tp_r-tp_g)/(1+tp_r)^6))*(1+tp_r)</f>
        <v>2090.16974510692</v>
      </c>
      <c r="H18" s="38" t="n">
        <f aca="false">Val!$B$33*(tp_wA*(2/12*E1435+10/12*F1435)+tp_wB*(2/12*E1468+10/12*F1468)+tp_wC*(2/12*E1501+10/12*F1501))*rm_factor</f>
        <v>3376.3644920498</v>
      </c>
      <c r="I18" s="38" t="n">
        <f aca="false">tp_w_dcf*G18+(1-tp_w_dcf)*H18</f>
        <v>2733.26711857836</v>
      </c>
      <c r="J18" s="22" t="n">
        <f aca="false">I18/I$4-1</f>
        <v>0.0347932276118954</v>
      </c>
    </row>
    <row r="19" customFormat="false" ht="17.15" hidden="false" customHeight="false" outlineLevel="0" collapsed="false">
      <c r="A19" s="4" t="s">
        <v>778</v>
      </c>
      <c r="B19" s="0" t="s">
        <v>210</v>
      </c>
      <c r="C19" s="4" t="s">
        <v>779</v>
      </c>
      <c r="D19" s="20" t="n">
        <f aca="false">E1567</f>
        <v>97.0111423081967</v>
      </c>
      <c r="E19" s="20" t="n">
        <f aca="false">F1567</f>
        <v>100.012756480808</v>
      </c>
      <c r="F19" s="22" t="n">
        <f aca="false">E19/E$4-1</f>
        <v>-0.0514107889969331</v>
      </c>
      <c r="G19" s="38" t="n">
        <f aca="false">(tp_wA*MAX(0,E1534*(1-MIN(tp_g/tp_roe,0.8))/(1+tp_r)^1+F1534*(1-MIN(tp_g/tp_roe,0.8))/(1+tp_r)^2+G1534*(1-MIN(tp_g/tp_roe,0.8))/(1+tp_r)^3+H1534*(1-MIN(tp_g/tp_roe,0.8))/(1+tp_r)^4+I1534*(1-MIN(tp_g/tp_roe,0.8))/(1+tp_r)^5+J1534*(1-MIN(tp_g/tp_roe,0.8))/(1+tp_r)^6+J1534*(1-MIN(tp_g/tp_roe,0.8))*(1+tp_g)/(tp_r-tp_g)/(1+tp_r)^6)+tp_wB*MAX(0,E1567*(1-MIN(tp_g/tp_roe,0.8))/(1+tp_r)^1+F1567*(1-MIN(tp_g/tp_roe,0.8))/(1+tp_r)^2+G1567*(1-MIN(tp_g/tp_roe,0.8))/(1+tp_r)^3+H1567*(1-MIN(tp_g/tp_roe,0.8))/(1+tp_r)^4+I1567*(1-MIN(tp_g/tp_roe,0.8))/(1+tp_r)^5+J1567*(1-MIN(tp_g/tp_roe,0.8))/(1+tp_r)^6+J1567*(1-MIN(tp_g/tp_roe,0.8))*(1+tp_g)/(tp_r-tp_g)/(1+tp_r)^6)+tp_wC*MAX(0,E1600*(1-MIN(tp_g/tp_roe,0.8))/(1+tp_r)^1+F1600*(1-MIN(tp_g/tp_roe,0.8))/(1+tp_r)^2+G1600*(1-MIN(tp_g/tp_roe,0.8))/(1+tp_r)^3+H1600*(1-MIN(tp_g/tp_roe,0.8))/(1+tp_r)^4+I1600*(1-MIN(tp_g/tp_roe,0.8))/(1+tp_r)^5+J1600*(1-MIN(tp_g/tp_roe,0.8))/(1+tp_r)^6+J1600*(1-MIN(tp_g/tp_roe,0.8))*(1+tp_g)/(tp_r-tp_g)/(1+tp_r)^6))*(1+tp_r)</f>
        <v>1976.68532160716</v>
      </c>
      <c r="H19" s="38" t="n">
        <f aca="false">Val!$B$33*(tp_wA*(2/12*E1534+10/12*F1534)+tp_wB*(2/12*E1567+10/12*F1567)+tp_wC*(2/12*E1600+10/12*F1600))*rm_factor</f>
        <v>3119.95125040411</v>
      </c>
      <c r="I19" s="38" t="n">
        <f aca="false">tp_w_dcf*G19+(1-tp_w_dcf)*H19</f>
        <v>2548.31828600563</v>
      </c>
      <c r="J19" s="22" t="n">
        <f aca="false">I19/I$4-1</f>
        <v>-0.0352269318156721</v>
      </c>
    </row>
    <row r="20" customFormat="false" ht="17.15" hidden="false" customHeight="false" outlineLevel="0" collapsed="false">
      <c r="A20" s="4" t="s">
        <v>780</v>
      </c>
      <c r="B20" s="0" t="s">
        <v>210</v>
      </c>
      <c r="D20" s="20" t="n">
        <f aca="false">E1666</f>
        <v>107.585245986634</v>
      </c>
      <c r="E20" s="20" t="n">
        <f aca="false">F1666</f>
        <v>110.853560193934</v>
      </c>
      <c r="F20" s="22" t="n">
        <f aca="false">E20/E$4-1</f>
        <v>0.0514107889969337</v>
      </c>
      <c r="G20" s="38" t="n">
        <f aca="false">(tp_wA*MAX(0,E1633*(1-MIN(tp_g/tp_roe,0.8))/(1+tp_r)^1+F1633*(1-MIN(tp_g/tp_roe,0.8))/(1+tp_r)^2+G1633*(1-MIN(tp_g/tp_roe,0.8))/(1+tp_r)^3+H1633*(1-MIN(tp_g/tp_roe,0.8))/(1+tp_r)^4+I1633*(1-MIN(tp_g/tp_roe,0.8))/(1+tp_r)^5+J1633*(1-MIN(tp_g/tp_roe,0.8))/(1+tp_r)^6+J1633*(1-MIN(tp_g/tp_roe,0.8))*(1+tp_g)/(tp_r-tp_g)/(1+tp_r)^6)+tp_wB*MAX(0,E1666*(1-MIN(tp_g/tp_roe,0.8))/(1+tp_r)^1+F1666*(1-MIN(tp_g/tp_roe,0.8))/(1+tp_r)^2+G1666*(1-MIN(tp_g/tp_roe,0.8))/(1+tp_r)^3+H1666*(1-MIN(tp_g/tp_roe,0.8))/(1+tp_r)^4+I1666*(1-MIN(tp_g/tp_roe,0.8))/(1+tp_r)^5+J1666*(1-MIN(tp_g/tp_roe,0.8))/(1+tp_r)^6+J1666*(1-MIN(tp_g/tp_roe,0.8))*(1+tp_g)/(tp_r-tp_g)/(1+tp_r)^6)+tp_wC*MAX(0,E1699*(1-MIN(tp_g/tp_roe,0.8))/(1+tp_r)^1+F1699*(1-MIN(tp_g/tp_roe,0.8))/(1+tp_r)^2+G1699*(1-MIN(tp_g/tp_roe,0.8))/(1+tp_r)^3+H1699*(1-MIN(tp_g/tp_roe,0.8))/(1+tp_r)^4+I1699*(1-MIN(tp_g/tp_roe,0.8))/(1+tp_r)^5+J1699*(1-MIN(tp_g/tp_roe,0.8))/(1+tp_r)^6+J1699*(1-MIN(tp_g/tp_roe,0.8))*(1+tp_g)/(tp_r-tp_g)/(1+tp_r)^6))*(1+tp_r)</f>
        <v>2012.91704163467</v>
      </c>
      <c r="H20" s="38" t="n">
        <f aca="false">Val!$B$33*(tp_wA*(2/12*E1633+10/12*F1633)+tp_wB*(2/12*E1666+10/12*F1666)+tp_wC*(2/12*E1699+10/12*F1699))*rm_factor</f>
        <v>3455.90833815372</v>
      </c>
      <c r="I20" s="38" t="n">
        <f aca="false">tp_w_dcf*G20+(1-tp_w_dcf)*H20</f>
        <v>2734.4126898942</v>
      </c>
      <c r="J20" s="22" t="n">
        <f aca="false">I20/I$4-1</f>
        <v>0.0352269318156719</v>
      </c>
    </row>
    <row r="21" customFormat="false" ht="17.15" hidden="false" customHeight="false" outlineLevel="0" collapsed="false">
      <c r="A21" s="4" t="s">
        <v>781</v>
      </c>
      <c r="B21" s="0" t="s">
        <v>213</v>
      </c>
      <c r="C21" s="4" t="s">
        <v>782</v>
      </c>
      <c r="D21" s="20" t="n">
        <f aca="false">E1765</f>
        <v>106.009975507589</v>
      </c>
      <c r="E21" s="20" t="n">
        <f aca="false">F1765</f>
        <v>109.459786724847</v>
      </c>
      <c r="F21" s="22" t="n">
        <f aca="false">E21/E$4-1</f>
        <v>0.038191290586129</v>
      </c>
      <c r="G21" s="38" t="n">
        <f aca="false">(tp_wA*MAX(0,E1732*(1-MIN(tp_g/tp_roe,0.8))/(1+tp_r)^1+F1732*(1-MIN(tp_g/tp_roe,0.8))/(1+tp_r)^2+G1732*(1-MIN(tp_g/tp_roe,0.8))/(1+tp_r)^3+H1732*(1-MIN(tp_g/tp_roe,0.8))/(1+tp_r)^4+I1732*(1-MIN(tp_g/tp_roe,0.8))/(1+tp_r)^5+J1732*(1-MIN(tp_g/tp_roe,0.8))/(1+tp_r)^6+J1732*(1-MIN(tp_g/tp_roe,0.8))*(1+tp_g)/(tp_r-tp_g)/(1+tp_r)^6)+tp_wB*MAX(0,E1765*(1-MIN(tp_g/tp_roe,0.8))/(1+tp_r)^1+F1765*(1-MIN(tp_g/tp_roe,0.8))/(1+tp_r)^2+G1765*(1-MIN(tp_g/tp_roe,0.8))/(1+tp_r)^3+H1765*(1-MIN(tp_g/tp_roe,0.8))/(1+tp_r)^4+I1765*(1-MIN(tp_g/tp_roe,0.8))/(1+tp_r)^5+J1765*(1-MIN(tp_g/tp_roe,0.8))/(1+tp_r)^6+J1765*(1-MIN(tp_g/tp_roe,0.8))*(1+tp_g)/(tp_r-tp_g)/(1+tp_r)^6)+tp_wC*MAX(0,E1798*(1-MIN(tp_g/tp_roe,0.8))/(1+tp_r)^1+F1798*(1-MIN(tp_g/tp_roe,0.8))/(1+tp_r)^2+G1798*(1-MIN(tp_g/tp_roe,0.8))/(1+tp_r)^3+H1798*(1-MIN(tp_g/tp_roe,0.8))/(1+tp_r)^4+I1798*(1-MIN(tp_g/tp_roe,0.8))/(1+tp_r)^5+J1798*(1-MIN(tp_g/tp_roe,0.8))/(1+tp_r)^6+J1798*(1-MIN(tp_g/tp_roe,0.8))*(1+tp_g)/(tp_r-tp_g)/(1+tp_r)^6))*(1+tp_r)</f>
        <v>2010.97559818799</v>
      </c>
      <c r="H21" s="38" t="n">
        <f aca="false">Val!$B$33*(tp_wA*(2/12*E1732+10/12*F1732)+tp_wB*(2/12*E1765+10/12*F1765)+tp_wC*(2/12*E1798+10/12*F1798))*rm_factor</f>
        <v>3418.37315028053</v>
      </c>
      <c r="I21" s="38" t="n">
        <f aca="false">tp_w_dcf*G21+(1-tp_w_dcf)*H21</f>
        <v>2714.67437423426</v>
      </c>
      <c r="J21" s="22" t="n">
        <f aca="false">I21/I$4-1</f>
        <v>0.0277541622387301</v>
      </c>
    </row>
    <row r="22" customFormat="false" ht="17.15" hidden="false" customHeight="false" outlineLevel="0" collapsed="false">
      <c r="A22" s="4" t="s">
        <v>783</v>
      </c>
      <c r="B22" s="0" t="s">
        <v>213</v>
      </c>
      <c r="D22" s="20" t="n">
        <f aca="false">E1864</f>
        <v>96.7305221071548</v>
      </c>
      <c r="E22" s="20" t="n">
        <f aca="false">F1864</f>
        <v>99.3230018462399</v>
      </c>
      <c r="F22" s="22" t="n">
        <f aca="false">E22/E$4-1</f>
        <v>-0.0579528925006659</v>
      </c>
      <c r="G22" s="38" t="n">
        <f aca="false">(tp_wA*MAX(0,E1831*(1-MIN(tp_g/tp_roe,0.8))/(1+tp_r)^1+F1831*(1-MIN(tp_g/tp_roe,0.8))/(1+tp_r)^2+G1831*(1-MIN(tp_g/tp_roe,0.8))/(1+tp_r)^3+H1831*(1-MIN(tp_g/tp_roe,0.8))/(1+tp_r)^4+I1831*(1-MIN(tp_g/tp_roe,0.8))/(1+tp_r)^5+J1831*(1-MIN(tp_g/tp_roe,0.8))/(1+tp_r)^6+J1831*(1-MIN(tp_g/tp_roe,0.8))*(1+tp_g)/(tp_r-tp_g)/(1+tp_r)^6)+tp_wB*MAX(0,E1864*(1-MIN(tp_g/tp_roe,0.8))/(1+tp_r)^1+F1864*(1-MIN(tp_g/tp_roe,0.8))/(1+tp_r)^2+G1864*(1-MIN(tp_g/tp_roe,0.8))/(1+tp_r)^3+H1864*(1-MIN(tp_g/tp_roe,0.8))/(1+tp_r)^4+I1864*(1-MIN(tp_g/tp_roe,0.8))/(1+tp_r)^5+J1864*(1-MIN(tp_g/tp_roe,0.8))/(1+tp_r)^6+J1864*(1-MIN(tp_g/tp_roe,0.8))*(1+tp_g)/(tp_r-tp_g)/(1+tp_r)^6)+tp_wC*MAX(0,E1897*(1-MIN(tp_g/tp_roe,0.8))/(1+tp_r)^1+F1897*(1-MIN(tp_g/tp_roe,0.8))/(1+tp_r)^2+G1897*(1-MIN(tp_g/tp_roe,0.8))/(1+tp_r)^3+H1897*(1-MIN(tp_g/tp_roe,0.8))/(1+tp_r)^4+I1897*(1-MIN(tp_g/tp_roe,0.8))/(1+tp_r)^5+J1897*(1-MIN(tp_g/tp_roe,0.8))/(1+tp_r)^6+J1897*(1-MIN(tp_g/tp_roe,0.8))*(1+tp_g)/(tp_r-tp_g)/(1+tp_r)^6))*(1+tp_r)</f>
        <v>1969.23292168852</v>
      </c>
      <c r="H22" s="38" t="n">
        <f aca="false">Val!$B$33*(tp_wA*(2/12*E1831+10/12*F1831)+tp_wB*(2/12*E1864+10/12*F1864)+tp_wC*(2/12*E1897+10/12*F1897))*rm_factor</f>
        <v>3087.71341721755</v>
      </c>
      <c r="I22" s="38" t="n">
        <f aca="false">tp_w_dcf*G22+(1-tp_w_dcf)*H22</f>
        <v>2528.47316945304</v>
      </c>
      <c r="J22" s="22" t="n">
        <f aca="false">I22/I$4-1</f>
        <v>-0.0427401353625234</v>
      </c>
    </row>
    <row r="23" customFormat="false" ht="17.15" hidden="false" customHeight="false" outlineLevel="0" collapsed="false">
      <c r="A23" s="4" t="s">
        <v>784</v>
      </c>
      <c r="B23" s="0" t="s">
        <v>216</v>
      </c>
      <c r="C23" s="4" t="s">
        <v>785</v>
      </c>
      <c r="D23" s="20" t="n">
        <f aca="false">E1963</f>
        <v>96.2806533152143</v>
      </c>
      <c r="E23" s="20" t="n">
        <f aca="false">F1963</f>
        <v>99.2312078469377</v>
      </c>
      <c r="F23" s="22" t="n">
        <f aca="false">E23/E$4-1</f>
        <v>-0.0588235294117644</v>
      </c>
      <c r="G23" s="38" t="n">
        <f aca="false">(tp_wA*MAX(0,E1930*(1-MIN(tp_g/tp_roe,0.8))/(1+tp_r)^1+F1930*(1-MIN(tp_g/tp_roe,0.8))/(1+tp_r)^2+G1930*(1-MIN(tp_g/tp_roe,0.8))/(1+tp_r)^3+H1930*(1-MIN(tp_g/tp_roe,0.8))/(1+tp_r)^4+I1930*(1-MIN(tp_g/tp_roe,0.8))/(1+tp_r)^5+J1930*(1-MIN(tp_g/tp_roe,0.8))/(1+tp_r)^6+J1930*(1-MIN(tp_g/tp_roe,0.8))*(1+tp_g)/(tp_r-tp_g)/(1+tp_r)^6)+tp_wB*MAX(0,E1963*(1-MIN(tp_g/tp_roe,0.8))/(1+tp_r)^1+F1963*(1-MIN(tp_g/tp_roe,0.8))/(1+tp_r)^2+G1963*(1-MIN(tp_g/tp_roe,0.8))/(1+tp_r)^3+H1963*(1-MIN(tp_g/tp_roe,0.8))/(1+tp_r)^4+I1963*(1-MIN(tp_g/tp_roe,0.8))/(1+tp_r)^5+J1963*(1-MIN(tp_g/tp_roe,0.8))/(1+tp_r)^6+J1963*(1-MIN(tp_g/tp_roe,0.8))*(1+tp_g)/(tp_r-tp_g)/(1+tp_r)^6)+tp_wC*MAX(0,E1996*(1-MIN(tp_g/tp_roe,0.8))/(1+tp_r)^1+F1996*(1-MIN(tp_g/tp_roe,0.8))/(1+tp_r)^2+G1996*(1-MIN(tp_g/tp_roe,0.8))/(1+tp_r)^3+H1996*(1-MIN(tp_g/tp_roe,0.8))/(1+tp_r)^4+I1996*(1-MIN(tp_g/tp_roe,0.8))/(1+tp_r)^5+J1996*(1-MIN(tp_g/tp_roe,0.8))/(1+tp_r)^6+J1996*(1-MIN(tp_g/tp_roe,0.8))*(1+tp_g)/(tp_r-tp_g)/(1+tp_r)^6))*(1+tp_r)</f>
        <v>1973.62257395872</v>
      </c>
      <c r="H23" s="38" t="n">
        <f aca="false">Val!$B$33*(tp_wA*(2/12*E1930+10/12*F1930)+tp_wB*(2/12*E1963+10/12*F1963)+tp_wC*(2/12*E1996+10/12*F1996))*rm_factor</f>
        <v>3094.52215932133</v>
      </c>
      <c r="I23" s="38" t="n">
        <f aca="false">tp_w_dcf*G23+(1-tp_w_dcf)*H23</f>
        <v>2534.07236664002</v>
      </c>
      <c r="J23" s="22" t="n">
        <f aca="false">I23/I$4-1</f>
        <v>-0.0406203237679031</v>
      </c>
    </row>
    <row r="24" customFormat="false" ht="17.15" hidden="false" customHeight="false" outlineLevel="0" collapsed="false">
      <c r="A24" s="4" t="s">
        <v>786</v>
      </c>
      <c r="B24" s="0" t="s">
        <v>216</v>
      </c>
      <c r="D24" s="20" t="n">
        <f aca="false">E2062</f>
        <v>108.315734979616</v>
      </c>
      <c r="E24" s="20" t="n">
        <f aca="false">F2062</f>
        <v>111.635108827805</v>
      </c>
      <c r="F24" s="22" t="n">
        <f aca="false">E24/E$4-1</f>
        <v>0.0588235294117647</v>
      </c>
      <c r="G24" s="38" t="n">
        <f aca="false">(tp_wA*MAX(0,E2029*(1-MIN(tp_g/tp_roe,0.8))/(1+tp_r)^1+F2029*(1-MIN(tp_g/tp_roe,0.8))/(1+tp_r)^2+G2029*(1-MIN(tp_g/tp_roe,0.8))/(1+tp_r)^3+H2029*(1-MIN(tp_g/tp_roe,0.8))/(1+tp_r)^4+I2029*(1-MIN(tp_g/tp_roe,0.8))/(1+tp_r)^5+J2029*(1-MIN(tp_g/tp_roe,0.8))/(1+tp_r)^6+J2029*(1-MIN(tp_g/tp_roe,0.8))*(1+tp_g)/(tp_r-tp_g)/(1+tp_r)^6)+tp_wB*MAX(0,E2062*(1-MIN(tp_g/tp_roe,0.8))/(1+tp_r)^1+F2062*(1-MIN(tp_g/tp_roe,0.8))/(1+tp_r)^2+G2062*(1-MIN(tp_g/tp_roe,0.8))/(1+tp_r)^3+H2062*(1-MIN(tp_g/tp_roe,0.8))/(1+tp_r)^4+I2062*(1-MIN(tp_g/tp_roe,0.8))/(1+tp_r)^5+J2062*(1-MIN(tp_g/tp_roe,0.8))/(1+tp_r)^6+J2062*(1-MIN(tp_g/tp_roe,0.8))*(1+tp_g)/(tp_r-tp_g)/(1+tp_r)^6)+tp_wC*MAX(0,E2095*(1-MIN(tp_g/tp_roe,0.8))/(1+tp_r)^1+F2095*(1-MIN(tp_g/tp_roe,0.8))/(1+tp_r)^2+G2095*(1-MIN(tp_g/tp_roe,0.8))/(1+tp_r)^3+H2095*(1-MIN(tp_g/tp_roe,0.8))/(1+tp_r)^4+I2095*(1-MIN(tp_g/tp_roe,0.8))/(1+tp_r)^5+J2095*(1-MIN(tp_g/tp_roe,0.8))/(1+tp_r)^6+J2095*(1-MIN(tp_g/tp_roe,0.8))*(1+tp_g)/(tp_r-tp_g)/(1+tp_r)^6))*(1+tp_r)</f>
        <v>2015.97978928311</v>
      </c>
      <c r="H24" s="38" t="n">
        <f aca="false">Val!$B$33*(tp_wA*(2/12*E2029+10/12*F2029)+tp_wB*(2/12*E2062+10/12*F2062)+tp_wC*(2/12*E2095+10/12*F2095))*rm_factor</f>
        <v>3481.33742923649</v>
      </c>
      <c r="I24" s="38" t="n">
        <f aca="false">tp_w_dcf*G24+(1-tp_w_dcf)*H24</f>
        <v>2748.6586092598</v>
      </c>
      <c r="J24" s="22" t="n">
        <f aca="false">I24/I$4-1</f>
        <v>0.0406203237679028</v>
      </c>
    </row>
    <row r="25" customFormat="false" ht="17.15" hidden="false" customHeight="false" outlineLevel="0" collapsed="false">
      <c r="A25" s="4" t="s">
        <v>787</v>
      </c>
      <c r="B25" s="0" t="s">
        <v>298</v>
      </c>
      <c r="C25" s="0" t="s">
        <v>788</v>
      </c>
      <c r="D25" s="20" t="n">
        <f aca="false">D4</f>
        <v>102.298194147415</v>
      </c>
      <c r="E25" s="20" t="n">
        <f aca="false">E4</f>
        <v>105.433158337371</v>
      </c>
      <c r="F25" s="22" t="n">
        <f aca="false">E25/E$4-1</f>
        <v>0</v>
      </c>
      <c r="G25" s="3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1718.66702078772</v>
      </c>
      <c r="H25" s="38" t="n">
        <f aca="false">H4</f>
        <v>3287.92979427891</v>
      </c>
      <c r="I25" s="38" t="n">
        <f aca="false">tp_w_dcf*G25+(1-tp_w_dcf)*H25</f>
        <v>2503.29840753331</v>
      </c>
      <c r="J25" s="22" t="n">
        <f aca="false">I25/I$4-1</f>
        <v>-0.05227110032537</v>
      </c>
    </row>
    <row r="26" customFormat="false" ht="17.15" hidden="false" customHeight="false" outlineLevel="0" collapsed="false">
      <c r="A26" s="4" t="s">
        <v>789</v>
      </c>
      <c r="B26" s="0" t="s">
        <v>298</v>
      </c>
      <c r="C26" s="0" t="s">
        <v>790</v>
      </c>
      <c r="D26" s="20" t="n">
        <f aca="false">D4</f>
        <v>102.298194147415</v>
      </c>
      <c r="E26" s="20" t="n">
        <f aca="false">E4</f>
        <v>105.433158337371</v>
      </c>
      <c r="F26" s="22" t="n">
        <f aca="false">E26/E$4-1</f>
        <v>0</v>
      </c>
      <c r="G26" s="3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2381.48736327357</v>
      </c>
      <c r="H26" s="38" t="n">
        <f aca="false">H4</f>
        <v>3287.92979427891</v>
      </c>
      <c r="I26" s="38" t="n">
        <f aca="false">tp_w_dcf*G26+(1-tp_w_dcf)*H26</f>
        <v>2834.70857877624</v>
      </c>
      <c r="J26" s="22" t="n">
        <f aca="false">I26/I$4-1</f>
        <v>0.0731981589478505</v>
      </c>
    </row>
    <row r="27" customFormat="false" ht="17.15" hidden="false" customHeight="false" outlineLevel="0" collapsed="false">
      <c r="A27" s="4" t="s">
        <v>791</v>
      </c>
      <c r="B27" s="0" t="s">
        <v>302</v>
      </c>
      <c r="C27" s="0" t="s">
        <v>792</v>
      </c>
      <c r="D27" s="20" t="n">
        <f aca="false">D4</f>
        <v>102.298194147415</v>
      </c>
      <c r="E27" s="20" t="n">
        <f aca="false">E4</f>
        <v>105.433158337371</v>
      </c>
      <c r="F27" s="22" t="n">
        <f aca="false">E27/E$4-1</f>
        <v>0</v>
      </c>
      <c r="G27" s="3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2198.86339374259</v>
      </c>
      <c r="H27" s="38" t="n">
        <f aca="false">H4</f>
        <v>3287.92979427891</v>
      </c>
      <c r="I27" s="38" t="n">
        <f aca="false">tp_w_dcf*G27+(1-tp_w_dcf)*H27</f>
        <v>2743.39659401075</v>
      </c>
      <c r="J27" s="22" t="n">
        <f aca="false">I27/I$4-1</f>
        <v>0.0386281665775936</v>
      </c>
    </row>
    <row r="28" customFormat="false" ht="17.15" hidden="false" customHeight="false" outlineLevel="0" collapsed="false">
      <c r="A28" s="4" t="s">
        <v>793</v>
      </c>
      <c r="B28" s="0" t="s">
        <v>302</v>
      </c>
      <c r="C28" s="0" t="s">
        <v>794</v>
      </c>
      <c r="D28" s="20" t="n">
        <f aca="false">D4</f>
        <v>102.298194147415</v>
      </c>
      <c r="E28" s="20" t="n">
        <f aca="false">E4</f>
        <v>105.433158337371</v>
      </c>
      <c r="F28" s="22" t="n">
        <f aca="false">E28/E$4-1</f>
        <v>0</v>
      </c>
      <c r="G28" s="3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1854.89410853315</v>
      </c>
      <c r="H28" s="38" t="n">
        <f aca="false">H4</f>
        <v>3287.92979427891</v>
      </c>
      <c r="I28" s="38" t="n">
        <f aca="false">tp_w_dcf*G28+(1-tp_w_dcf)*H28</f>
        <v>2571.41195140603</v>
      </c>
      <c r="J28" s="22" t="n">
        <f aca="false">I28/I$4-1</f>
        <v>-0.0264838534701151</v>
      </c>
    </row>
    <row r="29" customFormat="false" ht="17.15" hidden="false" customHeight="false" outlineLevel="0" collapsed="false">
      <c r="A29" s="0" t="s">
        <v>795</v>
      </c>
      <c r="B29" s="0" t="s">
        <v>310</v>
      </c>
      <c r="C29" s="0" t="s">
        <v>796</v>
      </c>
      <c r="D29" s="20" t="n">
        <f aca="false">D4</f>
        <v>102.298194147415</v>
      </c>
      <c r="E29" s="20" t="n">
        <f aca="false">E4</f>
        <v>105.433158337371</v>
      </c>
      <c r="F29" s="22" t="n">
        <f aca="false">E29/E$4-1</f>
        <v>0</v>
      </c>
      <c r="G29" s="3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1994.80118162092</v>
      </c>
      <c r="H29" s="38" t="n">
        <f aca="false">H4</f>
        <v>3287.92979427891</v>
      </c>
      <c r="I29" s="38" t="n">
        <f aca="false">0.3*G29+(1-0.3)*H29</f>
        <v>2899.99121048151</v>
      </c>
      <c r="J29" s="22" t="n">
        <f aca="false">I29/I$4-1</f>
        <v>0.0979136449353435</v>
      </c>
    </row>
    <row r="30" customFormat="false" ht="17.15" hidden="false" customHeight="false" outlineLevel="0" collapsed="false">
      <c r="A30" s="0" t="s">
        <v>797</v>
      </c>
      <c r="B30" s="0" t="s">
        <v>310</v>
      </c>
      <c r="C30" s="0" t="s">
        <v>798</v>
      </c>
      <c r="D30" s="20" t="n">
        <f aca="false">D4</f>
        <v>102.298194147415</v>
      </c>
      <c r="E30" s="20" t="n">
        <f aca="false">E4</f>
        <v>105.433158337371</v>
      </c>
      <c r="F30" s="22" t="n">
        <f aca="false">E30/E$4-1</f>
        <v>0</v>
      </c>
      <c r="G30" s="3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1994.80118162092</v>
      </c>
      <c r="H30" s="38" t="n">
        <f aca="false">H4</f>
        <v>3287.92979427891</v>
      </c>
      <c r="I30" s="38" t="n">
        <f aca="false">0.7*G30+(1-0.7)*H30</f>
        <v>2382.73976541832</v>
      </c>
      <c r="J30" s="22" t="n">
        <f aca="false">I30/I$4-1</f>
        <v>-0.0979136449353439</v>
      </c>
    </row>
    <row r="31" customFormat="false" ht="17.15" hidden="false" customHeight="false" outlineLevel="0" collapsed="false">
      <c r="A31" s="4" t="s">
        <v>799</v>
      </c>
      <c r="B31" s="0" t="s">
        <v>124</v>
      </c>
      <c r="C31" s="4" t="s">
        <v>800</v>
      </c>
      <c r="D31" s="20" t="n">
        <f aca="false">PL!E131</f>
        <v>102.298194147415</v>
      </c>
      <c r="E31" s="20" t="n">
        <f aca="false">PL!F131</f>
        <v>105.433158337371</v>
      </c>
      <c r="F31" s="22" t="n">
        <f aca="false">E31/E$4-1</f>
        <v>0</v>
      </c>
      <c r="G31" s="38" t="n">
        <f aca="false">(tp_wA*MAX(0,PL!E131*(1-MIN(tp_g/tp_roe,0.8))/(1+tp_r)^1+PL!F131*(1-MIN(tp_g/tp_roe,0.8))/(1+tp_r)^2+PL!G131*(1-MIN(tp_g/tp_roe,0.8))/(1+tp_r)^3+PL!H131*(1-MIN(tp_g/tp_roe,0.8))/(1+tp_r)^4+PL!I131*(1-MIN(tp_g/tp_roe,0.8))/(1+tp_r)^5+PL!J131*(1-MIN(tp_g/tp_roe,0.8))/(1+tp_r)^6+PL!J131*(1-MIN(tp_g/tp_roe,0.8))*(1+tp_g)/(tp_r-tp_g)/(1+tp_r)^6)+tp_wB*MAX(0,PL!E131*(1-MIN(tp_g/tp_roe,0.8))/(1+tp_r)^1+PL!F131*(1-MIN(tp_g/tp_roe,0.8))/(1+tp_r)^2+PL!G131*(1-MIN(tp_g/tp_roe,0.8))/(1+tp_r)^3+PL!H131*(1-MIN(tp_g/tp_roe,0.8))/(1+tp_r)^4+PL!I131*(1-MIN(tp_g/tp_roe,0.8))/(1+tp_r)^5+PL!J131*(1-MIN(tp_g/tp_roe,0.8))/(1+tp_r)^6+PL!J131*(1-MIN(tp_g/tp_roe,0.8))*(1+tp_g)/(tp_r-tp_g)/(1+tp_r)^6)+tp_wC*MAX(0,PL!E131*(1-MIN(tp_g/tp_roe,0.8))/(1+tp_r)^1+PL!F131*(1-MIN(tp_g/tp_roe,0.8))/(1+tp_r)^2+PL!G131*(1-MIN(tp_g/tp_roe,0.8))/(1+tp_r)^3+PL!H131*(1-MIN(tp_g/tp_roe,0.8))/(1+tp_r)^4+PL!I131*(1-MIN(tp_g/tp_roe,0.8))/(1+tp_r)^5+PL!J131*(1-MIN(tp_g/tp_roe,0.8))/(1+tp_r)^6+PL!J131*(1-MIN(tp_g/tp_roe,0.8))*(1+tp_g)/(tp_r-tp_g)/(1+tp_r)^6))*(1+tp_r)</f>
        <v>1849.41402790303</v>
      </c>
      <c r="H31" s="38" t="n">
        <f aca="false">Val!$B$33*(tp_wA*(2/12*PL!E131+10/12*PL!F131)+tp_wB*(2/12*PL!E131+10/12*PL!F131)+tp_wC*(2/12*PL!E131+10/12*PL!F131))*rm_factor</f>
        <v>3183.51410835683</v>
      </c>
      <c r="I31" s="38" t="n">
        <f aca="false">tp_w_dcf*G31+(1-tp_w_dcf)*H31</f>
        <v>2516.46406812993</v>
      </c>
      <c r="J31" s="22" t="n">
        <f aca="false">I31/I$4-1</f>
        <v>-0.0472866857652955</v>
      </c>
    </row>
    <row r="32" customFormat="false" ht="17.15" hidden="false" customHeight="false" outlineLevel="0" collapsed="false">
      <c r="A32" s="4" t="s">
        <v>801</v>
      </c>
      <c r="B32" s="0" t="s">
        <v>124</v>
      </c>
      <c r="C32" s="4" t="s">
        <v>802</v>
      </c>
      <c r="D32" s="20" t="n">
        <f aca="false">PL!E164</f>
        <v>92.2965739620111</v>
      </c>
      <c r="E32" s="20" t="n">
        <f aca="false">PL!F164</f>
        <v>69.8775100281167</v>
      </c>
      <c r="F32" s="22" t="n">
        <f aca="false">E32/E$4-1</f>
        <v>-0.33723402457016</v>
      </c>
      <c r="G32" s="38" t="n">
        <f aca="false">(tp_wA*MAX(0,PL!E164*(1-MIN(tp_g/tp_roe,0.8))/(1+tp_r)^1+PL!F164*(1-MIN(tp_g/tp_roe,0.8))/(1+tp_r)^2+PL!G164*(1-MIN(tp_g/tp_roe,0.8))/(1+tp_r)^3+PL!H164*(1-MIN(tp_g/tp_roe,0.8))/(1+tp_r)^4+PL!I164*(1-MIN(tp_g/tp_roe,0.8))/(1+tp_r)^5+PL!J164*(1-MIN(tp_g/tp_roe,0.8))/(1+tp_r)^6+PL!J164*(1-MIN(tp_g/tp_roe,0.8))*(1+tp_g)/(tp_r-tp_g)/(1+tp_r)^6)+tp_wB*MAX(0,PL!E164*(1-MIN(tp_g/tp_roe,0.8))/(1+tp_r)^1+PL!F164*(1-MIN(tp_g/tp_roe,0.8))/(1+tp_r)^2+PL!G164*(1-MIN(tp_g/tp_roe,0.8))/(1+tp_r)^3+PL!H164*(1-MIN(tp_g/tp_roe,0.8))/(1+tp_r)^4+PL!I164*(1-MIN(tp_g/tp_roe,0.8))/(1+tp_r)^5+PL!J164*(1-MIN(tp_g/tp_roe,0.8))/(1+tp_r)^6+PL!J164*(1-MIN(tp_g/tp_roe,0.8))*(1+tp_g)/(tp_r-tp_g)/(1+tp_r)^6)+tp_wC*MAX(0,PL!E164*(1-MIN(tp_g/tp_roe,0.8))/(1+tp_r)^1+PL!F164*(1-MIN(tp_g/tp_roe,0.8))/(1+tp_r)^2+PL!G164*(1-MIN(tp_g/tp_roe,0.8))/(1+tp_r)^3+PL!H164*(1-MIN(tp_g/tp_roe,0.8))/(1+tp_r)^4+PL!I164*(1-MIN(tp_g/tp_roe,0.8))/(1+tp_r)^5+PL!J164*(1-MIN(tp_g/tp_roe,0.8))/(1+tp_r)^6+PL!J164*(1-MIN(tp_g/tp_roe,0.8))*(1+tp_g)/(tp_r-tp_g)/(1+tp_r)^6))*(1+tp_r)</f>
        <v>1084.86824320067</v>
      </c>
      <c r="H32" s="38" t="n">
        <f aca="false">Val!$B$33*(tp_wA*(2/12*PL!E164+10/12*PL!F164)+tp_wB*(2/12*PL!E164+10/12*PL!F164)+tp_wC*(2/12*PL!E164+10/12*PL!F164))*rm_factor</f>
        <v>2233.81745764887</v>
      </c>
      <c r="I32" s="38" t="n">
        <f aca="false">tp_w_dcf*G32+(1-tp_w_dcf)*H32</f>
        <v>1659.34285042477</v>
      </c>
      <c r="J32" s="22" t="n">
        <f aca="false">I32/I$4-1</f>
        <v>-0.371785972825495</v>
      </c>
    </row>
    <row r="34" customFormat="false" ht="17.15" hidden="false" customHeight="false" outlineLevel="0" collapsed="false">
      <c r="A34" s="4" t="s">
        <v>803</v>
      </c>
    </row>
    <row r="118" customFormat="false" ht="15" hidden="false" customHeight="false" outlineLevel="0" collapsed="false">
      <c r="A118" s="1" t="s">
        <v>804</v>
      </c>
    </row>
    <row r="120" customFormat="false" ht="17.15" hidden="false" customHeight="false" outlineLevel="0" collapsed="false">
      <c r="A120" s="1" t="s">
        <v>805</v>
      </c>
    </row>
    <row r="121" customFormat="false" ht="17.15" hidden="false" customHeight="false" outlineLevel="0" collapsed="false">
      <c r="A121" s="5" t="s">
        <v>21</v>
      </c>
      <c r="B121" s="5" t="s">
        <v>22</v>
      </c>
      <c r="C121" s="15" t="s">
        <v>387</v>
      </c>
      <c r="D121" s="15" t="s">
        <v>468</v>
      </c>
      <c r="E121" s="15" t="s">
        <v>469</v>
      </c>
      <c r="F121" s="15" t="s">
        <v>470</v>
      </c>
      <c r="G121" s="15" t="s">
        <v>471</v>
      </c>
      <c r="H121" s="15" t="s">
        <v>472</v>
      </c>
      <c r="I121" s="15" t="s">
        <v>473</v>
      </c>
      <c r="J121" s="15" t="s">
        <v>474</v>
      </c>
      <c r="K121" s="5" t="s">
        <v>336</v>
      </c>
    </row>
    <row r="122" customFormat="false" ht="17.15" hidden="false" customHeight="false" outlineLevel="0" collapsed="false">
      <c r="A122" s="6" t="s">
        <v>492</v>
      </c>
    </row>
    <row r="123" customFormat="false" ht="17.15" hidden="false" customHeight="false" outlineLevel="0" collapsed="false">
      <c r="A123" s="0" t="s">
        <v>493</v>
      </c>
      <c r="B123" s="4" t="s">
        <v>32</v>
      </c>
      <c r="D123" s="20" t="n">
        <f aca="false">units_26</f>
        <v>15.2</v>
      </c>
      <c r="E123" s="20" t="n">
        <f aca="false">units_27*0.8</f>
        <v>18.96</v>
      </c>
      <c r="F123" s="20" t="n">
        <f aca="false">units_28*um28_A*0.8</f>
        <v>21.2</v>
      </c>
      <c r="G123" s="20" t="n">
        <f aca="false">units_29*um29_A*0.8</f>
        <v>24.12</v>
      </c>
    </row>
    <row r="124" customFormat="false" ht="17.15" hidden="false" customHeight="false" outlineLevel="0" collapsed="false">
      <c r="A124" s="4" t="s">
        <v>494</v>
      </c>
      <c r="B124" s="0" t="s">
        <v>45</v>
      </c>
      <c r="D124" s="18" t="n">
        <f aca="false">ex_nv*nvtt_26+astt_26</f>
        <v>0.607994</v>
      </c>
      <c r="E124" s="18" t="n">
        <f aca="false">ex_nv*nvtt_27+astt_27</f>
        <v>0.6560764</v>
      </c>
      <c r="F124" s="18" t="n">
        <f aca="false">ex_nv*nvtt_28+astt_28</f>
        <v>0.6898114</v>
      </c>
      <c r="G124" s="18" t="n">
        <f aca="false">ex_nv*nvtt_29+astt_29</f>
        <v>0.692935</v>
      </c>
      <c r="K124" s="8" t="s">
        <v>495</v>
      </c>
    </row>
    <row r="125" customFormat="false" ht="17.15" hidden="false" customHeight="false" outlineLevel="0" collapsed="false">
      <c r="A125" s="4" t="s">
        <v>447</v>
      </c>
      <c r="B125" s="0" t="s">
        <v>45</v>
      </c>
      <c r="D125" s="18" t="n">
        <f aca="false">D123*D124/($D123*$D124)</f>
        <v>1</v>
      </c>
      <c r="E125" s="18" t="n">
        <f aca="false">E123*E124/($D123*$D124)</f>
        <v>1.34601490007779</v>
      </c>
      <c r="F125" s="18" t="n">
        <f aca="false">F123*F124/($D123*$D124)</f>
        <v>1.58242577012966</v>
      </c>
      <c r="G125" s="18" t="n">
        <f aca="false">G123*G124/($D123*$D124)</f>
        <v>1.80853500891543</v>
      </c>
    </row>
    <row r="126" customFormat="false" ht="17.15" hidden="false" customHeight="false" outlineLevel="0" collapsed="false">
      <c r="A126" s="4" t="s">
        <v>496</v>
      </c>
      <c r="B126" s="0" t="s">
        <v>45</v>
      </c>
      <c r="D126" s="20" t="n">
        <f aca="false">1</f>
        <v>1</v>
      </c>
      <c r="E126" s="20" t="n">
        <f aca="false">rel27_A</f>
        <v>1.05</v>
      </c>
      <c r="F126" s="20" t="n">
        <f aca="false">rel28_A</f>
        <v>1.08</v>
      </c>
      <c r="G126" s="20" t="n">
        <f aca="false">rel29_A</f>
        <v>1.1</v>
      </c>
    </row>
    <row r="127" customFormat="false" ht="17.15" hidden="false" customHeight="false" outlineLevel="0" collapsed="false">
      <c r="A127" s="4" t="s">
        <v>497</v>
      </c>
      <c r="B127" s="0" t="s">
        <v>45</v>
      </c>
      <c r="D127" s="18" t="n">
        <f aca="false">1</f>
        <v>1</v>
      </c>
      <c r="E127" s="18" t="n">
        <f aca="false">(1+g_ct)^1</f>
        <v>1.05</v>
      </c>
      <c r="F127" s="18" t="n">
        <f aca="false">(1+g_ct)^2</f>
        <v>1.1025</v>
      </c>
      <c r="G127" s="18" t="n">
        <f aca="false">(1+g_ct)^3</f>
        <v>1.157625</v>
      </c>
    </row>
    <row r="128" customFormat="false" ht="17.15" hidden="false" customHeight="false" outlineLevel="0" collapsed="false">
      <c r="A128" s="6" t="s">
        <v>498</v>
      </c>
    </row>
    <row r="129" customFormat="false" ht="17.15" hidden="false" customHeight="false" outlineLevel="0" collapsed="false">
      <c r="A129" s="0" t="s">
        <v>401</v>
      </c>
      <c r="B129" s="0" t="s">
        <v>189</v>
      </c>
      <c r="C129" s="17" t="n">
        <f aca="false">a25_ai</f>
        <v>5.4297243</v>
      </c>
      <c r="D129" s="17" t="n">
        <f aca="false">a26_ai</f>
        <v>9.5342409</v>
      </c>
      <c r="E129" s="17" t="n">
        <f aca="false">$D129*E125*E126*E127</f>
        <v>14.148636419345</v>
      </c>
      <c r="F129" s="17" t="n">
        <f aca="false">$D129*F125*F126*F127</f>
        <v>17.9643629735023</v>
      </c>
      <c r="G129" s="17" t="n">
        <f aca="false">$D129*G125*G126*G127</f>
        <v>21.9570314240039</v>
      </c>
      <c r="K129" s="8" t="s">
        <v>499</v>
      </c>
    </row>
    <row r="130" customFormat="false" ht="17.15" hidden="false" customHeight="false" outlineLevel="0" collapsed="false">
      <c r="A130" s="4" t="s">
        <v>404</v>
      </c>
      <c r="B130" s="0" t="s">
        <v>189</v>
      </c>
      <c r="C130" s="17" t="n">
        <f aca="false">a25_npc</f>
        <v>4.4425017</v>
      </c>
      <c r="D130" s="17" t="n">
        <f aca="false">a26_npc</f>
        <v>6.3561606</v>
      </c>
      <c r="E130" s="17" t="n">
        <f aca="false">D130*(1+g_nonai+d_npc)</f>
        <v>6.801091842</v>
      </c>
      <c r="F130" s="17" t="n">
        <f aca="false">E130*(1+g_nonai+d_npc)</f>
        <v>7.27716827094</v>
      </c>
      <c r="G130" s="17" t="n">
        <f aca="false">F130*(1+g_nonai+d_npc)</f>
        <v>7.7865700499058</v>
      </c>
      <c r="K130" s="4" t="s">
        <v>500</v>
      </c>
    </row>
    <row r="131" customFormat="false" ht="15" hidden="false" customHeight="false" outlineLevel="0" collapsed="false">
      <c r="A131" s="4" t="s">
        <v>398</v>
      </c>
      <c r="B131" s="0" t="s">
        <v>189</v>
      </c>
      <c r="C131" s="17" t="n">
        <f aca="false">C129+C130</f>
        <v>9.872226</v>
      </c>
      <c r="D131" s="17" t="n">
        <f aca="false">D129+D130</f>
        <v>15.8904015</v>
      </c>
      <c r="E131" s="17" t="n">
        <f aca="false">E129+E130</f>
        <v>20.949728261345</v>
      </c>
      <c r="F131" s="17" t="n">
        <f aca="false">F129+F130</f>
        <v>25.2415312444423</v>
      </c>
      <c r="G131" s="17" t="n">
        <f aca="false">G129+G130</f>
        <v>29.7436014739097</v>
      </c>
    </row>
    <row r="132" customFormat="false" ht="17.15" hidden="false" customHeight="false" outlineLevel="0" collapsed="false">
      <c r="A132" s="0" t="s">
        <v>501</v>
      </c>
      <c r="B132" s="0" t="s">
        <v>189</v>
      </c>
      <c r="D132" s="17" t="n">
        <f aca="false">k_cpo*cpo_A_26/cpo_A_27</f>
        <v>0.24</v>
      </c>
      <c r="E132" s="17" t="n">
        <f aca="false">k_cpo*cpo_A_27/cpo_A_27</f>
        <v>1.2</v>
      </c>
      <c r="F132" s="17" t="n">
        <f aca="false">k_cpo*cpo_A_28/cpo_A_27</f>
        <v>2.4</v>
      </c>
      <c r="G132" s="17" t="n">
        <f aca="false">k_cpo*cpo_A_29/cpo_A_27</f>
        <v>3.84</v>
      </c>
      <c r="K132" s="8" t="s">
        <v>502</v>
      </c>
    </row>
    <row r="133" customFormat="false" ht="17.15" hidden="false" customHeight="false" outlineLevel="0" collapsed="false">
      <c r="A133" s="4" t="s">
        <v>503</v>
      </c>
      <c r="B133" s="0" t="s">
        <v>189</v>
      </c>
      <c r="C133" s="17" t="n">
        <f aca="false">a25_eq</f>
        <v>3.290742</v>
      </c>
      <c r="D133" s="17" t="n">
        <f aca="false">a26_eq-D132</f>
        <v>4.8539955</v>
      </c>
      <c r="E133" s="17" t="n">
        <f aca="false">D133*semi_27</f>
        <v>5.659593717153</v>
      </c>
      <c r="F133" s="17" t="n">
        <f aca="false">$E133*eqk28_A</f>
        <v>6.59889384801401</v>
      </c>
      <c r="G133" s="17" t="n">
        <f aca="false">$E133*eqk29_A</f>
        <v>7.12680377116889</v>
      </c>
      <c r="K133" s="8" t="s">
        <v>504</v>
      </c>
    </row>
    <row r="134" customFormat="false" ht="15" hidden="false" customHeight="false" outlineLevel="0" collapsed="false">
      <c r="A134" s="4" t="s">
        <v>405</v>
      </c>
      <c r="B134" s="0" t="s">
        <v>189</v>
      </c>
      <c r="C134" s="17" t="n">
        <f aca="false">a25_eq</f>
        <v>3.290742</v>
      </c>
      <c r="D134" s="17" t="n">
        <f aca="false">D132+D133</f>
        <v>5.0939955</v>
      </c>
      <c r="E134" s="17" t="n">
        <f aca="false">E132+E133</f>
        <v>6.859593717153</v>
      </c>
      <c r="F134" s="17" t="n">
        <f aca="false">F132+F133</f>
        <v>8.99889384801401</v>
      </c>
      <c r="G134" s="17" t="n">
        <f aca="false">G132+G133</f>
        <v>10.9668037711689</v>
      </c>
    </row>
    <row r="135" customFormat="false" ht="15" hidden="false" customHeight="false" outlineLevel="0" collapsed="false">
      <c r="A135" s="4" t="s">
        <v>407</v>
      </c>
      <c r="B135" s="0" t="s">
        <v>189</v>
      </c>
      <c r="C135" s="17" t="n">
        <f aca="false">a25_oth</f>
        <v>0.214032000000001</v>
      </c>
      <c r="D135" s="17" t="n">
        <f aca="false">a26_oth</f>
        <v>0.428253</v>
      </c>
      <c r="E135" s="17" t="n">
        <f aca="false">D135*(1+g_oth)</f>
        <v>0.44966565</v>
      </c>
      <c r="F135" s="17" t="n">
        <f aca="false">E135*(1+g_oth)</f>
        <v>0.4721489325</v>
      </c>
      <c r="G135" s="17" t="n">
        <f aca="false">F135*(1+g_oth)</f>
        <v>0.495756379125</v>
      </c>
    </row>
    <row r="136" customFormat="false" ht="17.15" hidden="false" customHeight="false" outlineLevel="0" collapsed="false">
      <c r="A136" s="4" t="s">
        <v>394</v>
      </c>
      <c r="B136" s="0" t="s">
        <v>189</v>
      </c>
      <c r="C136" s="17" t="n">
        <f aca="false">C131+C134+C135</f>
        <v>13.377</v>
      </c>
      <c r="D136" s="17" t="n">
        <f aca="false">D131+D134+D135</f>
        <v>21.41265</v>
      </c>
      <c r="E136" s="17" t="n">
        <f aca="false">E131+E134+E135</f>
        <v>28.258987628498</v>
      </c>
      <c r="F136" s="17" t="n">
        <f aca="false">F131+F134+F135</f>
        <v>34.7125740249563</v>
      </c>
      <c r="G136" s="17" t="n">
        <f aca="false">G131+G134+G135</f>
        <v>41.2061616242036</v>
      </c>
      <c r="H136" s="30" t="n">
        <f aca="false">G136*(1+H137)</f>
        <v>47.1691685350369</v>
      </c>
      <c r="I136" s="30" t="n">
        <f aca="false">H136*(1+I137)</f>
        <v>51.9972049889227</v>
      </c>
      <c r="J136" s="30" t="n">
        <f aca="false">I136*(1+J137)</f>
        <v>55.117037288258</v>
      </c>
      <c r="K136" s="8" t="s">
        <v>505</v>
      </c>
    </row>
    <row r="137" customFormat="false" ht="15" hidden="false" customHeight="false" outlineLevel="0" collapsed="false">
      <c r="A137" s="4" t="s">
        <v>506</v>
      </c>
      <c r="B137" s="0" t="s">
        <v>90</v>
      </c>
      <c r="D137" s="22" t="n">
        <f aca="false">D136/C136-1</f>
        <v>0.600706436420722</v>
      </c>
      <c r="E137" s="22" t="n">
        <f aca="false">E136/D136-1</f>
        <v>0.319733317851737</v>
      </c>
      <c r="F137" s="22" t="n">
        <f aca="false">F136/E136-1</f>
        <v>0.228372880207151</v>
      </c>
      <c r="G137" s="22" t="n">
        <f aca="false">G136/F136-1</f>
        <v>0.187067302890841</v>
      </c>
      <c r="H137" s="26" t="n">
        <f aca="false">$G137+(fade_gA-$G137)*1/3</f>
        <v>0.144711535260561</v>
      </c>
      <c r="I137" s="26" t="n">
        <f aca="false">$G137+(fade_gA-$G137)*2/3</f>
        <v>0.10235576763028</v>
      </c>
      <c r="J137" s="26" t="n">
        <f aca="false">$G137+(fade_gA-$G137)*3/3</f>
        <v>0.06</v>
      </c>
    </row>
    <row r="138" customFormat="false" ht="17.15" hidden="false" customHeight="false" outlineLevel="0" collapsed="false">
      <c r="A138" s="0" t="s">
        <v>507</v>
      </c>
      <c r="B138" s="0" t="s">
        <v>90</v>
      </c>
      <c r="C138" s="22" t="n">
        <f aca="false">C129/C136</f>
        <v>0.4059</v>
      </c>
      <c r="D138" s="22" t="n">
        <f aca="false">D129/D136</f>
        <v>0.445262071719287</v>
      </c>
      <c r="E138" s="22" t="n">
        <f aca="false">E129/E136</f>
        <v>0.500677398827858</v>
      </c>
      <c r="F138" s="22" t="n">
        <f aca="false">F129/F136</f>
        <v>0.517517455219166</v>
      </c>
      <c r="G138" s="22" t="n">
        <f aca="false">G129/G136</f>
        <v>0.532857964890057</v>
      </c>
    </row>
    <row r="139" customFormat="false" ht="17.15" hidden="false" customHeight="false" outlineLevel="0" collapsed="false">
      <c r="A139" s="4" t="s">
        <v>508</v>
      </c>
      <c r="B139" s="0" t="s">
        <v>90</v>
      </c>
      <c r="C139" s="22" t="n">
        <f aca="false">C131/C136</f>
        <v>0.738</v>
      </c>
      <c r="D139" s="22" t="n">
        <f aca="false">D131/D136</f>
        <v>0.742103452865479</v>
      </c>
      <c r="E139" s="22" t="n">
        <f aca="false">E131/E136</f>
        <v>0.741347444457567</v>
      </c>
      <c r="F139" s="22" t="n">
        <f aca="false">F131/F136</f>
        <v>0.727158153880929</v>
      </c>
      <c r="G139" s="22" t="n">
        <f aca="false">G131/G136</f>
        <v>0.721824122935026</v>
      </c>
    </row>
    <row r="140" customFormat="false" ht="17.15" hidden="false" customHeight="false" outlineLevel="0" collapsed="false">
      <c r="A140" s="6" t="s">
        <v>509</v>
      </c>
    </row>
    <row r="141" customFormat="false" ht="15" hidden="false" customHeight="false" outlineLevel="0" collapsed="false">
      <c r="A141" s="4" t="s">
        <v>412</v>
      </c>
      <c r="B141" s="0" t="s">
        <v>90</v>
      </c>
      <c r="C141" s="14" t="n">
        <f aca="false">a25_gp/a25_rev</f>
        <v>0.574</v>
      </c>
      <c r="D141" s="14" t="n">
        <f aca="false">a26_gp/a26_rev</f>
        <v>0.593344593032623</v>
      </c>
      <c r="E141" s="14" t="n">
        <f aca="false">gm27_A+gm_adj</f>
        <v>0.6</v>
      </c>
      <c r="F141" s="14" t="n">
        <f aca="false">gmL_A+gm_adj</f>
        <v>0.61</v>
      </c>
      <c r="G141" s="14" t="n">
        <f aca="false">gmL_A+gm_adj</f>
        <v>0.61</v>
      </c>
    </row>
    <row r="142" customFormat="false" ht="15" hidden="false" customHeight="false" outlineLevel="0" collapsed="false">
      <c r="A142" s="4" t="s">
        <v>409</v>
      </c>
      <c r="B142" s="0" t="s">
        <v>189</v>
      </c>
      <c r="C142" s="17" t="n">
        <f aca="false">C136*C141</f>
        <v>7.678398</v>
      </c>
      <c r="D142" s="17" t="n">
        <f aca="false">D136*D141</f>
        <v>12.7050801</v>
      </c>
      <c r="E142" s="17" t="n">
        <f aca="false">E136*E141</f>
        <v>16.9553925770988</v>
      </c>
      <c r="F142" s="17" t="n">
        <f aca="false">F136*F141</f>
        <v>21.1746701552234</v>
      </c>
      <c r="G142" s="17" t="n">
        <f aca="false">G136*G141</f>
        <v>25.1357585907642</v>
      </c>
    </row>
    <row r="143" customFormat="false" ht="17.15" hidden="false" customHeight="false" outlineLevel="0" collapsed="false">
      <c r="A143" s="4" t="s">
        <v>510</v>
      </c>
      <c r="B143" s="0" t="s">
        <v>189</v>
      </c>
      <c r="D143" s="17" t="n">
        <f aca="false">a26_opx</f>
        <v>5.05564928556</v>
      </c>
      <c r="E143" s="17" t="n">
        <f aca="false">D143*(1+phi*E137)</f>
        <v>6.02552499754012</v>
      </c>
      <c r="F143" s="17" t="n">
        <f aca="false">E143*(1+phi*F137)</f>
        <v>6.85116489660917</v>
      </c>
      <c r="G143" s="17" t="n">
        <f aca="false">F143*(1+phi*G137)</f>
        <v>7.62014225993062</v>
      </c>
      <c r="K143" s="8" t="s">
        <v>511</v>
      </c>
    </row>
    <row r="144" customFormat="false" ht="15" hidden="false" customHeight="false" outlineLevel="0" collapsed="false">
      <c r="A144" s="4" t="s">
        <v>415</v>
      </c>
      <c r="B144" s="0" t="s">
        <v>189</v>
      </c>
      <c r="D144" s="17" t="n">
        <f aca="false">D142-D143</f>
        <v>7.64943081444</v>
      </c>
      <c r="E144" s="17" t="n">
        <f aca="false">E142-E143</f>
        <v>10.9298675795587</v>
      </c>
      <c r="F144" s="17" t="n">
        <f aca="false">F142-F143</f>
        <v>14.3235052586142</v>
      </c>
      <c r="G144" s="17" t="n">
        <f aca="false">G142-G143</f>
        <v>17.5156163308336</v>
      </c>
    </row>
    <row r="145" customFormat="false" ht="15" hidden="false" customHeight="false" outlineLevel="0" collapsed="false">
      <c r="A145" s="4" t="s">
        <v>482</v>
      </c>
      <c r="B145" s="0" t="s">
        <v>90</v>
      </c>
      <c r="D145" s="14" t="n">
        <f aca="false">D144/D136</f>
        <v>0.357238866484999</v>
      </c>
      <c r="E145" s="14" t="n">
        <f aca="false">E144/E136</f>
        <v>0.386774916470694</v>
      </c>
      <c r="F145" s="14" t="n">
        <f aca="false">F144/F136</f>
        <v>0.412631608601437</v>
      </c>
      <c r="G145" s="14" t="n">
        <f aca="false">G144/G136</f>
        <v>0.425072747386043</v>
      </c>
    </row>
    <row r="146" customFormat="false" ht="15" hidden="false" customHeight="false" outlineLevel="0" collapsed="false">
      <c r="A146" s="4" t="s">
        <v>418</v>
      </c>
      <c r="B146" s="0" t="s">
        <v>189</v>
      </c>
      <c r="C146" s="17" t="n">
        <f aca="false">a25_ni</f>
        <v>3.18</v>
      </c>
      <c r="D146" s="17" t="n">
        <f aca="false">a26_ni</f>
        <v>6.7316248085628</v>
      </c>
      <c r="E146" s="17" t="n">
        <f aca="false">E144*ni_oi</f>
        <v>9.29038744262488</v>
      </c>
      <c r="F146" s="17" t="n">
        <f aca="false">F144*ni_oi</f>
        <v>12.1749794698221</v>
      </c>
      <c r="G146" s="17" t="n">
        <f aca="false">G144*ni_oi</f>
        <v>14.8882738812085</v>
      </c>
      <c r="H146" s="30" t="n">
        <f aca="false">H136*H150</f>
        <v>17.1410647994772</v>
      </c>
      <c r="I146" s="30" t="n">
        <f aca="false">I136*I150</f>
        <v>19.003897726175</v>
      </c>
      <c r="J146" s="30" t="n">
        <f aca="false">J136*J150</f>
        <v>20.2589784357612</v>
      </c>
    </row>
    <row r="147" customFormat="false" ht="15" hidden="false" customHeight="false" outlineLevel="0" collapsed="false">
      <c r="A147" s="4" t="s">
        <v>512</v>
      </c>
      <c r="B147" s="4" t="s">
        <v>513</v>
      </c>
      <c r="C147" s="19" t="n">
        <f aca="false">a25_sh</f>
        <v>94.9537175276202</v>
      </c>
      <c r="D147" s="19" t="n">
        <f aca="false">a26_sh</f>
        <v>97.9860681630967</v>
      </c>
      <c r="E147" s="19" t="n">
        <f aca="false">D147*(1+sh_g)</f>
        <v>97.9860681630967</v>
      </c>
      <c r="F147" s="19" t="n">
        <f aca="false">E147*(1+sh_g)</f>
        <v>97.9860681630967</v>
      </c>
      <c r="G147" s="19" t="n">
        <f aca="false">F147*(1+sh_g)</f>
        <v>97.9860681630967</v>
      </c>
      <c r="H147" s="25" t="n">
        <f aca="false">G147*(1+sh_g)</f>
        <v>97.9860681630967</v>
      </c>
      <c r="I147" s="25" t="n">
        <f aca="false">H147*(1+sh_g)</f>
        <v>97.9860681630967</v>
      </c>
      <c r="J147" s="25" t="n">
        <f aca="false">I147*(1+sh_g)</f>
        <v>97.9860681630967</v>
      </c>
    </row>
    <row r="148" customFormat="false" ht="15" hidden="false" customHeight="false" outlineLevel="0" collapsed="false">
      <c r="A148" s="0" t="s">
        <v>423</v>
      </c>
      <c r="B148" s="0" t="s">
        <v>256</v>
      </c>
      <c r="C148" s="20" t="n">
        <f aca="false">a25_eps</f>
        <v>33.49</v>
      </c>
      <c r="D148" s="20" t="n">
        <f aca="false">a26_eps</f>
        <v>68.6959552317267</v>
      </c>
      <c r="E148" s="20" t="n">
        <f aca="false">E146/E147*1000</f>
        <v>94.8133506812533</v>
      </c>
      <c r="F148" s="20" t="n">
        <f aca="false">F146/F147*1000</f>
        <v>124.252148270272</v>
      </c>
      <c r="G148" s="20" t="n">
        <f aca="false">G146/G147*1000</f>
        <v>151.942762479531</v>
      </c>
      <c r="H148" s="28" t="n">
        <f aca="false">H146/H147*1000</f>
        <v>174.933693338385</v>
      </c>
      <c r="I148" s="28" t="n">
        <f aca="false">I146/I147*1000</f>
        <v>193.944895253305</v>
      </c>
      <c r="J148" s="28" t="n">
        <f aca="false">J146/J147*1000</f>
        <v>206.753662184306</v>
      </c>
    </row>
    <row r="149" customFormat="false" ht="17.15" hidden="false" customHeight="false" outlineLevel="0" collapsed="false">
      <c r="A149" s="0" t="s">
        <v>514</v>
      </c>
      <c r="B149" s="0" t="s">
        <v>90</v>
      </c>
      <c r="D149" s="22" t="n">
        <f aca="false">D148/C148-1</f>
        <v>1.05123783910799</v>
      </c>
      <c r="E149" s="22" t="n">
        <f aca="false">E148/D148-1</f>
        <v>0.380188256520007</v>
      </c>
      <c r="F149" s="22" t="n">
        <f aca="false">F148/E148-1</f>
        <v>0.310492112951339</v>
      </c>
      <c r="G149" s="22" t="n">
        <f aca="false">G148/F148-1</f>
        <v>0.222858232994303</v>
      </c>
      <c r="H149" s="26" t="n">
        <f aca="false">H148/G148-1</f>
        <v>0.151313102932105</v>
      </c>
      <c r="I149" s="26" t="n">
        <f aca="false">I148/H148-1</f>
        <v>0.108676616563203</v>
      </c>
      <c r="J149" s="26" t="n">
        <f aca="false">J148/I148-1</f>
        <v>0.0660433310929451</v>
      </c>
    </row>
    <row r="150" customFormat="false" ht="17.15" hidden="false" customHeight="false" outlineLevel="0" collapsed="false">
      <c r="A150" s="4" t="s">
        <v>515</v>
      </c>
      <c r="B150" s="0" t="s">
        <v>90</v>
      </c>
      <c r="C150" s="14" t="n">
        <f aca="false">C146/C136</f>
        <v>0.237721462211258</v>
      </c>
      <c r="D150" s="14" t="n">
        <f aca="false">D146/D136</f>
        <v>0.314376072488123</v>
      </c>
      <c r="E150" s="14" t="n">
        <f aca="false">E146/E136</f>
        <v>0.32875867900009</v>
      </c>
      <c r="F150" s="14" t="n">
        <f aca="false">F146/F136</f>
        <v>0.350736867311221</v>
      </c>
      <c r="G150" s="14" t="n">
        <f aca="false">G146/G136</f>
        <v>0.361311835278137</v>
      </c>
      <c r="H150" s="27" t="n">
        <f aca="false">$G150+(fade_mA-$G150)*1/3</f>
        <v>0.363395525760539</v>
      </c>
      <c r="I150" s="27" t="n">
        <f aca="false">$G150+(fade_mA-$G150)*2/3</f>
        <v>0.365479216242941</v>
      </c>
      <c r="J150" s="27" t="n">
        <f aca="false">$G150+(fade_mA-$G150)*3/3</f>
        <v>0.367562906725343</v>
      </c>
    </row>
    <row r="153" customFormat="false" ht="17.15" hidden="false" customHeight="false" outlineLevel="0" collapsed="false">
      <c r="A153" s="1" t="s">
        <v>806</v>
      </c>
    </row>
    <row r="154" customFormat="false" ht="17.15" hidden="false" customHeight="false" outlineLevel="0" collapsed="false">
      <c r="A154" s="5" t="s">
        <v>21</v>
      </c>
      <c r="B154" s="5" t="s">
        <v>22</v>
      </c>
      <c r="C154" s="15" t="s">
        <v>387</v>
      </c>
      <c r="D154" s="15" t="s">
        <v>468</v>
      </c>
      <c r="E154" s="15" t="s">
        <v>469</v>
      </c>
      <c r="F154" s="15" t="s">
        <v>470</v>
      </c>
      <c r="G154" s="15" t="s">
        <v>471</v>
      </c>
      <c r="H154" s="15" t="s">
        <v>472</v>
      </c>
      <c r="I154" s="15" t="s">
        <v>473</v>
      </c>
      <c r="J154" s="15" t="s">
        <v>474</v>
      </c>
      <c r="K154" s="5" t="s">
        <v>336</v>
      </c>
    </row>
    <row r="155" customFormat="false" ht="17.15" hidden="false" customHeight="false" outlineLevel="0" collapsed="false">
      <c r="A155" s="6" t="s">
        <v>492</v>
      </c>
    </row>
    <row r="156" customFormat="false" ht="17.15" hidden="false" customHeight="false" outlineLevel="0" collapsed="false">
      <c r="A156" s="0" t="s">
        <v>493</v>
      </c>
      <c r="B156" s="4" t="s">
        <v>32</v>
      </c>
      <c r="D156" s="20" t="n">
        <f aca="false">units_26</f>
        <v>15.2</v>
      </c>
      <c r="E156" s="20" t="n">
        <f aca="false">units_27*0.8</f>
        <v>18.96</v>
      </c>
      <c r="F156" s="20" t="n">
        <f aca="false">units_28*um28_B*0.8</f>
        <v>16.96</v>
      </c>
      <c r="G156" s="20" t="n">
        <f aca="false">units_29*um29_B*0.8</f>
        <v>20.502</v>
      </c>
    </row>
    <row r="157" customFormat="false" ht="17.15" hidden="false" customHeight="false" outlineLevel="0" collapsed="false">
      <c r="A157" s="4" t="s">
        <v>494</v>
      </c>
      <c r="B157" s="0" t="s">
        <v>45</v>
      </c>
      <c r="D157" s="18" t="n">
        <f aca="false">ex_nv*nvtt_26+astt_26</f>
        <v>0.607994</v>
      </c>
      <c r="E157" s="18" t="n">
        <f aca="false">ex_nv*nvtt_27+astt_27</f>
        <v>0.6560764</v>
      </c>
      <c r="F157" s="18" t="n">
        <f aca="false">ex_nv*nvtt_28+astt_28</f>
        <v>0.6898114</v>
      </c>
      <c r="G157" s="18" t="n">
        <f aca="false">ex_nv*nvtt_29+astt_29</f>
        <v>0.692935</v>
      </c>
      <c r="K157" s="8" t="s">
        <v>495</v>
      </c>
    </row>
    <row r="158" customFormat="false" ht="17.15" hidden="false" customHeight="false" outlineLevel="0" collapsed="false">
      <c r="A158" s="4" t="s">
        <v>447</v>
      </c>
      <c r="B158" s="0" t="s">
        <v>45</v>
      </c>
      <c r="D158" s="18" t="n">
        <f aca="false">D156*D157/($D156*$D157)</f>
        <v>1</v>
      </c>
      <c r="E158" s="18" t="n">
        <f aca="false">E156*E157/($D156*$D157)</f>
        <v>1.34601490007779</v>
      </c>
      <c r="F158" s="18" t="n">
        <f aca="false">F156*F157/($D156*$D157)</f>
        <v>1.26594061610373</v>
      </c>
      <c r="G158" s="18" t="n">
        <f aca="false">G156*G157/($D156*$D157)</f>
        <v>1.53725475757811</v>
      </c>
    </row>
    <row r="159" customFormat="false" ht="17.15" hidden="false" customHeight="false" outlineLevel="0" collapsed="false">
      <c r="A159" s="4" t="s">
        <v>496</v>
      </c>
      <c r="B159" s="0" t="s">
        <v>45</v>
      </c>
      <c r="D159" s="20" t="n">
        <f aca="false">1</f>
        <v>1</v>
      </c>
      <c r="E159" s="20" t="n">
        <f aca="false">rel27_B</f>
        <v>1</v>
      </c>
      <c r="F159" s="20" t="n">
        <f aca="false">rel28_B</f>
        <v>1</v>
      </c>
      <c r="G159" s="20" t="n">
        <f aca="false">rel29_B</f>
        <v>1</v>
      </c>
    </row>
    <row r="160" customFormat="false" ht="17.15" hidden="false" customHeight="false" outlineLevel="0" collapsed="false">
      <c r="A160" s="4" t="s">
        <v>497</v>
      </c>
      <c r="B160" s="0" t="s">
        <v>45</v>
      </c>
      <c r="D160" s="18" t="n">
        <f aca="false">1</f>
        <v>1</v>
      </c>
      <c r="E160" s="18" t="n">
        <f aca="false">(1+g_ct)^1</f>
        <v>1.05</v>
      </c>
      <c r="F160" s="18" t="n">
        <f aca="false">(1+g_ct)^2</f>
        <v>1.1025</v>
      </c>
      <c r="G160" s="18" t="n">
        <f aca="false">(1+g_ct)^3</f>
        <v>1.157625</v>
      </c>
    </row>
    <row r="161" customFormat="false" ht="17.15" hidden="false" customHeight="false" outlineLevel="0" collapsed="false">
      <c r="A161" s="6" t="s">
        <v>498</v>
      </c>
    </row>
    <row r="162" customFormat="false" ht="17.15" hidden="false" customHeight="false" outlineLevel="0" collapsed="false">
      <c r="A162" s="0" t="s">
        <v>401</v>
      </c>
      <c r="B162" s="0" t="s">
        <v>189</v>
      </c>
      <c r="C162" s="17" t="n">
        <f aca="false">a25_ai</f>
        <v>5.4297243</v>
      </c>
      <c r="D162" s="17" t="n">
        <f aca="false">a26_ai</f>
        <v>9.5342409</v>
      </c>
      <c r="E162" s="17" t="n">
        <f aca="false">$D162*E158*E159*E160</f>
        <v>13.4748918279476</v>
      </c>
      <c r="F162" s="17" t="n">
        <f aca="false">$D162*F158*F159*F160</f>
        <v>13.3069355359276</v>
      </c>
      <c r="G162" s="17" t="n">
        <f aca="false">$D162*G158*G159*G160</f>
        <v>16.9667970094575</v>
      </c>
      <c r="K162" s="8" t="s">
        <v>499</v>
      </c>
    </row>
    <row r="163" customFormat="false" ht="17.15" hidden="false" customHeight="false" outlineLevel="0" collapsed="false">
      <c r="A163" s="4" t="s">
        <v>404</v>
      </c>
      <c r="B163" s="0" t="s">
        <v>189</v>
      </c>
      <c r="C163" s="17" t="n">
        <f aca="false">a25_npc</f>
        <v>4.4425017</v>
      </c>
      <c r="D163" s="17" t="n">
        <f aca="false">a26_npc</f>
        <v>6.3561606</v>
      </c>
      <c r="E163" s="17" t="n">
        <f aca="false">D163*(1+g_nonai+d_npc)</f>
        <v>6.801091842</v>
      </c>
      <c r="F163" s="17" t="n">
        <f aca="false">E163*(1+g_nonai+d_npc)</f>
        <v>7.27716827094</v>
      </c>
      <c r="G163" s="17" t="n">
        <f aca="false">F163*(1+g_nonai+d_npc)</f>
        <v>7.7865700499058</v>
      </c>
      <c r="K163" s="4" t="s">
        <v>500</v>
      </c>
    </row>
    <row r="164" customFormat="false" ht="15" hidden="false" customHeight="false" outlineLevel="0" collapsed="false">
      <c r="A164" s="4" t="s">
        <v>398</v>
      </c>
      <c r="B164" s="0" t="s">
        <v>189</v>
      </c>
      <c r="C164" s="17" t="n">
        <f aca="false">C162+C163</f>
        <v>9.872226</v>
      </c>
      <c r="D164" s="17" t="n">
        <f aca="false">D162+D163</f>
        <v>15.8904015</v>
      </c>
      <c r="E164" s="17" t="n">
        <f aca="false">E162+E163</f>
        <v>20.2759836699476</v>
      </c>
      <c r="F164" s="17" t="n">
        <f aca="false">F162+F163</f>
        <v>20.5841038068676</v>
      </c>
      <c r="G164" s="17" t="n">
        <f aca="false">G162+G163</f>
        <v>24.7533670593633</v>
      </c>
    </row>
    <row r="165" customFormat="false" ht="17.15" hidden="false" customHeight="false" outlineLevel="0" collapsed="false">
      <c r="A165" s="0" t="s">
        <v>501</v>
      </c>
      <c r="B165" s="0" t="s">
        <v>189</v>
      </c>
      <c r="D165" s="17" t="n">
        <f aca="false">k_cpo*cpo_A_26/cpo_A_27</f>
        <v>0.24</v>
      </c>
      <c r="E165" s="17" t="n">
        <f aca="false">k_cpo*cpo_B_27/cpo_A_27</f>
        <v>0.72</v>
      </c>
      <c r="F165" s="17" t="n">
        <f aca="false">k_cpo*cpo_B_28/cpo_A_27</f>
        <v>1.2</v>
      </c>
      <c r="G165" s="17" t="n">
        <f aca="false">k_cpo*cpo_B_29/cpo_A_27</f>
        <v>1.92</v>
      </c>
      <c r="K165" s="8" t="s">
        <v>502</v>
      </c>
    </row>
    <row r="166" customFormat="false" ht="17.15" hidden="false" customHeight="false" outlineLevel="0" collapsed="false">
      <c r="A166" s="4" t="s">
        <v>503</v>
      </c>
      <c r="B166" s="0" t="s">
        <v>189</v>
      </c>
      <c r="C166" s="17" t="n">
        <f aca="false">a25_eq</f>
        <v>3.290742</v>
      </c>
      <c r="D166" s="17" t="n">
        <f aca="false">a26_eq-D165</f>
        <v>4.8539955</v>
      </c>
      <c r="E166" s="17" t="n">
        <f aca="false">D166*semi_27</f>
        <v>5.659593717153</v>
      </c>
      <c r="F166" s="17" t="n">
        <f aca="false">$E166*eqk28_B</f>
        <v>5.659593717153</v>
      </c>
      <c r="G166" s="17" t="n">
        <f aca="false">$E166*eqk29_B</f>
        <v>5.37661403129535</v>
      </c>
      <c r="K166" s="8" t="s">
        <v>504</v>
      </c>
    </row>
    <row r="167" customFormat="false" ht="15" hidden="false" customHeight="false" outlineLevel="0" collapsed="false">
      <c r="A167" s="4" t="s">
        <v>405</v>
      </c>
      <c r="B167" s="0" t="s">
        <v>189</v>
      </c>
      <c r="C167" s="17" t="n">
        <f aca="false">a25_eq</f>
        <v>3.290742</v>
      </c>
      <c r="D167" s="17" t="n">
        <f aca="false">D165+D166</f>
        <v>5.0939955</v>
      </c>
      <c r="E167" s="17" t="n">
        <f aca="false">E165+E166</f>
        <v>6.379593717153</v>
      </c>
      <c r="F167" s="17" t="n">
        <f aca="false">F165+F166</f>
        <v>6.859593717153</v>
      </c>
      <c r="G167" s="17" t="n">
        <f aca="false">G165+G166</f>
        <v>7.29661403129535</v>
      </c>
    </row>
    <row r="168" customFormat="false" ht="15" hidden="false" customHeight="false" outlineLevel="0" collapsed="false">
      <c r="A168" s="4" t="s">
        <v>407</v>
      </c>
      <c r="B168" s="0" t="s">
        <v>189</v>
      </c>
      <c r="C168" s="17" t="n">
        <f aca="false">a25_oth</f>
        <v>0.214032000000001</v>
      </c>
      <c r="D168" s="17" t="n">
        <f aca="false">a26_oth</f>
        <v>0.428253</v>
      </c>
      <c r="E168" s="17" t="n">
        <f aca="false">D168*(1+g_oth)</f>
        <v>0.44966565</v>
      </c>
      <c r="F168" s="17" t="n">
        <f aca="false">E168*(1+g_oth)</f>
        <v>0.4721489325</v>
      </c>
      <c r="G168" s="17" t="n">
        <f aca="false">F168*(1+g_oth)</f>
        <v>0.495756379125</v>
      </c>
    </row>
    <row r="169" customFormat="false" ht="17.15" hidden="false" customHeight="false" outlineLevel="0" collapsed="false">
      <c r="A169" s="4" t="s">
        <v>394</v>
      </c>
      <c r="B169" s="0" t="s">
        <v>189</v>
      </c>
      <c r="C169" s="17" t="n">
        <f aca="false">C164+C167+C168</f>
        <v>13.377</v>
      </c>
      <c r="D169" s="17" t="n">
        <f aca="false">D164+D167+D168</f>
        <v>21.41265</v>
      </c>
      <c r="E169" s="17" t="n">
        <f aca="false">E164+E167+E168</f>
        <v>27.1052430371006</v>
      </c>
      <c r="F169" s="17" t="n">
        <f aca="false">F164+F167+F168</f>
        <v>27.9158464565206</v>
      </c>
      <c r="G169" s="17" t="n">
        <f aca="false">G164+G167+G168</f>
        <v>32.5457374697837</v>
      </c>
      <c r="H169" s="30" t="n">
        <f aca="false">G169*(1+H170)</f>
        <v>36.5781915550712</v>
      </c>
      <c r="I169" s="30" t="n">
        <f aca="false">H169*(1+I170)</f>
        <v>39.5757952647531</v>
      </c>
      <c r="J169" s="30" t="n">
        <f aca="false">I169*(1+J170)</f>
        <v>41.1588270753432</v>
      </c>
      <c r="K169" s="8" t="s">
        <v>505</v>
      </c>
    </row>
    <row r="170" customFormat="false" ht="15" hidden="false" customHeight="false" outlineLevel="0" collapsed="false">
      <c r="A170" s="4" t="s">
        <v>506</v>
      </c>
      <c r="B170" s="0" t="s">
        <v>90</v>
      </c>
      <c r="D170" s="22" t="n">
        <f aca="false">D169/C169-1</f>
        <v>0.600706436420722</v>
      </c>
      <c r="E170" s="22" t="n">
        <f aca="false">E169/D169-1</f>
        <v>0.265851869670527</v>
      </c>
      <c r="F170" s="22" t="n">
        <f aca="false">F169/E169-1</f>
        <v>0.0299057794209963</v>
      </c>
      <c r="G170" s="22" t="n">
        <f aca="false">G169/F169-1</f>
        <v>0.165851715099314</v>
      </c>
      <c r="H170" s="26" t="n">
        <f aca="false">$G170+(fade_gB-$G170)*1/3</f>
        <v>0.123901143399543</v>
      </c>
      <c r="I170" s="26" t="n">
        <f aca="false">$G170+(fade_gB-$G170)*2/3</f>
        <v>0.0819505716997713</v>
      </c>
      <c r="J170" s="26" t="n">
        <f aca="false">$G170+(fade_gB-$G170)*3/3</f>
        <v>0.04</v>
      </c>
    </row>
    <row r="171" customFormat="false" ht="17.15" hidden="false" customHeight="false" outlineLevel="0" collapsed="false">
      <c r="A171" s="0" t="s">
        <v>507</v>
      </c>
      <c r="B171" s="0" t="s">
        <v>90</v>
      </c>
      <c r="C171" s="22" t="n">
        <f aca="false">C162/C169</f>
        <v>0.4059</v>
      </c>
      <c r="D171" s="22" t="n">
        <f aca="false">D162/D169</f>
        <v>0.445262071719287</v>
      </c>
      <c r="E171" s="22" t="n">
        <f aca="false">E162/E169</f>
        <v>0.497132300548042</v>
      </c>
      <c r="F171" s="22" t="n">
        <f aca="false">F162/F169</f>
        <v>0.476680352739918</v>
      </c>
      <c r="G171" s="22" t="n">
        <f aca="false">G162/G169</f>
        <v>0.521321633138901</v>
      </c>
    </row>
    <row r="172" customFormat="false" ht="17.15" hidden="false" customHeight="false" outlineLevel="0" collapsed="false">
      <c r="A172" s="4" t="s">
        <v>508</v>
      </c>
      <c r="B172" s="0" t="s">
        <v>90</v>
      </c>
      <c r="C172" s="22" t="n">
        <f aca="false">C164/C169</f>
        <v>0.738</v>
      </c>
      <c r="D172" s="22" t="n">
        <f aca="false">D164/D169</f>
        <v>0.742103452865479</v>
      </c>
      <c r="E172" s="22" t="n">
        <f aca="false">E164/E169</f>
        <v>0.748046554764133</v>
      </c>
      <c r="F172" s="22" t="n">
        <f aca="false">F164/F169</f>
        <v>0.737362696091903</v>
      </c>
      <c r="G172" s="22" t="n">
        <f aca="false">G164/G169</f>
        <v>0.760571705660227</v>
      </c>
    </row>
    <row r="173" customFormat="false" ht="17.15" hidden="false" customHeight="false" outlineLevel="0" collapsed="false">
      <c r="A173" s="6" t="s">
        <v>509</v>
      </c>
    </row>
    <row r="174" customFormat="false" ht="15" hidden="false" customHeight="false" outlineLevel="0" collapsed="false">
      <c r="A174" s="4" t="s">
        <v>412</v>
      </c>
      <c r="B174" s="0" t="s">
        <v>90</v>
      </c>
      <c r="C174" s="14" t="n">
        <f aca="false">a25_gp/a25_rev</f>
        <v>0.574</v>
      </c>
      <c r="D174" s="14" t="n">
        <f aca="false">a26_gp/a26_rev</f>
        <v>0.593344593032623</v>
      </c>
      <c r="E174" s="14" t="n">
        <f aca="false">gm27_B+gm_adj</f>
        <v>0.595</v>
      </c>
      <c r="F174" s="14" t="n">
        <f aca="false">gmL_B+gm_adj</f>
        <v>0.595</v>
      </c>
      <c r="G174" s="14" t="n">
        <f aca="false">gmL_B+gm_adj</f>
        <v>0.595</v>
      </c>
    </row>
    <row r="175" customFormat="false" ht="15" hidden="false" customHeight="false" outlineLevel="0" collapsed="false">
      <c r="A175" s="4" t="s">
        <v>409</v>
      </c>
      <c r="B175" s="0" t="s">
        <v>189</v>
      </c>
      <c r="C175" s="17" t="n">
        <f aca="false">C169*C174</f>
        <v>7.678398</v>
      </c>
      <c r="D175" s="17" t="n">
        <f aca="false">D169*D174</f>
        <v>12.7050801</v>
      </c>
      <c r="E175" s="17" t="n">
        <f aca="false">E169*E174</f>
        <v>16.1276196070749</v>
      </c>
      <c r="F175" s="17" t="n">
        <f aca="false">F169*F174</f>
        <v>16.6099286416298</v>
      </c>
      <c r="G175" s="17" t="n">
        <f aca="false">G169*G174</f>
        <v>19.3647137945213</v>
      </c>
    </row>
    <row r="176" customFormat="false" ht="17.15" hidden="false" customHeight="false" outlineLevel="0" collapsed="false">
      <c r="A176" s="4" t="s">
        <v>510</v>
      </c>
      <c r="B176" s="0" t="s">
        <v>189</v>
      </c>
      <c r="D176" s="17" t="n">
        <f aca="false">a26_opx</f>
        <v>5.05564928556</v>
      </c>
      <c r="E176" s="17" t="n">
        <f aca="false">D176*(1+phi*E170)</f>
        <v>5.86208157453875</v>
      </c>
      <c r="F176" s="17" t="n">
        <f aca="false">E176*(1+phi*F170)</f>
        <v>5.96726764564838</v>
      </c>
      <c r="G176" s="17" t="n">
        <f aca="false">F176*(1+phi*G170)</f>
        <v>6.56107658974084</v>
      </c>
      <c r="K176" s="8" t="s">
        <v>511</v>
      </c>
    </row>
    <row r="177" customFormat="false" ht="15" hidden="false" customHeight="false" outlineLevel="0" collapsed="false">
      <c r="A177" s="4" t="s">
        <v>415</v>
      </c>
      <c r="B177" s="0" t="s">
        <v>189</v>
      </c>
      <c r="D177" s="17" t="n">
        <f aca="false">D175-D176</f>
        <v>7.64943081444</v>
      </c>
      <c r="E177" s="17" t="n">
        <f aca="false">E175-E176</f>
        <v>10.2655380325361</v>
      </c>
      <c r="F177" s="17" t="n">
        <f aca="false">F175-F176</f>
        <v>10.6426609959814</v>
      </c>
      <c r="G177" s="17" t="n">
        <f aca="false">G175-G176</f>
        <v>12.8036372047805</v>
      </c>
    </row>
    <row r="178" customFormat="false" ht="15" hidden="false" customHeight="false" outlineLevel="0" collapsed="false">
      <c r="A178" s="4" t="s">
        <v>482</v>
      </c>
      <c r="B178" s="0" t="s">
        <v>90</v>
      </c>
      <c r="D178" s="14" t="n">
        <f aca="false">D177/D169</f>
        <v>0.357238866484999</v>
      </c>
      <c r="E178" s="14" t="n">
        <f aca="false">E177/E169</f>
        <v>0.378728868746354</v>
      </c>
      <c r="F178" s="14" t="n">
        <f aca="false">F177/F169</f>
        <v>0.381240848725741</v>
      </c>
      <c r="G178" s="14" t="n">
        <f aca="false">G177/G169</f>
        <v>0.393404427128674</v>
      </c>
    </row>
    <row r="179" customFormat="false" ht="15" hidden="false" customHeight="false" outlineLevel="0" collapsed="false">
      <c r="A179" s="4" t="s">
        <v>418</v>
      </c>
      <c r="B179" s="0" t="s">
        <v>189</v>
      </c>
      <c r="C179" s="17" t="n">
        <f aca="false">a25_ni</f>
        <v>3.18</v>
      </c>
      <c r="D179" s="17" t="n">
        <f aca="false">a26_ni</f>
        <v>6.7316248085628</v>
      </c>
      <c r="E179" s="17" t="n">
        <f aca="false">E177*ni_oi</f>
        <v>8.72570732765569</v>
      </c>
      <c r="F179" s="17" t="n">
        <f aca="false">F177*ni_oi</f>
        <v>9.04626184658419</v>
      </c>
      <c r="G179" s="17" t="n">
        <f aca="false">G177*ni_oi</f>
        <v>10.8830916240634</v>
      </c>
      <c r="H179" s="30" t="n">
        <f aca="false">H169*H183</f>
        <v>11.8987707331716</v>
      </c>
      <c r="I179" s="30" t="n">
        <f aca="false">I169*I183</f>
        <v>12.513864489911</v>
      </c>
      <c r="J179" s="30" t="n">
        <f aca="false">J169*J183</f>
        <v>12.6400010698442</v>
      </c>
    </row>
    <row r="180" customFormat="false" ht="15" hidden="false" customHeight="false" outlineLevel="0" collapsed="false">
      <c r="A180" s="4" t="s">
        <v>512</v>
      </c>
      <c r="B180" s="4" t="s">
        <v>513</v>
      </c>
      <c r="C180" s="19" t="n">
        <f aca="false">a25_sh</f>
        <v>94.9537175276202</v>
      </c>
      <c r="D180" s="19" t="n">
        <f aca="false">a26_sh</f>
        <v>97.9860681630967</v>
      </c>
      <c r="E180" s="19" t="n">
        <f aca="false">D180*(1+sh_g)</f>
        <v>97.9860681630967</v>
      </c>
      <c r="F180" s="19" t="n">
        <f aca="false">E180*(1+sh_g)</f>
        <v>97.9860681630967</v>
      </c>
      <c r="G180" s="19" t="n">
        <f aca="false">F180*(1+sh_g)</f>
        <v>97.9860681630967</v>
      </c>
      <c r="H180" s="25" t="n">
        <f aca="false">G180*(1+sh_g)</f>
        <v>97.9860681630967</v>
      </c>
      <c r="I180" s="25" t="n">
        <f aca="false">H180*(1+sh_g)</f>
        <v>97.9860681630967</v>
      </c>
      <c r="J180" s="25" t="n">
        <f aca="false">I180*(1+sh_g)</f>
        <v>97.9860681630967</v>
      </c>
    </row>
    <row r="181" customFormat="false" ht="15" hidden="false" customHeight="false" outlineLevel="0" collapsed="false">
      <c r="A181" s="0" t="s">
        <v>423</v>
      </c>
      <c r="B181" s="0" t="s">
        <v>256</v>
      </c>
      <c r="C181" s="20" t="n">
        <f aca="false">a25_eps</f>
        <v>33.49</v>
      </c>
      <c r="D181" s="20" t="n">
        <f aca="false">a26_eps</f>
        <v>68.6959552317267</v>
      </c>
      <c r="E181" s="20" t="n">
        <f aca="false">E179/E180*1000</f>
        <v>89.0504894341903</v>
      </c>
      <c r="F181" s="20" t="n">
        <f aca="false">F179/F180*1000</f>
        <v>92.3219189847152</v>
      </c>
      <c r="G181" s="20" t="n">
        <f aca="false">G179/G180*1000</f>
        <v>111.067744916028</v>
      </c>
      <c r="H181" s="28" t="n">
        <f aca="false">H179/H180*1000</f>
        <v>121.433291040582</v>
      </c>
      <c r="I181" s="28" t="n">
        <f aca="false">I179/I180*1000</f>
        <v>127.710650345535</v>
      </c>
      <c r="J181" s="28" t="n">
        <f aca="false">J179/J180*1000</f>
        <v>128.997941307381</v>
      </c>
    </row>
    <row r="182" customFormat="false" ht="17.15" hidden="false" customHeight="false" outlineLevel="0" collapsed="false">
      <c r="A182" s="0" t="s">
        <v>514</v>
      </c>
      <c r="B182" s="0" t="s">
        <v>90</v>
      </c>
      <c r="D182" s="22" t="n">
        <f aca="false">D181/C181-1</f>
        <v>1.05123783910799</v>
      </c>
      <c r="E182" s="22" t="n">
        <f aca="false">E181/D181-1</f>
        <v>0.296298874275833</v>
      </c>
      <c r="F182" s="22" t="n">
        <f aca="false">F181/E181-1</f>
        <v>0.0367367947252266</v>
      </c>
      <c r="G182" s="22" t="n">
        <f aca="false">G181/F181-1</f>
        <v>0.203048486615803</v>
      </c>
      <c r="H182" s="26" t="n">
        <f aca="false">H181/G181-1</f>
        <v>0.0933263399953823</v>
      </c>
      <c r="I182" s="26" t="n">
        <f aca="false">I181/H181-1</f>
        <v>0.0516938909516613</v>
      </c>
      <c r="J182" s="26" t="n">
        <f aca="false">J181/I181-1</f>
        <v>0.0100797463513265</v>
      </c>
    </row>
    <row r="183" customFormat="false" ht="17.15" hidden="false" customHeight="false" outlineLevel="0" collapsed="false">
      <c r="A183" s="4" t="s">
        <v>515</v>
      </c>
      <c r="B183" s="0" t="s">
        <v>90</v>
      </c>
      <c r="C183" s="14" t="n">
        <f aca="false">C179/C169</f>
        <v>0.237721462211258</v>
      </c>
      <c r="D183" s="14" t="n">
        <f aca="false">D179/D169</f>
        <v>0.314376072488123</v>
      </c>
      <c r="E183" s="14" t="n">
        <f aca="false">E179/E169</f>
        <v>0.321919538434401</v>
      </c>
      <c r="F183" s="14" t="n">
        <f aca="false">F179/F169</f>
        <v>0.32405472141688</v>
      </c>
      <c r="G183" s="14" t="n">
        <f aca="false">G179/G169</f>
        <v>0.334393763059373</v>
      </c>
      <c r="H183" s="27" t="n">
        <f aca="false">$G183+(fade_mB-$G183)*1/3</f>
        <v>0.325296856605312</v>
      </c>
      <c r="I183" s="27" t="n">
        <f aca="false">$G183+(fade_mB-$G183)*2/3</f>
        <v>0.316199950151251</v>
      </c>
      <c r="J183" s="27" t="n">
        <f aca="false">$G183+(fade_mB-$G183)*3/3</f>
        <v>0.30710304369719</v>
      </c>
    </row>
    <row r="186" customFormat="false" ht="17.15" hidden="false" customHeight="false" outlineLevel="0" collapsed="false">
      <c r="A186" s="1" t="s">
        <v>807</v>
      </c>
    </row>
    <row r="187" customFormat="false" ht="17.15" hidden="false" customHeight="false" outlineLevel="0" collapsed="false">
      <c r="A187" s="5" t="s">
        <v>21</v>
      </c>
      <c r="B187" s="5" t="s">
        <v>22</v>
      </c>
      <c r="C187" s="15" t="s">
        <v>387</v>
      </c>
      <c r="D187" s="15" t="s">
        <v>468</v>
      </c>
      <c r="E187" s="15" t="s">
        <v>469</v>
      </c>
      <c r="F187" s="15" t="s">
        <v>470</v>
      </c>
      <c r="G187" s="15" t="s">
        <v>471</v>
      </c>
      <c r="H187" s="15" t="s">
        <v>472</v>
      </c>
      <c r="I187" s="15" t="s">
        <v>473</v>
      </c>
      <c r="J187" s="15" t="s">
        <v>474</v>
      </c>
      <c r="K187" s="5" t="s">
        <v>336</v>
      </c>
    </row>
    <row r="188" customFormat="false" ht="17.15" hidden="false" customHeight="false" outlineLevel="0" collapsed="false">
      <c r="A188" s="6" t="s">
        <v>492</v>
      </c>
    </row>
    <row r="189" customFormat="false" ht="17.15" hidden="false" customHeight="false" outlineLevel="0" collapsed="false">
      <c r="A189" s="0" t="s">
        <v>493</v>
      </c>
      <c r="B189" s="4" t="s">
        <v>32</v>
      </c>
      <c r="D189" s="20" t="n">
        <f aca="false">units_26</f>
        <v>15.2</v>
      </c>
      <c r="E189" s="20" t="n">
        <f aca="false">units_27*0.8</f>
        <v>18.96</v>
      </c>
      <c r="F189" s="20" t="n">
        <f aca="false">units_28*um28_C*0.8</f>
        <v>12.72</v>
      </c>
      <c r="G189" s="20" t="n">
        <f aca="false">units_29*um29_C*0.8</f>
        <v>14.472</v>
      </c>
    </row>
    <row r="190" customFormat="false" ht="17.15" hidden="false" customHeight="false" outlineLevel="0" collapsed="false">
      <c r="A190" s="4" t="s">
        <v>494</v>
      </c>
      <c r="B190" s="0" t="s">
        <v>45</v>
      </c>
      <c r="D190" s="18" t="n">
        <f aca="false">ex_nv*nvtt_26+astt_26</f>
        <v>0.607994</v>
      </c>
      <c r="E190" s="18" t="n">
        <f aca="false">ex_nv*nvtt_27+astt_27</f>
        <v>0.6560764</v>
      </c>
      <c r="F190" s="18" t="n">
        <f aca="false">ex_nv*nvtt_28+astt_28</f>
        <v>0.6898114</v>
      </c>
      <c r="G190" s="18" t="n">
        <f aca="false">ex_nv*nvtt_29+astt_29</f>
        <v>0.692935</v>
      </c>
      <c r="K190" s="8" t="s">
        <v>495</v>
      </c>
    </row>
    <row r="191" customFormat="false" ht="17.15" hidden="false" customHeight="false" outlineLevel="0" collapsed="false">
      <c r="A191" s="4" t="s">
        <v>447</v>
      </c>
      <c r="B191" s="0" t="s">
        <v>45</v>
      </c>
      <c r="D191" s="18" t="n">
        <f aca="false">D189*D190/($D189*$D190)</f>
        <v>1</v>
      </c>
      <c r="E191" s="18" t="n">
        <f aca="false">E189*E190/($D189*$D190)</f>
        <v>1.34601490007779</v>
      </c>
      <c r="F191" s="18" t="n">
        <f aca="false">F189*F190/($D189*$D190)</f>
        <v>0.949455462077794</v>
      </c>
      <c r="G191" s="18" t="n">
        <f aca="false">G189*G190/($D189*$D190)</f>
        <v>1.08512100534926</v>
      </c>
    </row>
    <row r="192" customFormat="false" ht="17.15" hidden="false" customHeight="false" outlineLevel="0" collapsed="false">
      <c r="A192" s="4" t="s">
        <v>496</v>
      </c>
      <c r="B192" s="0" t="s">
        <v>45</v>
      </c>
      <c r="D192" s="20" t="n">
        <f aca="false">1</f>
        <v>1</v>
      </c>
      <c r="E192" s="20" t="n">
        <f aca="false">rel27_C</f>
        <v>0.92</v>
      </c>
      <c r="F192" s="20" t="n">
        <f aca="false">rel28_C</f>
        <v>0.88</v>
      </c>
      <c r="G192" s="20" t="n">
        <f aca="false">rel29_C</f>
        <v>0.85</v>
      </c>
    </row>
    <row r="193" customFormat="false" ht="17.15" hidden="false" customHeight="false" outlineLevel="0" collapsed="false">
      <c r="A193" s="4" t="s">
        <v>497</v>
      </c>
      <c r="B193" s="0" t="s">
        <v>45</v>
      </c>
      <c r="D193" s="18" t="n">
        <f aca="false">1</f>
        <v>1</v>
      </c>
      <c r="E193" s="18" t="n">
        <f aca="false">(1+g_ct)^1</f>
        <v>1.05</v>
      </c>
      <c r="F193" s="18" t="n">
        <f aca="false">(1+g_ct)^2</f>
        <v>1.1025</v>
      </c>
      <c r="G193" s="18" t="n">
        <f aca="false">(1+g_ct)^3</f>
        <v>1.157625</v>
      </c>
    </row>
    <row r="194" customFormat="false" ht="17.15" hidden="false" customHeight="false" outlineLevel="0" collapsed="false">
      <c r="A194" s="6" t="s">
        <v>498</v>
      </c>
    </row>
    <row r="195" customFormat="false" ht="17.15" hidden="false" customHeight="false" outlineLevel="0" collapsed="false">
      <c r="A195" s="0" t="s">
        <v>401</v>
      </c>
      <c r="B195" s="0" t="s">
        <v>189</v>
      </c>
      <c r="C195" s="17" t="n">
        <f aca="false">a25_ai</f>
        <v>5.4297243</v>
      </c>
      <c r="D195" s="17" t="n">
        <f aca="false">a26_ai</f>
        <v>9.5342409</v>
      </c>
      <c r="E195" s="17" t="n">
        <f aca="false">$D195*E191*E192*E193</f>
        <v>12.3969004817118</v>
      </c>
      <c r="F195" s="17" t="n">
        <f aca="false">$D195*F191*F192*F193</f>
        <v>8.78257745371224</v>
      </c>
      <c r="G195" s="17" t="n">
        <f aca="false">$D195*G191*G192*G193</f>
        <v>10.1800782056745</v>
      </c>
      <c r="K195" s="8" t="s">
        <v>499</v>
      </c>
    </row>
    <row r="196" customFormat="false" ht="17.15" hidden="false" customHeight="false" outlineLevel="0" collapsed="false">
      <c r="A196" s="4" t="s">
        <v>404</v>
      </c>
      <c r="B196" s="0" t="s">
        <v>189</v>
      </c>
      <c r="C196" s="17" t="n">
        <f aca="false">a25_npc</f>
        <v>4.4425017</v>
      </c>
      <c r="D196" s="17" t="n">
        <f aca="false">a26_npc</f>
        <v>6.3561606</v>
      </c>
      <c r="E196" s="17" t="n">
        <f aca="false">D196*(1+g_nonai+d_npc)</f>
        <v>6.801091842</v>
      </c>
      <c r="F196" s="17" t="n">
        <f aca="false">E196*(1+g_nonai+d_npc)</f>
        <v>7.27716827094</v>
      </c>
      <c r="G196" s="17" t="n">
        <f aca="false">F196*(1+g_nonai+d_npc)</f>
        <v>7.7865700499058</v>
      </c>
      <c r="K196" s="4" t="s">
        <v>500</v>
      </c>
    </row>
    <row r="197" customFormat="false" ht="15" hidden="false" customHeight="false" outlineLevel="0" collapsed="false">
      <c r="A197" s="4" t="s">
        <v>398</v>
      </c>
      <c r="B197" s="0" t="s">
        <v>189</v>
      </c>
      <c r="C197" s="17" t="n">
        <f aca="false">C195+C196</f>
        <v>9.872226</v>
      </c>
      <c r="D197" s="17" t="n">
        <f aca="false">D195+D196</f>
        <v>15.8904015</v>
      </c>
      <c r="E197" s="17" t="n">
        <f aca="false">E195+E196</f>
        <v>19.1979923237118</v>
      </c>
      <c r="F197" s="17" t="n">
        <f aca="false">F195+F196</f>
        <v>16.0597457246522</v>
      </c>
      <c r="G197" s="17" t="n">
        <f aca="false">G195+G196</f>
        <v>17.9666482555803</v>
      </c>
    </row>
    <row r="198" customFormat="false" ht="17.15" hidden="false" customHeight="false" outlineLevel="0" collapsed="false">
      <c r="A198" s="0" t="s">
        <v>501</v>
      </c>
      <c r="B198" s="0" t="s">
        <v>189</v>
      </c>
      <c r="D198" s="17" t="n">
        <f aca="false">k_cpo*cpo_A_26/cpo_A_27</f>
        <v>0.24</v>
      </c>
      <c r="E198" s="17" t="n">
        <f aca="false">k_cpo*cpo_C_27/cpo_A_27</f>
        <v>0.48</v>
      </c>
      <c r="F198" s="17" t="n">
        <f aca="false">k_cpo*cpo_C_28/cpo_A_27</f>
        <v>0.72</v>
      </c>
      <c r="G198" s="17" t="n">
        <f aca="false">k_cpo*cpo_C_29/cpo_A_27</f>
        <v>1.2</v>
      </c>
      <c r="K198" s="8" t="s">
        <v>502</v>
      </c>
    </row>
    <row r="199" customFormat="false" ht="17.15" hidden="false" customHeight="false" outlineLevel="0" collapsed="false">
      <c r="A199" s="4" t="s">
        <v>503</v>
      </c>
      <c r="B199" s="0" t="s">
        <v>189</v>
      </c>
      <c r="C199" s="17" t="n">
        <f aca="false">a25_eq</f>
        <v>3.290742</v>
      </c>
      <c r="D199" s="17" t="n">
        <f aca="false">a26_eq-D198</f>
        <v>4.8539955</v>
      </c>
      <c r="E199" s="17" t="n">
        <f aca="false">D199*semi_27</f>
        <v>5.659593717153</v>
      </c>
      <c r="F199" s="17" t="n">
        <f aca="false">$E199*eqk28_C</f>
        <v>4.5276749737224</v>
      </c>
      <c r="G199" s="17" t="n">
        <f aca="false">$E199*eqk29_C</f>
        <v>5.659593717153</v>
      </c>
      <c r="K199" s="8" t="s">
        <v>504</v>
      </c>
    </row>
    <row r="200" customFormat="false" ht="15" hidden="false" customHeight="false" outlineLevel="0" collapsed="false">
      <c r="A200" s="4" t="s">
        <v>405</v>
      </c>
      <c r="B200" s="0" t="s">
        <v>189</v>
      </c>
      <c r="C200" s="17" t="n">
        <f aca="false">a25_eq</f>
        <v>3.290742</v>
      </c>
      <c r="D200" s="17" t="n">
        <f aca="false">D198+D199</f>
        <v>5.0939955</v>
      </c>
      <c r="E200" s="17" t="n">
        <f aca="false">E198+E199</f>
        <v>6.139593717153</v>
      </c>
      <c r="F200" s="17" t="n">
        <f aca="false">F198+F199</f>
        <v>5.2476749737224</v>
      </c>
      <c r="G200" s="17" t="n">
        <f aca="false">G198+G199</f>
        <v>6.859593717153</v>
      </c>
    </row>
    <row r="201" customFormat="false" ht="15" hidden="false" customHeight="false" outlineLevel="0" collapsed="false">
      <c r="A201" s="4" t="s">
        <v>407</v>
      </c>
      <c r="B201" s="0" t="s">
        <v>189</v>
      </c>
      <c r="C201" s="17" t="n">
        <f aca="false">a25_oth</f>
        <v>0.214032000000001</v>
      </c>
      <c r="D201" s="17" t="n">
        <f aca="false">a26_oth</f>
        <v>0.428253</v>
      </c>
      <c r="E201" s="17" t="n">
        <f aca="false">D201*(1+g_oth)</f>
        <v>0.44966565</v>
      </c>
      <c r="F201" s="17" t="n">
        <f aca="false">E201*(1+g_oth)</f>
        <v>0.4721489325</v>
      </c>
      <c r="G201" s="17" t="n">
        <f aca="false">F201*(1+g_oth)</f>
        <v>0.495756379125</v>
      </c>
    </row>
    <row r="202" customFormat="false" ht="17.15" hidden="false" customHeight="false" outlineLevel="0" collapsed="false">
      <c r="A202" s="4" t="s">
        <v>394</v>
      </c>
      <c r="B202" s="0" t="s">
        <v>189</v>
      </c>
      <c r="C202" s="17" t="n">
        <f aca="false">C197+C200+C201</f>
        <v>13.377</v>
      </c>
      <c r="D202" s="17" t="n">
        <f aca="false">D197+D200+D201</f>
        <v>21.41265</v>
      </c>
      <c r="E202" s="17" t="n">
        <f aca="false">E197+E200+E201</f>
        <v>25.7872516908648</v>
      </c>
      <c r="F202" s="17" t="n">
        <f aca="false">F197+F200+F201</f>
        <v>21.7795696308746</v>
      </c>
      <c r="G202" s="17" t="n">
        <f aca="false">G197+G200+G201</f>
        <v>25.3219983518583</v>
      </c>
      <c r="H202" s="30" t="n">
        <f aca="false">G202*(1+H203)</f>
        <v>28.236546193744</v>
      </c>
      <c r="I202" s="30" t="n">
        <f aca="false">H202*(1+I203)</f>
        <v>30.1439169895366</v>
      </c>
      <c r="J202" s="30" t="n">
        <f aca="false">I202*(1+J203)</f>
        <v>30.7467953293273</v>
      </c>
      <c r="K202" s="8" t="s">
        <v>505</v>
      </c>
    </row>
    <row r="203" customFormat="false" ht="15" hidden="false" customHeight="false" outlineLevel="0" collapsed="false">
      <c r="A203" s="4" t="s">
        <v>506</v>
      </c>
      <c r="B203" s="0" t="s">
        <v>90</v>
      </c>
      <c r="D203" s="22" t="n">
        <f aca="false">D202/C202-1</f>
        <v>0.600706436420722</v>
      </c>
      <c r="E203" s="22" t="n">
        <f aca="false">E202/D202-1</f>
        <v>0.204299873713193</v>
      </c>
      <c r="F203" s="22" t="n">
        <f aca="false">F202/E202-1</f>
        <v>-0.155413306855414</v>
      </c>
      <c r="G203" s="22" t="n">
        <f aca="false">G202/F202-1</f>
        <v>0.162649160705267</v>
      </c>
      <c r="H203" s="26" t="n">
        <f aca="false">$G203+(fade_gC-$G203)*1/3</f>
        <v>0.115099440470178</v>
      </c>
      <c r="I203" s="26" t="n">
        <f aca="false">$G203+(fade_gC-$G203)*2/3</f>
        <v>0.067549720235089</v>
      </c>
      <c r="J203" s="26" t="n">
        <f aca="false">$G203+(fade_gC-$G203)*3/3</f>
        <v>0.02</v>
      </c>
    </row>
    <row r="204" customFormat="false" ht="17.15" hidden="false" customHeight="false" outlineLevel="0" collapsed="false">
      <c r="A204" s="0" t="s">
        <v>507</v>
      </c>
      <c r="B204" s="0" t="s">
        <v>90</v>
      </c>
      <c r="C204" s="22" t="n">
        <f aca="false">C195/C202</f>
        <v>0.4059</v>
      </c>
      <c r="D204" s="22" t="n">
        <f aca="false">D195/D202</f>
        <v>0.445262071719287</v>
      </c>
      <c r="E204" s="22" t="n">
        <f aca="false">E195/E202</f>
        <v>0.480737560959373</v>
      </c>
      <c r="F204" s="22" t="n">
        <f aca="false">F195/F202</f>
        <v>0.403248438906804</v>
      </c>
      <c r="G204" s="22" t="n">
        <f aca="false">G195/G202</f>
        <v>0.402025071805892</v>
      </c>
    </row>
    <row r="205" customFormat="false" ht="17.15" hidden="false" customHeight="false" outlineLevel="0" collapsed="false">
      <c r="A205" s="4" t="s">
        <v>508</v>
      </c>
      <c r="B205" s="0" t="s">
        <v>90</v>
      </c>
      <c r="C205" s="22" t="n">
        <f aca="false">C197/C202</f>
        <v>0.738</v>
      </c>
      <c r="D205" s="22" t="n">
        <f aca="false">D197/D202</f>
        <v>0.742103452865479</v>
      </c>
      <c r="E205" s="22" t="n">
        <f aca="false">E197/E202</f>
        <v>0.744476090506098</v>
      </c>
      <c r="F205" s="22" t="n">
        <f aca="false">F197/F202</f>
        <v>0.737376633094072</v>
      </c>
      <c r="G205" s="22" t="n">
        <f aca="false">G197/G202</f>
        <v>0.709527265815567</v>
      </c>
    </row>
    <row r="206" customFormat="false" ht="17.15" hidden="false" customHeight="false" outlineLevel="0" collapsed="false">
      <c r="A206" s="6" t="s">
        <v>509</v>
      </c>
    </row>
    <row r="207" customFormat="false" ht="15" hidden="false" customHeight="false" outlineLevel="0" collapsed="false">
      <c r="A207" s="4" t="s">
        <v>412</v>
      </c>
      <c r="B207" s="0" t="s">
        <v>90</v>
      </c>
      <c r="C207" s="14" t="n">
        <f aca="false">a25_gp/a25_rev</f>
        <v>0.574</v>
      </c>
      <c r="D207" s="14" t="n">
        <f aca="false">a26_gp/a26_rev</f>
        <v>0.593344593032623</v>
      </c>
      <c r="E207" s="14" t="n">
        <f aca="false">gm27_C+gm_adj</f>
        <v>0.58</v>
      </c>
      <c r="F207" s="14" t="n">
        <f aca="false">gmL_C+gm_adj</f>
        <v>0.565</v>
      </c>
      <c r="G207" s="14" t="n">
        <f aca="false">gmL_C+gm_adj</f>
        <v>0.565</v>
      </c>
    </row>
    <row r="208" customFormat="false" ht="15" hidden="false" customHeight="false" outlineLevel="0" collapsed="false">
      <c r="A208" s="4" t="s">
        <v>409</v>
      </c>
      <c r="B208" s="0" t="s">
        <v>189</v>
      </c>
      <c r="C208" s="17" t="n">
        <f aca="false">C202*C207</f>
        <v>7.678398</v>
      </c>
      <c r="D208" s="17" t="n">
        <f aca="false">D202*D207</f>
        <v>12.7050801</v>
      </c>
      <c r="E208" s="17" t="n">
        <f aca="false">E202*E207</f>
        <v>14.9566059807016</v>
      </c>
      <c r="F208" s="17" t="n">
        <f aca="false">F202*F207</f>
        <v>12.3054568414442</v>
      </c>
      <c r="G208" s="17" t="n">
        <f aca="false">G202*G207</f>
        <v>14.3069290688</v>
      </c>
    </row>
    <row r="209" customFormat="false" ht="17.15" hidden="false" customHeight="false" outlineLevel="0" collapsed="false">
      <c r="A209" s="4" t="s">
        <v>510</v>
      </c>
      <c r="B209" s="0" t="s">
        <v>189</v>
      </c>
      <c r="D209" s="17" t="n">
        <f aca="false">a26_opx</f>
        <v>5.05564928556</v>
      </c>
      <c r="E209" s="17" t="n">
        <f aca="false">D209*(1+phi*E203)</f>
        <v>5.67537039190686</v>
      </c>
      <c r="F209" s="17" t="n">
        <f aca="false">E209*(1+phi*F203)</f>
        <v>5.14615354376553</v>
      </c>
      <c r="G209" s="17" t="n">
        <f aca="false">F209*(1+phi*G203)</f>
        <v>5.64836407661787</v>
      </c>
      <c r="K209" s="8" t="s">
        <v>511</v>
      </c>
    </row>
    <row r="210" customFormat="false" ht="15" hidden="false" customHeight="false" outlineLevel="0" collapsed="false">
      <c r="A210" s="4" t="s">
        <v>415</v>
      </c>
      <c r="B210" s="0" t="s">
        <v>189</v>
      </c>
      <c r="D210" s="17" t="n">
        <f aca="false">D208-D209</f>
        <v>7.64943081444</v>
      </c>
      <c r="E210" s="17" t="n">
        <f aca="false">E208-E209</f>
        <v>9.28123558879473</v>
      </c>
      <c r="F210" s="17" t="n">
        <f aca="false">F208-F209</f>
        <v>7.15930329767864</v>
      </c>
      <c r="G210" s="17" t="n">
        <f aca="false">G208-G209</f>
        <v>8.65856499218208</v>
      </c>
    </row>
    <row r="211" customFormat="false" ht="15" hidden="false" customHeight="false" outlineLevel="0" collapsed="false">
      <c r="A211" s="4" t="s">
        <v>482</v>
      </c>
      <c r="B211" s="0" t="s">
        <v>90</v>
      </c>
      <c r="D211" s="14" t="n">
        <f aca="false">D210/D202</f>
        <v>0.357238866484999</v>
      </c>
      <c r="E211" s="14" t="n">
        <f aca="false">E210/E202</f>
        <v>0.359915655225975</v>
      </c>
      <c r="F211" s="14" t="n">
        <f aca="false">F210/F202</f>
        <v>0.32871647231861</v>
      </c>
      <c r="G211" s="14" t="n">
        <f aca="false">G210/G202</f>
        <v>0.341938454930302</v>
      </c>
    </row>
    <row r="212" customFormat="false" ht="15" hidden="false" customHeight="false" outlineLevel="0" collapsed="false">
      <c r="A212" s="4" t="s">
        <v>418</v>
      </c>
      <c r="B212" s="0" t="s">
        <v>189</v>
      </c>
      <c r="C212" s="17" t="n">
        <f aca="false">a25_ni</f>
        <v>3.18</v>
      </c>
      <c r="D212" s="17" t="n">
        <f aca="false">a26_ni</f>
        <v>6.7316248085628</v>
      </c>
      <c r="E212" s="17" t="n">
        <f aca="false">E210*ni_oi</f>
        <v>7.88905025047552</v>
      </c>
      <c r="F212" s="17" t="n">
        <f aca="false">F210*ni_oi</f>
        <v>6.08540780302684</v>
      </c>
      <c r="G212" s="17" t="n">
        <f aca="false">G210*ni_oi</f>
        <v>7.35978024335477</v>
      </c>
      <c r="H212" s="30" t="n">
        <f aca="false">H202*H216</f>
        <v>7.70354041344738</v>
      </c>
      <c r="I212" s="30" t="n">
        <f aca="false">I202*I216</f>
        <v>7.68656508558391</v>
      </c>
      <c r="J212" s="30" t="n">
        <f aca="false">J202*J216</f>
        <v>7.29220211313181</v>
      </c>
    </row>
    <row r="213" customFormat="false" ht="15" hidden="false" customHeight="false" outlineLevel="0" collapsed="false">
      <c r="A213" s="4" t="s">
        <v>512</v>
      </c>
      <c r="B213" s="4" t="s">
        <v>513</v>
      </c>
      <c r="C213" s="19" t="n">
        <f aca="false">a25_sh</f>
        <v>94.9537175276202</v>
      </c>
      <c r="D213" s="19" t="n">
        <f aca="false">a26_sh</f>
        <v>97.9860681630967</v>
      </c>
      <c r="E213" s="19" t="n">
        <f aca="false">D213*(1+sh_g)</f>
        <v>97.9860681630967</v>
      </c>
      <c r="F213" s="19" t="n">
        <f aca="false">E213*(1+sh_g)</f>
        <v>97.9860681630967</v>
      </c>
      <c r="G213" s="19" t="n">
        <f aca="false">F213*(1+sh_g)</f>
        <v>97.9860681630967</v>
      </c>
      <c r="H213" s="25" t="n">
        <f aca="false">G213*(1+sh_g)</f>
        <v>97.9860681630967</v>
      </c>
      <c r="I213" s="25" t="n">
        <f aca="false">H213*(1+sh_g)</f>
        <v>97.9860681630967</v>
      </c>
      <c r="J213" s="25" t="n">
        <f aca="false">I213*(1+sh_g)</f>
        <v>97.9860681630967</v>
      </c>
    </row>
    <row r="214" customFormat="false" ht="15" hidden="false" customHeight="false" outlineLevel="0" collapsed="false">
      <c r="A214" s="0" t="s">
        <v>423</v>
      </c>
      <c r="B214" s="0" t="s">
        <v>256</v>
      </c>
      <c r="C214" s="20" t="n">
        <f aca="false">a25_eps</f>
        <v>33.49</v>
      </c>
      <c r="D214" s="20" t="n">
        <f aca="false">a26_eps</f>
        <v>68.6959552317267</v>
      </c>
      <c r="E214" s="20" t="n">
        <f aca="false">E212/E213*1000</f>
        <v>80.5119584688742</v>
      </c>
      <c r="F214" s="20" t="n">
        <f aca="false">F212/F213*1000</f>
        <v>62.1048269116968</v>
      </c>
      <c r="G214" s="20" t="n">
        <f aca="false">G212/G213*1000</f>
        <v>75.1104762271357</v>
      </c>
      <c r="H214" s="28" t="n">
        <f aca="false">H212/H213*1000</f>
        <v>78.6187318040451</v>
      </c>
      <c r="I214" s="28" t="n">
        <f aca="false">I212/I213*1000</f>
        <v>78.4454895443882</v>
      </c>
      <c r="J214" s="28" t="n">
        <f aca="false">J212/J213*1000</f>
        <v>74.4208054250532</v>
      </c>
    </row>
    <row r="215" customFormat="false" ht="17.15" hidden="false" customHeight="false" outlineLevel="0" collapsed="false">
      <c r="A215" s="0" t="s">
        <v>514</v>
      </c>
      <c r="B215" s="0" t="s">
        <v>90</v>
      </c>
      <c r="D215" s="22" t="n">
        <f aca="false">D214/C214-1</f>
        <v>1.05123783910799</v>
      </c>
      <c r="E215" s="22" t="n">
        <f aca="false">E214/D214-1</f>
        <v>0.172004351599588</v>
      </c>
      <c r="F215" s="22" t="n">
        <f aca="false">F214/E214-1</f>
        <v>-0.228626056392524</v>
      </c>
      <c r="G215" s="22" t="n">
        <f aca="false">G214/F214-1</f>
        <v>0.2094144684427</v>
      </c>
      <c r="H215" s="26" t="n">
        <f aca="false">H214/G214-1</f>
        <v>0.0467079394663985</v>
      </c>
      <c r="I215" s="26" t="n">
        <f aca="false">I214/H214-1</f>
        <v>-0.00220357484382605</v>
      </c>
      <c r="J215" s="26" t="n">
        <f aca="false">J214/I214-1</f>
        <v>-0.0513054879599888</v>
      </c>
    </row>
    <row r="216" customFormat="false" ht="17.15" hidden="false" customHeight="false" outlineLevel="0" collapsed="false">
      <c r="A216" s="4" t="s">
        <v>515</v>
      </c>
      <c r="B216" s="0" t="s">
        <v>90</v>
      </c>
      <c r="C216" s="14" t="n">
        <f aca="false">C212/C202</f>
        <v>0.237721462211258</v>
      </c>
      <c r="D216" s="14" t="n">
        <f aca="false">D212/D202</f>
        <v>0.314376072488123</v>
      </c>
      <c r="E216" s="14" t="n">
        <f aca="false">E212/E202</f>
        <v>0.305928306942078</v>
      </c>
      <c r="F216" s="14" t="n">
        <f aca="false">F212/F202</f>
        <v>0.279409001470818</v>
      </c>
      <c r="G216" s="14" t="n">
        <f aca="false">G212/G202</f>
        <v>0.290647686690756</v>
      </c>
      <c r="H216" s="27" t="n">
        <f aca="false">$G216+(fade_mC-$G216)*1/3</f>
        <v>0.27282162487543</v>
      </c>
      <c r="I216" s="27" t="n">
        <f aca="false">$G216+(fade_mC-$G216)*2/3</f>
        <v>0.254995563060104</v>
      </c>
      <c r="J216" s="27" t="n">
        <f aca="false">$G216+(fade_mC-$G216)*3/3</f>
        <v>0.237169501244778</v>
      </c>
    </row>
    <row r="219" customFormat="false" ht="17.15" hidden="false" customHeight="false" outlineLevel="0" collapsed="false">
      <c r="A219" s="1" t="s">
        <v>808</v>
      </c>
    </row>
    <row r="220" customFormat="false" ht="17.15" hidden="false" customHeight="false" outlineLevel="0" collapsed="false">
      <c r="A220" s="5" t="s">
        <v>21</v>
      </c>
      <c r="B220" s="5" t="s">
        <v>22</v>
      </c>
      <c r="C220" s="15" t="s">
        <v>387</v>
      </c>
      <c r="D220" s="15" t="s">
        <v>468</v>
      </c>
      <c r="E220" s="15" t="s">
        <v>469</v>
      </c>
      <c r="F220" s="15" t="s">
        <v>470</v>
      </c>
      <c r="G220" s="15" t="s">
        <v>471</v>
      </c>
      <c r="H220" s="15" t="s">
        <v>472</v>
      </c>
      <c r="I220" s="15" t="s">
        <v>473</v>
      </c>
      <c r="J220" s="15" t="s">
        <v>474</v>
      </c>
      <c r="K220" s="5" t="s">
        <v>336</v>
      </c>
    </row>
    <row r="221" customFormat="false" ht="17.15" hidden="false" customHeight="false" outlineLevel="0" collapsed="false">
      <c r="A221" s="6" t="s">
        <v>492</v>
      </c>
    </row>
    <row r="222" customFormat="false" ht="17.15" hidden="false" customHeight="false" outlineLevel="0" collapsed="false">
      <c r="A222" s="0" t="s">
        <v>493</v>
      </c>
      <c r="B222" s="4" t="s">
        <v>32</v>
      </c>
      <c r="D222" s="20" t="n">
        <f aca="false">units_26</f>
        <v>15.2</v>
      </c>
      <c r="E222" s="20" t="n">
        <f aca="false">units_27*1.2</f>
        <v>28.44</v>
      </c>
      <c r="F222" s="20" t="n">
        <f aca="false">units_28*um28_A*1.2</f>
        <v>31.8</v>
      </c>
      <c r="G222" s="20" t="n">
        <f aca="false">units_29*um29_A*1.2</f>
        <v>36.18</v>
      </c>
    </row>
    <row r="223" customFormat="false" ht="17.15" hidden="false" customHeight="false" outlineLevel="0" collapsed="false">
      <c r="A223" s="4" t="s">
        <v>494</v>
      </c>
      <c r="B223" s="0" t="s">
        <v>45</v>
      </c>
      <c r="D223" s="18" t="n">
        <f aca="false">ex_nv*nvtt_26+astt_26</f>
        <v>0.607994</v>
      </c>
      <c r="E223" s="18" t="n">
        <f aca="false">ex_nv*nvtt_27+astt_27</f>
        <v>0.6560764</v>
      </c>
      <c r="F223" s="18" t="n">
        <f aca="false">ex_nv*nvtt_28+astt_28</f>
        <v>0.6898114</v>
      </c>
      <c r="G223" s="18" t="n">
        <f aca="false">ex_nv*nvtt_29+astt_29</f>
        <v>0.692935</v>
      </c>
      <c r="K223" s="8" t="s">
        <v>495</v>
      </c>
    </row>
    <row r="224" customFormat="false" ht="17.15" hidden="false" customHeight="false" outlineLevel="0" collapsed="false">
      <c r="A224" s="4" t="s">
        <v>447</v>
      </c>
      <c r="B224" s="0" t="s">
        <v>45</v>
      </c>
      <c r="D224" s="18" t="n">
        <f aca="false">D222*D223/($D222*$D223)</f>
        <v>1</v>
      </c>
      <c r="E224" s="18" t="n">
        <f aca="false">E222*E223/($D222*$D223)</f>
        <v>2.01902235011668</v>
      </c>
      <c r="F224" s="18" t="n">
        <f aca="false">F222*F223/($D222*$D223)</f>
        <v>2.37363865519448</v>
      </c>
      <c r="G224" s="18" t="n">
        <f aca="false">G222*G223/($D222*$D223)</f>
        <v>2.71280251337314</v>
      </c>
    </row>
    <row r="225" customFormat="false" ht="17.15" hidden="false" customHeight="false" outlineLevel="0" collapsed="false">
      <c r="A225" s="4" t="s">
        <v>496</v>
      </c>
      <c r="B225" s="0" t="s">
        <v>45</v>
      </c>
      <c r="D225" s="20" t="n">
        <f aca="false">1</f>
        <v>1</v>
      </c>
      <c r="E225" s="20" t="n">
        <f aca="false">rel27_A</f>
        <v>1.05</v>
      </c>
      <c r="F225" s="20" t="n">
        <f aca="false">rel28_A</f>
        <v>1.08</v>
      </c>
      <c r="G225" s="20" t="n">
        <f aca="false">rel29_A</f>
        <v>1.1</v>
      </c>
    </row>
    <row r="226" customFormat="false" ht="17.15" hidden="false" customHeight="false" outlineLevel="0" collapsed="false">
      <c r="A226" s="4" t="s">
        <v>497</v>
      </c>
      <c r="B226" s="0" t="s">
        <v>45</v>
      </c>
      <c r="D226" s="18" t="n">
        <f aca="false">1</f>
        <v>1</v>
      </c>
      <c r="E226" s="18" t="n">
        <f aca="false">(1+g_ct)^1</f>
        <v>1.05</v>
      </c>
      <c r="F226" s="18" t="n">
        <f aca="false">(1+g_ct)^2</f>
        <v>1.1025</v>
      </c>
      <c r="G226" s="18" t="n">
        <f aca="false">(1+g_ct)^3</f>
        <v>1.157625</v>
      </c>
    </row>
    <row r="227" customFormat="false" ht="17.15" hidden="false" customHeight="false" outlineLevel="0" collapsed="false">
      <c r="A227" s="6" t="s">
        <v>498</v>
      </c>
    </row>
    <row r="228" customFormat="false" ht="17.15" hidden="false" customHeight="false" outlineLevel="0" collapsed="false">
      <c r="A228" s="0" t="s">
        <v>401</v>
      </c>
      <c r="B228" s="0" t="s">
        <v>189</v>
      </c>
      <c r="C228" s="17" t="n">
        <f aca="false">a25_ai</f>
        <v>5.4297243</v>
      </c>
      <c r="D228" s="17" t="n">
        <f aca="false">a26_ai</f>
        <v>9.5342409</v>
      </c>
      <c r="E228" s="17" t="n">
        <f aca="false">$D228*E224*E225*E226</f>
        <v>21.2229546290175</v>
      </c>
      <c r="F228" s="17" t="n">
        <f aca="false">$D228*F224*F225*F226</f>
        <v>26.9465444602535</v>
      </c>
      <c r="G228" s="17" t="n">
        <f aca="false">$D228*G224*G225*G226</f>
        <v>32.9355471360058</v>
      </c>
      <c r="K228" s="8" t="s">
        <v>499</v>
      </c>
    </row>
    <row r="229" customFormat="false" ht="17.15" hidden="false" customHeight="false" outlineLevel="0" collapsed="false">
      <c r="A229" s="4" t="s">
        <v>404</v>
      </c>
      <c r="B229" s="0" t="s">
        <v>189</v>
      </c>
      <c r="C229" s="17" t="n">
        <f aca="false">a25_npc</f>
        <v>4.4425017</v>
      </c>
      <c r="D229" s="17" t="n">
        <f aca="false">a26_npc</f>
        <v>6.3561606</v>
      </c>
      <c r="E229" s="17" t="n">
        <f aca="false">D229*(1+g_nonai+d_npc)</f>
        <v>6.801091842</v>
      </c>
      <c r="F229" s="17" t="n">
        <f aca="false">E229*(1+g_nonai+d_npc)</f>
        <v>7.27716827094</v>
      </c>
      <c r="G229" s="17" t="n">
        <f aca="false">F229*(1+g_nonai+d_npc)</f>
        <v>7.7865700499058</v>
      </c>
      <c r="K229" s="4" t="s">
        <v>500</v>
      </c>
    </row>
    <row r="230" customFormat="false" ht="15" hidden="false" customHeight="false" outlineLevel="0" collapsed="false">
      <c r="A230" s="4" t="s">
        <v>398</v>
      </c>
      <c r="B230" s="0" t="s">
        <v>189</v>
      </c>
      <c r="C230" s="17" t="n">
        <f aca="false">C228+C229</f>
        <v>9.872226</v>
      </c>
      <c r="D230" s="17" t="n">
        <f aca="false">D228+D229</f>
        <v>15.8904015</v>
      </c>
      <c r="E230" s="17" t="n">
        <f aca="false">E228+E229</f>
        <v>28.0240464710175</v>
      </c>
      <c r="F230" s="17" t="n">
        <f aca="false">F228+F229</f>
        <v>34.2237127311935</v>
      </c>
      <c r="G230" s="17" t="n">
        <f aca="false">G228+G229</f>
        <v>40.7221171859116</v>
      </c>
    </row>
    <row r="231" customFormat="false" ht="17.15" hidden="false" customHeight="false" outlineLevel="0" collapsed="false">
      <c r="A231" s="0" t="s">
        <v>501</v>
      </c>
      <c r="B231" s="0" t="s">
        <v>189</v>
      </c>
      <c r="D231" s="17" t="n">
        <f aca="false">k_cpo*cpo_A_26/cpo_A_27</f>
        <v>0.24</v>
      </c>
      <c r="E231" s="17" t="n">
        <f aca="false">k_cpo*cpo_A_27/cpo_A_27</f>
        <v>1.2</v>
      </c>
      <c r="F231" s="17" t="n">
        <f aca="false">k_cpo*cpo_A_28/cpo_A_27</f>
        <v>2.4</v>
      </c>
      <c r="G231" s="17" t="n">
        <f aca="false">k_cpo*cpo_A_29/cpo_A_27</f>
        <v>3.84</v>
      </c>
      <c r="K231" s="8" t="s">
        <v>502</v>
      </c>
    </row>
    <row r="232" customFormat="false" ht="17.15" hidden="false" customHeight="false" outlineLevel="0" collapsed="false">
      <c r="A232" s="4" t="s">
        <v>503</v>
      </c>
      <c r="B232" s="0" t="s">
        <v>189</v>
      </c>
      <c r="C232" s="17" t="n">
        <f aca="false">a25_eq</f>
        <v>3.290742</v>
      </c>
      <c r="D232" s="17" t="n">
        <f aca="false">a26_eq-D231</f>
        <v>4.8539955</v>
      </c>
      <c r="E232" s="17" t="n">
        <f aca="false">D232*semi_27</f>
        <v>5.659593717153</v>
      </c>
      <c r="F232" s="17" t="n">
        <f aca="false">$E232*eqk28_A</f>
        <v>6.59889384801401</v>
      </c>
      <c r="G232" s="17" t="n">
        <f aca="false">$E232*eqk29_A</f>
        <v>7.12680377116889</v>
      </c>
      <c r="K232" s="8" t="s">
        <v>504</v>
      </c>
    </row>
    <row r="233" customFormat="false" ht="15" hidden="false" customHeight="false" outlineLevel="0" collapsed="false">
      <c r="A233" s="4" t="s">
        <v>405</v>
      </c>
      <c r="B233" s="0" t="s">
        <v>189</v>
      </c>
      <c r="C233" s="17" t="n">
        <f aca="false">a25_eq</f>
        <v>3.290742</v>
      </c>
      <c r="D233" s="17" t="n">
        <f aca="false">D231+D232</f>
        <v>5.0939955</v>
      </c>
      <c r="E233" s="17" t="n">
        <f aca="false">E231+E232</f>
        <v>6.859593717153</v>
      </c>
      <c r="F233" s="17" t="n">
        <f aca="false">F231+F232</f>
        <v>8.99889384801401</v>
      </c>
      <c r="G233" s="17" t="n">
        <f aca="false">G231+G232</f>
        <v>10.9668037711689</v>
      </c>
    </row>
    <row r="234" customFormat="false" ht="15" hidden="false" customHeight="false" outlineLevel="0" collapsed="false">
      <c r="A234" s="4" t="s">
        <v>407</v>
      </c>
      <c r="B234" s="0" t="s">
        <v>189</v>
      </c>
      <c r="C234" s="17" t="n">
        <f aca="false">a25_oth</f>
        <v>0.214032000000001</v>
      </c>
      <c r="D234" s="17" t="n">
        <f aca="false">a26_oth</f>
        <v>0.428253</v>
      </c>
      <c r="E234" s="17" t="n">
        <f aca="false">D234*(1+g_oth)</f>
        <v>0.44966565</v>
      </c>
      <c r="F234" s="17" t="n">
        <f aca="false">E234*(1+g_oth)</f>
        <v>0.4721489325</v>
      </c>
      <c r="G234" s="17" t="n">
        <f aca="false">F234*(1+g_oth)</f>
        <v>0.495756379125</v>
      </c>
    </row>
    <row r="235" customFormat="false" ht="17.15" hidden="false" customHeight="false" outlineLevel="0" collapsed="false">
      <c r="A235" s="4" t="s">
        <v>394</v>
      </c>
      <c r="B235" s="0" t="s">
        <v>189</v>
      </c>
      <c r="C235" s="17" t="n">
        <f aca="false">C230+C233+C234</f>
        <v>13.377</v>
      </c>
      <c r="D235" s="17" t="n">
        <f aca="false">D230+D233+D234</f>
        <v>21.41265</v>
      </c>
      <c r="E235" s="17" t="n">
        <f aca="false">E230+E233+E234</f>
        <v>35.3333058381705</v>
      </c>
      <c r="F235" s="17" t="n">
        <f aca="false">F230+F233+F234</f>
        <v>43.6947555117075</v>
      </c>
      <c r="G235" s="17" t="n">
        <f aca="false">G230+G233+G234</f>
        <v>52.1846773362055</v>
      </c>
      <c r="H235" s="30" t="n">
        <f aca="false">G235*(1+H236)</f>
        <v>59.9880506329373</v>
      </c>
      <c r="I235" s="30" t="n">
        <f aca="false">H235*(1+I236)</f>
        <v>66.2728128456514</v>
      </c>
      <c r="J235" s="30" t="n">
        <f aca="false">I235*(1+J236)</f>
        <v>70.2491816163905</v>
      </c>
      <c r="K235" s="8" t="s">
        <v>505</v>
      </c>
    </row>
    <row r="236" customFormat="false" ht="15" hidden="false" customHeight="false" outlineLevel="0" collapsed="false">
      <c r="A236" s="4" t="s">
        <v>506</v>
      </c>
      <c r="B236" s="0" t="s">
        <v>90</v>
      </c>
      <c r="D236" s="22" t="n">
        <f aca="false">D235/C235-1</f>
        <v>0.600706436420722</v>
      </c>
      <c r="E236" s="22" t="n">
        <f aca="false">E235/D235-1</f>
        <v>0.65011364021597</v>
      </c>
      <c r="F236" s="22" t="n">
        <f aca="false">F235/E235-1</f>
        <v>0.236644986230078</v>
      </c>
      <c r="G236" s="22" t="n">
        <f aca="false">G235/F235-1</f>
        <v>0.194300705544016</v>
      </c>
      <c r="H236" s="26" t="n">
        <f aca="false">$G236+(fade_gA-$G236)*1/3</f>
        <v>0.149533803696011</v>
      </c>
      <c r="I236" s="26" t="n">
        <f aca="false">$G236+(fade_gA-$G236)*2/3</f>
        <v>0.104766901848005</v>
      </c>
      <c r="J236" s="26" t="n">
        <f aca="false">$G236+(fade_gA-$G236)*3/3</f>
        <v>0.06</v>
      </c>
    </row>
    <row r="237" customFormat="false" ht="17.15" hidden="false" customHeight="false" outlineLevel="0" collapsed="false">
      <c r="A237" s="0" t="s">
        <v>507</v>
      </c>
      <c r="B237" s="0" t="s">
        <v>90</v>
      </c>
      <c r="C237" s="22" t="n">
        <f aca="false">C228/C235</f>
        <v>0.4059</v>
      </c>
      <c r="D237" s="22" t="n">
        <f aca="false">D228/D235</f>
        <v>0.445262071719287</v>
      </c>
      <c r="E237" s="22" t="n">
        <f aca="false">E228/E235</f>
        <v>0.600650126716713</v>
      </c>
      <c r="F237" s="22" t="n">
        <f aca="false">F228/F235</f>
        <v>0.616699742215824</v>
      </c>
      <c r="G237" s="22" t="n">
        <f aca="false">G228/G235</f>
        <v>0.631134440552635</v>
      </c>
    </row>
    <row r="238" customFormat="false" ht="17.15" hidden="false" customHeight="false" outlineLevel="0" collapsed="false">
      <c r="A238" s="4" t="s">
        <v>508</v>
      </c>
      <c r="B238" s="0" t="s">
        <v>90</v>
      </c>
      <c r="C238" s="22" t="n">
        <f aca="false">C230/C235</f>
        <v>0.738</v>
      </c>
      <c r="D238" s="22" t="n">
        <f aca="false">D230/D235</f>
        <v>0.742103452865479</v>
      </c>
      <c r="E238" s="22" t="n">
        <f aca="false">E230/E235</f>
        <v>0.793134007878289</v>
      </c>
      <c r="F238" s="22" t="n">
        <f aca="false">F230/F235</f>
        <v>0.783245319270036</v>
      </c>
      <c r="G238" s="22" t="n">
        <f aca="false">G230/G235</f>
        <v>0.780346248450573</v>
      </c>
    </row>
    <row r="239" customFormat="false" ht="17.15" hidden="false" customHeight="false" outlineLevel="0" collapsed="false">
      <c r="A239" s="6" t="s">
        <v>509</v>
      </c>
    </row>
    <row r="240" customFormat="false" ht="15" hidden="false" customHeight="false" outlineLevel="0" collapsed="false">
      <c r="A240" s="4" t="s">
        <v>412</v>
      </c>
      <c r="B240" s="0" t="s">
        <v>90</v>
      </c>
      <c r="C240" s="14" t="n">
        <f aca="false">a25_gp/a25_rev</f>
        <v>0.574</v>
      </c>
      <c r="D240" s="14" t="n">
        <f aca="false">a26_gp/a26_rev</f>
        <v>0.593344593032623</v>
      </c>
      <c r="E240" s="14" t="n">
        <f aca="false">gm27_A+gm_adj</f>
        <v>0.6</v>
      </c>
      <c r="F240" s="14" t="n">
        <f aca="false">gmL_A+gm_adj</f>
        <v>0.61</v>
      </c>
      <c r="G240" s="14" t="n">
        <f aca="false">gmL_A+gm_adj</f>
        <v>0.61</v>
      </c>
    </row>
    <row r="241" customFormat="false" ht="15" hidden="false" customHeight="false" outlineLevel="0" collapsed="false">
      <c r="A241" s="4" t="s">
        <v>409</v>
      </c>
      <c r="B241" s="0" t="s">
        <v>189</v>
      </c>
      <c r="C241" s="17" t="n">
        <f aca="false">C235*C240</f>
        <v>7.678398</v>
      </c>
      <c r="D241" s="17" t="n">
        <f aca="false">D235*D240</f>
        <v>12.7050801</v>
      </c>
      <c r="E241" s="17" t="n">
        <f aca="false">E235*E240</f>
        <v>21.1999835029023</v>
      </c>
      <c r="F241" s="17" t="n">
        <f aca="false">F235*F240</f>
        <v>26.6538008621416</v>
      </c>
      <c r="G241" s="17" t="n">
        <f aca="false">G235*G240</f>
        <v>31.8326531750854</v>
      </c>
    </row>
    <row r="242" customFormat="false" ht="17.15" hidden="false" customHeight="false" outlineLevel="0" collapsed="false">
      <c r="A242" s="4" t="s">
        <v>510</v>
      </c>
      <c r="B242" s="0" t="s">
        <v>189</v>
      </c>
      <c r="D242" s="17" t="n">
        <f aca="false">a26_opx</f>
        <v>5.05564928556</v>
      </c>
      <c r="E242" s="17" t="n">
        <f aca="false">D242*(1+phi*E236)</f>
        <v>7.02769722197441</v>
      </c>
      <c r="F242" s="17" t="n">
        <f aca="false">E242*(1+phi*F236)</f>
        <v>8.02553880936838</v>
      </c>
      <c r="G242" s="17" t="n">
        <f aca="false">F242*(1+phi*G236)</f>
        <v>8.96115952118708</v>
      </c>
      <c r="K242" s="8" t="s">
        <v>511</v>
      </c>
    </row>
    <row r="243" customFormat="false" ht="15" hidden="false" customHeight="false" outlineLevel="0" collapsed="false">
      <c r="A243" s="4" t="s">
        <v>415</v>
      </c>
      <c r="B243" s="0" t="s">
        <v>189</v>
      </c>
      <c r="D243" s="17" t="n">
        <f aca="false">D241-D242</f>
        <v>7.64943081444</v>
      </c>
      <c r="E243" s="17" t="n">
        <f aca="false">E241-E242</f>
        <v>14.1722862809279</v>
      </c>
      <c r="F243" s="17" t="n">
        <f aca="false">F241-F242</f>
        <v>18.6282620527732</v>
      </c>
      <c r="G243" s="17" t="n">
        <f aca="false">G241-G242</f>
        <v>22.8714936538983</v>
      </c>
    </row>
    <row r="244" customFormat="false" ht="15" hidden="false" customHeight="false" outlineLevel="0" collapsed="false">
      <c r="A244" s="4" t="s">
        <v>482</v>
      </c>
      <c r="B244" s="0" t="s">
        <v>90</v>
      </c>
      <c r="D244" s="14" t="n">
        <f aca="false">D243/D235</f>
        <v>0.357238866484999</v>
      </c>
      <c r="E244" s="14" t="n">
        <f aca="false">E243/E235</f>
        <v>0.401102754037172</v>
      </c>
      <c r="F244" s="14" t="n">
        <f aca="false">F243/F235</f>
        <v>0.426327183539955</v>
      </c>
      <c r="G244" s="14" t="n">
        <f aca="false">G243/G235</f>
        <v>0.438279871053838</v>
      </c>
    </row>
    <row r="245" customFormat="false" ht="15" hidden="false" customHeight="false" outlineLevel="0" collapsed="false">
      <c r="A245" s="4" t="s">
        <v>418</v>
      </c>
      <c r="B245" s="0" t="s">
        <v>189</v>
      </c>
      <c r="C245" s="17" t="n">
        <f aca="false">a25_ni</f>
        <v>3.18</v>
      </c>
      <c r="D245" s="17" t="n">
        <f aca="false">a26_ni</f>
        <v>6.7316248085628</v>
      </c>
      <c r="E245" s="17" t="n">
        <f aca="false">E243*ni_oi</f>
        <v>12.0464433387887</v>
      </c>
      <c r="F245" s="17" t="n">
        <f aca="false">F243*ni_oi</f>
        <v>15.8340227448572</v>
      </c>
      <c r="G245" s="17" t="n">
        <f aca="false">G243*ni_oi</f>
        <v>19.4407696058135</v>
      </c>
      <c r="H245" s="30" t="n">
        <f aca="false">H235*H249</f>
        <v>22.2483419743089</v>
      </c>
      <c r="I245" s="30" t="n">
        <f aca="false">I235*I249</f>
        <v>24.4693297803122</v>
      </c>
      <c r="J245" s="30" t="n">
        <f aca="false">J235*J249</f>
        <v>25.820993389997</v>
      </c>
    </row>
    <row r="246" customFormat="false" ht="15" hidden="false" customHeight="false" outlineLevel="0" collapsed="false">
      <c r="A246" s="4" t="s">
        <v>512</v>
      </c>
      <c r="B246" s="4" t="s">
        <v>513</v>
      </c>
      <c r="C246" s="19" t="n">
        <f aca="false">a25_sh</f>
        <v>94.9537175276202</v>
      </c>
      <c r="D246" s="19" t="n">
        <f aca="false">a26_sh</f>
        <v>97.9860681630967</v>
      </c>
      <c r="E246" s="19" t="n">
        <f aca="false">D246*(1+sh_g)</f>
        <v>97.9860681630967</v>
      </c>
      <c r="F246" s="19" t="n">
        <f aca="false">E246*(1+sh_g)</f>
        <v>97.9860681630967</v>
      </c>
      <c r="G246" s="19" t="n">
        <f aca="false">F246*(1+sh_g)</f>
        <v>97.9860681630967</v>
      </c>
      <c r="H246" s="25" t="n">
        <f aca="false">G246*(1+sh_g)</f>
        <v>97.9860681630967</v>
      </c>
      <c r="I246" s="25" t="n">
        <f aca="false">H246*(1+sh_g)</f>
        <v>97.9860681630967</v>
      </c>
      <c r="J246" s="25" t="n">
        <f aca="false">I246*(1+sh_g)</f>
        <v>97.9860681630967</v>
      </c>
    </row>
    <row r="247" customFormat="false" ht="15" hidden="false" customHeight="false" outlineLevel="0" collapsed="false">
      <c r="A247" s="0" t="s">
        <v>423</v>
      </c>
      <c r="B247" s="0" t="s">
        <v>256</v>
      </c>
      <c r="C247" s="20" t="n">
        <f aca="false">a25_eps</f>
        <v>33.49</v>
      </c>
      <c r="D247" s="20" t="n">
        <f aca="false">a26_eps</f>
        <v>68.6959552317267</v>
      </c>
      <c r="E247" s="20" t="n">
        <f aca="false">E245/E246*1000</f>
        <v>122.940368611766</v>
      </c>
      <c r="F247" s="20" t="n">
        <f aca="false">F245/F246*1000</f>
        <v>161.594633213588</v>
      </c>
      <c r="G247" s="20" t="n">
        <f aca="false">G245/G246*1000</f>
        <v>198.403405405089</v>
      </c>
      <c r="H247" s="28" t="n">
        <f aca="false">H245/H246*1000</f>
        <v>227.056176366591</v>
      </c>
      <c r="I247" s="28" t="n">
        <f aca="false">I245/I246*1000</f>
        <v>249.722539530654</v>
      </c>
      <c r="J247" s="28" t="n">
        <f aca="false">J245/J246*1000</f>
        <v>263.516986384414</v>
      </c>
    </row>
    <row r="248" customFormat="false" ht="17.15" hidden="false" customHeight="false" outlineLevel="0" collapsed="false">
      <c r="A248" s="0" t="s">
        <v>514</v>
      </c>
      <c r="B248" s="0" t="s">
        <v>90</v>
      </c>
      <c r="D248" s="22" t="n">
        <f aca="false">D247/C247-1</f>
        <v>1.05123783910799</v>
      </c>
      <c r="E248" s="22" t="n">
        <f aca="false">E247/D247-1</f>
        <v>0.789630382124544</v>
      </c>
      <c r="F248" s="22" t="n">
        <f aca="false">F247/E247-1</f>
        <v>0.31441474463029</v>
      </c>
      <c r="G248" s="22" t="n">
        <f aca="false">G247/F247-1</f>
        <v>0.227784620438782</v>
      </c>
      <c r="H248" s="26" t="n">
        <f aca="false">H247/G247-1</f>
        <v>0.144416729657441</v>
      </c>
      <c r="I248" s="26" t="n">
        <f aca="false">I247/H247-1</f>
        <v>0.099827115592164</v>
      </c>
      <c r="J248" s="26" t="n">
        <f aca="false">J247/I247-1</f>
        <v>0.0552390940749148</v>
      </c>
    </row>
    <row r="249" customFormat="false" ht="17.15" hidden="false" customHeight="false" outlineLevel="0" collapsed="false">
      <c r="A249" s="4" t="s">
        <v>515</v>
      </c>
      <c r="B249" s="0" t="s">
        <v>90</v>
      </c>
      <c r="C249" s="14" t="n">
        <f aca="false">C245/C235</f>
        <v>0.237721462211258</v>
      </c>
      <c r="D249" s="14" t="n">
        <f aca="false">D245/D235</f>
        <v>0.314376072488123</v>
      </c>
      <c r="E249" s="14" t="n">
        <f aca="false">E245/E235</f>
        <v>0.340937340931597</v>
      </c>
      <c r="F249" s="14" t="n">
        <f aca="false">F245/F235</f>
        <v>0.362378106008962</v>
      </c>
      <c r="G249" s="14" t="n">
        <f aca="false">G245/G235</f>
        <v>0.372537890395762</v>
      </c>
      <c r="H249" s="27" t="n">
        <f aca="false">$G249+(fade_mA-$G249)*1/3</f>
        <v>0.370879562505622</v>
      </c>
      <c r="I249" s="27" t="n">
        <f aca="false">$G249+(fade_mA-$G249)*2/3</f>
        <v>0.369221234615483</v>
      </c>
      <c r="J249" s="27" t="n">
        <f aca="false">$G249+(fade_mA-$G249)*3/3</f>
        <v>0.367562906725343</v>
      </c>
    </row>
    <row r="252" customFormat="false" ht="17.15" hidden="false" customHeight="false" outlineLevel="0" collapsed="false">
      <c r="A252" s="1" t="s">
        <v>809</v>
      </c>
    </row>
    <row r="253" customFormat="false" ht="17.15" hidden="false" customHeight="false" outlineLevel="0" collapsed="false">
      <c r="A253" s="5" t="s">
        <v>21</v>
      </c>
      <c r="B253" s="5" t="s">
        <v>22</v>
      </c>
      <c r="C253" s="15" t="s">
        <v>387</v>
      </c>
      <c r="D253" s="15" t="s">
        <v>468</v>
      </c>
      <c r="E253" s="15" t="s">
        <v>469</v>
      </c>
      <c r="F253" s="15" t="s">
        <v>470</v>
      </c>
      <c r="G253" s="15" t="s">
        <v>471</v>
      </c>
      <c r="H253" s="15" t="s">
        <v>472</v>
      </c>
      <c r="I253" s="15" t="s">
        <v>473</v>
      </c>
      <c r="J253" s="15" t="s">
        <v>474</v>
      </c>
      <c r="K253" s="5" t="s">
        <v>336</v>
      </c>
    </row>
    <row r="254" customFormat="false" ht="17.15" hidden="false" customHeight="false" outlineLevel="0" collapsed="false">
      <c r="A254" s="6" t="s">
        <v>492</v>
      </c>
    </row>
    <row r="255" customFormat="false" ht="17.15" hidden="false" customHeight="false" outlineLevel="0" collapsed="false">
      <c r="A255" s="0" t="s">
        <v>493</v>
      </c>
      <c r="B255" s="4" t="s">
        <v>32</v>
      </c>
      <c r="D255" s="20" t="n">
        <f aca="false">units_26</f>
        <v>15.2</v>
      </c>
      <c r="E255" s="20" t="n">
        <f aca="false">units_27*1.2</f>
        <v>28.44</v>
      </c>
      <c r="F255" s="20" t="n">
        <f aca="false">units_28*um28_B*1.2</f>
        <v>25.44</v>
      </c>
      <c r="G255" s="20" t="n">
        <f aca="false">units_29*um29_B*1.2</f>
        <v>30.753</v>
      </c>
    </row>
    <row r="256" customFormat="false" ht="17.15" hidden="false" customHeight="false" outlineLevel="0" collapsed="false">
      <c r="A256" s="4" t="s">
        <v>494</v>
      </c>
      <c r="B256" s="0" t="s">
        <v>45</v>
      </c>
      <c r="D256" s="18" t="n">
        <f aca="false">ex_nv*nvtt_26+astt_26</f>
        <v>0.607994</v>
      </c>
      <c r="E256" s="18" t="n">
        <f aca="false">ex_nv*nvtt_27+astt_27</f>
        <v>0.6560764</v>
      </c>
      <c r="F256" s="18" t="n">
        <f aca="false">ex_nv*nvtt_28+astt_28</f>
        <v>0.6898114</v>
      </c>
      <c r="G256" s="18" t="n">
        <f aca="false">ex_nv*nvtt_29+astt_29</f>
        <v>0.692935</v>
      </c>
      <c r="K256" s="8" t="s">
        <v>495</v>
      </c>
    </row>
    <row r="257" customFormat="false" ht="17.15" hidden="false" customHeight="false" outlineLevel="0" collapsed="false">
      <c r="A257" s="4" t="s">
        <v>447</v>
      </c>
      <c r="B257" s="0" t="s">
        <v>45</v>
      </c>
      <c r="D257" s="18" t="n">
        <f aca="false">D255*D256/($D255*$D256)</f>
        <v>1</v>
      </c>
      <c r="E257" s="18" t="n">
        <f aca="false">E255*E256/($D255*$D256)</f>
        <v>2.01902235011668</v>
      </c>
      <c r="F257" s="18" t="n">
        <f aca="false">F255*F256/($D255*$D256)</f>
        <v>1.89891092415559</v>
      </c>
      <c r="G257" s="18" t="n">
        <f aca="false">G255*G256/($D255*$D256)</f>
        <v>2.30588213636717</v>
      </c>
    </row>
    <row r="258" customFormat="false" ht="17.15" hidden="false" customHeight="false" outlineLevel="0" collapsed="false">
      <c r="A258" s="4" t="s">
        <v>496</v>
      </c>
      <c r="B258" s="0" t="s">
        <v>45</v>
      </c>
      <c r="D258" s="20" t="n">
        <f aca="false">1</f>
        <v>1</v>
      </c>
      <c r="E258" s="20" t="n">
        <f aca="false">rel27_B</f>
        <v>1</v>
      </c>
      <c r="F258" s="20" t="n">
        <f aca="false">rel28_B</f>
        <v>1</v>
      </c>
      <c r="G258" s="20" t="n">
        <f aca="false">rel29_B</f>
        <v>1</v>
      </c>
    </row>
    <row r="259" customFormat="false" ht="17.15" hidden="false" customHeight="false" outlineLevel="0" collapsed="false">
      <c r="A259" s="4" t="s">
        <v>497</v>
      </c>
      <c r="B259" s="0" t="s">
        <v>45</v>
      </c>
      <c r="D259" s="18" t="n">
        <f aca="false">1</f>
        <v>1</v>
      </c>
      <c r="E259" s="18" t="n">
        <f aca="false">(1+g_ct)^1</f>
        <v>1.05</v>
      </c>
      <c r="F259" s="18" t="n">
        <f aca="false">(1+g_ct)^2</f>
        <v>1.1025</v>
      </c>
      <c r="G259" s="18" t="n">
        <f aca="false">(1+g_ct)^3</f>
        <v>1.157625</v>
      </c>
    </row>
    <row r="260" customFormat="false" ht="17.15" hidden="false" customHeight="false" outlineLevel="0" collapsed="false">
      <c r="A260" s="6" t="s">
        <v>498</v>
      </c>
    </row>
    <row r="261" customFormat="false" ht="17.15" hidden="false" customHeight="false" outlineLevel="0" collapsed="false">
      <c r="A261" s="0" t="s">
        <v>401</v>
      </c>
      <c r="B261" s="0" t="s">
        <v>189</v>
      </c>
      <c r="C261" s="17" t="n">
        <f aca="false">a25_ai</f>
        <v>5.4297243</v>
      </c>
      <c r="D261" s="17" t="n">
        <f aca="false">a26_ai</f>
        <v>9.5342409</v>
      </c>
      <c r="E261" s="17" t="n">
        <f aca="false">$D261*E257*E258*E259</f>
        <v>20.2123377419214</v>
      </c>
      <c r="F261" s="17" t="n">
        <f aca="false">$D261*F257*F258*F259</f>
        <v>19.9604033038915</v>
      </c>
      <c r="G261" s="17" t="n">
        <f aca="false">$D261*G257*G258*G259</f>
        <v>25.4501955141863</v>
      </c>
      <c r="K261" s="8" t="s">
        <v>499</v>
      </c>
    </row>
    <row r="262" customFormat="false" ht="17.15" hidden="false" customHeight="false" outlineLevel="0" collapsed="false">
      <c r="A262" s="4" t="s">
        <v>404</v>
      </c>
      <c r="B262" s="0" t="s">
        <v>189</v>
      </c>
      <c r="C262" s="17" t="n">
        <f aca="false">a25_npc</f>
        <v>4.4425017</v>
      </c>
      <c r="D262" s="17" t="n">
        <f aca="false">a26_npc</f>
        <v>6.3561606</v>
      </c>
      <c r="E262" s="17" t="n">
        <f aca="false">D262*(1+g_nonai+d_npc)</f>
        <v>6.801091842</v>
      </c>
      <c r="F262" s="17" t="n">
        <f aca="false">E262*(1+g_nonai+d_npc)</f>
        <v>7.27716827094</v>
      </c>
      <c r="G262" s="17" t="n">
        <f aca="false">F262*(1+g_nonai+d_npc)</f>
        <v>7.7865700499058</v>
      </c>
      <c r="K262" s="4" t="s">
        <v>500</v>
      </c>
    </row>
    <row r="263" customFormat="false" ht="15" hidden="false" customHeight="false" outlineLevel="0" collapsed="false">
      <c r="A263" s="4" t="s">
        <v>398</v>
      </c>
      <c r="B263" s="0" t="s">
        <v>189</v>
      </c>
      <c r="C263" s="17" t="n">
        <f aca="false">C261+C262</f>
        <v>9.872226</v>
      </c>
      <c r="D263" s="17" t="n">
        <f aca="false">D261+D262</f>
        <v>15.8904015</v>
      </c>
      <c r="E263" s="17" t="n">
        <f aca="false">E261+E262</f>
        <v>27.0134295839214</v>
      </c>
      <c r="F263" s="17" t="n">
        <f aca="false">F261+F262</f>
        <v>27.2375715748315</v>
      </c>
      <c r="G263" s="17" t="n">
        <f aca="false">G261+G262</f>
        <v>33.2367655640921</v>
      </c>
    </row>
    <row r="264" customFormat="false" ht="17.15" hidden="false" customHeight="false" outlineLevel="0" collapsed="false">
      <c r="A264" s="0" t="s">
        <v>501</v>
      </c>
      <c r="B264" s="0" t="s">
        <v>189</v>
      </c>
      <c r="D264" s="17" t="n">
        <f aca="false">k_cpo*cpo_A_26/cpo_A_27</f>
        <v>0.24</v>
      </c>
      <c r="E264" s="17" t="n">
        <f aca="false">k_cpo*cpo_B_27/cpo_A_27</f>
        <v>0.72</v>
      </c>
      <c r="F264" s="17" t="n">
        <f aca="false">k_cpo*cpo_B_28/cpo_A_27</f>
        <v>1.2</v>
      </c>
      <c r="G264" s="17" t="n">
        <f aca="false">k_cpo*cpo_B_29/cpo_A_27</f>
        <v>1.92</v>
      </c>
      <c r="K264" s="8" t="s">
        <v>502</v>
      </c>
    </row>
    <row r="265" customFormat="false" ht="17.15" hidden="false" customHeight="false" outlineLevel="0" collapsed="false">
      <c r="A265" s="4" t="s">
        <v>503</v>
      </c>
      <c r="B265" s="0" t="s">
        <v>189</v>
      </c>
      <c r="C265" s="17" t="n">
        <f aca="false">a25_eq</f>
        <v>3.290742</v>
      </c>
      <c r="D265" s="17" t="n">
        <f aca="false">a26_eq-D264</f>
        <v>4.8539955</v>
      </c>
      <c r="E265" s="17" t="n">
        <f aca="false">D265*semi_27</f>
        <v>5.659593717153</v>
      </c>
      <c r="F265" s="17" t="n">
        <f aca="false">$E265*eqk28_B</f>
        <v>5.659593717153</v>
      </c>
      <c r="G265" s="17" t="n">
        <f aca="false">$E265*eqk29_B</f>
        <v>5.37661403129535</v>
      </c>
      <c r="K265" s="8" t="s">
        <v>504</v>
      </c>
    </row>
    <row r="266" customFormat="false" ht="15" hidden="false" customHeight="false" outlineLevel="0" collapsed="false">
      <c r="A266" s="4" t="s">
        <v>405</v>
      </c>
      <c r="B266" s="0" t="s">
        <v>189</v>
      </c>
      <c r="C266" s="17" t="n">
        <f aca="false">a25_eq</f>
        <v>3.290742</v>
      </c>
      <c r="D266" s="17" t="n">
        <f aca="false">D264+D265</f>
        <v>5.0939955</v>
      </c>
      <c r="E266" s="17" t="n">
        <f aca="false">E264+E265</f>
        <v>6.379593717153</v>
      </c>
      <c r="F266" s="17" t="n">
        <f aca="false">F264+F265</f>
        <v>6.859593717153</v>
      </c>
      <c r="G266" s="17" t="n">
        <f aca="false">G264+G265</f>
        <v>7.29661403129535</v>
      </c>
    </row>
    <row r="267" customFormat="false" ht="15" hidden="false" customHeight="false" outlineLevel="0" collapsed="false">
      <c r="A267" s="4" t="s">
        <v>407</v>
      </c>
      <c r="B267" s="0" t="s">
        <v>189</v>
      </c>
      <c r="C267" s="17" t="n">
        <f aca="false">a25_oth</f>
        <v>0.214032000000001</v>
      </c>
      <c r="D267" s="17" t="n">
        <f aca="false">a26_oth</f>
        <v>0.428253</v>
      </c>
      <c r="E267" s="17" t="n">
        <f aca="false">D267*(1+g_oth)</f>
        <v>0.44966565</v>
      </c>
      <c r="F267" s="17" t="n">
        <f aca="false">E267*(1+g_oth)</f>
        <v>0.4721489325</v>
      </c>
      <c r="G267" s="17" t="n">
        <f aca="false">F267*(1+g_oth)</f>
        <v>0.495756379125</v>
      </c>
    </row>
    <row r="268" customFormat="false" ht="17.15" hidden="false" customHeight="false" outlineLevel="0" collapsed="false">
      <c r="A268" s="4" t="s">
        <v>394</v>
      </c>
      <c r="B268" s="0" t="s">
        <v>189</v>
      </c>
      <c r="C268" s="17" t="n">
        <f aca="false">C263+C266+C267</f>
        <v>13.377</v>
      </c>
      <c r="D268" s="17" t="n">
        <f aca="false">D263+D266+D267</f>
        <v>21.41265</v>
      </c>
      <c r="E268" s="17" t="n">
        <f aca="false">E263+E266+E267</f>
        <v>33.8426889510744</v>
      </c>
      <c r="F268" s="17" t="n">
        <f aca="false">F263+F266+F267</f>
        <v>34.5693142244845</v>
      </c>
      <c r="G268" s="17" t="n">
        <f aca="false">G263+G266+G267</f>
        <v>41.0291359745125</v>
      </c>
      <c r="H268" s="30" t="n">
        <f aca="false">G268*(1+H269)</f>
        <v>46.6874853596528</v>
      </c>
      <c r="I268" s="30" t="n">
        <f aca="false">H268*(1+I269)</f>
        <v>50.8405827060777</v>
      </c>
      <c r="J268" s="30" t="n">
        <f aca="false">I268*(1+J269)</f>
        <v>52.8742060143208</v>
      </c>
      <c r="K268" s="8" t="s">
        <v>505</v>
      </c>
    </row>
    <row r="269" customFormat="false" ht="15" hidden="false" customHeight="false" outlineLevel="0" collapsed="false">
      <c r="A269" s="4" t="s">
        <v>506</v>
      </c>
      <c r="B269" s="0" t="s">
        <v>90</v>
      </c>
      <c r="D269" s="22" t="n">
        <f aca="false">D268/C268-1</f>
        <v>0.600706436420722</v>
      </c>
      <c r="E269" s="22" t="n">
        <f aca="false">E268/D268-1</f>
        <v>0.580499795731702</v>
      </c>
      <c r="F269" s="22" t="n">
        <f aca="false">F268/E268-1</f>
        <v>0.0214706719806013</v>
      </c>
      <c r="G269" s="22" t="n">
        <f aca="false">G268/F268-1</f>
        <v>0.1868657766272</v>
      </c>
      <c r="H269" s="26" t="n">
        <f aca="false">$G269+(fade_gB-$G269)*1/3</f>
        <v>0.137910517751467</v>
      </c>
      <c r="I269" s="26" t="n">
        <f aca="false">$G269+(fade_gB-$G269)*2/3</f>
        <v>0.0889552588757333</v>
      </c>
      <c r="J269" s="26" t="n">
        <f aca="false">$G269+(fade_gB-$G269)*3/3</f>
        <v>0.04</v>
      </c>
    </row>
    <row r="270" customFormat="false" ht="17.15" hidden="false" customHeight="false" outlineLevel="0" collapsed="false">
      <c r="A270" s="0" t="s">
        <v>507</v>
      </c>
      <c r="B270" s="0" t="s">
        <v>90</v>
      </c>
      <c r="C270" s="22" t="n">
        <f aca="false">C261/C268</f>
        <v>0.4059</v>
      </c>
      <c r="D270" s="22" t="n">
        <f aca="false">D261/D268</f>
        <v>0.445262071719287</v>
      </c>
      <c r="E270" s="22" t="n">
        <f aca="false">E261/E268</f>
        <v>0.597243846998739</v>
      </c>
      <c r="F270" s="22" t="n">
        <f aca="false">F261/F268</f>
        <v>0.577402350948405</v>
      </c>
      <c r="G270" s="22" t="n">
        <f aca="false">G261/G268</f>
        <v>0.620295673055268</v>
      </c>
    </row>
    <row r="271" customFormat="false" ht="17.15" hidden="false" customHeight="false" outlineLevel="0" collapsed="false">
      <c r="A271" s="4" t="s">
        <v>508</v>
      </c>
      <c r="B271" s="0" t="s">
        <v>90</v>
      </c>
      <c r="C271" s="22" t="n">
        <f aca="false">C263/C268</f>
        <v>0.738</v>
      </c>
      <c r="D271" s="22" t="n">
        <f aca="false">D263/D268</f>
        <v>0.742103452865479</v>
      </c>
      <c r="E271" s="22" t="n">
        <f aca="false">E263/E268</f>
        <v>0.798205769729885</v>
      </c>
      <c r="F271" s="22" t="n">
        <f aca="false">F263/F268</f>
        <v>0.787911828332998</v>
      </c>
      <c r="G271" s="22" t="n">
        <f aca="false">G263/G268</f>
        <v>0.810077150655548</v>
      </c>
    </row>
    <row r="272" customFormat="false" ht="17.15" hidden="false" customHeight="false" outlineLevel="0" collapsed="false">
      <c r="A272" s="6" t="s">
        <v>509</v>
      </c>
    </row>
    <row r="273" customFormat="false" ht="15" hidden="false" customHeight="false" outlineLevel="0" collapsed="false">
      <c r="A273" s="4" t="s">
        <v>412</v>
      </c>
      <c r="B273" s="0" t="s">
        <v>90</v>
      </c>
      <c r="C273" s="14" t="n">
        <f aca="false">a25_gp/a25_rev</f>
        <v>0.574</v>
      </c>
      <c r="D273" s="14" t="n">
        <f aca="false">a26_gp/a26_rev</f>
        <v>0.593344593032623</v>
      </c>
      <c r="E273" s="14" t="n">
        <f aca="false">gm27_B+gm_adj</f>
        <v>0.595</v>
      </c>
      <c r="F273" s="14" t="n">
        <f aca="false">gmL_B+gm_adj</f>
        <v>0.595</v>
      </c>
      <c r="G273" s="14" t="n">
        <f aca="false">gmL_B+gm_adj</f>
        <v>0.595</v>
      </c>
    </row>
    <row r="274" customFormat="false" ht="15" hidden="false" customHeight="false" outlineLevel="0" collapsed="false">
      <c r="A274" s="4" t="s">
        <v>409</v>
      </c>
      <c r="B274" s="0" t="s">
        <v>189</v>
      </c>
      <c r="C274" s="17" t="n">
        <f aca="false">C268*C273</f>
        <v>7.678398</v>
      </c>
      <c r="D274" s="17" t="n">
        <f aca="false">D268*D273</f>
        <v>12.7050801</v>
      </c>
      <c r="E274" s="17" t="n">
        <f aca="false">E268*E273</f>
        <v>20.1363999258893</v>
      </c>
      <c r="F274" s="17" t="n">
        <f aca="false">F268*F273</f>
        <v>20.5687419635682</v>
      </c>
      <c r="G274" s="17" t="n">
        <f aca="false">G268*G273</f>
        <v>24.4123359048349</v>
      </c>
    </row>
    <row r="275" customFormat="false" ht="17.15" hidden="false" customHeight="false" outlineLevel="0" collapsed="false">
      <c r="A275" s="4" t="s">
        <v>510</v>
      </c>
      <c r="B275" s="0" t="s">
        <v>189</v>
      </c>
      <c r="D275" s="17" t="n">
        <f aca="false">a26_opx</f>
        <v>5.05564928556</v>
      </c>
      <c r="E275" s="17" t="n">
        <f aca="false">D275*(1+phi*E269)</f>
        <v>6.81653131209522</v>
      </c>
      <c r="F275" s="17" t="n">
        <f aca="false">E275*(1+phi*F269)</f>
        <v>6.90434461680372</v>
      </c>
      <c r="G275" s="17" t="n">
        <f aca="false">F275*(1+phi*G269)</f>
        <v>7.67845604815623</v>
      </c>
      <c r="K275" s="8" t="s">
        <v>511</v>
      </c>
    </row>
    <row r="276" customFormat="false" ht="15" hidden="false" customHeight="false" outlineLevel="0" collapsed="false">
      <c r="A276" s="4" t="s">
        <v>415</v>
      </c>
      <c r="B276" s="0" t="s">
        <v>189</v>
      </c>
      <c r="D276" s="17" t="n">
        <f aca="false">D274-D275</f>
        <v>7.64943081444</v>
      </c>
      <c r="E276" s="17" t="n">
        <f aca="false">E274-E275</f>
        <v>13.3198686137941</v>
      </c>
      <c r="F276" s="17" t="n">
        <f aca="false">F274-F275</f>
        <v>13.6643973467645</v>
      </c>
      <c r="G276" s="17" t="n">
        <f aca="false">G274-G275</f>
        <v>16.7338798566787</v>
      </c>
    </row>
    <row r="277" customFormat="false" ht="15" hidden="false" customHeight="false" outlineLevel="0" collapsed="false">
      <c r="A277" s="4" t="s">
        <v>482</v>
      </c>
      <c r="B277" s="0" t="s">
        <v>90</v>
      </c>
      <c r="D277" s="14" t="n">
        <f aca="false">D276/D268</f>
        <v>0.357238866484999</v>
      </c>
      <c r="E277" s="14" t="n">
        <f aca="false">E276/E268</f>
        <v>0.393581864403573</v>
      </c>
      <c r="F277" s="14" t="n">
        <f aca="false">F276/F268</f>
        <v>0.395275337486632</v>
      </c>
      <c r="G277" s="14" t="n">
        <f aca="false">G276/G268</f>
        <v>0.407853576713725</v>
      </c>
    </row>
    <row r="278" customFormat="false" ht="15" hidden="false" customHeight="false" outlineLevel="0" collapsed="false">
      <c r="A278" s="4" t="s">
        <v>418</v>
      </c>
      <c r="B278" s="0" t="s">
        <v>189</v>
      </c>
      <c r="C278" s="17" t="n">
        <f aca="false">a25_ni</f>
        <v>3.18</v>
      </c>
      <c r="D278" s="17" t="n">
        <f aca="false">a26_ni</f>
        <v>6.7316248085628</v>
      </c>
      <c r="E278" s="17" t="n">
        <f aca="false">E276*ni_oi</f>
        <v>11.3218883217249</v>
      </c>
      <c r="F278" s="17" t="n">
        <f aca="false">F276*ni_oi</f>
        <v>11.6147377447499</v>
      </c>
      <c r="G278" s="17" t="n">
        <f aca="false">G276*ni_oi</f>
        <v>14.2237978781769</v>
      </c>
      <c r="H278" s="30" t="n">
        <f aca="false">H268*H282</f>
        <v>15.5695624241381</v>
      </c>
      <c r="I278" s="30" t="n">
        <f aca="false">I268*I282</f>
        <v>16.2839272862672</v>
      </c>
      <c r="J278" s="30" t="n">
        <f aca="false">J268*J282</f>
        <v>16.2378296000702</v>
      </c>
    </row>
    <row r="279" customFormat="false" ht="15" hidden="false" customHeight="false" outlineLevel="0" collapsed="false">
      <c r="A279" s="4" t="s">
        <v>512</v>
      </c>
      <c r="B279" s="4" t="s">
        <v>513</v>
      </c>
      <c r="C279" s="19" t="n">
        <f aca="false">a25_sh</f>
        <v>94.9537175276202</v>
      </c>
      <c r="D279" s="19" t="n">
        <f aca="false">a26_sh</f>
        <v>97.9860681630967</v>
      </c>
      <c r="E279" s="19" t="n">
        <f aca="false">D279*(1+sh_g)</f>
        <v>97.9860681630967</v>
      </c>
      <c r="F279" s="19" t="n">
        <f aca="false">E279*(1+sh_g)</f>
        <v>97.9860681630967</v>
      </c>
      <c r="G279" s="19" t="n">
        <f aca="false">F279*(1+sh_g)</f>
        <v>97.9860681630967</v>
      </c>
      <c r="H279" s="25" t="n">
        <f aca="false">G279*(1+sh_g)</f>
        <v>97.9860681630967</v>
      </c>
      <c r="I279" s="25" t="n">
        <f aca="false">H279*(1+sh_g)</f>
        <v>97.9860681630967</v>
      </c>
      <c r="J279" s="25" t="n">
        <f aca="false">I279*(1+sh_g)</f>
        <v>97.9860681630967</v>
      </c>
    </row>
    <row r="280" customFormat="false" ht="15" hidden="false" customHeight="false" outlineLevel="0" collapsed="false">
      <c r="A280" s="0" t="s">
        <v>423</v>
      </c>
      <c r="B280" s="0" t="s">
        <v>256</v>
      </c>
      <c r="C280" s="20" t="n">
        <f aca="false">a25_eps</f>
        <v>33.49</v>
      </c>
      <c r="D280" s="20" t="n">
        <f aca="false">a26_eps</f>
        <v>68.6959552317267</v>
      </c>
      <c r="E280" s="20" t="n">
        <f aca="false">E278/E279*1000</f>
        <v>115.54589886064</v>
      </c>
      <c r="F280" s="20" t="n">
        <f aca="false">F278/F279*1000</f>
        <v>118.534583155406</v>
      </c>
      <c r="G280" s="20" t="n">
        <f aca="false">G278/G279*1000</f>
        <v>145.161431056725</v>
      </c>
      <c r="H280" s="28" t="n">
        <f aca="false">H278/H279*1000</f>
        <v>158.895674824126</v>
      </c>
      <c r="I280" s="28" t="n">
        <f aca="false">I278/I279*1000</f>
        <v>166.186148618218</v>
      </c>
      <c r="J280" s="28" t="n">
        <f aca="false">J278/J279*1000</f>
        <v>165.715697185058</v>
      </c>
    </row>
    <row r="281" customFormat="false" ht="17.15" hidden="false" customHeight="false" outlineLevel="0" collapsed="false">
      <c r="A281" s="0" t="s">
        <v>514</v>
      </c>
      <c r="B281" s="0" t="s">
        <v>90</v>
      </c>
      <c r="D281" s="22" t="n">
        <f aca="false">D280/C280-1</f>
        <v>1.05123783910799</v>
      </c>
      <c r="E281" s="22" t="n">
        <f aca="false">E280/D280-1</f>
        <v>0.681989841627182</v>
      </c>
      <c r="F281" s="22" t="n">
        <f aca="false">F280/E280-1</f>
        <v>0.0258657756288738</v>
      </c>
      <c r="G281" s="22" t="n">
        <f aca="false">G280/F280-1</f>
        <v>0.22463358112467</v>
      </c>
      <c r="H281" s="26" t="n">
        <f aca="false">H280/G280-1</f>
        <v>0.0946135875584944</v>
      </c>
      <c r="I281" s="26" t="n">
        <f aca="false">I280/H280-1</f>
        <v>0.0458821412361328</v>
      </c>
      <c r="J281" s="26" t="n">
        <f aca="false">J280/I280-1</f>
        <v>-0.00283087030460227</v>
      </c>
    </row>
    <row r="282" customFormat="false" ht="17.15" hidden="false" customHeight="false" outlineLevel="0" collapsed="false">
      <c r="A282" s="4" t="s">
        <v>515</v>
      </c>
      <c r="B282" s="0" t="s">
        <v>90</v>
      </c>
      <c r="C282" s="14" t="n">
        <f aca="false">C278/C268</f>
        <v>0.237721462211258</v>
      </c>
      <c r="D282" s="14" t="n">
        <f aca="false">D278/D268</f>
        <v>0.314376072488123</v>
      </c>
      <c r="E282" s="14" t="n">
        <f aca="false">E278/E268</f>
        <v>0.334544584743037</v>
      </c>
      <c r="F282" s="14" t="n">
        <f aca="false">F278/F268</f>
        <v>0.335984036863637</v>
      </c>
      <c r="G282" s="14" t="n">
        <f aca="false">G278/G268</f>
        <v>0.346675540206666</v>
      </c>
      <c r="H282" s="27" t="n">
        <f aca="false">$G282+(fade_mB-$G282)*1/3</f>
        <v>0.333484708036841</v>
      </c>
      <c r="I282" s="27" t="n">
        <f aca="false">$G282+(fade_mB-$G282)*2/3</f>
        <v>0.320293875867015</v>
      </c>
      <c r="J282" s="27" t="n">
        <f aca="false">$G282+(fade_mB-$G282)*3/3</f>
        <v>0.30710304369719</v>
      </c>
    </row>
    <row r="285" customFormat="false" ht="17.15" hidden="false" customHeight="false" outlineLevel="0" collapsed="false">
      <c r="A285" s="1" t="s">
        <v>810</v>
      </c>
    </row>
    <row r="286" customFormat="false" ht="17.15" hidden="false" customHeight="false" outlineLevel="0" collapsed="false">
      <c r="A286" s="5" t="s">
        <v>21</v>
      </c>
      <c r="B286" s="5" t="s">
        <v>22</v>
      </c>
      <c r="C286" s="15" t="s">
        <v>387</v>
      </c>
      <c r="D286" s="15" t="s">
        <v>468</v>
      </c>
      <c r="E286" s="15" t="s">
        <v>469</v>
      </c>
      <c r="F286" s="15" t="s">
        <v>470</v>
      </c>
      <c r="G286" s="15" t="s">
        <v>471</v>
      </c>
      <c r="H286" s="15" t="s">
        <v>472</v>
      </c>
      <c r="I286" s="15" t="s">
        <v>473</v>
      </c>
      <c r="J286" s="15" t="s">
        <v>474</v>
      </c>
      <c r="K286" s="5" t="s">
        <v>336</v>
      </c>
    </row>
    <row r="287" customFormat="false" ht="17.15" hidden="false" customHeight="false" outlineLevel="0" collapsed="false">
      <c r="A287" s="6" t="s">
        <v>492</v>
      </c>
    </row>
    <row r="288" customFormat="false" ht="17.15" hidden="false" customHeight="false" outlineLevel="0" collapsed="false">
      <c r="A288" s="0" t="s">
        <v>493</v>
      </c>
      <c r="B288" s="4" t="s">
        <v>32</v>
      </c>
      <c r="D288" s="20" t="n">
        <f aca="false">units_26</f>
        <v>15.2</v>
      </c>
      <c r="E288" s="20" t="n">
        <f aca="false">units_27*1.2</f>
        <v>28.44</v>
      </c>
      <c r="F288" s="20" t="n">
        <f aca="false">units_28*um28_C*1.2</f>
        <v>19.08</v>
      </c>
      <c r="G288" s="20" t="n">
        <f aca="false">units_29*um29_C*1.2</f>
        <v>21.708</v>
      </c>
    </row>
    <row r="289" customFormat="false" ht="17.15" hidden="false" customHeight="false" outlineLevel="0" collapsed="false">
      <c r="A289" s="4" t="s">
        <v>494</v>
      </c>
      <c r="B289" s="0" t="s">
        <v>45</v>
      </c>
      <c r="D289" s="18" t="n">
        <f aca="false">ex_nv*nvtt_26+astt_26</f>
        <v>0.607994</v>
      </c>
      <c r="E289" s="18" t="n">
        <f aca="false">ex_nv*nvtt_27+astt_27</f>
        <v>0.6560764</v>
      </c>
      <c r="F289" s="18" t="n">
        <f aca="false">ex_nv*nvtt_28+astt_28</f>
        <v>0.6898114</v>
      </c>
      <c r="G289" s="18" t="n">
        <f aca="false">ex_nv*nvtt_29+astt_29</f>
        <v>0.692935</v>
      </c>
      <c r="K289" s="8" t="s">
        <v>495</v>
      </c>
    </row>
    <row r="290" customFormat="false" ht="17.15" hidden="false" customHeight="false" outlineLevel="0" collapsed="false">
      <c r="A290" s="4" t="s">
        <v>447</v>
      </c>
      <c r="B290" s="0" t="s">
        <v>45</v>
      </c>
      <c r="D290" s="18" t="n">
        <f aca="false">D288*D289/($D288*$D289)</f>
        <v>1</v>
      </c>
      <c r="E290" s="18" t="n">
        <f aca="false">E288*E289/($D288*$D289)</f>
        <v>2.01902235011668</v>
      </c>
      <c r="F290" s="18" t="n">
        <f aca="false">F288*F289/($D288*$D289)</f>
        <v>1.42418319311669</v>
      </c>
      <c r="G290" s="18" t="n">
        <f aca="false">G288*G289/($D288*$D289)</f>
        <v>1.62768150802388</v>
      </c>
    </row>
    <row r="291" customFormat="false" ht="17.15" hidden="false" customHeight="false" outlineLevel="0" collapsed="false">
      <c r="A291" s="4" t="s">
        <v>496</v>
      </c>
      <c r="B291" s="0" t="s">
        <v>45</v>
      </c>
      <c r="D291" s="20" t="n">
        <f aca="false">1</f>
        <v>1</v>
      </c>
      <c r="E291" s="20" t="n">
        <f aca="false">rel27_C</f>
        <v>0.92</v>
      </c>
      <c r="F291" s="20" t="n">
        <f aca="false">rel28_C</f>
        <v>0.88</v>
      </c>
      <c r="G291" s="20" t="n">
        <f aca="false">rel29_C</f>
        <v>0.85</v>
      </c>
    </row>
    <row r="292" customFormat="false" ht="17.15" hidden="false" customHeight="false" outlineLevel="0" collapsed="false">
      <c r="A292" s="4" t="s">
        <v>497</v>
      </c>
      <c r="B292" s="0" t="s">
        <v>45</v>
      </c>
      <c r="D292" s="18" t="n">
        <f aca="false">1</f>
        <v>1</v>
      </c>
      <c r="E292" s="18" t="n">
        <f aca="false">(1+g_ct)^1</f>
        <v>1.05</v>
      </c>
      <c r="F292" s="18" t="n">
        <f aca="false">(1+g_ct)^2</f>
        <v>1.1025</v>
      </c>
      <c r="G292" s="18" t="n">
        <f aca="false">(1+g_ct)^3</f>
        <v>1.157625</v>
      </c>
    </row>
    <row r="293" customFormat="false" ht="17.15" hidden="false" customHeight="false" outlineLevel="0" collapsed="false">
      <c r="A293" s="6" t="s">
        <v>498</v>
      </c>
    </row>
    <row r="294" customFormat="false" ht="17.15" hidden="false" customHeight="false" outlineLevel="0" collapsed="false">
      <c r="A294" s="0" t="s">
        <v>401</v>
      </c>
      <c r="B294" s="0" t="s">
        <v>189</v>
      </c>
      <c r="C294" s="17" t="n">
        <f aca="false">a25_ai</f>
        <v>5.4297243</v>
      </c>
      <c r="D294" s="17" t="n">
        <f aca="false">a26_ai</f>
        <v>9.5342409</v>
      </c>
      <c r="E294" s="17" t="n">
        <f aca="false">$D294*E290*E291*E292</f>
        <v>18.5953507225677</v>
      </c>
      <c r="F294" s="17" t="n">
        <f aca="false">$D294*F290*F291*F292</f>
        <v>13.1738661805684</v>
      </c>
      <c r="G294" s="17" t="n">
        <f aca="false">$D294*G290*G291*G292</f>
        <v>15.2701173085118</v>
      </c>
      <c r="K294" s="8" t="s">
        <v>499</v>
      </c>
    </row>
    <row r="295" customFormat="false" ht="17.15" hidden="false" customHeight="false" outlineLevel="0" collapsed="false">
      <c r="A295" s="4" t="s">
        <v>404</v>
      </c>
      <c r="B295" s="0" t="s">
        <v>189</v>
      </c>
      <c r="C295" s="17" t="n">
        <f aca="false">a25_npc</f>
        <v>4.4425017</v>
      </c>
      <c r="D295" s="17" t="n">
        <f aca="false">a26_npc</f>
        <v>6.3561606</v>
      </c>
      <c r="E295" s="17" t="n">
        <f aca="false">D295*(1+g_nonai+d_npc)</f>
        <v>6.801091842</v>
      </c>
      <c r="F295" s="17" t="n">
        <f aca="false">E295*(1+g_nonai+d_npc)</f>
        <v>7.27716827094</v>
      </c>
      <c r="G295" s="17" t="n">
        <f aca="false">F295*(1+g_nonai+d_npc)</f>
        <v>7.7865700499058</v>
      </c>
      <c r="K295" s="4" t="s">
        <v>500</v>
      </c>
    </row>
    <row r="296" customFormat="false" ht="15" hidden="false" customHeight="false" outlineLevel="0" collapsed="false">
      <c r="A296" s="4" t="s">
        <v>398</v>
      </c>
      <c r="B296" s="0" t="s">
        <v>189</v>
      </c>
      <c r="C296" s="17" t="n">
        <f aca="false">C294+C295</f>
        <v>9.872226</v>
      </c>
      <c r="D296" s="17" t="n">
        <f aca="false">D294+D295</f>
        <v>15.8904015</v>
      </c>
      <c r="E296" s="17" t="n">
        <f aca="false">E294+E295</f>
        <v>25.3964425645677</v>
      </c>
      <c r="F296" s="17" t="n">
        <f aca="false">F294+F295</f>
        <v>20.4510344515084</v>
      </c>
      <c r="G296" s="17" t="n">
        <f aca="false">G294+G295</f>
        <v>23.0566873584176</v>
      </c>
    </row>
    <row r="297" customFormat="false" ht="17.15" hidden="false" customHeight="false" outlineLevel="0" collapsed="false">
      <c r="A297" s="0" t="s">
        <v>501</v>
      </c>
      <c r="B297" s="0" t="s">
        <v>189</v>
      </c>
      <c r="D297" s="17" t="n">
        <f aca="false">k_cpo*cpo_A_26/cpo_A_27</f>
        <v>0.24</v>
      </c>
      <c r="E297" s="17" t="n">
        <f aca="false">k_cpo*cpo_C_27/cpo_A_27</f>
        <v>0.48</v>
      </c>
      <c r="F297" s="17" t="n">
        <f aca="false">k_cpo*cpo_C_28/cpo_A_27</f>
        <v>0.72</v>
      </c>
      <c r="G297" s="17" t="n">
        <f aca="false">k_cpo*cpo_C_29/cpo_A_27</f>
        <v>1.2</v>
      </c>
      <c r="K297" s="8" t="s">
        <v>502</v>
      </c>
    </row>
    <row r="298" customFormat="false" ht="17.15" hidden="false" customHeight="false" outlineLevel="0" collapsed="false">
      <c r="A298" s="4" t="s">
        <v>503</v>
      </c>
      <c r="B298" s="0" t="s">
        <v>189</v>
      </c>
      <c r="C298" s="17" t="n">
        <f aca="false">a25_eq</f>
        <v>3.290742</v>
      </c>
      <c r="D298" s="17" t="n">
        <f aca="false">a26_eq-D297</f>
        <v>4.8539955</v>
      </c>
      <c r="E298" s="17" t="n">
        <f aca="false">D298*semi_27</f>
        <v>5.659593717153</v>
      </c>
      <c r="F298" s="17" t="n">
        <f aca="false">$E298*eqk28_C</f>
        <v>4.5276749737224</v>
      </c>
      <c r="G298" s="17" t="n">
        <f aca="false">$E298*eqk29_C</f>
        <v>5.659593717153</v>
      </c>
      <c r="K298" s="8" t="s">
        <v>504</v>
      </c>
    </row>
    <row r="299" customFormat="false" ht="15" hidden="false" customHeight="false" outlineLevel="0" collapsed="false">
      <c r="A299" s="4" t="s">
        <v>405</v>
      </c>
      <c r="B299" s="0" t="s">
        <v>189</v>
      </c>
      <c r="C299" s="17" t="n">
        <f aca="false">a25_eq</f>
        <v>3.290742</v>
      </c>
      <c r="D299" s="17" t="n">
        <f aca="false">D297+D298</f>
        <v>5.0939955</v>
      </c>
      <c r="E299" s="17" t="n">
        <f aca="false">E297+E298</f>
        <v>6.139593717153</v>
      </c>
      <c r="F299" s="17" t="n">
        <f aca="false">F297+F298</f>
        <v>5.2476749737224</v>
      </c>
      <c r="G299" s="17" t="n">
        <f aca="false">G297+G298</f>
        <v>6.859593717153</v>
      </c>
    </row>
    <row r="300" customFormat="false" ht="15" hidden="false" customHeight="false" outlineLevel="0" collapsed="false">
      <c r="A300" s="4" t="s">
        <v>407</v>
      </c>
      <c r="B300" s="0" t="s">
        <v>189</v>
      </c>
      <c r="C300" s="17" t="n">
        <f aca="false">a25_oth</f>
        <v>0.214032000000001</v>
      </c>
      <c r="D300" s="17" t="n">
        <f aca="false">a26_oth</f>
        <v>0.428253</v>
      </c>
      <c r="E300" s="17" t="n">
        <f aca="false">D300*(1+g_oth)</f>
        <v>0.44966565</v>
      </c>
      <c r="F300" s="17" t="n">
        <f aca="false">E300*(1+g_oth)</f>
        <v>0.4721489325</v>
      </c>
      <c r="G300" s="17" t="n">
        <f aca="false">F300*(1+g_oth)</f>
        <v>0.495756379125</v>
      </c>
    </row>
    <row r="301" customFormat="false" ht="17.15" hidden="false" customHeight="false" outlineLevel="0" collapsed="false">
      <c r="A301" s="4" t="s">
        <v>394</v>
      </c>
      <c r="B301" s="0" t="s">
        <v>189</v>
      </c>
      <c r="C301" s="17" t="n">
        <f aca="false">C296+C299+C300</f>
        <v>13.377</v>
      </c>
      <c r="D301" s="17" t="n">
        <f aca="false">D296+D299+D300</f>
        <v>21.41265</v>
      </c>
      <c r="E301" s="17" t="n">
        <f aca="false">E296+E299+E300</f>
        <v>31.9857019317207</v>
      </c>
      <c r="F301" s="17" t="n">
        <f aca="false">F296+F299+F300</f>
        <v>26.1708583577308</v>
      </c>
      <c r="G301" s="17" t="n">
        <f aca="false">G296+G299+G300</f>
        <v>30.4120374546956</v>
      </c>
      <c r="H301" s="30" t="n">
        <f aca="false">G301*(1+H302)</f>
        <v>33.9004465068066</v>
      </c>
      <c r="I301" s="30" t="n">
        <f aca="false">H301*(1+I302)</f>
        <v>36.1837242656505</v>
      </c>
      <c r="J301" s="30" t="n">
        <f aca="false">I301*(1+J302)</f>
        <v>36.9073987509635</v>
      </c>
      <c r="K301" s="8" t="s">
        <v>505</v>
      </c>
    </row>
    <row r="302" customFormat="false" ht="15" hidden="false" customHeight="false" outlineLevel="0" collapsed="false">
      <c r="A302" s="4" t="s">
        <v>506</v>
      </c>
      <c r="B302" s="0" t="s">
        <v>90</v>
      </c>
      <c r="D302" s="22" t="n">
        <f aca="false">D301/C301-1</f>
        <v>0.600706436420722</v>
      </c>
      <c r="E302" s="22" t="n">
        <f aca="false">E301/D301-1</f>
        <v>0.493775965689474</v>
      </c>
      <c r="F302" s="22" t="n">
        <f aca="false">F301/E301-1</f>
        <v>-0.181795090393914</v>
      </c>
      <c r="G302" s="22" t="n">
        <f aca="false">G301/F301-1</f>
        <v>0.162057317302778</v>
      </c>
      <c r="H302" s="26" t="n">
        <f aca="false">$G302+(fade_gC-$G302)*1/3</f>
        <v>0.114704878201852</v>
      </c>
      <c r="I302" s="26" t="n">
        <f aca="false">$G302+(fade_gC-$G302)*2/3</f>
        <v>0.0673524391009259</v>
      </c>
      <c r="J302" s="26" t="n">
        <f aca="false">$G302+(fade_gC-$G302)*3/3</f>
        <v>0.02</v>
      </c>
    </row>
    <row r="303" customFormat="false" ht="17.15" hidden="false" customHeight="false" outlineLevel="0" collapsed="false">
      <c r="A303" s="0" t="s">
        <v>507</v>
      </c>
      <c r="B303" s="0" t="s">
        <v>90</v>
      </c>
      <c r="C303" s="22" t="n">
        <f aca="false">C294/C301</f>
        <v>0.4059</v>
      </c>
      <c r="D303" s="22" t="n">
        <f aca="false">D294/D301</f>
        <v>0.445262071719287</v>
      </c>
      <c r="E303" s="22" t="n">
        <f aca="false">E294/E301</f>
        <v>0.581364472233965</v>
      </c>
      <c r="F303" s="22" t="n">
        <f aca="false">F294/F301</f>
        <v>0.503379216703332</v>
      </c>
      <c r="G303" s="22" t="n">
        <f aca="false">G294/G301</f>
        <v>0.502107671387012</v>
      </c>
    </row>
    <row r="304" customFormat="false" ht="17.15" hidden="false" customHeight="false" outlineLevel="0" collapsed="false">
      <c r="A304" s="4" t="s">
        <v>508</v>
      </c>
      <c r="B304" s="0" t="s">
        <v>90</v>
      </c>
      <c r="C304" s="22" t="n">
        <f aca="false">C296/C301</f>
        <v>0.738</v>
      </c>
      <c r="D304" s="22" t="n">
        <f aca="false">D296/D301</f>
        <v>0.742103452865479</v>
      </c>
      <c r="E304" s="22" t="n">
        <f aca="false">E296/E301</f>
        <v>0.793993598101459</v>
      </c>
      <c r="F304" s="22" t="n">
        <f aca="false">F296/F301</f>
        <v>0.781443014667771</v>
      </c>
      <c r="G304" s="22" t="n">
        <f aca="false">G296/G301</f>
        <v>0.758143461869822</v>
      </c>
    </row>
    <row r="305" customFormat="false" ht="17.15" hidden="false" customHeight="false" outlineLevel="0" collapsed="false">
      <c r="A305" s="6" t="s">
        <v>509</v>
      </c>
    </row>
    <row r="306" customFormat="false" ht="15" hidden="false" customHeight="false" outlineLevel="0" collapsed="false">
      <c r="A306" s="4" t="s">
        <v>412</v>
      </c>
      <c r="B306" s="0" t="s">
        <v>90</v>
      </c>
      <c r="C306" s="14" t="n">
        <f aca="false">a25_gp/a25_rev</f>
        <v>0.574</v>
      </c>
      <c r="D306" s="14" t="n">
        <f aca="false">a26_gp/a26_rev</f>
        <v>0.593344593032623</v>
      </c>
      <c r="E306" s="14" t="n">
        <f aca="false">gm27_C+gm_adj</f>
        <v>0.58</v>
      </c>
      <c r="F306" s="14" t="n">
        <f aca="false">gmL_C+gm_adj</f>
        <v>0.565</v>
      </c>
      <c r="G306" s="14" t="n">
        <f aca="false">gmL_C+gm_adj</f>
        <v>0.565</v>
      </c>
    </row>
    <row r="307" customFormat="false" ht="15" hidden="false" customHeight="false" outlineLevel="0" collapsed="false">
      <c r="A307" s="4" t="s">
        <v>409</v>
      </c>
      <c r="B307" s="0" t="s">
        <v>189</v>
      </c>
      <c r="C307" s="17" t="n">
        <f aca="false">C301*C306</f>
        <v>7.678398</v>
      </c>
      <c r="D307" s="17" t="n">
        <f aca="false">D301*D306</f>
        <v>12.7050801</v>
      </c>
      <c r="E307" s="17" t="n">
        <f aca="false">E301*E306</f>
        <v>18.551707120398</v>
      </c>
      <c r="F307" s="17" t="n">
        <f aca="false">F301*F306</f>
        <v>14.7865349721179</v>
      </c>
      <c r="G307" s="17" t="n">
        <f aca="false">G301*G306</f>
        <v>17.182801161903</v>
      </c>
    </row>
    <row r="308" customFormat="false" ht="17.15" hidden="false" customHeight="false" outlineLevel="0" collapsed="false">
      <c r="A308" s="4" t="s">
        <v>510</v>
      </c>
      <c r="B308" s="0" t="s">
        <v>189</v>
      </c>
      <c r="D308" s="17" t="n">
        <f aca="false">a26_opx</f>
        <v>5.05564928556</v>
      </c>
      <c r="E308" s="17" t="n">
        <f aca="false">D308*(1+phi*E302)</f>
        <v>6.55346415045881</v>
      </c>
      <c r="F308" s="17" t="n">
        <f aca="false">E308*(1+phi*F302)</f>
        <v>5.83863158588325</v>
      </c>
      <c r="G308" s="17" t="n">
        <f aca="false">F308*(1+phi*G302)</f>
        <v>6.40634736879975</v>
      </c>
      <c r="K308" s="8" t="s">
        <v>511</v>
      </c>
    </row>
    <row r="309" customFormat="false" ht="15" hidden="false" customHeight="false" outlineLevel="0" collapsed="false">
      <c r="A309" s="4" t="s">
        <v>415</v>
      </c>
      <c r="B309" s="0" t="s">
        <v>189</v>
      </c>
      <c r="D309" s="17" t="n">
        <f aca="false">D307-D308</f>
        <v>7.64943081444</v>
      </c>
      <c r="E309" s="17" t="n">
        <f aca="false">E307-E308</f>
        <v>11.9982429699392</v>
      </c>
      <c r="F309" s="17" t="n">
        <f aca="false">F307-F308</f>
        <v>8.94790338623463</v>
      </c>
      <c r="G309" s="17" t="n">
        <f aca="false">G307-G308</f>
        <v>10.7764537931032</v>
      </c>
    </row>
    <row r="310" customFormat="false" ht="15" hidden="false" customHeight="false" outlineLevel="0" collapsed="false">
      <c r="A310" s="4" t="s">
        <v>482</v>
      </c>
      <c r="B310" s="0" t="s">
        <v>90</v>
      </c>
      <c r="D310" s="14" t="n">
        <f aca="false">D309/D301</f>
        <v>0.357238866484999</v>
      </c>
      <c r="E310" s="14" t="n">
        <f aca="false">E309/E301</f>
        <v>0.375112698653656</v>
      </c>
      <c r="F310" s="14" t="n">
        <f aca="false">F309/F301</f>
        <v>0.341903321011688</v>
      </c>
      <c r="G310" s="14" t="n">
        <f aca="false">G309/G301</f>
        <v>0.35434830070681</v>
      </c>
    </row>
    <row r="311" customFormat="false" ht="15" hidden="false" customHeight="false" outlineLevel="0" collapsed="false">
      <c r="A311" s="4" t="s">
        <v>418</v>
      </c>
      <c r="B311" s="0" t="s">
        <v>189</v>
      </c>
      <c r="C311" s="17" t="n">
        <f aca="false">a25_ni</f>
        <v>3.18</v>
      </c>
      <c r="D311" s="17" t="n">
        <f aca="false">a26_ni</f>
        <v>6.7316248085628</v>
      </c>
      <c r="E311" s="17" t="n">
        <f aca="false">E309*ni_oi</f>
        <v>10.1985065244483</v>
      </c>
      <c r="F311" s="17" t="n">
        <f aca="false">F309*ni_oi</f>
        <v>7.60571787829943</v>
      </c>
      <c r="G311" s="17" t="n">
        <f aca="false">G309*ni_oi</f>
        <v>9.15998572413776</v>
      </c>
      <c r="H311" s="30" t="n">
        <f aca="false">H301*H315</f>
        <v>9.48717117730199</v>
      </c>
      <c r="I311" s="30" t="n">
        <f aca="false">I301*I315</f>
        <v>9.35391556676208</v>
      </c>
      <c r="J311" s="30" t="n">
        <f aca="false">J301*J315</f>
        <v>8.75330935400814</v>
      </c>
    </row>
    <row r="312" customFormat="false" ht="15" hidden="false" customHeight="false" outlineLevel="0" collapsed="false">
      <c r="A312" s="4" t="s">
        <v>512</v>
      </c>
      <c r="B312" s="4" t="s">
        <v>513</v>
      </c>
      <c r="C312" s="19" t="n">
        <f aca="false">a25_sh</f>
        <v>94.9537175276202</v>
      </c>
      <c r="D312" s="19" t="n">
        <f aca="false">a26_sh</f>
        <v>97.9860681630967</v>
      </c>
      <c r="E312" s="19" t="n">
        <f aca="false">D312*(1+sh_g)</f>
        <v>97.9860681630967</v>
      </c>
      <c r="F312" s="19" t="n">
        <f aca="false">E312*(1+sh_g)</f>
        <v>97.9860681630967</v>
      </c>
      <c r="G312" s="19" t="n">
        <f aca="false">F312*(1+sh_g)</f>
        <v>97.9860681630967</v>
      </c>
      <c r="H312" s="25" t="n">
        <f aca="false">G312*(1+sh_g)</f>
        <v>97.9860681630967</v>
      </c>
      <c r="I312" s="25" t="n">
        <f aca="false">H312*(1+sh_g)</f>
        <v>97.9860681630967</v>
      </c>
      <c r="J312" s="25" t="n">
        <f aca="false">I312*(1+sh_g)</f>
        <v>97.9860681630967</v>
      </c>
    </row>
    <row r="313" customFormat="false" ht="15" hidden="false" customHeight="false" outlineLevel="0" collapsed="false">
      <c r="A313" s="0" t="s">
        <v>423</v>
      </c>
      <c r="B313" s="0" t="s">
        <v>256</v>
      </c>
      <c r="C313" s="20" t="n">
        <f aca="false">a25_eps</f>
        <v>33.49</v>
      </c>
      <c r="D313" s="20" t="n">
        <f aca="false">a26_eps</f>
        <v>68.6959552317267</v>
      </c>
      <c r="E313" s="20" t="n">
        <f aca="false">E311/E312*1000</f>
        <v>104.081189455148</v>
      </c>
      <c r="F313" s="20" t="n">
        <f aca="false">F311/F312*1000</f>
        <v>77.6204007455407</v>
      </c>
      <c r="G313" s="20" t="n">
        <f aca="false">G311/G312*1000</f>
        <v>93.4825317094168</v>
      </c>
      <c r="H313" s="28" t="n">
        <f aca="false">H311/H312*1000</f>
        <v>96.8216334745741</v>
      </c>
      <c r="I313" s="28" t="n">
        <f aca="false">I311/I312*1000</f>
        <v>95.4616890147342</v>
      </c>
      <c r="J313" s="28" t="n">
        <f aca="false">J311/J312*1000</f>
        <v>89.3321828102987</v>
      </c>
    </row>
    <row r="314" customFormat="false" ht="17.15" hidden="false" customHeight="false" outlineLevel="0" collapsed="false">
      <c r="A314" s="0" t="s">
        <v>514</v>
      </c>
      <c r="B314" s="0" t="s">
        <v>90</v>
      </c>
      <c r="D314" s="22" t="n">
        <f aca="false">D313/C313-1</f>
        <v>1.05123783910799</v>
      </c>
      <c r="E314" s="22" t="n">
        <f aca="false">E313/D313-1</f>
        <v>0.515099238434913</v>
      </c>
      <c r="F314" s="22" t="n">
        <f aca="false">F313/E313-1</f>
        <v>-0.254232189775369</v>
      </c>
      <c r="G314" s="22" t="n">
        <f aca="false">G313/F313-1</f>
        <v>0.204355179972288</v>
      </c>
      <c r="H314" s="26" t="n">
        <f aca="false">H313/G313-1</f>
        <v>0.0357189916030161</v>
      </c>
      <c r="I314" s="26" t="n">
        <f aca="false">I313/H313-1</f>
        <v>-0.014045873954369</v>
      </c>
      <c r="J314" s="26" t="n">
        <f aca="false">J313/I313-1</f>
        <v>-0.064209069289455</v>
      </c>
    </row>
    <row r="315" customFormat="false" ht="17.15" hidden="false" customHeight="false" outlineLevel="0" collapsed="false">
      <c r="A315" s="4" t="s">
        <v>515</v>
      </c>
      <c r="B315" s="0" t="s">
        <v>90</v>
      </c>
      <c r="C315" s="14" t="n">
        <f aca="false">C311/C301</f>
        <v>0.237721462211258</v>
      </c>
      <c r="D315" s="14" t="n">
        <f aca="false">D311/D301</f>
        <v>0.314376072488123</v>
      </c>
      <c r="E315" s="14" t="n">
        <f aca="false">E311/E301</f>
        <v>0.318845793855607</v>
      </c>
      <c r="F315" s="14" t="n">
        <f aca="false">F311/F301</f>
        <v>0.290617822859935</v>
      </c>
      <c r="G315" s="14" t="n">
        <f aca="false">G311/G301</f>
        <v>0.301196055600789</v>
      </c>
      <c r="H315" s="27" t="n">
        <f aca="false">$G315+(fade_mC-$G315)*1/3</f>
        <v>0.279853870815452</v>
      </c>
      <c r="I315" s="27" t="n">
        <f aca="false">$G315+(fade_mC-$G315)*2/3</f>
        <v>0.258511686030115</v>
      </c>
      <c r="J315" s="27" t="n">
        <f aca="false">$G315+(fade_mC-$G315)*3/3</f>
        <v>0.237169501244778</v>
      </c>
    </row>
    <row r="318" customFormat="false" ht="17.15" hidden="false" customHeight="false" outlineLevel="0" collapsed="false">
      <c r="A318" s="1" t="s">
        <v>811</v>
      </c>
    </row>
    <row r="319" customFormat="false" ht="17.15" hidden="false" customHeight="false" outlineLevel="0" collapsed="false">
      <c r="A319" s="5" t="s">
        <v>21</v>
      </c>
      <c r="B319" s="5" t="s">
        <v>22</v>
      </c>
      <c r="C319" s="15" t="s">
        <v>387</v>
      </c>
      <c r="D319" s="15" t="s">
        <v>468</v>
      </c>
      <c r="E319" s="15" t="s">
        <v>469</v>
      </c>
      <c r="F319" s="15" t="s">
        <v>470</v>
      </c>
      <c r="G319" s="15" t="s">
        <v>471</v>
      </c>
      <c r="H319" s="15" t="s">
        <v>472</v>
      </c>
      <c r="I319" s="15" t="s">
        <v>473</v>
      </c>
      <c r="J319" s="15" t="s">
        <v>474</v>
      </c>
      <c r="K319" s="5" t="s">
        <v>336</v>
      </c>
    </row>
    <row r="320" customFormat="false" ht="17.15" hidden="false" customHeight="false" outlineLevel="0" collapsed="false">
      <c r="A320" s="6" t="s">
        <v>492</v>
      </c>
    </row>
    <row r="321" customFormat="false" ht="17.15" hidden="false" customHeight="false" outlineLevel="0" collapsed="false">
      <c r="A321" s="0" t="s">
        <v>493</v>
      </c>
      <c r="B321" s="4" t="s">
        <v>32</v>
      </c>
      <c r="D321" s="20" t="n">
        <f aca="false">units_26</f>
        <v>15.2</v>
      </c>
      <c r="E321" s="20" t="n">
        <f aca="false">units_27*1</f>
        <v>23.7</v>
      </c>
      <c r="F321" s="20" t="n">
        <f aca="false">units_28*um28_A*1</f>
        <v>26.5</v>
      </c>
      <c r="G321" s="20" t="n">
        <f aca="false">units_29*um29_A*1</f>
        <v>30.15</v>
      </c>
    </row>
    <row r="322" customFormat="false" ht="17.15" hidden="false" customHeight="false" outlineLevel="0" collapsed="false">
      <c r="A322" s="4" t="s">
        <v>494</v>
      </c>
      <c r="B322" s="0" t="s">
        <v>45</v>
      </c>
      <c r="D322" s="18" t="n">
        <f aca="false">ex_nv_lo*nvtt_26+astt_26</f>
        <v>0.503915</v>
      </c>
      <c r="E322" s="18" t="n">
        <f aca="false">ex_nv_lo*nvtt_27+astt_27</f>
        <v>0.5547262</v>
      </c>
      <c r="F322" s="18" t="n">
        <f aca="false">ex_nv_lo*nvtt_28+astt_28</f>
        <v>0.5916982</v>
      </c>
      <c r="G322" s="18" t="n">
        <f aca="false">ex_nv_lo*nvtt_29+astt_29</f>
        <v>0.59592</v>
      </c>
      <c r="K322" s="8" t="s">
        <v>495</v>
      </c>
    </row>
    <row r="323" customFormat="false" ht="17.15" hidden="false" customHeight="false" outlineLevel="0" collapsed="false">
      <c r="A323" s="4" t="s">
        <v>447</v>
      </c>
      <c r="B323" s="0" t="s">
        <v>45</v>
      </c>
      <c r="D323" s="18" t="n">
        <f aca="false">D321*D322/($D321*$D322)</f>
        <v>1</v>
      </c>
      <c r="E323" s="18" t="n">
        <f aca="false">E321*E322/($D321*$D322)</f>
        <v>1.71643021196662</v>
      </c>
      <c r="F323" s="18" t="n">
        <f aca="false">F321*F322/($D321*$D322)</f>
        <v>2.04712917592096</v>
      </c>
      <c r="G323" s="18" t="n">
        <f aca="false">G321*G322/($D321*$D322)</f>
        <v>2.34571045555406</v>
      </c>
    </row>
    <row r="324" customFormat="false" ht="17.15" hidden="false" customHeight="false" outlineLevel="0" collapsed="false">
      <c r="A324" s="4" t="s">
        <v>496</v>
      </c>
      <c r="B324" s="0" t="s">
        <v>45</v>
      </c>
      <c r="D324" s="20" t="n">
        <f aca="false">1</f>
        <v>1</v>
      </c>
      <c r="E324" s="20" t="n">
        <f aca="false">rel27_A</f>
        <v>1.05</v>
      </c>
      <c r="F324" s="20" t="n">
        <f aca="false">rel28_A</f>
        <v>1.08</v>
      </c>
      <c r="G324" s="20" t="n">
        <f aca="false">rel29_A</f>
        <v>1.1</v>
      </c>
    </row>
    <row r="325" customFormat="false" ht="17.15" hidden="false" customHeight="false" outlineLevel="0" collapsed="false">
      <c r="A325" s="4" t="s">
        <v>497</v>
      </c>
      <c r="B325" s="0" t="s">
        <v>45</v>
      </c>
      <c r="D325" s="18" t="n">
        <f aca="false">1</f>
        <v>1</v>
      </c>
      <c r="E325" s="18" t="n">
        <f aca="false">(1+g_ct)^1</f>
        <v>1.05</v>
      </c>
      <c r="F325" s="18" t="n">
        <f aca="false">(1+g_ct)^2</f>
        <v>1.1025</v>
      </c>
      <c r="G325" s="18" t="n">
        <f aca="false">(1+g_ct)^3</f>
        <v>1.157625</v>
      </c>
    </row>
    <row r="326" customFormat="false" ht="17.15" hidden="false" customHeight="false" outlineLevel="0" collapsed="false">
      <c r="A326" s="6" t="s">
        <v>498</v>
      </c>
    </row>
    <row r="327" customFormat="false" ht="17.15" hidden="false" customHeight="false" outlineLevel="0" collapsed="false">
      <c r="A327" s="0" t="s">
        <v>401</v>
      </c>
      <c r="B327" s="0" t="s">
        <v>189</v>
      </c>
      <c r="C327" s="17" t="n">
        <f aca="false">a25_ai</f>
        <v>5.4297243</v>
      </c>
      <c r="D327" s="17" t="n">
        <f aca="false">a26_ai</f>
        <v>9.5342409</v>
      </c>
      <c r="E327" s="17" t="n">
        <f aca="false">$D327*E323*E324*E325</f>
        <v>18.0422571896429</v>
      </c>
      <c r="F327" s="17" t="n">
        <f aca="false">$D327*F323*F324*F325</f>
        <v>23.2398715087139</v>
      </c>
      <c r="G327" s="17" t="n">
        <f aca="false">$D327*G323*G324*G325</f>
        <v>28.4787620534381</v>
      </c>
      <c r="K327" s="8" t="s">
        <v>499</v>
      </c>
    </row>
    <row r="328" customFormat="false" ht="17.15" hidden="false" customHeight="false" outlineLevel="0" collapsed="false">
      <c r="A328" s="4" t="s">
        <v>404</v>
      </c>
      <c r="B328" s="0" t="s">
        <v>189</v>
      </c>
      <c r="C328" s="17" t="n">
        <f aca="false">a25_npc</f>
        <v>4.4425017</v>
      </c>
      <c r="D328" s="17" t="n">
        <f aca="false">a26_npc</f>
        <v>6.3561606</v>
      </c>
      <c r="E328" s="17" t="n">
        <f aca="false">D328*(1+g_nonai+d_npc)</f>
        <v>6.801091842</v>
      </c>
      <c r="F328" s="17" t="n">
        <f aca="false">E328*(1+g_nonai+d_npc)</f>
        <v>7.27716827094</v>
      </c>
      <c r="G328" s="17" t="n">
        <f aca="false">F328*(1+g_nonai+d_npc)</f>
        <v>7.7865700499058</v>
      </c>
      <c r="K328" s="4" t="s">
        <v>500</v>
      </c>
    </row>
    <row r="329" customFormat="false" ht="15" hidden="false" customHeight="false" outlineLevel="0" collapsed="false">
      <c r="A329" s="4" t="s">
        <v>398</v>
      </c>
      <c r="B329" s="0" t="s">
        <v>189</v>
      </c>
      <c r="C329" s="17" t="n">
        <f aca="false">C327+C328</f>
        <v>9.872226</v>
      </c>
      <c r="D329" s="17" t="n">
        <f aca="false">D327+D328</f>
        <v>15.8904015</v>
      </c>
      <c r="E329" s="17" t="n">
        <f aca="false">E327+E328</f>
        <v>24.8433490316429</v>
      </c>
      <c r="F329" s="17" t="n">
        <f aca="false">F327+F328</f>
        <v>30.5170397796539</v>
      </c>
      <c r="G329" s="17" t="n">
        <f aca="false">G327+G328</f>
        <v>36.2653321033439</v>
      </c>
    </row>
    <row r="330" customFormat="false" ht="17.15" hidden="false" customHeight="false" outlineLevel="0" collapsed="false">
      <c r="A330" s="0" t="s">
        <v>501</v>
      </c>
      <c r="B330" s="0" t="s">
        <v>189</v>
      </c>
      <c r="D330" s="17" t="n">
        <f aca="false">k_cpo*cpo_A_26/cpo_A_27</f>
        <v>0.24</v>
      </c>
      <c r="E330" s="17" t="n">
        <f aca="false">k_cpo*cpo_A_27/cpo_A_27</f>
        <v>1.2</v>
      </c>
      <c r="F330" s="17" t="n">
        <f aca="false">k_cpo*cpo_A_28/cpo_A_27</f>
        <v>2.4</v>
      </c>
      <c r="G330" s="17" t="n">
        <f aca="false">k_cpo*cpo_A_29/cpo_A_27</f>
        <v>3.84</v>
      </c>
      <c r="K330" s="8" t="s">
        <v>502</v>
      </c>
    </row>
    <row r="331" customFormat="false" ht="17.15" hidden="false" customHeight="false" outlineLevel="0" collapsed="false">
      <c r="A331" s="4" t="s">
        <v>503</v>
      </c>
      <c r="B331" s="0" t="s">
        <v>189</v>
      </c>
      <c r="C331" s="17" t="n">
        <f aca="false">a25_eq</f>
        <v>3.290742</v>
      </c>
      <c r="D331" s="17" t="n">
        <f aca="false">a26_eq-D330</f>
        <v>4.8539955</v>
      </c>
      <c r="E331" s="17" t="n">
        <f aca="false">D331*semi_27</f>
        <v>5.659593717153</v>
      </c>
      <c r="F331" s="17" t="n">
        <f aca="false">$E331*eqk28_A</f>
        <v>6.59889384801401</v>
      </c>
      <c r="G331" s="17" t="n">
        <f aca="false">$E331*eqk29_A</f>
        <v>7.12680377116889</v>
      </c>
      <c r="K331" s="8" t="s">
        <v>504</v>
      </c>
    </row>
    <row r="332" customFormat="false" ht="15" hidden="false" customHeight="false" outlineLevel="0" collapsed="false">
      <c r="A332" s="4" t="s">
        <v>405</v>
      </c>
      <c r="B332" s="0" t="s">
        <v>189</v>
      </c>
      <c r="C332" s="17" t="n">
        <f aca="false">a25_eq</f>
        <v>3.290742</v>
      </c>
      <c r="D332" s="17" t="n">
        <f aca="false">D330+D331</f>
        <v>5.0939955</v>
      </c>
      <c r="E332" s="17" t="n">
        <f aca="false">E330+E331</f>
        <v>6.859593717153</v>
      </c>
      <c r="F332" s="17" t="n">
        <f aca="false">F330+F331</f>
        <v>8.99889384801401</v>
      </c>
      <c r="G332" s="17" t="n">
        <f aca="false">G330+G331</f>
        <v>10.9668037711689</v>
      </c>
    </row>
    <row r="333" customFormat="false" ht="15" hidden="false" customHeight="false" outlineLevel="0" collapsed="false">
      <c r="A333" s="4" t="s">
        <v>407</v>
      </c>
      <c r="B333" s="0" t="s">
        <v>189</v>
      </c>
      <c r="C333" s="17" t="n">
        <f aca="false">a25_oth</f>
        <v>0.214032000000001</v>
      </c>
      <c r="D333" s="17" t="n">
        <f aca="false">a26_oth</f>
        <v>0.428253</v>
      </c>
      <c r="E333" s="17" t="n">
        <f aca="false">D333*(1+g_oth)</f>
        <v>0.44966565</v>
      </c>
      <c r="F333" s="17" t="n">
        <f aca="false">E333*(1+g_oth)</f>
        <v>0.4721489325</v>
      </c>
      <c r="G333" s="17" t="n">
        <f aca="false">F333*(1+g_oth)</f>
        <v>0.495756379125</v>
      </c>
    </row>
    <row r="334" customFormat="false" ht="17.15" hidden="false" customHeight="false" outlineLevel="0" collapsed="false">
      <c r="A334" s="4" t="s">
        <v>394</v>
      </c>
      <c r="B334" s="0" t="s">
        <v>189</v>
      </c>
      <c r="C334" s="17" t="n">
        <f aca="false">C329+C332+C333</f>
        <v>13.377</v>
      </c>
      <c r="D334" s="17" t="n">
        <f aca="false">D329+D332+D333</f>
        <v>21.41265</v>
      </c>
      <c r="E334" s="17" t="n">
        <f aca="false">E329+E332+E333</f>
        <v>32.1526083987959</v>
      </c>
      <c r="F334" s="17" t="n">
        <f aca="false">F329+F332+F333</f>
        <v>39.9880825601679</v>
      </c>
      <c r="G334" s="17" t="n">
        <f aca="false">G329+G332+G333</f>
        <v>47.7278922536378</v>
      </c>
      <c r="H334" s="30" t="n">
        <f aca="false">G334*(1+H335)</f>
        <v>54.8410316804068</v>
      </c>
      <c r="I334" s="30" t="n">
        <f aca="false">H334*(1+I335)</f>
        <v>60.5728866805208</v>
      </c>
      <c r="J334" s="30" t="n">
        <f aca="false">I334*(1+J335)</f>
        <v>64.2072598813521</v>
      </c>
      <c r="K334" s="8" t="s">
        <v>505</v>
      </c>
    </row>
    <row r="335" customFormat="false" ht="15" hidden="false" customHeight="false" outlineLevel="0" collapsed="false">
      <c r="A335" s="4" t="s">
        <v>506</v>
      </c>
      <c r="B335" s="0" t="s">
        <v>90</v>
      </c>
      <c r="D335" s="22" t="n">
        <f aca="false">D334/C334-1</f>
        <v>0.600706436420722</v>
      </c>
      <c r="E335" s="22" t="n">
        <f aca="false">E334/D334-1</f>
        <v>0.50157072565964</v>
      </c>
      <c r="F335" s="22" t="n">
        <f aca="false">F334/E334-1</f>
        <v>0.243696376486376</v>
      </c>
      <c r="G335" s="22" t="n">
        <f aca="false">G334/F334-1</f>
        <v>0.193552908715348</v>
      </c>
      <c r="H335" s="26" t="n">
        <f aca="false">$G335+(fade_gA-$G335)*1/3</f>
        <v>0.149035272476899</v>
      </c>
      <c r="I335" s="26" t="n">
        <f aca="false">$G335+(fade_gA-$G335)*2/3</f>
        <v>0.104517636238449</v>
      </c>
      <c r="J335" s="26" t="n">
        <f aca="false">$G335+(fade_gA-$G335)*3/3</f>
        <v>0.06</v>
      </c>
    </row>
    <row r="336" customFormat="false" ht="17.15" hidden="false" customHeight="false" outlineLevel="0" collapsed="false">
      <c r="A336" s="0" t="s">
        <v>507</v>
      </c>
      <c r="B336" s="0" t="s">
        <v>90</v>
      </c>
      <c r="C336" s="22" t="n">
        <f aca="false">C327/C334</f>
        <v>0.4059</v>
      </c>
      <c r="D336" s="22" t="n">
        <f aca="false">D327/D334</f>
        <v>0.445262071719287</v>
      </c>
      <c r="E336" s="22" t="n">
        <f aca="false">E327/E334</f>
        <v>0.561144432385105</v>
      </c>
      <c r="F336" s="22" t="n">
        <f aca="false">F327/F334</f>
        <v>0.581169939162402</v>
      </c>
      <c r="G336" s="22" t="n">
        <f aca="false">G327/G334</f>
        <v>0.59669012622839</v>
      </c>
    </row>
    <row r="337" customFormat="false" ht="17.15" hidden="false" customHeight="false" outlineLevel="0" collapsed="false">
      <c r="A337" s="4" t="s">
        <v>508</v>
      </c>
      <c r="B337" s="0" t="s">
        <v>90</v>
      </c>
      <c r="C337" s="22" t="n">
        <f aca="false">C329/C334</f>
        <v>0.738</v>
      </c>
      <c r="D337" s="22" t="n">
        <f aca="false">D329/D334</f>
        <v>0.742103452865479</v>
      </c>
      <c r="E337" s="22" t="n">
        <f aca="false">E329/E334</f>
        <v>0.772669785402956</v>
      </c>
      <c r="F337" s="22" t="n">
        <f aca="false">F329/F334</f>
        <v>0.763153365349202</v>
      </c>
      <c r="G337" s="22" t="n">
        <f aca="false">G329/G334</f>
        <v>0.759835190513358</v>
      </c>
    </row>
    <row r="338" customFormat="false" ht="17.15" hidden="false" customHeight="false" outlineLevel="0" collapsed="false">
      <c r="A338" s="6" t="s">
        <v>509</v>
      </c>
    </row>
    <row r="339" customFormat="false" ht="15" hidden="false" customHeight="false" outlineLevel="0" collapsed="false">
      <c r="A339" s="4" t="s">
        <v>412</v>
      </c>
      <c r="B339" s="0" t="s">
        <v>90</v>
      </c>
      <c r="C339" s="14" t="n">
        <f aca="false">a25_gp/a25_rev</f>
        <v>0.574</v>
      </c>
      <c r="D339" s="14" t="n">
        <f aca="false">a26_gp/a26_rev</f>
        <v>0.593344593032623</v>
      </c>
      <c r="E339" s="14" t="n">
        <f aca="false">gm27_A+gm_adj</f>
        <v>0.6</v>
      </c>
      <c r="F339" s="14" t="n">
        <f aca="false">gmL_A+gm_adj</f>
        <v>0.61</v>
      </c>
      <c r="G339" s="14" t="n">
        <f aca="false">gmL_A+gm_adj</f>
        <v>0.61</v>
      </c>
    </row>
    <row r="340" customFormat="false" ht="15" hidden="false" customHeight="false" outlineLevel="0" collapsed="false">
      <c r="A340" s="4" t="s">
        <v>409</v>
      </c>
      <c r="B340" s="0" t="s">
        <v>189</v>
      </c>
      <c r="C340" s="17" t="n">
        <f aca="false">C334*C339</f>
        <v>7.678398</v>
      </c>
      <c r="D340" s="17" t="n">
        <f aca="false">D334*D339</f>
        <v>12.7050801</v>
      </c>
      <c r="E340" s="17" t="n">
        <f aca="false">E334*E339</f>
        <v>19.2915650392775</v>
      </c>
      <c r="F340" s="17" t="n">
        <f aca="false">F334*F339</f>
        <v>24.3927303617024</v>
      </c>
      <c r="G340" s="17" t="n">
        <f aca="false">G334*G339</f>
        <v>29.1140142747191</v>
      </c>
    </row>
    <row r="341" customFormat="false" ht="17.15" hidden="false" customHeight="false" outlineLevel="0" collapsed="false">
      <c r="A341" s="4" t="s">
        <v>510</v>
      </c>
      <c r="B341" s="0" t="s">
        <v>189</v>
      </c>
      <c r="D341" s="17" t="n">
        <f aca="false">a26_opx</f>
        <v>5.05564928556</v>
      </c>
      <c r="E341" s="17" t="n">
        <f aca="false">D341*(1+phi*E335)</f>
        <v>6.57710869406338</v>
      </c>
      <c r="F341" s="17" t="n">
        <f aca="false">E341*(1+phi*F335)</f>
        <v>7.53879922796355</v>
      </c>
      <c r="G341" s="17" t="n">
        <f aca="false">F341*(1+phi*G335)</f>
        <v>8.41429313923957</v>
      </c>
      <c r="K341" s="8" t="s">
        <v>511</v>
      </c>
    </row>
    <row r="342" customFormat="false" ht="15" hidden="false" customHeight="false" outlineLevel="0" collapsed="false">
      <c r="A342" s="4" t="s">
        <v>415</v>
      </c>
      <c r="B342" s="0" t="s">
        <v>189</v>
      </c>
      <c r="D342" s="17" t="n">
        <f aca="false">D340-D341</f>
        <v>7.64943081444</v>
      </c>
      <c r="E342" s="17" t="n">
        <f aca="false">E340-E341</f>
        <v>12.7144563452141</v>
      </c>
      <c r="F342" s="17" t="n">
        <f aca="false">F340-F341</f>
        <v>16.8539311337388</v>
      </c>
      <c r="G342" s="17" t="n">
        <f aca="false">G340-G341</f>
        <v>20.6997211354795</v>
      </c>
    </row>
    <row r="343" customFormat="false" ht="15" hidden="false" customHeight="false" outlineLevel="0" collapsed="false">
      <c r="A343" s="4" t="s">
        <v>482</v>
      </c>
      <c r="B343" s="0" t="s">
        <v>90</v>
      </c>
      <c r="D343" s="14" t="n">
        <f aca="false">D342/D334</f>
        <v>0.357238866484999</v>
      </c>
      <c r="E343" s="14" t="n">
        <f aca="false">E342/E334</f>
        <v>0.395440898216218</v>
      </c>
      <c r="F343" s="14" t="n">
        <f aca="false">F342/F334</f>
        <v>0.421473850574847</v>
      </c>
      <c r="G343" s="14" t="n">
        <f aca="false">G342/G334</f>
        <v>0.433702813136521</v>
      </c>
    </row>
    <row r="344" customFormat="false" ht="15" hidden="false" customHeight="false" outlineLevel="0" collapsed="false">
      <c r="A344" s="4" t="s">
        <v>418</v>
      </c>
      <c r="B344" s="0" t="s">
        <v>189</v>
      </c>
      <c r="C344" s="17" t="n">
        <f aca="false">a25_ni</f>
        <v>3.18</v>
      </c>
      <c r="D344" s="17" t="n">
        <f aca="false">a26_ni</f>
        <v>6.7316248085628</v>
      </c>
      <c r="E344" s="17" t="n">
        <f aca="false">E342*ni_oi</f>
        <v>10.807287893432</v>
      </c>
      <c r="F344" s="17" t="n">
        <f aca="false">F342*ni_oi</f>
        <v>14.325841463678</v>
      </c>
      <c r="G344" s="17" t="n">
        <f aca="false">G342*ni_oi</f>
        <v>17.5947629651576</v>
      </c>
      <c r="H344" s="30" t="n">
        <f aca="false">H334*H348</f>
        <v>20.1971785093132</v>
      </c>
      <c r="I344" s="30" t="n">
        <f aca="false">I334*I348</f>
        <v>22.2862430814148</v>
      </c>
      <c r="J344" s="30" t="n">
        <f aca="false">J334*J348</f>
        <v>23.6002070748593</v>
      </c>
    </row>
    <row r="345" customFormat="false" ht="15" hidden="false" customHeight="false" outlineLevel="0" collapsed="false">
      <c r="A345" s="4" t="s">
        <v>512</v>
      </c>
      <c r="B345" s="4" t="s">
        <v>513</v>
      </c>
      <c r="C345" s="19" t="n">
        <f aca="false">a25_sh</f>
        <v>94.9537175276202</v>
      </c>
      <c r="D345" s="19" t="n">
        <f aca="false">a26_sh</f>
        <v>97.9860681630967</v>
      </c>
      <c r="E345" s="19" t="n">
        <f aca="false">D345*(1+sh_g)</f>
        <v>97.9860681630967</v>
      </c>
      <c r="F345" s="19" t="n">
        <f aca="false">E345*(1+sh_g)</f>
        <v>97.9860681630967</v>
      </c>
      <c r="G345" s="19" t="n">
        <f aca="false">F345*(1+sh_g)</f>
        <v>97.9860681630967</v>
      </c>
      <c r="H345" s="25" t="n">
        <f aca="false">G345*(1+sh_g)</f>
        <v>97.9860681630967</v>
      </c>
      <c r="I345" s="25" t="n">
        <f aca="false">H345*(1+sh_g)</f>
        <v>97.9860681630967</v>
      </c>
      <c r="J345" s="25" t="n">
        <f aca="false">I345*(1+sh_g)</f>
        <v>97.9860681630967</v>
      </c>
    </row>
    <row r="346" customFormat="false" ht="15" hidden="false" customHeight="false" outlineLevel="0" collapsed="false">
      <c r="A346" s="0" t="s">
        <v>423</v>
      </c>
      <c r="B346" s="0" t="s">
        <v>256</v>
      </c>
      <c r="C346" s="20" t="n">
        <f aca="false">a25_eps</f>
        <v>33.49</v>
      </c>
      <c r="D346" s="20" t="n">
        <f aca="false">a26_eps</f>
        <v>68.6959552317267</v>
      </c>
      <c r="E346" s="20" t="n">
        <f aca="false">E344/E345*1000</f>
        <v>110.294127481913</v>
      </c>
      <c r="F346" s="20" t="n">
        <f aca="false">F344/F345*1000</f>
        <v>146.202840181655</v>
      </c>
      <c r="G346" s="20" t="n">
        <f aca="false">G344/G345*1000</f>
        <v>179.563924698675</v>
      </c>
      <c r="H346" s="28" t="n">
        <f aca="false">H344/H345*1000</f>
        <v>206.122961028452</v>
      </c>
      <c r="I346" s="28" t="n">
        <f aca="false">I344/I345*1000</f>
        <v>227.442977345714</v>
      </c>
      <c r="J346" s="28" t="n">
        <f aca="false">J344/J345*1000</f>
        <v>240.852679541922</v>
      </c>
    </row>
    <row r="347" customFormat="false" ht="17.15" hidden="false" customHeight="false" outlineLevel="0" collapsed="false">
      <c r="A347" s="0" t="s">
        <v>514</v>
      </c>
      <c r="B347" s="0" t="s">
        <v>90</v>
      </c>
      <c r="D347" s="22" t="n">
        <f aca="false">D346/C346-1</f>
        <v>1.05123783910799</v>
      </c>
      <c r="E347" s="22" t="n">
        <f aca="false">E346/D346-1</f>
        <v>0.605540342366107</v>
      </c>
      <c r="F347" s="22" t="n">
        <f aca="false">F346/E346-1</f>
        <v>0.325572299446593</v>
      </c>
      <c r="G347" s="22" t="n">
        <f aca="false">G346/F346-1</f>
        <v>0.228183559741858</v>
      </c>
      <c r="H347" s="26" t="n">
        <f aca="false">H346/G346-1</f>
        <v>0.147908531038985</v>
      </c>
      <c r="I347" s="26" t="n">
        <f aca="false">I346/H346-1</f>
        <v>0.103433485580095</v>
      </c>
      <c r="J347" s="26" t="n">
        <f aca="false">J346/I346-1</f>
        <v>0.0589585238141914</v>
      </c>
    </row>
    <row r="348" customFormat="false" ht="17.15" hidden="false" customHeight="false" outlineLevel="0" collapsed="false">
      <c r="A348" s="4" t="s">
        <v>515</v>
      </c>
      <c r="B348" s="0" t="s">
        <v>90</v>
      </c>
      <c r="C348" s="14" t="n">
        <f aca="false">C344/C334</f>
        <v>0.237721462211258</v>
      </c>
      <c r="D348" s="14" t="n">
        <f aca="false">D344/D334</f>
        <v>0.314376072488123</v>
      </c>
      <c r="E348" s="14" t="n">
        <f aca="false">E344/E334</f>
        <v>0.336124763483785</v>
      </c>
      <c r="F348" s="14" t="n">
        <f aca="false">F344/F334</f>
        <v>0.35825277298862</v>
      </c>
      <c r="G348" s="14" t="n">
        <f aca="false">G344/G334</f>
        <v>0.368647391166043</v>
      </c>
      <c r="H348" s="27" t="n">
        <f aca="false">$G348+(fade_mA-$G348)*1/3</f>
        <v>0.368285896352476</v>
      </c>
      <c r="I348" s="27" t="n">
        <f aca="false">$G348+(fade_mA-$G348)*2/3</f>
        <v>0.36792440153891</v>
      </c>
      <c r="J348" s="27" t="n">
        <f aca="false">$G348+(fade_mA-$G348)*3/3</f>
        <v>0.367562906725343</v>
      </c>
    </row>
    <row r="351" customFormat="false" ht="17.15" hidden="false" customHeight="false" outlineLevel="0" collapsed="false">
      <c r="A351" s="1" t="s">
        <v>812</v>
      </c>
    </row>
    <row r="352" customFormat="false" ht="17.15" hidden="false" customHeight="false" outlineLevel="0" collapsed="false">
      <c r="A352" s="5" t="s">
        <v>21</v>
      </c>
      <c r="B352" s="5" t="s">
        <v>22</v>
      </c>
      <c r="C352" s="15" t="s">
        <v>387</v>
      </c>
      <c r="D352" s="15" t="s">
        <v>468</v>
      </c>
      <c r="E352" s="15" t="s">
        <v>469</v>
      </c>
      <c r="F352" s="15" t="s">
        <v>470</v>
      </c>
      <c r="G352" s="15" t="s">
        <v>471</v>
      </c>
      <c r="H352" s="15" t="s">
        <v>472</v>
      </c>
      <c r="I352" s="15" t="s">
        <v>473</v>
      </c>
      <c r="J352" s="15" t="s">
        <v>474</v>
      </c>
      <c r="K352" s="5" t="s">
        <v>336</v>
      </c>
    </row>
    <row r="353" customFormat="false" ht="17.15" hidden="false" customHeight="false" outlineLevel="0" collapsed="false">
      <c r="A353" s="6" t="s">
        <v>492</v>
      </c>
    </row>
    <row r="354" customFormat="false" ht="17.15" hidden="false" customHeight="false" outlineLevel="0" collapsed="false">
      <c r="A354" s="0" t="s">
        <v>493</v>
      </c>
      <c r="B354" s="4" t="s">
        <v>32</v>
      </c>
      <c r="D354" s="20" t="n">
        <f aca="false">units_26</f>
        <v>15.2</v>
      </c>
      <c r="E354" s="20" t="n">
        <f aca="false">units_27*1</f>
        <v>23.7</v>
      </c>
      <c r="F354" s="20" t="n">
        <f aca="false">units_28*um28_B*1</f>
        <v>21.2</v>
      </c>
      <c r="G354" s="20" t="n">
        <f aca="false">units_29*um29_B*1</f>
        <v>25.6275</v>
      </c>
    </row>
    <row r="355" customFormat="false" ht="17.15" hidden="false" customHeight="false" outlineLevel="0" collapsed="false">
      <c r="A355" s="4" t="s">
        <v>494</v>
      </c>
      <c r="B355" s="0" t="s">
        <v>45</v>
      </c>
      <c r="D355" s="18" t="n">
        <f aca="false">ex_nv_lo*nvtt_26+astt_26</f>
        <v>0.503915</v>
      </c>
      <c r="E355" s="18" t="n">
        <f aca="false">ex_nv_lo*nvtt_27+astt_27</f>
        <v>0.5547262</v>
      </c>
      <c r="F355" s="18" t="n">
        <f aca="false">ex_nv_lo*nvtt_28+astt_28</f>
        <v>0.5916982</v>
      </c>
      <c r="G355" s="18" t="n">
        <f aca="false">ex_nv_lo*nvtt_29+astt_29</f>
        <v>0.59592</v>
      </c>
      <c r="K355" s="8" t="s">
        <v>495</v>
      </c>
    </row>
    <row r="356" customFormat="false" ht="17.15" hidden="false" customHeight="false" outlineLevel="0" collapsed="false">
      <c r="A356" s="4" t="s">
        <v>447</v>
      </c>
      <c r="B356" s="0" t="s">
        <v>45</v>
      </c>
      <c r="D356" s="18" t="n">
        <f aca="false">D354*D355/($D354*$D355)</f>
        <v>1</v>
      </c>
      <c r="E356" s="18" t="n">
        <f aca="false">E354*E355/($D354*$D355)</f>
        <v>1.71643021196662</v>
      </c>
      <c r="F356" s="18" t="n">
        <f aca="false">F354*F355/($D354*$D355)</f>
        <v>1.63770334073677</v>
      </c>
      <c r="G356" s="18" t="n">
        <f aca="false">G354*G355/($D354*$D355)</f>
        <v>1.99385388722095</v>
      </c>
    </row>
    <row r="357" customFormat="false" ht="17.15" hidden="false" customHeight="false" outlineLevel="0" collapsed="false">
      <c r="A357" s="4" t="s">
        <v>496</v>
      </c>
      <c r="B357" s="0" t="s">
        <v>45</v>
      </c>
      <c r="D357" s="20" t="n">
        <f aca="false">1</f>
        <v>1</v>
      </c>
      <c r="E357" s="20" t="n">
        <f aca="false">rel27_B</f>
        <v>1</v>
      </c>
      <c r="F357" s="20" t="n">
        <f aca="false">rel28_B</f>
        <v>1</v>
      </c>
      <c r="G357" s="20" t="n">
        <f aca="false">rel29_B</f>
        <v>1</v>
      </c>
    </row>
    <row r="358" customFormat="false" ht="17.15" hidden="false" customHeight="false" outlineLevel="0" collapsed="false">
      <c r="A358" s="4" t="s">
        <v>497</v>
      </c>
      <c r="B358" s="0" t="s">
        <v>45</v>
      </c>
      <c r="D358" s="18" t="n">
        <f aca="false">1</f>
        <v>1</v>
      </c>
      <c r="E358" s="18" t="n">
        <f aca="false">(1+g_ct)^1</f>
        <v>1.05</v>
      </c>
      <c r="F358" s="18" t="n">
        <f aca="false">(1+g_ct)^2</f>
        <v>1.1025</v>
      </c>
      <c r="G358" s="18" t="n">
        <f aca="false">(1+g_ct)^3</f>
        <v>1.157625</v>
      </c>
    </row>
    <row r="359" customFormat="false" ht="17.15" hidden="false" customHeight="false" outlineLevel="0" collapsed="false">
      <c r="A359" s="6" t="s">
        <v>498</v>
      </c>
    </row>
    <row r="360" customFormat="false" ht="17.15" hidden="false" customHeight="false" outlineLevel="0" collapsed="false">
      <c r="A360" s="0" t="s">
        <v>401</v>
      </c>
      <c r="B360" s="0" t="s">
        <v>189</v>
      </c>
      <c r="C360" s="17" t="n">
        <f aca="false">a25_ai</f>
        <v>5.4297243</v>
      </c>
      <c r="D360" s="17" t="n">
        <f aca="false">a26_ai</f>
        <v>9.5342409</v>
      </c>
      <c r="E360" s="17" t="n">
        <f aca="false">$D360*E356*E357*E358</f>
        <v>17.1831020853742</v>
      </c>
      <c r="F360" s="17" t="n">
        <f aca="false">$D360*F356*F357*F358</f>
        <v>17.2147196360843</v>
      </c>
      <c r="G360" s="17" t="n">
        <f aca="false">$D360*G356*G357*G358</f>
        <v>22.0063161322022</v>
      </c>
      <c r="K360" s="8" t="s">
        <v>499</v>
      </c>
    </row>
    <row r="361" customFormat="false" ht="17.15" hidden="false" customHeight="false" outlineLevel="0" collapsed="false">
      <c r="A361" s="4" t="s">
        <v>404</v>
      </c>
      <c r="B361" s="0" t="s">
        <v>189</v>
      </c>
      <c r="C361" s="17" t="n">
        <f aca="false">a25_npc</f>
        <v>4.4425017</v>
      </c>
      <c r="D361" s="17" t="n">
        <f aca="false">a26_npc</f>
        <v>6.3561606</v>
      </c>
      <c r="E361" s="17" t="n">
        <f aca="false">D361*(1+g_nonai+d_npc)</f>
        <v>6.801091842</v>
      </c>
      <c r="F361" s="17" t="n">
        <f aca="false">E361*(1+g_nonai+d_npc)</f>
        <v>7.27716827094</v>
      </c>
      <c r="G361" s="17" t="n">
        <f aca="false">F361*(1+g_nonai+d_npc)</f>
        <v>7.7865700499058</v>
      </c>
      <c r="K361" s="4" t="s">
        <v>500</v>
      </c>
    </row>
    <row r="362" customFormat="false" ht="15" hidden="false" customHeight="false" outlineLevel="0" collapsed="false">
      <c r="A362" s="4" t="s">
        <v>398</v>
      </c>
      <c r="B362" s="0" t="s">
        <v>189</v>
      </c>
      <c r="C362" s="17" t="n">
        <f aca="false">C360+C361</f>
        <v>9.872226</v>
      </c>
      <c r="D362" s="17" t="n">
        <f aca="false">D360+D361</f>
        <v>15.8904015</v>
      </c>
      <c r="E362" s="17" t="n">
        <f aca="false">E360+E361</f>
        <v>23.9841939273742</v>
      </c>
      <c r="F362" s="17" t="n">
        <f aca="false">F360+F361</f>
        <v>24.4918879070243</v>
      </c>
      <c r="G362" s="17" t="n">
        <f aca="false">G360+G361</f>
        <v>29.792886182108</v>
      </c>
    </row>
    <row r="363" customFormat="false" ht="17.15" hidden="false" customHeight="false" outlineLevel="0" collapsed="false">
      <c r="A363" s="0" t="s">
        <v>501</v>
      </c>
      <c r="B363" s="0" t="s">
        <v>189</v>
      </c>
      <c r="D363" s="17" t="n">
        <f aca="false">k_cpo*cpo_A_26/cpo_A_27</f>
        <v>0.24</v>
      </c>
      <c r="E363" s="17" t="n">
        <f aca="false">k_cpo*cpo_B_27/cpo_A_27</f>
        <v>0.72</v>
      </c>
      <c r="F363" s="17" t="n">
        <f aca="false">k_cpo*cpo_B_28/cpo_A_27</f>
        <v>1.2</v>
      </c>
      <c r="G363" s="17" t="n">
        <f aca="false">k_cpo*cpo_B_29/cpo_A_27</f>
        <v>1.92</v>
      </c>
      <c r="K363" s="8" t="s">
        <v>502</v>
      </c>
    </row>
    <row r="364" customFormat="false" ht="17.15" hidden="false" customHeight="false" outlineLevel="0" collapsed="false">
      <c r="A364" s="4" t="s">
        <v>503</v>
      </c>
      <c r="B364" s="0" t="s">
        <v>189</v>
      </c>
      <c r="C364" s="17" t="n">
        <f aca="false">a25_eq</f>
        <v>3.290742</v>
      </c>
      <c r="D364" s="17" t="n">
        <f aca="false">a26_eq-D363</f>
        <v>4.8539955</v>
      </c>
      <c r="E364" s="17" t="n">
        <f aca="false">D364*semi_27</f>
        <v>5.659593717153</v>
      </c>
      <c r="F364" s="17" t="n">
        <f aca="false">$E364*eqk28_B</f>
        <v>5.659593717153</v>
      </c>
      <c r="G364" s="17" t="n">
        <f aca="false">$E364*eqk29_B</f>
        <v>5.37661403129535</v>
      </c>
      <c r="K364" s="8" t="s">
        <v>504</v>
      </c>
    </row>
    <row r="365" customFormat="false" ht="15" hidden="false" customHeight="false" outlineLevel="0" collapsed="false">
      <c r="A365" s="4" t="s">
        <v>405</v>
      </c>
      <c r="B365" s="0" t="s">
        <v>189</v>
      </c>
      <c r="C365" s="17" t="n">
        <f aca="false">a25_eq</f>
        <v>3.290742</v>
      </c>
      <c r="D365" s="17" t="n">
        <f aca="false">D363+D364</f>
        <v>5.0939955</v>
      </c>
      <c r="E365" s="17" t="n">
        <f aca="false">E363+E364</f>
        <v>6.379593717153</v>
      </c>
      <c r="F365" s="17" t="n">
        <f aca="false">F363+F364</f>
        <v>6.859593717153</v>
      </c>
      <c r="G365" s="17" t="n">
        <f aca="false">G363+G364</f>
        <v>7.29661403129535</v>
      </c>
    </row>
    <row r="366" customFormat="false" ht="15" hidden="false" customHeight="false" outlineLevel="0" collapsed="false">
      <c r="A366" s="4" t="s">
        <v>407</v>
      </c>
      <c r="B366" s="0" t="s">
        <v>189</v>
      </c>
      <c r="C366" s="17" t="n">
        <f aca="false">a25_oth</f>
        <v>0.214032000000001</v>
      </c>
      <c r="D366" s="17" t="n">
        <f aca="false">a26_oth</f>
        <v>0.428253</v>
      </c>
      <c r="E366" s="17" t="n">
        <f aca="false">D366*(1+g_oth)</f>
        <v>0.44966565</v>
      </c>
      <c r="F366" s="17" t="n">
        <f aca="false">E366*(1+g_oth)</f>
        <v>0.4721489325</v>
      </c>
      <c r="G366" s="17" t="n">
        <f aca="false">F366*(1+g_oth)</f>
        <v>0.495756379125</v>
      </c>
    </row>
    <row r="367" customFormat="false" ht="17.15" hidden="false" customHeight="false" outlineLevel="0" collapsed="false">
      <c r="A367" s="4" t="s">
        <v>394</v>
      </c>
      <c r="B367" s="0" t="s">
        <v>189</v>
      </c>
      <c r="C367" s="17" t="n">
        <f aca="false">C362+C365+C366</f>
        <v>13.377</v>
      </c>
      <c r="D367" s="17" t="n">
        <f aca="false">D362+D365+D366</f>
        <v>21.41265</v>
      </c>
      <c r="E367" s="17" t="n">
        <f aca="false">E362+E365+E366</f>
        <v>30.8134532945272</v>
      </c>
      <c r="F367" s="17" t="n">
        <f aca="false">F362+F365+F366</f>
        <v>31.8236305566773</v>
      </c>
      <c r="G367" s="17" t="n">
        <f aca="false">G362+G365+G366</f>
        <v>37.5852565925283</v>
      </c>
      <c r="H367" s="30" t="n">
        <f aca="false">G367*(1+H368)</f>
        <v>42.6229005307949</v>
      </c>
      <c r="I367" s="30" t="n">
        <f aca="false">H367*(1+I368)</f>
        <v>46.33178438437</v>
      </c>
      <c r="J367" s="30" t="n">
        <f aca="false">I367*(1+J368)</f>
        <v>48.1850557597448</v>
      </c>
      <c r="K367" s="8" t="s">
        <v>505</v>
      </c>
    </row>
    <row r="368" customFormat="false" ht="15" hidden="false" customHeight="false" outlineLevel="0" collapsed="false">
      <c r="A368" s="4" t="s">
        <v>506</v>
      </c>
      <c r="B368" s="0" t="s">
        <v>90</v>
      </c>
      <c r="D368" s="22" t="n">
        <f aca="false">D367/C367-1</f>
        <v>0.600706436420722</v>
      </c>
      <c r="E368" s="22" t="n">
        <f aca="false">E367/D367-1</f>
        <v>0.439030353297102</v>
      </c>
      <c r="F368" s="22" t="n">
        <f aca="false">F367/E367-1</f>
        <v>0.0327836433162647</v>
      </c>
      <c r="G368" s="22" t="n">
        <f aca="false">G367/F367-1</f>
        <v>0.181048671539523</v>
      </c>
      <c r="H368" s="26" t="n">
        <f aca="false">$G368+(fade_gB-$G368)*1/3</f>
        <v>0.134032447693015</v>
      </c>
      <c r="I368" s="26" t="n">
        <f aca="false">$G368+(fade_gB-$G368)*2/3</f>
        <v>0.0870162238465075</v>
      </c>
      <c r="J368" s="26" t="n">
        <f aca="false">$G368+(fade_gB-$G368)*3/3</f>
        <v>0.04</v>
      </c>
    </row>
    <row r="369" customFormat="false" ht="17.15" hidden="false" customHeight="false" outlineLevel="0" collapsed="false">
      <c r="A369" s="0" t="s">
        <v>507</v>
      </c>
      <c r="B369" s="0" t="s">
        <v>90</v>
      </c>
      <c r="C369" s="22" t="n">
        <f aca="false">C360/C367</f>
        <v>0.4059</v>
      </c>
      <c r="D369" s="22" t="n">
        <f aca="false">D360/D367</f>
        <v>0.445262071719287</v>
      </c>
      <c r="E369" s="22" t="n">
        <f aca="false">E360/E367</f>
        <v>0.557649346249227</v>
      </c>
      <c r="F369" s="22" t="n">
        <f aca="false">F360/F367</f>
        <v>0.54094141161629</v>
      </c>
      <c r="G369" s="22" t="n">
        <f aca="false">G360/G367</f>
        <v>0.585503948284255</v>
      </c>
    </row>
    <row r="370" customFormat="false" ht="17.15" hidden="false" customHeight="false" outlineLevel="0" collapsed="false">
      <c r="A370" s="4" t="s">
        <v>508</v>
      </c>
      <c r="B370" s="0" t="s">
        <v>90</v>
      </c>
      <c r="C370" s="22" t="n">
        <f aca="false">C362/C367</f>
        <v>0.738</v>
      </c>
      <c r="D370" s="22" t="n">
        <f aca="false">D362/D367</f>
        <v>0.742103452865479</v>
      </c>
      <c r="E370" s="22" t="n">
        <f aca="false">E362/E367</f>
        <v>0.778367607749893</v>
      </c>
      <c r="F370" s="22" t="n">
        <f aca="false">F362/F367</f>
        <v>0.769613255263403</v>
      </c>
      <c r="G370" s="22" t="n">
        <f aca="false">G362/G367</f>
        <v>0.79267481143206</v>
      </c>
    </row>
    <row r="371" customFormat="false" ht="17.15" hidden="false" customHeight="false" outlineLevel="0" collapsed="false">
      <c r="A371" s="6" t="s">
        <v>509</v>
      </c>
    </row>
    <row r="372" customFormat="false" ht="15" hidden="false" customHeight="false" outlineLevel="0" collapsed="false">
      <c r="A372" s="4" t="s">
        <v>412</v>
      </c>
      <c r="B372" s="0" t="s">
        <v>90</v>
      </c>
      <c r="C372" s="14" t="n">
        <f aca="false">a25_gp/a25_rev</f>
        <v>0.574</v>
      </c>
      <c r="D372" s="14" t="n">
        <f aca="false">a26_gp/a26_rev</f>
        <v>0.593344593032623</v>
      </c>
      <c r="E372" s="14" t="n">
        <f aca="false">gm27_B+gm_adj</f>
        <v>0.595</v>
      </c>
      <c r="F372" s="14" t="n">
        <f aca="false">gmL_B+gm_adj</f>
        <v>0.595</v>
      </c>
      <c r="G372" s="14" t="n">
        <f aca="false">gmL_B+gm_adj</f>
        <v>0.595</v>
      </c>
    </row>
    <row r="373" customFormat="false" ht="15" hidden="false" customHeight="false" outlineLevel="0" collapsed="false">
      <c r="A373" s="4" t="s">
        <v>409</v>
      </c>
      <c r="B373" s="0" t="s">
        <v>189</v>
      </c>
      <c r="C373" s="17" t="n">
        <f aca="false">C367*C372</f>
        <v>7.678398</v>
      </c>
      <c r="D373" s="17" t="n">
        <f aca="false">D367*D372</f>
        <v>12.7050801</v>
      </c>
      <c r="E373" s="17" t="n">
        <f aca="false">E367*E372</f>
        <v>18.3340047102437</v>
      </c>
      <c r="F373" s="17" t="n">
        <f aca="false">F367*F372</f>
        <v>18.935060181223</v>
      </c>
      <c r="G373" s="17" t="n">
        <f aca="false">G367*G372</f>
        <v>22.3632276725544</v>
      </c>
    </row>
    <row r="374" customFormat="false" ht="17.15" hidden="false" customHeight="false" outlineLevel="0" collapsed="false">
      <c r="A374" s="4" t="s">
        <v>510</v>
      </c>
      <c r="B374" s="0" t="s">
        <v>189</v>
      </c>
      <c r="D374" s="17" t="n">
        <f aca="false">a26_opx</f>
        <v>5.05564928556</v>
      </c>
      <c r="E374" s="17" t="n">
        <f aca="false">D374*(1+phi*E368)</f>
        <v>6.38739938075139</v>
      </c>
      <c r="F374" s="17" t="n">
        <f aca="false">E374*(1+phi*F368)</f>
        <v>6.51304071456164</v>
      </c>
      <c r="G374" s="17" t="n">
        <f aca="false">F374*(1+phi*G368)</f>
        <v>7.22054713599416</v>
      </c>
      <c r="K374" s="8" t="s">
        <v>511</v>
      </c>
    </row>
    <row r="375" customFormat="false" ht="15" hidden="false" customHeight="false" outlineLevel="0" collapsed="false">
      <c r="A375" s="4" t="s">
        <v>415</v>
      </c>
      <c r="B375" s="0" t="s">
        <v>189</v>
      </c>
      <c r="D375" s="17" t="n">
        <f aca="false">D373-D374</f>
        <v>7.64943081444</v>
      </c>
      <c r="E375" s="17" t="n">
        <f aca="false">E373-E374</f>
        <v>11.9466053294923</v>
      </c>
      <c r="F375" s="17" t="n">
        <f aca="false">F373-F374</f>
        <v>12.4220194666614</v>
      </c>
      <c r="G375" s="17" t="n">
        <f aca="false">G373-G374</f>
        <v>15.1426805365602</v>
      </c>
    </row>
    <row r="376" customFormat="false" ht="15" hidden="false" customHeight="false" outlineLevel="0" collapsed="false">
      <c r="A376" s="4" t="s">
        <v>482</v>
      </c>
      <c r="B376" s="0" t="s">
        <v>90</v>
      </c>
      <c r="D376" s="14" t="n">
        <f aca="false">D375/D367</f>
        <v>0.357238866484999</v>
      </c>
      <c r="E376" s="14" t="n">
        <f aca="false">E375/E367</f>
        <v>0.38770744763016</v>
      </c>
      <c r="F376" s="14" t="n">
        <f aca="false">F375/F367</f>
        <v>0.390339481993985</v>
      </c>
      <c r="G376" s="14" t="n">
        <f aca="false">G375/G367</f>
        <v>0.402888842844043</v>
      </c>
    </row>
    <row r="377" customFormat="false" ht="15" hidden="false" customHeight="false" outlineLevel="0" collapsed="false">
      <c r="A377" s="4" t="s">
        <v>418</v>
      </c>
      <c r="B377" s="0" t="s">
        <v>189</v>
      </c>
      <c r="C377" s="17" t="n">
        <f aca="false">a25_ni</f>
        <v>3.18</v>
      </c>
      <c r="D377" s="17" t="n">
        <f aca="false">a26_ni</f>
        <v>6.7316248085628</v>
      </c>
      <c r="E377" s="17" t="n">
        <f aca="false">E375*ni_oi</f>
        <v>10.1546145300684</v>
      </c>
      <c r="F377" s="17" t="n">
        <f aca="false">F375*ni_oi</f>
        <v>10.5587165466622</v>
      </c>
      <c r="G377" s="17" t="n">
        <f aca="false">G375*ni_oi</f>
        <v>12.8712784560762</v>
      </c>
      <c r="H377" s="30" t="n">
        <f aca="false">H367*H381</f>
        <v>14.0941724363915</v>
      </c>
      <c r="I377" s="30" t="n">
        <f aca="false">I367*I381</f>
        <v>14.7746130522049</v>
      </c>
      <c r="J377" s="30" t="n">
        <f aca="false">J367*J381</f>
        <v>14.7977772845364</v>
      </c>
    </row>
    <row r="378" customFormat="false" ht="15" hidden="false" customHeight="false" outlineLevel="0" collapsed="false">
      <c r="A378" s="4" t="s">
        <v>512</v>
      </c>
      <c r="B378" s="4" t="s">
        <v>513</v>
      </c>
      <c r="C378" s="19" t="n">
        <f aca="false">a25_sh</f>
        <v>94.9537175276202</v>
      </c>
      <c r="D378" s="19" t="n">
        <f aca="false">a26_sh</f>
        <v>97.9860681630967</v>
      </c>
      <c r="E378" s="19" t="n">
        <f aca="false">D378*(1+sh_g)</f>
        <v>97.9860681630967</v>
      </c>
      <c r="F378" s="19" t="n">
        <f aca="false">E378*(1+sh_g)</f>
        <v>97.9860681630967</v>
      </c>
      <c r="G378" s="19" t="n">
        <f aca="false">F378*(1+sh_g)</f>
        <v>97.9860681630967</v>
      </c>
      <c r="H378" s="25" t="n">
        <f aca="false">G378*(1+sh_g)</f>
        <v>97.9860681630967</v>
      </c>
      <c r="I378" s="25" t="n">
        <f aca="false">H378*(1+sh_g)</f>
        <v>97.9860681630967</v>
      </c>
      <c r="J378" s="25" t="n">
        <f aca="false">I378*(1+sh_g)</f>
        <v>97.9860681630967</v>
      </c>
    </row>
    <row r="379" customFormat="false" ht="15" hidden="false" customHeight="false" outlineLevel="0" collapsed="false">
      <c r="A379" s="0" t="s">
        <v>423</v>
      </c>
      <c r="B379" s="0" t="s">
        <v>256</v>
      </c>
      <c r="C379" s="20" t="n">
        <f aca="false">a25_eps</f>
        <v>33.49</v>
      </c>
      <c r="D379" s="20" t="n">
        <f aca="false">a26_eps</f>
        <v>68.6959552317267</v>
      </c>
      <c r="E379" s="20" t="n">
        <f aca="false">E377/E378*1000</f>
        <v>103.633248281441</v>
      </c>
      <c r="F379" s="20" t="n">
        <f aca="false">F377/F378*1000</f>
        <v>107.757324531966</v>
      </c>
      <c r="G379" s="20" t="n">
        <f aca="false">G377/G378*1000</f>
        <v>131.358250181567</v>
      </c>
      <c r="H379" s="28" t="n">
        <f aca="false">H377/H378*1000</f>
        <v>143.838534401972</v>
      </c>
      <c r="I379" s="28" t="n">
        <f aca="false">I377/I378*1000</f>
        <v>150.782793198853</v>
      </c>
      <c r="J379" s="28" t="n">
        <f aca="false">J377/J378*1000</f>
        <v>151.019196523997</v>
      </c>
    </row>
    <row r="380" customFormat="false" ht="17.15" hidden="false" customHeight="false" outlineLevel="0" collapsed="false">
      <c r="A380" s="0" t="s">
        <v>514</v>
      </c>
      <c r="B380" s="0" t="s">
        <v>90</v>
      </c>
      <c r="D380" s="22" t="n">
        <f aca="false">D379/C379-1</f>
        <v>1.05123783910799</v>
      </c>
      <c r="E380" s="22" t="n">
        <f aca="false">E379/D379-1</f>
        <v>0.508578604546126</v>
      </c>
      <c r="F380" s="22" t="n">
        <f aca="false">F379/E379-1</f>
        <v>0.0397949144595455</v>
      </c>
      <c r="G380" s="22" t="n">
        <f aca="false">G379/F379-1</f>
        <v>0.219019224466731</v>
      </c>
      <c r="H380" s="26" t="n">
        <f aca="false">H379/G379-1</f>
        <v>0.0950095194108751</v>
      </c>
      <c r="I380" s="26" t="n">
        <f aca="false">I379/H379-1</f>
        <v>0.0482781531788605</v>
      </c>
      <c r="J380" s="26" t="n">
        <f aca="false">J379/I379-1</f>
        <v>0.00156784020330614</v>
      </c>
    </row>
    <row r="381" customFormat="false" ht="17.15" hidden="false" customHeight="false" outlineLevel="0" collapsed="false">
      <c r="A381" s="4" t="s">
        <v>515</v>
      </c>
      <c r="B381" s="0" t="s">
        <v>90</v>
      </c>
      <c r="C381" s="14" t="n">
        <f aca="false">C377/C367</f>
        <v>0.237721462211258</v>
      </c>
      <c r="D381" s="14" t="n">
        <f aca="false">D377/D367</f>
        <v>0.314376072488123</v>
      </c>
      <c r="E381" s="14" t="n">
        <f aca="false">E377/E367</f>
        <v>0.329551330485636</v>
      </c>
      <c r="F381" s="14" t="n">
        <f aca="false">F377/F367</f>
        <v>0.331788559694887</v>
      </c>
      <c r="G381" s="14" t="n">
        <f aca="false">G377/G367</f>
        <v>0.342455516417437</v>
      </c>
      <c r="H381" s="27" t="n">
        <f aca="false">$G381+(fade_mB-$G381)*1/3</f>
        <v>0.330671358844021</v>
      </c>
      <c r="I381" s="27" t="n">
        <f aca="false">$G381+(fade_mB-$G381)*2/3</f>
        <v>0.318887201270606</v>
      </c>
      <c r="J381" s="27" t="n">
        <f aca="false">$G381+(fade_mB-$G381)*3/3</f>
        <v>0.30710304369719</v>
      </c>
    </row>
    <row r="384" customFormat="false" ht="17.15" hidden="false" customHeight="false" outlineLevel="0" collapsed="false">
      <c r="A384" s="1" t="s">
        <v>813</v>
      </c>
    </row>
    <row r="385" customFormat="false" ht="17.15" hidden="false" customHeight="false" outlineLevel="0" collapsed="false">
      <c r="A385" s="5" t="s">
        <v>21</v>
      </c>
      <c r="B385" s="5" t="s">
        <v>22</v>
      </c>
      <c r="C385" s="15" t="s">
        <v>387</v>
      </c>
      <c r="D385" s="15" t="s">
        <v>468</v>
      </c>
      <c r="E385" s="15" t="s">
        <v>469</v>
      </c>
      <c r="F385" s="15" t="s">
        <v>470</v>
      </c>
      <c r="G385" s="15" t="s">
        <v>471</v>
      </c>
      <c r="H385" s="15" t="s">
        <v>472</v>
      </c>
      <c r="I385" s="15" t="s">
        <v>473</v>
      </c>
      <c r="J385" s="15" t="s">
        <v>474</v>
      </c>
      <c r="K385" s="5" t="s">
        <v>336</v>
      </c>
    </row>
    <row r="386" customFormat="false" ht="17.15" hidden="false" customHeight="false" outlineLevel="0" collapsed="false">
      <c r="A386" s="6" t="s">
        <v>492</v>
      </c>
    </row>
    <row r="387" customFormat="false" ht="17.15" hidden="false" customHeight="false" outlineLevel="0" collapsed="false">
      <c r="A387" s="0" t="s">
        <v>493</v>
      </c>
      <c r="B387" s="4" t="s">
        <v>32</v>
      </c>
      <c r="D387" s="20" t="n">
        <f aca="false">units_26</f>
        <v>15.2</v>
      </c>
      <c r="E387" s="20" t="n">
        <f aca="false">units_27*1</f>
        <v>23.7</v>
      </c>
      <c r="F387" s="20" t="n">
        <f aca="false">units_28*um28_C*1</f>
        <v>15.9</v>
      </c>
      <c r="G387" s="20" t="n">
        <f aca="false">units_29*um29_C*1</f>
        <v>18.09</v>
      </c>
    </row>
    <row r="388" customFormat="false" ht="17.15" hidden="false" customHeight="false" outlineLevel="0" collapsed="false">
      <c r="A388" s="4" t="s">
        <v>494</v>
      </c>
      <c r="B388" s="0" t="s">
        <v>45</v>
      </c>
      <c r="D388" s="18" t="n">
        <f aca="false">ex_nv_lo*nvtt_26+astt_26</f>
        <v>0.503915</v>
      </c>
      <c r="E388" s="18" t="n">
        <f aca="false">ex_nv_lo*nvtt_27+astt_27</f>
        <v>0.5547262</v>
      </c>
      <c r="F388" s="18" t="n">
        <f aca="false">ex_nv_lo*nvtt_28+astt_28</f>
        <v>0.5916982</v>
      </c>
      <c r="G388" s="18" t="n">
        <f aca="false">ex_nv_lo*nvtt_29+astt_29</f>
        <v>0.59592</v>
      </c>
      <c r="K388" s="8" t="s">
        <v>495</v>
      </c>
    </row>
    <row r="389" customFormat="false" ht="17.15" hidden="false" customHeight="false" outlineLevel="0" collapsed="false">
      <c r="A389" s="4" t="s">
        <v>447</v>
      </c>
      <c r="B389" s="0" t="s">
        <v>45</v>
      </c>
      <c r="D389" s="18" t="n">
        <f aca="false">D387*D388/($D387*$D388)</f>
        <v>1</v>
      </c>
      <c r="E389" s="18" t="n">
        <f aca="false">E387*E388/($D387*$D388)</f>
        <v>1.71643021196662</v>
      </c>
      <c r="F389" s="18" t="n">
        <f aca="false">F387*F388/($D387*$D388)</f>
        <v>1.22827750555258</v>
      </c>
      <c r="G389" s="18" t="n">
        <f aca="false">G387*G388/($D387*$D388)</f>
        <v>1.40742627333244</v>
      </c>
    </row>
    <row r="390" customFormat="false" ht="17.15" hidden="false" customHeight="false" outlineLevel="0" collapsed="false">
      <c r="A390" s="4" t="s">
        <v>496</v>
      </c>
      <c r="B390" s="0" t="s">
        <v>45</v>
      </c>
      <c r="D390" s="20" t="n">
        <f aca="false">1</f>
        <v>1</v>
      </c>
      <c r="E390" s="20" t="n">
        <f aca="false">rel27_C</f>
        <v>0.92</v>
      </c>
      <c r="F390" s="20" t="n">
        <f aca="false">rel28_C</f>
        <v>0.88</v>
      </c>
      <c r="G390" s="20" t="n">
        <f aca="false">rel29_C</f>
        <v>0.85</v>
      </c>
    </row>
    <row r="391" customFormat="false" ht="17.15" hidden="false" customHeight="false" outlineLevel="0" collapsed="false">
      <c r="A391" s="4" t="s">
        <v>497</v>
      </c>
      <c r="B391" s="0" t="s">
        <v>45</v>
      </c>
      <c r="D391" s="18" t="n">
        <f aca="false">1</f>
        <v>1</v>
      </c>
      <c r="E391" s="18" t="n">
        <f aca="false">(1+g_ct)^1</f>
        <v>1.05</v>
      </c>
      <c r="F391" s="18" t="n">
        <f aca="false">(1+g_ct)^2</f>
        <v>1.1025</v>
      </c>
      <c r="G391" s="18" t="n">
        <f aca="false">(1+g_ct)^3</f>
        <v>1.157625</v>
      </c>
    </row>
    <row r="392" customFormat="false" ht="17.15" hidden="false" customHeight="false" outlineLevel="0" collapsed="false">
      <c r="A392" s="6" t="s">
        <v>498</v>
      </c>
    </row>
    <row r="393" customFormat="false" ht="17.15" hidden="false" customHeight="false" outlineLevel="0" collapsed="false">
      <c r="A393" s="0" t="s">
        <v>401</v>
      </c>
      <c r="B393" s="0" t="s">
        <v>189</v>
      </c>
      <c r="C393" s="17" t="n">
        <f aca="false">a25_ai</f>
        <v>5.4297243</v>
      </c>
      <c r="D393" s="17" t="n">
        <f aca="false">a26_ai</f>
        <v>9.5342409</v>
      </c>
      <c r="E393" s="17" t="n">
        <f aca="false">$D393*E389*E390*E391</f>
        <v>15.8084539185442</v>
      </c>
      <c r="F393" s="17" t="n">
        <f aca="false">$D393*F389*F390*F391</f>
        <v>11.3617149598157</v>
      </c>
      <c r="G393" s="17" t="n">
        <f aca="false">$D393*G389*G390*G391</f>
        <v>13.2037896793213</v>
      </c>
      <c r="K393" s="8" t="s">
        <v>499</v>
      </c>
    </row>
    <row r="394" customFormat="false" ht="17.15" hidden="false" customHeight="false" outlineLevel="0" collapsed="false">
      <c r="A394" s="4" t="s">
        <v>404</v>
      </c>
      <c r="B394" s="0" t="s">
        <v>189</v>
      </c>
      <c r="C394" s="17" t="n">
        <f aca="false">a25_npc</f>
        <v>4.4425017</v>
      </c>
      <c r="D394" s="17" t="n">
        <f aca="false">a26_npc</f>
        <v>6.3561606</v>
      </c>
      <c r="E394" s="17" t="n">
        <f aca="false">D394*(1+g_nonai+d_npc)</f>
        <v>6.801091842</v>
      </c>
      <c r="F394" s="17" t="n">
        <f aca="false">E394*(1+g_nonai+d_npc)</f>
        <v>7.27716827094</v>
      </c>
      <c r="G394" s="17" t="n">
        <f aca="false">F394*(1+g_nonai+d_npc)</f>
        <v>7.7865700499058</v>
      </c>
      <c r="K394" s="4" t="s">
        <v>500</v>
      </c>
    </row>
    <row r="395" customFormat="false" ht="15" hidden="false" customHeight="false" outlineLevel="0" collapsed="false">
      <c r="A395" s="4" t="s">
        <v>398</v>
      </c>
      <c r="B395" s="0" t="s">
        <v>189</v>
      </c>
      <c r="C395" s="17" t="n">
        <f aca="false">C393+C394</f>
        <v>9.872226</v>
      </c>
      <c r="D395" s="17" t="n">
        <f aca="false">D393+D394</f>
        <v>15.8904015</v>
      </c>
      <c r="E395" s="17" t="n">
        <f aca="false">E393+E394</f>
        <v>22.6095457605442</v>
      </c>
      <c r="F395" s="17" t="n">
        <f aca="false">F393+F394</f>
        <v>18.6388832307557</v>
      </c>
      <c r="G395" s="17" t="n">
        <f aca="false">G393+G394</f>
        <v>20.9903597292271</v>
      </c>
    </row>
    <row r="396" customFormat="false" ht="17.15" hidden="false" customHeight="false" outlineLevel="0" collapsed="false">
      <c r="A396" s="0" t="s">
        <v>501</v>
      </c>
      <c r="B396" s="0" t="s">
        <v>189</v>
      </c>
      <c r="D396" s="17" t="n">
        <f aca="false">k_cpo*cpo_A_26/cpo_A_27</f>
        <v>0.24</v>
      </c>
      <c r="E396" s="17" t="n">
        <f aca="false">k_cpo*cpo_C_27/cpo_A_27</f>
        <v>0.48</v>
      </c>
      <c r="F396" s="17" t="n">
        <f aca="false">k_cpo*cpo_C_28/cpo_A_27</f>
        <v>0.72</v>
      </c>
      <c r="G396" s="17" t="n">
        <f aca="false">k_cpo*cpo_C_29/cpo_A_27</f>
        <v>1.2</v>
      </c>
      <c r="K396" s="8" t="s">
        <v>502</v>
      </c>
    </row>
    <row r="397" customFormat="false" ht="17.15" hidden="false" customHeight="false" outlineLevel="0" collapsed="false">
      <c r="A397" s="4" t="s">
        <v>503</v>
      </c>
      <c r="B397" s="0" t="s">
        <v>189</v>
      </c>
      <c r="C397" s="17" t="n">
        <f aca="false">a25_eq</f>
        <v>3.290742</v>
      </c>
      <c r="D397" s="17" t="n">
        <f aca="false">a26_eq-D396</f>
        <v>4.8539955</v>
      </c>
      <c r="E397" s="17" t="n">
        <f aca="false">D397*semi_27</f>
        <v>5.659593717153</v>
      </c>
      <c r="F397" s="17" t="n">
        <f aca="false">$E397*eqk28_C</f>
        <v>4.5276749737224</v>
      </c>
      <c r="G397" s="17" t="n">
        <f aca="false">$E397*eqk29_C</f>
        <v>5.659593717153</v>
      </c>
      <c r="K397" s="8" t="s">
        <v>504</v>
      </c>
    </row>
    <row r="398" customFormat="false" ht="15" hidden="false" customHeight="false" outlineLevel="0" collapsed="false">
      <c r="A398" s="4" t="s">
        <v>405</v>
      </c>
      <c r="B398" s="0" t="s">
        <v>189</v>
      </c>
      <c r="C398" s="17" t="n">
        <f aca="false">a25_eq</f>
        <v>3.290742</v>
      </c>
      <c r="D398" s="17" t="n">
        <f aca="false">D396+D397</f>
        <v>5.0939955</v>
      </c>
      <c r="E398" s="17" t="n">
        <f aca="false">E396+E397</f>
        <v>6.139593717153</v>
      </c>
      <c r="F398" s="17" t="n">
        <f aca="false">F396+F397</f>
        <v>5.2476749737224</v>
      </c>
      <c r="G398" s="17" t="n">
        <f aca="false">G396+G397</f>
        <v>6.859593717153</v>
      </c>
    </row>
    <row r="399" customFormat="false" ht="15" hidden="false" customHeight="false" outlineLevel="0" collapsed="false">
      <c r="A399" s="4" t="s">
        <v>407</v>
      </c>
      <c r="B399" s="0" t="s">
        <v>189</v>
      </c>
      <c r="C399" s="17" t="n">
        <f aca="false">a25_oth</f>
        <v>0.214032000000001</v>
      </c>
      <c r="D399" s="17" t="n">
        <f aca="false">a26_oth</f>
        <v>0.428253</v>
      </c>
      <c r="E399" s="17" t="n">
        <f aca="false">D399*(1+g_oth)</f>
        <v>0.44966565</v>
      </c>
      <c r="F399" s="17" t="n">
        <f aca="false">E399*(1+g_oth)</f>
        <v>0.4721489325</v>
      </c>
      <c r="G399" s="17" t="n">
        <f aca="false">F399*(1+g_oth)</f>
        <v>0.495756379125</v>
      </c>
    </row>
    <row r="400" customFormat="false" ht="17.15" hidden="false" customHeight="false" outlineLevel="0" collapsed="false">
      <c r="A400" s="4" t="s">
        <v>394</v>
      </c>
      <c r="B400" s="0" t="s">
        <v>189</v>
      </c>
      <c r="C400" s="17" t="n">
        <f aca="false">C395+C398+C399</f>
        <v>13.377</v>
      </c>
      <c r="D400" s="17" t="n">
        <f aca="false">D395+D398+D399</f>
        <v>21.41265</v>
      </c>
      <c r="E400" s="17" t="n">
        <f aca="false">E395+E398+E399</f>
        <v>29.1988051276972</v>
      </c>
      <c r="F400" s="17" t="n">
        <f aca="false">F395+F398+F399</f>
        <v>24.3587071369781</v>
      </c>
      <c r="G400" s="17" t="n">
        <f aca="false">G395+G398+G399</f>
        <v>28.3457098255051</v>
      </c>
      <c r="H400" s="30" t="n">
        <f aca="false">G400*(1+H401)</f>
        <v>31.627741422405</v>
      </c>
      <c r="I400" s="30" t="n">
        <f aca="false">H400*(1+I401)</f>
        <v>33.7750410146927</v>
      </c>
      <c r="J400" s="30" t="n">
        <f aca="false">I400*(1+J401)</f>
        <v>34.4505418349865</v>
      </c>
      <c r="K400" s="8" t="s">
        <v>505</v>
      </c>
    </row>
    <row r="401" customFormat="false" ht="15" hidden="false" customHeight="false" outlineLevel="0" collapsed="false">
      <c r="A401" s="4" t="s">
        <v>506</v>
      </c>
      <c r="B401" s="0" t="s">
        <v>90</v>
      </c>
      <c r="D401" s="22" t="n">
        <f aca="false">D400/C400-1</f>
        <v>0.600706436420722</v>
      </c>
      <c r="E401" s="22" t="n">
        <f aca="false">E400/D400-1</f>
        <v>0.363624078649642</v>
      </c>
      <c r="F401" s="22" t="n">
        <f aca="false">F400/E400-1</f>
        <v>-0.165763563596237</v>
      </c>
      <c r="G401" s="22" t="n">
        <f aca="false">G400/F400-1</f>
        <v>0.163678748059437</v>
      </c>
      <c r="H401" s="26" t="n">
        <f aca="false">$G401+(fade_gC-$G401)*1/3</f>
        <v>0.115785832039625</v>
      </c>
      <c r="I401" s="26" t="n">
        <f aca="false">$G401+(fade_gC-$G401)*2/3</f>
        <v>0.0678929160198123</v>
      </c>
      <c r="J401" s="26" t="n">
        <f aca="false">$G401+(fade_gC-$G401)*3/3</f>
        <v>0.02</v>
      </c>
    </row>
    <row r="402" customFormat="false" ht="17.15" hidden="false" customHeight="false" outlineLevel="0" collapsed="false">
      <c r="A402" s="0" t="s">
        <v>507</v>
      </c>
      <c r="B402" s="0" t="s">
        <v>90</v>
      </c>
      <c r="C402" s="22" t="n">
        <f aca="false">C393/C400</f>
        <v>0.4059</v>
      </c>
      <c r="D402" s="22" t="n">
        <f aca="false">D393/D400</f>
        <v>0.445262071719287</v>
      </c>
      <c r="E402" s="22" t="n">
        <f aca="false">E393/E400</f>
        <v>0.541407562720734</v>
      </c>
      <c r="F402" s="22" t="n">
        <f aca="false">F393/F400</f>
        <v>0.466433415202396</v>
      </c>
      <c r="G402" s="22" t="n">
        <f aca="false">G393/G400</f>
        <v>0.465812631280121</v>
      </c>
    </row>
    <row r="403" customFormat="false" ht="17.15" hidden="false" customHeight="false" outlineLevel="0" collapsed="false">
      <c r="A403" s="4" t="s">
        <v>508</v>
      </c>
      <c r="B403" s="0" t="s">
        <v>90</v>
      </c>
      <c r="C403" s="22" t="n">
        <f aca="false">C395/C400</f>
        <v>0.738</v>
      </c>
      <c r="D403" s="22" t="n">
        <f aca="false">D395/D400</f>
        <v>0.742103452865479</v>
      </c>
      <c r="E403" s="22" t="n">
        <f aca="false">E395/E400</f>
        <v>0.77433119820021</v>
      </c>
      <c r="F403" s="22" t="n">
        <f aca="false">F395/F400</f>
        <v>0.765183600506476</v>
      </c>
      <c r="G403" s="22" t="n">
        <f aca="false">G395/G400</f>
        <v>0.740512756901937</v>
      </c>
    </row>
    <row r="404" customFormat="false" ht="17.15" hidden="false" customHeight="false" outlineLevel="0" collapsed="false">
      <c r="A404" s="6" t="s">
        <v>509</v>
      </c>
    </row>
    <row r="405" customFormat="false" ht="15" hidden="false" customHeight="false" outlineLevel="0" collapsed="false">
      <c r="A405" s="4" t="s">
        <v>412</v>
      </c>
      <c r="B405" s="0" t="s">
        <v>90</v>
      </c>
      <c r="C405" s="14" t="n">
        <f aca="false">a25_gp/a25_rev</f>
        <v>0.574</v>
      </c>
      <c r="D405" s="14" t="n">
        <f aca="false">a26_gp/a26_rev</f>
        <v>0.593344593032623</v>
      </c>
      <c r="E405" s="14" t="n">
        <f aca="false">gm27_C+gm_adj</f>
        <v>0.58</v>
      </c>
      <c r="F405" s="14" t="n">
        <f aca="false">gmL_C+gm_adj</f>
        <v>0.565</v>
      </c>
      <c r="G405" s="14" t="n">
        <f aca="false">gmL_C+gm_adj</f>
        <v>0.565</v>
      </c>
    </row>
    <row r="406" customFormat="false" ht="15" hidden="false" customHeight="false" outlineLevel="0" collapsed="false">
      <c r="A406" s="4" t="s">
        <v>409</v>
      </c>
      <c r="B406" s="0" t="s">
        <v>189</v>
      </c>
      <c r="C406" s="17" t="n">
        <f aca="false">C400*C405</f>
        <v>7.678398</v>
      </c>
      <c r="D406" s="17" t="n">
        <f aca="false">D400*D405</f>
        <v>12.7050801</v>
      </c>
      <c r="E406" s="17" t="n">
        <f aca="false">E400*E405</f>
        <v>16.9353069740644</v>
      </c>
      <c r="F406" s="17" t="n">
        <f aca="false">F400*F405</f>
        <v>13.7626695323926</v>
      </c>
      <c r="G406" s="17" t="n">
        <f aca="false">G400*G405</f>
        <v>16.0153260514104</v>
      </c>
    </row>
    <row r="407" customFormat="false" ht="17.15" hidden="false" customHeight="false" outlineLevel="0" collapsed="false">
      <c r="A407" s="4" t="s">
        <v>510</v>
      </c>
      <c r="B407" s="0" t="s">
        <v>189</v>
      </c>
      <c r="D407" s="17" t="n">
        <f aca="false">a26_opx</f>
        <v>5.05564928556</v>
      </c>
      <c r="E407" s="17" t="n">
        <f aca="false">D407*(1+phi*E401)</f>
        <v>6.15866277362248</v>
      </c>
      <c r="F407" s="17" t="n">
        <f aca="false">E407*(1+phi*F401)</f>
        <v>5.5461336406166</v>
      </c>
      <c r="G407" s="17" t="n">
        <f aca="false">F407*(1+phi*G401)</f>
        <v>6.09080416713647</v>
      </c>
      <c r="K407" s="8" t="s">
        <v>511</v>
      </c>
    </row>
    <row r="408" customFormat="false" ht="15" hidden="false" customHeight="false" outlineLevel="0" collapsed="false">
      <c r="A408" s="4" t="s">
        <v>415</v>
      </c>
      <c r="B408" s="0" t="s">
        <v>189</v>
      </c>
      <c r="D408" s="17" t="n">
        <f aca="false">D406-D407</f>
        <v>7.64943081444</v>
      </c>
      <c r="E408" s="17" t="n">
        <f aca="false">E406-E407</f>
        <v>10.7766442004419</v>
      </c>
      <c r="F408" s="17" t="n">
        <f aca="false">F406-F407</f>
        <v>8.21653589177601</v>
      </c>
      <c r="G408" s="17" t="n">
        <f aca="false">G406-G407</f>
        <v>9.92452188427392</v>
      </c>
    </row>
    <row r="409" customFormat="false" ht="15" hidden="false" customHeight="false" outlineLevel="0" collapsed="false">
      <c r="A409" s="4" t="s">
        <v>482</v>
      </c>
      <c r="B409" s="0" t="s">
        <v>90</v>
      </c>
      <c r="D409" s="14" t="n">
        <f aca="false">D408/D400</f>
        <v>0.357238866484999</v>
      </c>
      <c r="E409" s="14" t="n">
        <f aca="false">E408/E400</f>
        <v>0.369078260336738</v>
      </c>
      <c r="F409" s="14" t="n">
        <f aca="false">F408/F400</f>
        <v>0.337314121212237</v>
      </c>
      <c r="G409" s="14" t="n">
        <f aca="false">G408/G400</f>
        <v>0.350124302597071</v>
      </c>
    </row>
    <row r="410" customFormat="false" ht="15" hidden="false" customHeight="false" outlineLevel="0" collapsed="false">
      <c r="A410" s="4" t="s">
        <v>418</v>
      </c>
      <c r="B410" s="0" t="s">
        <v>189</v>
      </c>
      <c r="C410" s="17" t="n">
        <f aca="false">a25_ni</f>
        <v>3.18</v>
      </c>
      <c r="D410" s="17" t="n">
        <f aca="false">a26_ni</f>
        <v>6.7316248085628</v>
      </c>
      <c r="E410" s="17" t="n">
        <f aca="false">E408*ni_oi</f>
        <v>9.16014757037563</v>
      </c>
      <c r="F410" s="17" t="n">
        <f aca="false">F408*ni_oi</f>
        <v>6.98405550800961</v>
      </c>
      <c r="G410" s="17" t="n">
        <f aca="false">G408*ni_oi</f>
        <v>8.43584360163283</v>
      </c>
      <c r="H410" s="30" t="n">
        <f aca="false">H400*H414</f>
        <v>8.77544173421955</v>
      </c>
      <c r="I410" s="30" t="n">
        <f aca="false">I400*I414</f>
        <v>8.69082084744712</v>
      </c>
      <c r="J410" s="30" t="n">
        <f aca="false">J400*J414</f>
        <v>8.1706178246161</v>
      </c>
    </row>
    <row r="411" customFormat="false" ht="15" hidden="false" customHeight="false" outlineLevel="0" collapsed="false">
      <c r="A411" s="4" t="s">
        <v>512</v>
      </c>
      <c r="B411" s="4" t="s">
        <v>513</v>
      </c>
      <c r="C411" s="19" t="n">
        <f aca="false">a25_sh</f>
        <v>94.9537175276202</v>
      </c>
      <c r="D411" s="19" t="n">
        <f aca="false">a26_sh</f>
        <v>97.9860681630967</v>
      </c>
      <c r="E411" s="19" t="n">
        <f aca="false">D411*(1+sh_g)</f>
        <v>97.9860681630967</v>
      </c>
      <c r="F411" s="19" t="n">
        <f aca="false">E411*(1+sh_g)</f>
        <v>97.9860681630967</v>
      </c>
      <c r="G411" s="19" t="n">
        <f aca="false">F411*(1+sh_g)</f>
        <v>97.9860681630967</v>
      </c>
      <c r="H411" s="25" t="n">
        <f aca="false">G411*(1+sh_g)</f>
        <v>97.9860681630967</v>
      </c>
      <c r="I411" s="25" t="n">
        <f aca="false">H411*(1+sh_g)</f>
        <v>97.9860681630967</v>
      </c>
      <c r="J411" s="25" t="n">
        <f aca="false">I411*(1+sh_g)</f>
        <v>97.9860681630967</v>
      </c>
    </row>
    <row r="412" customFormat="false" ht="15" hidden="false" customHeight="false" outlineLevel="0" collapsed="false">
      <c r="A412" s="0" t="s">
        <v>423</v>
      </c>
      <c r="B412" s="0" t="s">
        <v>256</v>
      </c>
      <c r="C412" s="20" t="n">
        <f aca="false">a25_eps</f>
        <v>33.49</v>
      </c>
      <c r="D412" s="20" t="n">
        <f aca="false">a26_eps</f>
        <v>68.6959552317267</v>
      </c>
      <c r="E412" s="20" t="n">
        <f aca="false">E410/E411*1000</f>
        <v>93.4841834364521</v>
      </c>
      <c r="F412" s="20" t="n">
        <f aca="false">F410/F411*1000</f>
        <v>71.2760052417322</v>
      </c>
      <c r="G412" s="20" t="n">
        <f aca="false">G410/G411*1000</f>
        <v>86.0922757671169</v>
      </c>
      <c r="H412" s="28" t="n">
        <f aca="false">H410/H411*1000</f>
        <v>89.558055535129</v>
      </c>
      <c r="I412" s="28" t="n">
        <f aca="false">I410/I411*1000</f>
        <v>88.6944543277453</v>
      </c>
      <c r="J412" s="28" t="n">
        <f aca="false">J410/J411*1000</f>
        <v>83.3855054885578</v>
      </c>
    </row>
    <row r="413" customFormat="false" ht="17.15" hidden="false" customHeight="false" outlineLevel="0" collapsed="false">
      <c r="A413" s="0" t="s">
        <v>514</v>
      </c>
      <c r="B413" s="0" t="s">
        <v>90</v>
      </c>
      <c r="D413" s="22" t="n">
        <f aca="false">D412/C412-1</f>
        <v>1.05123783910799</v>
      </c>
      <c r="E413" s="22" t="n">
        <f aca="false">E412/D412-1</f>
        <v>0.360839704770233</v>
      </c>
      <c r="F413" s="22" t="n">
        <f aca="false">F412/E412-1</f>
        <v>-0.237560808452869</v>
      </c>
      <c r="G413" s="22" t="n">
        <f aca="false">G412/F412-1</f>
        <v>0.207871786236271</v>
      </c>
      <c r="H413" s="26" t="n">
        <f aca="false">H412/G412-1</f>
        <v>0.040256570489404</v>
      </c>
      <c r="I413" s="26" t="n">
        <f aca="false">I412/H412-1</f>
        <v>-0.00964292047458482</v>
      </c>
      <c r="J413" s="26" t="n">
        <f aca="false">J412/I412-1</f>
        <v>-0.0598566041070595</v>
      </c>
    </row>
    <row r="414" customFormat="false" ht="17.15" hidden="false" customHeight="false" outlineLevel="0" collapsed="false">
      <c r="A414" s="4" t="s">
        <v>515</v>
      </c>
      <c r="B414" s="0" t="s">
        <v>90</v>
      </c>
      <c r="C414" s="14" t="n">
        <f aca="false">C410/C400</f>
        <v>0.237721462211258</v>
      </c>
      <c r="D414" s="14" t="n">
        <f aca="false">D410/D400</f>
        <v>0.314376072488123</v>
      </c>
      <c r="E414" s="14" t="n">
        <f aca="false">E410/E400</f>
        <v>0.313716521286227</v>
      </c>
      <c r="F414" s="14" t="n">
        <f aca="false">F410/F400</f>
        <v>0.286717003030402</v>
      </c>
      <c r="G414" s="14" t="n">
        <f aca="false">G410/G400</f>
        <v>0.29760565720751</v>
      </c>
      <c r="H414" s="27" t="n">
        <f aca="false">$G414+(fade_mC-$G414)*1/3</f>
        <v>0.277460271886599</v>
      </c>
      <c r="I414" s="27" t="n">
        <f aca="false">$G414+(fade_mC-$G414)*2/3</f>
        <v>0.257314886565689</v>
      </c>
      <c r="J414" s="27" t="n">
        <f aca="false">$G414+(fade_mC-$G414)*3/3</f>
        <v>0.237169501244778</v>
      </c>
    </row>
    <row r="417" customFormat="false" ht="17.15" hidden="false" customHeight="false" outlineLevel="0" collapsed="false">
      <c r="A417" s="1" t="s">
        <v>814</v>
      </c>
    </row>
    <row r="418" customFormat="false" ht="17.15" hidden="false" customHeight="false" outlineLevel="0" collapsed="false">
      <c r="A418" s="5" t="s">
        <v>21</v>
      </c>
      <c r="B418" s="5" t="s">
        <v>22</v>
      </c>
      <c r="C418" s="15" t="s">
        <v>387</v>
      </c>
      <c r="D418" s="15" t="s">
        <v>468</v>
      </c>
      <c r="E418" s="15" t="s">
        <v>469</v>
      </c>
      <c r="F418" s="15" t="s">
        <v>470</v>
      </c>
      <c r="G418" s="15" t="s">
        <v>471</v>
      </c>
      <c r="H418" s="15" t="s">
        <v>472</v>
      </c>
      <c r="I418" s="15" t="s">
        <v>473</v>
      </c>
      <c r="J418" s="15" t="s">
        <v>474</v>
      </c>
      <c r="K418" s="5" t="s">
        <v>336</v>
      </c>
    </row>
    <row r="419" customFormat="false" ht="17.15" hidden="false" customHeight="false" outlineLevel="0" collapsed="false">
      <c r="A419" s="6" t="s">
        <v>492</v>
      </c>
    </row>
    <row r="420" customFormat="false" ht="17.15" hidden="false" customHeight="false" outlineLevel="0" collapsed="false">
      <c r="A420" s="0" t="s">
        <v>493</v>
      </c>
      <c r="B420" s="4" t="s">
        <v>32</v>
      </c>
      <c r="D420" s="20" t="n">
        <f aca="false">units_26</f>
        <v>15.2</v>
      </c>
      <c r="E420" s="20" t="n">
        <f aca="false">units_27*1</f>
        <v>23.7</v>
      </c>
      <c r="F420" s="20" t="n">
        <f aca="false">units_28*um28_A*1</f>
        <v>26.5</v>
      </c>
      <c r="G420" s="20" t="n">
        <f aca="false">units_29*um29_A*1</f>
        <v>30.15</v>
      </c>
    </row>
    <row r="421" customFormat="false" ht="17.15" hidden="false" customHeight="false" outlineLevel="0" collapsed="false">
      <c r="A421" s="4" t="s">
        <v>494</v>
      </c>
      <c r="B421" s="0" t="s">
        <v>45</v>
      </c>
      <c r="D421" s="18" t="n">
        <f aca="false">ex_nv_hi*nvtt_26+astt_26</f>
        <v>0.7641125</v>
      </c>
      <c r="E421" s="18" t="n">
        <f aca="false">ex_nv_hi*nvtt_27+astt_27</f>
        <v>0.8081017</v>
      </c>
      <c r="F421" s="18" t="n">
        <f aca="false">ex_nv_hi*nvtt_28+astt_28</f>
        <v>0.8369812</v>
      </c>
      <c r="G421" s="18" t="n">
        <f aca="false">ex_nv_hi*nvtt_29+astt_29</f>
        <v>0.8384575</v>
      </c>
      <c r="K421" s="8" t="s">
        <v>495</v>
      </c>
    </row>
    <row r="422" customFormat="false" ht="17.15" hidden="false" customHeight="false" outlineLevel="0" collapsed="false">
      <c r="A422" s="4" t="s">
        <v>447</v>
      </c>
      <c r="B422" s="0" t="s">
        <v>45</v>
      </c>
      <c r="D422" s="18" t="n">
        <f aca="false">D420*D421/($D420*$D421)</f>
        <v>1</v>
      </c>
      <c r="E422" s="18" t="n">
        <f aca="false">E420*E421/($D420*$D421)</f>
        <v>1.64897273238389</v>
      </c>
      <c r="F422" s="18" t="n">
        <f aca="false">F420*F421/($D420*$D421)</f>
        <v>1.90968037394604</v>
      </c>
      <c r="G422" s="18" t="n">
        <f aca="false">G420*G421/($D420*$D421)</f>
        <v>2.17654413531006</v>
      </c>
    </row>
    <row r="423" customFormat="false" ht="17.15" hidden="false" customHeight="false" outlineLevel="0" collapsed="false">
      <c r="A423" s="4" t="s">
        <v>496</v>
      </c>
      <c r="B423" s="0" t="s">
        <v>45</v>
      </c>
      <c r="D423" s="20" t="n">
        <f aca="false">1</f>
        <v>1</v>
      </c>
      <c r="E423" s="20" t="n">
        <f aca="false">rel27_A</f>
        <v>1.05</v>
      </c>
      <c r="F423" s="20" t="n">
        <f aca="false">rel28_A</f>
        <v>1.08</v>
      </c>
      <c r="G423" s="20" t="n">
        <f aca="false">rel29_A</f>
        <v>1.1</v>
      </c>
    </row>
    <row r="424" customFormat="false" ht="17.15" hidden="false" customHeight="false" outlineLevel="0" collapsed="false">
      <c r="A424" s="4" t="s">
        <v>497</v>
      </c>
      <c r="B424" s="0" t="s">
        <v>45</v>
      </c>
      <c r="D424" s="18" t="n">
        <f aca="false">1</f>
        <v>1</v>
      </c>
      <c r="E424" s="18" t="n">
        <f aca="false">(1+g_ct)^1</f>
        <v>1.05</v>
      </c>
      <c r="F424" s="18" t="n">
        <f aca="false">(1+g_ct)^2</f>
        <v>1.1025</v>
      </c>
      <c r="G424" s="18" t="n">
        <f aca="false">(1+g_ct)^3</f>
        <v>1.157625</v>
      </c>
    </row>
    <row r="425" customFormat="false" ht="17.15" hidden="false" customHeight="false" outlineLevel="0" collapsed="false">
      <c r="A425" s="6" t="s">
        <v>498</v>
      </c>
    </row>
    <row r="426" customFormat="false" ht="17.15" hidden="false" customHeight="false" outlineLevel="0" collapsed="false">
      <c r="A426" s="0" t="s">
        <v>401</v>
      </c>
      <c r="B426" s="0" t="s">
        <v>189</v>
      </c>
      <c r="C426" s="17" t="n">
        <f aca="false">a25_ai</f>
        <v>5.4297243</v>
      </c>
      <c r="D426" s="17" t="n">
        <f aca="false">a26_ai</f>
        <v>9.5342409</v>
      </c>
      <c r="E426" s="17" t="n">
        <f aca="false">$D426*E422*E423*E424</f>
        <v>17.3331778530573</v>
      </c>
      <c r="F426" s="17" t="n">
        <f aca="false">$D426*F422*F423*F424</f>
        <v>21.6794948922813</v>
      </c>
      <c r="G426" s="17" t="n">
        <f aca="false">$D426*G422*G423*G424</f>
        <v>26.4249504373123</v>
      </c>
      <c r="K426" s="8" t="s">
        <v>499</v>
      </c>
    </row>
    <row r="427" customFormat="false" ht="17.15" hidden="false" customHeight="false" outlineLevel="0" collapsed="false">
      <c r="A427" s="4" t="s">
        <v>404</v>
      </c>
      <c r="B427" s="0" t="s">
        <v>189</v>
      </c>
      <c r="C427" s="17" t="n">
        <f aca="false">a25_npc</f>
        <v>4.4425017</v>
      </c>
      <c r="D427" s="17" t="n">
        <f aca="false">a26_npc</f>
        <v>6.3561606</v>
      </c>
      <c r="E427" s="17" t="n">
        <f aca="false">D427*(1+g_nonai+d_npc)</f>
        <v>6.801091842</v>
      </c>
      <c r="F427" s="17" t="n">
        <f aca="false">E427*(1+g_nonai+d_npc)</f>
        <v>7.27716827094</v>
      </c>
      <c r="G427" s="17" t="n">
        <f aca="false">F427*(1+g_nonai+d_npc)</f>
        <v>7.7865700499058</v>
      </c>
      <c r="K427" s="4" t="s">
        <v>500</v>
      </c>
    </row>
    <row r="428" customFormat="false" ht="15" hidden="false" customHeight="false" outlineLevel="0" collapsed="false">
      <c r="A428" s="4" t="s">
        <v>398</v>
      </c>
      <c r="B428" s="0" t="s">
        <v>189</v>
      </c>
      <c r="C428" s="17" t="n">
        <f aca="false">C426+C427</f>
        <v>9.872226</v>
      </c>
      <c r="D428" s="17" t="n">
        <f aca="false">D426+D427</f>
        <v>15.8904015</v>
      </c>
      <c r="E428" s="17" t="n">
        <f aca="false">E426+E427</f>
        <v>24.1342696950573</v>
      </c>
      <c r="F428" s="17" t="n">
        <f aca="false">F426+F427</f>
        <v>28.9566631632213</v>
      </c>
      <c r="G428" s="17" t="n">
        <f aca="false">G426+G427</f>
        <v>34.2115204872181</v>
      </c>
    </row>
    <row r="429" customFormat="false" ht="17.15" hidden="false" customHeight="false" outlineLevel="0" collapsed="false">
      <c r="A429" s="0" t="s">
        <v>501</v>
      </c>
      <c r="B429" s="0" t="s">
        <v>189</v>
      </c>
      <c r="D429" s="17" t="n">
        <f aca="false">k_cpo*cpo_A_26/cpo_A_27</f>
        <v>0.24</v>
      </c>
      <c r="E429" s="17" t="n">
        <f aca="false">k_cpo*cpo_A_27/cpo_A_27</f>
        <v>1.2</v>
      </c>
      <c r="F429" s="17" t="n">
        <f aca="false">k_cpo*cpo_A_28/cpo_A_27</f>
        <v>2.4</v>
      </c>
      <c r="G429" s="17" t="n">
        <f aca="false">k_cpo*cpo_A_29/cpo_A_27</f>
        <v>3.84</v>
      </c>
      <c r="K429" s="8" t="s">
        <v>502</v>
      </c>
    </row>
    <row r="430" customFormat="false" ht="17.15" hidden="false" customHeight="false" outlineLevel="0" collapsed="false">
      <c r="A430" s="4" t="s">
        <v>503</v>
      </c>
      <c r="B430" s="0" t="s">
        <v>189</v>
      </c>
      <c r="C430" s="17" t="n">
        <f aca="false">a25_eq</f>
        <v>3.290742</v>
      </c>
      <c r="D430" s="17" t="n">
        <f aca="false">a26_eq-D429</f>
        <v>4.8539955</v>
      </c>
      <c r="E430" s="17" t="n">
        <f aca="false">D430*semi_27</f>
        <v>5.659593717153</v>
      </c>
      <c r="F430" s="17" t="n">
        <f aca="false">$E430*eqk28_A</f>
        <v>6.59889384801401</v>
      </c>
      <c r="G430" s="17" t="n">
        <f aca="false">$E430*eqk29_A</f>
        <v>7.12680377116889</v>
      </c>
      <c r="K430" s="8" t="s">
        <v>504</v>
      </c>
    </row>
    <row r="431" customFormat="false" ht="15" hidden="false" customHeight="false" outlineLevel="0" collapsed="false">
      <c r="A431" s="4" t="s">
        <v>405</v>
      </c>
      <c r="B431" s="0" t="s">
        <v>189</v>
      </c>
      <c r="C431" s="17" t="n">
        <f aca="false">a25_eq</f>
        <v>3.290742</v>
      </c>
      <c r="D431" s="17" t="n">
        <f aca="false">D429+D430</f>
        <v>5.0939955</v>
      </c>
      <c r="E431" s="17" t="n">
        <f aca="false">E429+E430</f>
        <v>6.859593717153</v>
      </c>
      <c r="F431" s="17" t="n">
        <f aca="false">F429+F430</f>
        <v>8.99889384801401</v>
      </c>
      <c r="G431" s="17" t="n">
        <f aca="false">G429+G430</f>
        <v>10.9668037711689</v>
      </c>
    </row>
    <row r="432" customFormat="false" ht="15" hidden="false" customHeight="false" outlineLevel="0" collapsed="false">
      <c r="A432" s="4" t="s">
        <v>407</v>
      </c>
      <c r="B432" s="0" t="s">
        <v>189</v>
      </c>
      <c r="C432" s="17" t="n">
        <f aca="false">a25_oth</f>
        <v>0.214032000000001</v>
      </c>
      <c r="D432" s="17" t="n">
        <f aca="false">a26_oth</f>
        <v>0.428253</v>
      </c>
      <c r="E432" s="17" t="n">
        <f aca="false">D432*(1+g_oth)</f>
        <v>0.44966565</v>
      </c>
      <c r="F432" s="17" t="n">
        <f aca="false">E432*(1+g_oth)</f>
        <v>0.4721489325</v>
      </c>
      <c r="G432" s="17" t="n">
        <f aca="false">F432*(1+g_oth)</f>
        <v>0.495756379125</v>
      </c>
    </row>
    <row r="433" customFormat="false" ht="17.15" hidden="false" customHeight="false" outlineLevel="0" collapsed="false">
      <c r="A433" s="4" t="s">
        <v>394</v>
      </c>
      <c r="B433" s="0" t="s">
        <v>189</v>
      </c>
      <c r="C433" s="17" t="n">
        <f aca="false">C428+C431+C432</f>
        <v>13.377</v>
      </c>
      <c r="D433" s="17" t="n">
        <f aca="false">D428+D431+D432</f>
        <v>21.41265</v>
      </c>
      <c r="E433" s="17" t="n">
        <f aca="false">E428+E431+E432</f>
        <v>31.4435290622103</v>
      </c>
      <c r="F433" s="17" t="n">
        <f aca="false">F428+F431+F432</f>
        <v>38.4277059437354</v>
      </c>
      <c r="G433" s="17" t="n">
        <f aca="false">G428+G431+G432</f>
        <v>45.674080637512</v>
      </c>
      <c r="H433" s="30" t="n">
        <f aca="false">G433*(1+H434)</f>
        <v>52.3294524475377</v>
      </c>
      <c r="I433" s="30" t="n">
        <f aca="false">H433*(1+I434)</f>
        <v>57.7119137214046</v>
      </c>
      <c r="J433" s="30" t="n">
        <f aca="false">I433*(1+J434)</f>
        <v>61.1746285446888</v>
      </c>
      <c r="K433" s="8" t="s">
        <v>505</v>
      </c>
    </row>
    <row r="434" customFormat="false" ht="15" hidden="false" customHeight="false" outlineLevel="0" collapsed="false">
      <c r="A434" s="4" t="s">
        <v>506</v>
      </c>
      <c r="B434" s="0" t="s">
        <v>90</v>
      </c>
      <c r="D434" s="22" t="n">
        <f aca="false">D433/C433-1</f>
        <v>0.600706436420722</v>
      </c>
      <c r="E434" s="22" t="n">
        <f aca="false">E433/D433-1</f>
        <v>0.468455752193696</v>
      </c>
      <c r="F434" s="22" t="n">
        <f aca="false">F433/E433-1</f>
        <v>0.222118098375884</v>
      </c>
      <c r="G434" s="22" t="n">
        <f aca="false">G433/F433-1</f>
        <v>0.188571618206575</v>
      </c>
      <c r="H434" s="26" t="n">
        <f aca="false">$G434+(fade_gA-$G434)*1/3</f>
        <v>0.145714412137717</v>
      </c>
      <c r="I434" s="26" t="n">
        <f aca="false">$G434+(fade_gA-$G434)*2/3</f>
        <v>0.102857206068858</v>
      </c>
      <c r="J434" s="26" t="n">
        <f aca="false">$G434+(fade_gA-$G434)*3/3</f>
        <v>0.06</v>
      </c>
    </row>
    <row r="435" customFormat="false" ht="17.15" hidden="false" customHeight="false" outlineLevel="0" collapsed="false">
      <c r="A435" s="0" t="s">
        <v>507</v>
      </c>
      <c r="B435" s="0" t="s">
        <v>90</v>
      </c>
      <c r="C435" s="22" t="n">
        <f aca="false">C426/C433</f>
        <v>0.4059</v>
      </c>
      <c r="D435" s="22" t="n">
        <f aca="false">D426/D433</f>
        <v>0.445262071719287</v>
      </c>
      <c r="E435" s="22" t="n">
        <f aca="false">E426/E433</f>
        <v>0.55124785194321</v>
      </c>
      <c r="F435" s="22" t="n">
        <f aca="false">F426/F433</f>
        <v>0.564163130737593</v>
      </c>
      <c r="G435" s="22" t="n">
        <f aca="false">G426/G433</f>
        <v>0.578554621537572</v>
      </c>
    </row>
    <row r="436" customFormat="false" ht="17.15" hidden="false" customHeight="false" outlineLevel="0" collapsed="false">
      <c r="A436" s="4" t="s">
        <v>508</v>
      </c>
      <c r="B436" s="0" t="s">
        <v>90</v>
      </c>
      <c r="C436" s="22" t="n">
        <f aca="false">C428/C433</f>
        <v>0.738</v>
      </c>
      <c r="D436" s="22" t="n">
        <f aca="false">D428/D433</f>
        <v>0.742103452865479</v>
      </c>
      <c r="E436" s="22" t="n">
        <f aca="false">E428/E433</f>
        <v>0.767543288391968</v>
      </c>
      <c r="F436" s="22" t="n">
        <f aca="false">F428/F433</f>
        <v>0.753536086843664</v>
      </c>
      <c r="G436" s="22" t="n">
        <f aca="false">G428/G433</f>
        <v>0.749035777178189</v>
      </c>
    </row>
    <row r="437" customFormat="false" ht="17.15" hidden="false" customHeight="false" outlineLevel="0" collapsed="false">
      <c r="A437" s="6" t="s">
        <v>509</v>
      </c>
    </row>
    <row r="438" customFormat="false" ht="15" hidden="false" customHeight="false" outlineLevel="0" collapsed="false">
      <c r="A438" s="4" t="s">
        <v>412</v>
      </c>
      <c r="B438" s="0" t="s">
        <v>90</v>
      </c>
      <c r="C438" s="14" t="n">
        <f aca="false">a25_gp/a25_rev</f>
        <v>0.574</v>
      </c>
      <c r="D438" s="14" t="n">
        <f aca="false">a26_gp/a26_rev</f>
        <v>0.593344593032623</v>
      </c>
      <c r="E438" s="14" t="n">
        <f aca="false">gm27_A+gm_adj</f>
        <v>0.6</v>
      </c>
      <c r="F438" s="14" t="n">
        <f aca="false">gmL_A+gm_adj</f>
        <v>0.61</v>
      </c>
      <c r="G438" s="14" t="n">
        <f aca="false">gmL_A+gm_adj</f>
        <v>0.61</v>
      </c>
    </row>
    <row r="439" customFormat="false" ht="15" hidden="false" customHeight="false" outlineLevel="0" collapsed="false">
      <c r="A439" s="4" t="s">
        <v>409</v>
      </c>
      <c r="B439" s="0" t="s">
        <v>189</v>
      </c>
      <c r="C439" s="17" t="n">
        <f aca="false">C433*C438</f>
        <v>7.678398</v>
      </c>
      <c r="D439" s="17" t="n">
        <f aca="false">D433*D438</f>
        <v>12.7050801</v>
      </c>
      <c r="E439" s="17" t="n">
        <f aca="false">E433*E438</f>
        <v>18.8661174373262</v>
      </c>
      <c r="F439" s="17" t="n">
        <f aca="false">F433*F438</f>
        <v>23.4409006256786</v>
      </c>
      <c r="G439" s="17" t="n">
        <f aca="false">G433*G438</f>
        <v>27.8611891888823</v>
      </c>
    </row>
    <row r="440" customFormat="false" ht="17.15" hidden="false" customHeight="false" outlineLevel="0" collapsed="false">
      <c r="A440" s="4" t="s">
        <v>510</v>
      </c>
      <c r="B440" s="0" t="s">
        <v>189</v>
      </c>
      <c r="D440" s="17" t="n">
        <f aca="false">a26_opx</f>
        <v>5.05564928556</v>
      </c>
      <c r="E440" s="17" t="n">
        <f aca="false">D440*(1+phi*E434)</f>
        <v>6.47665807889672</v>
      </c>
      <c r="F440" s="17" t="n">
        <f aca="false">E440*(1+phi*F434)</f>
        <v>7.33980786468593</v>
      </c>
      <c r="G440" s="17" t="n">
        <f aca="false">F440*(1+phi*G434)</f>
        <v>8.17025553250743</v>
      </c>
      <c r="K440" s="8" t="s">
        <v>511</v>
      </c>
    </row>
    <row r="441" customFormat="false" ht="15" hidden="false" customHeight="false" outlineLevel="0" collapsed="false">
      <c r="A441" s="4" t="s">
        <v>415</v>
      </c>
      <c r="B441" s="0" t="s">
        <v>189</v>
      </c>
      <c r="D441" s="17" t="n">
        <f aca="false">D439-D440</f>
        <v>7.64943081444</v>
      </c>
      <c r="E441" s="17" t="n">
        <f aca="false">E439-E440</f>
        <v>12.3894593584295</v>
      </c>
      <c r="F441" s="17" t="n">
        <f aca="false">F439-F440</f>
        <v>16.1010927609926</v>
      </c>
      <c r="G441" s="17" t="n">
        <f aca="false">G439-G440</f>
        <v>19.6909336563749</v>
      </c>
    </row>
    <row r="442" customFormat="false" ht="15" hidden="false" customHeight="false" outlineLevel="0" collapsed="false">
      <c r="A442" s="4" t="s">
        <v>482</v>
      </c>
      <c r="B442" s="0" t="s">
        <v>90</v>
      </c>
      <c r="D442" s="14" t="n">
        <f aca="false">D441/D433</f>
        <v>0.357238866484999</v>
      </c>
      <c r="E442" s="14" t="n">
        <f aca="false">E441/E433</f>
        <v>0.394022545431119</v>
      </c>
      <c r="F442" s="14" t="n">
        <f aca="false">F441/F433</f>
        <v>0.418996980578735</v>
      </c>
      <c r="G442" s="14" t="n">
        <f aca="false">G441/G433</f>
        <v>0.431118336297781</v>
      </c>
    </row>
    <row r="443" customFormat="false" ht="15" hidden="false" customHeight="false" outlineLevel="0" collapsed="false">
      <c r="A443" s="4" t="s">
        <v>418</v>
      </c>
      <c r="B443" s="0" t="s">
        <v>189</v>
      </c>
      <c r="C443" s="17" t="n">
        <f aca="false">a25_ni</f>
        <v>3.18</v>
      </c>
      <c r="D443" s="17" t="n">
        <f aca="false">a26_ni</f>
        <v>6.7316248085628</v>
      </c>
      <c r="E443" s="17" t="n">
        <f aca="false">E441*ni_oi</f>
        <v>10.5310404546651</v>
      </c>
      <c r="F443" s="17" t="n">
        <f aca="false">F441*ni_oi</f>
        <v>13.6859288468437</v>
      </c>
      <c r="G443" s="17" t="n">
        <f aca="false">G441*ni_oi</f>
        <v>16.7372936079186</v>
      </c>
      <c r="H443" s="30" t="n">
        <f aca="false">H433*H447</f>
        <v>19.1955608875028</v>
      </c>
      <c r="I443" s="30" t="n">
        <f aca="false">I433*I447</f>
        <v>21.1913607047188</v>
      </c>
      <c r="J443" s="30" t="n">
        <f aca="false">J433*J447</f>
        <v>22.485524285729</v>
      </c>
    </row>
    <row r="444" customFormat="false" ht="15" hidden="false" customHeight="false" outlineLevel="0" collapsed="false">
      <c r="A444" s="4" t="s">
        <v>512</v>
      </c>
      <c r="B444" s="4" t="s">
        <v>513</v>
      </c>
      <c r="C444" s="19" t="n">
        <f aca="false">a25_sh</f>
        <v>94.9537175276202</v>
      </c>
      <c r="D444" s="19" t="n">
        <f aca="false">a26_sh</f>
        <v>97.9860681630967</v>
      </c>
      <c r="E444" s="19" t="n">
        <f aca="false">D444*(1+sh_g)</f>
        <v>97.9860681630967</v>
      </c>
      <c r="F444" s="19" t="n">
        <f aca="false">E444*(1+sh_g)</f>
        <v>97.9860681630967</v>
      </c>
      <c r="G444" s="19" t="n">
        <f aca="false">F444*(1+sh_g)</f>
        <v>97.9860681630967</v>
      </c>
      <c r="H444" s="25" t="n">
        <f aca="false">G444*(1+sh_g)</f>
        <v>97.9860681630967</v>
      </c>
      <c r="I444" s="25" t="n">
        <f aca="false">H444*(1+sh_g)</f>
        <v>97.9860681630967</v>
      </c>
      <c r="J444" s="25" t="n">
        <f aca="false">I444*(1+sh_g)</f>
        <v>97.9860681630967</v>
      </c>
    </row>
    <row r="445" customFormat="false" ht="15" hidden="false" customHeight="false" outlineLevel="0" collapsed="false">
      <c r="A445" s="0" t="s">
        <v>423</v>
      </c>
      <c r="B445" s="0" t="s">
        <v>256</v>
      </c>
      <c r="C445" s="20" t="n">
        <f aca="false">a25_eps</f>
        <v>33.49</v>
      </c>
      <c r="D445" s="20" t="n">
        <f aca="false">a26_eps</f>
        <v>68.6959552317267</v>
      </c>
      <c r="E445" s="20" t="n">
        <f aca="false">E443/E444*1000</f>
        <v>107.474875276517</v>
      </c>
      <c r="F445" s="20" t="n">
        <f aca="false">F443/F444*1000</f>
        <v>139.672191194198</v>
      </c>
      <c r="G445" s="20" t="n">
        <f aca="false">G443/G444*1000</f>
        <v>170.812993333497</v>
      </c>
      <c r="H445" s="28" t="n">
        <f aca="false">H443/H444*1000</f>
        <v>195.900919869057</v>
      </c>
      <c r="I445" s="28" t="n">
        <f aca="false">I443/I444*1000</f>
        <v>216.269119702262</v>
      </c>
      <c r="J445" s="28" t="n">
        <f aca="false">J443/J444*1000</f>
        <v>229.476748146503</v>
      </c>
    </row>
    <row r="446" customFormat="false" ht="17.15" hidden="false" customHeight="false" outlineLevel="0" collapsed="false">
      <c r="A446" s="0" t="s">
        <v>514</v>
      </c>
      <c r="B446" s="0" t="s">
        <v>90</v>
      </c>
      <c r="D446" s="22" t="n">
        <f aca="false">D445/C445-1</f>
        <v>1.05123783910799</v>
      </c>
      <c r="E446" s="22" t="n">
        <f aca="false">E445/D445-1</f>
        <v>0.564500776122552</v>
      </c>
      <c r="F446" s="22" t="n">
        <f aca="false">F445/E445-1</f>
        <v>0.299579932843304</v>
      </c>
      <c r="G446" s="22" t="n">
        <f aca="false">G445/F445-1</f>
        <v>0.22295635138996</v>
      </c>
      <c r="H446" s="26" t="n">
        <f aca="false">H445/G445-1</f>
        <v>0.146873642607374</v>
      </c>
      <c r="I446" s="26" t="n">
        <f aca="false">I445/H445-1</f>
        <v>0.103971945853138</v>
      </c>
      <c r="J446" s="26" t="n">
        <f aca="false">J445/I445-1</f>
        <v>0.061070338948173</v>
      </c>
    </row>
    <row r="447" customFormat="false" ht="17.15" hidden="false" customHeight="false" outlineLevel="0" collapsed="false">
      <c r="A447" s="4" t="s">
        <v>515</v>
      </c>
      <c r="B447" s="0" t="s">
        <v>90</v>
      </c>
      <c r="C447" s="14" t="n">
        <f aca="false">C443/C433</f>
        <v>0.237721462211258</v>
      </c>
      <c r="D447" s="14" t="n">
        <f aca="false">D443/D433</f>
        <v>0.314376072488123</v>
      </c>
      <c r="E447" s="14" t="n">
        <f aca="false">E443/E433</f>
        <v>0.334919163616451</v>
      </c>
      <c r="F447" s="14" t="n">
        <f aca="false">F443/F433</f>
        <v>0.356147433491925</v>
      </c>
      <c r="G447" s="14" t="n">
        <f aca="false">G443/G433</f>
        <v>0.366450585853114</v>
      </c>
      <c r="H447" s="27" t="n">
        <f aca="false">$G447+(fade_mA-$G447)*1/3</f>
        <v>0.36682135947719</v>
      </c>
      <c r="I447" s="27" t="n">
        <f aca="false">$G447+(fade_mA-$G447)*2/3</f>
        <v>0.367192133101267</v>
      </c>
      <c r="J447" s="27" t="n">
        <f aca="false">$G447+(fade_mA-$G447)*3/3</f>
        <v>0.367562906725343</v>
      </c>
    </row>
    <row r="450" customFormat="false" ht="17.15" hidden="false" customHeight="false" outlineLevel="0" collapsed="false">
      <c r="A450" s="1" t="s">
        <v>815</v>
      </c>
    </row>
    <row r="451" customFormat="false" ht="17.15" hidden="false" customHeight="false" outlineLevel="0" collapsed="false">
      <c r="A451" s="5" t="s">
        <v>21</v>
      </c>
      <c r="B451" s="5" t="s">
        <v>22</v>
      </c>
      <c r="C451" s="15" t="s">
        <v>387</v>
      </c>
      <c r="D451" s="15" t="s">
        <v>468</v>
      </c>
      <c r="E451" s="15" t="s">
        <v>469</v>
      </c>
      <c r="F451" s="15" t="s">
        <v>470</v>
      </c>
      <c r="G451" s="15" t="s">
        <v>471</v>
      </c>
      <c r="H451" s="15" t="s">
        <v>472</v>
      </c>
      <c r="I451" s="15" t="s">
        <v>473</v>
      </c>
      <c r="J451" s="15" t="s">
        <v>474</v>
      </c>
      <c r="K451" s="5" t="s">
        <v>336</v>
      </c>
    </row>
    <row r="452" customFormat="false" ht="17.15" hidden="false" customHeight="false" outlineLevel="0" collapsed="false">
      <c r="A452" s="6" t="s">
        <v>492</v>
      </c>
    </row>
    <row r="453" customFormat="false" ht="17.15" hidden="false" customHeight="false" outlineLevel="0" collapsed="false">
      <c r="A453" s="0" t="s">
        <v>493</v>
      </c>
      <c r="B453" s="4" t="s">
        <v>32</v>
      </c>
      <c r="D453" s="20" t="n">
        <f aca="false">units_26</f>
        <v>15.2</v>
      </c>
      <c r="E453" s="20" t="n">
        <f aca="false">units_27*1</f>
        <v>23.7</v>
      </c>
      <c r="F453" s="20" t="n">
        <f aca="false">units_28*um28_B*1</f>
        <v>21.2</v>
      </c>
      <c r="G453" s="20" t="n">
        <f aca="false">units_29*um29_B*1</f>
        <v>25.6275</v>
      </c>
    </row>
    <row r="454" customFormat="false" ht="17.15" hidden="false" customHeight="false" outlineLevel="0" collapsed="false">
      <c r="A454" s="4" t="s">
        <v>494</v>
      </c>
      <c r="B454" s="0" t="s">
        <v>45</v>
      </c>
      <c r="D454" s="18" t="n">
        <f aca="false">ex_nv_hi*nvtt_26+astt_26</f>
        <v>0.7641125</v>
      </c>
      <c r="E454" s="18" t="n">
        <f aca="false">ex_nv_hi*nvtt_27+astt_27</f>
        <v>0.8081017</v>
      </c>
      <c r="F454" s="18" t="n">
        <f aca="false">ex_nv_hi*nvtt_28+astt_28</f>
        <v>0.8369812</v>
      </c>
      <c r="G454" s="18" t="n">
        <f aca="false">ex_nv_hi*nvtt_29+astt_29</f>
        <v>0.8384575</v>
      </c>
      <c r="K454" s="8" t="s">
        <v>495</v>
      </c>
    </row>
    <row r="455" customFormat="false" ht="17.15" hidden="false" customHeight="false" outlineLevel="0" collapsed="false">
      <c r="A455" s="4" t="s">
        <v>447</v>
      </c>
      <c r="B455" s="0" t="s">
        <v>45</v>
      </c>
      <c r="D455" s="18" t="n">
        <f aca="false">D453*D454/($D453*$D454)</f>
        <v>1</v>
      </c>
      <c r="E455" s="18" t="n">
        <f aca="false">E453*E454/($D453*$D454)</f>
        <v>1.64897273238389</v>
      </c>
      <c r="F455" s="18" t="n">
        <f aca="false">F453*F454/($D453*$D454)</f>
        <v>1.52774429915683</v>
      </c>
      <c r="G455" s="18" t="n">
        <f aca="false">G453*G454/($D453*$D454)</f>
        <v>1.85006251501355</v>
      </c>
    </row>
    <row r="456" customFormat="false" ht="17.15" hidden="false" customHeight="false" outlineLevel="0" collapsed="false">
      <c r="A456" s="4" t="s">
        <v>496</v>
      </c>
      <c r="B456" s="0" t="s">
        <v>45</v>
      </c>
      <c r="D456" s="20" t="n">
        <f aca="false">1</f>
        <v>1</v>
      </c>
      <c r="E456" s="20" t="n">
        <f aca="false">rel27_B</f>
        <v>1</v>
      </c>
      <c r="F456" s="20" t="n">
        <f aca="false">rel28_B</f>
        <v>1</v>
      </c>
      <c r="G456" s="20" t="n">
        <f aca="false">rel29_B</f>
        <v>1</v>
      </c>
    </row>
    <row r="457" customFormat="false" ht="17.15" hidden="false" customHeight="false" outlineLevel="0" collapsed="false">
      <c r="A457" s="4" t="s">
        <v>497</v>
      </c>
      <c r="B457" s="0" t="s">
        <v>45</v>
      </c>
      <c r="D457" s="18" t="n">
        <f aca="false">1</f>
        <v>1</v>
      </c>
      <c r="E457" s="18" t="n">
        <f aca="false">(1+g_ct)^1</f>
        <v>1.05</v>
      </c>
      <c r="F457" s="18" t="n">
        <f aca="false">(1+g_ct)^2</f>
        <v>1.1025</v>
      </c>
      <c r="G457" s="18" t="n">
        <f aca="false">(1+g_ct)^3</f>
        <v>1.157625</v>
      </c>
    </row>
    <row r="458" customFormat="false" ht="17.15" hidden="false" customHeight="false" outlineLevel="0" collapsed="false">
      <c r="A458" s="6" t="s">
        <v>498</v>
      </c>
    </row>
    <row r="459" customFormat="false" ht="17.15" hidden="false" customHeight="false" outlineLevel="0" collapsed="false">
      <c r="A459" s="0" t="s">
        <v>401</v>
      </c>
      <c r="B459" s="0" t="s">
        <v>189</v>
      </c>
      <c r="C459" s="17" t="n">
        <f aca="false">a25_ai</f>
        <v>5.4297243</v>
      </c>
      <c r="D459" s="17" t="n">
        <f aca="false">a26_ai</f>
        <v>9.5342409</v>
      </c>
      <c r="E459" s="17" t="n">
        <f aca="false">$D459*E455*E456*E457</f>
        <v>16.5077884314832</v>
      </c>
      <c r="F459" s="17" t="n">
        <f aca="false">$D459*F455*F456*F457</f>
        <v>16.0588851053936</v>
      </c>
      <c r="G459" s="17" t="n">
        <f aca="false">$D459*G455*G456*G457</f>
        <v>20.4192798833777</v>
      </c>
      <c r="K459" s="8" t="s">
        <v>499</v>
      </c>
    </row>
    <row r="460" customFormat="false" ht="17.15" hidden="false" customHeight="false" outlineLevel="0" collapsed="false">
      <c r="A460" s="4" t="s">
        <v>404</v>
      </c>
      <c r="B460" s="0" t="s">
        <v>189</v>
      </c>
      <c r="C460" s="17" t="n">
        <f aca="false">a25_npc</f>
        <v>4.4425017</v>
      </c>
      <c r="D460" s="17" t="n">
        <f aca="false">a26_npc</f>
        <v>6.3561606</v>
      </c>
      <c r="E460" s="17" t="n">
        <f aca="false">D460*(1+g_nonai+d_npc)</f>
        <v>6.801091842</v>
      </c>
      <c r="F460" s="17" t="n">
        <f aca="false">E460*(1+g_nonai+d_npc)</f>
        <v>7.27716827094</v>
      </c>
      <c r="G460" s="17" t="n">
        <f aca="false">F460*(1+g_nonai+d_npc)</f>
        <v>7.7865700499058</v>
      </c>
      <c r="K460" s="4" t="s">
        <v>500</v>
      </c>
    </row>
    <row r="461" customFormat="false" ht="15" hidden="false" customHeight="false" outlineLevel="0" collapsed="false">
      <c r="A461" s="4" t="s">
        <v>398</v>
      </c>
      <c r="B461" s="0" t="s">
        <v>189</v>
      </c>
      <c r="C461" s="17" t="n">
        <f aca="false">C459+C460</f>
        <v>9.872226</v>
      </c>
      <c r="D461" s="17" t="n">
        <f aca="false">D459+D460</f>
        <v>15.8904015</v>
      </c>
      <c r="E461" s="17" t="n">
        <f aca="false">E459+E460</f>
        <v>23.3088802734832</v>
      </c>
      <c r="F461" s="17" t="n">
        <f aca="false">F459+F460</f>
        <v>23.3360533763336</v>
      </c>
      <c r="G461" s="17" t="n">
        <f aca="false">G459+G460</f>
        <v>28.2058499332835</v>
      </c>
    </row>
    <row r="462" customFormat="false" ht="17.15" hidden="false" customHeight="false" outlineLevel="0" collapsed="false">
      <c r="A462" s="0" t="s">
        <v>501</v>
      </c>
      <c r="B462" s="0" t="s">
        <v>189</v>
      </c>
      <c r="D462" s="17" t="n">
        <f aca="false">k_cpo*cpo_A_26/cpo_A_27</f>
        <v>0.24</v>
      </c>
      <c r="E462" s="17" t="n">
        <f aca="false">k_cpo*cpo_B_27/cpo_A_27</f>
        <v>0.72</v>
      </c>
      <c r="F462" s="17" t="n">
        <f aca="false">k_cpo*cpo_B_28/cpo_A_27</f>
        <v>1.2</v>
      </c>
      <c r="G462" s="17" t="n">
        <f aca="false">k_cpo*cpo_B_29/cpo_A_27</f>
        <v>1.92</v>
      </c>
      <c r="K462" s="8" t="s">
        <v>502</v>
      </c>
    </row>
    <row r="463" customFormat="false" ht="17.15" hidden="false" customHeight="false" outlineLevel="0" collapsed="false">
      <c r="A463" s="4" t="s">
        <v>503</v>
      </c>
      <c r="B463" s="0" t="s">
        <v>189</v>
      </c>
      <c r="C463" s="17" t="n">
        <f aca="false">a25_eq</f>
        <v>3.290742</v>
      </c>
      <c r="D463" s="17" t="n">
        <f aca="false">a26_eq-D462</f>
        <v>4.8539955</v>
      </c>
      <c r="E463" s="17" t="n">
        <f aca="false">D463*semi_27</f>
        <v>5.659593717153</v>
      </c>
      <c r="F463" s="17" t="n">
        <f aca="false">$E463*eqk28_B</f>
        <v>5.659593717153</v>
      </c>
      <c r="G463" s="17" t="n">
        <f aca="false">$E463*eqk29_B</f>
        <v>5.37661403129535</v>
      </c>
      <c r="K463" s="8" t="s">
        <v>504</v>
      </c>
    </row>
    <row r="464" customFormat="false" ht="15" hidden="false" customHeight="false" outlineLevel="0" collapsed="false">
      <c r="A464" s="4" t="s">
        <v>405</v>
      </c>
      <c r="B464" s="0" t="s">
        <v>189</v>
      </c>
      <c r="C464" s="17" t="n">
        <f aca="false">a25_eq</f>
        <v>3.290742</v>
      </c>
      <c r="D464" s="17" t="n">
        <f aca="false">D462+D463</f>
        <v>5.0939955</v>
      </c>
      <c r="E464" s="17" t="n">
        <f aca="false">E462+E463</f>
        <v>6.379593717153</v>
      </c>
      <c r="F464" s="17" t="n">
        <f aca="false">F462+F463</f>
        <v>6.859593717153</v>
      </c>
      <c r="G464" s="17" t="n">
        <f aca="false">G462+G463</f>
        <v>7.29661403129535</v>
      </c>
    </row>
    <row r="465" customFormat="false" ht="15" hidden="false" customHeight="false" outlineLevel="0" collapsed="false">
      <c r="A465" s="4" t="s">
        <v>407</v>
      </c>
      <c r="B465" s="0" t="s">
        <v>189</v>
      </c>
      <c r="C465" s="17" t="n">
        <f aca="false">a25_oth</f>
        <v>0.214032000000001</v>
      </c>
      <c r="D465" s="17" t="n">
        <f aca="false">a26_oth</f>
        <v>0.428253</v>
      </c>
      <c r="E465" s="17" t="n">
        <f aca="false">D465*(1+g_oth)</f>
        <v>0.44966565</v>
      </c>
      <c r="F465" s="17" t="n">
        <f aca="false">E465*(1+g_oth)</f>
        <v>0.4721489325</v>
      </c>
      <c r="G465" s="17" t="n">
        <f aca="false">F465*(1+g_oth)</f>
        <v>0.495756379125</v>
      </c>
    </row>
    <row r="466" customFormat="false" ht="17.15" hidden="false" customHeight="false" outlineLevel="0" collapsed="false">
      <c r="A466" s="4" t="s">
        <v>394</v>
      </c>
      <c r="B466" s="0" t="s">
        <v>189</v>
      </c>
      <c r="C466" s="17" t="n">
        <f aca="false">C461+C464+C465</f>
        <v>13.377</v>
      </c>
      <c r="D466" s="17" t="n">
        <f aca="false">D461+D464+D465</f>
        <v>21.41265</v>
      </c>
      <c r="E466" s="17" t="n">
        <f aca="false">E461+E464+E465</f>
        <v>30.1381396406362</v>
      </c>
      <c r="F466" s="17" t="n">
        <f aca="false">F461+F464+F465</f>
        <v>30.6677960259866</v>
      </c>
      <c r="G466" s="17" t="n">
        <f aca="false">G461+G464+G465</f>
        <v>35.9982203437038</v>
      </c>
      <c r="H466" s="30" t="n">
        <f aca="false">G466*(1+H467)</f>
        <v>40.6494731977683</v>
      </c>
      <c r="I466" s="30" t="n">
        <f aca="false">H466*(1+I467)</f>
        <v>44.0885782921927</v>
      </c>
      <c r="J466" s="30" t="n">
        <f aca="false">I466*(1+J467)</f>
        <v>45.8521214238804</v>
      </c>
      <c r="K466" s="8" t="s">
        <v>505</v>
      </c>
    </row>
    <row r="467" customFormat="false" ht="15" hidden="false" customHeight="false" outlineLevel="0" collapsed="false">
      <c r="A467" s="4" t="s">
        <v>506</v>
      </c>
      <c r="B467" s="0" t="s">
        <v>90</v>
      </c>
      <c r="D467" s="22" t="n">
        <f aca="false">D466/C466-1</f>
        <v>0.600706436420722</v>
      </c>
      <c r="E467" s="22" t="n">
        <f aca="false">E466/D466-1</f>
        <v>0.407492283329536</v>
      </c>
      <c r="F467" s="22" t="n">
        <f aca="false">F466/E466-1</f>
        <v>0.0175742893113497</v>
      </c>
      <c r="G467" s="22" t="n">
        <f aca="false">G466/F466-1</f>
        <v>0.173811783318255</v>
      </c>
      <c r="H467" s="26" t="n">
        <f aca="false">$G467+(fade_gB-$G467)*1/3</f>
        <v>0.129207855545503</v>
      </c>
      <c r="I467" s="26" t="n">
        <f aca="false">$G467+(fade_gB-$G467)*2/3</f>
        <v>0.0846039277727516</v>
      </c>
      <c r="J467" s="26" t="n">
        <f aca="false">$G467+(fade_gB-$G467)*3/3</f>
        <v>0.04</v>
      </c>
    </row>
    <row r="468" customFormat="false" ht="17.15" hidden="false" customHeight="false" outlineLevel="0" collapsed="false">
      <c r="A468" s="0" t="s">
        <v>507</v>
      </c>
      <c r="B468" s="0" t="s">
        <v>90</v>
      </c>
      <c r="C468" s="22" t="n">
        <f aca="false">C459/C466</f>
        <v>0.4059</v>
      </c>
      <c r="D468" s="22" t="n">
        <f aca="false">D459/D466</f>
        <v>0.445262071719287</v>
      </c>
      <c r="E468" s="22" t="n">
        <f aca="false">E459/E466</f>
        <v>0.547737472462475</v>
      </c>
      <c r="F468" s="22" t="n">
        <f aca="false">F459/F466</f>
        <v>0.523640012858634</v>
      </c>
      <c r="G468" s="22" t="n">
        <f aca="false">G459/G466</f>
        <v>0.567230259952255</v>
      </c>
    </row>
    <row r="469" customFormat="false" ht="17.15" hidden="false" customHeight="false" outlineLevel="0" collapsed="false">
      <c r="A469" s="4" t="s">
        <v>508</v>
      </c>
      <c r="B469" s="0" t="s">
        <v>90</v>
      </c>
      <c r="C469" s="22" t="n">
        <f aca="false">C461/C466</f>
        <v>0.738</v>
      </c>
      <c r="D469" s="22" t="n">
        <f aca="false">D461/D466</f>
        <v>0.742103452865479</v>
      </c>
      <c r="E469" s="22" t="n">
        <f aca="false">E461/E466</f>
        <v>0.773401429265896</v>
      </c>
      <c r="F469" s="22" t="n">
        <f aca="false">F461/F466</f>
        <v>0.760930239543775</v>
      </c>
      <c r="G469" s="22" t="n">
        <f aca="false">G461/G466</f>
        <v>0.783534565430725</v>
      </c>
    </row>
    <row r="470" customFormat="false" ht="17.15" hidden="false" customHeight="false" outlineLevel="0" collapsed="false">
      <c r="A470" s="6" t="s">
        <v>509</v>
      </c>
    </row>
    <row r="471" customFormat="false" ht="15" hidden="false" customHeight="false" outlineLevel="0" collapsed="false">
      <c r="A471" s="4" t="s">
        <v>412</v>
      </c>
      <c r="B471" s="0" t="s">
        <v>90</v>
      </c>
      <c r="C471" s="14" t="n">
        <f aca="false">a25_gp/a25_rev</f>
        <v>0.574</v>
      </c>
      <c r="D471" s="14" t="n">
        <f aca="false">a26_gp/a26_rev</f>
        <v>0.593344593032623</v>
      </c>
      <c r="E471" s="14" t="n">
        <f aca="false">gm27_B+gm_adj</f>
        <v>0.595</v>
      </c>
      <c r="F471" s="14" t="n">
        <f aca="false">gmL_B+gm_adj</f>
        <v>0.595</v>
      </c>
      <c r="G471" s="14" t="n">
        <f aca="false">gmL_B+gm_adj</f>
        <v>0.595</v>
      </c>
    </row>
    <row r="472" customFormat="false" ht="15" hidden="false" customHeight="false" outlineLevel="0" collapsed="false">
      <c r="A472" s="4" t="s">
        <v>409</v>
      </c>
      <c r="B472" s="0" t="s">
        <v>189</v>
      </c>
      <c r="C472" s="17" t="n">
        <f aca="false">C466*C471</f>
        <v>7.678398</v>
      </c>
      <c r="D472" s="17" t="n">
        <f aca="false">D466*D471</f>
        <v>12.7050801</v>
      </c>
      <c r="E472" s="17" t="n">
        <f aca="false">E466*E471</f>
        <v>17.9321930861785</v>
      </c>
      <c r="F472" s="17" t="n">
        <f aca="false">F466*F471</f>
        <v>18.247338635462</v>
      </c>
      <c r="G472" s="17" t="n">
        <f aca="false">G466*G471</f>
        <v>21.4189411045038</v>
      </c>
    </row>
    <row r="473" customFormat="false" ht="17.15" hidden="false" customHeight="false" outlineLevel="0" collapsed="false">
      <c r="A473" s="4" t="s">
        <v>510</v>
      </c>
      <c r="B473" s="0" t="s">
        <v>189</v>
      </c>
      <c r="D473" s="17" t="n">
        <f aca="false">a26_opx</f>
        <v>5.05564928556</v>
      </c>
      <c r="E473" s="17" t="n">
        <f aca="false">D473*(1+phi*E467)</f>
        <v>6.29173212821171</v>
      </c>
      <c r="F473" s="17" t="n">
        <f aca="false">E473*(1+phi*F467)</f>
        <v>6.35807576062613</v>
      </c>
      <c r="G473" s="17" t="n">
        <f aca="false">F473*(1+phi*G467)</f>
        <v>7.02114085248233</v>
      </c>
      <c r="K473" s="8" t="s">
        <v>511</v>
      </c>
    </row>
    <row r="474" customFormat="false" ht="15" hidden="false" customHeight="false" outlineLevel="0" collapsed="false">
      <c r="A474" s="4" t="s">
        <v>415</v>
      </c>
      <c r="B474" s="0" t="s">
        <v>189</v>
      </c>
      <c r="D474" s="17" t="n">
        <f aca="false">D472-D473</f>
        <v>7.64943081444</v>
      </c>
      <c r="E474" s="17" t="n">
        <f aca="false">E472-E473</f>
        <v>11.6404609579668</v>
      </c>
      <c r="F474" s="17" t="n">
        <f aca="false">F472-F473</f>
        <v>11.8892628748359</v>
      </c>
      <c r="G474" s="17" t="n">
        <f aca="false">G472-G473</f>
        <v>14.3978002520214</v>
      </c>
    </row>
    <row r="475" customFormat="false" ht="15" hidden="false" customHeight="false" outlineLevel="0" collapsed="false">
      <c r="A475" s="4" t="s">
        <v>482</v>
      </c>
      <c r="B475" s="0" t="s">
        <v>90</v>
      </c>
      <c r="D475" s="14" t="n">
        <f aca="false">D474/D466</f>
        <v>0.357238866484999</v>
      </c>
      <c r="E475" s="14" t="n">
        <f aca="false">E474/E466</f>
        <v>0.386236877815498</v>
      </c>
      <c r="F475" s="14" t="n">
        <f aca="false">F474/F466</f>
        <v>0.387679077582277</v>
      </c>
      <c r="G475" s="14" t="n">
        <f aca="false">G474/G466</f>
        <v>0.399958667805078</v>
      </c>
    </row>
    <row r="476" customFormat="false" ht="15" hidden="false" customHeight="false" outlineLevel="0" collapsed="false">
      <c r="A476" s="4" t="s">
        <v>418</v>
      </c>
      <c r="B476" s="0" t="s">
        <v>189</v>
      </c>
      <c r="C476" s="17" t="n">
        <f aca="false">a25_ni</f>
        <v>3.18</v>
      </c>
      <c r="D476" s="17" t="n">
        <f aca="false">a26_ni</f>
        <v>6.7316248085628</v>
      </c>
      <c r="E476" s="17" t="n">
        <f aca="false">E474*ni_oi</f>
        <v>9.8943918142718</v>
      </c>
      <c r="F476" s="17" t="n">
        <f aca="false">F474*ni_oi</f>
        <v>10.1058734436105</v>
      </c>
      <c r="G476" s="17" t="n">
        <f aca="false">G474*ni_oi</f>
        <v>12.2381302142182</v>
      </c>
      <c r="H476" s="30" t="n">
        <f aca="false">H466*H480</f>
        <v>13.3741208312966</v>
      </c>
      <c r="I476" s="30" t="n">
        <f aca="false">I466*I480</f>
        <v>14.022680284973</v>
      </c>
      <c r="J476" s="30" t="n">
        <f aca="false">J466*J480</f>
        <v>14.0813260492468</v>
      </c>
    </row>
    <row r="477" customFormat="false" ht="15" hidden="false" customHeight="false" outlineLevel="0" collapsed="false">
      <c r="A477" s="4" t="s">
        <v>512</v>
      </c>
      <c r="B477" s="4" t="s">
        <v>513</v>
      </c>
      <c r="C477" s="19" t="n">
        <f aca="false">a25_sh</f>
        <v>94.9537175276202</v>
      </c>
      <c r="D477" s="19" t="n">
        <f aca="false">a26_sh</f>
        <v>97.9860681630967</v>
      </c>
      <c r="E477" s="19" t="n">
        <f aca="false">D477*(1+sh_g)</f>
        <v>97.9860681630967</v>
      </c>
      <c r="F477" s="19" t="n">
        <f aca="false">E477*(1+sh_g)</f>
        <v>97.9860681630967</v>
      </c>
      <c r="G477" s="19" t="n">
        <f aca="false">F477*(1+sh_g)</f>
        <v>97.9860681630967</v>
      </c>
      <c r="H477" s="25" t="n">
        <f aca="false">G477*(1+sh_g)</f>
        <v>97.9860681630967</v>
      </c>
      <c r="I477" s="25" t="n">
        <f aca="false">H477*(1+sh_g)</f>
        <v>97.9860681630967</v>
      </c>
      <c r="J477" s="25" t="n">
        <f aca="false">I477*(1+sh_g)</f>
        <v>97.9860681630967</v>
      </c>
    </row>
    <row r="478" customFormat="false" ht="15" hidden="false" customHeight="false" outlineLevel="0" collapsed="false">
      <c r="A478" s="0" t="s">
        <v>423</v>
      </c>
      <c r="B478" s="0" t="s">
        <v>256</v>
      </c>
      <c r="C478" s="20" t="n">
        <f aca="false">a25_eps</f>
        <v>33.49</v>
      </c>
      <c r="D478" s="20" t="n">
        <f aca="false">a26_eps</f>
        <v>68.6959552317267</v>
      </c>
      <c r="E478" s="20" t="n">
        <f aca="false">E476/E477*1000</f>
        <v>100.977536906601</v>
      </c>
      <c r="F478" s="20" t="n">
        <f aca="false">F476/F477*1000</f>
        <v>103.135819541094</v>
      </c>
      <c r="G478" s="20" t="n">
        <f aca="false">G476/G477*1000</f>
        <v>124.896635242553</v>
      </c>
      <c r="H478" s="28" t="n">
        <f aca="false">H476/H477*1000</f>
        <v>136.490024367909</v>
      </c>
      <c r="I478" s="28" t="n">
        <f aca="false">I476/I477*1000</f>
        <v>143.108918929499</v>
      </c>
      <c r="J478" s="28" t="n">
        <f aca="false">J476/J477*1000</f>
        <v>143.707430180876</v>
      </c>
    </row>
    <row r="479" customFormat="false" ht="17.15" hidden="false" customHeight="false" outlineLevel="0" collapsed="false">
      <c r="A479" s="0" t="s">
        <v>514</v>
      </c>
      <c r="B479" s="0" t="s">
        <v>90</v>
      </c>
      <c r="D479" s="22" t="n">
        <f aca="false">D478/C478-1</f>
        <v>1.05123783910799</v>
      </c>
      <c r="E479" s="22" t="n">
        <f aca="false">E478/D478-1</f>
        <v>0.4699196854601</v>
      </c>
      <c r="F479" s="22" t="n">
        <f aca="false">F478/E478-1</f>
        <v>0.0213738886945691</v>
      </c>
      <c r="G479" s="22" t="n">
        <f aca="false">G478/F478-1</f>
        <v>0.210991833858344</v>
      </c>
      <c r="H479" s="26" t="n">
        <f aca="false">H478/G478-1</f>
        <v>0.0928238707379203</v>
      </c>
      <c r="I479" s="26" t="n">
        <f aca="false">I478/H478-1</f>
        <v>0.0484936140369419</v>
      </c>
      <c r="J479" s="26" t="n">
        <f aca="false">J478/I478-1</f>
        <v>0.00418220790048718</v>
      </c>
    </row>
    <row r="480" customFormat="false" ht="17.15" hidden="false" customHeight="false" outlineLevel="0" collapsed="false">
      <c r="A480" s="4" t="s">
        <v>515</v>
      </c>
      <c r="B480" s="0" t="s">
        <v>90</v>
      </c>
      <c r="C480" s="14" t="n">
        <f aca="false">C476/C466</f>
        <v>0.237721462211258</v>
      </c>
      <c r="D480" s="14" t="n">
        <f aca="false">D476/D466</f>
        <v>0.314376072488123</v>
      </c>
      <c r="E480" s="14" t="n">
        <f aca="false">E476/E466</f>
        <v>0.328301346143173</v>
      </c>
      <c r="F480" s="14" t="n">
        <f aca="false">F476/F466</f>
        <v>0.329527215944935</v>
      </c>
      <c r="G480" s="14" t="n">
        <f aca="false">G476/G466</f>
        <v>0.339964867634316</v>
      </c>
      <c r="H480" s="27" t="n">
        <f aca="false">$G480+(fade_mB-$G480)*1/3</f>
        <v>0.329010926321941</v>
      </c>
      <c r="I480" s="27" t="n">
        <f aca="false">$G480+(fade_mB-$G480)*2/3</f>
        <v>0.318056985009565</v>
      </c>
      <c r="J480" s="27" t="n">
        <f aca="false">$G480+(fade_mB-$G480)*3/3</f>
        <v>0.30710304369719</v>
      </c>
    </row>
    <row r="483" customFormat="false" ht="17.15" hidden="false" customHeight="false" outlineLevel="0" collapsed="false">
      <c r="A483" s="1" t="s">
        <v>816</v>
      </c>
    </row>
    <row r="484" customFormat="false" ht="17.15" hidden="false" customHeight="false" outlineLevel="0" collapsed="false">
      <c r="A484" s="5" t="s">
        <v>21</v>
      </c>
      <c r="B484" s="5" t="s">
        <v>22</v>
      </c>
      <c r="C484" s="15" t="s">
        <v>387</v>
      </c>
      <c r="D484" s="15" t="s">
        <v>468</v>
      </c>
      <c r="E484" s="15" t="s">
        <v>469</v>
      </c>
      <c r="F484" s="15" t="s">
        <v>470</v>
      </c>
      <c r="G484" s="15" t="s">
        <v>471</v>
      </c>
      <c r="H484" s="15" t="s">
        <v>472</v>
      </c>
      <c r="I484" s="15" t="s">
        <v>473</v>
      </c>
      <c r="J484" s="15" t="s">
        <v>474</v>
      </c>
      <c r="K484" s="5" t="s">
        <v>336</v>
      </c>
    </row>
    <row r="485" customFormat="false" ht="17.15" hidden="false" customHeight="false" outlineLevel="0" collapsed="false">
      <c r="A485" s="6" t="s">
        <v>492</v>
      </c>
    </row>
    <row r="486" customFormat="false" ht="17.15" hidden="false" customHeight="false" outlineLevel="0" collapsed="false">
      <c r="A486" s="0" t="s">
        <v>493</v>
      </c>
      <c r="B486" s="4" t="s">
        <v>32</v>
      </c>
      <c r="D486" s="20" t="n">
        <f aca="false">units_26</f>
        <v>15.2</v>
      </c>
      <c r="E486" s="20" t="n">
        <f aca="false">units_27*1</f>
        <v>23.7</v>
      </c>
      <c r="F486" s="20" t="n">
        <f aca="false">units_28*um28_C*1</f>
        <v>15.9</v>
      </c>
      <c r="G486" s="20" t="n">
        <f aca="false">units_29*um29_C*1</f>
        <v>18.09</v>
      </c>
    </row>
    <row r="487" customFormat="false" ht="17.15" hidden="false" customHeight="false" outlineLevel="0" collapsed="false">
      <c r="A487" s="4" t="s">
        <v>494</v>
      </c>
      <c r="B487" s="0" t="s">
        <v>45</v>
      </c>
      <c r="D487" s="18" t="n">
        <f aca="false">ex_nv_hi*nvtt_26+astt_26</f>
        <v>0.7641125</v>
      </c>
      <c r="E487" s="18" t="n">
        <f aca="false">ex_nv_hi*nvtt_27+astt_27</f>
        <v>0.8081017</v>
      </c>
      <c r="F487" s="18" t="n">
        <f aca="false">ex_nv_hi*nvtt_28+astt_28</f>
        <v>0.8369812</v>
      </c>
      <c r="G487" s="18" t="n">
        <f aca="false">ex_nv_hi*nvtt_29+astt_29</f>
        <v>0.8384575</v>
      </c>
      <c r="K487" s="8" t="s">
        <v>495</v>
      </c>
    </row>
    <row r="488" customFormat="false" ht="17.15" hidden="false" customHeight="false" outlineLevel="0" collapsed="false">
      <c r="A488" s="4" t="s">
        <v>447</v>
      </c>
      <c r="B488" s="0" t="s">
        <v>45</v>
      </c>
      <c r="D488" s="18" t="n">
        <f aca="false">D486*D487/($D486*$D487)</f>
        <v>1</v>
      </c>
      <c r="E488" s="18" t="n">
        <f aca="false">E486*E487/($D486*$D487)</f>
        <v>1.64897273238389</v>
      </c>
      <c r="F488" s="18" t="n">
        <f aca="false">F486*F487/($D486*$D487)</f>
        <v>1.14580822436762</v>
      </c>
      <c r="G488" s="18" t="n">
        <f aca="false">G486*G487/($D486*$D487)</f>
        <v>1.30592648118603</v>
      </c>
    </row>
    <row r="489" customFormat="false" ht="17.15" hidden="false" customHeight="false" outlineLevel="0" collapsed="false">
      <c r="A489" s="4" t="s">
        <v>496</v>
      </c>
      <c r="B489" s="0" t="s">
        <v>45</v>
      </c>
      <c r="D489" s="20" t="n">
        <f aca="false">1</f>
        <v>1</v>
      </c>
      <c r="E489" s="20" t="n">
        <f aca="false">rel27_C</f>
        <v>0.92</v>
      </c>
      <c r="F489" s="20" t="n">
        <f aca="false">rel28_C</f>
        <v>0.88</v>
      </c>
      <c r="G489" s="20" t="n">
        <f aca="false">rel29_C</f>
        <v>0.85</v>
      </c>
    </row>
    <row r="490" customFormat="false" ht="17.15" hidden="false" customHeight="false" outlineLevel="0" collapsed="false">
      <c r="A490" s="4" t="s">
        <v>497</v>
      </c>
      <c r="B490" s="0" t="s">
        <v>45</v>
      </c>
      <c r="D490" s="18" t="n">
        <f aca="false">1</f>
        <v>1</v>
      </c>
      <c r="E490" s="18" t="n">
        <f aca="false">(1+g_ct)^1</f>
        <v>1.05</v>
      </c>
      <c r="F490" s="18" t="n">
        <f aca="false">(1+g_ct)^2</f>
        <v>1.1025</v>
      </c>
      <c r="G490" s="18" t="n">
        <f aca="false">(1+g_ct)^3</f>
        <v>1.157625</v>
      </c>
    </row>
    <row r="491" customFormat="false" ht="17.15" hidden="false" customHeight="false" outlineLevel="0" collapsed="false">
      <c r="A491" s="6" t="s">
        <v>498</v>
      </c>
    </row>
    <row r="492" customFormat="false" ht="17.15" hidden="false" customHeight="false" outlineLevel="0" collapsed="false">
      <c r="A492" s="0" t="s">
        <v>401</v>
      </c>
      <c r="B492" s="0" t="s">
        <v>189</v>
      </c>
      <c r="C492" s="17" t="n">
        <f aca="false">a25_ai</f>
        <v>5.4297243</v>
      </c>
      <c r="D492" s="17" t="n">
        <f aca="false">a26_ai</f>
        <v>9.5342409</v>
      </c>
      <c r="E492" s="17" t="n">
        <f aca="false">$D492*E488*E489*E490</f>
        <v>15.1871653569645</v>
      </c>
      <c r="F492" s="17" t="n">
        <f aca="false">$D492*F488*F489*F490</f>
        <v>10.5988641695598</v>
      </c>
      <c r="G492" s="17" t="n">
        <f aca="false">$D492*G488*G489*G490</f>
        <v>12.2515679300266</v>
      </c>
      <c r="K492" s="8" t="s">
        <v>499</v>
      </c>
    </row>
    <row r="493" customFormat="false" ht="17.15" hidden="false" customHeight="false" outlineLevel="0" collapsed="false">
      <c r="A493" s="4" t="s">
        <v>404</v>
      </c>
      <c r="B493" s="0" t="s">
        <v>189</v>
      </c>
      <c r="C493" s="17" t="n">
        <f aca="false">a25_npc</f>
        <v>4.4425017</v>
      </c>
      <c r="D493" s="17" t="n">
        <f aca="false">a26_npc</f>
        <v>6.3561606</v>
      </c>
      <c r="E493" s="17" t="n">
        <f aca="false">D493*(1+g_nonai+d_npc)</f>
        <v>6.801091842</v>
      </c>
      <c r="F493" s="17" t="n">
        <f aca="false">E493*(1+g_nonai+d_npc)</f>
        <v>7.27716827094</v>
      </c>
      <c r="G493" s="17" t="n">
        <f aca="false">F493*(1+g_nonai+d_npc)</f>
        <v>7.7865700499058</v>
      </c>
      <c r="K493" s="4" t="s">
        <v>500</v>
      </c>
    </row>
    <row r="494" customFormat="false" ht="15" hidden="false" customHeight="false" outlineLevel="0" collapsed="false">
      <c r="A494" s="4" t="s">
        <v>398</v>
      </c>
      <c r="B494" s="0" t="s">
        <v>189</v>
      </c>
      <c r="C494" s="17" t="n">
        <f aca="false">C492+C493</f>
        <v>9.872226</v>
      </c>
      <c r="D494" s="17" t="n">
        <f aca="false">D492+D493</f>
        <v>15.8904015</v>
      </c>
      <c r="E494" s="17" t="n">
        <f aca="false">E492+E493</f>
        <v>21.9882571989645</v>
      </c>
      <c r="F494" s="17" t="n">
        <f aca="false">F492+F493</f>
        <v>17.8760324404998</v>
      </c>
      <c r="G494" s="17" t="n">
        <f aca="false">G492+G493</f>
        <v>20.0381379799324</v>
      </c>
    </row>
    <row r="495" customFormat="false" ht="17.15" hidden="false" customHeight="false" outlineLevel="0" collapsed="false">
      <c r="A495" s="0" t="s">
        <v>501</v>
      </c>
      <c r="B495" s="0" t="s">
        <v>189</v>
      </c>
      <c r="D495" s="17" t="n">
        <f aca="false">k_cpo*cpo_A_26/cpo_A_27</f>
        <v>0.24</v>
      </c>
      <c r="E495" s="17" t="n">
        <f aca="false">k_cpo*cpo_C_27/cpo_A_27</f>
        <v>0.48</v>
      </c>
      <c r="F495" s="17" t="n">
        <f aca="false">k_cpo*cpo_C_28/cpo_A_27</f>
        <v>0.72</v>
      </c>
      <c r="G495" s="17" t="n">
        <f aca="false">k_cpo*cpo_C_29/cpo_A_27</f>
        <v>1.2</v>
      </c>
      <c r="K495" s="8" t="s">
        <v>502</v>
      </c>
    </row>
    <row r="496" customFormat="false" ht="17.15" hidden="false" customHeight="false" outlineLevel="0" collapsed="false">
      <c r="A496" s="4" t="s">
        <v>503</v>
      </c>
      <c r="B496" s="0" t="s">
        <v>189</v>
      </c>
      <c r="C496" s="17" t="n">
        <f aca="false">a25_eq</f>
        <v>3.290742</v>
      </c>
      <c r="D496" s="17" t="n">
        <f aca="false">a26_eq-D495</f>
        <v>4.8539955</v>
      </c>
      <c r="E496" s="17" t="n">
        <f aca="false">D496*semi_27</f>
        <v>5.659593717153</v>
      </c>
      <c r="F496" s="17" t="n">
        <f aca="false">$E496*eqk28_C</f>
        <v>4.5276749737224</v>
      </c>
      <c r="G496" s="17" t="n">
        <f aca="false">$E496*eqk29_C</f>
        <v>5.659593717153</v>
      </c>
      <c r="K496" s="8" t="s">
        <v>504</v>
      </c>
    </row>
    <row r="497" customFormat="false" ht="15" hidden="false" customHeight="false" outlineLevel="0" collapsed="false">
      <c r="A497" s="4" t="s">
        <v>405</v>
      </c>
      <c r="B497" s="0" t="s">
        <v>189</v>
      </c>
      <c r="C497" s="17" t="n">
        <f aca="false">a25_eq</f>
        <v>3.290742</v>
      </c>
      <c r="D497" s="17" t="n">
        <f aca="false">D495+D496</f>
        <v>5.0939955</v>
      </c>
      <c r="E497" s="17" t="n">
        <f aca="false">E495+E496</f>
        <v>6.139593717153</v>
      </c>
      <c r="F497" s="17" t="n">
        <f aca="false">F495+F496</f>
        <v>5.2476749737224</v>
      </c>
      <c r="G497" s="17" t="n">
        <f aca="false">G495+G496</f>
        <v>6.859593717153</v>
      </c>
    </row>
    <row r="498" customFormat="false" ht="15" hidden="false" customHeight="false" outlineLevel="0" collapsed="false">
      <c r="A498" s="4" t="s">
        <v>407</v>
      </c>
      <c r="B498" s="0" t="s">
        <v>189</v>
      </c>
      <c r="C498" s="17" t="n">
        <f aca="false">a25_oth</f>
        <v>0.214032000000001</v>
      </c>
      <c r="D498" s="17" t="n">
        <f aca="false">a26_oth</f>
        <v>0.428253</v>
      </c>
      <c r="E498" s="17" t="n">
        <f aca="false">D498*(1+g_oth)</f>
        <v>0.44966565</v>
      </c>
      <c r="F498" s="17" t="n">
        <f aca="false">E498*(1+g_oth)</f>
        <v>0.4721489325</v>
      </c>
      <c r="G498" s="17" t="n">
        <f aca="false">F498*(1+g_oth)</f>
        <v>0.495756379125</v>
      </c>
    </row>
    <row r="499" customFormat="false" ht="17.15" hidden="false" customHeight="false" outlineLevel="0" collapsed="false">
      <c r="A499" s="4" t="s">
        <v>394</v>
      </c>
      <c r="B499" s="0" t="s">
        <v>189</v>
      </c>
      <c r="C499" s="17" t="n">
        <f aca="false">C494+C497+C498</f>
        <v>13.377</v>
      </c>
      <c r="D499" s="17" t="n">
        <f aca="false">D494+D497+D498</f>
        <v>21.41265</v>
      </c>
      <c r="E499" s="17" t="n">
        <f aca="false">E494+E497+E498</f>
        <v>28.5775165661175</v>
      </c>
      <c r="F499" s="17" t="n">
        <f aca="false">F494+F497+F498</f>
        <v>23.5958563467222</v>
      </c>
      <c r="G499" s="17" t="n">
        <f aca="false">G494+G497+G498</f>
        <v>27.3934880762104</v>
      </c>
      <c r="H499" s="30" t="n">
        <f aca="false">G499*(1+H500)</f>
        <v>30.5153386805643</v>
      </c>
      <c r="I499" s="30" t="n">
        <f aca="false">H499*(1+I500)</f>
        <v>32.5593054714343</v>
      </c>
      <c r="J499" s="30" t="n">
        <f aca="false">I499*(1+J500)</f>
        <v>33.210491580863</v>
      </c>
      <c r="K499" s="8" t="s">
        <v>505</v>
      </c>
    </row>
    <row r="500" customFormat="false" ht="15" hidden="false" customHeight="false" outlineLevel="0" collapsed="false">
      <c r="A500" s="4" t="s">
        <v>506</v>
      </c>
      <c r="B500" s="0" t="s">
        <v>90</v>
      </c>
      <c r="D500" s="22" t="n">
        <f aca="false">D499/C499-1</f>
        <v>0.600706436420722</v>
      </c>
      <c r="E500" s="22" t="n">
        <f aca="false">E499/D499-1</f>
        <v>0.334609054279481</v>
      </c>
      <c r="F500" s="22" t="n">
        <f aca="false">F499/E499-1</f>
        <v>-0.17432096340036</v>
      </c>
      <c r="G500" s="22" t="n">
        <f aca="false">G499/F499-1</f>
        <v>0.160944857168355</v>
      </c>
      <c r="H500" s="26" t="n">
        <f aca="false">$G500+(fade_gC-$G500)*1/3</f>
        <v>0.113963238112237</v>
      </c>
      <c r="I500" s="26" t="n">
        <f aca="false">$G500+(fade_gC-$G500)*2/3</f>
        <v>0.0669816190561184</v>
      </c>
      <c r="J500" s="26" t="n">
        <f aca="false">$G500+(fade_gC-$G500)*3/3</f>
        <v>0.02</v>
      </c>
    </row>
    <row r="501" customFormat="false" ht="17.15" hidden="false" customHeight="false" outlineLevel="0" collapsed="false">
      <c r="A501" s="0" t="s">
        <v>507</v>
      </c>
      <c r="B501" s="0" t="s">
        <v>90</v>
      </c>
      <c r="C501" s="22" t="n">
        <f aca="false">C492/C499</f>
        <v>0.4059</v>
      </c>
      <c r="D501" s="22" t="n">
        <f aca="false">D492/D499</f>
        <v>0.445262071719287</v>
      </c>
      <c r="E501" s="22" t="n">
        <f aca="false">E492/E499</f>
        <v>0.53143754887963</v>
      </c>
      <c r="F501" s="22" t="n">
        <f aca="false">F492/F499</f>
        <v>0.449183280903984</v>
      </c>
      <c r="G501" s="22" t="n">
        <f aca="false">G492/G499</f>
        <v>0.44724380830736</v>
      </c>
    </row>
    <row r="502" customFormat="false" ht="17.15" hidden="false" customHeight="false" outlineLevel="0" collapsed="false">
      <c r="A502" s="4" t="s">
        <v>508</v>
      </c>
      <c r="B502" s="0" t="s">
        <v>90</v>
      </c>
      <c r="C502" s="22" t="n">
        <f aca="false">C494/C499</f>
        <v>0.738</v>
      </c>
      <c r="D502" s="22" t="n">
        <f aca="false">D494/D499</f>
        <v>0.742103452865479</v>
      </c>
      <c r="E502" s="22" t="n">
        <f aca="false">E494/E499</f>
        <v>0.769425053016487</v>
      </c>
      <c r="F502" s="22" t="n">
        <f aca="false">F494/F499</f>
        <v>0.75759201860809</v>
      </c>
      <c r="G502" s="22" t="n">
        <f aca="false">G494/G499</f>
        <v>0.731492752006792</v>
      </c>
    </row>
    <row r="503" customFormat="false" ht="17.15" hidden="false" customHeight="false" outlineLevel="0" collapsed="false">
      <c r="A503" s="6" t="s">
        <v>509</v>
      </c>
    </row>
    <row r="504" customFormat="false" ht="15" hidden="false" customHeight="false" outlineLevel="0" collapsed="false">
      <c r="A504" s="4" t="s">
        <v>412</v>
      </c>
      <c r="B504" s="0" t="s">
        <v>90</v>
      </c>
      <c r="C504" s="14" t="n">
        <f aca="false">a25_gp/a25_rev</f>
        <v>0.574</v>
      </c>
      <c r="D504" s="14" t="n">
        <f aca="false">a26_gp/a26_rev</f>
        <v>0.593344593032623</v>
      </c>
      <c r="E504" s="14" t="n">
        <f aca="false">gm27_C+gm_adj</f>
        <v>0.58</v>
      </c>
      <c r="F504" s="14" t="n">
        <f aca="false">gmL_C+gm_adj</f>
        <v>0.565</v>
      </c>
      <c r="G504" s="14" t="n">
        <f aca="false">gmL_C+gm_adj</f>
        <v>0.565</v>
      </c>
    </row>
    <row r="505" customFormat="false" ht="15" hidden="false" customHeight="false" outlineLevel="0" collapsed="false">
      <c r="A505" s="4" t="s">
        <v>409</v>
      </c>
      <c r="B505" s="0" t="s">
        <v>189</v>
      </c>
      <c r="C505" s="17" t="n">
        <f aca="false">C499*C504</f>
        <v>7.678398</v>
      </c>
      <c r="D505" s="17" t="n">
        <f aca="false">D499*D504</f>
        <v>12.7050801</v>
      </c>
      <c r="E505" s="17" t="n">
        <f aca="false">E499*E504</f>
        <v>16.5749596083482</v>
      </c>
      <c r="F505" s="17" t="n">
        <f aca="false">F499*F504</f>
        <v>13.331658835898</v>
      </c>
      <c r="G505" s="17" t="n">
        <f aca="false">G499*G504</f>
        <v>15.4773207630589</v>
      </c>
    </row>
    <row r="506" customFormat="false" ht="17.15" hidden="false" customHeight="false" outlineLevel="0" collapsed="false">
      <c r="A506" s="4" t="s">
        <v>510</v>
      </c>
      <c r="B506" s="0" t="s">
        <v>189</v>
      </c>
      <c r="D506" s="17" t="n">
        <f aca="false">a26_opx</f>
        <v>5.05564928556</v>
      </c>
      <c r="E506" s="17" t="n">
        <f aca="false">D506*(1+phi*E500)</f>
        <v>6.07064890128598</v>
      </c>
      <c r="F506" s="17" t="n">
        <f aca="false">E506*(1+phi*F500)</f>
        <v>5.43570408232347</v>
      </c>
      <c r="G506" s="17" t="n">
        <f aca="false">F506*(1+phi*G500)</f>
        <v>5.96061325260687</v>
      </c>
      <c r="K506" s="8" t="s">
        <v>511</v>
      </c>
    </row>
    <row r="507" customFormat="false" ht="15" hidden="false" customHeight="false" outlineLevel="0" collapsed="false">
      <c r="A507" s="4" t="s">
        <v>415</v>
      </c>
      <c r="B507" s="0" t="s">
        <v>189</v>
      </c>
      <c r="D507" s="17" t="n">
        <f aca="false">D505-D506</f>
        <v>7.64943081444</v>
      </c>
      <c r="E507" s="17" t="n">
        <f aca="false">E505-E506</f>
        <v>10.5043107070622</v>
      </c>
      <c r="F507" s="17" t="n">
        <f aca="false">F505-F506</f>
        <v>7.89595475357455</v>
      </c>
      <c r="G507" s="17" t="n">
        <f aca="false">G505-G506</f>
        <v>9.516707510452</v>
      </c>
    </row>
    <row r="508" customFormat="false" ht="15" hidden="false" customHeight="false" outlineLevel="0" collapsed="false">
      <c r="A508" s="4" t="s">
        <v>482</v>
      </c>
      <c r="B508" s="0" t="s">
        <v>90</v>
      </c>
      <c r="D508" s="14" t="n">
        <f aca="false">D507/D499</f>
        <v>0.357238866484999</v>
      </c>
      <c r="E508" s="14" t="n">
        <f aca="false">E507/E499</f>
        <v>0.367572552456026</v>
      </c>
      <c r="F508" s="14" t="n">
        <f aca="false">F507/F499</f>
        <v>0.33463310835385</v>
      </c>
      <c r="G508" s="14" t="n">
        <f aca="false">G507/G499</f>
        <v>0.347407657030602</v>
      </c>
    </row>
    <row r="509" customFormat="false" ht="15" hidden="false" customHeight="false" outlineLevel="0" collapsed="false">
      <c r="A509" s="4" t="s">
        <v>418</v>
      </c>
      <c r="B509" s="0" t="s">
        <v>189</v>
      </c>
      <c r="C509" s="17" t="n">
        <f aca="false">a25_ni</f>
        <v>3.18</v>
      </c>
      <c r="D509" s="17" t="n">
        <f aca="false">a26_ni</f>
        <v>6.7316248085628</v>
      </c>
      <c r="E509" s="17" t="n">
        <f aca="false">E507*ni_oi</f>
        <v>8.92866410100286</v>
      </c>
      <c r="F509" s="17" t="n">
        <f aca="false">F507*ni_oi</f>
        <v>6.71156154053837</v>
      </c>
      <c r="G509" s="17" t="n">
        <f aca="false">G507*ni_oi</f>
        <v>8.0892013838842</v>
      </c>
      <c r="H509" s="30" t="n">
        <f aca="false">H499*H513</f>
        <v>8.41981786328405</v>
      </c>
      <c r="I509" s="30" t="n">
        <f aca="false">I499*I513</f>
        <v>8.35293256773043</v>
      </c>
      <c r="J509" s="30" t="n">
        <f aca="false">J499*J513</f>
        <v>7.87651572432715</v>
      </c>
    </row>
    <row r="510" customFormat="false" ht="15" hidden="false" customHeight="false" outlineLevel="0" collapsed="false">
      <c r="A510" s="4" t="s">
        <v>512</v>
      </c>
      <c r="B510" s="4" t="s">
        <v>513</v>
      </c>
      <c r="C510" s="19" t="n">
        <f aca="false">a25_sh</f>
        <v>94.9537175276202</v>
      </c>
      <c r="D510" s="19" t="n">
        <f aca="false">a26_sh</f>
        <v>97.9860681630967</v>
      </c>
      <c r="E510" s="19" t="n">
        <f aca="false">D510*(1+sh_g)</f>
        <v>97.9860681630967</v>
      </c>
      <c r="F510" s="19" t="n">
        <f aca="false">E510*(1+sh_g)</f>
        <v>97.9860681630967</v>
      </c>
      <c r="G510" s="19" t="n">
        <f aca="false">F510*(1+sh_g)</f>
        <v>97.9860681630967</v>
      </c>
      <c r="H510" s="25" t="n">
        <f aca="false">G510*(1+sh_g)</f>
        <v>97.9860681630967</v>
      </c>
      <c r="I510" s="25" t="n">
        <f aca="false">H510*(1+sh_g)</f>
        <v>97.9860681630967</v>
      </c>
      <c r="J510" s="25" t="n">
        <f aca="false">I510*(1+sh_g)</f>
        <v>97.9860681630967</v>
      </c>
    </row>
    <row r="511" customFormat="false" ht="15" hidden="false" customHeight="false" outlineLevel="0" collapsed="false">
      <c r="A511" s="0" t="s">
        <v>423</v>
      </c>
      <c r="B511" s="0" t="s">
        <v>256</v>
      </c>
      <c r="C511" s="20" t="n">
        <f aca="false">a25_eps</f>
        <v>33.49</v>
      </c>
      <c r="D511" s="20" t="n">
        <f aca="false">a26_eps</f>
        <v>68.6959552317267</v>
      </c>
      <c r="E511" s="20" t="n">
        <f aca="false">E509/E510*1000</f>
        <v>91.1217713740815</v>
      </c>
      <c r="F511" s="20" t="n">
        <f aca="false">F509/F510*1000</f>
        <v>68.4950592095098</v>
      </c>
      <c r="G511" s="20" t="n">
        <f aca="false">G509/G510*1000</f>
        <v>82.5546073592811</v>
      </c>
      <c r="H511" s="28" t="n">
        <f aca="false">H509/H510*1000</f>
        <v>85.928724574083</v>
      </c>
      <c r="I511" s="28" t="n">
        <f aca="false">I509/I510*1000</f>
        <v>85.246124518713</v>
      </c>
      <c r="J511" s="28" t="n">
        <f aca="false">J509/J510*1000</f>
        <v>80.3840369553025</v>
      </c>
    </row>
    <row r="512" customFormat="false" ht="17.15" hidden="false" customHeight="false" outlineLevel="0" collapsed="false">
      <c r="A512" s="0" t="s">
        <v>514</v>
      </c>
      <c r="B512" s="0" t="s">
        <v>90</v>
      </c>
      <c r="D512" s="22" t="n">
        <f aca="false">D511/C511-1</f>
        <v>1.05123783910799</v>
      </c>
      <c r="E512" s="22" t="n">
        <f aca="false">E511/D511-1</f>
        <v>0.326450313802428</v>
      </c>
      <c r="F512" s="22" t="n">
        <f aca="false">F511/E511-1</f>
        <v>-0.248312909454783</v>
      </c>
      <c r="G512" s="22" t="n">
        <f aca="false">G511/F511-1</f>
        <v>0.205263683425203</v>
      </c>
      <c r="H512" s="26" t="n">
        <f aca="false">H511/G511-1</f>
        <v>0.0408713374423497</v>
      </c>
      <c r="I512" s="26" t="n">
        <f aca="false">I511/H511-1</f>
        <v>-0.00794379363540421</v>
      </c>
      <c r="J512" s="26" t="n">
        <f aca="false">J511/I511-1</f>
        <v>-0.0570358780632092</v>
      </c>
    </row>
    <row r="513" customFormat="false" ht="17.15" hidden="false" customHeight="false" outlineLevel="0" collapsed="false">
      <c r="A513" s="4" t="s">
        <v>515</v>
      </c>
      <c r="B513" s="0" t="s">
        <v>90</v>
      </c>
      <c r="C513" s="14" t="n">
        <f aca="false">C509/C499</f>
        <v>0.237721462211258</v>
      </c>
      <c r="D513" s="14" t="n">
        <f aca="false">D509/D499</f>
        <v>0.314376072488123</v>
      </c>
      <c r="E513" s="14" t="n">
        <f aca="false">E509/E499</f>
        <v>0.312436669587622</v>
      </c>
      <c r="F513" s="14" t="n">
        <f aca="false">F509/F499</f>
        <v>0.284438142100772</v>
      </c>
      <c r="G513" s="14" t="n">
        <f aca="false">G509/G499</f>
        <v>0.295296508476012</v>
      </c>
      <c r="H513" s="27" t="n">
        <f aca="false">$G513+(fade_mC-$G513)*1/3</f>
        <v>0.275920839398934</v>
      </c>
      <c r="I513" s="27" t="n">
        <f aca="false">$G513+(fade_mC-$G513)*2/3</f>
        <v>0.256545170321856</v>
      </c>
      <c r="J513" s="27" t="n">
        <f aca="false">$G513+(fade_mC-$G513)*3/3</f>
        <v>0.237169501244778</v>
      </c>
    </row>
    <row r="516" customFormat="false" ht="17.15" hidden="false" customHeight="false" outlineLevel="0" collapsed="false">
      <c r="A516" s="1" t="s">
        <v>817</v>
      </c>
    </row>
    <row r="517" customFormat="false" ht="17.15" hidden="false" customHeight="false" outlineLevel="0" collapsed="false">
      <c r="A517" s="5" t="s">
        <v>21</v>
      </c>
      <c r="B517" s="5" t="s">
        <v>22</v>
      </c>
      <c r="C517" s="15" t="s">
        <v>387</v>
      </c>
      <c r="D517" s="15" t="s">
        <v>468</v>
      </c>
      <c r="E517" s="15" t="s">
        <v>469</v>
      </c>
      <c r="F517" s="15" t="s">
        <v>470</v>
      </c>
      <c r="G517" s="15" t="s">
        <v>471</v>
      </c>
      <c r="H517" s="15" t="s">
        <v>472</v>
      </c>
      <c r="I517" s="15" t="s">
        <v>473</v>
      </c>
      <c r="J517" s="15" t="s">
        <v>474</v>
      </c>
      <c r="K517" s="5" t="s">
        <v>336</v>
      </c>
    </row>
    <row r="518" customFormat="false" ht="17.15" hidden="false" customHeight="false" outlineLevel="0" collapsed="false">
      <c r="A518" s="6" t="s">
        <v>492</v>
      </c>
    </row>
    <row r="519" customFormat="false" ht="17.15" hidden="false" customHeight="false" outlineLevel="0" collapsed="false">
      <c r="A519" s="0" t="s">
        <v>493</v>
      </c>
      <c r="B519" s="4" t="s">
        <v>32</v>
      </c>
      <c r="D519" s="20" t="n">
        <f aca="false">units_26</f>
        <v>15.2</v>
      </c>
      <c r="E519" s="20" t="n">
        <f aca="false">units_27*1</f>
        <v>23.7</v>
      </c>
      <c r="F519" s="20" t="n">
        <f aca="false">units_28*um28_A*1</f>
        <v>26.5</v>
      </c>
      <c r="G519" s="20" t="n">
        <f aca="false">units_29*um29_A*1</f>
        <v>30.15</v>
      </c>
    </row>
    <row r="520" customFormat="false" ht="17.15" hidden="false" customHeight="false" outlineLevel="0" collapsed="false">
      <c r="A520" s="4" t="s">
        <v>494</v>
      </c>
      <c r="B520" s="0" t="s">
        <v>45</v>
      </c>
      <c r="D520" s="18" t="n">
        <f aca="false">ex_nv*nvtt_26+astt_26</f>
        <v>0.607994</v>
      </c>
      <c r="E520" s="18" t="n">
        <f aca="false">ex_nv*nvtt_27+astt_27</f>
        <v>0.6560764</v>
      </c>
      <c r="F520" s="18" t="n">
        <f aca="false">ex_nv*nvtt_28+astt_28</f>
        <v>0.6898114</v>
      </c>
      <c r="G520" s="18" t="n">
        <f aca="false">ex_nv*nvtt_29+astt_29</f>
        <v>0.692935</v>
      </c>
      <c r="K520" s="8" t="s">
        <v>495</v>
      </c>
    </row>
    <row r="521" customFormat="false" ht="17.15" hidden="false" customHeight="false" outlineLevel="0" collapsed="false">
      <c r="A521" s="4" t="s">
        <v>447</v>
      </c>
      <c r="B521" s="0" t="s">
        <v>45</v>
      </c>
      <c r="D521" s="18" t="n">
        <f aca="false">D519*D520/($D519*$D520)</f>
        <v>1</v>
      </c>
      <c r="E521" s="18" t="n">
        <f aca="false">E519*E520/($D519*$D520)</f>
        <v>1.68251862509724</v>
      </c>
      <c r="F521" s="18" t="n">
        <f aca="false">F519*F520/($D519*$D520)</f>
        <v>1.97803221266207</v>
      </c>
      <c r="G521" s="18" t="n">
        <f aca="false">G519*G520/($D519*$D520)</f>
        <v>2.26066876114428</v>
      </c>
    </row>
    <row r="522" customFormat="false" ht="17.15" hidden="false" customHeight="false" outlineLevel="0" collapsed="false">
      <c r="A522" s="4" t="s">
        <v>496</v>
      </c>
      <c r="B522" s="0" t="s">
        <v>45</v>
      </c>
      <c r="D522" s="20" t="n">
        <f aca="false">1</f>
        <v>1</v>
      </c>
      <c r="E522" s="20" t="n">
        <f aca="false">rel27_A</f>
        <v>1.05</v>
      </c>
      <c r="F522" s="20" t="n">
        <f aca="false">rel28_A</f>
        <v>1.08</v>
      </c>
      <c r="G522" s="20" t="n">
        <f aca="false">rel29_A</f>
        <v>1.1</v>
      </c>
    </row>
    <row r="523" customFormat="false" ht="17.15" hidden="false" customHeight="false" outlineLevel="0" collapsed="false">
      <c r="A523" s="4" t="s">
        <v>497</v>
      </c>
      <c r="B523" s="0" t="s">
        <v>45</v>
      </c>
      <c r="D523" s="18" t="n">
        <f aca="false">1</f>
        <v>1</v>
      </c>
      <c r="E523" s="18" t="n">
        <f aca="false">(1+g_ct)^1</f>
        <v>1.05</v>
      </c>
      <c r="F523" s="18" t="n">
        <f aca="false">(1+g_ct)^2</f>
        <v>1.1025</v>
      </c>
      <c r="G523" s="18" t="n">
        <f aca="false">(1+g_ct)^3</f>
        <v>1.157625</v>
      </c>
    </row>
    <row r="524" customFormat="false" ht="17.15" hidden="false" customHeight="false" outlineLevel="0" collapsed="false">
      <c r="A524" s="6" t="s">
        <v>498</v>
      </c>
    </row>
    <row r="525" customFormat="false" ht="17.15" hidden="false" customHeight="false" outlineLevel="0" collapsed="false">
      <c r="A525" s="0" t="s">
        <v>401</v>
      </c>
      <c r="B525" s="0" t="s">
        <v>189</v>
      </c>
      <c r="C525" s="17" t="n">
        <f aca="false">a25_ai</f>
        <v>5.4297243</v>
      </c>
      <c r="D525" s="17" t="n">
        <f aca="false">a26_pc*ai_sh26_lo</f>
        <v>7.150680675</v>
      </c>
      <c r="E525" s="17" t="n">
        <f aca="false">$D525*E521*E522*E523</f>
        <v>13.2643466431359</v>
      </c>
      <c r="F525" s="17" t="n">
        <f aca="false">$D525*F521*F522*F523</f>
        <v>16.8415902876584</v>
      </c>
      <c r="G525" s="17" t="n">
        <f aca="false">$D525*G521*G522*G523</f>
        <v>20.5847169600036</v>
      </c>
      <c r="K525" s="8" t="s">
        <v>499</v>
      </c>
    </row>
    <row r="526" customFormat="false" ht="17.15" hidden="false" customHeight="false" outlineLevel="0" collapsed="false">
      <c r="A526" s="4" t="s">
        <v>404</v>
      </c>
      <c r="B526" s="0" t="s">
        <v>189</v>
      </c>
      <c r="C526" s="17" t="n">
        <f aca="false">a25_npc</f>
        <v>4.4425017</v>
      </c>
      <c r="D526" s="17" t="n">
        <f aca="false">a26_pc*(1-ai_sh26_lo)</f>
        <v>8.739720825</v>
      </c>
      <c r="E526" s="17" t="n">
        <f aca="false">D526*(1+g_nonai+d_npc)</f>
        <v>9.35150128275</v>
      </c>
      <c r="F526" s="17" t="n">
        <f aca="false">E526*(1+g_nonai+d_npc)</f>
        <v>10.0061063725425</v>
      </c>
      <c r="G526" s="17" t="n">
        <f aca="false">F526*(1+g_nonai+d_npc)</f>
        <v>10.7065338186205</v>
      </c>
      <c r="K526" s="4" t="s">
        <v>500</v>
      </c>
    </row>
    <row r="527" customFormat="false" ht="15" hidden="false" customHeight="false" outlineLevel="0" collapsed="false">
      <c r="A527" s="4" t="s">
        <v>398</v>
      </c>
      <c r="B527" s="0" t="s">
        <v>189</v>
      </c>
      <c r="C527" s="17" t="n">
        <f aca="false">C525+C526</f>
        <v>9.872226</v>
      </c>
      <c r="D527" s="17" t="n">
        <f aca="false">D525+D526</f>
        <v>15.8904015</v>
      </c>
      <c r="E527" s="17" t="n">
        <f aca="false">E525+E526</f>
        <v>22.6158479258859</v>
      </c>
      <c r="F527" s="17" t="n">
        <f aca="false">F525+F526</f>
        <v>26.8476966602009</v>
      </c>
      <c r="G527" s="17" t="n">
        <f aca="false">G525+G526</f>
        <v>31.2912507786241</v>
      </c>
    </row>
    <row r="528" customFormat="false" ht="17.15" hidden="false" customHeight="false" outlineLevel="0" collapsed="false">
      <c r="A528" s="0" t="s">
        <v>501</v>
      </c>
      <c r="B528" s="0" t="s">
        <v>189</v>
      </c>
      <c r="D528" s="17" t="n">
        <f aca="false">k_cpo*cpo_A_26/cpo_A_27</f>
        <v>0.24</v>
      </c>
      <c r="E528" s="17" t="n">
        <f aca="false">k_cpo*cpo_A_27/cpo_A_27</f>
        <v>1.2</v>
      </c>
      <c r="F528" s="17" t="n">
        <f aca="false">k_cpo*cpo_A_28/cpo_A_27</f>
        <v>2.4</v>
      </c>
      <c r="G528" s="17" t="n">
        <f aca="false">k_cpo*cpo_A_29/cpo_A_27</f>
        <v>3.84</v>
      </c>
      <c r="K528" s="8" t="s">
        <v>502</v>
      </c>
    </row>
    <row r="529" customFormat="false" ht="17.15" hidden="false" customHeight="false" outlineLevel="0" collapsed="false">
      <c r="A529" s="4" t="s">
        <v>503</v>
      </c>
      <c r="B529" s="0" t="s">
        <v>189</v>
      </c>
      <c r="C529" s="17" t="n">
        <f aca="false">a25_eq</f>
        <v>3.290742</v>
      </c>
      <c r="D529" s="17" t="n">
        <f aca="false">a26_eq-D528</f>
        <v>4.8539955</v>
      </c>
      <c r="E529" s="17" t="n">
        <f aca="false">D529*semi_27</f>
        <v>5.659593717153</v>
      </c>
      <c r="F529" s="17" t="n">
        <f aca="false">$E529*eqk28_A</f>
        <v>6.59889384801401</v>
      </c>
      <c r="G529" s="17" t="n">
        <f aca="false">$E529*eqk29_A</f>
        <v>7.12680377116889</v>
      </c>
      <c r="K529" s="8" t="s">
        <v>504</v>
      </c>
    </row>
    <row r="530" customFormat="false" ht="15" hidden="false" customHeight="false" outlineLevel="0" collapsed="false">
      <c r="A530" s="4" t="s">
        <v>405</v>
      </c>
      <c r="B530" s="0" t="s">
        <v>189</v>
      </c>
      <c r="C530" s="17" t="n">
        <f aca="false">a25_eq</f>
        <v>3.290742</v>
      </c>
      <c r="D530" s="17" t="n">
        <f aca="false">D528+D529</f>
        <v>5.0939955</v>
      </c>
      <c r="E530" s="17" t="n">
        <f aca="false">E528+E529</f>
        <v>6.859593717153</v>
      </c>
      <c r="F530" s="17" t="n">
        <f aca="false">F528+F529</f>
        <v>8.99889384801401</v>
      </c>
      <c r="G530" s="17" t="n">
        <f aca="false">G528+G529</f>
        <v>10.9668037711689</v>
      </c>
    </row>
    <row r="531" customFormat="false" ht="15" hidden="false" customHeight="false" outlineLevel="0" collapsed="false">
      <c r="A531" s="4" t="s">
        <v>407</v>
      </c>
      <c r="B531" s="0" t="s">
        <v>189</v>
      </c>
      <c r="C531" s="17" t="n">
        <f aca="false">a25_oth</f>
        <v>0.214032000000001</v>
      </c>
      <c r="D531" s="17" t="n">
        <f aca="false">a26_oth</f>
        <v>0.428253</v>
      </c>
      <c r="E531" s="17" t="n">
        <f aca="false">D531*(1+g_oth)</f>
        <v>0.44966565</v>
      </c>
      <c r="F531" s="17" t="n">
        <f aca="false">E531*(1+g_oth)</f>
        <v>0.4721489325</v>
      </c>
      <c r="G531" s="17" t="n">
        <f aca="false">F531*(1+g_oth)</f>
        <v>0.495756379125</v>
      </c>
    </row>
    <row r="532" customFormat="false" ht="17.15" hidden="false" customHeight="false" outlineLevel="0" collapsed="false">
      <c r="A532" s="4" t="s">
        <v>394</v>
      </c>
      <c r="B532" s="0" t="s">
        <v>189</v>
      </c>
      <c r="C532" s="17" t="n">
        <f aca="false">C527+C530+C531</f>
        <v>13.377</v>
      </c>
      <c r="D532" s="17" t="n">
        <f aca="false">D527+D530+D531</f>
        <v>21.41265</v>
      </c>
      <c r="E532" s="17" t="n">
        <f aca="false">E527+E530+E531</f>
        <v>29.9251072930389</v>
      </c>
      <c r="F532" s="17" t="n">
        <f aca="false">F527+F530+F531</f>
        <v>36.3187394407149</v>
      </c>
      <c r="G532" s="17" t="n">
        <f aca="false">G527+G530+G531</f>
        <v>42.753810928918</v>
      </c>
      <c r="H532" s="30" t="n">
        <f aca="false">G532*(1+H533)</f>
        <v>48.6590592984288</v>
      </c>
      <c r="I532" s="30" t="n">
        <f aca="false">H532*(1+I533)</f>
        <v>53.4792780684313</v>
      </c>
      <c r="J532" s="30" t="n">
        <f aca="false">I532*(1+J533)</f>
        <v>56.6880347525372</v>
      </c>
      <c r="K532" s="8" t="s">
        <v>505</v>
      </c>
    </row>
    <row r="533" customFormat="false" ht="15" hidden="false" customHeight="false" outlineLevel="0" collapsed="false">
      <c r="A533" s="4" t="s">
        <v>506</v>
      </c>
      <c r="B533" s="0" t="s">
        <v>90</v>
      </c>
      <c r="D533" s="22" t="n">
        <f aca="false">D532/C532-1</f>
        <v>0.600706436420722</v>
      </c>
      <c r="E533" s="22" t="n">
        <f aca="false">E532/D532-1</f>
        <v>0.397543381741118</v>
      </c>
      <c r="F533" s="22" t="n">
        <f aca="false">F532/E532-1</f>
        <v>0.213654443576991</v>
      </c>
      <c r="G533" s="22" t="n">
        <f aca="false">G532/F532-1</f>
        <v>0.177183227923078</v>
      </c>
      <c r="H533" s="26" t="n">
        <f aca="false">$G533+(fade_gA-$G533)*1/3</f>
        <v>0.138122151948719</v>
      </c>
      <c r="I533" s="26" t="n">
        <f aca="false">$G533+(fade_gA-$G533)*2/3</f>
        <v>0.0990610759743593</v>
      </c>
      <c r="J533" s="26" t="n">
        <f aca="false">$G533+(fade_gA-$G533)*3/3</f>
        <v>0.06</v>
      </c>
    </row>
    <row r="534" customFormat="false" ht="17.15" hidden="false" customHeight="false" outlineLevel="0" collapsed="false">
      <c r="A534" s="0" t="s">
        <v>507</v>
      </c>
      <c r="B534" s="0" t="s">
        <v>90</v>
      </c>
      <c r="C534" s="22" t="n">
        <f aca="false">C525/C532</f>
        <v>0.4059</v>
      </c>
      <c r="D534" s="22" t="n">
        <f aca="false">D525/D532</f>
        <v>0.333946553789466</v>
      </c>
      <c r="E534" s="22" t="n">
        <f aca="false">E525/E532</f>
        <v>0.44325143142332</v>
      </c>
      <c r="F534" s="22" t="n">
        <f aca="false">F525/F532</f>
        <v>0.463716267332182</v>
      </c>
      <c r="G534" s="22" t="n">
        <f aca="false">G525/G532</f>
        <v>0.481470926515242</v>
      </c>
    </row>
    <row r="535" customFormat="false" ht="17.15" hidden="false" customHeight="false" outlineLevel="0" collapsed="false">
      <c r="A535" s="4" t="s">
        <v>508</v>
      </c>
      <c r="B535" s="0" t="s">
        <v>90</v>
      </c>
      <c r="C535" s="22" t="n">
        <f aca="false">C527/C532</f>
        <v>0.738</v>
      </c>
      <c r="D535" s="22" t="n">
        <f aca="false">D527/D532</f>
        <v>0.742103452865479</v>
      </c>
      <c r="E535" s="22" t="n">
        <f aca="false">E527/E532</f>
        <v>0.755748265308534</v>
      </c>
      <c r="F535" s="22" t="n">
        <f aca="false">F527/F532</f>
        <v>0.739224352872321</v>
      </c>
      <c r="G535" s="22" t="n">
        <f aca="false">G527/G532</f>
        <v>0.731893838204238</v>
      </c>
    </row>
    <row r="536" customFormat="false" ht="17.15" hidden="false" customHeight="false" outlineLevel="0" collapsed="false">
      <c r="A536" s="6" t="s">
        <v>509</v>
      </c>
    </row>
    <row r="537" customFormat="false" ht="15" hidden="false" customHeight="false" outlineLevel="0" collapsed="false">
      <c r="A537" s="4" t="s">
        <v>412</v>
      </c>
      <c r="B537" s="0" t="s">
        <v>90</v>
      </c>
      <c r="C537" s="14" t="n">
        <f aca="false">a25_gp/a25_rev</f>
        <v>0.574</v>
      </c>
      <c r="D537" s="14" t="n">
        <f aca="false">a26_gp/a26_rev</f>
        <v>0.593344593032623</v>
      </c>
      <c r="E537" s="14" t="n">
        <f aca="false">gm27_A+gm_adj</f>
        <v>0.6</v>
      </c>
      <c r="F537" s="14" t="n">
        <f aca="false">gmL_A+gm_adj</f>
        <v>0.61</v>
      </c>
      <c r="G537" s="14" t="n">
        <f aca="false">gmL_A+gm_adj</f>
        <v>0.61</v>
      </c>
    </row>
    <row r="538" customFormat="false" ht="15" hidden="false" customHeight="false" outlineLevel="0" collapsed="false">
      <c r="A538" s="4" t="s">
        <v>409</v>
      </c>
      <c r="B538" s="0" t="s">
        <v>189</v>
      </c>
      <c r="C538" s="17" t="n">
        <f aca="false">C532*C537</f>
        <v>7.678398</v>
      </c>
      <c r="D538" s="17" t="n">
        <f aca="false">D532*D537</f>
        <v>12.7050801</v>
      </c>
      <c r="E538" s="17" t="n">
        <f aca="false">E532*E537</f>
        <v>17.9550643758234</v>
      </c>
      <c r="F538" s="17" t="n">
        <f aca="false">F532*F537</f>
        <v>22.1544310588361</v>
      </c>
      <c r="G538" s="17" t="n">
        <f aca="false">G532*G537</f>
        <v>26.07982466664</v>
      </c>
    </row>
    <row r="539" customFormat="false" ht="17.15" hidden="false" customHeight="false" outlineLevel="0" collapsed="false">
      <c r="A539" s="4" t="s">
        <v>510</v>
      </c>
      <c r="B539" s="0" t="s">
        <v>189</v>
      </c>
      <c r="D539" s="17" t="n">
        <f aca="false">a26_opx</f>
        <v>5.05564928556</v>
      </c>
      <c r="E539" s="17" t="n">
        <f aca="false">D539*(1+phi*E533)</f>
        <v>6.26155323388715</v>
      </c>
      <c r="F539" s="17" t="n">
        <f aca="false">E539*(1+phi*F533)</f>
        <v>7.06423843715547</v>
      </c>
      <c r="G539" s="17" t="n">
        <f aca="false">F539*(1+phi*G533)</f>
        <v>7.81523717862357</v>
      </c>
      <c r="K539" s="8" t="s">
        <v>511</v>
      </c>
    </row>
    <row r="540" customFormat="false" ht="15" hidden="false" customHeight="false" outlineLevel="0" collapsed="false">
      <c r="A540" s="4" t="s">
        <v>415</v>
      </c>
      <c r="B540" s="0" t="s">
        <v>189</v>
      </c>
      <c r="D540" s="17" t="n">
        <f aca="false">D538-D539</f>
        <v>7.64943081444</v>
      </c>
      <c r="E540" s="17" t="n">
        <f aca="false">E538-E539</f>
        <v>11.6935111419362</v>
      </c>
      <c r="F540" s="17" t="n">
        <f aca="false">F538-F539</f>
        <v>15.0901926216806</v>
      </c>
      <c r="G540" s="17" t="n">
        <f aca="false">G538-G539</f>
        <v>18.2645874880164</v>
      </c>
    </row>
    <row r="541" customFormat="false" ht="15" hidden="false" customHeight="false" outlineLevel="0" collapsed="false">
      <c r="A541" s="4" t="s">
        <v>482</v>
      </c>
      <c r="B541" s="0" t="s">
        <v>90</v>
      </c>
      <c r="D541" s="14" t="n">
        <f aca="false">D540/D532</f>
        <v>0.357238866484999</v>
      </c>
      <c r="E541" s="14" t="n">
        <f aca="false">E540/E532</f>
        <v>0.390759205219502</v>
      </c>
      <c r="F541" s="14" t="n">
        <f aca="false">F540/F532</f>
        <v>0.415493292279959</v>
      </c>
      <c r="G541" s="14" t="n">
        <f aca="false">G540/G532</f>
        <v>0.427203729706877</v>
      </c>
    </row>
    <row r="542" customFormat="false" ht="15" hidden="false" customHeight="false" outlineLevel="0" collapsed="false">
      <c r="A542" s="4" t="s">
        <v>418</v>
      </c>
      <c r="B542" s="0" t="s">
        <v>189</v>
      </c>
      <c r="C542" s="17" t="n">
        <f aca="false">a25_ni</f>
        <v>3.18</v>
      </c>
      <c r="D542" s="17" t="n">
        <f aca="false">a26_ni</f>
        <v>6.7316248085628</v>
      </c>
      <c r="E542" s="17" t="n">
        <f aca="false">E540*ni_oi</f>
        <v>9.93948447064578</v>
      </c>
      <c r="F542" s="17" t="n">
        <f aca="false">F540*ni_oi</f>
        <v>12.8266637284285</v>
      </c>
      <c r="G542" s="17" t="n">
        <f aca="false">G540*ni_oi</f>
        <v>15.524899364814</v>
      </c>
      <c r="H542" s="30" t="n">
        <f aca="false">H532*H546</f>
        <v>17.74124300733</v>
      </c>
      <c r="I542" s="30" t="n">
        <f aca="false">I532*I546</f>
        <v>19.5778542625821</v>
      </c>
      <c r="J542" s="30" t="n">
        <f aca="false">J532*J546</f>
        <v>20.8364188301898</v>
      </c>
    </row>
    <row r="543" customFormat="false" ht="15" hidden="false" customHeight="false" outlineLevel="0" collapsed="false">
      <c r="A543" s="4" t="s">
        <v>512</v>
      </c>
      <c r="B543" s="4" t="s">
        <v>513</v>
      </c>
      <c r="C543" s="19" t="n">
        <f aca="false">a25_sh</f>
        <v>94.9537175276202</v>
      </c>
      <c r="D543" s="19" t="n">
        <f aca="false">a26_sh</f>
        <v>97.9860681630967</v>
      </c>
      <c r="E543" s="19" t="n">
        <f aca="false">D543*(1+sh_g)</f>
        <v>97.9860681630967</v>
      </c>
      <c r="F543" s="19" t="n">
        <f aca="false">E543*(1+sh_g)</f>
        <v>97.9860681630967</v>
      </c>
      <c r="G543" s="19" t="n">
        <f aca="false">F543*(1+sh_g)</f>
        <v>97.9860681630967</v>
      </c>
      <c r="H543" s="25" t="n">
        <f aca="false">G543*(1+sh_g)</f>
        <v>97.9860681630967</v>
      </c>
      <c r="I543" s="25" t="n">
        <f aca="false">H543*(1+sh_g)</f>
        <v>97.9860681630967</v>
      </c>
      <c r="J543" s="25" t="n">
        <f aca="false">I543*(1+sh_g)</f>
        <v>97.9860681630967</v>
      </c>
    </row>
    <row r="544" customFormat="false" ht="15" hidden="false" customHeight="false" outlineLevel="0" collapsed="false">
      <c r="A544" s="0" t="s">
        <v>423</v>
      </c>
      <c r="B544" s="0" t="s">
        <v>256</v>
      </c>
      <c r="C544" s="20" t="n">
        <f aca="false">a25_eps</f>
        <v>33.49</v>
      </c>
      <c r="D544" s="20" t="n">
        <f aca="false">a26_eps</f>
        <v>68.6959552317267</v>
      </c>
      <c r="E544" s="20" t="n">
        <f aca="false">E542/E543*1000</f>
        <v>101.437731475271</v>
      </c>
      <c r="F544" s="20" t="n">
        <f aca="false">F542/F543*1000</f>
        <v>130.902933130031</v>
      </c>
      <c r="G544" s="20" t="n">
        <f aca="false">G542/G543*1000</f>
        <v>158.439864522097</v>
      </c>
      <c r="H544" s="28" t="n">
        <f aca="false">H542/H543*1000</f>
        <v>181.058831524905</v>
      </c>
      <c r="I544" s="28" t="n">
        <f aca="false">I542/I543*1000</f>
        <v>199.802427320535</v>
      </c>
      <c r="J544" s="28" t="n">
        <f aca="false">J542/J543*1000</f>
        <v>212.646748877686</v>
      </c>
    </row>
    <row r="545" customFormat="false" ht="17.15" hidden="false" customHeight="false" outlineLevel="0" collapsed="false">
      <c r="A545" s="0" t="s">
        <v>514</v>
      </c>
      <c r="B545" s="0" t="s">
        <v>90</v>
      </c>
      <c r="D545" s="22" t="n">
        <f aca="false">D544/C544-1</f>
        <v>1.05123783910799</v>
      </c>
      <c r="E545" s="22" t="n">
        <f aca="false">E544/D544-1</f>
        <v>0.476618690767145</v>
      </c>
      <c r="F545" s="22" t="n">
        <f aca="false">F544/E544-1</f>
        <v>0.290475755187249</v>
      </c>
      <c r="G545" s="22" t="n">
        <f aca="false">G544/F544-1</f>
        <v>0.210361454351153</v>
      </c>
      <c r="H545" s="26" t="n">
        <f aca="false">H544/G544-1</f>
        <v>0.142760580306191</v>
      </c>
      <c r="I545" s="26" t="n">
        <f aca="false">I544/H544-1</f>
        <v>0.103522129452445</v>
      </c>
      <c r="J545" s="26" t="n">
        <f aca="false">J544/I544-1</f>
        <v>0.0642851126955799</v>
      </c>
    </row>
    <row r="546" customFormat="false" ht="17.15" hidden="false" customHeight="false" outlineLevel="0" collapsed="false">
      <c r="A546" s="4" t="s">
        <v>515</v>
      </c>
      <c r="B546" s="0" t="s">
        <v>90</v>
      </c>
      <c r="C546" s="14" t="n">
        <f aca="false">C542/C532</f>
        <v>0.237721462211258</v>
      </c>
      <c r="D546" s="14" t="n">
        <f aca="false">D542/D532</f>
        <v>0.314376072488123</v>
      </c>
      <c r="E546" s="14" t="n">
        <f aca="false">E542/E532</f>
        <v>0.332145324436576</v>
      </c>
      <c r="F546" s="14" t="n">
        <f aca="false">F542/F532</f>
        <v>0.353169298437965</v>
      </c>
      <c r="G546" s="14" t="n">
        <f aca="false">G542/G532</f>
        <v>0.363123170250846</v>
      </c>
      <c r="H546" s="27" t="n">
        <f aca="false">$G546+(fade_mA-$G546)*1/3</f>
        <v>0.364603082409011</v>
      </c>
      <c r="I546" s="27" t="n">
        <f aca="false">$G546+(fade_mA-$G546)*2/3</f>
        <v>0.366082994567177</v>
      </c>
      <c r="J546" s="27" t="n">
        <f aca="false">$G546+(fade_mA-$G546)*3/3</f>
        <v>0.367562906725343</v>
      </c>
    </row>
    <row r="549" customFormat="false" ht="17.15" hidden="false" customHeight="false" outlineLevel="0" collapsed="false">
      <c r="A549" s="1" t="s">
        <v>818</v>
      </c>
    </row>
    <row r="550" customFormat="false" ht="17.15" hidden="false" customHeight="false" outlineLevel="0" collapsed="false">
      <c r="A550" s="5" t="s">
        <v>21</v>
      </c>
      <c r="B550" s="5" t="s">
        <v>22</v>
      </c>
      <c r="C550" s="15" t="s">
        <v>387</v>
      </c>
      <c r="D550" s="15" t="s">
        <v>468</v>
      </c>
      <c r="E550" s="15" t="s">
        <v>469</v>
      </c>
      <c r="F550" s="15" t="s">
        <v>470</v>
      </c>
      <c r="G550" s="15" t="s">
        <v>471</v>
      </c>
      <c r="H550" s="15" t="s">
        <v>472</v>
      </c>
      <c r="I550" s="15" t="s">
        <v>473</v>
      </c>
      <c r="J550" s="15" t="s">
        <v>474</v>
      </c>
      <c r="K550" s="5" t="s">
        <v>336</v>
      </c>
    </row>
    <row r="551" customFormat="false" ht="17.15" hidden="false" customHeight="false" outlineLevel="0" collapsed="false">
      <c r="A551" s="6" t="s">
        <v>492</v>
      </c>
    </row>
    <row r="552" customFormat="false" ht="17.15" hidden="false" customHeight="false" outlineLevel="0" collapsed="false">
      <c r="A552" s="0" t="s">
        <v>493</v>
      </c>
      <c r="B552" s="4" t="s">
        <v>32</v>
      </c>
      <c r="D552" s="20" t="n">
        <f aca="false">units_26</f>
        <v>15.2</v>
      </c>
      <c r="E552" s="20" t="n">
        <f aca="false">units_27*1</f>
        <v>23.7</v>
      </c>
      <c r="F552" s="20" t="n">
        <f aca="false">units_28*um28_B*1</f>
        <v>21.2</v>
      </c>
      <c r="G552" s="20" t="n">
        <f aca="false">units_29*um29_B*1</f>
        <v>25.6275</v>
      </c>
    </row>
    <row r="553" customFormat="false" ht="17.15" hidden="false" customHeight="false" outlineLevel="0" collapsed="false">
      <c r="A553" s="4" t="s">
        <v>494</v>
      </c>
      <c r="B553" s="0" t="s">
        <v>45</v>
      </c>
      <c r="D553" s="18" t="n">
        <f aca="false">ex_nv*nvtt_26+astt_26</f>
        <v>0.607994</v>
      </c>
      <c r="E553" s="18" t="n">
        <f aca="false">ex_nv*nvtt_27+astt_27</f>
        <v>0.6560764</v>
      </c>
      <c r="F553" s="18" t="n">
        <f aca="false">ex_nv*nvtt_28+astt_28</f>
        <v>0.6898114</v>
      </c>
      <c r="G553" s="18" t="n">
        <f aca="false">ex_nv*nvtt_29+astt_29</f>
        <v>0.692935</v>
      </c>
      <c r="K553" s="8" t="s">
        <v>495</v>
      </c>
    </row>
    <row r="554" customFormat="false" ht="17.15" hidden="false" customHeight="false" outlineLevel="0" collapsed="false">
      <c r="A554" s="4" t="s">
        <v>447</v>
      </c>
      <c r="B554" s="0" t="s">
        <v>45</v>
      </c>
      <c r="D554" s="18" t="n">
        <f aca="false">D552*D553/($D552*$D553)</f>
        <v>1</v>
      </c>
      <c r="E554" s="18" t="n">
        <f aca="false">E552*E553/($D552*$D553)</f>
        <v>1.68251862509724</v>
      </c>
      <c r="F554" s="18" t="n">
        <f aca="false">F552*F553/($D552*$D553)</f>
        <v>1.58242577012966</v>
      </c>
      <c r="G554" s="18" t="n">
        <f aca="false">G552*G553/($D552*$D553)</f>
        <v>1.92156844697264</v>
      </c>
    </row>
    <row r="555" customFormat="false" ht="17.15" hidden="false" customHeight="false" outlineLevel="0" collapsed="false">
      <c r="A555" s="4" t="s">
        <v>496</v>
      </c>
      <c r="B555" s="0" t="s">
        <v>45</v>
      </c>
      <c r="D555" s="20" t="n">
        <f aca="false">1</f>
        <v>1</v>
      </c>
      <c r="E555" s="20" t="n">
        <f aca="false">rel27_B</f>
        <v>1</v>
      </c>
      <c r="F555" s="20" t="n">
        <f aca="false">rel28_B</f>
        <v>1</v>
      </c>
      <c r="G555" s="20" t="n">
        <f aca="false">rel29_B</f>
        <v>1</v>
      </c>
    </row>
    <row r="556" customFormat="false" ht="17.15" hidden="false" customHeight="false" outlineLevel="0" collapsed="false">
      <c r="A556" s="4" t="s">
        <v>497</v>
      </c>
      <c r="B556" s="0" t="s">
        <v>45</v>
      </c>
      <c r="D556" s="18" t="n">
        <f aca="false">1</f>
        <v>1</v>
      </c>
      <c r="E556" s="18" t="n">
        <f aca="false">(1+g_ct)^1</f>
        <v>1.05</v>
      </c>
      <c r="F556" s="18" t="n">
        <f aca="false">(1+g_ct)^2</f>
        <v>1.1025</v>
      </c>
      <c r="G556" s="18" t="n">
        <f aca="false">(1+g_ct)^3</f>
        <v>1.157625</v>
      </c>
    </row>
    <row r="557" customFormat="false" ht="17.15" hidden="false" customHeight="false" outlineLevel="0" collapsed="false">
      <c r="A557" s="6" t="s">
        <v>498</v>
      </c>
    </row>
    <row r="558" customFormat="false" ht="17.15" hidden="false" customHeight="false" outlineLevel="0" collapsed="false">
      <c r="A558" s="0" t="s">
        <v>401</v>
      </c>
      <c r="B558" s="0" t="s">
        <v>189</v>
      </c>
      <c r="C558" s="17" t="n">
        <f aca="false">a25_ai</f>
        <v>5.4297243</v>
      </c>
      <c r="D558" s="17" t="n">
        <f aca="false">a26_pc*ai_sh26_lo</f>
        <v>7.150680675</v>
      </c>
      <c r="E558" s="17" t="n">
        <f aca="false">$D558*E554*E555*E556</f>
        <v>12.6327110887009</v>
      </c>
      <c r="F558" s="17" t="n">
        <f aca="false">$D558*F554*F555*F556</f>
        <v>12.4752520649322</v>
      </c>
      <c r="G558" s="17" t="n">
        <f aca="false">$D558*G554*G555*G556</f>
        <v>15.9063721963664</v>
      </c>
      <c r="K558" s="8" t="s">
        <v>499</v>
      </c>
    </row>
    <row r="559" customFormat="false" ht="17.15" hidden="false" customHeight="false" outlineLevel="0" collapsed="false">
      <c r="A559" s="4" t="s">
        <v>404</v>
      </c>
      <c r="B559" s="0" t="s">
        <v>189</v>
      </c>
      <c r="C559" s="17" t="n">
        <f aca="false">a25_npc</f>
        <v>4.4425017</v>
      </c>
      <c r="D559" s="17" t="n">
        <f aca="false">a26_pc*(1-ai_sh26_lo)</f>
        <v>8.739720825</v>
      </c>
      <c r="E559" s="17" t="n">
        <f aca="false">D559*(1+g_nonai+d_npc)</f>
        <v>9.35150128275</v>
      </c>
      <c r="F559" s="17" t="n">
        <f aca="false">E559*(1+g_nonai+d_npc)</f>
        <v>10.0061063725425</v>
      </c>
      <c r="G559" s="17" t="n">
        <f aca="false">F559*(1+g_nonai+d_npc)</f>
        <v>10.7065338186205</v>
      </c>
      <c r="K559" s="4" t="s">
        <v>500</v>
      </c>
    </row>
    <row r="560" customFormat="false" ht="15" hidden="false" customHeight="false" outlineLevel="0" collapsed="false">
      <c r="A560" s="4" t="s">
        <v>398</v>
      </c>
      <c r="B560" s="0" t="s">
        <v>189</v>
      </c>
      <c r="C560" s="17" t="n">
        <f aca="false">C558+C559</f>
        <v>9.872226</v>
      </c>
      <c r="D560" s="17" t="n">
        <f aca="false">D558+D559</f>
        <v>15.8904015</v>
      </c>
      <c r="E560" s="17" t="n">
        <f aca="false">E558+E559</f>
        <v>21.9842123714509</v>
      </c>
      <c r="F560" s="17" t="n">
        <f aca="false">F558+F559</f>
        <v>22.4813584374747</v>
      </c>
      <c r="G560" s="17" t="n">
        <f aca="false">G558+G559</f>
        <v>26.6129060149869</v>
      </c>
    </row>
    <row r="561" customFormat="false" ht="17.15" hidden="false" customHeight="false" outlineLevel="0" collapsed="false">
      <c r="A561" s="0" t="s">
        <v>501</v>
      </c>
      <c r="B561" s="0" t="s">
        <v>189</v>
      </c>
      <c r="D561" s="17" t="n">
        <f aca="false">k_cpo*cpo_A_26/cpo_A_27</f>
        <v>0.24</v>
      </c>
      <c r="E561" s="17" t="n">
        <f aca="false">k_cpo*cpo_B_27/cpo_A_27</f>
        <v>0.72</v>
      </c>
      <c r="F561" s="17" t="n">
        <f aca="false">k_cpo*cpo_B_28/cpo_A_27</f>
        <v>1.2</v>
      </c>
      <c r="G561" s="17" t="n">
        <f aca="false">k_cpo*cpo_B_29/cpo_A_27</f>
        <v>1.92</v>
      </c>
      <c r="K561" s="8" t="s">
        <v>502</v>
      </c>
    </row>
    <row r="562" customFormat="false" ht="17.15" hidden="false" customHeight="false" outlineLevel="0" collapsed="false">
      <c r="A562" s="4" t="s">
        <v>503</v>
      </c>
      <c r="B562" s="0" t="s">
        <v>189</v>
      </c>
      <c r="C562" s="17" t="n">
        <f aca="false">a25_eq</f>
        <v>3.290742</v>
      </c>
      <c r="D562" s="17" t="n">
        <f aca="false">a26_eq-D561</f>
        <v>4.8539955</v>
      </c>
      <c r="E562" s="17" t="n">
        <f aca="false">D562*semi_27</f>
        <v>5.659593717153</v>
      </c>
      <c r="F562" s="17" t="n">
        <f aca="false">$E562*eqk28_B</f>
        <v>5.659593717153</v>
      </c>
      <c r="G562" s="17" t="n">
        <f aca="false">$E562*eqk29_B</f>
        <v>5.37661403129535</v>
      </c>
      <c r="K562" s="8" t="s">
        <v>504</v>
      </c>
    </row>
    <row r="563" customFormat="false" ht="15" hidden="false" customHeight="false" outlineLevel="0" collapsed="false">
      <c r="A563" s="4" t="s">
        <v>405</v>
      </c>
      <c r="B563" s="0" t="s">
        <v>189</v>
      </c>
      <c r="C563" s="17" t="n">
        <f aca="false">a25_eq</f>
        <v>3.290742</v>
      </c>
      <c r="D563" s="17" t="n">
        <f aca="false">D561+D562</f>
        <v>5.0939955</v>
      </c>
      <c r="E563" s="17" t="n">
        <f aca="false">E561+E562</f>
        <v>6.379593717153</v>
      </c>
      <c r="F563" s="17" t="n">
        <f aca="false">F561+F562</f>
        <v>6.859593717153</v>
      </c>
      <c r="G563" s="17" t="n">
        <f aca="false">G561+G562</f>
        <v>7.29661403129535</v>
      </c>
    </row>
    <row r="564" customFormat="false" ht="15" hidden="false" customHeight="false" outlineLevel="0" collapsed="false">
      <c r="A564" s="4" t="s">
        <v>407</v>
      </c>
      <c r="B564" s="0" t="s">
        <v>189</v>
      </c>
      <c r="C564" s="17" t="n">
        <f aca="false">a25_oth</f>
        <v>0.214032000000001</v>
      </c>
      <c r="D564" s="17" t="n">
        <f aca="false">a26_oth</f>
        <v>0.428253</v>
      </c>
      <c r="E564" s="17" t="n">
        <f aca="false">D564*(1+g_oth)</f>
        <v>0.44966565</v>
      </c>
      <c r="F564" s="17" t="n">
        <f aca="false">E564*(1+g_oth)</f>
        <v>0.4721489325</v>
      </c>
      <c r="G564" s="17" t="n">
        <f aca="false">F564*(1+g_oth)</f>
        <v>0.495756379125</v>
      </c>
    </row>
    <row r="565" customFormat="false" ht="17.15" hidden="false" customHeight="false" outlineLevel="0" collapsed="false">
      <c r="A565" s="4" t="s">
        <v>394</v>
      </c>
      <c r="B565" s="0" t="s">
        <v>189</v>
      </c>
      <c r="C565" s="17" t="n">
        <f aca="false">C560+C563+C564</f>
        <v>13.377</v>
      </c>
      <c r="D565" s="17" t="n">
        <f aca="false">D560+D563+D564</f>
        <v>21.41265</v>
      </c>
      <c r="E565" s="17" t="n">
        <f aca="false">E560+E563+E564</f>
        <v>28.8134717386039</v>
      </c>
      <c r="F565" s="17" t="n">
        <f aca="false">F560+F563+F564</f>
        <v>29.8131010871277</v>
      </c>
      <c r="G565" s="17" t="n">
        <f aca="false">G560+G563+G564</f>
        <v>34.4052764254073</v>
      </c>
      <c r="H565" s="30" t="n">
        <f aca="false">G565*(1+H566)</f>
        <v>38.3970253563171</v>
      </c>
      <c r="I565" s="30" t="n">
        <f aca="false">H565*(1+I566)</f>
        <v>41.3924045129846</v>
      </c>
      <c r="J565" s="30" t="n">
        <f aca="false">I565*(1+J566)</f>
        <v>43.0481006935039</v>
      </c>
      <c r="K565" s="8" t="s">
        <v>505</v>
      </c>
    </row>
    <row r="566" customFormat="false" ht="15" hidden="false" customHeight="false" outlineLevel="0" collapsed="false">
      <c r="A566" s="4" t="s">
        <v>506</v>
      </c>
      <c r="B566" s="0" t="s">
        <v>90</v>
      </c>
      <c r="D566" s="22" t="n">
        <f aca="false">D565/C565-1</f>
        <v>0.600706436420722</v>
      </c>
      <c r="E566" s="22" t="n">
        <f aca="false">E565/D565-1</f>
        <v>0.34562848309779</v>
      </c>
      <c r="F566" s="22" t="n">
        <f aca="false">F565/E565-1</f>
        <v>0.0346931240217223</v>
      </c>
      <c r="G566" s="22" t="n">
        <f aca="false">G565/F565-1</f>
        <v>0.154032125838206</v>
      </c>
      <c r="H566" s="26" t="n">
        <f aca="false">$G566+(fade_gB-$G566)*1/3</f>
        <v>0.116021417225471</v>
      </c>
      <c r="I566" s="26" t="n">
        <f aca="false">$G566+(fade_gB-$G566)*2/3</f>
        <v>0.0780107086127354</v>
      </c>
      <c r="J566" s="26" t="n">
        <f aca="false">$G566+(fade_gB-$G566)*3/3</f>
        <v>0.04</v>
      </c>
    </row>
    <row r="567" customFormat="false" ht="17.15" hidden="false" customHeight="false" outlineLevel="0" collapsed="false">
      <c r="A567" s="0" t="s">
        <v>507</v>
      </c>
      <c r="B567" s="0" t="s">
        <v>90</v>
      </c>
      <c r="C567" s="22" t="n">
        <f aca="false">C558/C565</f>
        <v>0.4059</v>
      </c>
      <c r="D567" s="22" t="n">
        <f aca="false">D558/D565</f>
        <v>0.333946553789466</v>
      </c>
      <c r="E567" s="22" t="n">
        <f aca="false">E558/E565</f>
        <v>0.438430717523559</v>
      </c>
      <c r="F567" s="22" t="n">
        <f aca="false">F558/F565</f>
        <v>0.41844865545767</v>
      </c>
      <c r="G567" s="22" t="n">
        <f aca="false">G558/G565</f>
        <v>0.462323627332349</v>
      </c>
    </row>
    <row r="568" customFormat="false" ht="17.15" hidden="false" customHeight="false" outlineLevel="0" collapsed="false">
      <c r="A568" s="4" t="s">
        <v>508</v>
      </c>
      <c r="B568" s="0" t="s">
        <v>90</v>
      </c>
      <c r="C568" s="22" t="n">
        <f aca="false">C560/C565</f>
        <v>0.738</v>
      </c>
      <c r="D568" s="22" t="n">
        <f aca="false">D560/D565</f>
        <v>0.742103452865479</v>
      </c>
      <c r="E568" s="22" t="n">
        <f aca="false">E560/E565</f>
        <v>0.762983807397175</v>
      </c>
      <c r="F568" s="22" t="n">
        <f aca="false">F560/F565</f>
        <v>0.75407648375034</v>
      </c>
      <c r="G568" s="22" t="n">
        <f aca="false">G560/G565</f>
        <v>0.773512344034942</v>
      </c>
    </row>
    <row r="569" customFormat="false" ht="17.15" hidden="false" customHeight="false" outlineLevel="0" collapsed="false">
      <c r="A569" s="6" t="s">
        <v>509</v>
      </c>
    </row>
    <row r="570" customFormat="false" ht="15" hidden="false" customHeight="false" outlineLevel="0" collapsed="false">
      <c r="A570" s="4" t="s">
        <v>412</v>
      </c>
      <c r="B570" s="0" t="s">
        <v>90</v>
      </c>
      <c r="C570" s="14" t="n">
        <f aca="false">a25_gp/a25_rev</f>
        <v>0.574</v>
      </c>
      <c r="D570" s="14" t="n">
        <f aca="false">a26_gp/a26_rev</f>
        <v>0.593344593032623</v>
      </c>
      <c r="E570" s="14" t="n">
        <f aca="false">gm27_B+gm_adj</f>
        <v>0.595</v>
      </c>
      <c r="F570" s="14" t="n">
        <f aca="false">gmL_B+gm_adj</f>
        <v>0.595</v>
      </c>
      <c r="G570" s="14" t="n">
        <f aca="false">gmL_B+gm_adj</f>
        <v>0.595</v>
      </c>
    </row>
    <row r="571" customFormat="false" ht="15" hidden="false" customHeight="false" outlineLevel="0" collapsed="false">
      <c r="A571" s="4" t="s">
        <v>409</v>
      </c>
      <c r="B571" s="0" t="s">
        <v>189</v>
      </c>
      <c r="C571" s="17" t="n">
        <f aca="false">C565*C570</f>
        <v>7.678398</v>
      </c>
      <c r="D571" s="17" t="n">
        <f aca="false">D565*D570</f>
        <v>12.7050801</v>
      </c>
      <c r="E571" s="17" t="n">
        <f aca="false">E565*E570</f>
        <v>17.1440156844693</v>
      </c>
      <c r="F571" s="17" t="n">
        <f aca="false">F565*F570</f>
        <v>17.738795146841</v>
      </c>
      <c r="G571" s="17" t="n">
        <f aca="false">G565*G570</f>
        <v>20.4711394731173</v>
      </c>
    </row>
    <row r="572" customFormat="false" ht="17.15" hidden="false" customHeight="false" outlineLevel="0" collapsed="false">
      <c r="A572" s="4" t="s">
        <v>510</v>
      </c>
      <c r="B572" s="0" t="s">
        <v>189</v>
      </c>
      <c r="D572" s="17" t="n">
        <f aca="false">a26_opx</f>
        <v>5.05564928556</v>
      </c>
      <c r="E572" s="17" t="n">
        <f aca="false">D572*(1+phi*E566)</f>
        <v>6.10407512174552</v>
      </c>
      <c r="F572" s="17" t="n">
        <f aca="false">E572*(1+phi*F566)</f>
        <v>6.23113678288749</v>
      </c>
      <c r="G572" s="17" t="n">
        <f aca="false">F572*(1+phi*G566)</f>
        <v>6.80701392992157</v>
      </c>
      <c r="K572" s="8" t="s">
        <v>511</v>
      </c>
    </row>
    <row r="573" customFormat="false" ht="15" hidden="false" customHeight="false" outlineLevel="0" collapsed="false">
      <c r="A573" s="4" t="s">
        <v>415</v>
      </c>
      <c r="B573" s="0" t="s">
        <v>189</v>
      </c>
      <c r="D573" s="17" t="n">
        <f aca="false">D571-D572</f>
        <v>7.64943081444</v>
      </c>
      <c r="E573" s="17" t="n">
        <f aca="false">E571-E572</f>
        <v>11.0399405627238</v>
      </c>
      <c r="F573" s="17" t="n">
        <f aca="false">F571-F572</f>
        <v>11.5076583639535</v>
      </c>
      <c r="G573" s="17" t="n">
        <f aca="false">G571-G572</f>
        <v>13.6641255431957</v>
      </c>
    </row>
    <row r="574" customFormat="false" ht="15" hidden="false" customHeight="false" outlineLevel="0" collapsed="false">
      <c r="A574" s="4" t="s">
        <v>482</v>
      </c>
      <c r="B574" s="0" t="s">
        <v>90</v>
      </c>
      <c r="D574" s="14" t="n">
        <f aca="false">D573/D565</f>
        <v>0.357238866484999</v>
      </c>
      <c r="E574" s="14" t="n">
        <f aca="false">E573/E565</f>
        <v>0.383152043005378</v>
      </c>
      <c r="F574" s="14" t="n">
        <f aca="false">F573/F565</f>
        <v>0.385993336631529</v>
      </c>
      <c r="G574" s="14" t="n">
        <f aca="false">G573/G565</f>
        <v>0.39715203488687</v>
      </c>
    </row>
    <row r="575" customFormat="false" ht="15" hidden="false" customHeight="false" outlineLevel="0" collapsed="false">
      <c r="A575" s="4" t="s">
        <v>418</v>
      </c>
      <c r="B575" s="0" t="s">
        <v>189</v>
      </c>
      <c r="C575" s="17" t="n">
        <f aca="false">a25_ni</f>
        <v>3.18</v>
      </c>
      <c r="D575" s="17" t="n">
        <f aca="false">a26_ni</f>
        <v>6.7316248085628</v>
      </c>
      <c r="E575" s="17" t="n">
        <f aca="false">E573*ni_oi</f>
        <v>9.38394947831523</v>
      </c>
      <c r="F575" s="17" t="n">
        <f aca="false">F573*ni_oi</f>
        <v>9.78150960936045</v>
      </c>
      <c r="G575" s="17" t="n">
        <f aca="false">G573*ni_oi</f>
        <v>11.6145067117164</v>
      </c>
      <c r="H575" s="30" t="n">
        <f aca="false">H565*H579</f>
        <v>12.5719732791374</v>
      </c>
      <c r="I575" s="30" t="n">
        <f aca="false">I565*I579</f>
        <v>13.132227617593</v>
      </c>
      <c r="J575" s="30" t="n">
        <f aca="false">J565*J579</f>
        <v>13.2202027483582</v>
      </c>
    </row>
    <row r="576" customFormat="false" ht="15" hidden="false" customHeight="false" outlineLevel="0" collapsed="false">
      <c r="A576" s="4" t="s">
        <v>512</v>
      </c>
      <c r="B576" s="4" t="s">
        <v>513</v>
      </c>
      <c r="C576" s="19" t="n">
        <f aca="false">a25_sh</f>
        <v>94.9537175276202</v>
      </c>
      <c r="D576" s="19" t="n">
        <f aca="false">a26_sh</f>
        <v>97.9860681630967</v>
      </c>
      <c r="E576" s="19" t="n">
        <f aca="false">D576*(1+sh_g)</f>
        <v>97.9860681630967</v>
      </c>
      <c r="F576" s="19" t="n">
        <f aca="false">E576*(1+sh_g)</f>
        <v>97.9860681630967</v>
      </c>
      <c r="G576" s="19" t="n">
        <f aca="false">F576*(1+sh_g)</f>
        <v>97.9860681630967</v>
      </c>
      <c r="H576" s="25" t="n">
        <f aca="false">G576*(1+sh_g)</f>
        <v>97.9860681630967</v>
      </c>
      <c r="I576" s="25" t="n">
        <f aca="false">H576*(1+sh_g)</f>
        <v>97.9860681630967</v>
      </c>
      <c r="J576" s="25" t="n">
        <f aca="false">I576*(1+sh_g)</f>
        <v>97.9860681630967</v>
      </c>
    </row>
    <row r="577" customFormat="false" ht="15" hidden="false" customHeight="false" outlineLevel="0" collapsed="false">
      <c r="A577" s="0" t="s">
        <v>423</v>
      </c>
      <c r="B577" s="0" t="s">
        <v>256</v>
      </c>
      <c r="C577" s="20" t="n">
        <f aca="false">a25_eps</f>
        <v>33.49</v>
      </c>
      <c r="D577" s="20" t="n">
        <f aca="false">a26_eps</f>
        <v>68.6959552317267</v>
      </c>
      <c r="E577" s="20" t="n">
        <f aca="false">E575/E576*1000</f>
        <v>95.7682010742155</v>
      </c>
      <c r="F577" s="20" t="n">
        <f aca="false">F575/F576*1000</f>
        <v>99.8255138993764</v>
      </c>
      <c r="G577" s="20" t="n">
        <f aca="false">G575/G576*1000</f>
        <v>118.532225340282</v>
      </c>
      <c r="H577" s="28" t="n">
        <f aca="false">H575/H576*1000</f>
        <v>128.303681480631</v>
      </c>
      <c r="I577" s="28" t="n">
        <f aca="false">I575/I576*1000</f>
        <v>134.021375321792</v>
      </c>
      <c r="J577" s="28" t="n">
        <f aca="false">J575/J576*1000</f>
        <v>134.919208375147</v>
      </c>
    </row>
    <row r="578" customFormat="false" ht="17.15" hidden="false" customHeight="false" outlineLevel="0" collapsed="false">
      <c r="A578" s="0" t="s">
        <v>514</v>
      </c>
      <c r="B578" s="0" t="s">
        <v>90</v>
      </c>
      <c r="D578" s="22" t="n">
        <f aca="false">D577/C577-1</f>
        <v>1.05123783910799</v>
      </c>
      <c r="E578" s="22" t="n">
        <f aca="false">E577/D577-1</f>
        <v>0.394087916110462</v>
      </c>
      <c r="F578" s="22" t="n">
        <f aca="false">F577/E577-1</f>
        <v>0.0423659709553974</v>
      </c>
      <c r="G578" s="22" t="n">
        <f aca="false">G577/F577-1</f>
        <v>0.187394091051329</v>
      </c>
      <c r="H578" s="26" t="n">
        <f aca="false">H577/G577-1</f>
        <v>0.0824371272225541</v>
      </c>
      <c r="I578" s="26" t="n">
        <f aca="false">I577/H577-1</f>
        <v>0.0445637551095821</v>
      </c>
      <c r="J578" s="26" t="n">
        <f aca="false">J577/I577-1</f>
        <v>0.0066991780318566</v>
      </c>
    </row>
    <row r="579" customFormat="false" ht="17.15" hidden="false" customHeight="false" outlineLevel="0" collapsed="false">
      <c r="A579" s="4" t="s">
        <v>515</v>
      </c>
      <c r="B579" s="0" t="s">
        <v>90</v>
      </c>
      <c r="C579" s="14" t="n">
        <f aca="false">C575/C565</f>
        <v>0.237721462211258</v>
      </c>
      <c r="D579" s="14" t="n">
        <f aca="false">D575/D565</f>
        <v>0.314376072488123</v>
      </c>
      <c r="E579" s="14" t="n">
        <f aca="false">E575/E565</f>
        <v>0.325679236554571</v>
      </c>
      <c r="F579" s="14" t="n">
        <f aca="false">F575/F565</f>
        <v>0.3280943361368</v>
      </c>
      <c r="G579" s="14" t="n">
        <f aca="false">G575/G565</f>
        <v>0.337579229653839</v>
      </c>
      <c r="H579" s="27" t="n">
        <f aca="false">$G579+(fade_mB-$G579)*1/3</f>
        <v>0.327420501001623</v>
      </c>
      <c r="I579" s="27" t="n">
        <f aca="false">$G579+(fade_mB-$G579)*2/3</f>
        <v>0.317261772349406</v>
      </c>
      <c r="J579" s="27" t="n">
        <f aca="false">$G579+(fade_mB-$G579)*3/3</f>
        <v>0.30710304369719</v>
      </c>
    </row>
    <row r="582" customFormat="false" ht="17.15" hidden="false" customHeight="false" outlineLevel="0" collapsed="false">
      <c r="A582" s="1" t="s">
        <v>819</v>
      </c>
    </row>
    <row r="583" customFormat="false" ht="17.15" hidden="false" customHeight="false" outlineLevel="0" collapsed="false">
      <c r="A583" s="5" t="s">
        <v>21</v>
      </c>
      <c r="B583" s="5" t="s">
        <v>22</v>
      </c>
      <c r="C583" s="15" t="s">
        <v>387</v>
      </c>
      <c r="D583" s="15" t="s">
        <v>468</v>
      </c>
      <c r="E583" s="15" t="s">
        <v>469</v>
      </c>
      <c r="F583" s="15" t="s">
        <v>470</v>
      </c>
      <c r="G583" s="15" t="s">
        <v>471</v>
      </c>
      <c r="H583" s="15" t="s">
        <v>472</v>
      </c>
      <c r="I583" s="15" t="s">
        <v>473</v>
      </c>
      <c r="J583" s="15" t="s">
        <v>474</v>
      </c>
      <c r="K583" s="5" t="s">
        <v>336</v>
      </c>
    </row>
    <row r="584" customFormat="false" ht="17.15" hidden="false" customHeight="false" outlineLevel="0" collapsed="false">
      <c r="A584" s="6" t="s">
        <v>492</v>
      </c>
    </row>
    <row r="585" customFormat="false" ht="17.15" hidden="false" customHeight="false" outlineLevel="0" collapsed="false">
      <c r="A585" s="0" t="s">
        <v>493</v>
      </c>
      <c r="B585" s="4" t="s">
        <v>32</v>
      </c>
      <c r="D585" s="20" t="n">
        <f aca="false">units_26</f>
        <v>15.2</v>
      </c>
      <c r="E585" s="20" t="n">
        <f aca="false">units_27*1</f>
        <v>23.7</v>
      </c>
      <c r="F585" s="20" t="n">
        <f aca="false">units_28*um28_C*1</f>
        <v>15.9</v>
      </c>
      <c r="G585" s="20" t="n">
        <f aca="false">units_29*um29_C*1</f>
        <v>18.09</v>
      </c>
    </row>
    <row r="586" customFormat="false" ht="17.15" hidden="false" customHeight="false" outlineLevel="0" collapsed="false">
      <c r="A586" s="4" t="s">
        <v>494</v>
      </c>
      <c r="B586" s="0" t="s">
        <v>45</v>
      </c>
      <c r="D586" s="18" t="n">
        <f aca="false">ex_nv*nvtt_26+astt_26</f>
        <v>0.607994</v>
      </c>
      <c r="E586" s="18" t="n">
        <f aca="false">ex_nv*nvtt_27+astt_27</f>
        <v>0.6560764</v>
      </c>
      <c r="F586" s="18" t="n">
        <f aca="false">ex_nv*nvtt_28+astt_28</f>
        <v>0.6898114</v>
      </c>
      <c r="G586" s="18" t="n">
        <f aca="false">ex_nv*nvtt_29+astt_29</f>
        <v>0.692935</v>
      </c>
      <c r="K586" s="8" t="s">
        <v>495</v>
      </c>
    </row>
    <row r="587" customFormat="false" ht="17.15" hidden="false" customHeight="false" outlineLevel="0" collapsed="false">
      <c r="A587" s="4" t="s">
        <v>447</v>
      </c>
      <c r="B587" s="0" t="s">
        <v>45</v>
      </c>
      <c r="D587" s="18" t="n">
        <f aca="false">D585*D586/($D585*$D586)</f>
        <v>1</v>
      </c>
      <c r="E587" s="18" t="n">
        <f aca="false">E585*E586/($D585*$D586)</f>
        <v>1.68251862509724</v>
      </c>
      <c r="F587" s="18" t="n">
        <f aca="false">F585*F586/($D585*$D586)</f>
        <v>1.18681932759724</v>
      </c>
      <c r="G587" s="18" t="n">
        <f aca="false">G585*G586/($D585*$D586)</f>
        <v>1.35640125668657</v>
      </c>
    </row>
    <row r="588" customFormat="false" ht="17.15" hidden="false" customHeight="false" outlineLevel="0" collapsed="false">
      <c r="A588" s="4" t="s">
        <v>496</v>
      </c>
      <c r="B588" s="0" t="s">
        <v>45</v>
      </c>
      <c r="D588" s="20" t="n">
        <f aca="false">1</f>
        <v>1</v>
      </c>
      <c r="E588" s="20" t="n">
        <f aca="false">rel27_C</f>
        <v>0.92</v>
      </c>
      <c r="F588" s="20" t="n">
        <f aca="false">rel28_C</f>
        <v>0.88</v>
      </c>
      <c r="G588" s="20" t="n">
        <f aca="false">rel29_C</f>
        <v>0.85</v>
      </c>
    </row>
    <row r="589" customFormat="false" ht="17.15" hidden="false" customHeight="false" outlineLevel="0" collapsed="false">
      <c r="A589" s="4" t="s">
        <v>497</v>
      </c>
      <c r="B589" s="0" t="s">
        <v>45</v>
      </c>
      <c r="D589" s="18" t="n">
        <f aca="false">1</f>
        <v>1</v>
      </c>
      <c r="E589" s="18" t="n">
        <f aca="false">(1+g_ct)^1</f>
        <v>1.05</v>
      </c>
      <c r="F589" s="18" t="n">
        <f aca="false">(1+g_ct)^2</f>
        <v>1.1025</v>
      </c>
      <c r="G589" s="18" t="n">
        <f aca="false">(1+g_ct)^3</f>
        <v>1.157625</v>
      </c>
    </row>
    <row r="590" customFormat="false" ht="17.15" hidden="false" customHeight="false" outlineLevel="0" collapsed="false">
      <c r="A590" s="6" t="s">
        <v>498</v>
      </c>
    </row>
    <row r="591" customFormat="false" ht="17.15" hidden="false" customHeight="false" outlineLevel="0" collapsed="false">
      <c r="A591" s="0" t="s">
        <v>401</v>
      </c>
      <c r="B591" s="0" t="s">
        <v>189</v>
      </c>
      <c r="C591" s="17" t="n">
        <f aca="false">a25_ai</f>
        <v>5.4297243</v>
      </c>
      <c r="D591" s="17" t="n">
        <f aca="false">a26_pc*ai_sh26_lo</f>
        <v>7.150680675</v>
      </c>
      <c r="E591" s="17" t="n">
        <f aca="false">$D591*E587*E588*E589</f>
        <v>11.6220942016048</v>
      </c>
      <c r="F591" s="17" t="n">
        <f aca="false">$D591*F587*F588*F589</f>
        <v>8.23366636285522</v>
      </c>
      <c r="G591" s="17" t="n">
        <f aca="false">$D591*G587*G588*G589</f>
        <v>9.54382331781987</v>
      </c>
      <c r="K591" s="8" t="s">
        <v>499</v>
      </c>
    </row>
    <row r="592" customFormat="false" ht="17.15" hidden="false" customHeight="false" outlineLevel="0" collapsed="false">
      <c r="A592" s="4" t="s">
        <v>404</v>
      </c>
      <c r="B592" s="0" t="s">
        <v>189</v>
      </c>
      <c r="C592" s="17" t="n">
        <f aca="false">a25_npc</f>
        <v>4.4425017</v>
      </c>
      <c r="D592" s="17" t="n">
        <f aca="false">a26_pc*(1-ai_sh26_lo)</f>
        <v>8.739720825</v>
      </c>
      <c r="E592" s="17" t="n">
        <f aca="false">D592*(1+g_nonai+d_npc)</f>
        <v>9.35150128275</v>
      </c>
      <c r="F592" s="17" t="n">
        <f aca="false">E592*(1+g_nonai+d_npc)</f>
        <v>10.0061063725425</v>
      </c>
      <c r="G592" s="17" t="n">
        <f aca="false">F592*(1+g_nonai+d_npc)</f>
        <v>10.7065338186205</v>
      </c>
      <c r="K592" s="4" t="s">
        <v>500</v>
      </c>
    </row>
    <row r="593" customFormat="false" ht="15" hidden="false" customHeight="false" outlineLevel="0" collapsed="false">
      <c r="A593" s="4" t="s">
        <v>398</v>
      </c>
      <c r="B593" s="0" t="s">
        <v>189</v>
      </c>
      <c r="C593" s="17" t="n">
        <f aca="false">C591+C592</f>
        <v>9.872226</v>
      </c>
      <c r="D593" s="17" t="n">
        <f aca="false">D591+D592</f>
        <v>15.8904015</v>
      </c>
      <c r="E593" s="17" t="n">
        <f aca="false">E591+E592</f>
        <v>20.9735954843548</v>
      </c>
      <c r="F593" s="17" t="n">
        <f aca="false">F591+F592</f>
        <v>18.2397727353977</v>
      </c>
      <c r="G593" s="17" t="n">
        <f aca="false">G591+G592</f>
        <v>20.2503571364403</v>
      </c>
    </row>
    <row r="594" customFormat="false" ht="17.15" hidden="false" customHeight="false" outlineLevel="0" collapsed="false">
      <c r="A594" s="0" t="s">
        <v>501</v>
      </c>
      <c r="B594" s="0" t="s">
        <v>189</v>
      </c>
      <c r="D594" s="17" t="n">
        <f aca="false">k_cpo*cpo_A_26/cpo_A_27</f>
        <v>0.24</v>
      </c>
      <c r="E594" s="17" t="n">
        <f aca="false">k_cpo*cpo_C_27/cpo_A_27</f>
        <v>0.48</v>
      </c>
      <c r="F594" s="17" t="n">
        <f aca="false">k_cpo*cpo_C_28/cpo_A_27</f>
        <v>0.72</v>
      </c>
      <c r="G594" s="17" t="n">
        <f aca="false">k_cpo*cpo_C_29/cpo_A_27</f>
        <v>1.2</v>
      </c>
      <c r="K594" s="8" t="s">
        <v>502</v>
      </c>
    </row>
    <row r="595" customFormat="false" ht="17.15" hidden="false" customHeight="false" outlineLevel="0" collapsed="false">
      <c r="A595" s="4" t="s">
        <v>503</v>
      </c>
      <c r="B595" s="0" t="s">
        <v>189</v>
      </c>
      <c r="C595" s="17" t="n">
        <f aca="false">a25_eq</f>
        <v>3.290742</v>
      </c>
      <c r="D595" s="17" t="n">
        <f aca="false">a26_eq-D594</f>
        <v>4.8539955</v>
      </c>
      <c r="E595" s="17" t="n">
        <f aca="false">D595*semi_27</f>
        <v>5.659593717153</v>
      </c>
      <c r="F595" s="17" t="n">
        <f aca="false">$E595*eqk28_C</f>
        <v>4.5276749737224</v>
      </c>
      <c r="G595" s="17" t="n">
        <f aca="false">$E595*eqk29_C</f>
        <v>5.659593717153</v>
      </c>
      <c r="K595" s="8" t="s">
        <v>504</v>
      </c>
    </row>
    <row r="596" customFormat="false" ht="15" hidden="false" customHeight="false" outlineLevel="0" collapsed="false">
      <c r="A596" s="4" t="s">
        <v>405</v>
      </c>
      <c r="B596" s="0" t="s">
        <v>189</v>
      </c>
      <c r="C596" s="17" t="n">
        <f aca="false">a25_eq</f>
        <v>3.290742</v>
      </c>
      <c r="D596" s="17" t="n">
        <f aca="false">D594+D595</f>
        <v>5.0939955</v>
      </c>
      <c r="E596" s="17" t="n">
        <f aca="false">E594+E595</f>
        <v>6.139593717153</v>
      </c>
      <c r="F596" s="17" t="n">
        <f aca="false">F594+F595</f>
        <v>5.2476749737224</v>
      </c>
      <c r="G596" s="17" t="n">
        <f aca="false">G594+G595</f>
        <v>6.859593717153</v>
      </c>
    </row>
    <row r="597" customFormat="false" ht="15" hidden="false" customHeight="false" outlineLevel="0" collapsed="false">
      <c r="A597" s="4" t="s">
        <v>407</v>
      </c>
      <c r="B597" s="0" t="s">
        <v>189</v>
      </c>
      <c r="C597" s="17" t="n">
        <f aca="false">a25_oth</f>
        <v>0.214032000000001</v>
      </c>
      <c r="D597" s="17" t="n">
        <f aca="false">a26_oth</f>
        <v>0.428253</v>
      </c>
      <c r="E597" s="17" t="n">
        <f aca="false">D597*(1+g_oth)</f>
        <v>0.44966565</v>
      </c>
      <c r="F597" s="17" t="n">
        <f aca="false">E597*(1+g_oth)</f>
        <v>0.4721489325</v>
      </c>
      <c r="G597" s="17" t="n">
        <f aca="false">F597*(1+g_oth)</f>
        <v>0.495756379125</v>
      </c>
    </row>
    <row r="598" customFormat="false" ht="17.15" hidden="false" customHeight="false" outlineLevel="0" collapsed="false">
      <c r="A598" s="4" t="s">
        <v>394</v>
      </c>
      <c r="B598" s="0" t="s">
        <v>189</v>
      </c>
      <c r="C598" s="17" t="n">
        <f aca="false">C593+C596+C597</f>
        <v>13.377</v>
      </c>
      <c r="D598" s="17" t="n">
        <f aca="false">D593+D596+D597</f>
        <v>21.41265</v>
      </c>
      <c r="E598" s="17" t="n">
        <f aca="false">E593+E596+E597</f>
        <v>27.5628548515078</v>
      </c>
      <c r="F598" s="17" t="n">
        <f aca="false">F593+F596+F597</f>
        <v>23.9595966416201</v>
      </c>
      <c r="G598" s="17" t="n">
        <f aca="false">G593+G596+G597</f>
        <v>27.6057072327183</v>
      </c>
      <c r="H598" s="30" t="n">
        <f aca="false">G598*(1+H599)</f>
        <v>30.5903895772912</v>
      </c>
      <c r="I598" s="30" t="n">
        <f aca="false">H598*(1+I599)</f>
        <v>32.5499840471773</v>
      </c>
      <c r="J598" s="30" t="n">
        <f aca="false">I598*(1+J599)</f>
        <v>33.2009837281208</v>
      </c>
      <c r="K598" s="8" t="s">
        <v>505</v>
      </c>
    </row>
    <row r="599" customFormat="false" ht="15" hidden="false" customHeight="false" outlineLevel="0" collapsed="false">
      <c r="A599" s="4" t="s">
        <v>506</v>
      </c>
      <c r="B599" s="0" t="s">
        <v>90</v>
      </c>
      <c r="D599" s="22" t="n">
        <f aca="false">D598/C598-1</f>
        <v>0.600706436420722</v>
      </c>
      <c r="E599" s="22" t="n">
        <f aca="false">E598/D598-1</f>
        <v>0.287222966401068</v>
      </c>
      <c r="F599" s="22" t="n">
        <f aca="false">F598/E598-1</f>
        <v>-0.130728773535974</v>
      </c>
      <c r="G599" s="22" t="n">
        <f aca="false">G598/F598-1</f>
        <v>0.152177461316881</v>
      </c>
      <c r="H599" s="26" t="n">
        <f aca="false">$G599+(fade_gC-$G599)*1/3</f>
        <v>0.108118307544587</v>
      </c>
      <c r="I599" s="26" t="n">
        <f aca="false">$G599+(fade_gC-$G599)*2/3</f>
        <v>0.0640591537722936</v>
      </c>
      <c r="J599" s="26" t="n">
        <f aca="false">$G599+(fade_gC-$G599)*3/3</f>
        <v>0.02</v>
      </c>
    </row>
    <row r="600" customFormat="false" ht="17.15" hidden="false" customHeight="false" outlineLevel="0" collapsed="false">
      <c r="A600" s="0" t="s">
        <v>507</v>
      </c>
      <c r="B600" s="0" t="s">
        <v>90</v>
      </c>
      <c r="C600" s="22" t="n">
        <f aca="false">C591/C598</f>
        <v>0.4059</v>
      </c>
      <c r="D600" s="22" t="n">
        <f aca="false">D591/D598</f>
        <v>0.333946553789466</v>
      </c>
      <c r="E600" s="22" t="n">
        <f aca="false">E591/E598</f>
        <v>0.421657853085891</v>
      </c>
      <c r="F600" s="22" t="n">
        <f aca="false">F591/F598</f>
        <v>0.34364795392893</v>
      </c>
      <c r="G600" s="22" t="n">
        <f aca="false">G591/G598</f>
        <v>0.345719210790894</v>
      </c>
    </row>
    <row r="601" customFormat="false" ht="17.15" hidden="false" customHeight="false" outlineLevel="0" collapsed="false">
      <c r="A601" s="4" t="s">
        <v>508</v>
      </c>
      <c r="B601" s="0" t="s">
        <v>90</v>
      </c>
      <c r="C601" s="22" t="n">
        <f aca="false">C593/C598</f>
        <v>0.738</v>
      </c>
      <c r="D601" s="22" t="n">
        <f aca="false">D593/D598</f>
        <v>0.742103452865479</v>
      </c>
      <c r="E601" s="22" t="n">
        <f aca="false">E593/E598</f>
        <v>0.760936978311863</v>
      </c>
      <c r="F601" s="22" t="n">
        <f aca="false">F593/F598</f>
        <v>0.761272111889959</v>
      </c>
      <c r="G601" s="22" t="n">
        <f aca="false">G593/G598</f>
        <v>0.733556904220138</v>
      </c>
    </row>
    <row r="602" customFormat="false" ht="17.15" hidden="false" customHeight="false" outlineLevel="0" collapsed="false">
      <c r="A602" s="6" t="s">
        <v>509</v>
      </c>
    </row>
    <row r="603" customFormat="false" ht="15" hidden="false" customHeight="false" outlineLevel="0" collapsed="false">
      <c r="A603" s="4" t="s">
        <v>412</v>
      </c>
      <c r="B603" s="0" t="s">
        <v>90</v>
      </c>
      <c r="C603" s="14" t="n">
        <f aca="false">a25_gp/a25_rev</f>
        <v>0.574</v>
      </c>
      <c r="D603" s="14" t="n">
        <f aca="false">a26_gp/a26_rev</f>
        <v>0.593344593032623</v>
      </c>
      <c r="E603" s="14" t="n">
        <f aca="false">gm27_C+gm_adj</f>
        <v>0.58</v>
      </c>
      <c r="F603" s="14" t="n">
        <f aca="false">gmL_C+gm_adj</f>
        <v>0.565</v>
      </c>
      <c r="G603" s="14" t="n">
        <f aca="false">gmL_C+gm_adj</f>
        <v>0.565</v>
      </c>
    </row>
    <row r="604" customFormat="false" ht="15" hidden="false" customHeight="false" outlineLevel="0" collapsed="false">
      <c r="A604" s="4" t="s">
        <v>409</v>
      </c>
      <c r="B604" s="0" t="s">
        <v>189</v>
      </c>
      <c r="C604" s="17" t="n">
        <f aca="false">C598*C603</f>
        <v>7.678398</v>
      </c>
      <c r="D604" s="17" t="n">
        <f aca="false">D598*D603</f>
        <v>12.7050801</v>
      </c>
      <c r="E604" s="17" t="n">
        <f aca="false">E598*E603</f>
        <v>15.9864558138745</v>
      </c>
      <c r="F604" s="17" t="n">
        <f aca="false">F598*F603</f>
        <v>13.5371721025154</v>
      </c>
      <c r="G604" s="17" t="n">
        <f aca="false">G598*G603</f>
        <v>15.5972245864859</v>
      </c>
    </row>
    <row r="605" customFormat="false" ht="17.15" hidden="false" customHeight="false" outlineLevel="0" collapsed="false">
      <c r="A605" s="4" t="s">
        <v>510</v>
      </c>
      <c r="B605" s="0" t="s">
        <v>189</v>
      </c>
      <c r="D605" s="17" t="n">
        <f aca="false">a26_opx</f>
        <v>5.05564928556</v>
      </c>
      <c r="E605" s="17" t="n">
        <f aca="false">D605*(1+phi*E599)</f>
        <v>5.92690843648919</v>
      </c>
      <c r="F605" s="17" t="n">
        <f aca="false">E605*(1+phi*F599)</f>
        <v>5.46201795403184</v>
      </c>
      <c r="G605" s="17" t="n">
        <f aca="false">F605*(1+phi*G599)</f>
        <v>5.96073556957891</v>
      </c>
      <c r="K605" s="8" t="s">
        <v>511</v>
      </c>
    </row>
    <row r="606" customFormat="false" ht="15" hidden="false" customHeight="false" outlineLevel="0" collapsed="false">
      <c r="A606" s="4" t="s">
        <v>415</v>
      </c>
      <c r="B606" s="0" t="s">
        <v>189</v>
      </c>
      <c r="D606" s="17" t="n">
        <f aca="false">D604-D605</f>
        <v>7.64943081444</v>
      </c>
      <c r="E606" s="17" t="n">
        <f aca="false">E604-E605</f>
        <v>10.0595473773853</v>
      </c>
      <c r="F606" s="17" t="n">
        <f aca="false">F604-F605</f>
        <v>8.07515414848353</v>
      </c>
      <c r="G606" s="17" t="n">
        <f aca="false">G604-G605</f>
        <v>9.63648901690695</v>
      </c>
    </row>
    <row r="607" customFormat="false" ht="15" hidden="false" customHeight="false" outlineLevel="0" collapsed="false">
      <c r="A607" s="4" t="s">
        <v>482</v>
      </c>
      <c r="B607" s="0" t="s">
        <v>90</v>
      </c>
      <c r="D607" s="14" t="n">
        <f aca="false">D606/D598</f>
        <v>0.357238866484999</v>
      </c>
      <c r="E607" s="14" t="n">
        <f aca="false">E606/E598</f>
        <v>0.364967541699877</v>
      </c>
      <c r="F607" s="14" t="n">
        <f aca="false">F606/F598</f>
        <v>0.337032140785551</v>
      </c>
      <c r="G607" s="14" t="n">
        <f aca="false">G606/G598</f>
        <v>0.34907596953306</v>
      </c>
    </row>
    <row r="608" customFormat="false" ht="15" hidden="false" customHeight="false" outlineLevel="0" collapsed="false">
      <c r="A608" s="4" t="s">
        <v>418</v>
      </c>
      <c r="B608" s="0" t="s">
        <v>189</v>
      </c>
      <c r="C608" s="17" t="n">
        <f aca="false">a25_ni</f>
        <v>3.18</v>
      </c>
      <c r="D608" s="17" t="n">
        <f aca="false">a26_ni</f>
        <v>6.7316248085628</v>
      </c>
      <c r="E608" s="17" t="n">
        <f aca="false">E606*ni_oi</f>
        <v>8.55061527077754</v>
      </c>
      <c r="F608" s="17" t="n">
        <f aca="false">F606*ni_oi</f>
        <v>6.863881026211</v>
      </c>
      <c r="G608" s="17" t="n">
        <f aca="false">G606*ni_oi</f>
        <v>8.19101566437091</v>
      </c>
      <c r="H608" s="30" t="n">
        <f aca="false">H598*H612</f>
        <v>8.4694454230258</v>
      </c>
      <c r="I608" s="30" t="n">
        <f aca="false">I598*I612</f>
        <v>8.36592720586998</v>
      </c>
      <c r="J608" s="30" t="n">
        <f aca="false">J598*J612</f>
        <v>7.8742607516344</v>
      </c>
    </row>
    <row r="609" customFormat="false" ht="15" hidden="false" customHeight="false" outlineLevel="0" collapsed="false">
      <c r="A609" s="4" t="s">
        <v>512</v>
      </c>
      <c r="B609" s="4" t="s">
        <v>513</v>
      </c>
      <c r="C609" s="19" t="n">
        <f aca="false">a25_sh</f>
        <v>94.9537175276202</v>
      </c>
      <c r="D609" s="19" t="n">
        <f aca="false">a26_sh</f>
        <v>97.9860681630967</v>
      </c>
      <c r="E609" s="19" t="n">
        <f aca="false">D609*(1+sh_g)</f>
        <v>97.9860681630967</v>
      </c>
      <c r="F609" s="19" t="n">
        <f aca="false">E609*(1+sh_g)</f>
        <v>97.9860681630967</v>
      </c>
      <c r="G609" s="19" t="n">
        <f aca="false">F609*(1+sh_g)</f>
        <v>97.9860681630967</v>
      </c>
      <c r="H609" s="25" t="n">
        <f aca="false">G609*(1+sh_g)</f>
        <v>97.9860681630967</v>
      </c>
      <c r="I609" s="25" t="n">
        <f aca="false">H609*(1+sh_g)</f>
        <v>97.9860681630967</v>
      </c>
      <c r="J609" s="25" t="n">
        <f aca="false">I609*(1+sh_g)</f>
        <v>97.9860681630967</v>
      </c>
    </row>
    <row r="610" customFormat="false" ht="15" hidden="false" customHeight="false" outlineLevel="0" collapsed="false">
      <c r="A610" s="0" t="s">
        <v>423</v>
      </c>
      <c r="B610" s="0" t="s">
        <v>256</v>
      </c>
      <c r="C610" s="20" t="n">
        <f aca="false">a25_eps</f>
        <v>33.49</v>
      </c>
      <c r="D610" s="20" t="n">
        <f aca="false">a26_eps</f>
        <v>68.6959552317267</v>
      </c>
      <c r="E610" s="20" t="n">
        <f aca="false">E608/E609*1000</f>
        <v>87.263581762921</v>
      </c>
      <c r="F610" s="20" t="n">
        <f aca="false">F608/F609*1000</f>
        <v>70.0495606659729</v>
      </c>
      <c r="G610" s="20" t="n">
        <f aca="false">G608/G609*1000</f>
        <v>83.5936763044421</v>
      </c>
      <c r="H610" s="28" t="n">
        <f aca="false">H608/H609*1000</f>
        <v>86.4352002463095</v>
      </c>
      <c r="I610" s="28" t="n">
        <f aca="false">I608/I609*1000</f>
        <v>85.3787417201494</v>
      </c>
      <c r="J610" s="28" t="n">
        <f aca="false">J608/J609*1000</f>
        <v>80.3610237582733</v>
      </c>
    </row>
    <row r="611" customFormat="false" ht="17.15" hidden="false" customHeight="false" outlineLevel="0" collapsed="false">
      <c r="A611" s="0" t="s">
        <v>514</v>
      </c>
      <c r="B611" s="0" t="s">
        <v>90</v>
      </c>
      <c r="D611" s="22" t="n">
        <f aca="false">D610/C610-1</f>
        <v>1.05123783910799</v>
      </c>
      <c r="E611" s="22" t="n">
        <f aca="false">E610/D610-1</f>
        <v>0.270287041916247</v>
      </c>
      <c r="F611" s="22" t="n">
        <f aca="false">F610/E610-1</f>
        <v>-0.197264663553639</v>
      </c>
      <c r="G611" s="22" t="n">
        <f aca="false">G610/F610-1</f>
        <v>0.193350472289948</v>
      </c>
      <c r="H611" s="26" t="n">
        <f aca="false">H610/G610-1</f>
        <v>0.0339920920754671</v>
      </c>
      <c r="I611" s="26" t="n">
        <f aca="false">I610/H610-1</f>
        <v>-0.0122225496458579</v>
      </c>
      <c r="J611" s="26" t="n">
        <f aca="false">J610/I610-1</f>
        <v>-0.0587701090550494</v>
      </c>
    </row>
    <row r="612" customFormat="false" ht="17.15" hidden="false" customHeight="false" outlineLevel="0" collapsed="false">
      <c r="A612" s="4" t="s">
        <v>515</v>
      </c>
      <c r="B612" s="0" t="s">
        <v>90</v>
      </c>
      <c r="C612" s="14" t="n">
        <f aca="false">C608/C598</f>
        <v>0.237721462211258</v>
      </c>
      <c r="D612" s="14" t="n">
        <f aca="false">D608/D598</f>
        <v>0.314376072488123</v>
      </c>
      <c r="E612" s="14" t="n">
        <f aca="false">E608/E598</f>
        <v>0.310222410444896</v>
      </c>
      <c r="F612" s="14" t="n">
        <f aca="false">F608/F598</f>
        <v>0.286477319667718</v>
      </c>
      <c r="G612" s="14" t="n">
        <f aca="false">G608/G598</f>
        <v>0.296714574103101</v>
      </c>
      <c r="H612" s="27" t="n">
        <f aca="false">$G612+(fade_mC-$G612)*1/3</f>
        <v>0.27686621648366</v>
      </c>
      <c r="I612" s="27" t="n">
        <f aca="false">$G612+(fade_mC-$G612)*2/3</f>
        <v>0.257017858864219</v>
      </c>
      <c r="J612" s="27" t="n">
        <f aca="false">$G612+(fade_mC-$G612)*3/3</f>
        <v>0.237169501244778</v>
      </c>
    </row>
    <row r="615" customFormat="false" ht="17.15" hidden="false" customHeight="false" outlineLevel="0" collapsed="false">
      <c r="A615" s="1" t="s">
        <v>820</v>
      </c>
    </row>
    <row r="616" customFormat="false" ht="17.15" hidden="false" customHeight="false" outlineLevel="0" collapsed="false">
      <c r="A616" s="5" t="s">
        <v>21</v>
      </c>
      <c r="B616" s="5" t="s">
        <v>22</v>
      </c>
      <c r="C616" s="15" t="s">
        <v>387</v>
      </c>
      <c r="D616" s="15" t="s">
        <v>468</v>
      </c>
      <c r="E616" s="15" t="s">
        <v>469</v>
      </c>
      <c r="F616" s="15" t="s">
        <v>470</v>
      </c>
      <c r="G616" s="15" t="s">
        <v>471</v>
      </c>
      <c r="H616" s="15" t="s">
        <v>472</v>
      </c>
      <c r="I616" s="15" t="s">
        <v>473</v>
      </c>
      <c r="J616" s="15" t="s">
        <v>474</v>
      </c>
      <c r="K616" s="5" t="s">
        <v>336</v>
      </c>
    </row>
    <row r="617" customFormat="false" ht="17.15" hidden="false" customHeight="false" outlineLevel="0" collapsed="false">
      <c r="A617" s="6" t="s">
        <v>492</v>
      </c>
    </row>
    <row r="618" customFormat="false" ht="17.15" hidden="false" customHeight="false" outlineLevel="0" collapsed="false">
      <c r="A618" s="0" t="s">
        <v>493</v>
      </c>
      <c r="B618" s="4" t="s">
        <v>32</v>
      </c>
      <c r="D618" s="20" t="n">
        <f aca="false">units_26</f>
        <v>15.2</v>
      </c>
      <c r="E618" s="20" t="n">
        <f aca="false">units_27*1</f>
        <v>23.7</v>
      </c>
      <c r="F618" s="20" t="n">
        <f aca="false">units_28*um28_A*1</f>
        <v>26.5</v>
      </c>
      <c r="G618" s="20" t="n">
        <f aca="false">units_29*um29_A*1</f>
        <v>30.15</v>
      </c>
    </row>
    <row r="619" customFormat="false" ht="17.15" hidden="false" customHeight="false" outlineLevel="0" collapsed="false">
      <c r="A619" s="4" t="s">
        <v>494</v>
      </c>
      <c r="B619" s="0" t="s">
        <v>45</v>
      </c>
      <c r="D619" s="18" t="n">
        <f aca="false">ex_nv*nvtt_26+astt_26</f>
        <v>0.607994</v>
      </c>
      <c r="E619" s="18" t="n">
        <f aca="false">ex_nv*nvtt_27+astt_27</f>
        <v>0.6560764</v>
      </c>
      <c r="F619" s="18" t="n">
        <f aca="false">ex_nv*nvtt_28+astt_28</f>
        <v>0.6898114</v>
      </c>
      <c r="G619" s="18" t="n">
        <f aca="false">ex_nv*nvtt_29+astt_29</f>
        <v>0.692935</v>
      </c>
      <c r="K619" s="8" t="s">
        <v>495</v>
      </c>
    </row>
    <row r="620" customFormat="false" ht="17.15" hidden="false" customHeight="false" outlineLevel="0" collapsed="false">
      <c r="A620" s="4" t="s">
        <v>447</v>
      </c>
      <c r="B620" s="0" t="s">
        <v>45</v>
      </c>
      <c r="D620" s="18" t="n">
        <f aca="false">D618*D619/($D618*$D619)</f>
        <v>1</v>
      </c>
      <c r="E620" s="18" t="n">
        <f aca="false">E618*E619/($D618*$D619)</f>
        <v>1.68251862509724</v>
      </c>
      <c r="F620" s="18" t="n">
        <f aca="false">F618*F619/($D618*$D619)</f>
        <v>1.97803221266207</v>
      </c>
      <c r="G620" s="18" t="n">
        <f aca="false">G618*G619/($D618*$D619)</f>
        <v>2.26066876114428</v>
      </c>
    </row>
    <row r="621" customFormat="false" ht="17.15" hidden="false" customHeight="false" outlineLevel="0" collapsed="false">
      <c r="A621" s="4" t="s">
        <v>496</v>
      </c>
      <c r="B621" s="0" t="s">
        <v>45</v>
      </c>
      <c r="D621" s="20" t="n">
        <f aca="false">1</f>
        <v>1</v>
      </c>
      <c r="E621" s="20" t="n">
        <f aca="false">rel27_A</f>
        <v>1.05</v>
      </c>
      <c r="F621" s="20" t="n">
        <f aca="false">rel28_A</f>
        <v>1.08</v>
      </c>
      <c r="G621" s="20" t="n">
        <f aca="false">rel29_A</f>
        <v>1.1</v>
      </c>
    </row>
    <row r="622" customFormat="false" ht="17.15" hidden="false" customHeight="false" outlineLevel="0" collapsed="false">
      <c r="A622" s="4" t="s">
        <v>497</v>
      </c>
      <c r="B622" s="0" t="s">
        <v>45</v>
      </c>
      <c r="D622" s="18" t="n">
        <f aca="false">1</f>
        <v>1</v>
      </c>
      <c r="E622" s="18" t="n">
        <f aca="false">(1+g_ct)^1</f>
        <v>1.05</v>
      </c>
      <c r="F622" s="18" t="n">
        <f aca="false">(1+g_ct)^2</f>
        <v>1.1025</v>
      </c>
      <c r="G622" s="18" t="n">
        <f aca="false">(1+g_ct)^3</f>
        <v>1.157625</v>
      </c>
    </row>
    <row r="623" customFormat="false" ht="17.15" hidden="false" customHeight="false" outlineLevel="0" collapsed="false">
      <c r="A623" s="6" t="s">
        <v>498</v>
      </c>
    </row>
    <row r="624" customFormat="false" ht="17.15" hidden="false" customHeight="false" outlineLevel="0" collapsed="false">
      <c r="A624" s="0" t="s">
        <v>401</v>
      </c>
      <c r="B624" s="0" t="s">
        <v>189</v>
      </c>
      <c r="C624" s="17" t="n">
        <f aca="false">a25_ai</f>
        <v>5.4297243</v>
      </c>
      <c r="D624" s="17" t="n">
        <f aca="false">a26_pc*ai_sh26_hi</f>
        <v>11.12328105</v>
      </c>
      <c r="E624" s="17" t="n">
        <f aca="false">$D624*E620*E621*E622</f>
        <v>20.6334281115448</v>
      </c>
      <c r="F624" s="17" t="n">
        <f aca="false">$D624*F620*F621*F622</f>
        <v>26.1980293363575</v>
      </c>
      <c r="G624" s="17" t="n">
        <f aca="false">$D624*G620*G621*G622</f>
        <v>32.0206708266723</v>
      </c>
      <c r="K624" s="8" t="s">
        <v>499</v>
      </c>
    </row>
    <row r="625" customFormat="false" ht="17.15" hidden="false" customHeight="false" outlineLevel="0" collapsed="false">
      <c r="A625" s="4" t="s">
        <v>404</v>
      </c>
      <c r="B625" s="0" t="s">
        <v>189</v>
      </c>
      <c r="C625" s="17" t="n">
        <f aca="false">a25_npc</f>
        <v>4.4425017</v>
      </c>
      <c r="D625" s="17" t="n">
        <f aca="false">a26_pc*(1-ai_sh26_hi)</f>
        <v>4.76712045</v>
      </c>
      <c r="E625" s="17" t="n">
        <f aca="false">D625*(1+g_nonai+d_npc)</f>
        <v>5.1008188815</v>
      </c>
      <c r="F625" s="17" t="n">
        <f aca="false">E625*(1+g_nonai+d_npc)</f>
        <v>5.457876203205</v>
      </c>
      <c r="G625" s="17" t="n">
        <f aca="false">F625*(1+g_nonai+d_npc)</f>
        <v>5.83992753742935</v>
      </c>
      <c r="K625" s="4" t="s">
        <v>500</v>
      </c>
    </row>
    <row r="626" customFormat="false" ht="15" hidden="false" customHeight="false" outlineLevel="0" collapsed="false">
      <c r="A626" s="4" t="s">
        <v>398</v>
      </c>
      <c r="B626" s="0" t="s">
        <v>189</v>
      </c>
      <c r="C626" s="17" t="n">
        <f aca="false">C624+C625</f>
        <v>9.872226</v>
      </c>
      <c r="D626" s="17" t="n">
        <f aca="false">D624+D625</f>
        <v>15.8904015</v>
      </c>
      <c r="E626" s="17" t="n">
        <f aca="false">E624+E625</f>
        <v>25.7342469930448</v>
      </c>
      <c r="F626" s="17" t="n">
        <f aca="false">F624+F625</f>
        <v>31.6559055395625</v>
      </c>
      <c r="G626" s="17" t="n">
        <f aca="false">G624+G625</f>
        <v>37.8605983641017</v>
      </c>
    </row>
    <row r="627" customFormat="false" ht="17.15" hidden="false" customHeight="false" outlineLevel="0" collapsed="false">
      <c r="A627" s="0" t="s">
        <v>501</v>
      </c>
      <c r="B627" s="0" t="s">
        <v>189</v>
      </c>
      <c r="D627" s="17" t="n">
        <f aca="false">k_cpo*cpo_A_26/cpo_A_27</f>
        <v>0.24</v>
      </c>
      <c r="E627" s="17" t="n">
        <f aca="false">k_cpo*cpo_A_27/cpo_A_27</f>
        <v>1.2</v>
      </c>
      <c r="F627" s="17" t="n">
        <f aca="false">k_cpo*cpo_A_28/cpo_A_27</f>
        <v>2.4</v>
      </c>
      <c r="G627" s="17" t="n">
        <f aca="false">k_cpo*cpo_A_29/cpo_A_27</f>
        <v>3.84</v>
      </c>
      <c r="K627" s="8" t="s">
        <v>502</v>
      </c>
    </row>
    <row r="628" customFormat="false" ht="17.15" hidden="false" customHeight="false" outlineLevel="0" collapsed="false">
      <c r="A628" s="4" t="s">
        <v>503</v>
      </c>
      <c r="B628" s="0" t="s">
        <v>189</v>
      </c>
      <c r="C628" s="17" t="n">
        <f aca="false">a25_eq</f>
        <v>3.290742</v>
      </c>
      <c r="D628" s="17" t="n">
        <f aca="false">a26_eq-D627</f>
        <v>4.8539955</v>
      </c>
      <c r="E628" s="17" t="n">
        <f aca="false">D628*semi_27</f>
        <v>5.659593717153</v>
      </c>
      <c r="F628" s="17" t="n">
        <f aca="false">$E628*eqk28_A</f>
        <v>6.59889384801401</v>
      </c>
      <c r="G628" s="17" t="n">
        <f aca="false">$E628*eqk29_A</f>
        <v>7.12680377116889</v>
      </c>
      <c r="K628" s="8" t="s">
        <v>504</v>
      </c>
    </row>
    <row r="629" customFormat="false" ht="15" hidden="false" customHeight="false" outlineLevel="0" collapsed="false">
      <c r="A629" s="4" t="s">
        <v>405</v>
      </c>
      <c r="B629" s="0" t="s">
        <v>189</v>
      </c>
      <c r="C629" s="17" t="n">
        <f aca="false">a25_eq</f>
        <v>3.290742</v>
      </c>
      <c r="D629" s="17" t="n">
        <f aca="false">D627+D628</f>
        <v>5.0939955</v>
      </c>
      <c r="E629" s="17" t="n">
        <f aca="false">E627+E628</f>
        <v>6.859593717153</v>
      </c>
      <c r="F629" s="17" t="n">
        <f aca="false">F627+F628</f>
        <v>8.99889384801401</v>
      </c>
      <c r="G629" s="17" t="n">
        <f aca="false">G627+G628</f>
        <v>10.9668037711689</v>
      </c>
    </row>
    <row r="630" customFormat="false" ht="15" hidden="false" customHeight="false" outlineLevel="0" collapsed="false">
      <c r="A630" s="4" t="s">
        <v>407</v>
      </c>
      <c r="B630" s="0" t="s">
        <v>189</v>
      </c>
      <c r="C630" s="17" t="n">
        <f aca="false">a25_oth</f>
        <v>0.214032000000001</v>
      </c>
      <c r="D630" s="17" t="n">
        <f aca="false">a26_oth</f>
        <v>0.428253</v>
      </c>
      <c r="E630" s="17" t="n">
        <f aca="false">D630*(1+g_oth)</f>
        <v>0.44966565</v>
      </c>
      <c r="F630" s="17" t="n">
        <f aca="false">E630*(1+g_oth)</f>
        <v>0.4721489325</v>
      </c>
      <c r="G630" s="17" t="n">
        <f aca="false">F630*(1+g_oth)</f>
        <v>0.495756379125</v>
      </c>
    </row>
    <row r="631" customFormat="false" ht="17.15" hidden="false" customHeight="false" outlineLevel="0" collapsed="false">
      <c r="A631" s="4" t="s">
        <v>394</v>
      </c>
      <c r="B631" s="0" t="s">
        <v>189</v>
      </c>
      <c r="C631" s="17" t="n">
        <f aca="false">C626+C629+C630</f>
        <v>13.377</v>
      </c>
      <c r="D631" s="17" t="n">
        <f aca="false">D626+D629+D630</f>
        <v>21.41265</v>
      </c>
      <c r="E631" s="17" t="n">
        <f aca="false">E626+E629+E630</f>
        <v>33.0435063601978</v>
      </c>
      <c r="F631" s="17" t="n">
        <f aca="false">F626+F629+F630</f>
        <v>41.1269483200765</v>
      </c>
      <c r="G631" s="17" t="n">
        <f aca="false">G626+G629+G630</f>
        <v>49.3231585143956</v>
      </c>
      <c r="H631" s="30" t="n">
        <f aca="false">G631*(1+H632)</f>
        <v>56.862713046021</v>
      </c>
      <c r="I631" s="30" t="n">
        <f aca="false">H631*(1+I632)</f>
        <v>62.914621118778</v>
      </c>
      <c r="J631" s="30" t="n">
        <f aca="false">I631*(1+J632)</f>
        <v>66.6894983859047</v>
      </c>
      <c r="K631" s="8" t="s">
        <v>505</v>
      </c>
    </row>
    <row r="632" customFormat="false" ht="15" hidden="false" customHeight="false" outlineLevel="0" collapsed="false">
      <c r="A632" s="4" t="s">
        <v>506</v>
      </c>
      <c r="B632" s="0" t="s">
        <v>90</v>
      </c>
      <c r="D632" s="22" t="n">
        <f aca="false">D631/C631-1</f>
        <v>0.600706436420722</v>
      </c>
      <c r="E632" s="22" t="n">
        <f aca="false">E631/D631-1</f>
        <v>0.543176877229011</v>
      </c>
      <c r="F632" s="22" t="n">
        <f aca="false">F631/E631-1</f>
        <v>0.244630272337429</v>
      </c>
      <c r="G632" s="22" t="n">
        <f aca="false">G631/F631-1</f>
        <v>0.199290502434822</v>
      </c>
      <c r="H632" s="26" t="n">
        <f aca="false">$G632+(fade_gA-$G632)*1/3</f>
        <v>0.152860334956548</v>
      </c>
      <c r="I632" s="26" t="n">
        <f aca="false">$G632+(fade_gA-$G632)*2/3</f>
        <v>0.106430167478274</v>
      </c>
      <c r="J632" s="26" t="n">
        <f aca="false">$G632+(fade_gA-$G632)*3/3</f>
        <v>0.06</v>
      </c>
    </row>
    <row r="633" customFormat="false" ht="17.15" hidden="false" customHeight="false" outlineLevel="0" collapsed="false">
      <c r="A633" s="0" t="s">
        <v>507</v>
      </c>
      <c r="B633" s="0" t="s">
        <v>90</v>
      </c>
      <c r="C633" s="22" t="n">
        <f aca="false">C624/C631</f>
        <v>0.4059</v>
      </c>
      <c r="D633" s="22" t="n">
        <f aca="false">D624/D631</f>
        <v>0.519472417005835</v>
      </c>
      <c r="E633" s="22" t="n">
        <f aca="false">E624/E631</f>
        <v>0.624432161848253</v>
      </c>
      <c r="F633" s="22" t="n">
        <f aca="false">F624/F631</f>
        <v>0.637003969574098</v>
      </c>
      <c r="G633" s="22" t="n">
        <f aca="false">G624/G631</f>
        <v>0.649201547328456</v>
      </c>
    </row>
    <row r="634" customFormat="false" ht="17.15" hidden="false" customHeight="false" outlineLevel="0" collapsed="false">
      <c r="A634" s="4" t="s">
        <v>508</v>
      </c>
      <c r="B634" s="0" t="s">
        <v>90</v>
      </c>
      <c r="C634" s="22" t="n">
        <f aca="false">C626/C631</f>
        <v>0.738</v>
      </c>
      <c r="D634" s="22" t="n">
        <f aca="false">D626/D631</f>
        <v>0.742103452865479</v>
      </c>
      <c r="E634" s="22" t="n">
        <f aca="false">E626/E631</f>
        <v>0.778798917782004</v>
      </c>
      <c r="F634" s="22" t="n">
        <f aca="false">F626/F631</f>
        <v>0.769711997427958</v>
      </c>
      <c r="G634" s="22" t="n">
        <f aca="false">G626/G631</f>
        <v>0.767602876710574</v>
      </c>
    </row>
    <row r="635" customFormat="false" ht="17.15" hidden="false" customHeight="false" outlineLevel="0" collapsed="false">
      <c r="A635" s="6" t="s">
        <v>509</v>
      </c>
    </row>
    <row r="636" customFormat="false" ht="15" hidden="false" customHeight="false" outlineLevel="0" collapsed="false">
      <c r="A636" s="4" t="s">
        <v>412</v>
      </c>
      <c r="B636" s="0" t="s">
        <v>90</v>
      </c>
      <c r="C636" s="14" t="n">
        <f aca="false">a25_gp/a25_rev</f>
        <v>0.574</v>
      </c>
      <c r="D636" s="14" t="n">
        <f aca="false">a26_gp/a26_rev</f>
        <v>0.593344593032623</v>
      </c>
      <c r="E636" s="14" t="n">
        <f aca="false">gm27_A+gm_adj</f>
        <v>0.6</v>
      </c>
      <c r="F636" s="14" t="n">
        <f aca="false">gmL_A+gm_adj</f>
        <v>0.61</v>
      </c>
      <c r="G636" s="14" t="n">
        <f aca="false">gmL_A+gm_adj</f>
        <v>0.61</v>
      </c>
    </row>
    <row r="637" customFormat="false" ht="15" hidden="false" customHeight="false" outlineLevel="0" collapsed="false">
      <c r="A637" s="4" t="s">
        <v>409</v>
      </c>
      <c r="B637" s="0" t="s">
        <v>189</v>
      </c>
      <c r="C637" s="17" t="n">
        <f aca="false">C631*C636</f>
        <v>7.678398</v>
      </c>
      <c r="D637" s="17" t="n">
        <f aca="false">D631*D636</f>
        <v>12.7050801</v>
      </c>
      <c r="E637" s="17" t="n">
        <f aca="false">E631*E636</f>
        <v>19.8261038161187</v>
      </c>
      <c r="F637" s="17" t="n">
        <f aca="false">F631*F636</f>
        <v>25.0874384752467</v>
      </c>
      <c r="G637" s="17" t="n">
        <f aca="false">G631*G636</f>
        <v>30.0871266937813</v>
      </c>
    </row>
    <row r="638" customFormat="false" ht="17.15" hidden="false" customHeight="false" outlineLevel="0" collapsed="false">
      <c r="A638" s="4" t="s">
        <v>510</v>
      </c>
      <c r="B638" s="0" t="s">
        <v>189</v>
      </c>
      <c r="D638" s="17" t="n">
        <f aca="false">a26_opx</f>
        <v>5.05564928556</v>
      </c>
      <c r="E638" s="17" t="n">
        <f aca="false">D638*(1+phi*E632)</f>
        <v>6.70331636033734</v>
      </c>
      <c r="F638" s="17" t="n">
        <f aca="false">E638*(1+phi*F632)</f>
        <v>7.6872168244133</v>
      </c>
      <c r="G638" s="17" t="n">
        <f aca="false">F638*(1+phi*G632)</f>
        <v>8.60641040637094</v>
      </c>
      <c r="K638" s="8" t="s">
        <v>511</v>
      </c>
    </row>
    <row r="639" customFormat="false" ht="15" hidden="false" customHeight="false" outlineLevel="0" collapsed="false">
      <c r="A639" s="4" t="s">
        <v>415</v>
      </c>
      <c r="B639" s="0" t="s">
        <v>189</v>
      </c>
      <c r="D639" s="17" t="n">
        <f aca="false">D637-D638</f>
        <v>7.64943081444</v>
      </c>
      <c r="E639" s="17" t="n">
        <f aca="false">E637-E638</f>
        <v>13.1227874557813</v>
      </c>
      <c r="F639" s="17" t="n">
        <f aca="false">F637-F638</f>
        <v>17.4002216508334</v>
      </c>
      <c r="G639" s="17" t="n">
        <f aca="false">G637-G638</f>
        <v>21.4807162874103</v>
      </c>
    </row>
    <row r="640" customFormat="false" ht="15" hidden="false" customHeight="false" outlineLevel="0" collapsed="false">
      <c r="A640" s="4" t="s">
        <v>482</v>
      </c>
      <c r="B640" s="0" t="s">
        <v>90</v>
      </c>
      <c r="D640" s="14" t="n">
        <f aca="false">D639/D631</f>
        <v>0.357238866484999</v>
      </c>
      <c r="E640" s="14" t="n">
        <f aca="false">E639/E631</f>
        <v>0.397136651078538</v>
      </c>
      <c r="F640" s="14" t="n">
        <f aca="false">F639/F631</f>
        <v>0.423085649715938</v>
      </c>
      <c r="G640" s="14" t="n">
        <f aca="false">G639/G631</f>
        <v>0.43550974703173</v>
      </c>
    </row>
    <row r="641" customFormat="false" ht="15" hidden="false" customHeight="false" outlineLevel="0" collapsed="false">
      <c r="A641" s="4" t="s">
        <v>418</v>
      </c>
      <c r="B641" s="0" t="s">
        <v>189</v>
      </c>
      <c r="C641" s="17" t="n">
        <f aca="false">a25_ni</f>
        <v>3.18</v>
      </c>
      <c r="D641" s="17" t="n">
        <f aca="false">a26_ni</f>
        <v>6.7316248085628</v>
      </c>
      <c r="E641" s="17" t="n">
        <f aca="false">E639*ni_oi</f>
        <v>11.1543693374141</v>
      </c>
      <c r="F641" s="17" t="n">
        <f aca="false">F639*ni_oi</f>
        <v>14.7901884032084</v>
      </c>
      <c r="G641" s="17" t="n">
        <f aca="false">G639*ni_oi</f>
        <v>18.2586088442988</v>
      </c>
      <c r="H641" s="30" t="n">
        <f aca="false">H631*H645</f>
        <v>20.9999586358808</v>
      </c>
      <c r="I641" s="30" t="n">
        <f aca="false">I631*I645</f>
        <v>23.1800343822381</v>
      </c>
      <c r="J641" s="30" t="n">
        <f aca="false">J631*J645</f>
        <v>24.5125858747782</v>
      </c>
    </row>
    <row r="642" customFormat="false" ht="15" hidden="false" customHeight="false" outlineLevel="0" collapsed="false">
      <c r="A642" s="4" t="s">
        <v>512</v>
      </c>
      <c r="B642" s="4" t="s">
        <v>513</v>
      </c>
      <c r="C642" s="19" t="n">
        <f aca="false">a25_sh</f>
        <v>94.9537175276202</v>
      </c>
      <c r="D642" s="19" t="n">
        <f aca="false">a26_sh</f>
        <v>97.9860681630967</v>
      </c>
      <c r="E642" s="19" t="n">
        <f aca="false">D642*(1+sh_g)</f>
        <v>97.9860681630967</v>
      </c>
      <c r="F642" s="19" t="n">
        <f aca="false">E642*(1+sh_g)</f>
        <v>97.9860681630967</v>
      </c>
      <c r="G642" s="19" t="n">
        <f aca="false">F642*(1+sh_g)</f>
        <v>97.9860681630967</v>
      </c>
      <c r="H642" s="25" t="n">
        <f aca="false">G642*(1+sh_g)</f>
        <v>97.9860681630967</v>
      </c>
      <c r="I642" s="25" t="n">
        <f aca="false">H642*(1+sh_g)</f>
        <v>97.9860681630967</v>
      </c>
      <c r="J642" s="25" t="n">
        <f aca="false">I642*(1+sh_g)</f>
        <v>97.9860681630967</v>
      </c>
    </row>
    <row r="643" customFormat="false" ht="15" hidden="false" customHeight="false" outlineLevel="0" collapsed="false">
      <c r="A643" s="0" t="s">
        <v>423</v>
      </c>
      <c r="B643" s="0" t="s">
        <v>256</v>
      </c>
      <c r="C643" s="20" t="n">
        <f aca="false">a25_eps</f>
        <v>33.49</v>
      </c>
      <c r="D643" s="20" t="n">
        <f aca="false">a26_eps</f>
        <v>68.6959552317267</v>
      </c>
      <c r="E643" s="20" t="n">
        <f aca="false">E641/E642*1000</f>
        <v>113.836278427335</v>
      </c>
      <c r="F643" s="20" t="n">
        <f aca="false">F641/F642*1000</f>
        <v>150.941747949211</v>
      </c>
      <c r="G643" s="20" t="n">
        <f aca="false">G641/G642*1000</f>
        <v>186.338825371659</v>
      </c>
      <c r="H643" s="28" t="n">
        <f aca="false">H641/H642*1000</f>
        <v>214.315759674392</v>
      </c>
      <c r="I643" s="28" t="n">
        <f aca="false">I641/I642*1000</f>
        <v>236.564593485424</v>
      </c>
      <c r="J643" s="28" t="n">
        <f aca="false">J641/J642*1000</f>
        <v>250.163991007143</v>
      </c>
    </row>
    <row r="644" customFormat="false" ht="17.15" hidden="false" customHeight="false" outlineLevel="0" collapsed="false">
      <c r="A644" s="0" t="s">
        <v>514</v>
      </c>
      <c r="B644" s="0" t="s">
        <v>90</v>
      </c>
      <c r="D644" s="22" t="n">
        <f aca="false">D643/C643-1</f>
        <v>1.05123783910799</v>
      </c>
      <c r="E644" s="22" t="n">
        <f aca="false">E643/D643-1</f>
        <v>0.657103071692362</v>
      </c>
      <c r="F644" s="22" t="n">
        <f aca="false">F643/E643-1</f>
        <v>0.325954695941342</v>
      </c>
      <c r="G644" s="22" t="n">
        <f aca="false">G643/F643-1</f>
        <v>0.2345081987149</v>
      </c>
      <c r="H644" s="26" t="n">
        <f aca="false">H643/G643-1</f>
        <v>0.150140123760741</v>
      </c>
      <c r="I644" s="26" t="n">
        <f aca="false">I643/H643-1</f>
        <v>0.103813335262117</v>
      </c>
      <c r="J644" s="26" t="n">
        <f aca="false">J643/I643-1</f>
        <v>0.0574870369286959</v>
      </c>
    </row>
    <row r="645" customFormat="false" ht="17.15" hidden="false" customHeight="false" outlineLevel="0" collapsed="false">
      <c r="A645" s="4" t="s">
        <v>515</v>
      </c>
      <c r="B645" s="0" t="s">
        <v>90</v>
      </c>
      <c r="C645" s="14" t="n">
        <f aca="false">C641/C631</f>
        <v>0.237721462211258</v>
      </c>
      <c r="D645" s="14" t="n">
        <f aca="false">D641/D631</f>
        <v>0.314376072488123</v>
      </c>
      <c r="E645" s="14" t="n">
        <f aca="false">E641/E631</f>
        <v>0.337566153416758</v>
      </c>
      <c r="F645" s="14" t="n">
        <f aca="false">F641/F631</f>
        <v>0.359622802258547</v>
      </c>
      <c r="G645" s="14" t="n">
        <f aca="false">G641/G631</f>
        <v>0.370183284976971</v>
      </c>
      <c r="H645" s="27" t="n">
        <f aca="false">$G645+(fade_mA-$G645)*1/3</f>
        <v>0.369309825559762</v>
      </c>
      <c r="I645" s="27" t="n">
        <f aca="false">$G645+(fade_mA-$G645)*2/3</f>
        <v>0.368436366142552</v>
      </c>
      <c r="J645" s="27" t="n">
        <f aca="false">$G645+(fade_mA-$G645)*3/3</f>
        <v>0.367562906725343</v>
      </c>
    </row>
    <row r="648" customFormat="false" ht="17.15" hidden="false" customHeight="false" outlineLevel="0" collapsed="false">
      <c r="A648" s="1" t="s">
        <v>821</v>
      </c>
    </row>
    <row r="649" customFormat="false" ht="17.15" hidden="false" customHeight="false" outlineLevel="0" collapsed="false">
      <c r="A649" s="5" t="s">
        <v>21</v>
      </c>
      <c r="B649" s="5" t="s">
        <v>22</v>
      </c>
      <c r="C649" s="15" t="s">
        <v>387</v>
      </c>
      <c r="D649" s="15" t="s">
        <v>468</v>
      </c>
      <c r="E649" s="15" t="s">
        <v>469</v>
      </c>
      <c r="F649" s="15" t="s">
        <v>470</v>
      </c>
      <c r="G649" s="15" t="s">
        <v>471</v>
      </c>
      <c r="H649" s="15" t="s">
        <v>472</v>
      </c>
      <c r="I649" s="15" t="s">
        <v>473</v>
      </c>
      <c r="J649" s="15" t="s">
        <v>474</v>
      </c>
      <c r="K649" s="5" t="s">
        <v>336</v>
      </c>
    </row>
    <row r="650" customFormat="false" ht="17.15" hidden="false" customHeight="false" outlineLevel="0" collapsed="false">
      <c r="A650" s="6" t="s">
        <v>492</v>
      </c>
    </row>
    <row r="651" customFormat="false" ht="17.15" hidden="false" customHeight="false" outlineLevel="0" collapsed="false">
      <c r="A651" s="0" t="s">
        <v>493</v>
      </c>
      <c r="B651" s="4" t="s">
        <v>32</v>
      </c>
      <c r="D651" s="20" t="n">
        <f aca="false">units_26</f>
        <v>15.2</v>
      </c>
      <c r="E651" s="20" t="n">
        <f aca="false">units_27*1</f>
        <v>23.7</v>
      </c>
      <c r="F651" s="20" t="n">
        <f aca="false">units_28*um28_B*1</f>
        <v>21.2</v>
      </c>
      <c r="G651" s="20" t="n">
        <f aca="false">units_29*um29_B*1</f>
        <v>25.6275</v>
      </c>
    </row>
    <row r="652" customFormat="false" ht="17.15" hidden="false" customHeight="false" outlineLevel="0" collapsed="false">
      <c r="A652" s="4" t="s">
        <v>494</v>
      </c>
      <c r="B652" s="0" t="s">
        <v>45</v>
      </c>
      <c r="D652" s="18" t="n">
        <f aca="false">ex_nv*nvtt_26+astt_26</f>
        <v>0.607994</v>
      </c>
      <c r="E652" s="18" t="n">
        <f aca="false">ex_nv*nvtt_27+astt_27</f>
        <v>0.6560764</v>
      </c>
      <c r="F652" s="18" t="n">
        <f aca="false">ex_nv*nvtt_28+astt_28</f>
        <v>0.6898114</v>
      </c>
      <c r="G652" s="18" t="n">
        <f aca="false">ex_nv*nvtt_29+astt_29</f>
        <v>0.692935</v>
      </c>
      <c r="K652" s="8" t="s">
        <v>495</v>
      </c>
    </row>
    <row r="653" customFormat="false" ht="17.15" hidden="false" customHeight="false" outlineLevel="0" collapsed="false">
      <c r="A653" s="4" t="s">
        <v>447</v>
      </c>
      <c r="B653" s="0" t="s">
        <v>45</v>
      </c>
      <c r="D653" s="18" t="n">
        <f aca="false">D651*D652/($D651*$D652)</f>
        <v>1</v>
      </c>
      <c r="E653" s="18" t="n">
        <f aca="false">E651*E652/($D651*$D652)</f>
        <v>1.68251862509724</v>
      </c>
      <c r="F653" s="18" t="n">
        <f aca="false">F651*F652/($D651*$D652)</f>
        <v>1.58242577012966</v>
      </c>
      <c r="G653" s="18" t="n">
        <f aca="false">G651*G652/($D651*$D652)</f>
        <v>1.92156844697264</v>
      </c>
    </row>
    <row r="654" customFormat="false" ht="17.15" hidden="false" customHeight="false" outlineLevel="0" collapsed="false">
      <c r="A654" s="4" t="s">
        <v>496</v>
      </c>
      <c r="B654" s="0" t="s">
        <v>45</v>
      </c>
      <c r="D654" s="20" t="n">
        <f aca="false">1</f>
        <v>1</v>
      </c>
      <c r="E654" s="20" t="n">
        <f aca="false">rel27_B</f>
        <v>1</v>
      </c>
      <c r="F654" s="20" t="n">
        <f aca="false">rel28_B</f>
        <v>1</v>
      </c>
      <c r="G654" s="20" t="n">
        <f aca="false">rel29_B</f>
        <v>1</v>
      </c>
    </row>
    <row r="655" customFormat="false" ht="17.15" hidden="false" customHeight="false" outlineLevel="0" collapsed="false">
      <c r="A655" s="4" t="s">
        <v>497</v>
      </c>
      <c r="B655" s="0" t="s">
        <v>45</v>
      </c>
      <c r="D655" s="18" t="n">
        <f aca="false">1</f>
        <v>1</v>
      </c>
      <c r="E655" s="18" t="n">
        <f aca="false">(1+g_ct)^1</f>
        <v>1.05</v>
      </c>
      <c r="F655" s="18" t="n">
        <f aca="false">(1+g_ct)^2</f>
        <v>1.1025</v>
      </c>
      <c r="G655" s="18" t="n">
        <f aca="false">(1+g_ct)^3</f>
        <v>1.157625</v>
      </c>
    </row>
    <row r="656" customFormat="false" ht="17.15" hidden="false" customHeight="false" outlineLevel="0" collapsed="false">
      <c r="A656" s="6" t="s">
        <v>498</v>
      </c>
    </row>
    <row r="657" customFormat="false" ht="17.15" hidden="false" customHeight="false" outlineLevel="0" collapsed="false">
      <c r="A657" s="0" t="s">
        <v>401</v>
      </c>
      <c r="B657" s="0" t="s">
        <v>189</v>
      </c>
      <c r="C657" s="17" t="n">
        <f aca="false">a25_ai</f>
        <v>5.4297243</v>
      </c>
      <c r="D657" s="17" t="n">
        <f aca="false">a26_pc*ai_sh26_hi</f>
        <v>11.12328105</v>
      </c>
      <c r="E657" s="17" t="n">
        <f aca="false">$D657*E653*E654*E655</f>
        <v>19.6508839157569</v>
      </c>
      <c r="F657" s="17" t="n">
        <f aca="false">$D657*F653*F654*F655</f>
        <v>19.4059476565611</v>
      </c>
      <c r="G657" s="17" t="n">
        <f aca="false">$D657*G653*G654*G655</f>
        <v>24.7432456387922</v>
      </c>
      <c r="K657" s="8" t="s">
        <v>499</v>
      </c>
    </row>
    <row r="658" customFormat="false" ht="17.15" hidden="false" customHeight="false" outlineLevel="0" collapsed="false">
      <c r="A658" s="4" t="s">
        <v>404</v>
      </c>
      <c r="B658" s="0" t="s">
        <v>189</v>
      </c>
      <c r="C658" s="17" t="n">
        <f aca="false">a25_npc</f>
        <v>4.4425017</v>
      </c>
      <c r="D658" s="17" t="n">
        <f aca="false">a26_pc*(1-ai_sh26_hi)</f>
        <v>4.76712045</v>
      </c>
      <c r="E658" s="17" t="n">
        <f aca="false">D658*(1+g_nonai+d_npc)</f>
        <v>5.1008188815</v>
      </c>
      <c r="F658" s="17" t="n">
        <f aca="false">E658*(1+g_nonai+d_npc)</f>
        <v>5.457876203205</v>
      </c>
      <c r="G658" s="17" t="n">
        <f aca="false">F658*(1+g_nonai+d_npc)</f>
        <v>5.83992753742935</v>
      </c>
      <c r="K658" s="4" t="s">
        <v>500</v>
      </c>
    </row>
    <row r="659" customFormat="false" ht="15" hidden="false" customHeight="false" outlineLevel="0" collapsed="false">
      <c r="A659" s="4" t="s">
        <v>398</v>
      </c>
      <c r="B659" s="0" t="s">
        <v>189</v>
      </c>
      <c r="C659" s="17" t="n">
        <f aca="false">C657+C658</f>
        <v>9.872226</v>
      </c>
      <c r="D659" s="17" t="n">
        <f aca="false">D657+D658</f>
        <v>15.8904015</v>
      </c>
      <c r="E659" s="17" t="n">
        <f aca="false">E657+E658</f>
        <v>24.7517027972569</v>
      </c>
      <c r="F659" s="17" t="n">
        <f aca="false">F657+F658</f>
        <v>24.8638238597661</v>
      </c>
      <c r="G659" s="17" t="n">
        <f aca="false">G657+G658</f>
        <v>30.5831731762216</v>
      </c>
    </row>
    <row r="660" customFormat="false" ht="17.15" hidden="false" customHeight="false" outlineLevel="0" collapsed="false">
      <c r="A660" s="0" t="s">
        <v>501</v>
      </c>
      <c r="B660" s="0" t="s">
        <v>189</v>
      </c>
      <c r="D660" s="17" t="n">
        <f aca="false">k_cpo*cpo_A_26/cpo_A_27</f>
        <v>0.24</v>
      </c>
      <c r="E660" s="17" t="n">
        <f aca="false">k_cpo*cpo_B_27/cpo_A_27</f>
        <v>0.72</v>
      </c>
      <c r="F660" s="17" t="n">
        <f aca="false">k_cpo*cpo_B_28/cpo_A_27</f>
        <v>1.2</v>
      </c>
      <c r="G660" s="17" t="n">
        <f aca="false">k_cpo*cpo_B_29/cpo_A_27</f>
        <v>1.92</v>
      </c>
      <c r="K660" s="8" t="s">
        <v>502</v>
      </c>
    </row>
    <row r="661" customFormat="false" ht="17.15" hidden="false" customHeight="false" outlineLevel="0" collapsed="false">
      <c r="A661" s="4" t="s">
        <v>503</v>
      </c>
      <c r="B661" s="0" t="s">
        <v>189</v>
      </c>
      <c r="C661" s="17" t="n">
        <f aca="false">a25_eq</f>
        <v>3.290742</v>
      </c>
      <c r="D661" s="17" t="n">
        <f aca="false">a26_eq-D660</f>
        <v>4.8539955</v>
      </c>
      <c r="E661" s="17" t="n">
        <f aca="false">D661*semi_27</f>
        <v>5.659593717153</v>
      </c>
      <c r="F661" s="17" t="n">
        <f aca="false">$E661*eqk28_B</f>
        <v>5.659593717153</v>
      </c>
      <c r="G661" s="17" t="n">
        <f aca="false">$E661*eqk29_B</f>
        <v>5.37661403129535</v>
      </c>
      <c r="K661" s="8" t="s">
        <v>504</v>
      </c>
    </row>
    <row r="662" customFormat="false" ht="15" hidden="false" customHeight="false" outlineLevel="0" collapsed="false">
      <c r="A662" s="4" t="s">
        <v>405</v>
      </c>
      <c r="B662" s="0" t="s">
        <v>189</v>
      </c>
      <c r="C662" s="17" t="n">
        <f aca="false">a25_eq</f>
        <v>3.290742</v>
      </c>
      <c r="D662" s="17" t="n">
        <f aca="false">D660+D661</f>
        <v>5.0939955</v>
      </c>
      <c r="E662" s="17" t="n">
        <f aca="false">E660+E661</f>
        <v>6.379593717153</v>
      </c>
      <c r="F662" s="17" t="n">
        <f aca="false">F660+F661</f>
        <v>6.859593717153</v>
      </c>
      <c r="G662" s="17" t="n">
        <f aca="false">G660+G661</f>
        <v>7.29661403129535</v>
      </c>
    </row>
    <row r="663" customFormat="false" ht="15" hidden="false" customHeight="false" outlineLevel="0" collapsed="false">
      <c r="A663" s="4" t="s">
        <v>407</v>
      </c>
      <c r="B663" s="0" t="s">
        <v>189</v>
      </c>
      <c r="C663" s="17" t="n">
        <f aca="false">a25_oth</f>
        <v>0.214032000000001</v>
      </c>
      <c r="D663" s="17" t="n">
        <f aca="false">a26_oth</f>
        <v>0.428253</v>
      </c>
      <c r="E663" s="17" t="n">
        <f aca="false">D663*(1+g_oth)</f>
        <v>0.44966565</v>
      </c>
      <c r="F663" s="17" t="n">
        <f aca="false">E663*(1+g_oth)</f>
        <v>0.4721489325</v>
      </c>
      <c r="G663" s="17" t="n">
        <f aca="false">F663*(1+g_oth)</f>
        <v>0.495756379125</v>
      </c>
    </row>
    <row r="664" customFormat="false" ht="17.15" hidden="false" customHeight="false" outlineLevel="0" collapsed="false">
      <c r="A664" s="4" t="s">
        <v>394</v>
      </c>
      <c r="B664" s="0" t="s">
        <v>189</v>
      </c>
      <c r="C664" s="17" t="n">
        <f aca="false">C659+C662+C663</f>
        <v>13.377</v>
      </c>
      <c r="D664" s="17" t="n">
        <f aca="false">D659+D662+D663</f>
        <v>21.41265</v>
      </c>
      <c r="E664" s="17" t="n">
        <f aca="false">E659+E662+E663</f>
        <v>31.5809621644099</v>
      </c>
      <c r="F664" s="17" t="n">
        <f aca="false">F659+F662+F663</f>
        <v>32.1955665094191</v>
      </c>
      <c r="G664" s="17" t="n">
        <f aca="false">G659+G662+G663</f>
        <v>38.3755435866419</v>
      </c>
      <c r="H664" s="30" t="n">
        <f aca="false">G664*(1+H665)</f>
        <v>43.7980381596628</v>
      </c>
      <c r="I664" s="30" t="n">
        <f aca="false">H664*(1+I665)</f>
        <v>47.7683475891301</v>
      </c>
      <c r="J664" s="30" t="n">
        <f aca="false">I664*(1+J665)</f>
        <v>49.6790814926954</v>
      </c>
      <c r="K664" s="8" t="s">
        <v>505</v>
      </c>
    </row>
    <row r="665" customFormat="false" ht="15" hidden="false" customHeight="false" outlineLevel="0" collapsed="false">
      <c r="A665" s="4" t="s">
        <v>506</v>
      </c>
      <c r="B665" s="0" t="s">
        <v>90</v>
      </c>
      <c r="D665" s="22" t="n">
        <f aca="false">D664/C664-1</f>
        <v>0.600706436420722</v>
      </c>
      <c r="E665" s="22" t="n">
        <f aca="false">E664/D664-1</f>
        <v>0.474874065769998</v>
      </c>
      <c r="F665" s="22" t="n">
        <f aca="false">F664/E664-1</f>
        <v>0.0194612292624139</v>
      </c>
      <c r="G665" s="22" t="n">
        <f aca="false">G664/F664-1</f>
        <v>0.191951182949826</v>
      </c>
      <c r="H665" s="26" t="n">
        <f aca="false">$G665+(fade_gB-$G665)*1/3</f>
        <v>0.141300788633217</v>
      </c>
      <c r="I665" s="26" t="n">
        <f aca="false">$G665+(fade_gB-$G665)*2/3</f>
        <v>0.0906503943166086</v>
      </c>
      <c r="J665" s="26" t="n">
        <f aca="false">$G665+(fade_gB-$G665)*3/3</f>
        <v>0.04</v>
      </c>
    </row>
    <row r="666" customFormat="false" ht="17.15" hidden="false" customHeight="false" outlineLevel="0" collapsed="false">
      <c r="A666" s="0" t="s">
        <v>507</v>
      </c>
      <c r="B666" s="0" t="s">
        <v>90</v>
      </c>
      <c r="C666" s="22" t="n">
        <f aca="false">C657/C664</f>
        <v>0.4059</v>
      </c>
      <c r="D666" s="22" t="n">
        <f aca="false">D657/D664</f>
        <v>0.519472417005835</v>
      </c>
      <c r="E666" s="22" t="n">
        <f aca="false">E657/E664</f>
        <v>0.622238290697249</v>
      </c>
      <c r="F666" s="22" t="n">
        <f aca="false">F657/F664</f>
        <v>0.602752172442244</v>
      </c>
      <c r="G666" s="22" t="n">
        <f aca="false">G657/G664</f>
        <v>0.64476599746212</v>
      </c>
    </row>
    <row r="667" customFormat="false" ht="17.15" hidden="false" customHeight="false" outlineLevel="0" collapsed="false">
      <c r="A667" s="4" t="s">
        <v>508</v>
      </c>
      <c r="B667" s="0" t="s">
        <v>90</v>
      </c>
      <c r="C667" s="22" t="n">
        <f aca="false">C659/C664</f>
        <v>0.738</v>
      </c>
      <c r="D667" s="22" t="n">
        <f aca="false">D659/D664</f>
        <v>0.742103452865479</v>
      </c>
      <c r="E667" s="22" t="n">
        <f aca="false">E659/E664</f>
        <v>0.783753916945279</v>
      </c>
      <c r="F667" s="22" t="n">
        <f aca="false">F659/F664</f>
        <v>0.772274774307574</v>
      </c>
      <c r="G667" s="22" t="n">
        <f aca="false">G659/G664</f>
        <v>0.79694436398465</v>
      </c>
    </row>
    <row r="668" customFormat="false" ht="17.15" hidden="false" customHeight="false" outlineLevel="0" collapsed="false">
      <c r="A668" s="6" t="s">
        <v>509</v>
      </c>
    </row>
    <row r="669" customFormat="false" ht="15" hidden="false" customHeight="false" outlineLevel="0" collapsed="false">
      <c r="A669" s="4" t="s">
        <v>412</v>
      </c>
      <c r="B669" s="0" t="s">
        <v>90</v>
      </c>
      <c r="C669" s="14" t="n">
        <f aca="false">a25_gp/a25_rev</f>
        <v>0.574</v>
      </c>
      <c r="D669" s="14" t="n">
        <f aca="false">a26_gp/a26_rev</f>
        <v>0.593344593032623</v>
      </c>
      <c r="E669" s="14" t="n">
        <f aca="false">gm27_B+gm_adj</f>
        <v>0.595</v>
      </c>
      <c r="F669" s="14" t="n">
        <f aca="false">gmL_B+gm_adj</f>
        <v>0.595</v>
      </c>
      <c r="G669" s="14" t="n">
        <f aca="false">gmL_B+gm_adj</f>
        <v>0.595</v>
      </c>
    </row>
    <row r="670" customFormat="false" ht="15" hidden="false" customHeight="false" outlineLevel="0" collapsed="false">
      <c r="A670" s="4" t="s">
        <v>409</v>
      </c>
      <c r="B670" s="0" t="s">
        <v>189</v>
      </c>
      <c r="C670" s="17" t="n">
        <f aca="false">C664*C669</f>
        <v>7.678398</v>
      </c>
      <c r="D670" s="17" t="n">
        <f aca="false">D664*D669</f>
        <v>12.7050801</v>
      </c>
      <c r="E670" s="17" t="n">
        <f aca="false">E664*E669</f>
        <v>18.7906724878239</v>
      </c>
      <c r="F670" s="17" t="n">
        <f aca="false">F664*F669</f>
        <v>19.1563620731044</v>
      </c>
      <c r="G670" s="17" t="n">
        <f aca="false">G664*G669</f>
        <v>22.833448434052</v>
      </c>
    </row>
    <row r="671" customFormat="false" ht="17.15" hidden="false" customHeight="false" outlineLevel="0" collapsed="false">
      <c r="A671" s="4" t="s">
        <v>510</v>
      </c>
      <c r="B671" s="0" t="s">
        <v>189</v>
      </c>
      <c r="D671" s="17" t="n">
        <f aca="false">a26_opx</f>
        <v>5.05564928556</v>
      </c>
      <c r="E671" s="17" t="n">
        <f aca="false">D671*(1+phi*E665)</f>
        <v>6.49612732436464</v>
      </c>
      <c r="F671" s="17" t="n">
        <f aca="false">E671*(1+phi*F665)</f>
        <v>6.57198089827101</v>
      </c>
      <c r="G671" s="17" t="n">
        <f aca="false">F671*(1+phi*G665)</f>
        <v>7.32888060291908</v>
      </c>
      <c r="K671" s="8" t="s">
        <v>511</v>
      </c>
    </row>
    <row r="672" customFormat="false" ht="15" hidden="false" customHeight="false" outlineLevel="0" collapsed="false">
      <c r="A672" s="4" t="s">
        <v>415</v>
      </c>
      <c r="B672" s="0" t="s">
        <v>189</v>
      </c>
      <c r="D672" s="17" t="n">
        <f aca="false">D670-D671</f>
        <v>7.64943081444</v>
      </c>
      <c r="E672" s="17" t="n">
        <f aca="false">E670-E671</f>
        <v>12.2945451634593</v>
      </c>
      <c r="F672" s="17" t="n">
        <f aca="false">F670-F671</f>
        <v>12.5843811748334</v>
      </c>
      <c r="G672" s="17" t="n">
        <f aca="false">G670-G671</f>
        <v>15.5045678311329</v>
      </c>
    </row>
    <row r="673" customFormat="false" ht="15" hidden="false" customHeight="false" outlineLevel="0" collapsed="false">
      <c r="A673" s="4" t="s">
        <v>482</v>
      </c>
      <c r="B673" s="0" t="s">
        <v>90</v>
      </c>
      <c r="D673" s="14" t="n">
        <f aca="false">D672/D664</f>
        <v>0.357238866484999</v>
      </c>
      <c r="E673" s="14" t="n">
        <f aca="false">E672/E664</f>
        <v>0.389302425285654</v>
      </c>
      <c r="F673" s="14" t="n">
        <f aca="false">F672/F664</f>
        <v>0.39087310891553</v>
      </c>
      <c r="G673" s="14" t="n">
        <f aca="false">G672/G664</f>
        <v>0.404022103195167</v>
      </c>
    </row>
    <row r="674" customFormat="false" ht="15" hidden="false" customHeight="false" outlineLevel="0" collapsed="false">
      <c r="A674" s="4" t="s">
        <v>418</v>
      </c>
      <c r="B674" s="0" t="s">
        <v>189</v>
      </c>
      <c r="C674" s="17" t="n">
        <f aca="false">a25_ni</f>
        <v>3.18</v>
      </c>
      <c r="D674" s="17" t="n">
        <f aca="false">a26_ni</f>
        <v>6.7316248085628</v>
      </c>
      <c r="E674" s="17" t="n">
        <f aca="false">E672*ni_oi</f>
        <v>10.4503633889404</v>
      </c>
      <c r="F674" s="17" t="n">
        <f aca="false">F672*ni_oi</f>
        <v>10.6967239986084</v>
      </c>
      <c r="G674" s="17" t="n">
        <f aca="false">G672*ni_oi</f>
        <v>13.1788826564629</v>
      </c>
      <c r="H674" s="30" t="n">
        <f aca="false">H664*H678</f>
        <v>14.5108830550166</v>
      </c>
      <c r="I674" s="30" t="n">
        <f aca="false">I664*I678</f>
        <v>15.2480526314216</v>
      </c>
      <c r="J674" s="30" t="n">
        <f aca="false">J664*J678</f>
        <v>15.2565971344875</v>
      </c>
    </row>
    <row r="675" customFormat="false" ht="15" hidden="false" customHeight="false" outlineLevel="0" collapsed="false">
      <c r="A675" s="4" t="s">
        <v>512</v>
      </c>
      <c r="B675" s="4" t="s">
        <v>513</v>
      </c>
      <c r="C675" s="19" t="n">
        <f aca="false">a25_sh</f>
        <v>94.9537175276202</v>
      </c>
      <c r="D675" s="19" t="n">
        <f aca="false">a26_sh</f>
        <v>97.9860681630967</v>
      </c>
      <c r="E675" s="19" t="n">
        <f aca="false">D675*(1+sh_g)</f>
        <v>97.9860681630967</v>
      </c>
      <c r="F675" s="19" t="n">
        <f aca="false">E675*(1+sh_g)</f>
        <v>97.9860681630967</v>
      </c>
      <c r="G675" s="19" t="n">
        <f aca="false">F675*(1+sh_g)</f>
        <v>97.9860681630967</v>
      </c>
      <c r="H675" s="25" t="n">
        <f aca="false">G675*(1+sh_g)</f>
        <v>97.9860681630967</v>
      </c>
      <c r="I675" s="25" t="n">
        <f aca="false">H675*(1+sh_g)</f>
        <v>97.9860681630967</v>
      </c>
      <c r="J675" s="25" t="n">
        <f aca="false">I675*(1+sh_g)</f>
        <v>97.9860681630967</v>
      </c>
    </row>
    <row r="676" customFormat="false" ht="15" hidden="false" customHeight="false" outlineLevel="0" collapsed="false">
      <c r="A676" s="0" t="s">
        <v>423</v>
      </c>
      <c r="B676" s="0" t="s">
        <v>256</v>
      </c>
      <c r="C676" s="20" t="n">
        <f aca="false">a25_eps</f>
        <v>33.49</v>
      </c>
      <c r="D676" s="20" t="n">
        <f aca="false">a26_eps</f>
        <v>68.6959552317267</v>
      </c>
      <c r="E676" s="20" t="n">
        <f aca="false">E674/E675*1000</f>
        <v>106.651522862882</v>
      </c>
      <c r="F676" s="20" t="n">
        <f aca="false">F674/F675*1000</f>
        <v>109.165764063558</v>
      </c>
      <c r="G676" s="20" t="n">
        <f aca="false">G674/G675*1000</f>
        <v>134.49751483575</v>
      </c>
      <c r="H676" s="28" t="n">
        <f aca="false">H674/H675*1000</f>
        <v>148.091288149897</v>
      </c>
      <c r="I676" s="28" t="n">
        <f aca="false">I674/I675*1000</f>
        <v>155.614496195943</v>
      </c>
      <c r="J676" s="28" t="n">
        <f aca="false">J674/J675*1000</f>
        <v>155.7016973994</v>
      </c>
    </row>
    <row r="677" customFormat="false" ht="17.15" hidden="false" customHeight="false" outlineLevel="0" collapsed="false">
      <c r="A677" s="0" t="s">
        <v>514</v>
      </c>
      <c r="B677" s="0" t="s">
        <v>90</v>
      </c>
      <c r="D677" s="22" t="n">
        <f aca="false">D676/C676-1</f>
        <v>1.05123783910799</v>
      </c>
      <c r="E677" s="22" t="n">
        <f aca="false">E676/D676-1</f>
        <v>0.552515319178871</v>
      </c>
      <c r="F677" s="22" t="n">
        <f aca="false">F676/E676-1</f>
        <v>0.0235743581824828</v>
      </c>
      <c r="G677" s="22" t="n">
        <f aca="false">G676/F676-1</f>
        <v>0.232048490563793</v>
      </c>
      <c r="H677" s="26" t="n">
        <f aca="false">H676/G676-1</f>
        <v>0.101070814064833</v>
      </c>
      <c r="I677" s="26" t="n">
        <f aca="false">I676/H676-1</f>
        <v>0.0508011520463729</v>
      </c>
      <c r="J677" s="26" t="n">
        <f aca="false">J676/I676-1</f>
        <v>0.000560366839780668</v>
      </c>
    </row>
    <row r="678" customFormat="false" ht="17.15" hidden="false" customHeight="false" outlineLevel="0" collapsed="false">
      <c r="A678" s="4" t="s">
        <v>515</v>
      </c>
      <c r="B678" s="0" t="s">
        <v>90</v>
      </c>
      <c r="C678" s="14" t="n">
        <f aca="false">C674/C664</f>
        <v>0.237721462211258</v>
      </c>
      <c r="D678" s="14" t="n">
        <f aca="false">D674/D664</f>
        <v>0.314376072488123</v>
      </c>
      <c r="E678" s="14" t="n">
        <f aca="false">E674/E664</f>
        <v>0.330907061492806</v>
      </c>
      <c r="F678" s="14" t="n">
        <f aca="false">F674/F664</f>
        <v>0.3322421425782</v>
      </c>
      <c r="G678" s="14" t="n">
        <f aca="false">G674/G664</f>
        <v>0.343418787715892</v>
      </c>
      <c r="H678" s="27" t="n">
        <f aca="false">$G678+(fade_mB-$G678)*1/3</f>
        <v>0.331313539709658</v>
      </c>
      <c r="I678" s="27" t="n">
        <f aca="false">$G678+(fade_mB-$G678)*2/3</f>
        <v>0.319208291703424</v>
      </c>
      <c r="J678" s="27" t="n">
        <f aca="false">$G678+(fade_mB-$G678)*3/3</f>
        <v>0.30710304369719</v>
      </c>
    </row>
    <row r="681" customFormat="false" ht="17.15" hidden="false" customHeight="false" outlineLevel="0" collapsed="false">
      <c r="A681" s="1" t="s">
        <v>822</v>
      </c>
    </row>
    <row r="682" customFormat="false" ht="17.15" hidden="false" customHeight="false" outlineLevel="0" collapsed="false">
      <c r="A682" s="5" t="s">
        <v>21</v>
      </c>
      <c r="B682" s="5" t="s">
        <v>22</v>
      </c>
      <c r="C682" s="15" t="s">
        <v>387</v>
      </c>
      <c r="D682" s="15" t="s">
        <v>468</v>
      </c>
      <c r="E682" s="15" t="s">
        <v>469</v>
      </c>
      <c r="F682" s="15" t="s">
        <v>470</v>
      </c>
      <c r="G682" s="15" t="s">
        <v>471</v>
      </c>
      <c r="H682" s="15" t="s">
        <v>472</v>
      </c>
      <c r="I682" s="15" t="s">
        <v>473</v>
      </c>
      <c r="J682" s="15" t="s">
        <v>474</v>
      </c>
      <c r="K682" s="5" t="s">
        <v>336</v>
      </c>
    </row>
    <row r="683" customFormat="false" ht="17.15" hidden="false" customHeight="false" outlineLevel="0" collapsed="false">
      <c r="A683" s="6" t="s">
        <v>492</v>
      </c>
    </row>
    <row r="684" customFormat="false" ht="17.15" hidden="false" customHeight="false" outlineLevel="0" collapsed="false">
      <c r="A684" s="0" t="s">
        <v>493</v>
      </c>
      <c r="B684" s="4" t="s">
        <v>32</v>
      </c>
      <c r="D684" s="20" t="n">
        <f aca="false">units_26</f>
        <v>15.2</v>
      </c>
      <c r="E684" s="20" t="n">
        <f aca="false">units_27*1</f>
        <v>23.7</v>
      </c>
      <c r="F684" s="20" t="n">
        <f aca="false">units_28*um28_C*1</f>
        <v>15.9</v>
      </c>
      <c r="G684" s="20" t="n">
        <f aca="false">units_29*um29_C*1</f>
        <v>18.09</v>
      </c>
    </row>
    <row r="685" customFormat="false" ht="17.15" hidden="false" customHeight="false" outlineLevel="0" collapsed="false">
      <c r="A685" s="4" t="s">
        <v>494</v>
      </c>
      <c r="B685" s="0" t="s">
        <v>45</v>
      </c>
      <c r="D685" s="18" t="n">
        <f aca="false">ex_nv*nvtt_26+astt_26</f>
        <v>0.607994</v>
      </c>
      <c r="E685" s="18" t="n">
        <f aca="false">ex_nv*nvtt_27+astt_27</f>
        <v>0.6560764</v>
      </c>
      <c r="F685" s="18" t="n">
        <f aca="false">ex_nv*nvtt_28+astt_28</f>
        <v>0.6898114</v>
      </c>
      <c r="G685" s="18" t="n">
        <f aca="false">ex_nv*nvtt_29+astt_29</f>
        <v>0.692935</v>
      </c>
      <c r="K685" s="8" t="s">
        <v>495</v>
      </c>
    </row>
    <row r="686" customFormat="false" ht="17.15" hidden="false" customHeight="false" outlineLevel="0" collapsed="false">
      <c r="A686" s="4" t="s">
        <v>447</v>
      </c>
      <c r="B686" s="0" t="s">
        <v>45</v>
      </c>
      <c r="D686" s="18" t="n">
        <f aca="false">D684*D685/($D684*$D685)</f>
        <v>1</v>
      </c>
      <c r="E686" s="18" t="n">
        <f aca="false">E684*E685/($D684*$D685)</f>
        <v>1.68251862509724</v>
      </c>
      <c r="F686" s="18" t="n">
        <f aca="false">F684*F685/($D684*$D685)</f>
        <v>1.18681932759724</v>
      </c>
      <c r="G686" s="18" t="n">
        <f aca="false">G684*G685/($D684*$D685)</f>
        <v>1.35640125668657</v>
      </c>
    </row>
    <row r="687" customFormat="false" ht="17.15" hidden="false" customHeight="false" outlineLevel="0" collapsed="false">
      <c r="A687" s="4" t="s">
        <v>496</v>
      </c>
      <c r="B687" s="0" t="s">
        <v>45</v>
      </c>
      <c r="D687" s="20" t="n">
        <f aca="false">1</f>
        <v>1</v>
      </c>
      <c r="E687" s="20" t="n">
        <f aca="false">rel27_C</f>
        <v>0.92</v>
      </c>
      <c r="F687" s="20" t="n">
        <f aca="false">rel28_C</f>
        <v>0.88</v>
      </c>
      <c r="G687" s="20" t="n">
        <f aca="false">rel29_C</f>
        <v>0.85</v>
      </c>
    </row>
    <row r="688" customFormat="false" ht="17.15" hidden="false" customHeight="false" outlineLevel="0" collapsed="false">
      <c r="A688" s="4" t="s">
        <v>497</v>
      </c>
      <c r="B688" s="0" t="s">
        <v>45</v>
      </c>
      <c r="D688" s="18" t="n">
        <f aca="false">1</f>
        <v>1</v>
      </c>
      <c r="E688" s="18" t="n">
        <f aca="false">(1+g_ct)^1</f>
        <v>1.05</v>
      </c>
      <c r="F688" s="18" t="n">
        <f aca="false">(1+g_ct)^2</f>
        <v>1.1025</v>
      </c>
      <c r="G688" s="18" t="n">
        <f aca="false">(1+g_ct)^3</f>
        <v>1.157625</v>
      </c>
    </row>
    <row r="689" customFormat="false" ht="17.15" hidden="false" customHeight="false" outlineLevel="0" collapsed="false">
      <c r="A689" s="6" t="s">
        <v>498</v>
      </c>
    </row>
    <row r="690" customFormat="false" ht="17.15" hidden="false" customHeight="false" outlineLevel="0" collapsed="false">
      <c r="A690" s="0" t="s">
        <v>401</v>
      </c>
      <c r="B690" s="0" t="s">
        <v>189</v>
      </c>
      <c r="C690" s="17" t="n">
        <f aca="false">a25_ai</f>
        <v>5.4297243</v>
      </c>
      <c r="D690" s="17" t="n">
        <f aca="false">a26_pc*ai_sh26_hi</f>
        <v>11.12328105</v>
      </c>
      <c r="E690" s="17" t="n">
        <f aca="false">$D690*E686*E687*E688</f>
        <v>18.0788132024964</v>
      </c>
      <c r="F690" s="17" t="n">
        <f aca="false">$D690*F686*F687*F688</f>
        <v>12.8079254533303</v>
      </c>
      <c r="G690" s="17" t="n">
        <f aca="false">$D690*G686*G687*G688</f>
        <v>14.8459473832753</v>
      </c>
      <c r="K690" s="8" t="s">
        <v>499</v>
      </c>
    </row>
    <row r="691" customFormat="false" ht="17.15" hidden="false" customHeight="false" outlineLevel="0" collapsed="false">
      <c r="A691" s="4" t="s">
        <v>404</v>
      </c>
      <c r="B691" s="0" t="s">
        <v>189</v>
      </c>
      <c r="C691" s="17" t="n">
        <f aca="false">a25_npc</f>
        <v>4.4425017</v>
      </c>
      <c r="D691" s="17" t="n">
        <f aca="false">a26_pc*(1-ai_sh26_hi)</f>
        <v>4.76712045</v>
      </c>
      <c r="E691" s="17" t="n">
        <f aca="false">D691*(1+g_nonai+d_npc)</f>
        <v>5.1008188815</v>
      </c>
      <c r="F691" s="17" t="n">
        <f aca="false">E691*(1+g_nonai+d_npc)</f>
        <v>5.457876203205</v>
      </c>
      <c r="G691" s="17" t="n">
        <f aca="false">F691*(1+g_nonai+d_npc)</f>
        <v>5.83992753742935</v>
      </c>
      <c r="K691" s="4" t="s">
        <v>500</v>
      </c>
    </row>
    <row r="692" customFormat="false" ht="15" hidden="false" customHeight="false" outlineLevel="0" collapsed="false">
      <c r="A692" s="4" t="s">
        <v>398</v>
      </c>
      <c r="B692" s="0" t="s">
        <v>189</v>
      </c>
      <c r="C692" s="17" t="n">
        <f aca="false">C690+C691</f>
        <v>9.872226</v>
      </c>
      <c r="D692" s="17" t="n">
        <f aca="false">D690+D691</f>
        <v>15.8904015</v>
      </c>
      <c r="E692" s="17" t="n">
        <f aca="false">E690+E691</f>
        <v>23.1796320839964</v>
      </c>
      <c r="F692" s="17" t="n">
        <f aca="false">F690+F691</f>
        <v>18.2658016565354</v>
      </c>
      <c r="G692" s="17" t="n">
        <f aca="false">G690+G691</f>
        <v>20.6858749207047</v>
      </c>
    </row>
    <row r="693" customFormat="false" ht="17.15" hidden="false" customHeight="false" outlineLevel="0" collapsed="false">
      <c r="A693" s="0" t="s">
        <v>501</v>
      </c>
      <c r="B693" s="0" t="s">
        <v>189</v>
      </c>
      <c r="D693" s="17" t="n">
        <f aca="false">k_cpo*cpo_A_26/cpo_A_27</f>
        <v>0.24</v>
      </c>
      <c r="E693" s="17" t="n">
        <f aca="false">k_cpo*cpo_C_27/cpo_A_27</f>
        <v>0.48</v>
      </c>
      <c r="F693" s="17" t="n">
        <f aca="false">k_cpo*cpo_C_28/cpo_A_27</f>
        <v>0.72</v>
      </c>
      <c r="G693" s="17" t="n">
        <f aca="false">k_cpo*cpo_C_29/cpo_A_27</f>
        <v>1.2</v>
      </c>
      <c r="K693" s="8" t="s">
        <v>502</v>
      </c>
    </row>
    <row r="694" customFormat="false" ht="17.15" hidden="false" customHeight="false" outlineLevel="0" collapsed="false">
      <c r="A694" s="4" t="s">
        <v>503</v>
      </c>
      <c r="B694" s="0" t="s">
        <v>189</v>
      </c>
      <c r="C694" s="17" t="n">
        <f aca="false">a25_eq</f>
        <v>3.290742</v>
      </c>
      <c r="D694" s="17" t="n">
        <f aca="false">a26_eq-D693</f>
        <v>4.8539955</v>
      </c>
      <c r="E694" s="17" t="n">
        <f aca="false">D694*semi_27</f>
        <v>5.659593717153</v>
      </c>
      <c r="F694" s="17" t="n">
        <f aca="false">$E694*eqk28_C</f>
        <v>4.5276749737224</v>
      </c>
      <c r="G694" s="17" t="n">
        <f aca="false">$E694*eqk29_C</f>
        <v>5.659593717153</v>
      </c>
      <c r="K694" s="8" t="s">
        <v>504</v>
      </c>
    </row>
    <row r="695" customFormat="false" ht="15" hidden="false" customHeight="false" outlineLevel="0" collapsed="false">
      <c r="A695" s="4" t="s">
        <v>405</v>
      </c>
      <c r="B695" s="0" t="s">
        <v>189</v>
      </c>
      <c r="C695" s="17" t="n">
        <f aca="false">a25_eq</f>
        <v>3.290742</v>
      </c>
      <c r="D695" s="17" t="n">
        <f aca="false">D693+D694</f>
        <v>5.0939955</v>
      </c>
      <c r="E695" s="17" t="n">
        <f aca="false">E693+E694</f>
        <v>6.139593717153</v>
      </c>
      <c r="F695" s="17" t="n">
        <f aca="false">F693+F694</f>
        <v>5.2476749737224</v>
      </c>
      <c r="G695" s="17" t="n">
        <f aca="false">G693+G694</f>
        <v>6.859593717153</v>
      </c>
    </row>
    <row r="696" customFormat="false" ht="15" hidden="false" customHeight="false" outlineLevel="0" collapsed="false">
      <c r="A696" s="4" t="s">
        <v>407</v>
      </c>
      <c r="B696" s="0" t="s">
        <v>189</v>
      </c>
      <c r="C696" s="17" t="n">
        <f aca="false">a25_oth</f>
        <v>0.214032000000001</v>
      </c>
      <c r="D696" s="17" t="n">
        <f aca="false">a26_oth</f>
        <v>0.428253</v>
      </c>
      <c r="E696" s="17" t="n">
        <f aca="false">D696*(1+g_oth)</f>
        <v>0.44966565</v>
      </c>
      <c r="F696" s="17" t="n">
        <f aca="false">E696*(1+g_oth)</f>
        <v>0.4721489325</v>
      </c>
      <c r="G696" s="17" t="n">
        <f aca="false">F696*(1+g_oth)</f>
        <v>0.495756379125</v>
      </c>
    </row>
    <row r="697" customFormat="false" ht="17.15" hidden="false" customHeight="false" outlineLevel="0" collapsed="false">
      <c r="A697" s="4" t="s">
        <v>394</v>
      </c>
      <c r="B697" s="0" t="s">
        <v>189</v>
      </c>
      <c r="C697" s="17" t="n">
        <f aca="false">C692+C695+C696</f>
        <v>13.377</v>
      </c>
      <c r="D697" s="17" t="n">
        <f aca="false">D692+D695+D696</f>
        <v>21.41265</v>
      </c>
      <c r="E697" s="17" t="n">
        <f aca="false">E692+E695+E696</f>
        <v>29.7688914511494</v>
      </c>
      <c r="F697" s="17" t="n">
        <f aca="false">F692+F695+F696</f>
        <v>23.9856255627577</v>
      </c>
      <c r="G697" s="17" t="n">
        <f aca="false">G692+G695+G696</f>
        <v>28.0412250169827</v>
      </c>
      <c r="H697" s="30" t="n">
        <f aca="false">G697*(1+H698)</f>
        <v>31.3890590435279</v>
      </c>
      <c r="I697" s="30" t="n">
        <f aca="false">H697*(1+I698)</f>
        <v>33.5767151321451</v>
      </c>
      <c r="J697" s="30" t="n">
        <f aca="false">I697*(1+J698)</f>
        <v>34.248249434788</v>
      </c>
      <c r="K697" s="8" t="s">
        <v>505</v>
      </c>
    </row>
    <row r="698" customFormat="false" ht="15" hidden="false" customHeight="false" outlineLevel="0" collapsed="false">
      <c r="A698" s="4" t="s">
        <v>506</v>
      </c>
      <c r="B698" s="0" t="s">
        <v>90</v>
      </c>
      <c r="D698" s="22" t="n">
        <f aca="false">D697/C697-1</f>
        <v>0.600706436420722</v>
      </c>
      <c r="E698" s="22" t="n">
        <f aca="false">E697/D697-1</f>
        <v>0.390247888568178</v>
      </c>
      <c r="F698" s="22" t="n">
        <f aca="false">F697/E697-1</f>
        <v>-0.194272127932004</v>
      </c>
      <c r="G698" s="22" t="n">
        <f aca="false">G697/F697-1</f>
        <v>0.169084581246947</v>
      </c>
      <c r="H698" s="26" t="n">
        <f aca="false">$G698+(fade_gC-$G698)*1/3</f>
        <v>0.119389720831298</v>
      </c>
      <c r="I698" s="26" t="n">
        <f aca="false">$G698+(fade_gC-$G698)*2/3</f>
        <v>0.0696948604156489</v>
      </c>
      <c r="J698" s="26" t="n">
        <f aca="false">$G698+(fade_gC-$G698)*3/3</f>
        <v>0.02</v>
      </c>
    </row>
    <row r="699" customFormat="false" ht="17.15" hidden="false" customHeight="false" outlineLevel="0" collapsed="false">
      <c r="A699" s="0" t="s">
        <v>507</v>
      </c>
      <c r="B699" s="0" t="s">
        <v>90</v>
      </c>
      <c r="C699" s="22" t="n">
        <f aca="false">C690/C697</f>
        <v>0.4059</v>
      </c>
      <c r="D699" s="22" t="n">
        <f aca="false">D690/D697</f>
        <v>0.519472417005835</v>
      </c>
      <c r="E699" s="22" t="n">
        <f aca="false">E690/E697</f>
        <v>0.60730555694906</v>
      </c>
      <c r="F699" s="22" t="n">
        <f aca="false">F690/F697</f>
        <v>0.53398338183087</v>
      </c>
      <c r="G699" s="22" t="n">
        <f aca="false">G690/G697</f>
        <v>0.529432910804865</v>
      </c>
    </row>
    <row r="700" customFormat="false" ht="17.15" hidden="false" customHeight="false" outlineLevel="0" collapsed="false">
      <c r="A700" s="4" t="s">
        <v>508</v>
      </c>
      <c r="B700" s="0" t="s">
        <v>90</v>
      </c>
      <c r="C700" s="22" t="n">
        <f aca="false">C692/C697</f>
        <v>0.738</v>
      </c>
      <c r="D700" s="22" t="n">
        <f aca="false">D692/D697</f>
        <v>0.742103452865479</v>
      </c>
      <c r="E700" s="22" t="n">
        <f aca="false">E692/E697</f>
        <v>0.778652847118411</v>
      </c>
      <c r="F700" s="22" t="n">
        <f aca="false">F692/F697</f>
        <v>0.761531176610065</v>
      </c>
      <c r="G700" s="22" t="n">
        <f aca="false">G692/G697</f>
        <v>0.737695122384156</v>
      </c>
    </row>
    <row r="701" customFormat="false" ht="17.15" hidden="false" customHeight="false" outlineLevel="0" collapsed="false">
      <c r="A701" s="6" t="s">
        <v>509</v>
      </c>
    </row>
    <row r="702" customFormat="false" ht="15" hidden="false" customHeight="false" outlineLevel="0" collapsed="false">
      <c r="A702" s="4" t="s">
        <v>412</v>
      </c>
      <c r="B702" s="0" t="s">
        <v>90</v>
      </c>
      <c r="C702" s="14" t="n">
        <f aca="false">a25_gp/a25_rev</f>
        <v>0.574</v>
      </c>
      <c r="D702" s="14" t="n">
        <f aca="false">a26_gp/a26_rev</f>
        <v>0.593344593032623</v>
      </c>
      <c r="E702" s="14" t="n">
        <f aca="false">gm27_C+gm_adj</f>
        <v>0.58</v>
      </c>
      <c r="F702" s="14" t="n">
        <f aca="false">gmL_C+gm_adj</f>
        <v>0.565</v>
      </c>
      <c r="G702" s="14" t="n">
        <f aca="false">gmL_C+gm_adj</f>
        <v>0.565</v>
      </c>
    </row>
    <row r="703" customFormat="false" ht="15" hidden="false" customHeight="false" outlineLevel="0" collapsed="false">
      <c r="A703" s="4" t="s">
        <v>409</v>
      </c>
      <c r="B703" s="0" t="s">
        <v>189</v>
      </c>
      <c r="C703" s="17" t="n">
        <f aca="false">C697*C702</f>
        <v>7.678398</v>
      </c>
      <c r="D703" s="17" t="n">
        <f aca="false">D697*D702</f>
        <v>12.7050801</v>
      </c>
      <c r="E703" s="17" t="n">
        <f aca="false">E697*E702</f>
        <v>17.2659570416666</v>
      </c>
      <c r="F703" s="17" t="n">
        <f aca="false">F697*F702</f>
        <v>13.5518784429581</v>
      </c>
      <c r="G703" s="17" t="n">
        <f aca="false">G697*G702</f>
        <v>15.8432921345952</v>
      </c>
    </row>
    <row r="704" customFormat="false" ht="17.15" hidden="false" customHeight="false" outlineLevel="0" collapsed="false">
      <c r="A704" s="4" t="s">
        <v>510</v>
      </c>
      <c r="B704" s="0" t="s">
        <v>189</v>
      </c>
      <c r="D704" s="17" t="n">
        <f aca="false">a26_opx</f>
        <v>5.05564928556</v>
      </c>
      <c r="E704" s="17" t="n">
        <f aca="false">D704*(1+phi*E698)</f>
        <v>6.2394231609786</v>
      </c>
      <c r="F704" s="17" t="n">
        <f aca="false">E704*(1+phi*F698)</f>
        <v>5.51213555224768</v>
      </c>
      <c r="G704" s="17" t="n">
        <f aca="false">F704*(1+phi*G698)</f>
        <v>6.0713458312246</v>
      </c>
      <c r="K704" s="8" t="s">
        <v>511</v>
      </c>
    </row>
    <row r="705" customFormat="false" ht="15" hidden="false" customHeight="false" outlineLevel="0" collapsed="false">
      <c r="A705" s="4" t="s">
        <v>415</v>
      </c>
      <c r="B705" s="0" t="s">
        <v>189</v>
      </c>
      <c r="D705" s="17" t="n">
        <f aca="false">D703-D704</f>
        <v>7.64943081444</v>
      </c>
      <c r="E705" s="17" t="n">
        <f aca="false">E703-E704</f>
        <v>11.026533880688</v>
      </c>
      <c r="F705" s="17" t="n">
        <f aca="false">F703-F704</f>
        <v>8.03974289071045</v>
      </c>
      <c r="G705" s="17" t="n">
        <f aca="false">G703-G704</f>
        <v>9.77194630337062</v>
      </c>
    </row>
    <row r="706" customFormat="false" ht="15" hidden="false" customHeight="false" outlineLevel="0" collapsed="false">
      <c r="A706" s="4" t="s">
        <v>482</v>
      </c>
      <c r="B706" s="0" t="s">
        <v>90</v>
      </c>
      <c r="D706" s="14" t="n">
        <f aca="false">D705/D697</f>
        <v>0.357238866484999</v>
      </c>
      <c r="E706" s="14" t="n">
        <f aca="false">E705/E697</f>
        <v>0.370404584893009</v>
      </c>
      <c r="F706" s="14" t="n">
        <f aca="false">F705/F697</f>
        <v>0.335190044123497</v>
      </c>
      <c r="G706" s="14" t="n">
        <f aca="false">G705/G697</f>
        <v>0.348485000118661</v>
      </c>
    </row>
    <row r="707" customFormat="false" ht="15" hidden="false" customHeight="false" outlineLevel="0" collapsed="false">
      <c r="A707" s="4" t="s">
        <v>418</v>
      </c>
      <c r="B707" s="0" t="s">
        <v>189</v>
      </c>
      <c r="C707" s="17" t="n">
        <f aca="false">a25_ni</f>
        <v>3.18</v>
      </c>
      <c r="D707" s="17" t="n">
        <f aca="false">a26_ni</f>
        <v>6.7316248085628</v>
      </c>
      <c r="E707" s="17" t="n">
        <f aca="false">E705*ni_oi</f>
        <v>9.37255379858483</v>
      </c>
      <c r="F707" s="17" t="n">
        <f aca="false">F705*ni_oi</f>
        <v>6.83378145710388</v>
      </c>
      <c r="G707" s="17" t="n">
        <f aca="false">G705*ni_oi</f>
        <v>8.30615435786503</v>
      </c>
      <c r="H707" s="30" t="n">
        <f aca="false">H697*H711</f>
        <v>8.68005836452026</v>
      </c>
      <c r="I707" s="30" t="n">
        <f aca="false">I697*I711</f>
        <v>8.62419330098201</v>
      </c>
      <c r="J707" s="30" t="n">
        <f aca="false">J697*J711</f>
        <v>8.12264023695541</v>
      </c>
    </row>
    <row r="708" customFormat="false" ht="15" hidden="false" customHeight="false" outlineLevel="0" collapsed="false">
      <c r="A708" s="4" t="s">
        <v>512</v>
      </c>
      <c r="B708" s="4" t="s">
        <v>513</v>
      </c>
      <c r="C708" s="19" t="n">
        <f aca="false">a25_sh</f>
        <v>94.9537175276202</v>
      </c>
      <c r="D708" s="19" t="n">
        <f aca="false">a26_sh</f>
        <v>97.9860681630967</v>
      </c>
      <c r="E708" s="19" t="n">
        <f aca="false">D708*(1+sh_g)</f>
        <v>97.9860681630967</v>
      </c>
      <c r="F708" s="19" t="n">
        <f aca="false">E708*(1+sh_g)</f>
        <v>97.9860681630967</v>
      </c>
      <c r="G708" s="19" t="n">
        <f aca="false">F708*(1+sh_g)</f>
        <v>97.9860681630967</v>
      </c>
      <c r="H708" s="25" t="n">
        <f aca="false">G708*(1+sh_g)</f>
        <v>97.9860681630967</v>
      </c>
      <c r="I708" s="25" t="n">
        <f aca="false">H708*(1+sh_g)</f>
        <v>97.9860681630967</v>
      </c>
      <c r="J708" s="25" t="n">
        <f aca="false">I708*(1+sh_g)</f>
        <v>97.9860681630967</v>
      </c>
    </row>
    <row r="709" customFormat="false" ht="15" hidden="false" customHeight="false" outlineLevel="0" collapsed="false">
      <c r="A709" s="0" t="s">
        <v>423</v>
      </c>
      <c r="B709" s="0" t="s">
        <v>256</v>
      </c>
      <c r="C709" s="20" t="n">
        <f aca="false">a25_eps</f>
        <v>33.49</v>
      </c>
      <c r="D709" s="20" t="n">
        <f aca="false">a26_eps</f>
        <v>68.6959552317267</v>
      </c>
      <c r="E709" s="20" t="n">
        <f aca="false">E707/E708*1000</f>
        <v>95.6519020947378</v>
      </c>
      <c r="F709" s="20" t="n">
        <f aca="false">F707/F708*1000</f>
        <v>69.7423785361928</v>
      </c>
      <c r="G709" s="20" t="n">
        <f aca="false">G707/G708*1000</f>
        <v>84.7687279791606</v>
      </c>
      <c r="H709" s="28" t="n">
        <f aca="false">H707/H708*1000</f>
        <v>88.5846174588045</v>
      </c>
      <c r="I709" s="28" t="n">
        <f aca="false">I707/I708*1000</f>
        <v>88.0144847390666</v>
      </c>
      <c r="J709" s="28" t="n">
        <f aca="false">J707/J708*1000</f>
        <v>82.8958686599749</v>
      </c>
    </row>
    <row r="710" customFormat="false" ht="17.15" hidden="false" customHeight="false" outlineLevel="0" collapsed="false">
      <c r="A710" s="0" t="s">
        <v>514</v>
      </c>
      <c r="B710" s="0" t="s">
        <v>90</v>
      </c>
      <c r="D710" s="22" t="n">
        <f aca="false">D709/C709-1</f>
        <v>1.05123783910799</v>
      </c>
      <c r="E710" s="22" t="n">
        <f aca="false">E709/D709-1</f>
        <v>0.392394963751253</v>
      </c>
      <c r="F710" s="22" t="n">
        <f aca="false">F709/E709-1</f>
        <v>-0.270873061498381</v>
      </c>
      <c r="G710" s="22" t="n">
        <f aca="false">G709/F709-1</f>
        <v>0.21545507564199</v>
      </c>
      <c r="H710" s="26" t="n">
        <f aca="false">H709/G709-1</f>
        <v>0.0450152971574849</v>
      </c>
      <c r="I710" s="26" t="n">
        <f aca="false">I709/H709-1</f>
        <v>-0.00643602395193599</v>
      </c>
      <c r="J710" s="26" t="n">
        <f aca="false">J709/I709-1</f>
        <v>-0.0581565192850547</v>
      </c>
    </row>
    <row r="711" customFormat="false" ht="17.15" hidden="false" customHeight="false" outlineLevel="0" collapsed="false">
      <c r="A711" s="4" t="s">
        <v>515</v>
      </c>
      <c r="B711" s="0" t="s">
        <v>90</v>
      </c>
      <c r="C711" s="14" t="n">
        <f aca="false">C707/C697</f>
        <v>0.237721462211258</v>
      </c>
      <c r="D711" s="14" t="n">
        <f aca="false">D707/D697</f>
        <v>0.314376072488123</v>
      </c>
      <c r="E711" s="14" t="n">
        <f aca="false">E707/E697</f>
        <v>0.314843897159058</v>
      </c>
      <c r="F711" s="14" t="n">
        <f aca="false">F707/F697</f>
        <v>0.284911537504973</v>
      </c>
      <c r="G711" s="14" t="n">
        <f aca="false">G707/G697</f>
        <v>0.296212250100862</v>
      </c>
      <c r="H711" s="27" t="n">
        <f aca="false">$G711+(fade_mC-$G711)*1/3</f>
        <v>0.276531333815501</v>
      </c>
      <c r="I711" s="27" t="n">
        <f aca="false">$G711+(fade_mC-$G711)*2/3</f>
        <v>0.256850417530139</v>
      </c>
      <c r="J711" s="27" t="n">
        <f aca="false">$G711+(fade_mC-$G711)*3/3</f>
        <v>0.237169501244778</v>
      </c>
    </row>
    <row r="714" customFormat="false" ht="17.15" hidden="false" customHeight="false" outlineLevel="0" collapsed="false">
      <c r="A714" s="1" t="s">
        <v>823</v>
      </c>
    </row>
    <row r="715" customFormat="false" ht="17.15" hidden="false" customHeight="false" outlineLevel="0" collapsed="false">
      <c r="A715" s="5" t="s">
        <v>21</v>
      </c>
      <c r="B715" s="5" t="s">
        <v>22</v>
      </c>
      <c r="C715" s="15" t="s">
        <v>387</v>
      </c>
      <c r="D715" s="15" t="s">
        <v>468</v>
      </c>
      <c r="E715" s="15" t="s">
        <v>469</v>
      </c>
      <c r="F715" s="15" t="s">
        <v>470</v>
      </c>
      <c r="G715" s="15" t="s">
        <v>471</v>
      </c>
      <c r="H715" s="15" t="s">
        <v>472</v>
      </c>
      <c r="I715" s="15" t="s">
        <v>473</v>
      </c>
      <c r="J715" s="15" t="s">
        <v>474</v>
      </c>
      <c r="K715" s="5" t="s">
        <v>336</v>
      </c>
    </row>
    <row r="716" customFormat="false" ht="17.15" hidden="false" customHeight="false" outlineLevel="0" collapsed="false">
      <c r="A716" s="6" t="s">
        <v>492</v>
      </c>
    </row>
    <row r="717" customFormat="false" ht="17.15" hidden="false" customHeight="false" outlineLevel="0" collapsed="false">
      <c r="A717" s="0" t="s">
        <v>493</v>
      </c>
      <c r="B717" s="4" t="s">
        <v>32</v>
      </c>
      <c r="D717" s="20" t="n">
        <f aca="false">units_26</f>
        <v>15.2</v>
      </c>
      <c r="E717" s="20" t="n">
        <f aca="false">units_27*1</f>
        <v>23.7</v>
      </c>
      <c r="F717" s="20" t="n">
        <f aca="false">units_28*um28_A*1</f>
        <v>26.5</v>
      </c>
      <c r="G717" s="20" t="n">
        <f aca="false">units_29*um29_A*1</f>
        <v>30.15</v>
      </c>
    </row>
    <row r="718" customFormat="false" ht="17.15" hidden="false" customHeight="false" outlineLevel="0" collapsed="false">
      <c r="A718" s="4" t="s">
        <v>494</v>
      </c>
      <c r="B718" s="0" t="s">
        <v>45</v>
      </c>
      <c r="D718" s="18" t="n">
        <f aca="false">ex_nv*nvtt_26+astt_26</f>
        <v>0.607994</v>
      </c>
      <c r="E718" s="18" t="n">
        <f aca="false">ex_nv*nvtt_27+astt_27</f>
        <v>0.6560764</v>
      </c>
      <c r="F718" s="18" t="n">
        <f aca="false">ex_nv*nvtt_28+astt_28</f>
        <v>0.6898114</v>
      </c>
      <c r="G718" s="18" t="n">
        <f aca="false">ex_nv*nvtt_29+astt_29</f>
        <v>0.692935</v>
      </c>
      <c r="K718" s="8" t="s">
        <v>495</v>
      </c>
    </row>
    <row r="719" customFormat="false" ht="17.15" hidden="false" customHeight="false" outlineLevel="0" collapsed="false">
      <c r="A719" s="4" t="s">
        <v>447</v>
      </c>
      <c r="B719" s="0" t="s">
        <v>45</v>
      </c>
      <c r="D719" s="18" t="n">
        <f aca="false">D717*D718/($D717*$D718)</f>
        <v>1</v>
      </c>
      <c r="E719" s="18" t="n">
        <f aca="false">E717*E718/($D717*$D718)</f>
        <v>1.68251862509724</v>
      </c>
      <c r="F719" s="18" t="n">
        <f aca="false">F717*F718/($D717*$D718)</f>
        <v>1.97803221266207</v>
      </c>
      <c r="G719" s="18" t="n">
        <f aca="false">G717*G718/($D717*$D718)</f>
        <v>2.26066876114428</v>
      </c>
    </row>
    <row r="720" customFormat="false" ht="17.15" hidden="false" customHeight="false" outlineLevel="0" collapsed="false">
      <c r="A720" s="4" t="s">
        <v>496</v>
      </c>
      <c r="B720" s="0" t="s">
        <v>45</v>
      </c>
      <c r="D720" s="20" t="n">
        <f aca="false">1</f>
        <v>1</v>
      </c>
      <c r="E720" s="20" t="n">
        <f aca="false">rel27_A</f>
        <v>1.05</v>
      </c>
      <c r="F720" s="20" t="n">
        <f aca="false">rel28_A</f>
        <v>1.08</v>
      </c>
      <c r="G720" s="20" t="n">
        <f aca="false">rel29_A</f>
        <v>1.1</v>
      </c>
    </row>
    <row r="721" customFormat="false" ht="17.15" hidden="false" customHeight="false" outlineLevel="0" collapsed="false">
      <c r="A721" s="4" t="s">
        <v>497</v>
      </c>
      <c r="B721" s="0" t="s">
        <v>45</v>
      </c>
      <c r="D721" s="18" t="n">
        <f aca="false">1</f>
        <v>1</v>
      </c>
      <c r="E721" s="18" t="n">
        <f aca="false">(1+g_ct_lo)^1</f>
        <v>1</v>
      </c>
      <c r="F721" s="18" t="n">
        <f aca="false">(1+g_ct_lo)^2</f>
        <v>1</v>
      </c>
      <c r="G721" s="18" t="n">
        <f aca="false">(1+g_ct_lo)^3</f>
        <v>1</v>
      </c>
    </row>
    <row r="722" customFormat="false" ht="17.15" hidden="false" customHeight="false" outlineLevel="0" collapsed="false">
      <c r="A722" s="6" t="s">
        <v>498</v>
      </c>
    </row>
    <row r="723" customFormat="false" ht="17.15" hidden="false" customHeight="false" outlineLevel="0" collapsed="false">
      <c r="A723" s="0" t="s">
        <v>401</v>
      </c>
      <c r="B723" s="0" t="s">
        <v>189</v>
      </c>
      <c r="C723" s="17" t="n">
        <f aca="false">a25_ai</f>
        <v>5.4297243</v>
      </c>
      <c r="D723" s="17" t="n">
        <f aca="false">a26_ai</f>
        <v>9.5342409</v>
      </c>
      <c r="E723" s="17" t="n">
        <f aca="false">$D723*E719*E720*E721</f>
        <v>16.8436147849345</v>
      </c>
      <c r="F723" s="17" t="n">
        <f aca="false">$D723*F719*F720*F721</f>
        <v>20.3677584733586</v>
      </c>
      <c r="G723" s="17" t="n">
        <f aca="false">$D723*G719*G720*G721</f>
        <v>23.7091366202396</v>
      </c>
      <c r="K723" s="8" t="s">
        <v>499</v>
      </c>
    </row>
    <row r="724" customFormat="false" ht="17.15" hidden="false" customHeight="false" outlineLevel="0" collapsed="false">
      <c r="A724" s="4" t="s">
        <v>404</v>
      </c>
      <c r="B724" s="0" t="s">
        <v>189</v>
      </c>
      <c r="C724" s="17" t="n">
        <f aca="false">a25_npc</f>
        <v>4.4425017</v>
      </c>
      <c r="D724" s="17" t="n">
        <f aca="false">a26_npc</f>
        <v>6.3561606</v>
      </c>
      <c r="E724" s="17" t="n">
        <f aca="false">D724*(1+g_nonai+d_npc)</f>
        <v>6.801091842</v>
      </c>
      <c r="F724" s="17" t="n">
        <f aca="false">E724*(1+g_nonai+d_npc)</f>
        <v>7.27716827094</v>
      </c>
      <c r="G724" s="17" t="n">
        <f aca="false">F724*(1+g_nonai+d_npc)</f>
        <v>7.7865700499058</v>
      </c>
      <c r="K724" s="4" t="s">
        <v>500</v>
      </c>
    </row>
    <row r="725" customFormat="false" ht="15" hidden="false" customHeight="false" outlineLevel="0" collapsed="false">
      <c r="A725" s="4" t="s">
        <v>398</v>
      </c>
      <c r="B725" s="0" t="s">
        <v>189</v>
      </c>
      <c r="C725" s="17" t="n">
        <f aca="false">C723+C724</f>
        <v>9.872226</v>
      </c>
      <c r="D725" s="17" t="n">
        <f aca="false">D723+D724</f>
        <v>15.8904015</v>
      </c>
      <c r="E725" s="17" t="n">
        <f aca="false">E723+E724</f>
        <v>23.6447066269345</v>
      </c>
      <c r="F725" s="17" t="n">
        <f aca="false">F723+F724</f>
        <v>27.6449267442986</v>
      </c>
      <c r="G725" s="17" t="n">
        <f aca="false">G723+G724</f>
        <v>31.4957066701454</v>
      </c>
    </row>
    <row r="726" customFormat="false" ht="17.15" hidden="false" customHeight="false" outlineLevel="0" collapsed="false">
      <c r="A726" s="0" t="s">
        <v>501</v>
      </c>
      <c r="B726" s="0" t="s">
        <v>189</v>
      </c>
      <c r="D726" s="17" t="n">
        <f aca="false">k_cpo*cpo_A_26/cpo_A_27</f>
        <v>0.24</v>
      </c>
      <c r="E726" s="17" t="n">
        <f aca="false">k_cpo*cpo_A_27/cpo_A_27</f>
        <v>1.2</v>
      </c>
      <c r="F726" s="17" t="n">
        <f aca="false">k_cpo*cpo_A_28/cpo_A_27</f>
        <v>2.4</v>
      </c>
      <c r="G726" s="17" t="n">
        <f aca="false">k_cpo*cpo_A_29/cpo_A_27</f>
        <v>3.84</v>
      </c>
      <c r="K726" s="8" t="s">
        <v>502</v>
      </c>
    </row>
    <row r="727" customFormat="false" ht="17.15" hidden="false" customHeight="false" outlineLevel="0" collapsed="false">
      <c r="A727" s="4" t="s">
        <v>503</v>
      </c>
      <c r="B727" s="0" t="s">
        <v>189</v>
      </c>
      <c r="C727" s="17" t="n">
        <f aca="false">a25_eq</f>
        <v>3.290742</v>
      </c>
      <c r="D727" s="17" t="n">
        <f aca="false">a26_eq-D726</f>
        <v>4.8539955</v>
      </c>
      <c r="E727" s="17" t="n">
        <f aca="false">D727*semi_27</f>
        <v>5.659593717153</v>
      </c>
      <c r="F727" s="17" t="n">
        <f aca="false">$E727*eqk28_A</f>
        <v>6.59889384801401</v>
      </c>
      <c r="G727" s="17" t="n">
        <f aca="false">$E727*eqk29_A</f>
        <v>7.12680377116889</v>
      </c>
      <c r="K727" s="8" t="s">
        <v>504</v>
      </c>
    </row>
    <row r="728" customFormat="false" ht="15" hidden="false" customHeight="false" outlineLevel="0" collapsed="false">
      <c r="A728" s="4" t="s">
        <v>405</v>
      </c>
      <c r="B728" s="0" t="s">
        <v>189</v>
      </c>
      <c r="C728" s="17" t="n">
        <f aca="false">a25_eq</f>
        <v>3.290742</v>
      </c>
      <c r="D728" s="17" t="n">
        <f aca="false">D726+D727</f>
        <v>5.0939955</v>
      </c>
      <c r="E728" s="17" t="n">
        <f aca="false">E726+E727</f>
        <v>6.859593717153</v>
      </c>
      <c r="F728" s="17" t="n">
        <f aca="false">F726+F727</f>
        <v>8.99889384801401</v>
      </c>
      <c r="G728" s="17" t="n">
        <f aca="false">G726+G727</f>
        <v>10.9668037711689</v>
      </c>
    </row>
    <row r="729" customFormat="false" ht="15" hidden="false" customHeight="false" outlineLevel="0" collapsed="false">
      <c r="A729" s="4" t="s">
        <v>407</v>
      </c>
      <c r="B729" s="0" t="s">
        <v>189</v>
      </c>
      <c r="C729" s="17" t="n">
        <f aca="false">a25_oth</f>
        <v>0.214032000000001</v>
      </c>
      <c r="D729" s="17" t="n">
        <f aca="false">a26_oth</f>
        <v>0.428253</v>
      </c>
      <c r="E729" s="17" t="n">
        <f aca="false">D729*(1+g_oth)</f>
        <v>0.44966565</v>
      </c>
      <c r="F729" s="17" t="n">
        <f aca="false">E729*(1+g_oth)</f>
        <v>0.4721489325</v>
      </c>
      <c r="G729" s="17" t="n">
        <f aca="false">F729*(1+g_oth)</f>
        <v>0.495756379125</v>
      </c>
    </row>
    <row r="730" customFormat="false" ht="17.15" hidden="false" customHeight="false" outlineLevel="0" collapsed="false">
      <c r="A730" s="4" t="s">
        <v>394</v>
      </c>
      <c r="B730" s="0" t="s">
        <v>189</v>
      </c>
      <c r="C730" s="17" t="n">
        <f aca="false">C725+C728+C729</f>
        <v>13.377</v>
      </c>
      <c r="D730" s="17" t="n">
        <f aca="false">D725+D728+D729</f>
        <v>21.41265</v>
      </c>
      <c r="E730" s="17" t="n">
        <f aca="false">E725+E728+E729</f>
        <v>30.9539659940875</v>
      </c>
      <c r="F730" s="17" t="n">
        <f aca="false">F725+F728+F729</f>
        <v>37.1159695248126</v>
      </c>
      <c r="G730" s="17" t="n">
        <f aca="false">G725+G728+G729</f>
        <v>42.9582668204393</v>
      </c>
      <c r="H730" s="30" t="n">
        <f aca="false">G730*(1+H731)</f>
        <v>48.3253743226783</v>
      </c>
      <c r="I730" s="30" t="n">
        <f aca="false">H730*(1+I731)</f>
        <v>52.7939663650621</v>
      </c>
      <c r="J730" s="30" t="n">
        <f aca="false">I730*(1+J731)</f>
        <v>55.9616043469658</v>
      </c>
      <c r="K730" s="8" t="s">
        <v>505</v>
      </c>
    </row>
    <row r="731" customFormat="false" ht="15" hidden="false" customHeight="false" outlineLevel="0" collapsed="false">
      <c r="A731" s="4" t="s">
        <v>506</v>
      </c>
      <c r="B731" s="0" t="s">
        <v>90</v>
      </c>
      <c r="D731" s="22" t="n">
        <f aca="false">D730/C730-1</f>
        <v>0.600706436420722</v>
      </c>
      <c r="E731" s="22" t="n">
        <f aca="false">E730/D730-1</f>
        <v>0.445592488276207</v>
      </c>
      <c r="F731" s="22" t="n">
        <f aca="false">F730/E730-1</f>
        <v>0.19906991989014</v>
      </c>
      <c r="G731" s="22" t="n">
        <f aca="false">G730/F730-1</f>
        <v>0.157406565702695</v>
      </c>
      <c r="H731" s="26" t="n">
        <f aca="false">$G731+(fade_gA-$G731)*1/3</f>
        <v>0.124937710468463</v>
      </c>
      <c r="I731" s="26" t="n">
        <f aca="false">$G731+(fade_gA-$G731)*2/3</f>
        <v>0.0924688552342316</v>
      </c>
      <c r="J731" s="26" t="n">
        <f aca="false">$G731+(fade_gA-$G731)*3/3</f>
        <v>0.06</v>
      </c>
    </row>
    <row r="732" customFormat="false" ht="17.15" hidden="false" customHeight="false" outlineLevel="0" collapsed="false">
      <c r="A732" s="0" t="s">
        <v>507</v>
      </c>
      <c r="B732" s="0" t="s">
        <v>90</v>
      </c>
      <c r="C732" s="22" t="n">
        <f aca="false">C723/C730</f>
        <v>0.4059</v>
      </c>
      <c r="D732" s="22" t="n">
        <f aca="false">D723/D730</f>
        <v>0.445262071719287</v>
      </c>
      <c r="E732" s="22" t="n">
        <f aca="false">E723/E730</f>
        <v>0.544150458398507</v>
      </c>
      <c r="F732" s="22" t="n">
        <f aca="false">F723/F730</f>
        <v>0.548759974052205</v>
      </c>
      <c r="G732" s="22" t="n">
        <f aca="false">G723/G730</f>
        <v>0.551910921344688</v>
      </c>
    </row>
    <row r="733" customFormat="false" ht="17.15" hidden="false" customHeight="false" outlineLevel="0" collapsed="false">
      <c r="A733" s="4" t="s">
        <v>508</v>
      </c>
      <c r="B733" s="0" t="s">
        <v>90</v>
      </c>
      <c r="C733" s="22" t="n">
        <f aca="false">C725/C730</f>
        <v>0.738</v>
      </c>
      <c r="D733" s="22" t="n">
        <f aca="false">D725/D730</f>
        <v>0.742103452865479</v>
      </c>
      <c r="E733" s="22" t="n">
        <f aca="false">E725/E730</f>
        <v>0.763866789523865</v>
      </c>
      <c r="F733" s="22" t="n">
        <f aca="false">F725/F730</f>
        <v>0.744825666639734</v>
      </c>
      <c r="G733" s="22" t="n">
        <f aca="false">G725/G730</f>
        <v>0.733169864645468</v>
      </c>
    </row>
    <row r="734" customFormat="false" ht="17.15" hidden="false" customHeight="false" outlineLevel="0" collapsed="false">
      <c r="A734" s="6" t="s">
        <v>509</v>
      </c>
    </row>
    <row r="735" customFormat="false" ht="15" hidden="false" customHeight="false" outlineLevel="0" collapsed="false">
      <c r="A735" s="4" t="s">
        <v>412</v>
      </c>
      <c r="B735" s="0" t="s">
        <v>90</v>
      </c>
      <c r="C735" s="14" t="n">
        <f aca="false">a25_gp/a25_rev</f>
        <v>0.574</v>
      </c>
      <c r="D735" s="14" t="n">
        <f aca="false">a26_gp/a26_rev</f>
        <v>0.593344593032623</v>
      </c>
      <c r="E735" s="14" t="n">
        <f aca="false">gm27_A+gm_adj</f>
        <v>0.6</v>
      </c>
      <c r="F735" s="14" t="n">
        <f aca="false">gmL_A+gm_adj</f>
        <v>0.61</v>
      </c>
      <c r="G735" s="14" t="n">
        <f aca="false">gmL_A+gm_adj</f>
        <v>0.61</v>
      </c>
    </row>
    <row r="736" customFormat="false" ht="15" hidden="false" customHeight="false" outlineLevel="0" collapsed="false">
      <c r="A736" s="4" t="s">
        <v>409</v>
      </c>
      <c r="B736" s="0" t="s">
        <v>189</v>
      </c>
      <c r="C736" s="17" t="n">
        <f aca="false">C730*C735</f>
        <v>7.678398</v>
      </c>
      <c r="D736" s="17" t="n">
        <f aca="false">D730*D735</f>
        <v>12.7050801</v>
      </c>
      <c r="E736" s="17" t="n">
        <f aca="false">E730*E735</f>
        <v>18.5723795964525</v>
      </c>
      <c r="F736" s="17" t="n">
        <f aca="false">F730*F735</f>
        <v>22.6407414101357</v>
      </c>
      <c r="G736" s="17" t="n">
        <f aca="false">G730*G735</f>
        <v>26.204542760468</v>
      </c>
    </row>
    <row r="737" customFormat="false" ht="17.15" hidden="false" customHeight="false" outlineLevel="0" collapsed="false">
      <c r="A737" s="4" t="s">
        <v>510</v>
      </c>
      <c r="B737" s="0" t="s">
        <v>189</v>
      </c>
      <c r="D737" s="17" t="n">
        <f aca="false">a26_opx</f>
        <v>5.05564928556</v>
      </c>
      <c r="E737" s="17" t="n">
        <f aca="false">D737*(1+phi*E731)</f>
        <v>6.4073048925627</v>
      </c>
      <c r="F737" s="17" t="n">
        <f aca="false">E737*(1+phi*F731)</f>
        <v>7.1726058955672</v>
      </c>
      <c r="G737" s="17" t="n">
        <f aca="false">F737*(1+phi*G731)</f>
        <v>7.85001505226328</v>
      </c>
      <c r="K737" s="8" t="s">
        <v>511</v>
      </c>
    </row>
    <row r="738" customFormat="false" ht="15" hidden="false" customHeight="false" outlineLevel="0" collapsed="false">
      <c r="A738" s="4" t="s">
        <v>415</v>
      </c>
      <c r="B738" s="0" t="s">
        <v>189</v>
      </c>
      <c r="D738" s="17" t="n">
        <f aca="false">D736-D737</f>
        <v>7.64943081444</v>
      </c>
      <c r="E738" s="17" t="n">
        <f aca="false">E736-E737</f>
        <v>12.1650747038898</v>
      </c>
      <c r="F738" s="17" t="n">
        <f aca="false">F736-F737</f>
        <v>15.4681355145685</v>
      </c>
      <c r="G738" s="17" t="n">
        <f aca="false">G736-G737</f>
        <v>18.3545277082047</v>
      </c>
    </row>
    <row r="739" customFormat="false" ht="15" hidden="false" customHeight="false" outlineLevel="0" collapsed="false">
      <c r="A739" s="4" t="s">
        <v>482</v>
      </c>
      <c r="B739" s="0" t="s">
        <v>90</v>
      </c>
      <c r="D739" s="14" t="n">
        <f aca="false">D738/D730</f>
        <v>0.357238866484999</v>
      </c>
      <c r="E739" s="14" t="n">
        <f aca="false">E738/E730</f>
        <v>0.393005365006004</v>
      </c>
      <c r="F739" s="14" t="n">
        <f aca="false">F738/F730</f>
        <v>0.416751487637358</v>
      </c>
      <c r="G739" s="14" t="n">
        <f aca="false">G738/G730</f>
        <v>0.427264158140377</v>
      </c>
    </row>
    <row r="740" customFormat="false" ht="15" hidden="false" customHeight="false" outlineLevel="0" collapsed="false">
      <c r="A740" s="4" t="s">
        <v>418</v>
      </c>
      <c r="B740" s="0" t="s">
        <v>189</v>
      </c>
      <c r="C740" s="17" t="n">
        <f aca="false">a25_ni</f>
        <v>3.18</v>
      </c>
      <c r="D740" s="17" t="n">
        <f aca="false">a26_ni</f>
        <v>6.7316248085628</v>
      </c>
      <c r="E740" s="17" t="n">
        <f aca="false">E738*ni_oi</f>
        <v>10.3403134983063</v>
      </c>
      <c r="F740" s="17" t="n">
        <f aca="false">F738*ni_oi</f>
        <v>13.1479151873832</v>
      </c>
      <c r="G740" s="17" t="n">
        <f aca="false">G738*ni_oi</f>
        <v>15.601348551974</v>
      </c>
      <c r="H740" s="30" t="n">
        <f aca="false">H730*H744</f>
        <v>17.62123523173</v>
      </c>
      <c r="I740" s="30" t="n">
        <f aca="false">I730*I744</f>
        <v>19.3278772080617</v>
      </c>
      <c r="J740" s="30" t="n">
        <f aca="false">J730*J744</f>
        <v>20.5694099587844</v>
      </c>
    </row>
    <row r="741" customFormat="false" ht="15" hidden="false" customHeight="false" outlineLevel="0" collapsed="false">
      <c r="A741" s="4" t="s">
        <v>512</v>
      </c>
      <c r="B741" s="4" t="s">
        <v>513</v>
      </c>
      <c r="C741" s="19" t="n">
        <f aca="false">a25_sh</f>
        <v>94.9537175276202</v>
      </c>
      <c r="D741" s="19" t="n">
        <f aca="false">a26_sh</f>
        <v>97.9860681630967</v>
      </c>
      <c r="E741" s="19" t="n">
        <f aca="false">D741*(1+sh_g)</f>
        <v>97.9860681630967</v>
      </c>
      <c r="F741" s="19" t="n">
        <f aca="false">E741*(1+sh_g)</f>
        <v>97.9860681630967</v>
      </c>
      <c r="G741" s="19" t="n">
        <f aca="false">F741*(1+sh_g)</f>
        <v>97.9860681630967</v>
      </c>
      <c r="H741" s="25" t="n">
        <f aca="false">G741*(1+sh_g)</f>
        <v>97.9860681630967</v>
      </c>
      <c r="I741" s="25" t="n">
        <f aca="false">H741*(1+sh_g)</f>
        <v>97.9860681630967</v>
      </c>
      <c r="J741" s="25" t="n">
        <f aca="false">I741*(1+sh_g)</f>
        <v>97.9860681630967</v>
      </c>
    </row>
    <row r="742" customFormat="false" ht="15" hidden="false" customHeight="false" outlineLevel="0" collapsed="false">
      <c r="A742" s="0" t="s">
        <v>423</v>
      </c>
      <c r="B742" s="0" t="s">
        <v>256</v>
      </c>
      <c r="C742" s="20" t="n">
        <f aca="false">a25_eps</f>
        <v>33.49</v>
      </c>
      <c r="D742" s="20" t="n">
        <f aca="false">a26_eps</f>
        <v>68.6959552317267</v>
      </c>
      <c r="E742" s="20" t="n">
        <f aca="false">E740/E741*1000</f>
        <v>105.528405130972</v>
      </c>
      <c r="F742" s="20" t="n">
        <f aca="false">F740/F741*1000</f>
        <v>134.181475324621</v>
      </c>
      <c r="G742" s="20" t="n">
        <f aca="false">G740/G741*1000</f>
        <v>159.220069183771</v>
      </c>
      <c r="H742" s="28" t="n">
        <f aca="false">H740/H741*1000</f>
        <v>179.834088274669</v>
      </c>
      <c r="I742" s="28" t="n">
        <f aca="false">I740/I741*1000</f>
        <v>197.2512783745</v>
      </c>
      <c r="J742" s="28" t="n">
        <f aca="false">J740/J741*1000</f>
        <v>209.92178117145</v>
      </c>
    </row>
    <row r="743" customFormat="false" ht="17.15" hidden="false" customHeight="false" outlineLevel="0" collapsed="false">
      <c r="A743" s="0" t="s">
        <v>514</v>
      </c>
      <c r="B743" s="0" t="s">
        <v>90</v>
      </c>
      <c r="D743" s="22" t="n">
        <f aca="false">D742/C742-1</f>
        <v>1.05123783910799</v>
      </c>
      <c r="E743" s="22" t="n">
        <f aca="false">E742/D742-1</f>
        <v>0.536166209131259</v>
      </c>
      <c r="F743" s="22" t="n">
        <f aca="false">F742/E742-1</f>
        <v>0.271519977565164</v>
      </c>
      <c r="G743" s="22" t="n">
        <f aca="false">G742/F742-1</f>
        <v>0.186602463555976</v>
      </c>
      <c r="H743" s="26" t="n">
        <f aca="false">H742/G742-1</f>
        <v>0.129468723362409</v>
      </c>
      <c r="I743" s="26" t="n">
        <f aca="false">I742/H742-1</f>
        <v>0.0968514382725341</v>
      </c>
      <c r="J743" s="26" t="n">
        <f aca="false">J742/I742-1</f>
        <v>0.0642353393162491</v>
      </c>
    </row>
    <row r="744" customFormat="false" ht="17.15" hidden="false" customHeight="false" outlineLevel="0" collapsed="false">
      <c r="A744" s="4" t="s">
        <v>515</v>
      </c>
      <c r="B744" s="0" t="s">
        <v>90</v>
      </c>
      <c r="C744" s="14" t="n">
        <f aca="false">C740/C730</f>
        <v>0.237721462211258</v>
      </c>
      <c r="D744" s="14" t="n">
        <f aca="false">D740/D730</f>
        <v>0.314376072488123</v>
      </c>
      <c r="E744" s="14" t="n">
        <f aca="false">E740/E730</f>
        <v>0.334054560255104</v>
      </c>
      <c r="F744" s="14" t="n">
        <f aca="false">F740/F730</f>
        <v>0.354238764491754</v>
      </c>
      <c r="G744" s="14" t="n">
        <f aca="false">G740/G730</f>
        <v>0.36317453441932</v>
      </c>
      <c r="H744" s="27" t="n">
        <f aca="false">$G744+(fade_mA-$G744)*1/3</f>
        <v>0.364637325187995</v>
      </c>
      <c r="I744" s="27" t="n">
        <f aca="false">$G744+(fade_mA-$G744)*2/3</f>
        <v>0.366100115956669</v>
      </c>
      <c r="J744" s="27" t="n">
        <f aca="false">$G744+(fade_mA-$G744)*3/3</f>
        <v>0.367562906725343</v>
      </c>
    </row>
    <row r="747" customFormat="false" ht="17.15" hidden="false" customHeight="false" outlineLevel="0" collapsed="false">
      <c r="A747" s="1" t="s">
        <v>824</v>
      </c>
    </row>
    <row r="748" customFormat="false" ht="17.15" hidden="false" customHeight="false" outlineLevel="0" collapsed="false">
      <c r="A748" s="5" t="s">
        <v>21</v>
      </c>
      <c r="B748" s="5" t="s">
        <v>22</v>
      </c>
      <c r="C748" s="15" t="s">
        <v>387</v>
      </c>
      <c r="D748" s="15" t="s">
        <v>468</v>
      </c>
      <c r="E748" s="15" t="s">
        <v>469</v>
      </c>
      <c r="F748" s="15" t="s">
        <v>470</v>
      </c>
      <c r="G748" s="15" t="s">
        <v>471</v>
      </c>
      <c r="H748" s="15" t="s">
        <v>472</v>
      </c>
      <c r="I748" s="15" t="s">
        <v>473</v>
      </c>
      <c r="J748" s="15" t="s">
        <v>474</v>
      </c>
      <c r="K748" s="5" t="s">
        <v>336</v>
      </c>
    </row>
    <row r="749" customFormat="false" ht="17.15" hidden="false" customHeight="false" outlineLevel="0" collapsed="false">
      <c r="A749" s="6" t="s">
        <v>492</v>
      </c>
    </row>
    <row r="750" customFormat="false" ht="17.15" hidden="false" customHeight="false" outlineLevel="0" collapsed="false">
      <c r="A750" s="0" t="s">
        <v>493</v>
      </c>
      <c r="B750" s="4" t="s">
        <v>32</v>
      </c>
      <c r="D750" s="20" t="n">
        <f aca="false">units_26</f>
        <v>15.2</v>
      </c>
      <c r="E750" s="20" t="n">
        <f aca="false">units_27*1</f>
        <v>23.7</v>
      </c>
      <c r="F750" s="20" t="n">
        <f aca="false">units_28*um28_B*1</f>
        <v>21.2</v>
      </c>
      <c r="G750" s="20" t="n">
        <f aca="false">units_29*um29_B*1</f>
        <v>25.6275</v>
      </c>
    </row>
    <row r="751" customFormat="false" ht="17.15" hidden="false" customHeight="false" outlineLevel="0" collapsed="false">
      <c r="A751" s="4" t="s">
        <v>494</v>
      </c>
      <c r="B751" s="0" t="s">
        <v>45</v>
      </c>
      <c r="D751" s="18" t="n">
        <f aca="false">ex_nv*nvtt_26+astt_26</f>
        <v>0.607994</v>
      </c>
      <c r="E751" s="18" t="n">
        <f aca="false">ex_nv*nvtt_27+astt_27</f>
        <v>0.6560764</v>
      </c>
      <c r="F751" s="18" t="n">
        <f aca="false">ex_nv*nvtt_28+astt_28</f>
        <v>0.6898114</v>
      </c>
      <c r="G751" s="18" t="n">
        <f aca="false">ex_nv*nvtt_29+astt_29</f>
        <v>0.692935</v>
      </c>
      <c r="K751" s="8" t="s">
        <v>495</v>
      </c>
    </row>
    <row r="752" customFormat="false" ht="17.15" hidden="false" customHeight="false" outlineLevel="0" collapsed="false">
      <c r="A752" s="4" t="s">
        <v>447</v>
      </c>
      <c r="B752" s="0" t="s">
        <v>45</v>
      </c>
      <c r="D752" s="18" t="n">
        <f aca="false">D750*D751/($D750*$D751)</f>
        <v>1</v>
      </c>
      <c r="E752" s="18" t="n">
        <f aca="false">E750*E751/($D750*$D751)</f>
        <v>1.68251862509724</v>
      </c>
      <c r="F752" s="18" t="n">
        <f aca="false">F750*F751/($D750*$D751)</f>
        <v>1.58242577012966</v>
      </c>
      <c r="G752" s="18" t="n">
        <f aca="false">G750*G751/($D750*$D751)</f>
        <v>1.92156844697264</v>
      </c>
    </row>
    <row r="753" customFormat="false" ht="17.15" hidden="false" customHeight="false" outlineLevel="0" collapsed="false">
      <c r="A753" s="4" t="s">
        <v>496</v>
      </c>
      <c r="B753" s="0" t="s">
        <v>45</v>
      </c>
      <c r="D753" s="20" t="n">
        <f aca="false">1</f>
        <v>1</v>
      </c>
      <c r="E753" s="20" t="n">
        <f aca="false">rel27_B</f>
        <v>1</v>
      </c>
      <c r="F753" s="20" t="n">
        <f aca="false">rel28_B</f>
        <v>1</v>
      </c>
      <c r="G753" s="20" t="n">
        <f aca="false">rel29_B</f>
        <v>1</v>
      </c>
    </row>
    <row r="754" customFormat="false" ht="17.15" hidden="false" customHeight="false" outlineLevel="0" collapsed="false">
      <c r="A754" s="4" t="s">
        <v>497</v>
      </c>
      <c r="B754" s="0" t="s">
        <v>45</v>
      </c>
      <c r="D754" s="18" t="n">
        <f aca="false">1</f>
        <v>1</v>
      </c>
      <c r="E754" s="18" t="n">
        <f aca="false">(1+g_ct_lo)^1</f>
        <v>1</v>
      </c>
      <c r="F754" s="18" t="n">
        <f aca="false">(1+g_ct_lo)^2</f>
        <v>1</v>
      </c>
      <c r="G754" s="18" t="n">
        <f aca="false">(1+g_ct_lo)^3</f>
        <v>1</v>
      </c>
    </row>
    <row r="755" customFormat="false" ht="17.15" hidden="false" customHeight="false" outlineLevel="0" collapsed="false">
      <c r="A755" s="6" t="s">
        <v>498</v>
      </c>
    </row>
    <row r="756" customFormat="false" ht="17.15" hidden="false" customHeight="false" outlineLevel="0" collapsed="false">
      <c r="A756" s="0" t="s">
        <v>401</v>
      </c>
      <c r="B756" s="0" t="s">
        <v>189</v>
      </c>
      <c r="C756" s="17" t="n">
        <f aca="false">a25_ai</f>
        <v>5.4297243</v>
      </c>
      <c r="D756" s="17" t="n">
        <f aca="false">a26_ai</f>
        <v>9.5342409</v>
      </c>
      <c r="E756" s="17" t="n">
        <f aca="false">$D756*E752*E753*E754</f>
        <v>16.0415378904138</v>
      </c>
      <c r="F756" s="17" t="n">
        <f aca="false">$D756*F752*F753*F754</f>
        <v>15.0872284987842</v>
      </c>
      <c r="G756" s="17" t="n">
        <f aca="false">$D756*G752*G753*G754</f>
        <v>18.320696479276</v>
      </c>
      <c r="K756" s="8" t="s">
        <v>499</v>
      </c>
    </row>
    <row r="757" customFormat="false" ht="17.15" hidden="false" customHeight="false" outlineLevel="0" collapsed="false">
      <c r="A757" s="4" t="s">
        <v>404</v>
      </c>
      <c r="B757" s="0" t="s">
        <v>189</v>
      </c>
      <c r="C757" s="17" t="n">
        <f aca="false">a25_npc</f>
        <v>4.4425017</v>
      </c>
      <c r="D757" s="17" t="n">
        <f aca="false">a26_npc</f>
        <v>6.3561606</v>
      </c>
      <c r="E757" s="17" t="n">
        <f aca="false">D757*(1+g_nonai+d_npc)</f>
        <v>6.801091842</v>
      </c>
      <c r="F757" s="17" t="n">
        <f aca="false">E757*(1+g_nonai+d_npc)</f>
        <v>7.27716827094</v>
      </c>
      <c r="G757" s="17" t="n">
        <f aca="false">F757*(1+g_nonai+d_npc)</f>
        <v>7.7865700499058</v>
      </c>
      <c r="K757" s="4" t="s">
        <v>500</v>
      </c>
    </row>
    <row r="758" customFormat="false" ht="15" hidden="false" customHeight="false" outlineLevel="0" collapsed="false">
      <c r="A758" s="4" t="s">
        <v>398</v>
      </c>
      <c r="B758" s="0" t="s">
        <v>189</v>
      </c>
      <c r="C758" s="17" t="n">
        <f aca="false">C756+C757</f>
        <v>9.872226</v>
      </c>
      <c r="D758" s="17" t="n">
        <f aca="false">D756+D757</f>
        <v>15.8904015</v>
      </c>
      <c r="E758" s="17" t="n">
        <f aca="false">E756+E757</f>
        <v>22.8426297324138</v>
      </c>
      <c r="F758" s="17" t="n">
        <f aca="false">F756+F757</f>
        <v>22.3643967697242</v>
      </c>
      <c r="G758" s="17" t="n">
        <f aca="false">G756+G757</f>
        <v>26.1072665291818</v>
      </c>
    </row>
    <row r="759" customFormat="false" ht="17.15" hidden="false" customHeight="false" outlineLevel="0" collapsed="false">
      <c r="A759" s="0" t="s">
        <v>501</v>
      </c>
      <c r="B759" s="0" t="s">
        <v>189</v>
      </c>
      <c r="D759" s="17" t="n">
        <f aca="false">k_cpo*cpo_A_26/cpo_A_27</f>
        <v>0.24</v>
      </c>
      <c r="E759" s="17" t="n">
        <f aca="false">k_cpo*cpo_B_27/cpo_A_27</f>
        <v>0.72</v>
      </c>
      <c r="F759" s="17" t="n">
        <f aca="false">k_cpo*cpo_B_28/cpo_A_27</f>
        <v>1.2</v>
      </c>
      <c r="G759" s="17" t="n">
        <f aca="false">k_cpo*cpo_B_29/cpo_A_27</f>
        <v>1.92</v>
      </c>
      <c r="K759" s="8" t="s">
        <v>502</v>
      </c>
    </row>
    <row r="760" customFormat="false" ht="17.15" hidden="false" customHeight="false" outlineLevel="0" collapsed="false">
      <c r="A760" s="4" t="s">
        <v>503</v>
      </c>
      <c r="B760" s="0" t="s">
        <v>189</v>
      </c>
      <c r="C760" s="17" t="n">
        <f aca="false">a25_eq</f>
        <v>3.290742</v>
      </c>
      <c r="D760" s="17" t="n">
        <f aca="false">a26_eq-D759</f>
        <v>4.8539955</v>
      </c>
      <c r="E760" s="17" t="n">
        <f aca="false">D760*semi_27</f>
        <v>5.659593717153</v>
      </c>
      <c r="F760" s="17" t="n">
        <f aca="false">$E760*eqk28_B</f>
        <v>5.659593717153</v>
      </c>
      <c r="G760" s="17" t="n">
        <f aca="false">$E760*eqk29_B</f>
        <v>5.37661403129535</v>
      </c>
      <c r="K760" s="8" t="s">
        <v>504</v>
      </c>
    </row>
    <row r="761" customFormat="false" ht="15" hidden="false" customHeight="false" outlineLevel="0" collapsed="false">
      <c r="A761" s="4" t="s">
        <v>405</v>
      </c>
      <c r="B761" s="0" t="s">
        <v>189</v>
      </c>
      <c r="C761" s="17" t="n">
        <f aca="false">a25_eq</f>
        <v>3.290742</v>
      </c>
      <c r="D761" s="17" t="n">
        <f aca="false">D759+D760</f>
        <v>5.0939955</v>
      </c>
      <c r="E761" s="17" t="n">
        <f aca="false">E759+E760</f>
        <v>6.379593717153</v>
      </c>
      <c r="F761" s="17" t="n">
        <f aca="false">F759+F760</f>
        <v>6.859593717153</v>
      </c>
      <c r="G761" s="17" t="n">
        <f aca="false">G759+G760</f>
        <v>7.29661403129535</v>
      </c>
    </row>
    <row r="762" customFormat="false" ht="15" hidden="false" customHeight="false" outlineLevel="0" collapsed="false">
      <c r="A762" s="4" t="s">
        <v>407</v>
      </c>
      <c r="B762" s="0" t="s">
        <v>189</v>
      </c>
      <c r="C762" s="17" t="n">
        <f aca="false">a25_oth</f>
        <v>0.214032000000001</v>
      </c>
      <c r="D762" s="17" t="n">
        <f aca="false">a26_oth</f>
        <v>0.428253</v>
      </c>
      <c r="E762" s="17" t="n">
        <f aca="false">D762*(1+g_oth)</f>
        <v>0.44966565</v>
      </c>
      <c r="F762" s="17" t="n">
        <f aca="false">E762*(1+g_oth)</f>
        <v>0.4721489325</v>
      </c>
      <c r="G762" s="17" t="n">
        <f aca="false">F762*(1+g_oth)</f>
        <v>0.495756379125</v>
      </c>
    </row>
    <row r="763" customFormat="false" ht="17.15" hidden="false" customHeight="false" outlineLevel="0" collapsed="false">
      <c r="A763" s="4" t="s">
        <v>394</v>
      </c>
      <c r="B763" s="0" t="s">
        <v>189</v>
      </c>
      <c r="C763" s="17" t="n">
        <f aca="false">C758+C761+C762</f>
        <v>13.377</v>
      </c>
      <c r="D763" s="17" t="n">
        <f aca="false">D758+D761+D762</f>
        <v>21.41265</v>
      </c>
      <c r="E763" s="17" t="n">
        <f aca="false">E758+E761+E762</f>
        <v>29.6718890995668</v>
      </c>
      <c r="F763" s="17" t="n">
        <f aca="false">F758+F761+F762</f>
        <v>29.6961394193772</v>
      </c>
      <c r="G763" s="17" t="n">
        <f aca="false">G758+G761+G762</f>
        <v>33.8996369396022</v>
      </c>
      <c r="H763" s="30" t="n">
        <f aca="false">G763*(1+H764)</f>
        <v>37.5506346761973</v>
      </c>
      <c r="I763" s="30" t="n">
        <f aca="false">H763*(1+I764)</f>
        <v>40.3237528343723</v>
      </c>
      <c r="J763" s="30" t="n">
        <f aca="false">I763*(1+J764)</f>
        <v>41.9367029477472</v>
      </c>
      <c r="K763" s="8" t="s">
        <v>505</v>
      </c>
    </row>
    <row r="764" customFormat="false" ht="15" hidden="false" customHeight="false" outlineLevel="0" collapsed="false">
      <c r="A764" s="4" t="s">
        <v>506</v>
      </c>
      <c r="B764" s="0" t="s">
        <v>90</v>
      </c>
      <c r="D764" s="22" t="n">
        <f aca="false">D763/C763-1</f>
        <v>0.600706436420722</v>
      </c>
      <c r="E764" s="22" t="n">
        <f aca="false">E763/D763-1</f>
        <v>0.38571774626526</v>
      </c>
      <c r="F764" s="22" t="n">
        <f aca="false">F763/E763-1</f>
        <v>0.000817282638424954</v>
      </c>
      <c r="G764" s="22" t="n">
        <f aca="false">G763/F763-1</f>
        <v>0.141550302578461</v>
      </c>
      <c r="H764" s="26" t="n">
        <f aca="false">$G764+(fade_gB-$G764)*1/3</f>
        <v>0.107700201718974</v>
      </c>
      <c r="I764" s="26" t="n">
        <f aca="false">$G764+(fade_gB-$G764)*2/3</f>
        <v>0.0738501008594872</v>
      </c>
      <c r="J764" s="26" t="n">
        <f aca="false">$G764+(fade_gB-$G764)*3/3</f>
        <v>0.04</v>
      </c>
    </row>
    <row r="765" customFormat="false" ht="17.15" hidden="false" customHeight="false" outlineLevel="0" collapsed="false">
      <c r="A765" s="0" t="s">
        <v>507</v>
      </c>
      <c r="B765" s="0" t="s">
        <v>90</v>
      </c>
      <c r="C765" s="22" t="n">
        <f aca="false">C756/C763</f>
        <v>0.4059</v>
      </c>
      <c r="D765" s="22" t="n">
        <f aca="false">D756/D763</f>
        <v>0.445262071719287</v>
      </c>
      <c r="E765" s="22" t="n">
        <f aca="false">E756/E763</f>
        <v>0.540630825242873</v>
      </c>
      <c r="F765" s="22" t="n">
        <f aca="false">F756/F763</f>
        <v>0.508053531326686</v>
      </c>
      <c r="G765" s="22" t="n">
        <f aca="false">G756/G763</f>
        <v>0.540439312430319</v>
      </c>
    </row>
    <row r="766" customFormat="false" ht="17.15" hidden="false" customHeight="false" outlineLevel="0" collapsed="false">
      <c r="A766" s="4" t="s">
        <v>508</v>
      </c>
      <c r="B766" s="0" t="s">
        <v>90</v>
      </c>
      <c r="C766" s="22" t="n">
        <f aca="false">C758/C763</f>
        <v>0.738</v>
      </c>
      <c r="D766" s="22" t="n">
        <f aca="false">D758/D763</f>
        <v>0.742103452865479</v>
      </c>
      <c r="E766" s="22" t="n">
        <f aca="false">E758/E763</f>
        <v>0.769840762607437</v>
      </c>
      <c r="F766" s="22" t="n">
        <f aca="false">F758/F763</f>
        <v>0.753107885637521</v>
      </c>
      <c r="G766" s="22" t="n">
        <f aca="false">G758/G763</f>
        <v>0.770134104258882</v>
      </c>
    </row>
    <row r="767" customFormat="false" ht="17.15" hidden="false" customHeight="false" outlineLevel="0" collapsed="false">
      <c r="A767" s="6" t="s">
        <v>509</v>
      </c>
    </row>
    <row r="768" customFormat="false" ht="15" hidden="false" customHeight="false" outlineLevel="0" collapsed="false">
      <c r="A768" s="4" t="s">
        <v>412</v>
      </c>
      <c r="B768" s="0" t="s">
        <v>90</v>
      </c>
      <c r="C768" s="14" t="n">
        <f aca="false">a25_gp/a25_rev</f>
        <v>0.574</v>
      </c>
      <c r="D768" s="14" t="n">
        <f aca="false">a26_gp/a26_rev</f>
        <v>0.593344593032623</v>
      </c>
      <c r="E768" s="14" t="n">
        <f aca="false">gm27_B+gm_adj</f>
        <v>0.595</v>
      </c>
      <c r="F768" s="14" t="n">
        <f aca="false">gmL_B+gm_adj</f>
        <v>0.595</v>
      </c>
      <c r="G768" s="14" t="n">
        <f aca="false">gmL_B+gm_adj</f>
        <v>0.595</v>
      </c>
    </row>
    <row r="769" customFormat="false" ht="15" hidden="false" customHeight="false" outlineLevel="0" collapsed="false">
      <c r="A769" s="4" t="s">
        <v>409</v>
      </c>
      <c r="B769" s="0" t="s">
        <v>189</v>
      </c>
      <c r="C769" s="17" t="n">
        <f aca="false">C763*C768</f>
        <v>7.678398</v>
      </c>
      <c r="D769" s="17" t="n">
        <f aca="false">D763*D768</f>
        <v>12.7050801</v>
      </c>
      <c r="E769" s="17" t="n">
        <f aca="false">E763*E768</f>
        <v>17.6547740142423</v>
      </c>
      <c r="F769" s="17" t="n">
        <f aca="false">F763*F768</f>
        <v>17.6692029545294</v>
      </c>
      <c r="G769" s="17" t="n">
        <f aca="false">G763*G768</f>
        <v>20.1702839790633</v>
      </c>
    </row>
    <row r="770" customFormat="false" ht="17.15" hidden="false" customHeight="false" outlineLevel="0" collapsed="false">
      <c r="A770" s="4" t="s">
        <v>510</v>
      </c>
      <c r="B770" s="0" t="s">
        <v>189</v>
      </c>
      <c r="D770" s="17" t="n">
        <f aca="false">a26_opx</f>
        <v>5.05564928556</v>
      </c>
      <c r="E770" s="17" t="n">
        <f aca="false">D770*(1+phi*E764)</f>
        <v>6.22568147456027</v>
      </c>
      <c r="F770" s="17" t="n">
        <f aca="false">E770*(1+phi*F764)</f>
        <v>6.22873435938918</v>
      </c>
      <c r="G770" s="17" t="n">
        <f aca="false">F770*(1+phi*G764)</f>
        <v>6.75774189934062</v>
      </c>
      <c r="K770" s="8" t="s">
        <v>511</v>
      </c>
    </row>
    <row r="771" customFormat="false" ht="15" hidden="false" customHeight="false" outlineLevel="0" collapsed="false">
      <c r="A771" s="4" t="s">
        <v>415</v>
      </c>
      <c r="B771" s="0" t="s">
        <v>189</v>
      </c>
      <c r="D771" s="17" t="n">
        <f aca="false">D769-D770</f>
        <v>7.64943081444</v>
      </c>
      <c r="E771" s="17" t="n">
        <f aca="false">E769-E770</f>
        <v>11.429092539682</v>
      </c>
      <c r="F771" s="17" t="n">
        <f aca="false">F769-F770</f>
        <v>11.4404685951402</v>
      </c>
      <c r="G771" s="17" t="n">
        <f aca="false">G769-G770</f>
        <v>13.4125420797227</v>
      </c>
    </row>
    <row r="772" customFormat="false" ht="15" hidden="false" customHeight="false" outlineLevel="0" collapsed="false">
      <c r="A772" s="4" t="s">
        <v>482</v>
      </c>
      <c r="B772" s="0" t="s">
        <v>90</v>
      </c>
      <c r="D772" s="14" t="n">
        <f aca="false">D771/D763</f>
        <v>0.357238866484999</v>
      </c>
      <c r="E772" s="14" t="n">
        <f aca="false">E771/E763</f>
        <v>0.385182503929244</v>
      </c>
      <c r="F772" s="14" t="n">
        <f aca="false">F771/F763</f>
        <v>0.385251039994618</v>
      </c>
      <c r="G772" s="14" t="n">
        <f aca="false">G771/G763</f>
        <v>0.395654446200098</v>
      </c>
    </row>
    <row r="773" customFormat="false" ht="15" hidden="false" customHeight="false" outlineLevel="0" collapsed="false">
      <c r="A773" s="4" t="s">
        <v>418</v>
      </c>
      <c r="B773" s="0" t="s">
        <v>189</v>
      </c>
      <c r="C773" s="17" t="n">
        <f aca="false">a25_ni</f>
        <v>3.18</v>
      </c>
      <c r="D773" s="17" t="n">
        <f aca="false">a26_ni</f>
        <v>6.7316248085628</v>
      </c>
      <c r="E773" s="17" t="n">
        <f aca="false">E771*ni_oi</f>
        <v>9.71472865872969</v>
      </c>
      <c r="F773" s="17" t="n">
        <f aca="false">F771*ni_oi</f>
        <v>9.7243983058692</v>
      </c>
      <c r="G773" s="17" t="n">
        <f aca="false">G771*ni_oi</f>
        <v>11.4006607677643</v>
      </c>
      <c r="H773" s="30" t="n">
        <f aca="false">H763*H777</f>
        <v>12.2629808887285</v>
      </c>
      <c r="I773" s="30" t="n">
        <f aca="false">I763*I777</f>
        <v>12.776075246464</v>
      </c>
      <c r="J773" s="30" t="n">
        <f aca="false">J763*J777</f>
        <v>12.8788891178781</v>
      </c>
    </row>
    <row r="774" customFormat="false" ht="15" hidden="false" customHeight="false" outlineLevel="0" collapsed="false">
      <c r="A774" s="4" t="s">
        <v>512</v>
      </c>
      <c r="B774" s="4" t="s">
        <v>513</v>
      </c>
      <c r="C774" s="19" t="n">
        <f aca="false">a25_sh</f>
        <v>94.9537175276202</v>
      </c>
      <c r="D774" s="19" t="n">
        <f aca="false">a26_sh</f>
        <v>97.9860681630967</v>
      </c>
      <c r="E774" s="19" t="n">
        <f aca="false">D774*(1+sh_g)</f>
        <v>97.9860681630967</v>
      </c>
      <c r="F774" s="19" t="n">
        <f aca="false">E774*(1+sh_g)</f>
        <v>97.9860681630967</v>
      </c>
      <c r="G774" s="19" t="n">
        <f aca="false">F774*(1+sh_g)</f>
        <v>97.9860681630967</v>
      </c>
      <c r="H774" s="25" t="n">
        <f aca="false">G774*(1+sh_g)</f>
        <v>97.9860681630967</v>
      </c>
      <c r="I774" s="25" t="n">
        <f aca="false">H774*(1+sh_g)</f>
        <v>97.9860681630967</v>
      </c>
      <c r="J774" s="25" t="n">
        <f aca="false">I774*(1+sh_g)</f>
        <v>97.9860681630967</v>
      </c>
    </row>
    <row r="775" customFormat="false" ht="15" hidden="false" customHeight="false" outlineLevel="0" collapsed="false">
      <c r="A775" s="0" t="s">
        <v>423</v>
      </c>
      <c r="B775" s="0" t="s">
        <v>256</v>
      </c>
      <c r="C775" s="20" t="n">
        <f aca="false">a25_eps</f>
        <v>33.49</v>
      </c>
      <c r="D775" s="20" t="n">
        <f aca="false">a26_eps</f>
        <v>68.6959552317267</v>
      </c>
      <c r="E775" s="20" t="n">
        <f aca="false">E773/E774*1000</f>
        <v>99.1439787395045</v>
      </c>
      <c r="F775" s="20" t="n">
        <f aca="false">F773/F774*1000</f>
        <v>99.2426626373359</v>
      </c>
      <c r="G775" s="20" t="n">
        <f aca="false">G773/G774*1000</f>
        <v>116.349813616238</v>
      </c>
      <c r="H775" s="28" t="n">
        <f aca="false">H773/H774*1000</f>
        <v>125.150249608107</v>
      </c>
      <c r="I775" s="28" t="n">
        <f aca="false">I773/I774*1000</f>
        <v>130.386650734861</v>
      </c>
      <c r="J775" s="28" t="n">
        <f aca="false">J773/J774*1000</f>
        <v>131.435921037686</v>
      </c>
    </row>
    <row r="776" customFormat="false" ht="17.15" hidden="false" customHeight="false" outlineLevel="0" collapsed="false">
      <c r="A776" s="0" t="s">
        <v>514</v>
      </c>
      <c r="B776" s="0" t="s">
        <v>90</v>
      </c>
      <c r="D776" s="22" t="n">
        <f aca="false">D775/C775-1</f>
        <v>1.05123783910799</v>
      </c>
      <c r="E776" s="22" t="n">
        <f aca="false">E775/D775-1</f>
        <v>0.443228766600156</v>
      </c>
      <c r="F776" s="22" t="n">
        <f aca="false">F775/E775-1</f>
        <v>0.000995359466969603</v>
      </c>
      <c r="G776" s="22" t="n">
        <f aca="false">G775/F775-1</f>
        <v>0.17237698510183</v>
      </c>
      <c r="H776" s="26" t="n">
        <f aca="false">H775/G775-1</f>
        <v>0.075637731753452</v>
      </c>
      <c r="I776" s="26" t="n">
        <f aca="false">I775/H775-1</f>
        <v>0.0418409163637428</v>
      </c>
      <c r="J776" s="26" t="n">
        <f aca="false">J775/I775-1</f>
        <v>0.00804737522522925</v>
      </c>
    </row>
    <row r="777" customFormat="false" ht="17.15" hidden="false" customHeight="false" outlineLevel="0" collapsed="false">
      <c r="A777" s="4" t="s">
        <v>515</v>
      </c>
      <c r="B777" s="0" t="s">
        <v>90</v>
      </c>
      <c r="C777" s="14" t="n">
        <f aca="false">C773/C763</f>
        <v>0.237721462211258</v>
      </c>
      <c r="D777" s="14" t="n">
        <f aca="false">D773/D763</f>
        <v>0.314376072488123</v>
      </c>
      <c r="E777" s="14" t="n">
        <f aca="false">E773/E763</f>
        <v>0.327405128339857</v>
      </c>
      <c r="F777" s="14" t="n">
        <f aca="false">F773/F763</f>
        <v>0.327463383995426</v>
      </c>
      <c r="G777" s="14" t="n">
        <f aca="false">G773/G763</f>
        <v>0.336306279270083</v>
      </c>
      <c r="H777" s="27" t="n">
        <f aca="false">$G777+(fade_mB-$G777)*1/3</f>
        <v>0.326571867412452</v>
      </c>
      <c r="I777" s="27" t="n">
        <f aca="false">$G777+(fade_mB-$G777)*2/3</f>
        <v>0.316837455554821</v>
      </c>
      <c r="J777" s="27" t="n">
        <f aca="false">$G777+(fade_mB-$G777)*3/3</f>
        <v>0.30710304369719</v>
      </c>
    </row>
    <row r="780" customFormat="false" ht="17.15" hidden="false" customHeight="false" outlineLevel="0" collapsed="false">
      <c r="A780" s="1" t="s">
        <v>825</v>
      </c>
    </row>
    <row r="781" customFormat="false" ht="17.15" hidden="false" customHeight="false" outlineLevel="0" collapsed="false">
      <c r="A781" s="5" t="s">
        <v>21</v>
      </c>
      <c r="B781" s="5" t="s">
        <v>22</v>
      </c>
      <c r="C781" s="15" t="s">
        <v>387</v>
      </c>
      <c r="D781" s="15" t="s">
        <v>468</v>
      </c>
      <c r="E781" s="15" t="s">
        <v>469</v>
      </c>
      <c r="F781" s="15" t="s">
        <v>470</v>
      </c>
      <c r="G781" s="15" t="s">
        <v>471</v>
      </c>
      <c r="H781" s="15" t="s">
        <v>472</v>
      </c>
      <c r="I781" s="15" t="s">
        <v>473</v>
      </c>
      <c r="J781" s="15" t="s">
        <v>474</v>
      </c>
      <c r="K781" s="5" t="s">
        <v>336</v>
      </c>
    </row>
    <row r="782" customFormat="false" ht="17.15" hidden="false" customHeight="false" outlineLevel="0" collapsed="false">
      <c r="A782" s="6" t="s">
        <v>492</v>
      </c>
    </row>
    <row r="783" customFormat="false" ht="17.15" hidden="false" customHeight="false" outlineLevel="0" collapsed="false">
      <c r="A783" s="0" t="s">
        <v>493</v>
      </c>
      <c r="B783" s="4" t="s">
        <v>32</v>
      </c>
      <c r="D783" s="20" t="n">
        <f aca="false">units_26</f>
        <v>15.2</v>
      </c>
      <c r="E783" s="20" t="n">
        <f aca="false">units_27*1</f>
        <v>23.7</v>
      </c>
      <c r="F783" s="20" t="n">
        <f aca="false">units_28*um28_C*1</f>
        <v>15.9</v>
      </c>
      <c r="G783" s="20" t="n">
        <f aca="false">units_29*um29_C*1</f>
        <v>18.09</v>
      </c>
    </row>
    <row r="784" customFormat="false" ht="17.15" hidden="false" customHeight="false" outlineLevel="0" collapsed="false">
      <c r="A784" s="4" t="s">
        <v>494</v>
      </c>
      <c r="B784" s="0" t="s">
        <v>45</v>
      </c>
      <c r="D784" s="18" t="n">
        <f aca="false">ex_nv*nvtt_26+astt_26</f>
        <v>0.607994</v>
      </c>
      <c r="E784" s="18" t="n">
        <f aca="false">ex_nv*nvtt_27+astt_27</f>
        <v>0.6560764</v>
      </c>
      <c r="F784" s="18" t="n">
        <f aca="false">ex_nv*nvtt_28+astt_28</f>
        <v>0.6898114</v>
      </c>
      <c r="G784" s="18" t="n">
        <f aca="false">ex_nv*nvtt_29+astt_29</f>
        <v>0.692935</v>
      </c>
      <c r="K784" s="8" t="s">
        <v>495</v>
      </c>
    </row>
    <row r="785" customFormat="false" ht="17.15" hidden="false" customHeight="false" outlineLevel="0" collapsed="false">
      <c r="A785" s="4" t="s">
        <v>447</v>
      </c>
      <c r="B785" s="0" t="s">
        <v>45</v>
      </c>
      <c r="D785" s="18" t="n">
        <f aca="false">D783*D784/($D783*$D784)</f>
        <v>1</v>
      </c>
      <c r="E785" s="18" t="n">
        <f aca="false">E783*E784/($D783*$D784)</f>
        <v>1.68251862509724</v>
      </c>
      <c r="F785" s="18" t="n">
        <f aca="false">F783*F784/($D783*$D784)</f>
        <v>1.18681932759724</v>
      </c>
      <c r="G785" s="18" t="n">
        <f aca="false">G783*G784/($D783*$D784)</f>
        <v>1.35640125668657</v>
      </c>
    </row>
    <row r="786" customFormat="false" ht="17.15" hidden="false" customHeight="false" outlineLevel="0" collapsed="false">
      <c r="A786" s="4" t="s">
        <v>496</v>
      </c>
      <c r="B786" s="0" t="s">
        <v>45</v>
      </c>
      <c r="D786" s="20" t="n">
        <f aca="false">1</f>
        <v>1</v>
      </c>
      <c r="E786" s="20" t="n">
        <f aca="false">rel27_C</f>
        <v>0.92</v>
      </c>
      <c r="F786" s="20" t="n">
        <f aca="false">rel28_C</f>
        <v>0.88</v>
      </c>
      <c r="G786" s="20" t="n">
        <f aca="false">rel29_C</f>
        <v>0.85</v>
      </c>
    </row>
    <row r="787" customFormat="false" ht="17.15" hidden="false" customHeight="false" outlineLevel="0" collapsed="false">
      <c r="A787" s="4" t="s">
        <v>497</v>
      </c>
      <c r="B787" s="0" t="s">
        <v>45</v>
      </c>
      <c r="D787" s="18" t="n">
        <f aca="false">1</f>
        <v>1</v>
      </c>
      <c r="E787" s="18" t="n">
        <f aca="false">(1+g_ct_lo)^1</f>
        <v>1</v>
      </c>
      <c r="F787" s="18" t="n">
        <f aca="false">(1+g_ct_lo)^2</f>
        <v>1</v>
      </c>
      <c r="G787" s="18" t="n">
        <f aca="false">(1+g_ct_lo)^3</f>
        <v>1</v>
      </c>
    </row>
    <row r="788" customFormat="false" ht="17.15" hidden="false" customHeight="false" outlineLevel="0" collapsed="false">
      <c r="A788" s="6" t="s">
        <v>498</v>
      </c>
    </row>
    <row r="789" customFormat="false" ht="17.15" hidden="false" customHeight="false" outlineLevel="0" collapsed="false">
      <c r="A789" s="0" t="s">
        <v>401</v>
      </c>
      <c r="B789" s="0" t="s">
        <v>189</v>
      </c>
      <c r="C789" s="17" t="n">
        <f aca="false">a25_ai</f>
        <v>5.4297243</v>
      </c>
      <c r="D789" s="17" t="n">
        <f aca="false">a26_ai</f>
        <v>9.5342409</v>
      </c>
      <c r="E789" s="17" t="n">
        <f aca="false">$D789*E785*E786*E787</f>
        <v>14.7582148591807</v>
      </c>
      <c r="F789" s="17" t="n">
        <f aca="false">$D789*F785*F786*F787</f>
        <v>9.95757080919755</v>
      </c>
      <c r="G789" s="17" t="n">
        <f aca="false">$D789*G785*G786*G787</f>
        <v>10.9924178875656</v>
      </c>
      <c r="K789" s="8" t="s">
        <v>499</v>
      </c>
    </row>
    <row r="790" customFormat="false" ht="17.15" hidden="false" customHeight="false" outlineLevel="0" collapsed="false">
      <c r="A790" s="4" t="s">
        <v>404</v>
      </c>
      <c r="B790" s="0" t="s">
        <v>189</v>
      </c>
      <c r="C790" s="17" t="n">
        <f aca="false">a25_npc</f>
        <v>4.4425017</v>
      </c>
      <c r="D790" s="17" t="n">
        <f aca="false">a26_npc</f>
        <v>6.3561606</v>
      </c>
      <c r="E790" s="17" t="n">
        <f aca="false">D790*(1+g_nonai+d_npc)</f>
        <v>6.801091842</v>
      </c>
      <c r="F790" s="17" t="n">
        <f aca="false">E790*(1+g_nonai+d_npc)</f>
        <v>7.27716827094</v>
      </c>
      <c r="G790" s="17" t="n">
        <f aca="false">F790*(1+g_nonai+d_npc)</f>
        <v>7.7865700499058</v>
      </c>
      <c r="K790" s="4" t="s">
        <v>500</v>
      </c>
    </row>
    <row r="791" customFormat="false" ht="15" hidden="false" customHeight="false" outlineLevel="0" collapsed="false">
      <c r="A791" s="4" t="s">
        <v>398</v>
      </c>
      <c r="B791" s="0" t="s">
        <v>189</v>
      </c>
      <c r="C791" s="17" t="n">
        <f aca="false">C789+C790</f>
        <v>9.872226</v>
      </c>
      <c r="D791" s="17" t="n">
        <f aca="false">D789+D790</f>
        <v>15.8904015</v>
      </c>
      <c r="E791" s="17" t="n">
        <f aca="false">E789+E790</f>
        <v>21.5593067011807</v>
      </c>
      <c r="F791" s="17" t="n">
        <f aca="false">F789+F790</f>
        <v>17.2347390801376</v>
      </c>
      <c r="G791" s="17" t="n">
        <f aca="false">G789+G790</f>
        <v>18.7789879374714</v>
      </c>
    </row>
    <row r="792" customFormat="false" ht="17.15" hidden="false" customHeight="false" outlineLevel="0" collapsed="false">
      <c r="A792" s="0" t="s">
        <v>501</v>
      </c>
      <c r="B792" s="0" t="s">
        <v>189</v>
      </c>
      <c r="D792" s="17" t="n">
        <f aca="false">k_cpo*cpo_A_26/cpo_A_27</f>
        <v>0.24</v>
      </c>
      <c r="E792" s="17" t="n">
        <f aca="false">k_cpo*cpo_C_27/cpo_A_27</f>
        <v>0.48</v>
      </c>
      <c r="F792" s="17" t="n">
        <f aca="false">k_cpo*cpo_C_28/cpo_A_27</f>
        <v>0.72</v>
      </c>
      <c r="G792" s="17" t="n">
        <f aca="false">k_cpo*cpo_C_29/cpo_A_27</f>
        <v>1.2</v>
      </c>
      <c r="K792" s="8" t="s">
        <v>502</v>
      </c>
    </row>
    <row r="793" customFormat="false" ht="17.15" hidden="false" customHeight="false" outlineLevel="0" collapsed="false">
      <c r="A793" s="4" t="s">
        <v>503</v>
      </c>
      <c r="B793" s="0" t="s">
        <v>189</v>
      </c>
      <c r="C793" s="17" t="n">
        <f aca="false">a25_eq</f>
        <v>3.290742</v>
      </c>
      <c r="D793" s="17" t="n">
        <f aca="false">a26_eq-D792</f>
        <v>4.8539955</v>
      </c>
      <c r="E793" s="17" t="n">
        <f aca="false">D793*semi_27</f>
        <v>5.659593717153</v>
      </c>
      <c r="F793" s="17" t="n">
        <f aca="false">$E793*eqk28_C</f>
        <v>4.5276749737224</v>
      </c>
      <c r="G793" s="17" t="n">
        <f aca="false">$E793*eqk29_C</f>
        <v>5.659593717153</v>
      </c>
      <c r="K793" s="8" t="s">
        <v>504</v>
      </c>
    </row>
    <row r="794" customFormat="false" ht="15" hidden="false" customHeight="false" outlineLevel="0" collapsed="false">
      <c r="A794" s="4" t="s">
        <v>405</v>
      </c>
      <c r="B794" s="0" t="s">
        <v>189</v>
      </c>
      <c r="C794" s="17" t="n">
        <f aca="false">a25_eq</f>
        <v>3.290742</v>
      </c>
      <c r="D794" s="17" t="n">
        <f aca="false">D792+D793</f>
        <v>5.0939955</v>
      </c>
      <c r="E794" s="17" t="n">
        <f aca="false">E792+E793</f>
        <v>6.139593717153</v>
      </c>
      <c r="F794" s="17" t="n">
        <f aca="false">F792+F793</f>
        <v>5.2476749737224</v>
      </c>
      <c r="G794" s="17" t="n">
        <f aca="false">G792+G793</f>
        <v>6.859593717153</v>
      </c>
    </row>
    <row r="795" customFormat="false" ht="15" hidden="false" customHeight="false" outlineLevel="0" collapsed="false">
      <c r="A795" s="4" t="s">
        <v>407</v>
      </c>
      <c r="B795" s="0" t="s">
        <v>189</v>
      </c>
      <c r="C795" s="17" t="n">
        <f aca="false">a25_oth</f>
        <v>0.214032000000001</v>
      </c>
      <c r="D795" s="17" t="n">
        <f aca="false">a26_oth</f>
        <v>0.428253</v>
      </c>
      <c r="E795" s="17" t="n">
        <f aca="false">D795*(1+g_oth)</f>
        <v>0.44966565</v>
      </c>
      <c r="F795" s="17" t="n">
        <f aca="false">E795*(1+g_oth)</f>
        <v>0.4721489325</v>
      </c>
      <c r="G795" s="17" t="n">
        <f aca="false">F795*(1+g_oth)</f>
        <v>0.495756379125</v>
      </c>
    </row>
    <row r="796" customFormat="false" ht="17.15" hidden="false" customHeight="false" outlineLevel="0" collapsed="false">
      <c r="A796" s="4" t="s">
        <v>394</v>
      </c>
      <c r="B796" s="0" t="s">
        <v>189</v>
      </c>
      <c r="C796" s="17" t="n">
        <f aca="false">C791+C794+C795</f>
        <v>13.377</v>
      </c>
      <c r="D796" s="17" t="n">
        <f aca="false">D791+D794+D795</f>
        <v>21.41265</v>
      </c>
      <c r="E796" s="17" t="n">
        <f aca="false">E791+E794+E795</f>
        <v>28.1485660683337</v>
      </c>
      <c r="F796" s="17" t="n">
        <f aca="false">F791+F794+F795</f>
        <v>22.95456298636</v>
      </c>
      <c r="G796" s="17" t="n">
        <f aca="false">G791+G794+G795</f>
        <v>26.1343380337494</v>
      </c>
      <c r="H796" s="30" t="n">
        <f aca="false">G796*(1+H797)</f>
        <v>28.722068676461</v>
      </c>
      <c r="I796" s="30" t="n">
        <f aca="false">H796*(1+I797)</f>
        <v>30.4312686982323</v>
      </c>
      <c r="J796" s="30" t="n">
        <f aca="false">I796*(1+J797)</f>
        <v>31.0398940721969</v>
      </c>
      <c r="K796" s="8" t="s">
        <v>505</v>
      </c>
    </row>
    <row r="797" customFormat="false" ht="15" hidden="false" customHeight="false" outlineLevel="0" collapsed="false">
      <c r="A797" s="4" t="s">
        <v>506</v>
      </c>
      <c r="B797" s="0" t="s">
        <v>90</v>
      </c>
      <c r="D797" s="22" t="n">
        <f aca="false">D796/C796-1</f>
        <v>0.600706436420722</v>
      </c>
      <c r="E797" s="22" t="n">
        <f aca="false">E796/D796-1</f>
        <v>0.314576480180348</v>
      </c>
      <c r="F797" s="22" t="n">
        <f aca="false">F796/E796-1</f>
        <v>-0.184521054087258</v>
      </c>
      <c r="G797" s="22" t="n">
        <f aca="false">G796/F796-1</f>
        <v>0.138524747749672</v>
      </c>
      <c r="H797" s="26" t="n">
        <f aca="false">$G797+(fade_gC-$G797)*1/3</f>
        <v>0.0990164984997814</v>
      </c>
      <c r="I797" s="26" t="n">
        <f aca="false">$G797+(fade_gC-$G797)*2/3</f>
        <v>0.0595082492498907</v>
      </c>
      <c r="J797" s="26" t="n">
        <f aca="false">$G797+(fade_gC-$G797)*3/3</f>
        <v>0.02</v>
      </c>
    </row>
    <row r="798" customFormat="false" ht="17.15" hidden="false" customHeight="false" outlineLevel="0" collapsed="false">
      <c r="A798" s="0" t="s">
        <v>507</v>
      </c>
      <c r="B798" s="0" t="s">
        <v>90</v>
      </c>
      <c r="C798" s="22" t="n">
        <f aca="false">C789/C796</f>
        <v>0.4059</v>
      </c>
      <c r="D798" s="22" t="n">
        <f aca="false">D789/D796</f>
        <v>0.445262071719287</v>
      </c>
      <c r="E798" s="22" t="n">
        <f aca="false">E789/E796</f>
        <v>0.524297217249132</v>
      </c>
      <c r="F798" s="22" t="n">
        <f aca="false">F789/F796</f>
        <v>0.433794832648939</v>
      </c>
      <c r="G798" s="22" t="n">
        <f aca="false">G789/G796</f>
        <v>0.420612064991668</v>
      </c>
    </row>
    <row r="799" customFormat="false" ht="17.15" hidden="false" customHeight="false" outlineLevel="0" collapsed="false">
      <c r="A799" s="4" t="s">
        <v>508</v>
      </c>
      <c r="B799" s="0" t="s">
        <v>90</v>
      </c>
      <c r="C799" s="22" t="n">
        <f aca="false">C791/C796</f>
        <v>0.738</v>
      </c>
      <c r="D799" s="22" t="n">
        <f aca="false">D791/D796</f>
        <v>0.742103452865479</v>
      </c>
      <c r="E799" s="22" t="n">
        <f aca="false">E791/E796</f>
        <v>0.765911366456222</v>
      </c>
      <c r="F799" s="22" t="n">
        <f aca="false">F791/F796</f>
        <v>0.750819742914678</v>
      </c>
      <c r="G799" s="22" t="n">
        <f aca="false">G791/G796</f>
        <v>0.718556097086545</v>
      </c>
    </row>
    <row r="800" customFormat="false" ht="17.15" hidden="false" customHeight="false" outlineLevel="0" collapsed="false">
      <c r="A800" s="6" t="s">
        <v>509</v>
      </c>
    </row>
    <row r="801" customFormat="false" ht="15" hidden="false" customHeight="false" outlineLevel="0" collapsed="false">
      <c r="A801" s="4" t="s">
        <v>412</v>
      </c>
      <c r="B801" s="0" t="s">
        <v>90</v>
      </c>
      <c r="C801" s="14" t="n">
        <f aca="false">a25_gp/a25_rev</f>
        <v>0.574</v>
      </c>
      <c r="D801" s="14" t="n">
        <f aca="false">a26_gp/a26_rev</f>
        <v>0.593344593032623</v>
      </c>
      <c r="E801" s="14" t="n">
        <f aca="false">gm27_C+gm_adj</f>
        <v>0.58</v>
      </c>
      <c r="F801" s="14" t="n">
        <f aca="false">gmL_C+gm_adj</f>
        <v>0.565</v>
      </c>
      <c r="G801" s="14" t="n">
        <f aca="false">gmL_C+gm_adj</f>
        <v>0.565</v>
      </c>
    </row>
    <row r="802" customFormat="false" ht="15" hidden="false" customHeight="false" outlineLevel="0" collapsed="false">
      <c r="A802" s="4" t="s">
        <v>409</v>
      </c>
      <c r="B802" s="0" t="s">
        <v>189</v>
      </c>
      <c r="C802" s="17" t="n">
        <f aca="false">C796*C801</f>
        <v>7.678398</v>
      </c>
      <c r="D802" s="17" t="n">
        <f aca="false">D796*D801</f>
        <v>12.7050801</v>
      </c>
      <c r="E802" s="17" t="n">
        <f aca="false">E796*E801</f>
        <v>16.3261683196336</v>
      </c>
      <c r="F802" s="17" t="n">
        <f aca="false">F796*F801</f>
        <v>12.9693280872934</v>
      </c>
      <c r="G802" s="17" t="n">
        <f aca="false">G796*G801</f>
        <v>14.7659009890684</v>
      </c>
    </row>
    <row r="803" customFormat="false" ht="17.15" hidden="false" customHeight="false" outlineLevel="0" collapsed="false">
      <c r="A803" s="4" t="s">
        <v>510</v>
      </c>
      <c r="B803" s="0" t="s">
        <v>189</v>
      </c>
      <c r="D803" s="17" t="n">
        <f aca="false">a26_opx</f>
        <v>5.05564928556</v>
      </c>
      <c r="E803" s="17" t="n">
        <f aca="false">D803*(1+phi*E797)</f>
        <v>6.00988229992665</v>
      </c>
      <c r="F803" s="17" t="n">
        <f aca="false">E803*(1+phi*F797)</f>
        <v>5.34451240977296</v>
      </c>
      <c r="G803" s="17" t="n">
        <f aca="false">F803*(1+phi*G797)</f>
        <v>5.78872074981824</v>
      </c>
      <c r="K803" s="8" t="s">
        <v>511</v>
      </c>
    </row>
    <row r="804" customFormat="false" ht="15" hidden="false" customHeight="false" outlineLevel="0" collapsed="false">
      <c r="A804" s="4" t="s">
        <v>415</v>
      </c>
      <c r="B804" s="0" t="s">
        <v>189</v>
      </c>
      <c r="D804" s="17" t="n">
        <f aca="false">D802-D803</f>
        <v>7.64943081444</v>
      </c>
      <c r="E804" s="17" t="n">
        <f aca="false">E802-E803</f>
        <v>10.3162860197069</v>
      </c>
      <c r="F804" s="17" t="n">
        <f aca="false">F802-F803</f>
        <v>7.62481567752041</v>
      </c>
      <c r="G804" s="17" t="n">
        <f aca="false">G802-G803</f>
        <v>8.97718023925019</v>
      </c>
    </row>
    <row r="805" customFormat="false" ht="15" hidden="false" customHeight="false" outlineLevel="0" collapsed="false">
      <c r="A805" s="4" t="s">
        <v>482</v>
      </c>
      <c r="B805" s="0" t="s">
        <v>90</v>
      </c>
      <c r="D805" s="14" t="n">
        <f aca="false">D804/D796</f>
        <v>0.357238866484999</v>
      </c>
      <c r="E805" s="14" t="n">
        <f aca="false">E804/E796</f>
        <v>0.366494193511065</v>
      </c>
      <c r="F805" s="14" t="n">
        <f aca="false">F804/F796</f>
        <v>0.332169934232737</v>
      </c>
      <c r="G805" s="14" t="n">
        <f aca="false">G804/G796</f>
        <v>0.343501344004092</v>
      </c>
    </row>
    <row r="806" customFormat="false" ht="15" hidden="false" customHeight="false" outlineLevel="0" collapsed="false">
      <c r="A806" s="4" t="s">
        <v>418</v>
      </c>
      <c r="B806" s="0" t="s">
        <v>189</v>
      </c>
      <c r="C806" s="17" t="n">
        <f aca="false">a25_ni</f>
        <v>3.18</v>
      </c>
      <c r="D806" s="17" t="n">
        <f aca="false">a26_ni</f>
        <v>6.7316248085628</v>
      </c>
      <c r="E806" s="17" t="n">
        <f aca="false">E804*ni_oi</f>
        <v>8.76884311675087</v>
      </c>
      <c r="F806" s="17" t="n">
        <f aca="false">F804*ni_oi</f>
        <v>6.48109332589235</v>
      </c>
      <c r="G806" s="17" t="n">
        <f aca="false">G804*ni_oi</f>
        <v>7.63060320336266</v>
      </c>
      <c r="H806" s="30" t="n">
        <f aca="false">H796*H810</f>
        <v>7.8614387769054</v>
      </c>
      <c r="I806" s="30" t="n">
        <f aca="false">I796*I810</f>
        <v>7.7733140272549</v>
      </c>
      <c r="J806" s="30" t="n">
        <f aca="false">J796*J810</f>
        <v>7.36171619579367</v>
      </c>
    </row>
    <row r="807" customFormat="false" ht="15" hidden="false" customHeight="false" outlineLevel="0" collapsed="false">
      <c r="A807" s="4" t="s">
        <v>512</v>
      </c>
      <c r="B807" s="4" t="s">
        <v>513</v>
      </c>
      <c r="C807" s="19" t="n">
        <f aca="false">a25_sh</f>
        <v>94.9537175276202</v>
      </c>
      <c r="D807" s="19" t="n">
        <f aca="false">a26_sh</f>
        <v>97.9860681630967</v>
      </c>
      <c r="E807" s="19" t="n">
        <f aca="false">D807*(1+sh_g)</f>
        <v>97.9860681630967</v>
      </c>
      <c r="F807" s="19" t="n">
        <f aca="false">E807*(1+sh_g)</f>
        <v>97.9860681630967</v>
      </c>
      <c r="G807" s="19" t="n">
        <f aca="false">F807*(1+sh_g)</f>
        <v>97.9860681630967</v>
      </c>
      <c r="H807" s="25" t="n">
        <f aca="false">G807*(1+sh_g)</f>
        <v>97.9860681630967</v>
      </c>
      <c r="I807" s="25" t="n">
        <f aca="false">H807*(1+sh_g)</f>
        <v>97.9860681630967</v>
      </c>
      <c r="J807" s="25" t="n">
        <f aca="false">I807*(1+sh_g)</f>
        <v>97.9860681630967</v>
      </c>
    </row>
    <row r="808" customFormat="false" ht="15" hidden="false" customHeight="false" outlineLevel="0" collapsed="false">
      <c r="A808" s="0" t="s">
        <v>423</v>
      </c>
      <c r="B808" s="0" t="s">
        <v>256</v>
      </c>
      <c r="C808" s="20" t="n">
        <f aca="false">a25_eps</f>
        <v>33.49</v>
      </c>
      <c r="D808" s="20" t="n">
        <f aca="false">a26_eps</f>
        <v>68.6959552317267</v>
      </c>
      <c r="E808" s="20" t="n">
        <f aca="false">E806/E807*1000</f>
        <v>89.4907131303118</v>
      </c>
      <c r="F808" s="20" t="n">
        <f aca="false">F806/F807*1000</f>
        <v>66.1430083622158</v>
      </c>
      <c r="G808" s="20" t="n">
        <f aca="false">G806/G807*1000</f>
        <v>77.8743687384375</v>
      </c>
      <c r="H808" s="28" t="n">
        <f aca="false">H806/H807*1000</f>
        <v>80.2301686788791</v>
      </c>
      <c r="I808" s="28" t="n">
        <f aca="false">I806/I807*1000</f>
        <v>79.3308086851317</v>
      </c>
      <c r="J808" s="28" t="n">
        <f aca="false">J806/J807*1000</f>
        <v>75.1302336526064</v>
      </c>
    </row>
    <row r="809" customFormat="false" ht="17.15" hidden="false" customHeight="false" outlineLevel="0" collapsed="false">
      <c r="A809" s="0" t="s">
        <v>514</v>
      </c>
      <c r="B809" s="0" t="s">
        <v>90</v>
      </c>
      <c r="D809" s="22" t="n">
        <f aca="false">D808/C808-1</f>
        <v>1.05123783910799</v>
      </c>
      <c r="E809" s="22" t="n">
        <f aca="false">E808/D808-1</f>
        <v>0.302707165632093</v>
      </c>
      <c r="F809" s="22" t="n">
        <f aca="false">F808/E808-1</f>
        <v>-0.260895281213128</v>
      </c>
      <c r="G809" s="22" t="n">
        <f aca="false">G808/F808-1</f>
        <v>0.177363574271944</v>
      </c>
      <c r="H809" s="26" t="n">
        <f aca="false">H808/G808-1</f>
        <v>0.0302512877934749</v>
      </c>
      <c r="I809" s="26" t="n">
        <f aca="false">I808/H808-1</f>
        <v>-0.0112097482599982</v>
      </c>
      <c r="J809" s="26" t="n">
        <f aca="false">J808/I808-1</f>
        <v>-0.0529501098267839</v>
      </c>
    </row>
    <row r="810" customFormat="false" ht="17.15" hidden="false" customHeight="false" outlineLevel="0" collapsed="false">
      <c r="A810" s="4" t="s">
        <v>515</v>
      </c>
      <c r="B810" s="0" t="s">
        <v>90</v>
      </c>
      <c r="C810" s="14" t="n">
        <f aca="false">C806/C796</f>
        <v>0.237721462211258</v>
      </c>
      <c r="D810" s="14" t="n">
        <f aca="false">D806/D796</f>
        <v>0.314376072488123</v>
      </c>
      <c r="E810" s="14" t="n">
        <f aca="false">E806/E796</f>
        <v>0.311520064484405</v>
      </c>
      <c r="F810" s="14" t="n">
        <f aca="false">F806/F796</f>
        <v>0.282344444097827</v>
      </c>
      <c r="G810" s="14" t="n">
        <f aca="false">G806/G796</f>
        <v>0.291976142403478</v>
      </c>
      <c r="H810" s="27" t="n">
        <f aca="false">$G810+(fade_mC-$G810)*1/3</f>
        <v>0.273707262017245</v>
      </c>
      <c r="I810" s="27" t="n">
        <f aca="false">$G810+(fade_mC-$G810)*2/3</f>
        <v>0.255438381631011</v>
      </c>
      <c r="J810" s="27" t="n">
        <f aca="false">$G810+(fade_mC-$G810)*3/3</f>
        <v>0.237169501244778</v>
      </c>
    </row>
    <row r="813" customFormat="false" ht="17.15" hidden="false" customHeight="false" outlineLevel="0" collapsed="false">
      <c r="A813" s="1" t="s">
        <v>826</v>
      </c>
    </row>
    <row r="814" customFormat="false" ht="17.15" hidden="false" customHeight="false" outlineLevel="0" collapsed="false">
      <c r="A814" s="5" t="s">
        <v>21</v>
      </c>
      <c r="B814" s="5" t="s">
        <v>22</v>
      </c>
      <c r="C814" s="15" t="s">
        <v>387</v>
      </c>
      <c r="D814" s="15" t="s">
        <v>468</v>
      </c>
      <c r="E814" s="15" t="s">
        <v>469</v>
      </c>
      <c r="F814" s="15" t="s">
        <v>470</v>
      </c>
      <c r="G814" s="15" t="s">
        <v>471</v>
      </c>
      <c r="H814" s="15" t="s">
        <v>472</v>
      </c>
      <c r="I814" s="15" t="s">
        <v>473</v>
      </c>
      <c r="J814" s="15" t="s">
        <v>474</v>
      </c>
      <c r="K814" s="5" t="s">
        <v>336</v>
      </c>
    </row>
    <row r="815" customFormat="false" ht="17.15" hidden="false" customHeight="false" outlineLevel="0" collapsed="false">
      <c r="A815" s="6" t="s">
        <v>492</v>
      </c>
    </row>
    <row r="816" customFormat="false" ht="17.15" hidden="false" customHeight="false" outlineLevel="0" collapsed="false">
      <c r="A816" s="0" t="s">
        <v>493</v>
      </c>
      <c r="B816" s="4" t="s">
        <v>32</v>
      </c>
      <c r="D816" s="20" t="n">
        <f aca="false">units_26</f>
        <v>15.2</v>
      </c>
      <c r="E816" s="20" t="n">
        <f aca="false">units_27*1</f>
        <v>23.7</v>
      </c>
      <c r="F816" s="20" t="n">
        <f aca="false">units_28*um28_A*1</f>
        <v>26.5</v>
      </c>
      <c r="G816" s="20" t="n">
        <f aca="false">units_29*um29_A*1</f>
        <v>30.15</v>
      </c>
    </row>
    <row r="817" customFormat="false" ht="17.15" hidden="false" customHeight="false" outlineLevel="0" collapsed="false">
      <c r="A817" s="4" t="s">
        <v>494</v>
      </c>
      <c r="B817" s="0" t="s">
        <v>45</v>
      </c>
      <c r="D817" s="18" t="n">
        <f aca="false">ex_nv*nvtt_26+astt_26</f>
        <v>0.607994</v>
      </c>
      <c r="E817" s="18" t="n">
        <f aca="false">ex_nv*nvtt_27+astt_27</f>
        <v>0.6560764</v>
      </c>
      <c r="F817" s="18" t="n">
        <f aca="false">ex_nv*nvtt_28+astt_28</f>
        <v>0.6898114</v>
      </c>
      <c r="G817" s="18" t="n">
        <f aca="false">ex_nv*nvtt_29+astt_29</f>
        <v>0.692935</v>
      </c>
      <c r="K817" s="8" t="s">
        <v>495</v>
      </c>
    </row>
    <row r="818" customFormat="false" ht="17.15" hidden="false" customHeight="false" outlineLevel="0" collapsed="false">
      <c r="A818" s="4" t="s">
        <v>447</v>
      </c>
      <c r="B818" s="0" t="s">
        <v>45</v>
      </c>
      <c r="D818" s="18" t="n">
        <f aca="false">D816*D817/($D816*$D817)</f>
        <v>1</v>
      </c>
      <c r="E818" s="18" t="n">
        <f aca="false">E816*E817/($D816*$D817)</f>
        <v>1.68251862509724</v>
      </c>
      <c r="F818" s="18" t="n">
        <f aca="false">F816*F817/($D816*$D817)</f>
        <v>1.97803221266207</v>
      </c>
      <c r="G818" s="18" t="n">
        <f aca="false">G816*G817/($D816*$D817)</f>
        <v>2.26066876114428</v>
      </c>
    </row>
    <row r="819" customFormat="false" ht="17.15" hidden="false" customHeight="false" outlineLevel="0" collapsed="false">
      <c r="A819" s="4" t="s">
        <v>496</v>
      </c>
      <c r="B819" s="0" t="s">
        <v>45</v>
      </c>
      <c r="D819" s="20" t="n">
        <f aca="false">1</f>
        <v>1</v>
      </c>
      <c r="E819" s="20" t="n">
        <f aca="false">rel27_A</f>
        <v>1.05</v>
      </c>
      <c r="F819" s="20" t="n">
        <f aca="false">rel28_A</f>
        <v>1.08</v>
      </c>
      <c r="G819" s="20" t="n">
        <f aca="false">rel29_A</f>
        <v>1.1</v>
      </c>
    </row>
    <row r="820" customFormat="false" ht="17.15" hidden="false" customHeight="false" outlineLevel="0" collapsed="false">
      <c r="A820" s="4" t="s">
        <v>497</v>
      </c>
      <c r="B820" s="0" t="s">
        <v>45</v>
      </c>
      <c r="D820" s="18" t="n">
        <f aca="false">1</f>
        <v>1</v>
      </c>
      <c r="E820" s="18" t="n">
        <f aca="false">(1+g_ct_hi)^1</f>
        <v>1.1</v>
      </c>
      <c r="F820" s="18" t="n">
        <f aca="false">(1+g_ct_hi)^2</f>
        <v>1.21</v>
      </c>
      <c r="G820" s="18" t="n">
        <f aca="false">(1+g_ct_hi)^3</f>
        <v>1.331</v>
      </c>
    </row>
    <row r="821" customFormat="false" ht="17.15" hidden="false" customHeight="false" outlineLevel="0" collapsed="false">
      <c r="A821" s="6" t="s">
        <v>498</v>
      </c>
    </row>
    <row r="822" customFormat="false" ht="17.15" hidden="false" customHeight="false" outlineLevel="0" collapsed="false">
      <c r="A822" s="0" t="s">
        <v>401</v>
      </c>
      <c r="B822" s="0" t="s">
        <v>189</v>
      </c>
      <c r="C822" s="17" t="n">
        <f aca="false">a25_ai</f>
        <v>5.4297243</v>
      </c>
      <c r="D822" s="17" t="n">
        <f aca="false">a26_ai</f>
        <v>9.5342409</v>
      </c>
      <c r="E822" s="17" t="n">
        <f aca="false">$D822*E818*E819*E820</f>
        <v>18.527976263428</v>
      </c>
      <c r="F822" s="17" t="n">
        <f aca="false">$D822*F818*F819*F820</f>
        <v>24.6449877527639</v>
      </c>
      <c r="G822" s="17" t="n">
        <f aca="false">$D822*G818*G819*G820</f>
        <v>31.5568608415389</v>
      </c>
      <c r="K822" s="8" t="s">
        <v>499</v>
      </c>
    </row>
    <row r="823" customFormat="false" ht="17.15" hidden="false" customHeight="false" outlineLevel="0" collapsed="false">
      <c r="A823" s="4" t="s">
        <v>404</v>
      </c>
      <c r="B823" s="0" t="s">
        <v>189</v>
      </c>
      <c r="C823" s="17" t="n">
        <f aca="false">a25_npc</f>
        <v>4.4425017</v>
      </c>
      <c r="D823" s="17" t="n">
        <f aca="false">a26_npc</f>
        <v>6.3561606</v>
      </c>
      <c r="E823" s="17" t="n">
        <f aca="false">D823*(1+g_nonai+d_npc)</f>
        <v>6.801091842</v>
      </c>
      <c r="F823" s="17" t="n">
        <f aca="false">E823*(1+g_nonai+d_npc)</f>
        <v>7.27716827094</v>
      </c>
      <c r="G823" s="17" t="n">
        <f aca="false">F823*(1+g_nonai+d_npc)</f>
        <v>7.7865700499058</v>
      </c>
      <c r="K823" s="4" t="s">
        <v>500</v>
      </c>
    </row>
    <row r="824" customFormat="false" ht="15" hidden="false" customHeight="false" outlineLevel="0" collapsed="false">
      <c r="A824" s="4" t="s">
        <v>398</v>
      </c>
      <c r="B824" s="0" t="s">
        <v>189</v>
      </c>
      <c r="C824" s="17" t="n">
        <f aca="false">C822+C823</f>
        <v>9.872226</v>
      </c>
      <c r="D824" s="17" t="n">
        <f aca="false">D822+D823</f>
        <v>15.8904015</v>
      </c>
      <c r="E824" s="17" t="n">
        <f aca="false">E822+E823</f>
        <v>25.329068105428</v>
      </c>
      <c r="F824" s="17" t="n">
        <f aca="false">F822+F823</f>
        <v>31.9221560237039</v>
      </c>
      <c r="G824" s="17" t="n">
        <f aca="false">G822+G823</f>
        <v>39.3434308914447</v>
      </c>
    </row>
    <row r="825" customFormat="false" ht="17.15" hidden="false" customHeight="false" outlineLevel="0" collapsed="false">
      <c r="A825" s="0" t="s">
        <v>501</v>
      </c>
      <c r="B825" s="0" t="s">
        <v>189</v>
      </c>
      <c r="D825" s="17" t="n">
        <f aca="false">k_cpo*cpo_A_26/cpo_A_27</f>
        <v>0.24</v>
      </c>
      <c r="E825" s="17" t="n">
        <f aca="false">k_cpo*cpo_A_27/cpo_A_27</f>
        <v>1.2</v>
      </c>
      <c r="F825" s="17" t="n">
        <f aca="false">k_cpo*cpo_A_28/cpo_A_27</f>
        <v>2.4</v>
      </c>
      <c r="G825" s="17" t="n">
        <f aca="false">k_cpo*cpo_A_29/cpo_A_27</f>
        <v>3.84</v>
      </c>
      <c r="K825" s="8" t="s">
        <v>502</v>
      </c>
    </row>
    <row r="826" customFormat="false" ht="17.15" hidden="false" customHeight="false" outlineLevel="0" collapsed="false">
      <c r="A826" s="4" t="s">
        <v>503</v>
      </c>
      <c r="B826" s="0" t="s">
        <v>189</v>
      </c>
      <c r="C826" s="17" t="n">
        <f aca="false">a25_eq</f>
        <v>3.290742</v>
      </c>
      <c r="D826" s="17" t="n">
        <f aca="false">a26_eq-D825</f>
        <v>4.8539955</v>
      </c>
      <c r="E826" s="17" t="n">
        <f aca="false">D826*semi_27</f>
        <v>5.659593717153</v>
      </c>
      <c r="F826" s="17" t="n">
        <f aca="false">$E826*eqk28_A</f>
        <v>6.59889384801401</v>
      </c>
      <c r="G826" s="17" t="n">
        <f aca="false">$E826*eqk29_A</f>
        <v>7.12680377116889</v>
      </c>
      <c r="K826" s="8" t="s">
        <v>504</v>
      </c>
    </row>
    <row r="827" customFormat="false" ht="15" hidden="false" customHeight="false" outlineLevel="0" collapsed="false">
      <c r="A827" s="4" t="s">
        <v>405</v>
      </c>
      <c r="B827" s="0" t="s">
        <v>189</v>
      </c>
      <c r="C827" s="17" t="n">
        <f aca="false">a25_eq</f>
        <v>3.290742</v>
      </c>
      <c r="D827" s="17" t="n">
        <f aca="false">D825+D826</f>
        <v>5.0939955</v>
      </c>
      <c r="E827" s="17" t="n">
        <f aca="false">E825+E826</f>
        <v>6.859593717153</v>
      </c>
      <c r="F827" s="17" t="n">
        <f aca="false">F825+F826</f>
        <v>8.99889384801401</v>
      </c>
      <c r="G827" s="17" t="n">
        <f aca="false">G825+G826</f>
        <v>10.9668037711689</v>
      </c>
    </row>
    <row r="828" customFormat="false" ht="15" hidden="false" customHeight="false" outlineLevel="0" collapsed="false">
      <c r="A828" s="4" t="s">
        <v>407</v>
      </c>
      <c r="B828" s="0" t="s">
        <v>189</v>
      </c>
      <c r="C828" s="17" t="n">
        <f aca="false">a25_oth</f>
        <v>0.214032000000001</v>
      </c>
      <c r="D828" s="17" t="n">
        <f aca="false">a26_oth</f>
        <v>0.428253</v>
      </c>
      <c r="E828" s="17" t="n">
        <f aca="false">D828*(1+g_oth)</f>
        <v>0.44966565</v>
      </c>
      <c r="F828" s="17" t="n">
        <f aca="false">E828*(1+g_oth)</f>
        <v>0.4721489325</v>
      </c>
      <c r="G828" s="17" t="n">
        <f aca="false">F828*(1+g_oth)</f>
        <v>0.495756379125</v>
      </c>
    </row>
    <row r="829" customFormat="false" ht="17.15" hidden="false" customHeight="false" outlineLevel="0" collapsed="false">
      <c r="A829" s="4" t="s">
        <v>394</v>
      </c>
      <c r="B829" s="0" t="s">
        <v>189</v>
      </c>
      <c r="C829" s="17" t="n">
        <f aca="false">C824+C827+C828</f>
        <v>13.377</v>
      </c>
      <c r="D829" s="17" t="n">
        <f aca="false">D824+D827+D828</f>
        <v>21.41265</v>
      </c>
      <c r="E829" s="17" t="n">
        <f aca="false">E824+E827+E828</f>
        <v>32.638327472581</v>
      </c>
      <c r="F829" s="17" t="n">
        <f aca="false">F824+F827+F828</f>
        <v>41.393198804218</v>
      </c>
      <c r="G829" s="17" t="n">
        <f aca="false">G824+G827+G828</f>
        <v>50.8059910417386</v>
      </c>
      <c r="H829" s="30" t="n">
        <f aca="false">G829*(1+H830)</f>
        <v>59.5242817813458</v>
      </c>
      <c r="I829" s="30" t="n">
        <f aca="false">H829*(1+I830)</f>
        <v>66.4171834637243</v>
      </c>
      <c r="J829" s="30" t="n">
        <f aca="false">I829*(1+J830)</f>
        <v>70.4022144715478</v>
      </c>
      <c r="K829" s="8" t="s">
        <v>505</v>
      </c>
    </row>
    <row r="830" customFormat="false" ht="15" hidden="false" customHeight="false" outlineLevel="0" collapsed="false">
      <c r="A830" s="4" t="s">
        <v>506</v>
      </c>
      <c r="B830" s="0" t="s">
        <v>90</v>
      </c>
      <c r="D830" s="22" t="n">
        <f aca="false">D829/C829-1</f>
        <v>0.600706436420722</v>
      </c>
      <c r="E830" s="22" t="n">
        <f aca="false">E829/D829-1</f>
        <v>0.524254469791501</v>
      </c>
      <c r="F830" s="22" t="n">
        <f aca="false">F829/E829-1</f>
        <v>0.268238969628325</v>
      </c>
      <c r="G830" s="22" t="n">
        <f aca="false">G829/F829-1</f>
        <v>0.227399488549831</v>
      </c>
      <c r="H830" s="26" t="n">
        <f aca="false">$G830+(fade_gA-$G830)*1/3</f>
        <v>0.17159965903322</v>
      </c>
      <c r="I830" s="26" t="n">
        <f aca="false">$G830+(fade_gA-$G830)*2/3</f>
        <v>0.11579982951661</v>
      </c>
      <c r="J830" s="26" t="n">
        <f aca="false">$G830+(fade_gA-$G830)*3/3</f>
        <v>0.06</v>
      </c>
    </row>
    <row r="831" customFormat="false" ht="17.15" hidden="false" customHeight="false" outlineLevel="0" collapsed="false">
      <c r="A831" s="0" t="s">
        <v>507</v>
      </c>
      <c r="B831" s="0" t="s">
        <v>90</v>
      </c>
      <c r="C831" s="22" t="n">
        <f aca="false">C822/C829</f>
        <v>0.4059</v>
      </c>
      <c r="D831" s="22" t="n">
        <f aca="false">D822/D829</f>
        <v>0.445262071719287</v>
      </c>
      <c r="E831" s="22" t="n">
        <f aca="false">E822/E829</f>
        <v>0.567675420224675</v>
      </c>
      <c r="F831" s="22" t="n">
        <f aca="false">F822/F829</f>
        <v>0.595387369536964</v>
      </c>
      <c r="G831" s="22" t="n">
        <f aca="false">G822/G829</f>
        <v>0.621124796396827</v>
      </c>
    </row>
    <row r="832" customFormat="false" ht="17.15" hidden="false" customHeight="false" outlineLevel="0" collapsed="false">
      <c r="A832" s="4" t="s">
        <v>508</v>
      </c>
      <c r="B832" s="0" t="s">
        <v>90</v>
      </c>
      <c r="C832" s="22" t="n">
        <f aca="false">C824/C829</f>
        <v>0.738</v>
      </c>
      <c r="D832" s="22" t="n">
        <f aca="false">D824/D829</f>
        <v>0.742103452865479</v>
      </c>
      <c r="E832" s="22" t="n">
        <f aca="false">E824/E829</f>
        <v>0.776052882204414</v>
      </c>
      <c r="F832" s="22" t="n">
        <f aca="false">F824/F829</f>
        <v>0.771193262320454</v>
      </c>
      <c r="G832" s="22" t="n">
        <f aca="false">G824/G829</f>
        <v>0.774385659736918</v>
      </c>
    </row>
    <row r="833" customFormat="false" ht="17.15" hidden="false" customHeight="false" outlineLevel="0" collapsed="false">
      <c r="A833" s="6" t="s">
        <v>509</v>
      </c>
    </row>
    <row r="834" customFormat="false" ht="15" hidden="false" customHeight="false" outlineLevel="0" collapsed="false">
      <c r="A834" s="4" t="s">
        <v>412</v>
      </c>
      <c r="B834" s="0" t="s">
        <v>90</v>
      </c>
      <c r="C834" s="14" t="n">
        <f aca="false">a25_gp/a25_rev</f>
        <v>0.574</v>
      </c>
      <c r="D834" s="14" t="n">
        <f aca="false">a26_gp/a26_rev</f>
        <v>0.593344593032623</v>
      </c>
      <c r="E834" s="14" t="n">
        <f aca="false">gm27_A+gm_adj</f>
        <v>0.6</v>
      </c>
      <c r="F834" s="14" t="n">
        <f aca="false">gmL_A+gm_adj</f>
        <v>0.61</v>
      </c>
      <c r="G834" s="14" t="n">
        <f aca="false">gmL_A+gm_adj</f>
        <v>0.61</v>
      </c>
    </row>
    <row r="835" customFormat="false" ht="15" hidden="false" customHeight="false" outlineLevel="0" collapsed="false">
      <c r="A835" s="4" t="s">
        <v>409</v>
      </c>
      <c r="B835" s="0" t="s">
        <v>189</v>
      </c>
      <c r="C835" s="17" t="n">
        <f aca="false">C829*C834</f>
        <v>7.678398</v>
      </c>
      <c r="D835" s="17" t="n">
        <f aca="false">D829*D834</f>
        <v>12.7050801</v>
      </c>
      <c r="E835" s="17" t="n">
        <f aca="false">E829*E834</f>
        <v>19.5829964835486</v>
      </c>
      <c r="F835" s="17" t="n">
        <f aca="false">F829*F834</f>
        <v>25.249851270573</v>
      </c>
      <c r="G835" s="17" t="n">
        <f aca="false">G829*G834</f>
        <v>30.9916545354605</v>
      </c>
    </row>
    <row r="836" customFormat="false" ht="17.15" hidden="false" customHeight="false" outlineLevel="0" collapsed="false">
      <c r="A836" s="4" t="s">
        <v>510</v>
      </c>
      <c r="B836" s="0" t="s">
        <v>189</v>
      </c>
      <c r="D836" s="17" t="n">
        <f aca="false">a26_opx</f>
        <v>5.05564928556</v>
      </c>
      <c r="E836" s="17" t="n">
        <f aca="false">D836*(1+phi*E830)</f>
        <v>6.64591732695182</v>
      </c>
      <c r="F836" s="17" t="n">
        <f aca="false">E836*(1+phi*F830)</f>
        <v>7.71553373656178</v>
      </c>
      <c r="G836" s="17" t="n">
        <f aca="false">F836*(1+phi*G830)</f>
        <v>8.76823879191164</v>
      </c>
      <c r="K836" s="8" t="s">
        <v>511</v>
      </c>
    </row>
    <row r="837" customFormat="false" ht="15" hidden="false" customHeight="false" outlineLevel="0" collapsed="false">
      <c r="A837" s="4" t="s">
        <v>415</v>
      </c>
      <c r="B837" s="0" t="s">
        <v>189</v>
      </c>
      <c r="D837" s="17" t="n">
        <f aca="false">D835-D836</f>
        <v>7.64943081444</v>
      </c>
      <c r="E837" s="17" t="n">
        <f aca="false">E835-E836</f>
        <v>12.9370791565968</v>
      </c>
      <c r="F837" s="17" t="n">
        <f aca="false">F835-F836</f>
        <v>17.5343175340112</v>
      </c>
      <c r="G837" s="17" t="n">
        <f aca="false">G835-G836</f>
        <v>22.2234157435489</v>
      </c>
    </row>
    <row r="838" customFormat="false" ht="15" hidden="false" customHeight="false" outlineLevel="0" collapsed="false">
      <c r="A838" s="4" t="s">
        <v>482</v>
      </c>
      <c r="B838" s="0" t="s">
        <v>90</v>
      </c>
      <c r="D838" s="14" t="n">
        <f aca="false">D837/D829</f>
        <v>0.357238866484999</v>
      </c>
      <c r="E838" s="14" t="n">
        <f aca="false">E837/E829</f>
        <v>0.396376902813572</v>
      </c>
      <c r="F838" s="14" t="n">
        <f aca="false">F837/F829</f>
        <v>0.42360382962779</v>
      </c>
      <c r="G838" s="14" t="n">
        <f aca="false">G837/G829</f>
        <v>0.437417227533102</v>
      </c>
    </row>
    <row r="839" customFormat="false" ht="15" hidden="false" customHeight="false" outlineLevel="0" collapsed="false">
      <c r="A839" s="4" t="s">
        <v>418</v>
      </c>
      <c r="B839" s="0" t="s">
        <v>189</v>
      </c>
      <c r="C839" s="17" t="n">
        <f aca="false">a25_ni</f>
        <v>3.18</v>
      </c>
      <c r="D839" s="17" t="n">
        <f aca="false">a26_ni</f>
        <v>6.7316248085628</v>
      </c>
      <c r="E839" s="17" t="n">
        <f aca="false">E837*ni_oi</f>
        <v>10.9965172831072</v>
      </c>
      <c r="F839" s="17" t="n">
        <f aca="false">F837*ni_oi</f>
        <v>14.9041699039095</v>
      </c>
      <c r="G839" s="17" t="n">
        <f aca="false">G837*ni_oi</f>
        <v>18.8899033820166</v>
      </c>
      <c r="H839" s="30" t="n">
        <f aca="false">H829*H843</f>
        <v>22.0472422517907</v>
      </c>
      <c r="I839" s="30" t="n">
        <f aca="false">I829*I843</f>
        <v>24.5064010781482</v>
      </c>
      <c r="J839" s="30" t="n">
        <f aca="false">J829*J843</f>
        <v>25.8772425910631</v>
      </c>
    </row>
    <row r="840" customFormat="false" ht="15" hidden="false" customHeight="false" outlineLevel="0" collapsed="false">
      <c r="A840" s="4" t="s">
        <v>512</v>
      </c>
      <c r="B840" s="4" t="s">
        <v>513</v>
      </c>
      <c r="C840" s="19" t="n">
        <f aca="false">a25_sh</f>
        <v>94.9537175276202</v>
      </c>
      <c r="D840" s="19" t="n">
        <f aca="false">a26_sh</f>
        <v>97.9860681630967</v>
      </c>
      <c r="E840" s="19" t="n">
        <f aca="false">D840*(1+sh_g)</f>
        <v>97.9860681630967</v>
      </c>
      <c r="F840" s="19" t="n">
        <f aca="false">E840*(1+sh_g)</f>
        <v>97.9860681630967</v>
      </c>
      <c r="G840" s="19" t="n">
        <f aca="false">F840*(1+sh_g)</f>
        <v>97.9860681630967</v>
      </c>
      <c r="H840" s="25" t="n">
        <f aca="false">G840*(1+sh_g)</f>
        <v>97.9860681630967</v>
      </c>
      <c r="I840" s="25" t="n">
        <f aca="false">H840*(1+sh_g)</f>
        <v>97.9860681630967</v>
      </c>
      <c r="J840" s="25" t="n">
        <f aca="false">I840*(1+sh_g)</f>
        <v>97.9860681630967</v>
      </c>
    </row>
    <row r="841" customFormat="false" ht="15" hidden="false" customHeight="false" outlineLevel="0" collapsed="false">
      <c r="A841" s="0" t="s">
        <v>423</v>
      </c>
      <c r="B841" s="0" t="s">
        <v>256</v>
      </c>
      <c r="C841" s="20" t="n">
        <f aca="false">a25_eps</f>
        <v>33.49</v>
      </c>
      <c r="D841" s="20" t="n">
        <f aca="false">a26_eps</f>
        <v>68.6959552317267</v>
      </c>
      <c r="E841" s="20" t="n">
        <f aca="false">E839/E840*1000</f>
        <v>112.225314162047</v>
      </c>
      <c r="F841" s="20" t="n">
        <f aca="false">F839/F840*1000</f>
        <v>152.10498985531</v>
      </c>
      <c r="G841" s="20" t="n">
        <f aca="false">G839/G840*1000</f>
        <v>192.781522272886</v>
      </c>
      <c r="H841" s="28" t="n">
        <f aca="false">H839/H840*1000</f>
        <v>225.003846619228</v>
      </c>
      <c r="I841" s="28" t="n">
        <f aca="false">I839/I840*1000</f>
        <v>250.10087186433</v>
      </c>
      <c r="J841" s="28" t="n">
        <f aca="false">J839/J840*1000</f>
        <v>264.091039432164</v>
      </c>
    </row>
    <row r="842" customFormat="false" ht="17.15" hidden="false" customHeight="false" outlineLevel="0" collapsed="false">
      <c r="A842" s="0" t="s">
        <v>514</v>
      </c>
      <c r="B842" s="0" t="s">
        <v>90</v>
      </c>
      <c r="D842" s="22" t="n">
        <f aca="false">D841/C841-1</f>
        <v>1.05123783910799</v>
      </c>
      <c r="E842" s="22" t="n">
        <f aca="false">E841/D841-1</f>
        <v>0.633652429513292</v>
      </c>
      <c r="F842" s="22" t="n">
        <f aca="false">F841/E841-1</f>
        <v>0.355353656089384</v>
      </c>
      <c r="G842" s="22" t="n">
        <f aca="false">G841/F841-1</f>
        <v>0.267424050034585</v>
      </c>
      <c r="H842" s="26" t="n">
        <f aca="false">H841/G841-1</f>
        <v>0.167144257221555</v>
      </c>
      <c r="I842" s="26" t="n">
        <f aca="false">I841/H841-1</f>
        <v>0.111540427517993</v>
      </c>
      <c r="J842" s="26" t="n">
        <f aca="false">J841/I841-1</f>
        <v>0.0559380999496208</v>
      </c>
    </row>
    <row r="843" customFormat="false" ht="17.15" hidden="false" customHeight="false" outlineLevel="0" collapsed="false">
      <c r="A843" s="4" t="s">
        <v>515</v>
      </c>
      <c r="B843" s="0" t="s">
        <v>90</v>
      </c>
      <c r="C843" s="14" t="n">
        <f aca="false">C839/C829</f>
        <v>0.237721462211258</v>
      </c>
      <c r="D843" s="14" t="n">
        <f aca="false">D839/D829</f>
        <v>0.314376072488123</v>
      </c>
      <c r="E843" s="14" t="n">
        <f aca="false">E839/E829</f>
        <v>0.336920367391536</v>
      </c>
      <c r="F843" s="14" t="n">
        <f aca="false">F839/F829</f>
        <v>0.360063255183621</v>
      </c>
      <c r="G843" s="14" t="n">
        <f aca="false">G839/G829</f>
        <v>0.371804643403136</v>
      </c>
      <c r="H843" s="27" t="n">
        <f aca="false">$G843+(fade_mA-$G843)*1/3</f>
        <v>0.370390731177205</v>
      </c>
      <c r="I843" s="27" t="n">
        <f aca="false">$G843+(fade_mA-$G843)*2/3</f>
        <v>0.368976818951274</v>
      </c>
      <c r="J843" s="27" t="n">
        <f aca="false">$G843+(fade_mA-$G843)*3/3</f>
        <v>0.367562906725343</v>
      </c>
    </row>
    <row r="846" customFormat="false" ht="17.15" hidden="false" customHeight="false" outlineLevel="0" collapsed="false">
      <c r="A846" s="1" t="s">
        <v>827</v>
      </c>
    </row>
    <row r="847" customFormat="false" ht="17.15" hidden="false" customHeight="false" outlineLevel="0" collapsed="false">
      <c r="A847" s="5" t="s">
        <v>21</v>
      </c>
      <c r="B847" s="5" t="s">
        <v>22</v>
      </c>
      <c r="C847" s="15" t="s">
        <v>387</v>
      </c>
      <c r="D847" s="15" t="s">
        <v>468</v>
      </c>
      <c r="E847" s="15" t="s">
        <v>469</v>
      </c>
      <c r="F847" s="15" t="s">
        <v>470</v>
      </c>
      <c r="G847" s="15" t="s">
        <v>471</v>
      </c>
      <c r="H847" s="15" t="s">
        <v>472</v>
      </c>
      <c r="I847" s="15" t="s">
        <v>473</v>
      </c>
      <c r="J847" s="15" t="s">
        <v>474</v>
      </c>
      <c r="K847" s="5" t="s">
        <v>336</v>
      </c>
    </row>
    <row r="848" customFormat="false" ht="17.15" hidden="false" customHeight="false" outlineLevel="0" collapsed="false">
      <c r="A848" s="6" t="s">
        <v>492</v>
      </c>
    </row>
    <row r="849" customFormat="false" ht="17.15" hidden="false" customHeight="false" outlineLevel="0" collapsed="false">
      <c r="A849" s="0" t="s">
        <v>493</v>
      </c>
      <c r="B849" s="4" t="s">
        <v>32</v>
      </c>
      <c r="D849" s="20" t="n">
        <f aca="false">units_26</f>
        <v>15.2</v>
      </c>
      <c r="E849" s="20" t="n">
        <f aca="false">units_27*1</f>
        <v>23.7</v>
      </c>
      <c r="F849" s="20" t="n">
        <f aca="false">units_28*um28_B*1</f>
        <v>21.2</v>
      </c>
      <c r="G849" s="20" t="n">
        <f aca="false">units_29*um29_B*1</f>
        <v>25.6275</v>
      </c>
    </row>
    <row r="850" customFormat="false" ht="17.15" hidden="false" customHeight="false" outlineLevel="0" collapsed="false">
      <c r="A850" s="4" t="s">
        <v>494</v>
      </c>
      <c r="B850" s="0" t="s">
        <v>45</v>
      </c>
      <c r="D850" s="18" t="n">
        <f aca="false">ex_nv*nvtt_26+astt_26</f>
        <v>0.607994</v>
      </c>
      <c r="E850" s="18" t="n">
        <f aca="false">ex_nv*nvtt_27+astt_27</f>
        <v>0.6560764</v>
      </c>
      <c r="F850" s="18" t="n">
        <f aca="false">ex_nv*nvtt_28+astt_28</f>
        <v>0.6898114</v>
      </c>
      <c r="G850" s="18" t="n">
        <f aca="false">ex_nv*nvtt_29+astt_29</f>
        <v>0.692935</v>
      </c>
      <c r="K850" s="8" t="s">
        <v>495</v>
      </c>
    </row>
    <row r="851" customFormat="false" ht="17.15" hidden="false" customHeight="false" outlineLevel="0" collapsed="false">
      <c r="A851" s="4" t="s">
        <v>447</v>
      </c>
      <c r="B851" s="0" t="s">
        <v>45</v>
      </c>
      <c r="D851" s="18" t="n">
        <f aca="false">D849*D850/($D849*$D850)</f>
        <v>1</v>
      </c>
      <c r="E851" s="18" t="n">
        <f aca="false">E849*E850/($D849*$D850)</f>
        <v>1.68251862509724</v>
      </c>
      <c r="F851" s="18" t="n">
        <f aca="false">F849*F850/($D849*$D850)</f>
        <v>1.58242577012966</v>
      </c>
      <c r="G851" s="18" t="n">
        <f aca="false">G849*G850/($D849*$D850)</f>
        <v>1.92156844697264</v>
      </c>
    </row>
    <row r="852" customFormat="false" ht="17.15" hidden="false" customHeight="false" outlineLevel="0" collapsed="false">
      <c r="A852" s="4" t="s">
        <v>496</v>
      </c>
      <c r="B852" s="0" t="s">
        <v>45</v>
      </c>
      <c r="D852" s="20" t="n">
        <f aca="false">1</f>
        <v>1</v>
      </c>
      <c r="E852" s="20" t="n">
        <f aca="false">rel27_B</f>
        <v>1</v>
      </c>
      <c r="F852" s="20" t="n">
        <f aca="false">rel28_B</f>
        <v>1</v>
      </c>
      <c r="G852" s="20" t="n">
        <f aca="false">rel29_B</f>
        <v>1</v>
      </c>
    </row>
    <row r="853" customFormat="false" ht="17.15" hidden="false" customHeight="false" outlineLevel="0" collapsed="false">
      <c r="A853" s="4" t="s">
        <v>497</v>
      </c>
      <c r="B853" s="0" t="s">
        <v>45</v>
      </c>
      <c r="D853" s="18" t="n">
        <f aca="false">1</f>
        <v>1</v>
      </c>
      <c r="E853" s="18" t="n">
        <f aca="false">(1+g_ct_hi)^1</f>
        <v>1.1</v>
      </c>
      <c r="F853" s="18" t="n">
        <f aca="false">(1+g_ct_hi)^2</f>
        <v>1.21</v>
      </c>
      <c r="G853" s="18" t="n">
        <f aca="false">(1+g_ct_hi)^3</f>
        <v>1.331</v>
      </c>
    </row>
    <row r="854" customFormat="false" ht="17.15" hidden="false" customHeight="false" outlineLevel="0" collapsed="false">
      <c r="A854" s="6" t="s">
        <v>498</v>
      </c>
    </row>
    <row r="855" customFormat="false" ht="17.15" hidden="false" customHeight="false" outlineLevel="0" collapsed="false">
      <c r="A855" s="0" t="s">
        <v>401</v>
      </c>
      <c r="B855" s="0" t="s">
        <v>189</v>
      </c>
      <c r="C855" s="17" t="n">
        <f aca="false">a25_ai</f>
        <v>5.4297243</v>
      </c>
      <c r="D855" s="17" t="n">
        <f aca="false">a26_ai</f>
        <v>9.5342409</v>
      </c>
      <c r="E855" s="17" t="n">
        <f aca="false">$D855*E851*E852*E853</f>
        <v>17.6456916794552</v>
      </c>
      <c r="F855" s="17" t="n">
        <f aca="false">$D855*F851*F852*F853</f>
        <v>18.2555464835289</v>
      </c>
      <c r="G855" s="17" t="n">
        <f aca="false">$D855*G851*G852*G853</f>
        <v>24.3848470139164</v>
      </c>
      <c r="K855" s="8" t="s">
        <v>499</v>
      </c>
    </row>
    <row r="856" customFormat="false" ht="17.15" hidden="false" customHeight="false" outlineLevel="0" collapsed="false">
      <c r="A856" s="4" t="s">
        <v>404</v>
      </c>
      <c r="B856" s="0" t="s">
        <v>189</v>
      </c>
      <c r="C856" s="17" t="n">
        <f aca="false">a25_npc</f>
        <v>4.4425017</v>
      </c>
      <c r="D856" s="17" t="n">
        <f aca="false">a26_npc</f>
        <v>6.3561606</v>
      </c>
      <c r="E856" s="17" t="n">
        <f aca="false">D856*(1+g_nonai+d_npc)</f>
        <v>6.801091842</v>
      </c>
      <c r="F856" s="17" t="n">
        <f aca="false">E856*(1+g_nonai+d_npc)</f>
        <v>7.27716827094</v>
      </c>
      <c r="G856" s="17" t="n">
        <f aca="false">F856*(1+g_nonai+d_npc)</f>
        <v>7.7865700499058</v>
      </c>
      <c r="K856" s="4" t="s">
        <v>500</v>
      </c>
    </row>
    <row r="857" customFormat="false" ht="15" hidden="false" customHeight="false" outlineLevel="0" collapsed="false">
      <c r="A857" s="4" t="s">
        <v>398</v>
      </c>
      <c r="B857" s="0" t="s">
        <v>189</v>
      </c>
      <c r="C857" s="17" t="n">
        <f aca="false">C855+C856</f>
        <v>9.872226</v>
      </c>
      <c r="D857" s="17" t="n">
        <f aca="false">D855+D856</f>
        <v>15.8904015</v>
      </c>
      <c r="E857" s="17" t="n">
        <f aca="false">E855+E856</f>
        <v>24.4467835214552</v>
      </c>
      <c r="F857" s="17" t="n">
        <f aca="false">F855+F856</f>
        <v>25.5327147544689</v>
      </c>
      <c r="G857" s="17" t="n">
        <f aca="false">G855+G856</f>
        <v>32.1714170638222</v>
      </c>
    </row>
    <row r="858" customFormat="false" ht="17.15" hidden="false" customHeight="false" outlineLevel="0" collapsed="false">
      <c r="A858" s="0" t="s">
        <v>501</v>
      </c>
      <c r="B858" s="0" t="s">
        <v>189</v>
      </c>
      <c r="D858" s="17" t="n">
        <f aca="false">k_cpo*cpo_A_26/cpo_A_27</f>
        <v>0.24</v>
      </c>
      <c r="E858" s="17" t="n">
        <f aca="false">k_cpo*cpo_B_27/cpo_A_27</f>
        <v>0.72</v>
      </c>
      <c r="F858" s="17" t="n">
        <f aca="false">k_cpo*cpo_B_28/cpo_A_27</f>
        <v>1.2</v>
      </c>
      <c r="G858" s="17" t="n">
        <f aca="false">k_cpo*cpo_B_29/cpo_A_27</f>
        <v>1.92</v>
      </c>
      <c r="K858" s="8" t="s">
        <v>502</v>
      </c>
    </row>
    <row r="859" customFormat="false" ht="17.15" hidden="false" customHeight="false" outlineLevel="0" collapsed="false">
      <c r="A859" s="4" t="s">
        <v>503</v>
      </c>
      <c r="B859" s="0" t="s">
        <v>189</v>
      </c>
      <c r="C859" s="17" t="n">
        <f aca="false">a25_eq</f>
        <v>3.290742</v>
      </c>
      <c r="D859" s="17" t="n">
        <f aca="false">a26_eq-D858</f>
        <v>4.8539955</v>
      </c>
      <c r="E859" s="17" t="n">
        <f aca="false">D859*semi_27</f>
        <v>5.659593717153</v>
      </c>
      <c r="F859" s="17" t="n">
        <f aca="false">$E859*eqk28_B</f>
        <v>5.659593717153</v>
      </c>
      <c r="G859" s="17" t="n">
        <f aca="false">$E859*eqk29_B</f>
        <v>5.37661403129535</v>
      </c>
      <c r="K859" s="8" t="s">
        <v>504</v>
      </c>
    </row>
    <row r="860" customFormat="false" ht="15" hidden="false" customHeight="false" outlineLevel="0" collapsed="false">
      <c r="A860" s="4" t="s">
        <v>405</v>
      </c>
      <c r="B860" s="0" t="s">
        <v>189</v>
      </c>
      <c r="C860" s="17" t="n">
        <f aca="false">a25_eq</f>
        <v>3.290742</v>
      </c>
      <c r="D860" s="17" t="n">
        <f aca="false">D858+D859</f>
        <v>5.0939955</v>
      </c>
      <c r="E860" s="17" t="n">
        <f aca="false">E858+E859</f>
        <v>6.379593717153</v>
      </c>
      <c r="F860" s="17" t="n">
        <f aca="false">F858+F859</f>
        <v>6.859593717153</v>
      </c>
      <c r="G860" s="17" t="n">
        <f aca="false">G858+G859</f>
        <v>7.29661403129535</v>
      </c>
    </row>
    <row r="861" customFormat="false" ht="15" hidden="false" customHeight="false" outlineLevel="0" collapsed="false">
      <c r="A861" s="4" t="s">
        <v>407</v>
      </c>
      <c r="B861" s="0" t="s">
        <v>189</v>
      </c>
      <c r="C861" s="17" t="n">
        <f aca="false">a25_oth</f>
        <v>0.214032000000001</v>
      </c>
      <c r="D861" s="17" t="n">
        <f aca="false">a26_oth</f>
        <v>0.428253</v>
      </c>
      <c r="E861" s="17" t="n">
        <f aca="false">D861*(1+g_oth)</f>
        <v>0.44966565</v>
      </c>
      <c r="F861" s="17" t="n">
        <f aca="false">E861*(1+g_oth)</f>
        <v>0.4721489325</v>
      </c>
      <c r="G861" s="17" t="n">
        <f aca="false">F861*(1+g_oth)</f>
        <v>0.495756379125</v>
      </c>
    </row>
    <row r="862" customFormat="false" ht="17.15" hidden="false" customHeight="false" outlineLevel="0" collapsed="false">
      <c r="A862" s="4" t="s">
        <v>394</v>
      </c>
      <c r="B862" s="0" t="s">
        <v>189</v>
      </c>
      <c r="C862" s="17" t="n">
        <f aca="false">C857+C860+C861</f>
        <v>13.377</v>
      </c>
      <c r="D862" s="17" t="n">
        <f aca="false">D857+D860+D861</f>
        <v>21.41265</v>
      </c>
      <c r="E862" s="17" t="n">
        <f aca="false">E857+E860+E861</f>
        <v>31.2760428886082</v>
      </c>
      <c r="F862" s="17" t="n">
        <f aca="false">F857+F860+F861</f>
        <v>32.8644574041218</v>
      </c>
      <c r="G862" s="17" t="n">
        <f aca="false">G857+G860+G861</f>
        <v>39.9637874742426</v>
      </c>
      <c r="H862" s="30" t="n">
        <f aca="false">G862*(1+H863)</f>
        <v>46.2519156718907</v>
      </c>
      <c r="I862" s="30" t="n">
        <f aca="false">H862*(1+I863)</f>
        <v>50.8157228998002</v>
      </c>
      <c r="J862" s="30" t="n">
        <f aca="false">I862*(1+J863)</f>
        <v>52.8483518157923</v>
      </c>
      <c r="K862" s="8" t="s">
        <v>505</v>
      </c>
    </row>
    <row r="863" customFormat="false" ht="15" hidden="false" customHeight="false" outlineLevel="0" collapsed="false">
      <c r="A863" s="4" t="s">
        <v>506</v>
      </c>
      <c r="B863" s="0" t="s">
        <v>90</v>
      </c>
      <c r="D863" s="22" t="n">
        <f aca="false">D862/C862-1</f>
        <v>0.600706436420722</v>
      </c>
      <c r="E863" s="22" t="n">
        <f aca="false">E862/D862-1</f>
        <v>0.460633919136969</v>
      </c>
      <c r="F863" s="22" t="n">
        <f aca="false">F862/E862-1</f>
        <v>0.0507869400605085</v>
      </c>
      <c r="G863" s="22" t="n">
        <f aca="false">G862/F862-1</f>
        <v>0.216018478042188</v>
      </c>
      <c r="H863" s="26" t="n">
        <f aca="false">$G863+(fade_gB-$G863)*1/3</f>
        <v>0.157345652028125</v>
      </c>
      <c r="I863" s="26" t="n">
        <f aca="false">$G863+(fade_gB-$G863)*2/3</f>
        <v>0.0986728260140626</v>
      </c>
      <c r="J863" s="26" t="n">
        <f aca="false">$G863+(fade_gB-$G863)*3/3</f>
        <v>0.04</v>
      </c>
    </row>
    <row r="864" customFormat="false" ht="17.15" hidden="false" customHeight="false" outlineLevel="0" collapsed="false">
      <c r="A864" s="0" t="s">
        <v>507</v>
      </c>
      <c r="B864" s="0" t="s">
        <v>90</v>
      </c>
      <c r="C864" s="22" t="n">
        <f aca="false">C855/C862</f>
        <v>0.4059</v>
      </c>
      <c r="D864" s="22" t="n">
        <f aca="false">D855/D862</f>
        <v>0.445262071719287</v>
      </c>
      <c r="E864" s="22" t="n">
        <f aca="false">E855/E862</f>
        <v>0.564191951721692</v>
      </c>
      <c r="F864" s="22" t="n">
        <f aca="false">F855/F862</f>
        <v>0.555479929549643</v>
      </c>
      <c r="G864" s="22" t="n">
        <f aca="false">G855/G862</f>
        <v>0.610173573504086</v>
      </c>
    </row>
    <row r="865" customFormat="false" ht="17.15" hidden="false" customHeight="false" outlineLevel="0" collapsed="false">
      <c r="A865" s="4" t="s">
        <v>508</v>
      </c>
      <c r="B865" s="0" t="s">
        <v>90</v>
      </c>
      <c r="C865" s="22" t="n">
        <f aca="false">C857/C862</f>
        <v>0.738</v>
      </c>
      <c r="D865" s="22" t="n">
        <f aca="false">D857/D862</f>
        <v>0.742103452865479</v>
      </c>
      <c r="E865" s="22" t="n">
        <f aca="false">E857/E862</f>
        <v>0.781645670730281</v>
      </c>
      <c r="F865" s="22" t="n">
        <f aca="false">F857/F862</f>
        <v>0.776909669936207</v>
      </c>
      <c r="G865" s="22" t="n">
        <f aca="false">G857/G862</f>
        <v>0.805014216546851</v>
      </c>
    </row>
    <row r="866" customFormat="false" ht="17.15" hidden="false" customHeight="false" outlineLevel="0" collapsed="false">
      <c r="A866" s="6" t="s">
        <v>509</v>
      </c>
    </row>
    <row r="867" customFormat="false" ht="15" hidden="false" customHeight="false" outlineLevel="0" collapsed="false">
      <c r="A867" s="4" t="s">
        <v>412</v>
      </c>
      <c r="B867" s="0" t="s">
        <v>90</v>
      </c>
      <c r="C867" s="14" t="n">
        <f aca="false">a25_gp/a25_rev</f>
        <v>0.574</v>
      </c>
      <c r="D867" s="14" t="n">
        <f aca="false">a26_gp/a26_rev</f>
        <v>0.593344593032623</v>
      </c>
      <c r="E867" s="14" t="n">
        <f aca="false">gm27_B+gm_adj</f>
        <v>0.595</v>
      </c>
      <c r="F867" s="14" t="n">
        <f aca="false">gmL_B+gm_adj</f>
        <v>0.595</v>
      </c>
      <c r="G867" s="14" t="n">
        <f aca="false">gmL_B+gm_adj</f>
        <v>0.595</v>
      </c>
    </row>
    <row r="868" customFormat="false" ht="15" hidden="false" customHeight="false" outlineLevel="0" collapsed="false">
      <c r="A868" s="4" t="s">
        <v>409</v>
      </c>
      <c r="B868" s="0" t="s">
        <v>189</v>
      </c>
      <c r="C868" s="17" t="n">
        <f aca="false">C862*C867</f>
        <v>7.678398</v>
      </c>
      <c r="D868" s="17" t="n">
        <f aca="false">D862*D867</f>
        <v>12.7050801</v>
      </c>
      <c r="E868" s="17" t="n">
        <f aca="false">E862*E867</f>
        <v>18.6092455187219</v>
      </c>
      <c r="F868" s="17" t="n">
        <f aca="false">F862*F867</f>
        <v>19.5543521554525</v>
      </c>
      <c r="G868" s="17" t="n">
        <f aca="false">G862*G867</f>
        <v>23.7784535471743</v>
      </c>
    </row>
    <row r="869" customFormat="false" ht="17.15" hidden="false" customHeight="false" outlineLevel="0" collapsed="false">
      <c r="A869" s="4" t="s">
        <v>510</v>
      </c>
      <c r="B869" s="0" t="s">
        <v>189</v>
      </c>
      <c r="D869" s="17" t="n">
        <f aca="false">a26_opx</f>
        <v>5.05564928556</v>
      </c>
      <c r="E869" s="17" t="n">
        <f aca="false">D869*(1+phi*E863)</f>
        <v>6.45293141207371</v>
      </c>
      <c r="F869" s="17" t="n">
        <f aca="false">E869*(1+phi*F863)</f>
        <v>6.64956619657745</v>
      </c>
      <c r="G869" s="17" t="n">
        <f aca="false">F869*(1+phi*G863)</f>
        <v>7.51142369823271</v>
      </c>
      <c r="K869" s="8" t="s">
        <v>511</v>
      </c>
    </row>
    <row r="870" customFormat="false" ht="15" hidden="false" customHeight="false" outlineLevel="0" collapsed="false">
      <c r="A870" s="4" t="s">
        <v>415</v>
      </c>
      <c r="B870" s="0" t="s">
        <v>189</v>
      </c>
      <c r="D870" s="17" t="n">
        <f aca="false">D868-D869</f>
        <v>7.64943081444</v>
      </c>
      <c r="E870" s="17" t="n">
        <f aca="false">E868-E869</f>
        <v>12.1563141066482</v>
      </c>
      <c r="F870" s="17" t="n">
        <f aca="false">F868-F869</f>
        <v>12.904785958875</v>
      </c>
      <c r="G870" s="17" t="n">
        <f aca="false">G868-G869</f>
        <v>16.2670298489416</v>
      </c>
    </row>
    <row r="871" customFormat="false" ht="15" hidden="false" customHeight="false" outlineLevel="0" collapsed="false">
      <c r="A871" s="4" t="s">
        <v>482</v>
      </c>
      <c r="B871" s="0" t="s">
        <v>90</v>
      </c>
      <c r="D871" s="14" t="n">
        <f aca="false">D870/D862</f>
        <v>0.357238866484999</v>
      </c>
      <c r="E871" s="14" t="n">
        <f aca="false">E870/E862</f>
        <v>0.38867813776646</v>
      </c>
      <c r="F871" s="14" t="n">
        <f aca="false">F870/F862</f>
        <v>0.392666941072228</v>
      </c>
      <c r="G871" s="14" t="n">
        <f aca="false">G870/G862</f>
        <v>0.407044248732081</v>
      </c>
    </row>
    <row r="872" customFormat="false" ht="15" hidden="false" customHeight="false" outlineLevel="0" collapsed="false">
      <c r="A872" s="4" t="s">
        <v>418</v>
      </c>
      <c r="B872" s="0" t="s">
        <v>189</v>
      </c>
      <c r="C872" s="17" t="n">
        <f aca="false">a25_ni</f>
        <v>3.18</v>
      </c>
      <c r="D872" s="17" t="n">
        <f aca="false">a26_ni</f>
        <v>6.7316248085628</v>
      </c>
      <c r="E872" s="17" t="n">
        <f aca="false">E870*ni_oi</f>
        <v>10.3328669906509</v>
      </c>
      <c r="F872" s="17" t="n">
        <f aca="false">F870*ni_oi</f>
        <v>10.9690680650438</v>
      </c>
      <c r="G872" s="17" t="n">
        <f aca="false">G870*ni_oi</f>
        <v>13.8269753716004</v>
      </c>
      <c r="H872" s="30" t="n">
        <f aca="false">H862*H876</f>
        <v>15.4030945779022</v>
      </c>
      <c r="I872" s="30" t="n">
        <f aca="false">I862*I876</f>
        <v>16.2643123097337</v>
      </c>
      <c r="J872" s="30" t="n">
        <f aca="false">J862*J876</f>
        <v>16.2298896970097</v>
      </c>
    </row>
    <row r="873" customFormat="false" ht="15" hidden="false" customHeight="false" outlineLevel="0" collapsed="false">
      <c r="A873" s="4" t="s">
        <v>512</v>
      </c>
      <c r="B873" s="4" t="s">
        <v>513</v>
      </c>
      <c r="C873" s="19" t="n">
        <f aca="false">a25_sh</f>
        <v>94.9537175276202</v>
      </c>
      <c r="D873" s="19" t="n">
        <f aca="false">a26_sh</f>
        <v>97.9860681630967</v>
      </c>
      <c r="E873" s="19" t="n">
        <f aca="false">D873*(1+sh_g)</f>
        <v>97.9860681630967</v>
      </c>
      <c r="F873" s="19" t="n">
        <f aca="false">E873*(1+sh_g)</f>
        <v>97.9860681630967</v>
      </c>
      <c r="G873" s="19" t="n">
        <f aca="false">F873*(1+sh_g)</f>
        <v>97.9860681630967</v>
      </c>
      <c r="H873" s="25" t="n">
        <f aca="false">G873*(1+sh_g)</f>
        <v>97.9860681630967</v>
      </c>
      <c r="I873" s="25" t="n">
        <f aca="false">H873*(1+sh_g)</f>
        <v>97.9860681630967</v>
      </c>
      <c r="J873" s="25" t="n">
        <f aca="false">I873*(1+sh_g)</f>
        <v>97.9860681630967</v>
      </c>
    </row>
    <row r="874" customFormat="false" ht="15" hidden="false" customHeight="false" outlineLevel="0" collapsed="false">
      <c r="A874" s="0" t="s">
        <v>423</v>
      </c>
      <c r="B874" s="0" t="s">
        <v>256</v>
      </c>
      <c r="C874" s="20" t="n">
        <f aca="false">a25_eps</f>
        <v>33.49</v>
      </c>
      <c r="D874" s="20" t="n">
        <f aca="false">a26_eps</f>
        <v>68.6959552317267</v>
      </c>
      <c r="E874" s="20" t="n">
        <f aca="false">E872/E873*1000</f>
        <v>105.452409555326</v>
      </c>
      <c r="F874" s="20" t="n">
        <f aca="false">F872/F873*1000</f>
        <v>111.945180275893</v>
      </c>
      <c r="G874" s="20" t="n">
        <f aca="false">G872/G873*1000</f>
        <v>141.111646082028</v>
      </c>
      <c r="H874" s="28" t="n">
        <f aca="false">H872/H873*1000</f>
        <v>157.196781814573</v>
      </c>
      <c r="I874" s="28" t="n">
        <f aca="false">I872/I873*1000</f>
        <v>165.985967338356</v>
      </c>
      <c r="J874" s="28" t="n">
        <f aca="false">J872/J873*1000</f>
        <v>165.634666246586</v>
      </c>
    </row>
    <row r="875" customFormat="false" ht="17.15" hidden="false" customHeight="false" outlineLevel="0" collapsed="false">
      <c r="A875" s="0" t="s">
        <v>514</v>
      </c>
      <c r="B875" s="0" t="s">
        <v>90</v>
      </c>
      <c r="D875" s="22" t="n">
        <f aca="false">D874/C874-1</f>
        <v>1.05123783910799</v>
      </c>
      <c r="E875" s="22" t="n">
        <f aca="false">E874/D874-1</f>
        <v>0.535059949302859</v>
      </c>
      <c r="F875" s="22" t="n">
        <f aca="false">F874/E874-1</f>
        <v>0.0615706245873939</v>
      </c>
      <c r="G875" s="22" t="n">
        <f aca="false">G874/F874-1</f>
        <v>0.260542398826401</v>
      </c>
      <c r="H875" s="26" t="n">
        <f aca="false">H874/G874-1</f>
        <v>0.113988718714224</v>
      </c>
      <c r="I875" s="26" t="n">
        <f aca="false">I874/H874-1</f>
        <v>0.0559119940136565</v>
      </c>
      <c r="J875" s="26" t="n">
        <f aca="false">J874/I874-1</f>
        <v>-0.00211645054942655</v>
      </c>
    </row>
    <row r="876" customFormat="false" ht="17.15" hidden="false" customHeight="false" outlineLevel="0" collapsed="false">
      <c r="A876" s="4" t="s">
        <v>515</v>
      </c>
      <c r="B876" s="0" t="s">
        <v>90</v>
      </c>
      <c r="C876" s="14" t="n">
        <f aca="false">C872/C862</f>
        <v>0.237721462211258</v>
      </c>
      <c r="D876" s="14" t="n">
        <f aca="false">D872/D862</f>
        <v>0.314376072488123</v>
      </c>
      <c r="E876" s="14" t="n">
        <f aca="false">E872/E862</f>
        <v>0.330376417101491</v>
      </c>
      <c r="F876" s="14" t="n">
        <f aca="false">F872/F862</f>
        <v>0.333766899911394</v>
      </c>
      <c r="G876" s="14" t="n">
        <f aca="false">G872/G862</f>
        <v>0.345987611422269</v>
      </c>
      <c r="H876" s="27" t="n">
        <f aca="false">$G876+(fade_mB-$G876)*1/3</f>
        <v>0.333026088847243</v>
      </c>
      <c r="I876" s="27" t="n">
        <f aca="false">$G876+(fade_mB-$G876)*2/3</f>
        <v>0.320064566272216</v>
      </c>
      <c r="J876" s="27" t="n">
        <f aca="false">$G876+(fade_mB-$G876)*3/3</f>
        <v>0.30710304369719</v>
      </c>
    </row>
    <row r="879" customFormat="false" ht="17.15" hidden="false" customHeight="false" outlineLevel="0" collapsed="false">
      <c r="A879" s="1" t="s">
        <v>828</v>
      </c>
    </row>
    <row r="880" customFormat="false" ht="17.15" hidden="false" customHeight="false" outlineLevel="0" collapsed="false">
      <c r="A880" s="5" t="s">
        <v>21</v>
      </c>
      <c r="B880" s="5" t="s">
        <v>22</v>
      </c>
      <c r="C880" s="15" t="s">
        <v>387</v>
      </c>
      <c r="D880" s="15" t="s">
        <v>468</v>
      </c>
      <c r="E880" s="15" t="s">
        <v>469</v>
      </c>
      <c r="F880" s="15" t="s">
        <v>470</v>
      </c>
      <c r="G880" s="15" t="s">
        <v>471</v>
      </c>
      <c r="H880" s="15" t="s">
        <v>472</v>
      </c>
      <c r="I880" s="15" t="s">
        <v>473</v>
      </c>
      <c r="J880" s="15" t="s">
        <v>474</v>
      </c>
      <c r="K880" s="5" t="s">
        <v>336</v>
      </c>
    </row>
    <row r="881" customFormat="false" ht="17.15" hidden="false" customHeight="false" outlineLevel="0" collapsed="false">
      <c r="A881" s="6" t="s">
        <v>492</v>
      </c>
    </row>
    <row r="882" customFormat="false" ht="17.15" hidden="false" customHeight="false" outlineLevel="0" collapsed="false">
      <c r="A882" s="0" t="s">
        <v>493</v>
      </c>
      <c r="B882" s="4" t="s">
        <v>32</v>
      </c>
      <c r="D882" s="20" t="n">
        <f aca="false">units_26</f>
        <v>15.2</v>
      </c>
      <c r="E882" s="20" t="n">
        <f aca="false">units_27*1</f>
        <v>23.7</v>
      </c>
      <c r="F882" s="20" t="n">
        <f aca="false">units_28*um28_C*1</f>
        <v>15.9</v>
      </c>
      <c r="G882" s="20" t="n">
        <f aca="false">units_29*um29_C*1</f>
        <v>18.09</v>
      </c>
    </row>
    <row r="883" customFormat="false" ht="17.15" hidden="false" customHeight="false" outlineLevel="0" collapsed="false">
      <c r="A883" s="4" t="s">
        <v>494</v>
      </c>
      <c r="B883" s="0" t="s">
        <v>45</v>
      </c>
      <c r="D883" s="18" t="n">
        <f aca="false">ex_nv*nvtt_26+astt_26</f>
        <v>0.607994</v>
      </c>
      <c r="E883" s="18" t="n">
        <f aca="false">ex_nv*nvtt_27+astt_27</f>
        <v>0.6560764</v>
      </c>
      <c r="F883" s="18" t="n">
        <f aca="false">ex_nv*nvtt_28+astt_28</f>
        <v>0.6898114</v>
      </c>
      <c r="G883" s="18" t="n">
        <f aca="false">ex_nv*nvtt_29+astt_29</f>
        <v>0.692935</v>
      </c>
      <c r="K883" s="8" t="s">
        <v>495</v>
      </c>
    </row>
    <row r="884" customFormat="false" ht="17.15" hidden="false" customHeight="false" outlineLevel="0" collapsed="false">
      <c r="A884" s="4" t="s">
        <v>447</v>
      </c>
      <c r="B884" s="0" t="s">
        <v>45</v>
      </c>
      <c r="D884" s="18" t="n">
        <f aca="false">D882*D883/($D882*$D883)</f>
        <v>1</v>
      </c>
      <c r="E884" s="18" t="n">
        <f aca="false">E882*E883/($D882*$D883)</f>
        <v>1.68251862509724</v>
      </c>
      <c r="F884" s="18" t="n">
        <f aca="false">F882*F883/($D882*$D883)</f>
        <v>1.18681932759724</v>
      </c>
      <c r="G884" s="18" t="n">
        <f aca="false">G882*G883/($D882*$D883)</f>
        <v>1.35640125668657</v>
      </c>
    </row>
    <row r="885" customFormat="false" ht="17.15" hidden="false" customHeight="false" outlineLevel="0" collapsed="false">
      <c r="A885" s="4" t="s">
        <v>496</v>
      </c>
      <c r="B885" s="0" t="s">
        <v>45</v>
      </c>
      <c r="D885" s="20" t="n">
        <f aca="false">1</f>
        <v>1</v>
      </c>
      <c r="E885" s="20" t="n">
        <f aca="false">rel27_C</f>
        <v>0.92</v>
      </c>
      <c r="F885" s="20" t="n">
        <f aca="false">rel28_C</f>
        <v>0.88</v>
      </c>
      <c r="G885" s="20" t="n">
        <f aca="false">rel29_C</f>
        <v>0.85</v>
      </c>
    </row>
    <row r="886" customFormat="false" ht="17.15" hidden="false" customHeight="false" outlineLevel="0" collapsed="false">
      <c r="A886" s="4" t="s">
        <v>497</v>
      </c>
      <c r="B886" s="0" t="s">
        <v>45</v>
      </c>
      <c r="D886" s="18" t="n">
        <f aca="false">1</f>
        <v>1</v>
      </c>
      <c r="E886" s="18" t="n">
        <f aca="false">(1+g_ct_hi)^1</f>
        <v>1.1</v>
      </c>
      <c r="F886" s="18" t="n">
        <f aca="false">(1+g_ct_hi)^2</f>
        <v>1.21</v>
      </c>
      <c r="G886" s="18" t="n">
        <f aca="false">(1+g_ct_hi)^3</f>
        <v>1.331</v>
      </c>
    </row>
    <row r="887" customFormat="false" ht="17.15" hidden="false" customHeight="false" outlineLevel="0" collapsed="false">
      <c r="A887" s="6" t="s">
        <v>498</v>
      </c>
    </row>
    <row r="888" customFormat="false" ht="17.15" hidden="false" customHeight="false" outlineLevel="0" collapsed="false">
      <c r="A888" s="0" t="s">
        <v>401</v>
      </c>
      <c r="B888" s="0" t="s">
        <v>189</v>
      </c>
      <c r="C888" s="17" t="n">
        <f aca="false">a25_ai</f>
        <v>5.4297243</v>
      </c>
      <c r="D888" s="17" t="n">
        <f aca="false">a26_ai</f>
        <v>9.5342409</v>
      </c>
      <c r="E888" s="17" t="n">
        <f aca="false">$D888*E884*E885*E886</f>
        <v>16.2340363450988</v>
      </c>
      <c r="F888" s="17" t="n">
        <f aca="false">$D888*F884*F885*F886</f>
        <v>12.048660679129</v>
      </c>
      <c r="G888" s="17" t="n">
        <f aca="false">$D888*G884*G885*G886</f>
        <v>14.6309082083498</v>
      </c>
      <c r="K888" s="8" t="s">
        <v>499</v>
      </c>
    </row>
    <row r="889" customFormat="false" ht="17.15" hidden="false" customHeight="false" outlineLevel="0" collapsed="false">
      <c r="A889" s="4" t="s">
        <v>404</v>
      </c>
      <c r="B889" s="0" t="s">
        <v>189</v>
      </c>
      <c r="C889" s="17" t="n">
        <f aca="false">a25_npc</f>
        <v>4.4425017</v>
      </c>
      <c r="D889" s="17" t="n">
        <f aca="false">a26_npc</f>
        <v>6.3561606</v>
      </c>
      <c r="E889" s="17" t="n">
        <f aca="false">D889*(1+g_nonai+d_npc)</f>
        <v>6.801091842</v>
      </c>
      <c r="F889" s="17" t="n">
        <f aca="false">E889*(1+g_nonai+d_npc)</f>
        <v>7.27716827094</v>
      </c>
      <c r="G889" s="17" t="n">
        <f aca="false">F889*(1+g_nonai+d_npc)</f>
        <v>7.7865700499058</v>
      </c>
      <c r="K889" s="4" t="s">
        <v>500</v>
      </c>
    </row>
    <row r="890" customFormat="false" ht="15" hidden="false" customHeight="false" outlineLevel="0" collapsed="false">
      <c r="A890" s="4" t="s">
        <v>398</v>
      </c>
      <c r="B890" s="0" t="s">
        <v>189</v>
      </c>
      <c r="C890" s="17" t="n">
        <f aca="false">C888+C889</f>
        <v>9.872226</v>
      </c>
      <c r="D890" s="17" t="n">
        <f aca="false">D888+D889</f>
        <v>15.8904015</v>
      </c>
      <c r="E890" s="17" t="n">
        <f aca="false">E888+E889</f>
        <v>23.0351281870988</v>
      </c>
      <c r="F890" s="17" t="n">
        <f aca="false">F888+F889</f>
        <v>19.325828950069</v>
      </c>
      <c r="G890" s="17" t="n">
        <f aca="false">G888+G889</f>
        <v>22.4174782582557</v>
      </c>
    </row>
    <row r="891" customFormat="false" ht="17.15" hidden="false" customHeight="false" outlineLevel="0" collapsed="false">
      <c r="A891" s="0" t="s">
        <v>501</v>
      </c>
      <c r="B891" s="0" t="s">
        <v>189</v>
      </c>
      <c r="D891" s="17" t="n">
        <f aca="false">k_cpo*cpo_A_26/cpo_A_27</f>
        <v>0.24</v>
      </c>
      <c r="E891" s="17" t="n">
        <f aca="false">k_cpo*cpo_C_27/cpo_A_27</f>
        <v>0.48</v>
      </c>
      <c r="F891" s="17" t="n">
        <f aca="false">k_cpo*cpo_C_28/cpo_A_27</f>
        <v>0.72</v>
      </c>
      <c r="G891" s="17" t="n">
        <f aca="false">k_cpo*cpo_C_29/cpo_A_27</f>
        <v>1.2</v>
      </c>
      <c r="K891" s="8" t="s">
        <v>502</v>
      </c>
    </row>
    <row r="892" customFormat="false" ht="17.15" hidden="false" customHeight="false" outlineLevel="0" collapsed="false">
      <c r="A892" s="4" t="s">
        <v>503</v>
      </c>
      <c r="B892" s="0" t="s">
        <v>189</v>
      </c>
      <c r="C892" s="17" t="n">
        <f aca="false">a25_eq</f>
        <v>3.290742</v>
      </c>
      <c r="D892" s="17" t="n">
        <f aca="false">a26_eq-D891</f>
        <v>4.8539955</v>
      </c>
      <c r="E892" s="17" t="n">
        <f aca="false">D892*semi_27</f>
        <v>5.659593717153</v>
      </c>
      <c r="F892" s="17" t="n">
        <f aca="false">$E892*eqk28_C</f>
        <v>4.5276749737224</v>
      </c>
      <c r="G892" s="17" t="n">
        <f aca="false">$E892*eqk29_C</f>
        <v>5.659593717153</v>
      </c>
      <c r="K892" s="8" t="s">
        <v>504</v>
      </c>
    </row>
    <row r="893" customFormat="false" ht="15" hidden="false" customHeight="false" outlineLevel="0" collapsed="false">
      <c r="A893" s="4" t="s">
        <v>405</v>
      </c>
      <c r="B893" s="0" t="s">
        <v>189</v>
      </c>
      <c r="C893" s="17" t="n">
        <f aca="false">a25_eq</f>
        <v>3.290742</v>
      </c>
      <c r="D893" s="17" t="n">
        <f aca="false">D891+D892</f>
        <v>5.0939955</v>
      </c>
      <c r="E893" s="17" t="n">
        <f aca="false">E891+E892</f>
        <v>6.139593717153</v>
      </c>
      <c r="F893" s="17" t="n">
        <f aca="false">F891+F892</f>
        <v>5.2476749737224</v>
      </c>
      <c r="G893" s="17" t="n">
        <f aca="false">G891+G892</f>
        <v>6.859593717153</v>
      </c>
    </row>
    <row r="894" customFormat="false" ht="15" hidden="false" customHeight="false" outlineLevel="0" collapsed="false">
      <c r="A894" s="4" t="s">
        <v>407</v>
      </c>
      <c r="B894" s="0" t="s">
        <v>189</v>
      </c>
      <c r="C894" s="17" t="n">
        <f aca="false">a25_oth</f>
        <v>0.214032000000001</v>
      </c>
      <c r="D894" s="17" t="n">
        <f aca="false">a26_oth</f>
        <v>0.428253</v>
      </c>
      <c r="E894" s="17" t="n">
        <f aca="false">D894*(1+g_oth)</f>
        <v>0.44966565</v>
      </c>
      <c r="F894" s="17" t="n">
        <f aca="false">E894*(1+g_oth)</f>
        <v>0.4721489325</v>
      </c>
      <c r="G894" s="17" t="n">
        <f aca="false">F894*(1+g_oth)</f>
        <v>0.495756379125</v>
      </c>
    </row>
    <row r="895" customFormat="false" ht="17.15" hidden="false" customHeight="false" outlineLevel="0" collapsed="false">
      <c r="A895" s="4" t="s">
        <v>394</v>
      </c>
      <c r="B895" s="0" t="s">
        <v>189</v>
      </c>
      <c r="C895" s="17" t="n">
        <f aca="false">C890+C893+C894</f>
        <v>13.377</v>
      </c>
      <c r="D895" s="17" t="n">
        <f aca="false">D890+D893+D894</f>
        <v>21.41265</v>
      </c>
      <c r="E895" s="17" t="n">
        <f aca="false">E890+E893+E894</f>
        <v>29.6243875542518</v>
      </c>
      <c r="F895" s="17" t="n">
        <f aca="false">F890+F893+F894</f>
        <v>25.0456528562914</v>
      </c>
      <c r="G895" s="17" t="n">
        <f aca="false">G890+G893+G894</f>
        <v>29.7728283545336</v>
      </c>
      <c r="H895" s="30" t="n">
        <f aca="false">G895*(1+H896)</f>
        <v>33.7175763658669</v>
      </c>
      <c r="I895" s="30" t="n">
        <f aca="false">H895*(1+I896)</f>
        <v>36.2884556381809</v>
      </c>
      <c r="J895" s="30" t="n">
        <f aca="false">I895*(1+J896)</f>
        <v>37.0142247509446</v>
      </c>
      <c r="K895" s="8" t="s">
        <v>505</v>
      </c>
    </row>
    <row r="896" customFormat="false" ht="15" hidden="false" customHeight="false" outlineLevel="0" collapsed="false">
      <c r="A896" s="4" t="s">
        <v>506</v>
      </c>
      <c r="B896" s="0" t="s">
        <v>90</v>
      </c>
      <c r="D896" s="22" t="n">
        <f aca="false">D895/C895-1</f>
        <v>0.600706436420722</v>
      </c>
      <c r="E896" s="22" t="n">
        <f aca="false">E895/D895-1</f>
        <v>0.383499359222319</v>
      </c>
      <c r="F896" s="22" t="n">
        <f aca="false">F895/E895-1</f>
        <v>-0.154559640754605</v>
      </c>
      <c r="G896" s="22" t="n">
        <f aca="false">G895/F895-1</f>
        <v>0.18874235482565</v>
      </c>
      <c r="H896" s="26" t="n">
        <f aca="false">$G896+(fade_gC-$G896)*1/3</f>
        <v>0.1324949032171</v>
      </c>
      <c r="I896" s="26" t="n">
        <f aca="false">$G896+(fade_gC-$G896)*2/3</f>
        <v>0.0762474516085499</v>
      </c>
      <c r="J896" s="26" t="n">
        <f aca="false">$G896+(fade_gC-$G896)*3/3</f>
        <v>0.02</v>
      </c>
    </row>
    <row r="897" customFormat="false" ht="17.15" hidden="false" customHeight="false" outlineLevel="0" collapsed="false">
      <c r="A897" s="0" t="s">
        <v>507</v>
      </c>
      <c r="B897" s="0" t="s">
        <v>90</v>
      </c>
      <c r="C897" s="22" t="n">
        <f aca="false">C888/C895</f>
        <v>0.4059</v>
      </c>
      <c r="D897" s="22" t="n">
        <f aca="false">D888/D895</f>
        <v>0.445262071719287</v>
      </c>
      <c r="E897" s="22" t="n">
        <f aca="false">E888/E895</f>
        <v>0.547995678066561</v>
      </c>
      <c r="F897" s="22" t="n">
        <f aca="false">F888/F895</f>
        <v>0.481067942140004</v>
      </c>
      <c r="G897" s="22" t="n">
        <f aca="false">G888/G895</f>
        <v>0.491418149264342</v>
      </c>
    </row>
    <row r="898" customFormat="false" ht="17.15" hidden="false" customHeight="false" outlineLevel="0" collapsed="false">
      <c r="A898" s="4" t="s">
        <v>508</v>
      </c>
      <c r="B898" s="0" t="s">
        <v>90</v>
      </c>
      <c r="C898" s="22" t="n">
        <f aca="false">C890/C895</f>
        <v>0.738</v>
      </c>
      <c r="D898" s="22" t="n">
        <f aca="false">D890/D895</f>
        <v>0.742103452865479</v>
      </c>
      <c r="E898" s="22" t="n">
        <f aca="false">E890/E895</f>
        <v>0.77757314458954</v>
      </c>
      <c r="F898" s="22" t="n">
        <f aca="false">F890/F895</f>
        <v>0.771624084265562</v>
      </c>
      <c r="G898" s="22" t="n">
        <f aca="false">G890/G895</f>
        <v>0.752950911861957</v>
      </c>
    </row>
    <row r="899" customFormat="false" ht="17.15" hidden="false" customHeight="false" outlineLevel="0" collapsed="false">
      <c r="A899" s="6" t="s">
        <v>509</v>
      </c>
    </row>
    <row r="900" customFormat="false" ht="15" hidden="false" customHeight="false" outlineLevel="0" collapsed="false">
      <c r="A900" s="4" t="s">
        <v>412</v>
      </c>
      <c r="B900" s="0" t="s">
        <v>90</v>
      </c>
      <c r="C900" s="14" t="n">
        <f aca="false">a25_gp/a25_rev</f>
        <v>0.574</v>
      </c>
      <c r="D900" s="14" t="n">
        <f aca="false">a26_gp/a26_rev</f>
        <v>0.593344593032623</v>
      </c>
      <c r="E900" s="14" t="n">
        <f aca="false">gm27_C+gm_adj</f>
        <v>0.58</v>
      </c>
      <c r="F900" s="14" t="n">
        <f aca="false">gmL_C+gm_adj</f>
        <v>0.565</v>
      </c>
      <c r="G900" s="14" t="n">
        <f aca="false">gmL_C+gm_adj</f>
        <v>0.565</v>
      </c>
    </row>
    <row r="901" customFormat="false" ht="15" hidden="false" customHeight="false" outlineLevel="0" collapsed="false">
      <c r="A901" s="4" t="s">
        <v>409</v>
      </c>
      <c r="B901" s="0" t="s">
        <v>189</v>
      </c>
      <c r="C901" s="17" t="n">
        <f aca="false">C895*C900</f>
        <v>7.678398</v>
      </c>
      <c r="D901" s="17" t="n">
        <f aca="false">D895*D900</f>
        <v>12.7050801</v>
      </c>
      <c r="E901" s="17" t="n">
        <f aca="false">E895*E900</f>
        <v>17.182144781466</v>
      </c>
      <c r="F901" s="17" t="n">
        <f aca="false">F895*F900</f>
        <v>14.1507938638047</v>
      </c>
      <c r="G901" s="17" t="n">
        <f aca="false">G895*G900</f>
        <v>16.8216480203115</v>
      </c>
    </row>
    <row r="902" customFormat="false" ht="17.15" hidden="false" customHeight="false" outlineLevel="0" collapsed="false">
      <c r="A902" s="4" t="s">
        <v>510</v>
      </c>
      <c r="B902" s="0" t="s">
        <v>189</v>
      </c>
      <c r="D902" s="17" t="n">
        <f aca="false">a26_opx</f>
        <v>5.05564928556</v>
      </c>
      <c r="E902" s="17" t="n">
        <f aca="false">D902*(1+phi*E896)</f>
        <v>6.21895224243902</v>
      </c>
      <c r="F902" s="17" t="n">
        <f aca="false">E902*(1+phi*F896)</f>
        <v>5.64223282776217</v>
      </c>
      <c r="G902" s="17" t="n">
        <f aca="false">F902*(1+phi*G896)</f>
        <v>6.28118981399402</v>
      </c>
      <c r="K902" s="8" t="s">
        <v>511</v>
      </c>
    </row>
    <row r="903" customFormat="false" ht="15" hidden="false" customHeight="false" outlineLevel="0" collapsed="false">
      <c r="A903" s="4" t="s">
        <v>415</v>
      </c>
      <c r="B903" s="0" t="s">
        <v>189</v>
      </c>
      <c r="D903" s="17" t="n">
        <f aca="false">D901-D902</f>
        <v>7.64943081444</v>
      </c>
      <c r="E903" s="17" t="n">
        <f aca="false">E901-E902</f>
        <v>10.963192539027</v>
      </c>
      <c r="F903" s="17" t="n">
        <f aca="false">F901-F902</f>
        <v>8.50856103604249</v>
      </c>
      <c r="G903" s="17" t="n">
        <f aca="false">G901-G902</f>
        <v>10.5404582063175</v>
      </c>
    </row>
    <row r="904" customFormat="false" ht="15" hidden="false" customHeight="false" outlineLevel="0" collapsed="false">
      <c r="A904" s="4" t="s">
        <v>482</v>
      </c>
      <c r="B904" s="0" t="s">
        <v>90</v>
      </c>
      <c r="D904" s="14" t="n">
        <f aca="false">D903/D895</f>
        <v>0.357238866484999</v>
      </c>
      <c r="E904" s="14" t="n">
        <f aca="false">E903/E895</f>
        <v>0.370073221562805</v>
      </c>
      <c r="F904" s="14" t="n">
        <f aca="false">F903/F895</f>
        <v>0.339722070127837</v>
      </c>
      <c r="G904" s="14" t="n">
        <f aca="false">G903/G895</f>
        <v>0.354029455341029</v>
      </c>
    </row>
    <row r="905" customFormat="false" ht="15" hidden="false" customHeight="false" outlineLevel="0" collapsed="false">
      <c r="A905" s="4" t="s">
        <v>418</v>
      </c>
      <c r="B905" s="0" t="s">
        <v>189</v>
      </c>
      <c r="C905" s="17" t="n">
        <f aca="false">a25_ni</f>
        <v>3.18</v>
      </c>
      <c r="D905" s="17" t="n">
        <f aca="false">a26_ni</f>
        <v>6.7316248085628</v>
      </c>
      <c r="E905" s="17" t="n">
        <f aca="false">E903*ni_oi</f>
        <v>9.31871365817296</v>
      </c>
      <c r="F905" s="17" t="n">
        <f aca="false">F903*ni_oi</f>
        <v>7.23227688063612</v>
      </c>
      <c r="G905" s="17" t="n">
        <f aca="false">G903*ni_oi</f>
        <v>8.95938947536987</v>
      </c>
      <c r="H905" s="30" t="n">
        <f aca="false">H895*H909</f>
        <v>9.42990220115399</v>
      </c>
      <c r="I905" s="30" t="n">
        <f aca="false">I895*I909</f>
        <v>9.37771156878022</v>
      </c>
      <c r="J905" s="30" t="n">
        <f aca="false">J895*J909</f>
        <v>8.77864522314362</v>
      </c>
    </row>
    <row r="906" customFormat="false" ht="15" hidden="false" customHeight="false" outlineLevel="0" collapsed="false">
      <c r="A906" s="4" t="s">
        <v>512</v>
      </c>
      <c r="B906" s="4" t="s">
        <v>513</v>
      </c>
      <c r="C906" s="19" t="n">
        <f aca="false">a25_sh</f>
        <v>94.9537175276202</v>
      </c>
      <c r="D906" s="19" t="n">
        <f aca="false">a26_sh</f>
        <v>97.9860681630967</v>
      </c>
      <c r="E906" s="19" t="n">
        <f aca="false">D906*(1+sh_g)</f>
        <v>97.9860681630967</v>
      </c>
      <c r="F906" s="19" t="n">
        <f aca="false">E906*(1+sh_g)</f>
        <v>97.9860681630967</v>
      </c>
      <c r="G906" s="19" t="n">
        <f aca="false">F906*(1+sh_g)</f>
        <v>97.9860681630967</v>
      </c>
      <c r="H906" s="25" t="n">
        <f aca="false">G906*(1+sh_g)</f>
        <v>97.9860681630967</v>
      </c>
      <c r="I906" s="25" t="n">
        <f aca="false">H906*(1+sh_g)</f>
        <v>97.9860681630967</v>
      </c>
      <c r="J906" s="25" t="n">
        <f aca="false">I906*(1+sh_g)</f>
        <v>97.9860681630967</v>
      </c>
    </row>
    <row r="907" customFormat="false" ht="15" hidden="false" customHeight="false" outlineLevel="0" collapsed="false">
      <c r="A907" s="0" t="s">
        <v>423</v>
      </c>
      <c r="B907" s="0" t="s">
        <v>256</v>
      </c>
      <c r="C907" s="20" t="n">
        <f aca="false">a25_eps</f>
        <v>33.49</v>
      </c>
      <c r="D907" s="20" t="n">
        <f aca="false">a26_eps</f>
        <v>68.6959552317267</v>
      </c>
      <c r="E907" s="20" t="n">
        <f aca="false">E905/E906*1000</f>
        <v>95.1024347937104</v>
      </c>
      <c r="F907" s="20" t="n">
        <f aca="false">F905/F906*1000</f>
        <v>73.8092365191966</v>
      </c>
      <c r="G907" s="20" t="n">
        <f aca="false">G905/G906*1000</f>
        <v>91.4353401797597</v>
      </c>
      <c r="H907" s="28" t="n">
        <f aca="false">H905/H906*1000</f>
        <v>96.2371730791159</v>
      </c>
      <c r="I907" s="28" t="n">
        <f aca="false">I905/I906*1000</f>
        <v>95.7045398859267</v>
      </c>
      <c r="J907" s="28" t="n">
        <f aca="false">J905/J906*1000</f>
        <v>89.5907488453529</v>
      </c>
    </row>
    <row r="908" customFormat="false" ht="17.15" hidden="false" customHeight="false" outlineLevel="0" collapsed="false">
      <c r="A908" s="0" t="s">
        <v>514</v>
      </c>
      <c r="B908" s="0" t="s">
        <v>90</v>
      </c>
      <c r="D908" s="22" t="n">
        <f aca="false">D907/C907-1</f>
        <v>1.05123783910799</v>
      </c>
      <c r="E908" s="22" t="n">
        <f aca="false">E907/D907-1</f>
        <v>0.384396424402409</v>
      </c>
      <c r="F908" s="22" t="n">
        <f aca="false">F907/E907-1</f>
        <v>-0.22389750925622</v>
      </c>
      <c r="G908" s="22" t="n">
        <f aca="false">G907/F907-1</f>
        <v>0.23880620491148</v>
      </c>
      <c r="H908" s="26" t="n">
        <f aca="false">H907/G907-1</f>
        <v>0.0525161593965302</v>
      </c>
      <c r="I908" s="26" t="n">
        <f aca="false">I907/H907-1</f>
        <v>-0.00553458893427106</v>
      </c>
      <c r="J908" s="26" t="n">
        <f aca="false">J907/I907-1</f>
        <v>-0.0638819333739138</v>
      </c>
    </row>
    <row r="909" customFormat="false" ht="17.15" hidden="false" customHeight="false" outlineLevel="0" collapsed="false">
      <c r="A909" s="4" t="s">
        <v>515</v>
      </c>
      <c r="B909" s="0" t="s">
        <v>90</v>
      </c>
      <c r="C909" s="14" t="n">
        <f aca="false">C905/C895</f>
        <v>0.237721462211258</v>
      </c>
      <c r="D909" s="14" t="n">
        <f aca="false">D905/D895</f>
        <v>0.314376072488123</v>
      </c>
      <c r="E909" s="14" t="n">
        <f aca="false">E905/E895</f>
        <v>0.314562238328384</v>
      </c>
      <c r="F909" s="14" t="n">
        <f aca="false">F905/F895</f>
        <v>0.288763759608661</v>
      </c>
      <c r="G909" s="14" t="n">
        <f aca="false">G905/G895</f>
        <v>0.300925037039875</v>
      </c>
      <c r="H909" s="27" t="n">
        <f aca="false">$G909+(fade_mC-$G909)*1/3</f>
        <v>0.279673191774842</v>
      </c>
      <c r="I909" s="27" t="n">
        <f aca="false">$G909+(fade_mC-$G909)*2/3</f>
        <v>0.25842134650981</v>
      </c>
      <c r="J909" s="27" t="n">
        <f aca="false">$G909+(fade_mC-$G909)*3/3</f>
        <v>0.237169501244778</v>
      </c>
    </row>
    <row r="912" customFormat="false" ht="17.15" hidden="false" customHeight="false" outlineLevel="0" collapsed="false">
      <c r="A912" s="1" t="s">
        <v>829</v>
      </c>
    </row>
    <row r="913" customFormat="false" ht="17.15" hidden="false" customHeight="false" outlineLevel="0" collapsed="false">
      <c r="A913" s="5" t="s">
        <v>21</v>
      </c>
      <c r="B913" s="5" t="s">
        <v>22</v>
      </c>
      <c r="C913" s="15" t="s">
        <v>387</v>
      </c>
      <c r="D913" s="15" t="s">
        <v>468</v>
      </c>
      <c r="E913" s="15" t="s">
        <v>469</v>
      </c>
      <c r="F913" s="15" t="s">
        <v>470</v>
      </c>
      <c r="G913" s="15" t="s">
        <v>471</v>
      </c>
      <c r="H913" s="15" t="s">
        <v>472</v>
      </c>
      <c r="I913" s="15" t="s">
        <v>473</v>
      </c>
      <c r="J913" s="15" t="s">
        <v>474</v>
      </c>
      <c r="K913" s="5" t="s">
        <v>336</v>
      </c>
    </row>
    <row r="914" customFormat="false" ht="17.15" hidden="false" customHeight="false" outlineLevel="0" collapsed="false">
      <c r="A914" s="6" t="s">
        <v>492</v>
      </c>
    </row>
    <row r="915" customFormat="false" ht="17.15" hidden="false" customHeight="false" outlineLevel="0" collapsed="false">
      <c r="A915" s="0" t="s">
        <v>493</v>
      </c>
      <c r="B915" s="4" t="s">
        <v>32</v>
      </c>
      <c r="D915" s="20" t="n">
        <f aca="false">units_26</f>
        <v>15.2</v>
      </c>
      <c r="E915" s="20" t="n">
        <f aca="false">units_27*1</f>
        <v>23.7</v>
      </c>
      <c r="F915" s="20" t="n">
        <f aca="false">units_28*um28_A*1</f>
        <v>26.5</v>
      </c>
      <c r="G915" s="20" t="n">
        <f aca="false">units_29*um29_A*1</f>
        <v>30.15</v>
      </c>
    </row>
    <row r="916" customFormat="false" ht="17.15" hidden="false" customHeight="false" outlineLevel="0" collapsed="false">
      <c r="A916" s="4" t="s">
        <v>494</v>
      </c>
      <c r="B916" s="0" t="s">
        <v>45</v>
      </c>
      <c r="D916" s="18" t="n">
        <f aca="false">ex_nv*nvtt_26+astt_26</f>
        <v>0.607994</v>
      </c>
      <c r="E916" s="18" t="n">
        <f aca="false">ex_nv*nvtt_27+astt_27</f>
        <v>0.6560764</v>
      </c>
      <c r="F916" s="18" t="n">
        <f aca="false">ex_nv*nvtt_28+astt_28</f>
        <v>0.6898114</v>
      </c>
      <c r="G916" s="18" t="n">
        <f aca="false">ex_nv*nvtt_29+astt_29</f>
        <v>0.692935</v>
      </c>
      <c r="K916" s="8" t="s">
        <v>495</v>
      </c>
    </row>
    <row r="917" customFormat="false" ht="17.15" hidden="false" customHeight="false" outlineLevel="0" collapsed="false">
      <c r="A917" s="4" t="s">
        <v>447</v>
      </c>
      <c r="B917" s="0" t="s">
        <v>45</v>
      </c>
      <c r="D917" s="18" t="n">
        <f aca="false">D915*D916/($D915*$D916)</f>
        <v>1</v>
      </c>
      <c r="E917" s="18" t="n">
        <f aca="false">E915*E916/($D915*$D916)</f>
        <v>1.68251862509724</v>
      </c>
      <c r="F917" s="18" t="n">
        <f aca="false">F915*F916/($D915*$D916)</f>
        <v>1.97803221266207</v>
      </c>
      <c r="G917" s="18" t="n">
        <f aca="false">G915*G916/($D915*$D916)</f>
        <v>2.26066876114428</v>
      </c>
    </row>
    <row r="918" customFormat="false" ht="17.15" hidden="false" customHeight="false" outlineLevel="0" collapsed="false">
      <c r="A918" s="4" t="s">
        <v>496</v>
      </c>
      <c r="B918" s="0" t="s">
        <v>45</v>
      </c>
      <c r="D918" s="20" t="n">
        <f aca="false">1</f>
        <v>1</v>
      </c>
      <c r="E918" s="20" t="n">
        <f aca="false">rel27_A</f>
        <v>1.05</v>
      </c>
      <c r="F918" s="20" t="n">
        <f aca="false">rel28_A</f>
        <v>1.08</v>
      </c>
      <c r="G918" s="20" t="n">
        <f aca="false">rel29_A</f>
        <v>1.1</v>
      </c>
    </row>
    <row r="919" customFormat="false" ht="17.15" hidden="false" customHeight="false" outlineLevel="0" collapsed="false">
      <c r="A919" s="4" t="s">
        <v>497</v>
      </c>
      <c r="B919" s="0" t="s">
        <v>45</v>
      </c>
      <c r="D919" s="18" t="n">
        <f aca="false">1</f>
        <v>1</v>
      </c>
      <c r="E919" s="18" t="n">
        <f aca="false">(1+g_ct)^1</f>
        <v>1.05</v>
      </c>
      <c r="F919" s="18" t="n">
        <f aca="false">(1+g_ct)^2</f>
        <v>1.1025</v>
      </c>
      <c r="G919" s="18" t="n">
        <f aca="false">(1+g_ct)^3</f>
        <v>1.157625</v>
      </c>
    </row>
    <row r="920" customFormat="false" ht="17.15" hidden="false" customHeight="false" outlineLevel="0" collapsed="false">
      <c r="A920" s="6" t="s">
        <v>498</v>
      </c>
    </row>
    <row r="921" customFormat="false" ht="17.15" hidden="false" customHeight="false" outlineLevel="0" collapsed="false">
      <c r="A921" s="0" t="s">
        <v>401</v>
      </c>
      <c r="B921" s="0" t="s">
        <v>189</v>
      </c>
      <c r="C921" s="17" t="n">
        <f aca="false">a25_ai</f>
        <v>5.4297243</v>
      </c>
      <c r="D921" s="17" t="n">
        <f aca="false">a26_ai</f>
        <v>9.5342409</v>
      </c>
      <c r="E921" s="17" t="n">
        <f aca="false">$D921*E917*E918*E919</f>
        <v>17.6857955241812</v>
      </c>
      <c r="F921" s="17" t="n">
        <f aca="false">$D921*F917*F918*F919</f>
        <v>22.4554537168779</v>
      </c>
      <c r="G921" s="17" t="n">
        <f aca="false">$D921*G917*G918*G919</f>
        <v>27.4462892800048</v>
      </c>
      <c r="K921" s="8" t="s">
        <v>499</v>
      </c>
    </row>
    <row r="922" customFormat="false" ht="17.15" hidden="false" customHeight="false" outlineLevel="0" collapsed="false">
      <c r="A922" s="4" t="s">
        <v>404</v>
      </c>
      <c r="B922" s="0" t="s">
        <v>189</v>
      </c>
      <c r="C922" s="17" t="n">
        <f aca="false">a25_npc</f>
        <v>4.4425017</v>
      </c>
      <c r="D922" s="17" t="n">
        <f aca="false">a26_npc</f>
        <v>6.3561606</v>
      </c>
      <c r="E922" s="17" t="n">
        <f aca="false">D922*(1+g_nonai_lo+d_npc)</f>
        <v>6.546845418</v>
      </c>
      <c r="F922" s="17" t="n">
        <f aca="false">E922*(1+g_nonai_lo+d_npc)</f>
        <v>6.74325078054</v>
      </c>
      <c r="G922" s="17" t="n">
        <f aca="false">F922*(1+g_nonai_lo+d_npc)</f>
        <v>6.9455483039562</v>
      </c>
      <c r="K922" s="4" t="s">
        <v>500</v>
      </c>
    </row>
    <row r="923" customFormat="false" ht="15" hidden="false" customHeight="false" outlineLevel="0" collapsed="false">
      <c r="A923" s="4" t="s">
        <v>398</v>
      </c>
      <c r="B923" s="0" t="s">
        <v>189</v>
      </c>
      <c r="C923" s="17" t="n">
        <f aca="false">C921+C922</f>
        <v>9.872226</v>
      </c>
      <c r="D923" s="17" t="n">
        <f aca="false">D921+D922</f>
        <v>15.8904015</v>
      </c>
      <c r="E923" s="17" t="n">
        <f aca="false">E921+E922</f>
        <v>24.2326409421812</v>
      </c>
      <c r="F923" s="17" t="n">
        <f aca="false">F921+F922</f>
        <v>29.1987044974179</v>
      </c>
      <c r="G923" s="17" t="n">
        <f aca="false">G921+G922</f>
        <v>34.391837583961</v>
      </c>
    </row>
    <row r="924" customFormat="false" ht="17.15" hidden="false" customHeight="false" outlineLevel="0" collapsed="false">
      <c r="A924" s="0" t="s">
        <v>501</v>
      </c>
      <c r="B924" s="0" t="s">
        <v>189</v>
      </c>
      <c r="D924" s="17" t="n">
        <f aca="false">k_cpo*cpo_A_26/cpo_A_27</f>
        <v>0.24</v>
      </c>
      <c r="E924" s="17" t="n">
        <f aca="false">k_cpo*cpo_A_27/cpo_A_27</f>
        <v>1.2</v>
      </c>
      <c r="F924" s="17" t="n">
        <f aca="false">k_cpo*cpo_A_28/cpo_A_27</f>
        <v>2.4</v>
      </c>
      <c r="G924" s="17" t="n">
        <f aca="false">k_cpo*cpo_A_29/cpo_A_27</f>
        <v>3.84</v>
      </c>
      <c r="K924" s="8" t="s">
        <v>502</v>
      </c>
    </row>
    <row r="925" customFormat="false" ht="17.15" hidden="false" customHeight="false" outlineLevel="0" collapsed="false">
      <c r="A925" s="4" t="s">
        <v>503</v>
      </c>
      <c r="B925" s="0" t="s">
        <v>189</v>
      </c>
      <c r="C925" s="17" t="n">
        <f aca="false">a25_eq</f>
        <v>3.290742</v>
      </c>
      <c r="D925" s="17" t="n">
        <f aca="false">a26_eq-D924</f>
        <v>4.8539955</v>
      </c>
      <c r="E925" s="17" t="n">
        <f aca="false">D925*semi_27</f>
        <v>5.659593717153</v>
      </c>
      <c r="F925" s="17" t="n">
        <f aca="false">$E925*eqk28_A</f>
        <v>6.59889384801401</v>
      </c>
      <c r="G925" s="17" t="n">
        <f aca="false">$E925*eqk29_A</f>
        <v>7.12680377116889</v>
      </c>
      <c r="K925" s="8" t="s">
        <v>504</v>
      </c>
    </row>
    <row r="926" customFormat="false" ht="15" hidden="false" customHeight="false" outlineLevel="0" collapsed="false">
      <c r="A926" s="4" t="s">
        <v>405</v>
      </c>
      <c r="B926" s="0" t="s">
        <v>189</v>
      </c>
      <c r="C926" s="17" t="n">
        <f aca="false">a25_eq</f>
        <v>3.290742</v>
      </c>
      <c r="D926" s="17" t="n">
        <f aca="false">D924+D925</f>
        <v>5.0939955</v>
      </c>
      <c r="E926" s="17" t="n">
        <f aca="false">E924+E925</f>
        <v>6.859593717153</v>
      </c>
      <c r="F926" s="17" t="n">
        <f aca="false">F924+F925</f>
        <v>8.99889384801401</v>
      </c>
      <c r="G926" s="17" t="n">
        <f aca="false">G924+G925</f>
        <v>10.9668037711689</v>
      </c>
    </row>
    <row r="927" customFormat="false" ht="15" hidden="false" customHeight="false" outlineLevel="0" collapsed="false">
      <c r="A927" s="4" t="s">
        <v>407</v>
      </c>
      <c r="B927" s="0" t="s">
        <v>189</v>
      </c>
      <c r="C927" s="17" t="n">
        <f aca="false">a25_oth</f>
        <v>0.214032000000001</v>
      </c>
      <c r="D927" s="17" t="n">
        <f aca="false">a26_oth</f>
        <v>0.428253</v>
      </c>
      <c r="E927" s="17" t="n">
        <f aca="false">D927*(1+g_oth)</f>
        <v>0.44966565</v>
      </c>
      <c r="F927" s="17" t="n">
        <f aca="false">E927*(1+g_oth)</f>
        <v>0.4721489325</v>
      </c>
      <c r="G927" s="17" t="n">
        <f aca="false">F927*(1+g_oth)</f>
        <v>0.495756379125</v>
      </c>
    </row>
    <row r="928" customFormat="false" ht="17.15" hidden="false" customHeight="false" outlineLevel="0" collapsed="false">
      <c r="A928" s="4" t="s">
        <v>394</v>
      </c>
      <c r="B928" s="0" t="s">
        <v>189</v>
      </c>
      <c r="C928" s="17" t="n">
        <f aca="false">C923+C926+C927</f>
        <v>13.377</v>
      </c>
      <c r="D928" s="17" t="n">
        <f aca="false">D923+D926+D927</f>
        <v>21.41265</v>
      </c>
      <c r="E928" s="17" t="n">
        <f aca="false">E923+E926+E927</f>
        <v>31.5419003093342</v>
      </c>
      <c r="F928" s="17" t="n">
        <f aca="false">F923+F926+F927</f>
        <v>38.6697472779319</v>
      </c>
      <c r="G928" s="17" t="n">
        <f aca="false">G923+G926+G927</f>
        <v>45.8543977342549</v>
      </c>
      <c r="H928" s="30" t="n">
        <f aca="false">G928*(1+H929)</f>
        <v>52.4511680038685</v>
      </c>
      <c r="I928" s="30" t="n">
        <f aca="false">H928*(1+I929)</f>
        <v>57.7976051296218</v>
      </c>
      <c r="J928" s="30" t="n">
        <f aca="false">I928*(1+J929)</f>
        <v>61.2654614373991</v>
      </c>
      <c r="K928" s="8" t="s">
        <v>505</v>
      </c>
    </row>
    <row r="929" customFormat="false" ht="15" hidden="false" customHeight="false" outlineLevel="0" collapsed="false">
      <c r="A929" s="4" t="s">
        <v>506</v>
      </c>
      <c r="B929" s="0" t="s">
        <v>90</v>
      </c>
      <c r="D929" s="22" t="n">
        <f aca="false">D928/C928-1</f>
        <v>0.600706436420722</v>
      </c>
      <c r="E929" s="22" t="n">
        <f aca="false">E928/D928-1</f>
        <v>0.473049823788006</v>
      </c>
      <c r="F929" s="22" t="n">
        <f aca="false">F928/E928-1</f>
        <v>0.225980264305391</v>
      </c>
      <c r="G929" s="22" t="n">
        <f aca="false">G928/F928-1</f>
        <v>0.185795123114838</v>
      </c>
      <c r="H929" s="26" t="n">
        <f aca="false">$G929+(fade_gA-$G929)*1/3</f>
        <v>0.143863415409892</v>
      </c>
      <c r="I929" s="26" t="n">
        <f aca="false">$G929+(fade_gA-$G929)*2/3</f>
        <v>0.101931707704946</v>
      </c>
      <c r="J929" s="26" t="n">
        <f aca="false">$G929+(fade_gA-$G929)*3/3</f>
        <v>0.06</v>
      </c>
    </row>
    <row r="930" customFormat="false" ht="17.15" hidden="false" customHeight="false" outlineLevel="0" collapsed="false">
      <c r="A930" s="0" t="s">
        <v>507</v>
      </c>
      <c r="B930" s="0" t="s">
        <v>90</v>
      </c>
      <c r="C930" s="22" t="n">
        <f aca="false">C921/C928</f>
        <v>0.4059</v>
      </c>
      <c r="D930" s="22" t="n">
        <f aca="false">D921/D928</f>
        <v>0.445262071719287</v>
      </c>
      <c r="E930" s="22" t="n">
        <f aca="false">E921/E928</f>
        <v>0.560707990030247</v>
      </c>
      <c r="F930" s="22" t="n">
        <f aca="false">F921/F928</f>
        <v>0.580698227880398</v>
      </c>
      <c r="G930" s="22" t="n">
        <f aca="false">G921/G928</f>
        <v>0.598553042590754</v>
      </c>
    </row>
    <row r="931" customFormat="false" ht="17.15" hidden="false" customHeight="false" outlineLevel="0" collapsed="false">
      <c r="A931" s="4" t="s">
        <v>508</v>
      </c>
      <c r="B931" s="0" t="s">
        <v>90</v>
      </c>
      <c r="C931" s="22" t="n">
        <f aca="false">C923/C928</f>
        <v>0.738</v>
      </c>
      <c r="D931" s="22" t="n">
        <f aca="false">D923/D928</f>
        <v>0.742103452865479</v>
      </c>
      <c r="E931" s="22" t="n">
        <f aca="false">E923/E928</f>
        <v>0.768268262359895</v>
      </c>
      <c r="F931" s="22" t="n">
        <f aca="false">F923/F928</f>
        <v>0.755078751551114</v>
      </c>
      <c r="G931" s="22" t="n">
        <f aca="false">G923/G928</f>
        <v>0.750022664854871</v>
      </c>
    </row>
    <row r="932" customFormat="false" ht="17.15" hidden="false" customHeight="false" outlineLevel="0" collapsed="false">
      <c r="A932" s="6" t="s">
        <v>509</v>
      </c>
    </row>
    <row r="933" customFormat="false" ht="15" hidden="false" customHeight="false" outlineLevel="0" collapsed="false">
      <c r="A933" s="4" t="s">
        <v>412</v>
      </c>
      <c r="B933" s="0" t="s">
        <v>90</v>
      </c>
      <c r="C933" s="14" t="n">
        <f aca="false">a25_gp/a25_rev</f>
        <v>0.574</v>
      </c>
      <c r="D933" s="14" t="n">
        <f aca="false">a26_gp/a26_rev</f>
        <v>0.593344593032623</v>
      </c>
      <c r="E933" s="14" t="n">
        <f aca="false">gm27_A+gm_adj</f>
        <v>0.6</v>
      </c>
      <c r="F933" s="14" t="n">
        <f aca="false">gmL_A+gm_adj</f>
        <v>0.61</v>
      </c>
      <c r="G933" s="14" t="n">
        <f aca="false">gmL_A+gm_adj</f>
        <v>0.61</v>
      </c>
    </row>
    <row r="934" customFormat="false" ht="15" hidden="false" customHeight="false" outlineLevel="0" collapsed="false">
      <c r="A934" s="4" t="s">
        <v>409</v>
      </c>
      <c r="B934" s="0" t="s">
        <v>189</v>
      </c>
      <c r="C934" s="17" t="n">
        <f aca="false">C928*C933</f>
        <v>7.678398</v>
      </c>
      <c r="D934" s="17" t="n">
        <f aca="false">D928*D933</f>
        <v>12.7050801</v>
      </c>
      <c r="E934" s="17" t="n">
        <f aca="false">E928*E933</f>
        <v>18.9251401856005</v>
      </c>
      <c r="F934" s="17" t="n">
        <f aca="false">F928*F933</f>
        <v>23.5885458395385</v>
      </c>
      <c r="G934" s="17" t="n">
        <f aca="false">G928*G933</f>
        <v>27.9711826178955</v>
      </c>
    </row>
    <row r="935" customFormat="false" ht="17.15" hidden="false" customHeight="false" outlineLevel="0" collapsed="false">
      <c r="A935" s="4" t="s">
        <v>510</v>
      </c>
      <c r="B935" s="0" t="s">
        <v>189</v>
      </c>
      <c r="D935" s="17" t="n">
        <f aca="false">a26_opx</f>
        <v>5.05564928556</v>
      </c>
      <c r="E935" s="17" t="n">
        <f aca="false">D935*(1+phi*E929)</f>
        <v>6.49059368776087</v>
      </c>
      <c r="F935" s="17" t="n">
        <f aca="false">E935*(1+phi*F929)</f>
        <v>7.37064133399633</v>
      </c>
      <c r="G935" s="17" t="n">
        <f aca="false">F935*(1+phi*G929)</f>
        <v>8.19229886244743</v>
      </c>
      <c r="K935" s="8" t="s">
        <v>511</v>
      </c>
    </row>
    <row r="936" customFormat="false" ht="15" hidden="false" customHeight="false" outlineLevel="0" collapsed="false">
      <c r="A936" s="4" t="s">
        <v>415</v>
      </c>
      <c r="B936" s="0" t="s">
        <v>189</v>
      </c>
      <c r="D936" s="17" t="n">
        <f aca="false">D934-D935</f>
        <v>7.64943081444</v>
      </c>
      <c r="E936" s="17" t="n">
        <f aca="false">E934-E935</f>
        <v>12.4345464978397</v>
      </c>
      <c r="F936" s="17" t="n">
        <f aca="false">F934-F935</f>
        <v>16.2179045055421</v>
      </c>
      <c r="G936" s="17" t="n">
        <f aca="false">G934-G935</f>
        <v>19.7788837554481</v>
      </c>
    </row>
    <row r="937" customFormat="false" ht="15" hidden="false" customHeight="false" outlineLevel="0" collapsed="false">
      <c r="A937" s="4" t="s">
        <v>482</v>
      </c>
      <c r="B937" s="0" t="s">
        <v>90</v>
      </c>
      <c r="D937" s="14" t="n">
        <f aca="false">D936/D928</f>
        <v>0.357238866484999</v>
      </c>
      <c r="E937" s="14" t="n">
        <f aca="false">E936/E928</f>
        <v>0.394223124665697</v>
      </c>
      <c r="F937" s="14" t="n">
        <f aca="false">F936/F928</f>
        <v>0.419395151175384</v>
      </c>
      <c r="G937" s="14" t="n">
        <f aca="false">G936/G928</f>
        <v>0.431341043231553</v>
      </c>
    </row>
    <row r="938" customFormat="false" ht="15" hidden="false" customHeight="false" outlineLevel="0" collapsed="false">
      <c r="A938" s="4" t="s">
        <v>418</v>
      </c>
      <c r="B938" s="0" t="s">
        <v>189</v>
      </c>
      <c r="C938" s="17" t="n">
        <f aca="false">a25_ni</f>
        <v>3.18</v>
      </c>
      <c r="D938" s="17" t="n">
        <f aca="false">a26_ni</f>
        <v>6.7316248085628</v>
      </c>
      <c r="E938" s="17" t="n">
        <f aca="false">E936*ni_oi</f>
        <v>10.5693645231637</v>
      </c>
      <c r="F938" s="17" t="n">
        <f aca="false">F936*ni_oi</f>
        <v>13.7852188297108</v>
      </c>
      <c r="G938" s="17" t="n">
        <f aca="false">G936*ni_oi</f>
        <v>16.8120511921309</v>
      </c>
      <c r="H938" s="30" t="n">
        <f aca="false">H928*H942</f>
        <v>19.2468281219982</v>
      </c>
      <c r="I938" s="30" t="n">
        <f aca="false">I928*I942</f>
        <v>21.2264729617922</v>
      </c>
      <c r="J938" s="30" t="n">
        <f aca="false">J928*J942</f>
        <v>22.5189110877998</v>
      </c>
    </row>
    <row r="939" customFormat="false" ht="15" hidden="false" customHeight="false" outlineLevel="0" collapsed="false">
      <c r="A939" s="4" t="s">
        <v>512</v>
      </c>
      <c r="B939" s="4" t="s">
        <v>513</v>
      </c>
      <c r="C939" s="19" t="n">
        <f aca="false">a25_sh</f>
        <v>94.9537175276202</v>
      </c>
      <c r="D939" s="19" t="n">
        <f aca="false">a26_sh</f>
        <v>97.9860681630967</v>
      </c>
      <c r="E939" s="19" t="n">
        <f aca="false">D939*(1+sh_g)</f>
        <v>97.9860681630967</v>
      </c>
      <c r="F939" s="19" t="n">
        <f aca="false">E939*(1+sh_g)</f>
        <v>97.9860681630967</v>
      </c>
      <c r="G939" s="19" t="n">
        <f aca="false">F939*(1+sh_g)</f>
        <v>97.9860681630967</v>
      </c>
      <c r="H939" s="25" t="n">
        <f aca="false">G939*(1+sh_g)</f>
        <v>97.9860681630967</v>
      </c>
      <c r="I939" s="25" t="n">
        <f aca="false">H939*(1+sh_g)</f>
        <v>97.9860681630967</v>
      </c>
      <c r="J939" s="25" t="n">
        <f aca="false">I939*(1+sh_g)</f>
        <v>97.9860681630967</v>
      </c>
    </row>
    <row r="940" customFormat="false" ht="15" hidden="false" customHeight="false" outlineLevel="0" collapsed="false">
      <c r="A940" s="0" t="s">
        <v>423</v>
      </c>
      <c r="B940" s="0" t="s">
        <v>256</v>
      </c>
      <c r="C940" s="20" t="n">
        <f aca="false">a25_eps</f>
        <v>33.49</v>
      </c>
      <c r="D940" s="20" t="n">
        <f aca="false">a26_eps</f>
        <v>68.6959552317267</v>
      </c>
      <c r="E940" s="20" t="n">
        <f aca="false">E938/E939*1000</f>
        <v>107.865992801866</v>
      </c>
      <c r="F940" s="20" t="n">
        <f aca="false">F938/F939*1000</f>
        <v>140.685498338044</v>
      </c>
      <c r="G940" s="20" t="n">
        <f aca="false">G938/G939*1000</f>
        <v>171.575934286366</v>
      </c>
      <c r="H940" s="28" t="n">
        <f aca="false">H938/H939*1000</f>
        <v>196.424129295219</v>
      </c>
      <c r="I940" s="28" t="n">
        <f aca="false">I938/I939*1000</f>
        <v>216.627458981832</v>
      </c>
      <c r="J940" s="28" t="n">
        <f aca="false">J938/J939*1000</f>
        <v>229.817478239022</v>
      </c>
    </row>
    <row r="941" customFormat="false" ht="17.15" hidden="false" customHeight="false" outlineLevel="0" collapsed="false">
      <c r="A941" s="0" t="s">
        <v>514</v>
      </c>
      <c r="B941" s="0" t="s">
        <v>90</v>
      </c>
      <c r="D941" s="22" t="n">
        <f aca="false">D940/C940-1</f>
        <v>1.05123783910799</v>
      </c>
      <c r="E941" s="22" t="n">
        <f aca="false">E940/D940-1</f>
        <v>0.570194233969233</v>
      </c>
      <c r="F941" s="22" t="n">
        <f aca="false">F940/E940-1</f>
        <v>0.304261840860843</v>
      </c>
      <c r="G941" s="22" t="n">
        <f aca="false">G940/F940-1</f>
        <v>0.21957086063055</v>
      </c>
      <c r="H941" s="26" t="n">
        <f aca="false">H940/G940-1</f>
        <v>0.144823311685311</v>
      </c>
      <c r="I941" s="26" t="n">
        <f aca="false">I940/H940-1</f>
        <v>0.1028556407968</v>
      </c>
      <c r="J941" s="26" t="n">
        <f aca="false">J940/I940-1</f>
        <v>0.0608880301656325</v>
      </c>
    </row>
    <row r="942" customFormat="false" ht="17.15" hidden="false" customHeight="false" outlineLevel="0" collapsed="false">
      <c r="A942" s="4" t="s">
        <v>515</v>
      </c>
      <c r="B942" s="0" t="s">
        <v>90</v>
      </c>
      <c r="C942" s="14" t="n">
        <f aca="false">C938/C928</f>
        <v>0.237721462211258</v>
      </c>
      <c r="D942" s="14" t="n">
        <f aca="false">D938/D928</f>
        <v>0.314376072488123</v>
      </c>
      <c r="E942" s="14" t="n">
        <f aca="false">E938/E928</f>
        <v>0.335089655965843</v>
      </c>
      <c r="F942" s="14" t="n">
        <f aca="false">F938/F928</f>
        <v>0.356485878499076</v>
      </c>
      <c r="G942" s="14" t="n">
        <f aca="false">G938/G928</f>
        <v>0.36663988674682</v>
      </c>
      <c r="H942" s="27" t="n">
        <f aca="false">$G942+(fade_mA-$G942)*1/3</f>
        <v>0.366947560072994</v>
      </c>
      <c r="I942" s="27" t="n">
        <f aca="false">$G942+(fade_mA-$G942)*2/3</f>
        <v>0.367255233399169</v>
      </c>
      <c r="J942" s="27" t="n">
        <f aca="false">$G942+(fade_mA-$G942)*3/3</f>
        <v>0.367562906725343</v>
      </c>
    </row>
    <row r="945" customFormat="false" ht="17.15" hidden="false" customHeight="false" outlineLevel="0" collapsed="false">
      <c r="A945" s="1" t="s">
        <v>830</v>
      </c>
    </row>
    <row r="946" customFormat="false" ht="17.15" hidden="false" customHeight="false" outlineLevel="0" collapsed="false">
      <c r="A946" s="5" t="s">
        <v>21</v>
      </c>
      <c r="B946" s="5" t="s">
        <v>22</v>
      </c>
      <c r="C946" s="15" t="s">
        <v>387</v>
      </c>
      <c r="D946" s="15" t="s">
        <v>468</v>
      </c>
      <c r="E946" s="15" t="s">
        <v>469</v>
      </c>
      <c r="F946" s="15" t="s">
        <v>470</v>
      </c>
      <c r="G946" s="15" t="s">
        <v>471</v>
      </c>
      <c r="H946" s="15" t="s">
        <v>472</v>
      </c>
      <c r="I946" s="15" t="s">
        <v>473</v>
      </c>
      <c r="J946" s="15" t="s">
        <v>474</v>
      </c>
      <c r="K946" s="5" t="s">
        <v>336</v>
      </c>
    </row>
    <row r="947" customFormat="false" ht="17.15" hidden="false" customHeight="false" outlineLevel="0" collapsed="false">
      <c r="A947" s="6" t="s">
        <v>492</v>
      </c>
    </row>
    <row r="948" customFormat="false" ht="17.15" hidden="false" customHeight="false" outlineLevel="0" collapsed="false">
      <c r="A948" s="0" t="s">
        <v>493</v>
      </c>
      <c r="B948" s="4" t="s">
        <v>32</v>
      </c>
      <c r="D948" s="20" t="n">
        <f aca="false">units_26</f>
        <v>15.2</v>
      </c>
      <c r="E948" s="20" t="n">
        <f aca="false">units_27*1</f>
        <v>23.7</v>
      </c>
      <c r="F948" s="20" t="n">
        <f aca="false">units_28*um28_B*1</f>
        <v>21.2</v>
      </c>
      <c r="G948" s="20" t="n">
        <f aca="false">units_29*um29_B*1</f>
        <v>25.6275</v>
      </c>
    </row>
    <row r="949" customFormat="false" ht="17.15" hidden="false" customHeight="false" outlineLevel="0" collapsed="false">
      <c r="A949" s="4" t="s">
        <v>494</v>
      </c>
      <c r="B949" s="0" t="s">
        <v>45</v>
      </c>
      <c r="D949" s="18" t="n">
        <f aca="false">ex_nv*nvtt_26+astt_26</f>
        <v>0.607994</v>
      </c>
      <c r="E949" s="18" t="n">
        <f aca="false">ex_nv*nvtt_27+astt_27</f>
        <v>0.6560764</v>
      </c>
      <c r="F949" s="18" t="n">
        <f aca="false">ex_nv*nvtt_28+astt_28</f>
        <v>0.6898114</v>
      </c>
      <c r="G949" s="18" t="n">
        <f aca="false">ex_nv*nvtt_29+astt_29</f>
        <v>0.692935</v>
      </c>
      <c r="K949" s="8" t="s">
        <v>495</v>
      </c>
    </row>
    <row r="950" customFormat="false" ht="17.15" hidden="false" customHeight="false" outlineLevel="0" collapsed="false">
      <c r="A950" s="4" t="s">
        <v>447</v>
      </c>
      <c r="B950" s="0" t="s">
        <v>45</v>
      </c>
      <c r="D950" s="18" t="n">
        <f aca="false">D948*D949/($D948*$D949)</f>
        <v>1</v>
      </c>
      <c r="E950" s="18" t="n">
        <f aca="false">E948*E949/($D948*$D949)</f>
        <v>1.68251862509724</v>
      </c>
      <c r="F950" s="18" t="n">
        <f aca="false">F948*F949/($D948*$D949)</f>
        <v>1.58242577012966</v>
      </c>
      <c r="G950" s="18" t="n">
        <f aca="false">G948*G949/($D948*$D949)</f>
        <v>1.92156844697264</v>
      </c>
    </row>
    <row r="951" customFormat="false" ht="17.15" hidden="false" customHeight="false" outlineLevel="0" collapsed="false">
      <c r="A951" s="4" t="s">
        <v>496</v>
      </c>
      <c r="B951" s="0" t="s">
        <v>45</v>
      </c>
      <c r="D951" s="20" t="n">
        <f aca="false">1</f>
        <v>1</v>
      </c>
      <c r="E951" s="20" t="n">
        <f aca="false">rel27_B</f>
        <v>1</v>
      </c>
      <c r="F951" s="20" t="n">
        <f aca="false">rel28_B</f>
        <v>1</v>
      </c>
      <c r="G951" s="20" t="n">
        <f aca="false">rel29_B</f>
        <v>1</v>
      </c>
    </row>
    <row r="952" customFormat="false" ht="17.15" hidden="false" customHeight="false" outlineLevel="0" collapsed="false">
      <c r="A952" s="4" t="s">
        <v>497</v>
      </c>
      <c r="B952" s="0" t="s">
        <v>45</v>
      </c>
      <c r="D952" s="18" t="n">
        <f aca="false">1</f>
        <v>1</v>
      </c>
      <c r="E952" s="18" t="n">
        <f aca="false">(1+g_ct)^1</f>
        <v>1.05</v>
      </c>
      <c r="F952" s="18" t="n">
        <f aca="false">(1+g_ct)^2</f>
        <v>1.1025</v>
      </c>
      <c r="G952" s="18" t="n">
        <f aca="false">(1+g_ct)^3</f>
        <v>1.157625</v>
      </c>
    </row>
    <row r="953" customFormat="false" ht="17.15" hidden="false" customHeight="false" outlineLevel="0" collapsed="false">
      <c r="A953" s="6" t="s">
        <v>498</v>
      </c>
    </row>
    <row r="954" customFormat="false" ht="17.15" hidden="false" customHeight="false" outlineLevel="0" collapsed="false">
      <c r="A954" s="0" t="s">
        <v>401</v>
      </c>
      <c r="B954" s="0" t="s">
        <v>189</v>
      </c>
      <c r="C954" s="17" t="n">
        <f aca="false">a25_ai</f>
        <v>5.4297243</v>
      </c>
      <c r="D954" s="17" t="n">
        <f aca="false">a26_ai</f>
        <v>9.5342409</v>
      </c>
      <c r="E954" s="17" t="n">
        <f aca="false">$D954*E950*E951*E952</f>
        <v>16.8436147849345</v>
      </c>
      <c r="F954" s="17" t="n">
        <f aca="false">$D954*F950*F951*F952</f>
        <v>16.6336694199096</v>
      </c>
      <c r="G954" s="17" t="n">
        <f aca="false">$D954*G950*G951*G952</f>
        <v>21.2084962618219</v>
      </c>
      <c r="K954" s="8" t="s">
        <v>499</v>
      </c>
    </row>
    <row r="955" customFormat="false" ht="17.15" hidden="false" customHeight="false" outlineLevel="0" collapsed="false">
      <c r="A955" s="4" t="s">
        <v>404</v>
      </c>
      <c r="B955" s="0" t="s">
        <v>189</v>
      </c>
      <c r="C955" s="17" t="n">
        <f aca="false">a25_npc</f>
        <v>4.4425017</v>
      </c>
      <c r="D955" s="17" t="n">
        <f aca="false">a26_npc</f>
        <v>6.3561606</v>
      </c>
      <c r="E955" s="17" t="n">
        <f aca="false">D955*(1+g_nonai_lo+d_npc)</f>
        <v>6.546845418</v>
      </c>
      <c r="F955" s="17" t="n">
        <f aca="false">E955*(1+g_nonai_lo+d_npc)</f>
        <v>6.74325078054</v>
      </c>
      <c r="G955" s="17" t="n">
        <f aca="false">F955*(1+g_nonai_lo+d_npc)</f>
        <v>6.9455483039562</v>
      </c>
      <c r="K955" s="4" t="s">
        <v>500</v>
      </c>
    </row>
    <row r="956" customFormat="false" ht="15" hidden="false" customHeight="false" outlineLevel="0" collapsed="false">
      <c r="A956" s="4" t="s">
        <v>398</v>
      </c>
      <c r="B956" s="0" t="s">
        <v>189</v>
      </c>
      <c r="C956" s="17" t="n">
        <f aca="false">C954+C955</f>
        <v>9.872226</v>
      </c>
      <c r="D956" s="17" t="n">
        <f aca="false">D954+D955</f>
        <v>15.8904015</v>
      </c>
      <c r="E956" s="17" t="n">
        <f aca="false">E954+E955</f>
        <v>23.3904602029345</v>
      </c>
      <c r="F956" s="17" t="n">
        <f aca="false">F954+F955</f>
        <v>23.3769202004495</v>
      </c>
      <c r="G956" s="17" t="n">
        <f aca="false">G954+G955</f>
        <v>28.1540445657781</v>
      </c>
    </row>
    <row r="957" customFormat="false" ht="17.15" hidden="false" customHeight="false" outlineLevel="0" collapsed="false">
      <c r="A957" s="0" t="s">
        <v>501</v>
      </c>
      <c r="B957" s="0" t="s">
        <v>189</v>
      </c>
      <c r="D957" s="17" t="n">
        <f aca="false">k_cpo*cpo_A_26/cpo_A_27</f>
        <v>0.24</v>
      </c>
      <c r="E957" s="17" t="n">
        <f aca="false">k_cpo*cpo_B_27/cpo_A_27</f>
        <v>0.72</v>
      </c>
      <c r="F957" s="17" t="n">
        <f aca="false">k_cpo*cpo_B_28/cpo_A_27</f>
        <v>1.2</v>
      </c>
      <c r="G957" s="17" t="n">
        <f aca="false">k_cpo*cpo_B_29/cpo_A_27</f>
        <v>1.92</v>
      </c>
      <c r="K957" s="8" t="s">
        <v>502</v>
      </c>
    </row>
    <row r="958" customFormat="false" ht="17.15" hidden="false" customHeight="false" outlineLevel="0" collapsed="false">
      <c r="A958" s="4" t="s">
        <v>503</v>
      </c>
      <c r="B958" s="0" t="s">
        <v>189</v>
      </c>
      <c r="C958" s="17" t="n">
        <f aca="false">a25_eq</f>
        <v>3.290742</v>
      </c>
      <c r="D958" s="17" t="n">
        <f aca="false">a26_eq-D957</f>
        <v>4.8539955</v>
      </c>
      <c r="E958" s="17" t="n">
        <f aca="false">D958*semi_27</f>
        <v>5.659593717153</v>
      </c>
      <c r="F958" s="17" t="n">
        <f aca="false">$E958*eqk28_B</f>
        <v>5.659593717153</v>
      </c>
      <c r="G958" s="17" t="n">
        <f aca="false">$E958*eqk29_B</f>
        <v>5.37661403129535</v>
      </c>
      <c r="K958" s="8" t="s">
        <v>504</v>
      </c>
    </row>
    <row r="959" customFormat="false" ht="15" hidden="false" customHeight="false" outlineLevel="0" collapsed="false">
      <c r="A959" s="4" t="s">
        <v>405</v>
      </c>
      <c r="B959" s="0" t="s">
        <v>189</v>
      </c>
      <c r="C959" s="17" t="n">
        <f aca="false">a25_eq</f>
        <v>3.290742</v>
      </c>
      <c r="D959" s="17" t="n">
        <f aca="false">D957+D958</f>
        <v>5.0939955</v>
      </c>
      <c r="E959" s="17" t="n">
        <f aca="false">E957+E958</f>
        <v>6.379593717153</v>
      </c>
      <c r="F959" s="17" t="n">
        <f aca="false">F957+F958</f>
        <v>6.859593717153</v>
      </c>
      <c r="G959" s="17" t="n">
        <f aca="false">G957+G958</f>
        <v>7.29661403129535</v>
      </c>
    </row>
    <row r="960" customFormat="false" ht="15" hidden="false" customHeight="false" outlineLevel="0" collapsed="false">
      <c r="A960" s="4" t="s">
        <v>407</v>
      </c>
      <c r="B960" s="0" t="s">
        <v>189</v>
      </c>
      <c r="C960" s="17" t="n">
        <f aca="false">a25_oth</f>
        <v>0.214032000000001</v>
      </c>
      <c r="D960" s="17" t="n">
        <f aca="false">a26_oth</f>
        <v>0.428253</v>
      </c>
      <c r="E960" s="17" t="n">
        <f aca="false">D960*(1+g_oth)</f>
        <v>0.44966565</v>
      </c>
      <c r="F960" s="17" t="n">
        <f aca="false">E960*(1+g_oth)</f>
        <v>0.4721489325</v>
      </c>
      <c r="G960" s="17" t="n">
        <f aca="false">F960*(1+g_oth)</f>
        <v>0.495756379125</v>
      </c>
    </row>
    <row r="961" customFormat="false" ht="17.15" hidden="false" customHeight="false" outlineLevel="0" collapsed="false">
      <c r="A961" s="4" t="s">
        <v>394</v>
      </c>
      <c r="B961" s="0" t="s">
        <v>189</v>
      </c>
      <c r="C961" s="17" t="n">
        <f aca="false">C956+C959+C960</f>
        <v>13.377</v>
      </c>
      <c r="D961" s="17" t="n">
        <f aca="false">D956+D959+D960</f>
        <v>21.41265</v>
      </c>
      <c r="E961" s="17" t="n">
        <f aca="false">E956+E959+E960</f>
        <v>30.2197195700875</v>
      </c>
      <c r="F961" s="17" t="n">
        <f aca="false">F956+F959+F960</f>
        <v>30.7086628501026</v>
      </c>
      <c r="G961" s="17" t="n">
        <f aca="false">G956+G959+G960</f>
        <v>35.9464149761985</v>
      </c>
      <c r="H961" s="30" t="n">
        <f aca="false">G961*(1+H962)</f>
        <v>40.5131119862549</v>
      </c>
      <c r="I961" s="30" t="n">
        <f aca="false">H961*(1+I962)</f>
        <v>43.8968034191027</v>
      </c>
      <c r="J961" s="30" t="n">
        <f aca="false">I961*(1+J962)</f>
        <v>45.6526755558668</v>
      </c>
      <c r="K961" s="8" t="s">
        <v>505</v>
      </c>
    </row>
    <row r="962" customFormat="false" ht="15" hidden="false" customHeight="false" outlineLevel="0" collapsed="false">
      <c r="A962" s="4" t="s">
        <v>506</v>
      </c>
      <c r="B962" s="0" t="s">
        <v>90</v>
      </c>
      <c r="D962" s="22" t="n">
        <f aca="false">D961/C961-1</f>
        <v>0.600706436420722</v>
      </c>
      <c r="E962" s="22" t="n">
        <f aca="false">E961/D961-1</f>
        <v>0.411302177455267</v>
      </c>
      <c r="F962" s="22" t="n">
        <f aca="false">F961/E961-1</f>
        <v>0.016179610101313</v>
      </c>
      <c r="G962" s="22" t="n">
        <f aca="false">G961/F961-1</f>
        <v>0.170562689481559</v>
      </c>
      <c r="H962" s="26" t="n">
        <f aca="false">$G962+(fade_gB-$G962)*1/3</f>
        <v>0.127041792987706</v>
      </c>
      <c r="I962" s="26" t="n">
        <f aca="false">$G962+(fade_gB-$G962)*2/3</f>
        <v>0.083520896493853</v>
      </c>
      <c r="J962" s="26" t="n">
        <f aca="false">$G962+(fade_gB-$G962)*3/3</f>
        <v>0.04</v>
      </c>
    </row>
    <row r="963" customFormat="false" ht="17.15" hidden="false" customHeight="false" outlineLevel="0" collapsed="false">
      <c r="A963" s="0" t="s">
        <v>507</v>
      </c>
      <c r="B963" s="0" t="s">
        <v>90</v>
      </c>
      <c r="C963" s="22" t="n">
        <f aca="false">C954/C961</f>
        <v>0.4059</v>
      </c>
      <c r="D963" s="22" t="n">
        <f aca="false">D954/D961</f>
        <v>0.445262071719287</v>
      </c>
      <c r="E963" s="22" t="n">
        <f aca="false">E954/E961</f>
        <v>0.557371644229515</v>
      </c>
      <c r="F963" s="22" t="n">
        <f aca="false">F954/F961</f>
        <v>0.541660491734957</v>
      </c>
      <c r="G963" s="22" t="n">
        <f aca="false">G954/G961</f>
        <v>0.590003099776846</v>
      </c>
    </row>
    <row r="964" customFormat="false" ht="17.15" hidden="false" customHeight="false" outlineLevel="0" collapsed="false">
      <c r="A964" s="4" t="s">
        <v>508</v>
      </c>
      <c r="B964" s="0" t="s">
        <v>90</v>
      </c>
      <c r="C964" s="22" t="n">
        <f aca="false">C956/C961</f>
        <v>0.738</v>
      </c>
      <c r="D964" s="22" t="n">
        <f aca="false">D956/D961</f>
        <v>0.742103452865479</v>
      </c>
      <c r="E964" s="22" t="n">
        <f aca="false">E956/E961</f>
        <v>0.7740131455782</v>
      </c>
      <c r="F964" s="22" t="n">
        <f aca="false">F956/F961</f>
        <v>0.761248391522573</v>
      </c>
      <c r="G964" s="22" t="n">
        <f aca="false">G956/G961</f>
        <v>0.783222599094236</v>
      </c>
    </row>
    <row r="965" customFormat="false" ht="17.15" hidden="false" customHeight="false" outlineLevel="0" collapsed="false">
      <c r="A965" s="6" t="s">
        <v>509</v>
      </c>
    </row>
    <row r="966" customFormat="false" ht="15" hidden="false" customHeight="false" outlineLevel="0" collapsed="false">
      <c r="A966" s="4" t="s">
        <v>412</v>
      </c>
      <c r="B966" s="0" t="s">
        <v>90</v>
      </c>
      <c r="C966" s="14" t="n">
        <f aca="false">a25_gp/a25_rev</f>
        <v>0.574</v>
      </c>
      <c r="D966" s="14" t="n">
        <f aca="false">a26_gp/a26_rev</f>
        <v>0.593344593032623</v>
      </c>
      <c r="E966" s="14" t="n">
        <f aca="false">gm27_B+gm_adj</f>
        <v>0.595</v>
      </c>
      <c r="F966" s="14" t="n">
        <f aca="false">gmL_B+gm_adj</f>
        <v>0.595</v>
      </c>
      <c r="G966" s="14" t="n">
        <f aca="false">gmL_B+gm_adj</f>
        <v>0.595</v>
      </c>
    </row>
    <row r="967" customFormat="false" ht="15" hidden="false" customHeight="false" outlineLevel="0" collapsed="false">
      <c r="A967" s="4" t="s">
        <v>409</v>
      </c>
      <c r="B967" s="0" t="s">
        <v>189</v>
      </c>
      <c r="C967" s="17" t="n">
        <f aca="false">C961*C966</f>
        <v>7.678398</v>
      </c>
      <c r="D967" s="17" t="n">
        <f aca="false">D961*D966</f>
        <v>12.7050801</v>
      </c>
      <c r="E967" s="17" t="n">
        <f aca="false">E961*E966</f>
        <v>17.9807331442021</v>
      </c>
      <c r="F967" s="17" t="n">
        <f aca="false">F961*F966</f>
        <v>18.271654395811</v>
      </c>
      <c r="G967" s="17" t="n">
        <f aca="false">G961*G966</f>
        <v>21.3881169108381</v>
      </c>
    </row>
    <row r="968" customFormat="false" ht="17.15" hidden="false" customHeight="false" outlineLevel="0" collapsed="false">
      <c r="A968" s="4" t="s">
        <v>510</v>
      </c>
      <c r="B968" s="0" t="s">
        <v>189</v>
      </c>
      <c r="D968" s="17" t="n">
        <f aca="false">a26_opx</f>
        <v>5.05564928556</v>
      </c>
      <c r="E968" s="17" t="n">
        <f aca="false">D968*(1+phi*E962)</f>
        <v>6.30328902132059</v>
      </c>
      <c r="F968" s="17" t="n">
        <f aca="false">E968*(1+phi*F962)</f>
        <v>6.36447987655311</v>
      </c>
      <c r="G968" s="17" t="n">
        <f aca="false">F968*(1+phi*G962)</f>
        <v>7.0158055594908</v>
      </c>
      <c r="K968" s="8" t="s">
        <v>511</v>
      </c>
    </row>
    <row r="969" customFormat="false" ht="15" hidden="false" customHeight="false" outlineLevel="0" collapsed="false">
      <c r="A969" s="4" t="s">
        <v>415</v>
      </c>
      <c r="B969" s="0" t="s">
        <v>189</v>
      </c>
      <c r="D969" s="17" t="n">
        <f aca="false">D967-D968</f>
        <v>7.64943081444</v>
      </c>
      <c r="E969" s="17" t="n">
        <f aca="false">E967-E968</f>
        <v>11.6774441228815</v>
      </c>
      <c r="F969" s="17" t="n">
        <f aca="false">F967-F968</f>
        <v>11.9071745192579</v>
      </c>
      <c r="G969" s="17" t="n">
        <f aca="false">G967-G968</f>
        <v>14.3723113513473</v>
      </c>
    </row>
    <row r="970" customFormat="false" ht="15" hidden="false" customHeight="false" outlineLevel="0" collapsed="false">
      <c r="A970" s="4" t="s">
        <v>482</v>
      </c>
      <c r="B970" s="0" t="s">
        <v>90</v>
      </c>
      <c r="D970" s="14" t="n">
        <f aca="false">D969/D961</f>
        <v>0.357238866484999</v>
      </c>
      <c r="E970" s="14" t="n">
        <f aca="false">E969/E961</f>
        <v>0.386418017407422</v>
      </c>
      <c r="F970" s="14" t="n">
        <f aca="false">F969/F961</f>
        <v>0.387746434202626</v>
      </c>
      <c r="G970" s="14" t="n">
        <f aca="false">G969/G961</f>
        <v>0.399826001031362</v>
      </c>
    </row>
    <row r="971" customFormat="false" ht="15" hidden="false" customHeight="false" outlineLevel="0" collapsed="false">
      <c r="A971" s="4" t="s">
        <v>418</v>
      </c>
      <c r="B971" s="0" t="s">
        <v>189</v>
      </c>
      <c r="C971" s="17" t="n">
        <f aca="false">a25_ni</f>
        <v>3.18</v>
      </c>
      <c r="D971" s="17" t="n">
        <f aca="false">a26_ni</f>
        <v>6.7316248085628</v>
      </c>
      <c r="E971" s="17" t="n">
        <f aca="false">E969*ni_oi</f>
        <v>9.92582750444925</v>
      </c>
      <c r="F971" s="17" t="n">
        <f aca="false">F969*ni_oi</f>
        <v>10.1210983413692</v>
      </c>
      <c r="G971" s="17" t="n">
        <f aca="false">G969*ni_oi</f>
        <v>12.2164646486452</v>
      </c>
      <c r="H971" s="30" t="n">
        <f aca="false">H961*H975</f>
        <v>13.3262108145947</v>
      </c>
      <c r="I971" s="30" t="n">
        <f aca="false">I961*I975</f>
        <v>13.9600349136397</v>
      </c>
      <c r="J971" s="30" t="n">
        <f aca="false">J961*J975</f>
        <v>14.020075616127</v>
      </c>
    </row>
    <row r="972" customFormat="false" ht="15" hidden="false" customHeight="false" outlineLevel="0" collapsed="false">
      <c r="A972" s="4" t="s">
        <v>512</v>
      </c>
      <c r="B972" s="4" t="s">
        <v>513</v>
      </c>
      <c r="C972" s="19" t="n">
        <f aca="false">a25_sh</f>
        <v>94.9537175276202</v>
      </c>
      <c r="D972" s="19" t="n">
        <f aca="false">a26_sh</f>
        <v>97.9860681630967</v>
      </c>
      <c r="E972" s="19" t="n">
        <f aca="false">D972*(1+sh_g)</f>
        <v>97.9860681630967</v>
      </c>
      <c r="F972" s="19" t="n">
        <f aca="false">E972*(1+sh_g)</f>
        <v>97.9860681630967</v>
      </c>
      <c r="G972" s="19" t="n">
        <f aca="false">F972*(1+sh_g)</f>
        <v>97.9860681630967</v>
      </c>
      <c r="H972" s="25" t="n">
        <f aca="false">G972*(1+sh_g)</f>
        <v>97.9860681630967</v>
      </c>
      <c r="I972" s="25" t="n">
        <f aca="false">H972*(1+sh_g)</f>
        <v>97.9860681630967</v>
      </c>
      <c r="J972" s="25" t="n">
        <f aca="false">I972*(1+sh_g)</f>
        <v>97.9860681630967</v>
      </c>
    </row>
    <row r="973" customFormat="false" ht="15" hidden="false" customHeight="false" outlineLevel="0" collapsed="false">
      <c r="A973" s="0" t="s">
        <v>423</v>
      </c>
      <c r="B973" s="0" t="s">
        <v>256</v>
      </c>
      <c r="C973" s="20" t="n">
        <f aca="false">a25_eps</f>
        <v>33.49</v>
      </c>
      <c r="D973" s="20" t="n">
        <f aca="false">a26_eps</f>
        <v>68.6959552317267</v>
      </c>
      <c r="E973" s="20" t="n">
        <f aca="false">E971/E972*1000</f>
        <v>101.298354863345</v>
      </c>
      <c r="F973" s="20" t="n">
        <f aca="false">F971/F972*1000</f>
        <v>103.291197729485</v>
      </c>
      <c r="G973" s="20" t="n">
        <f aca="false">G971/G972*1000</f>
        <v>124.675526609671</v>
      </c>
      <c r="H973" s="28" t="n">
        <f aca="false">H971/H972*1000</f>
        <v>136.001077136939</v>
      </c>
      <c r="I973" s="28" t="n">
        <f aca="false">I971/I972*1000</f>
        <v>142.469589558419</v>
      </c>
      <c r="J973" s="28" t="n">
        <f aca="false">J971/J972*1000</f>
        <v>143.082336897024</v>
      </c>
    </row>
    <row r="974" customFormat="false" ht="17.15" hidden="false" customHeight="false" outlineLevel="0" collapsed="false">
      <c r="A974" s="0" t="s">
        <v>514</v>
      </c>
      <c r="B974" s="0" t="s">
        <v>90</v>
      </c>
      <c r="D974" s="22" t="n">
        <f aca="false">D973/C973-1</f>
        <v>1.05123783910799</v>
      </c>
      <c r="E974" s="22" t="n">
        <f aca="false">E973/D973-1</f>
        <v>0.47458979967078</v>
      </c>
      <c r="F974" s="22" t="n">
        <f aca="false">F973/E973-1</f>
        <v>0.0196730032667238</v>
      </c>
      <c r="G974" s="22" t="n">
        <f aca="false">G973/F973-1</f>
        <v>0.20702953736862</v>
      </c>
      <c r="H974" s="26" t="n">
        <f aca="false">H973/G973-1</f>
        <v>0.0908402060552382</v>
      </c>
      <c r="I974" s="26" t="n">
        <f aca="false">I973/H973-1</f>
        <v>0.0475622146357504</v>
      </c>
      <c r="J974" s="26" t="n">
        <f aca="false">J973/I973-1</f>
        <v>0.00430089916384557</v>
      </c>
    </row>
    <row r="975" customFormat="false" ht="17.15" hidden="false" customHeight="false" outlineLevel="0" collapsed="false">
      <c r="A975" s="4" t="s">
        <v>515</v>
      </c>
      <c r="B975" s="0" t="s">
        <v>90</v>
      </c>
      <c r="C975" s="14" t="n">
        <f aca="false">C971/C961</f>
        <v>0.237721462211258</v>
      </c>
      <c r="D975" s="14" t="n">
        <f aca="false">D971/D961</f>
        <v>0.314376072488123</v>
      </c>
      <c r="E975" s="14" t="n">
        <f aca="false">E971/E961</f>
        <v>0.328455314796308</v>
      </c>
      <c r="F975" s="14" t="n">
        <f aca="false">F971/F961</f>
        <v>0.329584469072232</v>
      </c>
      <c r="G975" s="14" t="n">
        <f aca="false">G971/G961</f>
        <v>0.339852100876658</v>
      </c>
      <c r="H975" s="27" t="n">
        <f aca="false">$G975+(fade_mB-$G975)*1/3</f>
        <v>0.328935748483502</v>
      </c>
      <c r="I975" s="27" t="n">
        <f aca="false">$G975+(fade_mB-$G975)*2/3</f>
        <v>0.318019396090346</v>
      </c>
      <c r="J975" s="27" t="n">
        <f aca="false">$G975+(fade_mB-$G975)*3/3</f>
        <v>0.30710304369719</v>
      </c>
    </row>
    <row r="978" customFormat="false" ht="17.15" hidden="false" customHeight="false" outlineLevel="0" collapsed="false">
      <c r="A978" s="1" t="s">
        <v>831</v>
      </c>
    </row>
    <row r="979" customFormat="false" ht="17.15" hidden="false" customHeight="false" outlineLevel="0" collapsed="false">
      <c r="A979" s="5" t="s">
        <v>21</v>
      </c>
      <c r="B979" s="5" t="s">
        <v>22</v>
      </c>
      <c r="C979" s="15" t="s">
        <v>387</v>
      </c>
      <c r="D979" s="15" t="s">
        <v>468</v>
      </c>
      <c r="E979" s="15" t="s">
        <v>469</v>
      </c>
      <c r="F979" s="15" t="s">
        <v>470</v>
      </c>
      <c r="G979" s="15" t="s">
        <v>471</v>
      </c>
      <c r="H979" s="15" t="s">
        <v>472</v>
      </c>
      <c r="I979" s="15" t="s">
        <v>473</v>
      </c>
      <c r="J979" s="15" t="s">
        <v>474</v>
      </c>
      <c r="K979" s="5" t="s">
        <v>336</v>
      </c>
    </row>
    <row r="980" customFormat="false" ht="17.15" hidden="false" customHeight="false" outlineLevel="0" collapsed="false">
      <c r="A980" s="6" t="s">
        <v>492</v>
      </c>
    </row>
    <row r="981" customFormat="false" ht="17.15" hidden="false" customHeight="false" outlineLevel="0" collapsed="false">
      <c r="A981" s="0" t="s">
        <v>493</v>
      </c>
      <c r="B981" s="4" t="s">
        <v>32</v>
      </c>
      <c r="D981" s="20" t="n">
        <f aca="false">units_26</f>
        <v>15.2</v>
      </c>
      <c r="E981" s="20" t="n">
        <f aca="false">units_27*1</f>
        <v>23.7</v>
      </c>
      <c r="F981" s="20" t="n">
        <f aca="false">units_28*um28_C*1</f>
        <v>15.9</v>
      </c>
      <c r="G981" s="20" t="n">
        <f aca="false">units_29*um29_C*1</f>
        <v>18.09</v>
      </c>
    </row>
    <row r="982" customFormat="false" ht="17.15" hidden="false" customHeight="false" outlineLevel="0" collapsed="false">
      <c r="A982" s="4" t="s">
        <v>494</v>
      </c>
      <c r="B982" s="0" t="s">
        <v>45</v>
      </c>
      <c r="D982" s="18" t="n">
        <f aca="false">ex_nv*nvtt_26+astt_26</f>
        <v>0.607994</v>
      </c>
      <c r="E982" s="18" t="n">
        <f aca="false">ex_nv*nvtt_27+astt_27</f>
        <v>0.6560764</v>
      </c>
      <c r="F982" s="18" t="n">
        <f aca="false">ex_nv*nvtt_28+astt_28</f>
        <v>0.6898114</v>
      </c>
      <c r="G982" s="18" t="n">
        <f aca="false">ex_nv*nvtt_29+astt_29</f>
        <v>0.692935</v>
      </c>
      <c r="K982" s="8" t="s">
        <v>495</v>
      </c>
    </row>
    <row r="983" customFormat="false" ht="17.15" hidden="false" customHeight="false" outlineLevel="0" collapsed="false">
      <c r="A983" s="4" t="s">
        <v>447</v>
      </c>
      <c r="B983" s="0" t="s">
        <v>45</v>
      </c>
      <c r="D983" s="18" t="n">
        <f aca="false">D981*D982/($D981*$D982)</f>
        <v>1</v>
      </c>
      <c r="E983" s="18" t="n">
        <f aca="false">E981*E982/($D981*$D982)</f>
        <v>1.68251862509724</v>
      </c>
      <c r="F983" s="18" t="n">
        <f aca="false">F981*F982/($D981*$D982)</f>
        <v>1.18681932759724</v>
      </c>
      <c r="G983" s="18" t="n">
        <f aca="false">G981*G982/($D981*$D982)</f>
        <v>1.35640125668657</v>
      </c>
    </row>
    <row r="984" customFormat="false" ht="17.15" hidden="false" customHeight="false" outlineLevel="0" collapsed="false">
      <c r="A984" s="4" t="s">
        <v>496</v>
      </c>
      <c r="B984" s="0" t="s">
        <v>45</v>
      </c>
      <c r="D984" s="20" t="n">
        <f aca="false">1</f>
        <v>1</v>
      </c>
      <c r="E984" s="20" t="n">
        <f aca="false">rel27_C</f>
        <v>0.92</v>
      </c>
      <c r="F984" s="20" t="n">
        <f aca="false">rel28_C</f>
        <v>0.88</v>
      </c>
      <c r="G984" s="20" t="n">
        <f aca="false">rel29_C</f>
        <v>0.85</v>
      </c>
    </row>
    <row r="985" customFormat="false" ht="17.15" hidden="false" customHeight="false" outlineLevel="0" collapsed="false">
      <c r="A985" s="4" t="s">
        <v>497</v>
      </c>
      <c r="B985" s="0" t="s">
        <v>45</v>
      </c>
      <c r="D985" s="18" t="n">
        <f aca="false">1</f>
        <v>1</v>
      </c>
      <c r="E985" s="18" t="n">
        <f aca="false">(1+g_ct)^1</f>
        <v>1.05</v>
      </c>
      <c r="F985" s="18" t="n">
        <f aca="false">(1+g_ct)^2</f>
        <v>1.1025</v>
      </c>
      <c r="G985" s="18" t="n">
        <f aca="false">(1+g_ct)^3</f>
        <v>1.157625</v>
      </c>
    </row>
    <row r="986" customFormat="false" ht="17.15" hidden="false" customHeight="false" outlineLevel="0" collapsed="false">
      <c r="A986" s="6" t="s">
        <v>498</v>
      </c>
    </row>
    <row r="987" customFormat="false" ht="17.15" hidden="false" customHeight="false" outlineLevel="0" collapsed="false">
      <c r="A987" s="0" t="s">
        <v>401</v>
      </c>
      <c r="B987" s="0" t="s">
        <v>189</v>
      </c>
      <c r="C987" s="17" t="n">
        <f aca="false">a25_ai</f>
        <v>5.4297243</v>
      </c>
      <c r="D987" s="17" t="n">
        <f aca="false">a26_ai</f>
        <v>9.5342409</v>
      </c>
      <c r="E987" s="17" t="n">
        <f aca="false">$D987*E983*E984*E985</f>
        <v>15.4961256021398</v>
      </c>
      <c r="F987" s="17" t="n">
        <f aca="false">$D987*F983*F984*F985</f>
        <v>10.9782218171403</v>
      </c>
      <c r="G987" s="17" t="n">
        <f aca="false">$D987*G983*G984*G985</f>
        <v>12.7250977570932</v>
      </c>
      <c r="K987" s="8" t="s">
        <v>499</v>
      </c>
    </row>
    <row r="988" customFormat="false" ht="17.15" hidden="false" customHeight="false" outlineLevel="0" collapsed="false">
      <c r="A988" s="4" t="s">
        <v>404</v>
      </c>
      <c r="B988" s="0" t="s">
        <v>189</v>
      </c>
      <c r="C988" s="17" t="n">
        <f aca="false">a25_npc</f>
        <v>4.4425017</v>
      </c>
      <c r="D988" s="17" t="n">
        <f aca="false">a26_npc</f>
        <v>6.3561606</v>
      </c>
      <c r="E988" s="17" t="n">
        <f aca="false">D988*(1+g_nonai_lo+d_npc)</f>
        <v>6.546845418</v>
      </c>
      <c r="F988" s="17" t="n">
        <f aca="false">E988*(1+g_nonai_lo+d_npc)</f>
        <v>6.74325078054</v>
      </c>
      <c r="G988" s="17" t="n">
        <f aca="false">F988*(1+g_nonai_lo+d_npc)</f>
        <v>6.9455483039562</v>
      </c>
      <c r="K988" s="4" t="s">
        <v>500</v>
      </c>
    </row>
    <row r="989" customFormat="false" ht="15" hidden="false" customHeight="false" outlineLevel="0" collapsed="false">
      <c r="A989" s="4" t="s">
        <v>398</v>
      </c>
      <c r="B989" s="0" t="s">
        <v>189</v>
      </c>
      <c r="C989" s="17" t="n">
        <f aca="false">C987+C988</f>
        <v>9.872226</v>
      </c>
      <c r="D989" s="17" t="n">
        <f aca="false">D987+D988</f>
        <v>15.8904015</v>
      </c>
      <c r="E989" s="17" t="n">
        <f aca="false">E987+E988</f>
        <v>22.0429710201398</v>
      </c>
      <c r="F989" s="17" t="n">
        <f aca="false">F987+F988</f>
        <v>17.7214725976803</v>
      </c>
      <c r="G989" s="17" t="n">
        <f aca="false">G987+G988</f>
        <v>19.6706460610494</v>
      </c>
    </row>
    <row r="990" customFormat="false" ht="17.15" hidden="false" customHeight="false" outlineLevel="0" collapsed="false">
      <c r="A990" s="0" t="s">
        <v>501</v>
      </c>
      <c r="B990" s="0" t="s">
        <v>189</v>
      </c>
      <c r="D990" s="17" t="n">
        <f aca="false">k_cpo*cpo_A_26/cpo_A_27</f>
        <v>0.24</v>
      </c>
      <c r="E990" s="17" t="n">
        <f aca="false">k_cpo*cpo_C_27/cpo_A_27</f>
        <v>0.48</v>
      </c>
      <c r="F990" s="17" t="n">
        <f aca="false">k_cpo*cpo_C_28/cpo_A_27</f>
        <v>0.72</v>
      </c>
      <c r="G990" s="17" t="n">
        <f aca="false">k_cpo*cpo_C_29/cpo_A_27</f>
        <v>1.2</v>
      </c>
      <c r="K990" s="8" t="s">
        <v>502</v>
      </c>
    </row>
    <row r="991" customFormat="false" ht="17.15" hidden="false" customHeight="false" outlineLevel="0" collapsed="false">
      <c r="A991" s="4" t="s">
        <v>503</v>
      </c>
      <c r="B991" s="0" t="s">
        <v>189</v>
      </c>
      <c r="C991" s="17" t="n">
        <f aca="false">a25_eq</f>
        <v>3.290742</v>
      </c>
      <c r="D991" s="17" t="n">
        <f aca="false">a26_eq-D990</f>
        <v>4.8539955</v>
      </c>
      <c r="E991" s="17" t="n">
        <f aca="false">D991*semi_27</f>
        <v>5.659593717153</v>
      </c>
      <c r="F991" s="17" t="n">
        <f aca="false">$E991*eqk28_C</f>
        <v>4.5276749737224</v>
      </c>
      <c r="G991" s="17" t="n">
        <f aca="false">$E991*eqk29_C</f>
        <v>5.659593717153</v>
      </c>
      <c r="K991" s="8" t="s">
        <v>504</v>
      </c>
    </row>
    <row r="992" customFormat="false" ht="15" hidden="false" customHeight="false" outlineLevel="0" collapsed="false">
      <c r="A992" s="4" t="s">
        <v>405</v>
      </c>
      <c r="B992" s="0" t="s">
        <v>189</v>
      </c>
      <c r="C992" s="17" t="n">
        <f aca="false">a25_eq</f>
        <v>3.290742</v>
      </c>
      <c r="D992" s="17" t="n">
        <f aca="false">D990+D991</f>
        <v>5.0939955</v>
      </c>
      <c r="E992" s="17" t="n">
        <f aca="false">E990+E991</f>
        <v>6.139593717153</v>
      </c>
      <c r="F992" s="17" t="n">
        <f aca="false">F990+F991</f>
        <v>5.2476749737224</v>
      </c>
      <c r="G992" s="17" t="n">
        <f aca="false">G990+G991</f>
        <v>6.859593717153</v>
      </c>
    </row>
    <row r="993" customFormat="false" ht="15" hidden="false" customHeight="false" outlineLevel="0" collapsed="false">
      <c r="A993" s="4" t="s">
        <v>407</v>
      </c>
      <c r="B993" s="0" t="s">
        <v>189</v>
      </c>
      <c r="C993" s="17" t="n">
        <f aca="false">a25_oth</f>
        <v>0.214032000000001</v>
      </c>
      <c r="D993" s="17" t="n">
        <f aca="false">a26_oth</f>
        <v>0.428253</v>
      </c>
      <c r="E993" s="17" t="n">
        <f aca="false">D993*(1+g_oth)</f>
        <v>0.44966565</v>
      </c>
      <c r="F993" s="17" t="n">
        <f aca="false">E993*(1+g_oth)</f>
        <v>0.4721489325</v>
      </c>
      <c r="G993" s="17" t="n">
        <f aca="false">F993*(1+g_oth)</f>
        <v>0.495756379125</v>
      </c>
    </row>
    <row r="994" customFormat="false" ht="17.15" hidden="false" customHeight="false" outlineLevel="0" collapsed="false">
      <c r="A994" s="4" t="s">
        <v>394</v>
      </c>
      <c r="B994" s="0" t="s">
        <v>189</v>
      </c>
      <c r="C994" s="17" t="n">
        <f aca="false">C989+C992+C993</f>
        <v>13.377</v>
      </c>
      <c r="D994" s="17" t="n">
        <f aca="false">D989+D992+D993</f>
        <v>21.41265</v>
      </c>
      <c r="E994" s="17" t="n">
        <f aca="false">E989+E992+E993</f>
        <v>28.6322303872928</v>
      </c>
      <c r="F994" s="17" t="n">
        <f aca="false">F989+F992+F993</f>
        <v>23.4412965039027</v>
      </c>
      <c r="G994" s="17" t="n">
        <f aca="false">G989+G992+G993</f>
        <v>27.0259961573274</v>
      </c>
      <c r="H994" s="30" t="n">
        <f aca="false">G994*(1+H995)</f>
        <v>29.9614231841222</v>
      </c>
      <c r="I994" s="30" t="n">
        <f aca="false">H994*(1+I995)</f>
        <v>31.8881665486681</v>
      </c>
      <c r="J994" s="30" t="n">
        <f aca="false">I994*(1+J995)</f>
        <v>32.5259298796415</v>
      </c>
      <c r="K994" s="8" t="s">
        <v>505</v>
      </c>
    </row>
    <row r="995" customFormat="false" ht="15" hidden="false" customHeight="false" outlineLevel="0" collapsed="false">
      <c r="A995" s="4" t="s">
        <v>506</v>
      </c>
      <c r="B995" s="0" t="s">
        <v>90</v>
      </c>
      <c r="D995" s="22" t="n">
        <f aca="false">D994/C994-1</f>
        <v>0.600706436420722</v>
      </c>
      <c r="E995" s="22" t="n">
        <f aca="false">E994/D994-1</f>
        <v>0.337164264455486</v>
      </c>
      <c r="F995" s="22" t="n">
        <f aca="false">F994/E994-1</f>
        <v>-0.181296874647035</v>
      </c>
      <c r="G995" s="22" t="n">
        <f aca="false">G994/F994-1</f>
        <v>0.152922414202979</v>
      </c>
      <c r="H995" s="26" t="n">
        <f aca="false">$G995+(fade_gC-$G995)*1/3</f>
        <v>0.108614942801986</v>
      </c>
      <c r="I995" s="26" t="n">
        <f aca="false">$G995+(fade_gC-$G995)*2/3</f>
        <v>0.064307471400993</v>
      </c>
      <c r="J995" s="26" t="n">
        <f aca="false">$G995+(fade_gC-$G995)*3/3</f>
        <v>0.02</v>
      </c>
    </row>
    <row r="996" customFormat="false" ht="17.15" hidden="false" customHeight="false" outlineLevel="0" collapsed="false">
      <c r="A996" s="0" t="s">
        <v>507</v>
      </c>
      <c r="B996" s="0" t="s">
        <v>90</v>
      </c>
      <c r="C996" s="22" t="n">
        <f aca="false">C987/C994</f>
        <v>0.4059</v>
      </c>
      <c r="D996" s="22" t="n">
        <f aca="false">D987/D994</f>
        <v>0.445262071719287</v>
      </c>
      <c r="E996" s="22" t="n">
        <f aca="false">E987/E994</f>
        <v>0.541212661135092</v>
      </c>
      <c r="F996" s="22" t="n">
        <f aca="false">F987/F994</f>
        <v>0.468328269100327</v>
      </c>
      <c r="G996" s="22" t="n">
        <f aca="false">G987/G994</f>
        <v>0.470846576126782</v>
      </c>
    </row>
    <row r="997" customFormat="false" ht="17.15" hidden="false" customHeight="false" outlineLevel="0" collapsed="false">
      <c r="A997" s="4" t="s">
        <v>508</v>
      </c>
      <c r="B997" s="0" t="s">
        <v>90</v>
      </c>
      <c r="C997" s="22" t="n">
        <f aca="false">C989/C994</f>
        <v>0.738</v>
      </c>
      <c r="D997" s="22" t="n">
        <f aca="false">D989/D994</f>
        <v>0.742103452865479</v>
      </c>
      <c r="E997" s="22" t="n">
        <f aca="false">E989/E994</f>
        <v>0.769865662645779</v>
      </c>
      <c r="F997" s="22" t="n">
        <f aca="false">F989/F994</f>
        <v>0.755993705157472</v>
      </c>
      <c r="G997" s="22" t="n">
        <f aca="false">G989/G994</f>
        <v>0.727841665725842</v>
      </c>
    </row>
    <row r="998" customFormat="false" ht="17.15" hidden="false" customHeight="false" outlineLevel="0" collapsed="false">
      <c r="A998" s="6" t="s">
        <v>509</v>
      </c>
    </row>
    <row r="999" customFormat="false" ht="15" hidden="false" customHeight="false" outlineLevel="0" collapsed="false">
      <c r="A999" s="4" t="s">
        <v>412</v>
      </c>
      <c r="B999" s="0" t="s">
        <v>90</v>
      </c>
      <c r="C999" s="14" t="n">
        <f aca="false">a25_gp/a25_rev</f>
        <v>0.574</v>
      </c>
      <c r="D999" s="14" t="n">
        <f aca="false">a26_gp/a26_rev</f>
        <v>0.593344593032623</v>
      </c>
      <c r="E999" s="14" t="n">
        <f aca="false">gm27_C+gm_adj</f>
        <v>0.58</v>
      </c>
      <c r="F999" s="14" t="n">
        <f aca="false">gmL_C+gm_adj</f>
        <v>0.565</v>
      </c>
      <c r="G999" s="14" t="n">
        <f aca="false">gmL_C+gm_adj</f>
        <v>0.565</v>
      </c>
    </row>
    <row r="1000" customFormat="false" ht="15" hidden="false" customHeight="false" outlineLevel="0" collapsed="false">
      <c r="A1000" s="4" t="s">
        <v>409</v>
      </c>
      <c r="B1000" s="0" t="s">
        <v>189</v>
      </c>
      <c r="C1000" s="17" t="n">
        <f aca="false">C994*C999</f>
        <v>7.678398</v>
      </c>
      <c r="D1000" s="17" t="n">
        <f aca="false">D994*D999</f>
        <v>12.7050801</v>
      </c>
      <c r="E1000" s="17" t="n">
        <f aca="false">E994*E999</f>
        <v>16.6066936246298</v>
      </c>
      <c r="F1000" s="17" t="n">
        <f aca="false">F994*F999</f>
        <v>13.244332524705</v>
      </c>
      <c r="G1000" s="17" t="n">
        <f aca="false">G994*G999</f>
        <v>15.26968782889</v>
      </c>
    </row>
    <row r="1001" customFormat="false" ht="17.15" hidden="false" customHeight="false" outlineLevel="0" collapsed="false">
      <c r="A1001" s="4" t="s">
        <v>510</v>
      </c>
      <c r="B1001" s="0" t="s">
        <v>189</v>
      </c>
      <c r="D1001" s="17" t="n">
        <f aca="false">a26_opx</f>
        <v>5.05564928556</v>
      </c>
      <c r="E1001" s="17" t="n">
        <f aca="false">D1001*(1+phi*E995)</f>
        <v>6.07839984918644</v>
      </c>
      <c r="F1001" s="17" t="n">
        <f aca="false">E1001*(1+phi*F995)</f>
        <v>5.41720291187894</v>
      </c>
      <c r="G1001" s="17" t="n">
        <f aca="false">F1001*(1+phi*G995)</f>
        <v>5.9142499603861</v>
      </c>
      <c r="K1001" s="8" t="s">
        <v>511</v>
      </c>
    </row>
    <row r="1002" customFormat="false" ht="15" hidden="false" customHeight="false" outlineLevel="0" collapsed="false">
      <c r="A1002" s="4" t="s">
        <v>415</v>
      </c>
      <c r="B1002" s="0" t="s">
        <v>189</v>
      </c>
      <c r="D1002" s="17" t="n">
        <f aca="false">D1000-D1001</f>
        <v>7.64943081444</v>
      </c>
      <c r="E1002" s="17" t="n">
        <f aca="false">E1000-E1001</f>
        <v>10.5282937754434</v>
      </c>
      <c r="F1002" s="17" t="n">
        <f aca="false">F1000-F1001</f>
        <v>7.82712961282609</v>
      </c>
      <c r="G1002" s="17" t="n">
        <f aca="false">G1000-G1001</f>
        <v>9.35543786850386</v>
      </c>
    </row>
    <row r="1003" customFormat="false" ht="15" hidden="false" customHeight="false" outlineLevel="0" collapsed="false">
      <c r="A1003" s="4" t="s">
        <v>482</v>
      </c>
      <c r="B1003" s="0" t="s">
        <v>90</v>
      </c>
      <c r="D1003" s="14" t="n">
        <f aca="false">D1002/D994</f>
        <v>0.357238866484999</v>
      </c>
      <c r="E1003" s="14" t="n">
        <f aca="false">E1002/E994</f>
        <v>0.367707776622107</v>
      </c>
      <c r="F1003" s="14" t="n">
        <f aca="false">F1002/F994</f>
        <v>0.333903443076323</v>
      </c>
      <c r="G1003" s="14" t="n">
        <f aca="false">G1002/G994</f>
        <v>0.346164404599288</v>
      </c>
    </row>
    <row r="1004" customFormat="false" ht="15" hidden="false" customHeight="false" outlineLevel="0" collapsed="false">
      <c r="A1004" s="4" t="s">
        <v>418</v>
      </c>
      <c r="B1004" s="0" t="s">
        <v>189</v>
      </c>
      <c r="C1004" s="17" t="n">
        <f aca="false">a25_ni</f>
        <v>3.18</v>
      </c>
      <c r="D1004" s="17" t="n">
        <f aca="false">a26_ni</f>
        <v>6.7316248085628</v>
      </c>
      <c r="E1004" s="17" t="n">
        <f aca="false">E1002*ni_oi</f>
        <v>8.94904970912685</v>
      </c>
      <c r="F1004" s="17" t="n">
        <f aca="false">F1002*ni_oi</f>
        <v>6.65306017090218</v>
      </c>
      <c r="G1004" s="17" t="n">
        <f aca="false">G1002*ni_oi</f>
        <v>7.95212218822828</v>
      </c>
      <c r="H1004" s="30" t="n">
        <f aca="false">H994*H1008</f>
        <v>8.24587292095872</v>
      </c>
      <c r="I1004" s="30" t="n">
        <f aca="false">I994*I1008</f>
        <v>8.16952235697876</v>
      </c>
      <c r="J1004" s="30" t="n">
        <f aca="false">J994*J1008</f>
        <v>7.71415856707719</v>
      </c>
    </row>
    <row r="1005" customFormat="false" ht="15" hidden="false" customHeight="false" outlineLevel="0" collapsed="false">
      <c r="A1005" s="4" t="s">
        <v>512</v>
      </c>
      <c r="B1005" s="4" t="s">
        <v>513</v>
      </c>
      <c r="C1005" s="19" t="n">
        <f aca="false">a25_sh</f>
        <v>94.9537175276202</v>
      </c>
      <c r="D1005" s="19" t="n">
        <f aca="false">a26_sh</f>
        <v>97.9860681630967</v>
      </c>
      <c r="E1005" s="19" t="n">
        <f aca="false">D1005*(1+sh_g)</f>
        <v>97.9860681630967</v>
      </c>
      <c r="F1005" s="19" t="n">
        <f aca="false">E1005*(1+sh_g)</f>
        <v>97.9860681630967</v>
      </c>
      <c r="G1005" s="19" t="n">
        <f aca="false">F1005*(1+sh_g)</f>
        <v>97.9860681630967</v>
      </c>
      <c r="H1005" s="25" t="n">
        <f aca="false">G1005*(1+sh_g)</f>
        <v>97.9860681630967</v>
      </c>
      <c r="I1005" s="25" t="n">
        <f aca="false">H1005*(1+sh_g)</f>
        <v>97.9860681630967</v>
      </c>
      <c r="J1005" s="25" t="n">
        <f aca="false">I1005*(1+sh_g)</f>
        <v>97.9860681630967</v>
      </c>
    </row>
    <row r="1006" customFormat="false" ht="15" hidden="false" customHeight="false" outlineLevel="0" collapsed="false">
      <c r="A1006" s="0" t="s">
        <v>423</v>
      </c>
      <c r="B1006" s="0" t="s">
        <v>256</v>
      </c>
      <c r="C1006" s="20" t="n">
        <f aca="false">a25_eps</f>
        <v>33.49</v>
      </c>
      <c r="D1006" s="20" t="n">
        <f aca="false">a26_eps</f>
        <v>68.6959552317267</v>
      </c>
      <c r="E1006" s="20" t="n">
        <f aca="false">E1004/E1005*1000</f>
        <v>91.3298173596603</v>
      </c>
      <c r="F1006" s="20" t="n">
        <f aca="false">F1004/F1005*1000</f>
        <v>67.8980215822951</v>
      </c>
      <c r="G1006" s="20" t="n">
        <f aca="false">G1004/G1005*1000</f>
        <v>81.1556411773974</v>
      </c>
      <c r="H1006" s="28" t="n">
        <f aca="false">H1004/H1005*1000</f>
        <v>84.1535238176264</v>
      </c>
      <c r="I1006" s="28" t="n">
        <f aca="false">I1004/I1005*1000</f>
        <v>83.3743256580179</v>
      </c>
      <c r="J1006" s="28" t="n">
        <f aca="false">J1004/J1005*1000</f>
        <v>78.7270957156589</v>
      </c>
    </row>
    <row r="1007" customFormat="false" ht="17.15" hidden="false" customHeight="false" outlineLevel="0" collapsed="false">
      <c r="A1007" s="0" t="s">
        <v>514</v>
      </c>
      <c r="B1007" s="0" t="s">
        <v>90</v>
      </c>
      <c r="D1007" s="22" t="n">
        <f aca="false">D1006/C1006-1</f>
        <v>1.05123783910799</v>
      </c>
      <c r="E1007" s="22" t="n">
        <f aca="false">E1006/D1006-1</f>
        <v>0.329478817953467</v>
      </c>
      <c r="F1007" s="22" t="n">
        <f aca="false">F1006/E1006-1</f>
        <v>-0.256562385152813</v>
      </c>
      <c r="G1007" s="22" t="n">
        <f aca="false">G1006/F1006-1</f>
        <v>0.195257818801592</v>
      </c>
      <c r="H1007" s="26" t="n">
        <f aca="false">H1006/G1006-1</f>
        <v>0.0369399168897695</v>
      </c>
      <c r="I1007" s="26" t="n">
        <f aca="false">I1006/H1006-1</f>
        <v>-0.0092592457720152</v>
      </c>
      <c r="J1007" s="26" t="n">
        <f aca="false">J1006/I1006-1</f>
        <v>-0.0557393406864949</v>
      </c>
    </row>
    <row r="1008" customFormat="false" ht="17.15" hidden="false" customHeight="false" outlineLevel="0" collapsed="false">
      <c r="A1008" s="4" t="s">
        <v>515</v>
      </c>
      <c r="B1008" s="0" t="s">
        <v>90</v>
      </c>
      <c r="C1008" s="14" t="n">
        <f aca="false">C1004/C994</f>
        <v>0.237721462211258</v>
      </c>
      <c r="D1008" s="14" t="n">
        <f aca="false">D1004/D994</f>
        <v>0.314376072488123</v>
      </c>
      <c r="E1008" s="14" t="n">
        <f aca="false">E1004/E994</f>
        <v>0.312551610128791</v>
      </c>
      <c r="F1008" s="14" t="n">
        <f aca="false">F1004/F994</f>
        <v>0.283817926614875</v>
      </c>
      <c r="G1008" s="14" t="n">
        <f aca="false">G1004/G994</f>
        <v>0.294239743909394</v>
      </c>
      <c r="H1008" s="27" t="n">
        <f aca="false">$G1008+(fade_mC-$G1008)*1/3</f>
        <v>0.275216329687856</v>
      </c>
      <c r="I1008" s="27" t="n">
        <f aca="false">$G1008+(fade_mC-$G1008)*2/3</f>
        <v>0.256192915466317</v>
      </c>
      <c r="J1008" s="27" t="n">
        <f aca="false">$G1008+(fade_mC-$G1008)*3/3</f>
        <v>0.237169501244778</v>
      </c>
    </row>
    <row r="1011" customFormat="false" ht="17.15" hidden="false" customHeight="false" outlineLevel="0" collapsed="false">
      <c r="A1011" s="1" t="s">
        <v>832</v>
      </c>
    </row>
    <row r="1012" customFormat="false" ht="17.15" hidden="false" customHeight="false" outlineLevel="0" collapsed="false">
      <c r="A1012" s="5" t="s">
        <v>21</v>
      </c>
      <c r="B1012" s="5" t="s">
        <v>22</v>
      </c>
      <c r="C1012" s="15" t="s">
        <v>387</v>
      </c>
      <c r="D1012" s="15" t="s">
        <v>468</v>
      </c>
      <c r="E1012" s="15" t="s">
        <v>469</v>
      </c>
      <c r="F1012" s="15" t="s">
        <v>470</v>
      </c>
      <c r="G1012" s="15" t="s">
        <v>471</v>
      </c>
      <c r="H1012" s="15" t="s">
        <v>472</v>
      </c>
      <c r="I1012" s="15" t="s">
        <v>473</v>
      </c>
      <c r="J1012" s="15" t="s">
        <v>474</v>
      </c>
      <c r="K1012" s="5" t="s">
        <v>336</v>
      </c>
    </row>
    <row r="1013" customFormat="false" ht="17.15" hidden="false" customHeight="false" outlineLevel="0" collapsed="false">
      <c r="A1013" s="6" t="s">
        <v>492</v>
      </c>
    </row>
    <row r="1014" customFormat="false" ht="17.15" hidden="false" customHeight="false" outlineLevel="0" collapsed="false">
      <c r="A1014" s="0" t="s">
        <v>493</v>
      </c>
      <c r="B1014" s="4" t="s">
        <v>32</v>
      </c>
      <c r="D1014" s="20" t="n">
        <f aca="false">units_26</f>
        <v>15.2</v>
      </c>
      <c r="E1014" s="20" t="n">
        <f aca="false">units_27*1</f>
        <v>23.7</v>
      </c>
      <c r="F1014" s="20" t="n">
        <f aca="false">units_28*um28_A*1</f>
        <v>26.5</v>
      </c>
      <c r="G1014" s="20" t="n">
        <f aca="false">units_29*um29_A*1</f>
        <v>30.15</v>
      </c>
    </row>
    <row r="1015" customFormat="false" ht="17.15" hidden="false" customHeight="false" outlineLevel="0" collapsed="false">
      <c r="A1015" s="4" t="s">
        <v>494</v>
      </c>
      <c r="B1015" s="0" t="s">
        <v>45</v>
      </c>
      <c r="D1015" s="18" t="n">
        <f aca="false">ex_nv*nvtt_26+astt_26</f>
        <v>0.607994</v>
      </c>
      <c r="E1015" s="18" t="n">
        <f aca="false">ex_nv*nvtt_27+astt_27</f>
        <v>0.6560764</v>
      </c>
      <c r="F1015" s="18" t="n">
        <f aca="false">ex_nv*nvtt_28+astt_28</f>
        <v>0.6898114</v>
      </c>
      <c r="G1015" s="18" t="n">
        <f aca="false">ex_nv*nvtt_29+astt_29</f>
        <v>0.692935</v>
      </c>
      <c r="K1015" s="8" t="s">
        <v>495</v>
      </c>
    </row>
    <row r="1016" customFormat="false" ht="17.15" hidden="false" customHeight="false" outlineLevel="0" collapsed="false">
      <c r="A1016" s="4" t="s">
        <v>447</v>
      </c>
      <c r="B1016" s="0" t="s">
        <v>45</v>
      </c>
      <c r="D1016" s="18" t="n">
        <f aca="false">D1014*D1015/($D1014*$D1015)</f>
        <v>1</v>
      </c>
      <c r="E1016" s="18" t="n">
        <f aca="false">E1014*E1015/($D1014*$D1015)</f>
        <v>1.68251862509724</v>
      </c>
      <c r="F1016" s="18" t="n">
        <f aca="false">F1014*F1015/($D1014*$D1015)</f>
        <v>1.97803221266207</v>
      </c>
      <c r="G1016" s="18" t="n">
        <f aca="false">G1014*G1015/($D1014*$D1015)</f>
        <v>2.26066876114428</v>
      </c>
    </row>
    <row r="1017" customFormat="false" ht="17.15" hidden="false" customHeight="false" outlineLevel="0" collapsed="false">
      <c r="A1017" s="4" t="s">
        <v>496</v>
      </c>
      <c r="B1017" s="0" t="s">
        <v>45</v>
      </c>
      <c r="D1017" s="20" t="n">
        <f aca="false">1</f>
        <v>1</v>
      </c>
      <c r="E1017" s="20" t="n">
        <f aca="false">rel27_A</f>
        <v>1.05</v>
      </c>
      <c r="F1017" s="20" t="n">
        <f aca="false">rel28_A</f>
        <v>1.08</v>
      </c>
      <c r="G1017" s="20" t="n">
        <f aca="false">rel29_A</f>
        <v>1.1</v>
      </c>
    </row>
    <row r="1018" customFormat="false" ht="17.15" hidden="false" customHeight="false" outlineLevel="0" collapsed="false">
      <c r="A1018" s="4" t="s">
        <v>497</v>
      </c>
      <c r="B1018" s="0" t="s">
        <v>45</v>
      </c>
      <c r="D1018" s="18" t="n">
        <f aca="false">1</f>
        <v>1</v>
      </c>
      <c r="E1018" s="18" t="n">
        <f aca="false">(1+g_ct)^1</f>
        <v>1.05</v>
      </c>
      <c r="F1018" s="18" t="n">
        <f aca="false">(1+g_ct)^2</f>
        <v>1.1025</v>
      </c>
      <c r="G1018" s="18" t="n">
        <f aca="false">(1+g_ct)^3</f>
        <v>1.157625</v>
      </c>
    </row>
    <row r="1019" customFormat="false" ht="17.15" hidden="false" customHeight="false" outlineLevel="0" collapsed="false">
      <c r="A1019" s="6" t="s">
        <v>498</v>
      </c>
    </row>
    <row r="1020" customFormat="false" ht="17.15" hidden="false" customHeight="false" outlineLevel="0" collapsed="false">
      <c r="A1020" s="0" t="s">
        <v>401</v>
      </c>
      <c r="B1020" s="0" t="s">
        <v>189</v>
      </c>
      <c r="C1020" s="17" t="n">
        <f aca="false">a25_ai</f>
        <v>5.4297243</v>
      </c>
      <c r="D1020" s="17" t="n">
        <f aca="false">a26_ai</f>
        <v>9.5342409</v>
      </c>
      <c r="E1020" s="17" t="n">
        <f aca="false">$D1020*E1016*E1017*E1018</f>
        <v>17.6857955241812</v>
      </c>
      <c r="F1020" s="17" t="n">
        <f aca="false">$D1020*F1016*F1017*F1018</f>
        <v>22.4554537168779</v>
      </c>
      <c r="G1020" s="17" t="n">
        <f aca="false">$D1020*G1016*G1017*G1018</f>
        <v>27.4462892800048</v>
      </c>
      <c r="K1020" s="8" t="s">
        <v>499</v>
      </c>
    </row>
    <row r="1021" customFormat="false" ht="17.15" hidden="false" customHeight="false" outlineLevel="0" collapsed="false">
      <c r="A1021" s="4" t="s">
        <v>404</v>
      </c>
      <c r="B1021" s="0" t="s">
        <v>189</v>
      </c>
      <c r="C1021" s="17" t="n">
        <f aca="false">a25_npc</f>
        <v>4.4425017</v>
      </c>
      <c r="D1021" s="17" t="n">
        <f aca="false">a26_npc</f>
        <v>6.3561606</v>
      </c>
      <c r="E1021" s="17" t="n">
        <f aca="false">D1021*(1+g_nonai_hi+d_npc)</f>
        <v>7.055338266</v>
      </c>
      <c r="F1021" s="17" t="n">
        <f aca="false">E1021*(1+g_nonai_hi+d_npc)</f>
        <v>7.83142547526</v>
      </c>
      <c r="G1021" s="17" t="n">
        <f aca="false">F1021*(1+g_nonai_hi+d_npc)</f>
        <v>8.6928822775386</v>
      </c>
      <c r="K1021" s="4" t="s">
        <v>500</v>
      </c>
    </row>
    <row r="1022" customFormat="false" ht="15" hidden="false" customHeight="false" outlineLevel="0" collapsed="false">
      <c r="A1022" s="4" t="s">
        <v>398</v>
      </c>
      <c r="B1022" s="0" t="s">
        <v>189</v>
      </c>
      <c r="C1022" s="17" t="n">
        <f aca="false">C1020+C1021</f>
        <v>9.872226</v>
      </c>
      <c r="D1022" s="17" t="n">
        <f aca="false">D1020+D1021</f>
        <v>15.8904015</v>
      </c>
      <c r="E1022" s="17" t="n">
        <f aca="false">E1020+E1021</f>
        <v>24.7411337901812</v>
      </c>
      <c r="F1022" s="17" t="n">
        <f aca="false">F1020+F1021</f>
        <v>30.2868791921379</v>
      </c>
      <c r="G1022" s="17" t="n">
        <f aca="false">G1020+G1021</f>
        <v>36.1391715575434</v>
      </c>
    </row>
    <row r="1023" customFormat="false" ht="17.15" hidden="false" customHeight="false" outlineLevel="0" collapsed="false">
      <c r="A1023" s="0" t="s">
        <v>501</v>
      </c>
      <c r="B1023" s="0" t="s">
        <v>189</v>
      </c>
      <c r="D1023" s="17" t="n">
        <f aca="false">k_cpo*cpo_A_26/cpo_A_27</f>
        <v>0.24</v>
      </c>
      <c r="E1023" s="17" t="n">
        <f aca="false">k_cpo*cpo_A_27/cpo_A_27</f>
        <v>1.2</v>
      </c>
      <c r="F1023" s="17" t="n">
        <f aca="false">k_cpo*cpo_A_28/cpo_A_27</f>
        <v>2.4</v>
      </c>
      <c r="G1023" s="17" t="n">
        <f aca="false">k_cpo*cpo_A_29/cpo_A_27</f>
        <v>3.84</v>
      </c>
      <c r="K1023" s="8" t="s">
        <v>502</v>
      </c>
    </row>
    <row r="1024" customFormat="false" ht="17.15" hidden="false" customHeight="false" outlineLevel="0" collapsed="false">
      <c r="A1024" s="4" t="s">
        <v>503</v>
      </c>
      <c r="B1024" s="0" t="s">
        <v>189</v>
      </c>
      <c r="C1024" s="17" t="n">
        <f aca="false">a25_eq</f>
        <v>3.290742</v>
      </c>
      <c r="D1024" s="17" t="n">
        <f aca="false">a26_eq-D1023</f>
        <v>4.8539955</v>
      </c>
      <c r="E1024" s="17" t="n">
        <f aca="false">D1024*semi_27</f>
        <v>5.659593717153</v>
      </c>
      <c r="F1024" s="17" t="n">
        <f aca="false">$E1024*eqk28_A</f>
        <v>6.59889384801401</v>
      </c>
      <c r="G1024" s="17" t="n">
        <f aca="false">$E1024*eqk29_A</f>
        <v>7.12680377116889</v>
      </c>
      <c r="K1024" s="8" t="s">
        <v>504</v>
      </c>
    </row>
    <row r="1025" customFormat="false" ht="15" hidden="false" customHeight="false" outlineLevel="0" collapsed="false">
      <c r="A1025" s="4" t="s">
        <v>405</v>
      </c>
      <c r="B1025" s="0" t="s">
        <v>189</v>
      </c>
      <c r="C1025" s="17" t="n">
        <f aca="false">a25_eq</f>
        <v>3.290742</v>
      </c>
      <c r="D1025" s="17" t="n">
        <f aca="false">D1023+D1024</f>
        <v>5.0939955</v>
      </c>
      <c r="E1025" s="17" t="n">
        <f aca="false">E1023+E1024</f>
        <v>6.859593717153</v>
      </c>
      <c r="F1025" s="17" t="n">
        <f aca="false">F1023+F1024</f>
        <v>8.99889384801401</v>
      </c>
      <c r="G1025" s="17" t="n">
        <f aca="false">G1023+G1024</f>
        <v>10.9668037711689</v>
      </c>
    </row>
    <row r="1026" customFormat="false" ht="15" hidden="false" customHeight="false" outlineLevel="0" collapsed="false">
      <c r="A1026" s="4" t="s">
        <v>407</v>
      </c>
      <c r="B1026" s="0" t="s">
        <v>189</v>
      </c>
      <c r="C1026" s="17" t="n">
        <f aca="false">a25_oth</f>
        <v>0.214032000000001</v>
      </c>
      <c r="D1026" s="17" t="n">
        <f aca="false">a26_oth</f>
        <v>0.428253</v>
      </c>
      <c r="E1026" s="17" t="n">
        <f aca="false">D1026*(1+g_oth)</f>
        <v>0.44966565</v>
      </c>
      <c r="F1026" s="17" t="n">
        <f aca="false">E1026*(1+g_oth)</f>
        <v>0.4721489325</v>
      </c>
      <c r="G1026" s="17" t="n">
        <f aca="false">F1026*(1+g_oth)</f>
        <v>0.495756379125</v>
      </c>
    </row>
    <row r="1027" customFormat="false" ht="17.15" hidden="false" customHeight="false" outlineLevel="0" collapsed="false">
      <c r="A1027" s="4" t="s">
        <v>394</v>
      </c>
      <c r="B1027" s="0" t="s">
        <v>189</v>
      </c>
      <c r="C1027" s="17" t="n">
        <f aca="false">C1022+C1025+C1026</f>
        <v>13.377</v>
      </c>
      <c r="D1027" s="17" t="n">
        <f aca="false">D1022+D1025+D1026</f>
        <v>21.41265</v>
      </c>
      <c r="E1027" s="17" t="n">
        <f aca="false">E1022+E1025+E1026</f>
        <v>32.0503931573342</v>
      </c>
      <c r="F1027" s="17" t="n">
        <f aca="false">F1022+F1025+F1026</f>
        <v>39.7579219726519</v>
      </c>
      <c r="G1027" s="17" t="n">
        <f aca="false">G1022+G1025+G1026</f>
        <v>47.6017317078373</v>
      </c>
      <c r="H1027" s="30" t="n">
        <f aca="false">G1027*(1+H1028)</f>
        <v>54.8146389439115</v>
      </c>
      <c r="I1027" s="30" t="n">
        <f aca="false">H1027*(1+I1028)</f>
        <v>60.6120037695136</v>
      </c>
      <c r="J1027" s="30" t="n">
        <f aca="false">I1027*(1+J1028)</f>
        <v>64.2487239956844</v>
      </c>
      <c r="K1027" s="8" t="s">
        <v>505</v>
      </c>
    </row>
    <row r="1028" customFormat="false" ht="15" hidden="false" customHeight="false" outlineLevel="0" collapsed="false">
      <c r="A1028" s="4" t="s">
        <v>506</v>
      </c>
      <c r="B1028" s="0" t="s">
        <v>90</v>
      </c>
      <c r="D1028" s="22" t="n">
        <f aca="false">D1027/C1027-1</f>
        <v>0.600706436420722</v>
      </c>
      <c r="E1028" s="22" t="n">
        <f aca="false">E1027/D1027-1</f>
        <v>0.496797134279701</v>
      </c>
      <c r="F1028" s="22" t="n">
        <f aca="false">F1027/E1027-1</f>
        <v>0.240481568431366</v>
      </c>
      <c r="G1028" s="22" t="n">
        <f aca="false">G1027/F1027-1</f>
        <v>0.19728922805827</v>
      </c>
      <c r="H1028" s="26" t="n">
        <f aca="false">$G1028+(fade_gA-$G1028)*1/3</f>
        <v>0.151526152038847</v>
      </c>
      <c r="I1028" s="26" t="n">
        <f aca="false">$G1028+(fade_gA-$G1028)*2/3</f>
        <v>0.105763076019423</v>
      </c>
      <c r="J1028" s="26" t="n">
        <f aca="false">$G1028+(fade_gA-$G1028)*3/3</f>
        <v>0.06</v>
      </c>
    </row>
    <row r="1029" customFormat="false" ht="17.15" hidden="false" customHeight="false" outlineLevel="0" collapsed="false">
      <c r="A1029" s="0" t="s">
        <v>507</v>
      </c>
      <c r="B1029" s="0" t="s">
        <v>90</v>
      </c>
      <c r="C1029" s="22" t="n">
        <f aca="false">C1020/C1027</f>
        <v>0.4059</v>
      </c>
      <c r="D1029" s="22" t="n">
        <f aca="false">D1020/D1027</f>
        <v>0.445262071719287</v>
      </c>
      <c r="E1029" s="22" t="n">
        <f aca="false">E1020/E1027</f>
        <v>0.551812124031125</v>
      </c>
      <c r="F1029" s="22" t="n">
        <f aca="false">F1020/F1027</f>
        <v>0.564804511974349</v>
      </c>
      <c r="G1029" s="22" t="n">
        <f aca="false">G1020/G1027</f>
        <v>0.576581739682508</v>
      </c>
    </row>
    <row r="1030" customFormat="false" ht="17.15" hidden="false" customHeight="false" outlineLevel="0" collapsed="false">
      <c r="A1030" s="4" t="s">
        <v>508</v>
      </c>
      <c r="B1030" s="0" t="s">
        <v>90</v>
      </c>
      <c r="C1030" s="22" t="n">
        <f aca="false">C1022/C1027</f>
        <v>0.738</v>
      </c>
      <c r="D1030" s="22" t="n">
        <f aca="false">D1022/D1027</f>
        <v>0.742103452865479</v>
      </c>
      <c r="E1030" s="22" t="n">
        <f aca="false">E1022/E1027</f>
        <v>0.771944782977479</v>
      </c>
      <c r="F1030" s="22" t="n">
        <f aca="false">F1022/F1027</f>
        <v>0.761782248402499</v>
      </c>
      <c r="G1030" s="22" t="n">
        <f aca="false">G1022/G1027</f>
        <v>0.759198673261573</v>
      </c>
    </row>
    <row r="1031" customFormat="false" ht="17.15" hidden="false" customHeight="false" outlineLevel="0" collapsed="false">
      <c r="A1031" s="6" t="s">
        <v>509</v>
      </c>
    </row>
    <row r="1032" customFormat="false" ht="15" hidden="false" customHeight="false" outlineLevel="0" collapsed="false">
      <c r="A1032" s="4" t="s">
        <v>412</v>
      </c>
      <c r="B1032" s="0" t="s">
        <v>90</v>
      </c>
      <c r="C1032" s="14" t="n">
        <f aca="false">a25_gp/a25_rev</f>
        <v>0.574</v>
      </c>
      <c r="D1032" s="14" t="n">
        <f aca="false">a26_gp/a26_rev</f>
        <v>0.593344593032623</v>
      </c>
      <c r="E1032" s="14" t="n">
        <f aca="false">gm27_A+gm_adj</f>
        <v>0.6</v>
      </c>
      <c r="F1032" s="14" t="n">
        <f aca="false">gmL_A+gm_adj</f>
        <v>0.61</v>
      </c>
      <c r="G1032" s="14" t="n">
        <f aca="false">gmL_A+gm_adj</f>
        <v>0.61</v>
      </c>
    </row>
    <row r="1033" customFormat="false" ht="15" hidden="false" customHeight="false" outlineLevel="0" collapsed="false">
      <c r="A1033" s="4" t="s">
        <v>409</v>
      </c>
      <c r="B1033" s="0" t="s">
        <v>189</v>
      </c>
      <c r="C1033" s="17" t="n">
        <f aca="false">C1027*C1032</f>
        <v>7.678398</v>
      </c>
      <c r="D1033" s="17" t="n">
        <f aca="false">D1027*D1032</f>
        <v>12.7050801</v>
      </c>
      <c r="E1033" s="17" t="n">
        <f aca="false">E1027*E1032</f>
        <v>19.2302358944005</v>
      </c>
      <c r="F1033" s="17" t="n">
        <f aca="false">F1027*F1032</f>
        <v>24.2523324033177</v>
      </c>
      <c r="G1033" s="17" t="n">
        <f aca="false">G1027*G1032</f>
        <v>29.0370563417808</v>
      </c>
    </row>
    <row r="1034" customFormat="false" ht="17.15" hidden="false" customHeight="false" outlineLevel="0" collapsed="false">
      <c r="A1034" s="4" t="s">
        <v>510</v>
      </c>
      <c r="B1034" s="0" t="s">
        <v>189</v>
      </c>
      <c r="D1034" s="17" t="n">
        <f aca="false">a26_opx</f>
        <v>5.05564928556</v>
      </c>
      <c r="E1034" s="17" t="n">
        <f aca="false">D1034*(1+phi*E1028)</f>
        <v>6.56262853175366</v>
      </c>
      <c r="F1034" s="17" t="n">
        <f aca="false">E1034*(1+phi*F1028)</f>
        <v>7.50954325316279</v>
      </c>
      <c r="G1034" s="17" t="n">
        <f aca="false">F1034*(1+phi*G1028)</f>
        <v>8.39847444805479</v>
      </c>
      <c r="K1034" s="8" t="s">
        <v>511</v>
      </c>
    </row>
    <row r="1035" customFormat="false" ht="15" hidden="false" customHeight="false" outlineLevel="0" collapsed="false">
      <c r="A1035" s="4" t="s">
        <v>415</v>
      </c>
      <c r="B1035" s="0" t="s">
        <v>189</v>
      </c>
      <c r="D1035" s="17" t="n">
        <f aca="false">D1033-D1034</f>
        <v>7.64943081444</v>
      </c>
      <c r="E1035" s="17" t="n">
        <f aca="false">E1033-E1034</f>
        <v>12.6676073626469</v>
      </c>
      <c r="F1035" s="17" t="n">
        <f aca="false">F1033-F1034</f>
        <v>16.7427891501549</v>
      </c>
      <c r="G1035" s="17" t="n">
        <f aca="false">G1033-G1034</f>
        <v>20.638581893726</v>
      </c>
    </row>
    <row r="1036" customFormat="false" ht="15" hidden="false" customHeight="false" outlineLevel="0" collapsed="false">
      <c r="A1036" s="4" t="s">
        <v>482</v>
      </c>
      <c r="B1036" s="0" t="s">
        <v>90</v>
      </c>
      <c r="D1036" s="14" t="n">
        <f aca="false">D1035/D1027</f>
        <v>0.357238866484999</v>
      </c>
      <c r="E1036" s="14" t="n">
        <f aca="false">E1035/E1027</f>
        <v>0.395240311108262</v>
      </c>
      <c r="F1036" s="14" t="n">
        <f aca="false">F1035/F1027</f>
        <v>0.421118316034517</v>
      </c>
      <c r="G1036" s="14" t="n">
        <f aca="false">G1035/G1027</f>
        <v>0.433567879849379</v>
      </c>
    </row>
    <row r="1037" customFormat="false" ht="15" hidden="false" customHeight="false" outlineLevel="0" collapsed="false">
      <c r="A1037" s="4" t="s">
        <v>418</v>
      </c>
      <c r="B1037" s="0" t="s">
        <v>189</v>
      </c>
      <c r="C1037" s="17" t="n">
        <f aca="false">a25_ni</f>
        <v>3.18</v>
      </c>
      <c r="D1037" s="17" t="n">
        <f aca="false">a26_ni</f>
        <v>6.7316248085628</v>
      </c>
      <c r="E1037" s="17" t="n">
        <f aca="false">E1035*ni_oi</f>
        <v>10.7674662582499</v>
      </c>
      <c r="F1037" s="17" t="n">
        <f aca="false">F1035*ni_oi</f>
        <v>14.2313707776316</v>
      </c>
      <c r="G1037" s="17" t="n">
        <f aca="false">G1035*ni_oi</f>
        <v>17.5427946096671</v>
      </c>
      <c r="H1037" s="30" t="n">
        <f aca="false">H1027*H1041</f>
        <v>20.1832671890266</v>
      </c>
      <c r="I1037" s="30" t="n">
        <f aca="false">I1027*I1041</f>
        <v>22.2983179495149</v>
      </c>
      <c r="J1037" s="30" t="n">
        <f aca="false">J1027*J1041</f>
        <v>23.6154477452481</v>
      </c>
    </row>
    <row r="1038" customFormat="false" ht="15" hidden="false" customHeight="false" outlineLevel="0" collapsed="false">
      <c r="A1038" s="4" t="s">
        <v>512</v>
      </c>
      <c r="B1038" s="4" t="s">
        <v>513</v>
      </c>
      <c r="C1038" s="19" t="n">
        <f aca="false">a25_sh</f>
        <v>94.9537175276202</v>
      </c>
      <c r="D1038" s="19" t="n">
        <f aca="false">a26_sh</f>
        <v>97.9860681630967</v>
      </c>
      <c r="E1038" s="19" t="n">
        <f aca="false">D1038*(1+sh_g)</f>
        <v>97.9860681630967</v>
      </c>
      <c r="F1038" s="19" t="n">
        <f aca="false">E1038*(1+sh_g)</f>
        <v>97.9860681630967</v>
      </c>
      <c r="G1038" s="19" t="n">
        <f aca="false">F1038*(1+sh_g)</f>
        <v>97.9860681630967</v>
      </c>
      <c r="H1038" s="25" t="n">
        <f aca="false">G1038*(1+sh_g)</f>
        <v>97.9860681630967</v>
      </c>
      <c r="I1038" s="25" t="n">
        <f aca="false">H1038*(1+sh_g)</f>
        <v>97.9860681630967</v>
      </c>
      <c r="J1038" s="25" t="n">
        <f aca="false">I1038*(1+sh_g)</f>
        <v>97.9860681630967</v>
      </c>
    </row>
    <row r="1039" customFormat="false" ht="15" hidden="false" customHeight="false" outlineLevel="0" collapsed="false">
      <c r="A1039" s="0" t="s">
        <v>423</v>
      </c>
      <c r="B1039" s="0" t="s">
        <v>256</v>
      </c>
      <c r="C1039" s="20" t="n">
        <f aca="false">a25_eps</f>
        <v>33.49</v>
      </c>
      <c r="D1039" s="20" t="n">
        <f aca="false">a26_eps</f>
        <v>68.6959552317267</v>
      </c>
      <c r="E1039" s="20" t="n">
        <f aca="false">E1037/E1038*1000</f>
        <v>109.887726491153</v>
      </c>
      <c r="F1039" s="20" t="n">
        <f aca="false">F1037/F1038*1000</f>
        <v>145.238716527983</v>
      </c>
      <c r="G1039" s="20" t="n">
        <f aca="false">G1037/G1038*1000</f>
        <v>179.033559959435</v>
      </c>
      <c r="H1039" s="28" t="n">
        <f aca="false">H1037/H1038*1000</f>
        <v>205.980988597601</v>
      </c>
      <c r="I1039" s="28" t="n">
        <f aca="false">I1037/I1038*1000</f>
        <v>227.566207804151</v>
      </c>
      <c r="J1039" s="28" t="n">
        <f aca="false">J1037/J1038*1000</f>
        <v>241.008218698401</v>
      </c>
    </row>
    <row r="1040" customFormat="false" ht="17.15" hidden="false" customHeight="false" outlineLevel="0" collapsed="false">
      <c r="A1040" s="0" t="s">
        <v>514</v>
      </c>
      <c r="B1040" s="0" t="s">
        <v>90</v>
      </c>
      <c r="D1040" s="22" t="n">
        <f aca="false">D1039/C1039-1</f>
        <v>1.05123783910799</v>
      </c>
      <c r="E1040" s="22" t="n">
        <f aca="false">E1039/D1039-1</f>
        <v>0.599624404675318</v>
      </c>
      <c r="F1040" s="22" t="n">
        <f aca="false">F1039/E1039-1</f>
        <v>0.321700986685499</v>
      </c>
      <c r="G1040" s="22" t="n">
        <f aca="false">G1039/F1039-1</f>
        <v>0.232684811869298</v>
      </c>
      <c r="H1040" s="26" t="n">
        <f aca="false">H1039/G1039-1</f>
        <v>0.150516074440298</v>
      </c>
      <c r="I1040" s="26" t="n">
        <f aca="false">I1039/H1039-1</f>
        <v>0.104792288616099</v>
      </c>
      <c r="J1040" s="26" t="n">
        <f aca="false">J1039/I1039-1</f>
        <v>0.0590685718409449</v>
      </c>
    </row>
    <row r="1041" customFormat="false" ht="17.15" hidden="false" customHeight="false" outlineLevel="0" collapsed="false">
      <c r="A1041" s="4" t="s">
        <v>515</v>
      </c>
      <c r="B1041" s="0" t="s">
        <v>90</v>
      </c>
      <c r="C1041" s="14" t="n">
        <f aca="false">C1037/C1027</f>
        <v>0.237721462211258</v>
      </c>
      <c r="D1041" s="14" t="n">
        <f aca="false">D1037/D1027</f>
        <v>0.314376072488123</v>
      </c>
      <c r="E1041" s="14" t="n">
        <f aca="false">E1037/E1027</f>
        <v>0.335954264442022</v>
      </c>
      <c r="F1041" s="14" t="n">
        <f aca="false">F1037/F1027</f>
        <v>0.357950568629339</v>
      </c>
      <c r="G1041" s="14" t="n">
        <f aca="false">G1037/G1027</f>
        <v>0.368532697871972</v>
      </c>
      <c r="H1041" s="27" t="n">
        <f aca="false">$G1041+(fade_mA-$G1041)*1/3</f>
        <v>0.368209434156429</v>
      </c>
      <c r="I1041" s="27" t="n">
        <f aca="false">$G1041+(fade_mA-$G1041)*2/3</f>
        <v>0.367886170440886</v>
      </c>
      <c r="J1041" s="27" t="n">
        <f aca="false">$G1041+(fade_mA-$G1041)*3/3</f>
        <v>0.367562906725343</v>
      </c>
    </row>
    <row r="1044" customFormat="false" ht="17.15" hidden="false" customHeight="false" outlineLevel="0" collapsed="false">
      <c r="A1044" s="1" t="s">
        <v>833</v>
      </c>
    </row>
    <row r="1045" customFormat="false" ht="17.15" hidden="false" customHeight="false" outlineLevel="0" collapsed="false">
      <c r="A1045" s="5" t="s">
        <v>21</v>
      </c>
      <c r="B1045" s="5" t="s">
        <v>22</v>
      </c>
      <c r="C1045" s="15" t="s">
        <v>387</v>
      </c>
      <c r="D1045" s="15" t="s">
        <v>468</v>
      </c>
      <c r="E1045" s="15" t="s">
        <v>469</v>
      </c>
      <c r="F1045" s="15" t="s">
        <v>470</v>
      </c>
      <c r="G1045" s="15" t="s">
        <v>471</v>
      </c>
      <c r="H1045" s="15" t="s">
        <v>472</v>
      </c>
      <c r="I1045" s="15" t="s">
        <v>473</v>
      </c>
      <c r="J1045" s="15" t="s">
        <v>474</v>
      </c>
      <c r="K1045" s="5" t="s">
        <v>336</v>
      </c>
    </row>
    <row r="1046" customFormat="false" ht="17.15" hidden="false" customHeight="false" outlineLevel="0" collapsed="false">
      <c r="A1046" s="6" t="s">
        <v>492</v>
      </c>
    </row>
    <row r="1047" customFormat="false" ht="17.15" hidden="false" customHeight="false" outlineLevel="0" collapsed="false">
      <c r="A1047" s="0" t="s">
        <v>493</v>
      </c>
      <c r="B1047" s="4" t="s">
        <v>32</v>
      </c>
      <c r="D1047" s="20" t="n">
        <f aca="false">units_26</f>
        <v>15.2</v>
      </c>
      <c r="E1047" s="20" t="n">
        <f aca="false">units_27*1</f>
        <v>23.7</v>
      </c>
      <c r="F1047" s="20" t="n">
        <f aca="false">units_28*um28_B*1</f>
        <v>21.2</v>
      </c>
      <c r="G1047" s="20" t="n">
        <f aca="false">units_29*um29_B*1</f>
        <v>25.6275</v>
      </c>
    </row>
    <row r="1048" customFormat="false" ht="17.15" hidden="false" customHeight="false" outlineLevel="0" collapsed="false">
      <c r="A1048" s="4" t="s">
        <v>494</v>
      </c>
      <c r="B1048" s="0" t="s">
        <v>45</v>
      </c>
      <c r="D1048" s="18" t="n">
        <f aca="false">ex_nv*nvtt_26+astt_26</f>
        <v>0.607994</v>
      </c>
      <c r="E1048" s="18" t="n">
        <f aca="false">ex_nv*nvtt_27+astt_27</f>
        <v>0.6560764</v>
      </c>
      <c r="F1048" s="18" t="n">
        <f aca="false">ex_nv*nvtt_28+astt_28</f>
        <v>0.6898114</v>
      </c>
      <c r="G1048" s="18" t="n">
        <f aca="false">ex_nv*nvtt_29+astt_29</f>
        <v>0.692935</v>
      </c>
      <c r="K1048" s="8" t="s">
        <v>495</v>
      </c>
    </row>
    <row r="1049" customFormat="false" ht="17.15" hidden="false" customHeight="false" outlineLevel="0" collapsed="false">
      <c r="A1049" s="4" t="s">
        <v>447</v>
      </c>
      <c r="B1049" s="0" t="s">
        <v>45</v>
      </c>
      <c r="D1049" s="18" t="n">
        <f aca="false">D1047*D1048/($D1047*$D1048)</f>
        <v>1</v>
      </c>
      <c r="E1049" s="18" t="n">
        <f aca="false">E1047*E1048/($D1047*$D1048)</f>
        <v>1.68251862509724</v>
      </c>
      <c r="F1049" s="18" t="n">
        <f aca="false">F1047*F1048/($D1047*$D1048)</f>
        <v>1.58242577012966</v>
      </c>
      <c r="G1049" s="18" t="n">
        <f aca="false">G1047*G1048/($D1047*$D1048)</f>
        <v>1.92156844697264</v>
      </c>
    </row>
    <row r="1050" customFormat="false" ht="17.15" hidden="false" customHeight="false" outlineLevel="0" collapsed="false">
      <c r="A1050" s="4" t="s">
        <v>496</v>
      </c>
      <c r="B1050" s="0" t="s">
        <v>45</v>
      </c>
      <c r="D1050" s="20" t="n">
        <f aca="false">1</f>
        <v>1</v>
      </c>
      <c r="E1050" s="20" t="n">
        <f aca="false">rel27_B</f>
        <v>1</v>
      </c>
      <c r="F1050" s="20" t="n">
        <f aca="false">rel28_B</f>
        <v>1</v>
      </c>
      <c r="G1050" s="20" t="n">
        <f aca="false">rel29_B</f>
        <v>1</v>
      </c>
    </row>
    <row r="1051" customFormat="false" ht="17.15" hidden="false" customHeight="false" outlineLevel="0" collapsed="false">
      <c r="A1051" s="4" t="s">
        <v>497</v>
      </c>
      <c r="B1051" s="0" t="s">
        <v>45</v>
      </c>
      <c r="D1051" s="18" t="n">
        <f aca="false">1</f>
        <v>1</v>
      </c>
      <c r="E1051" s="18" t="n">
        <f aca="false">(1+g_ct)^1</f>
        <v>1.05</v>
      </c>
      <c r="F1051" s="18" t="n">
        <f aca="false">(1+g_ct)^2</f>
        <v>1.1025</v>
      </c>
      <c r="G1051" s="18" t="n">
        <f aca="false">(1+g_ct)^3</f>
        <v>1.157625</v>
      </c>
    </row>
    <row r="1052" customFormat="false" ht="17.15" hidden="false" customHeight="false" outlineLevel="0" collapsed="false">
      <c r="A1052" s="6" t="s">
        <v>498</v>
      </c>
    </row>
    <row r="1053" customFormat="false" ht="17.15" hidden="false" customHeight="false" outlineLevel="0" collapsed="false">
      <c r="A1053" s="0" t="s">
        <v>401</v>
      </c>
      <c r="B1053" s="0" t="s">
        <v>189</v>
      </c>
      <c r="C1053" s="17" t="n">
        <f aca="false">a25_ai</f>
        <v>5.4297243</v>
      </c>
      <c r="D1053" s="17" t="n">
        <f aca="false">a26_ai</f>
        <v>9.5342409</v>
      </c>
      <c r="E1053" s="17" t="n">
        <f aca="false">$D1053*E1049*E1050*E1051</f>
        <v>16.8436147849345</v>
      </c>
      <c r="F1053" s="17" t="n">
        <f aca="false">$D1053*F1049*F1050*F1051</f>
        <v>16.6336694199096</v>
      </c>
      <c r="G1053" s="17" t="n">
        <f aca="false">$D1053*G1049*G1050*G1051</f>
        <v>21.2084962618219</v>
      </c>
      <c r="K1053" s="8" t="s">
        <v>499</v>
      </c>
    </row>
    <row r="1054" customFormat="false" ht="17.15" hidden="false" customHeight="false" outlineLevel="0" collapsed="false">
      <c r="A1054" s="4" t="s">
        <v>404</v>
      </c>
      <c r="B1054" s="0" t="s">
        <v>189</v>
      </c>
      <c r="C1054" s="17" t="n">
        <f aca="false">a25_npc</f>
        <v>4.4425017</v>
      </c>
      <c r="D1054" s="17" t="n">
        <f aca="false">a26_npc</f>
        <v>6.3561606</v>
      </c>
      <c r="E1054" s="17" t="n">
        <f aca="false">D1054*(1+g_nonai_hi+d_npc)</f>
        <v>7.055338266</v>
      </c>
      <c r="F1054" s="17" t="n">
        <f aca="false">E1054*(1+g_nonai_hi+d_npc)</f>
        <v>7.83142547526</v>
      </c>
      <c r="G1054" s="17" t="n">
        <f aca="false">F1054*(1+g_nonai_hi+d_npc)</f>
        <v>8.6928822775386</v>
      </c>
      <c r="K1054" s="4" t="s">
        <v>500</v>
      </c>
    </row>
    <row r="1055" customFormat="false" ht="15" hidden="false" customHeight="false" outlineLevel="0" collapsed="false">
      <c r="A1055" s="4" t="s">
        <v>398</v>
      </c>
      <c r="B1055" s="0" t="s">
        <v>189</v>
      </c>
      <c r="C1055" s="17" t="n">
        <f aca="false">C1053+C1054</f>
        <v>9.872226</v>
      </c>
      <c r="D1055" s="17" t="n">
        <f aca="false">D1053+D1054</f>
        <v>15.8904015</v>
      </c>
      <c r="E1055" s="17" t="n">
        <f aca="false">E1053+E1054</f>
        <v>23.8989530509345</v>
      </c>
      <c r="F1055" s="17" t="n">
        <f aca="false">F1053+F1054</f>
        <v>24.4650948951696</v>
      </c>
      <c r="G1055" s="17" t="n">
        <f aca="false">G1053+G1054</f>
        <v>29.9013785393605</v>
      </c>
    </row>
    <row r="1056" customFormat="false" ht="17.15" hidden="false" customHeight="false" outlineLevel="0" collapsed="false">
      <c r="A1056" s="0" t="s">
        <v>501</v>
      </c>
      <c r="B1056" s="0" t="s">
        <v>189</v>
      </c>
      <c r="D1056" s="17" t="n">
        <f aca="false">k_cpo*cpo_A_26/cpo_A_27</f>
        <v>0.24</v>
      </c>
      <c r="E1056" s="17" t="n">
        <f aca="false">k_cpo*cpo_B_27/cpo_A_27</f>
        <v>0.72</v>
      </c>
      <c r="F1056" s="17" t="n">
        <f aca="false">k_cpo*cpo_B_28/cpo_A_27</f>
        <v>1.2</v>
      </c>
      <c r="G1056" s="17" t="n">
        <f aca="false">k_cpo*cpo_B_29/cpo_A_27</f>
        <v>1.92</v>
      </c>
      <c r="K1056" s="8" t="s">
        <v>502</v>
      </c>
    </row>
    <row r="1057" customFormat="false" ht="17.15" hidden="false" customHeight="false" outlineLevel="0" collapsed="false">
      <c r="A1057" s="4" t="s">
        <v>503</v>
      </c>
      <c r="B1057" s="0" t="s">
        <v>189</v>
      </c>
      <c r="C1057" s="17" t="n">
        <f aca="false">a25_eq</f>
        <v>3.290742</v>
      </c>
      <c r="D1057" s="17" t="n">
        <f aca="false">a26_eq-D1056</f>
        <v>4.8539955</v>
      </c>
      <c r="E1057" s="17" t="n">
        <f aca="false">D1057*semi_27</f>
        <v>5.659593717153</v>
      </c>
      <c r="F1057" s="17" t="n">
        <f aca="false">$E1057*eqk28_B</f>
        <v>5.659593717153</v>
      </c>
      <c r="G1057" s="17" t="n">
        <f aca="false">$E1057*eqk29_B</f>
        <v>5.37661403129535</v>
      </c>
      <c r="K1057" s="8" t="s">
        <v>504</v>
      </c>
    </row>
    <row r="1058" customFormat="false" ht="15" hidden="false" customHeight="false" outlineLevel="0" collapsed="false">
      <c r="A1058" s="4" t="s">
        <v>405</v>
      </c>
      <c r="B1058" s="0" t="s">
        <v>189</v>
      </c>
      <c r="C1058" s="17" t="n">
        <f aca="false">a25_eq</f>
        <v>3.290742</v>
      </c>
      <c r="D1058" s="17" t="n">
        <f aca="false">D1056+D1057</f>
        <v>5.0939955</v>
      </c>
      <c r="E1058" s="17" t="n">
        <f aca="false">E1056+E1057</f>
        <v>6.379593717153</v>
      </c>
      <c r="F1058" s="17" t="n">
        <f aca="false">F1056+F1057</f>
        <v>6.859593717153</v>
      </c>
      <c r="G1058" s="17" t="n">
        <f aca="false">G1056+G1057</f>
        <v>7.29661403129535</v>
      </c>
    </row>
    <row r="1059" customFormat="false" ht="15" hidden="false" customHeight="false" outlineLevel="0" collapsed="false">
      <c r="A1059" s="4" t="s">
        <v>407</v>
      </c>
      <c r="B1059" s="0" t="s">
        <v>189</v>
      </c>
      <c r="C1059" s="17" t="n">
        <f aca="false">a25_oth</f>
        <v>0.214032000000001</v>
      </c>
      <c r="D1059" s="17" t="n">
        <f aca="false">a26_oth</f>
        <v>0.428253</v>
      </c>
      <c r="E1059" s="17" t="n">
        <f aca="false">D1059*(1+g_oth)</f>
        <v>0.44966565</v>
      </c>
      <c r="F1059" s="17" t="n">
        <f aca="false">E1059*(1+g_oth)</f>
        <v>0.4721489325</v>
      </c>
      <c r="G1059" s="17" t="n">
        <f aca="false">F1059*(1+g_oth)</f>
        <v>0.495756379125</v>
      </c>
    </row>
    <row r="1060" customFormat="false" ht="17.15" hidden="false" customHeight="false" outlineLevel="0" collapsed="false">
      <c r="A1060" s="4" t="s">
        <v>394</v>
      </c>
      <c r="B1060" s="0" t="s">
        <v>189</v>
      </c>
      <c r="C1060" s="17" t="n">
        <f aca="false">C1055+C1058+C1059</f>
        <v>13.377</v>
      </c>
      <c r="D1060" s="17" t="n">
        <f aca="false">D1055+D1058+D1059</f>
        <v>21.41265</v>
      </c>
      <c r="E1060" s="17" t="n">
        <f aca="false">E1055+E1058+E1059</f>
        <v>30.7282124180875</v>
      </c>
      <c r="F1060" s="17" t="n">
        <f aca="false">F1055+F1058+F1059</f>
        <v>31.7968375448226</v>
      </c>
      <c r="G1060" s="17" t="n">
        <f aca="false">G1055+G1058+G1059</f>
        <v>37.6937489497809</v>
      </c>
      <c r="H1060" s="30" t="n">
        <f aca="false">G1060*(1+H1061)</f>
        <v>42.8566845817014</v>
      </c>
      <c r="I1060" s="30" t="n">
        <f aca="false">H1060*(1+I1061)</f>
        <v>46.6488713001335</v>
      </c>
      <c r="J1060" s="30" t="n">
        <f aca="false">I1060*(1+J1061)</f>
        <v>48.5148261521389</v>
      </c>
      <c r="K1060" s="8" t="s">
        <v>505</v>
      </c>
    </row>
    <row r="1061" customFormat="false" ht="15" hidden="false" customHeight="false" outlineLevel="0" collapsed="false">
      <c r="A1061" s="4" t="s">
        <v>506</v>
      </c>
      <c r="B1061" s="0" t="s">
        <v>90</v>
      </c>
      <c r="D1061" s="22" t="n">
        <f aca="false">D1060/C1060-1</f>
        <v>0.600706436420722</v>
      </c>
      <c r="E1061" s="22" t="n">
        <f aca="false">E1060/D1060-1</f>
        <v>0.435049487946962</v>
      </c>
      <c r="F1061" s="22" t="n">
        <f aca="false">F1060/E1060-1</f>
        <v>0.0347766772826008</v>
      </c>
      <c r="G1061" s="22" t="n">
        <f aca="false">G1060/F1060-1</f>
        <v>0.185455908835138</v>
      </c>
      <c r="H1061" s="26" t="n">
        <f aca="false">$G1061+(fade_gB-$G1061)*1/3</f>
        <v>0.136970605890092</v>
      </c>
      <c r="I1061" s="26" t="n">
        <f aca="false">$G1061+(fade_gB-$G1061)*2/3</f>
        <v>0.0884853029450461</v>
      </c>
      <c r="J1061" s="26" t="n">
        <f aca="false">$G1061+(fade_gB-$G1061)*3/3</f>
        <v>0.04</v>
      </c>
    </row>
    <row r="1062" customFormat="false" ht="17.15" hidden="false" customHeight="false" outlineLevel="0" collapsed="false">
      <c r="A1062" s="0" t="s">
        <v>507</v>
      </c>
      <c r="B1062" s="0" t="s">
        <v>90</v>
      </c>
      <c r="C1062" s="22" t="n">
        <f aca="false">C1053/C1060</f>
        <v>0.4059</v>
      </c>
      <c r="D1062" s="22" t="n">
        <f aca="false">D1053/D1060</f>
        <v>0.445262071719287</v>
      </c>
      <c r="E1062" s="22" t="n">
        <f aca="false">E1053/E1060</f>
        <v>0.548148214929023</v>
      </c>
      <c r="F1062" s="22" t="n">
        <f aca="false">F1053/F1060</f>
        <v>0.523123389125155</v>
      </c>
      <c r="G1062" s="22" t="n">
        <f aca="false">G1053/G1060</f>
        <v>0.562652876212389</v>
      </c>
    </row>
    <row r="1063" customFormat="false" ht="17.15" hidden="false" customHeight="false" outlineLevel="0" collapsed="false">
      <c r="A1063" s="4" t="s">
        <v>508</v>
      </c>
      <c r="B1063" s="0" t="s">
        <v>90</v>
      </c>
      <c r="C1063" s="22" t="n">
        <f aca="false">C1055/C1060</f>
        <v>0.738</v>
      </c>
      <c r="D1063" s="22" t="n">
        <f aca="false">D1055/D1060</f>
        <v>0.742103452865479</v>
      </c>
      <c r="E1063" s="22" t="n">
        <f aca="false">E1055/E1060</f>
        <v>0.777752793614083</v>
      </c>
      <c r="F1063" s="22" t="n">
        <f aca="false">F1055/F1060</f>
        <v>0.769419124171774</v>
      </c>
      <c r="G1063" s="22" t="n">
        <f aca="false">G1055/G1060</f>
        <v>0.793271546939996</v>
      </c>
    </row>
    <row r="1064" customFormat="false" ht="17.15" hidden="false" customHeight="false" outlineLevel="0" collapsed="false">
      <c r="A1064" s="6" t="s">
        <v>509</v>
      </c>
    </row>
    <row r="1065" customFormat="false" ht="15" hidden="false" customHeight="false" outlineLevel="0" collapsed="false">
      <c r="A1065" s="4" t="s">
        <v>412</v>
      </c>
      <c r="B1065" s="0" t="s">
        <v>90</v>
      </c>
      <c r="C1065" s="14" t="n">
        <f aca="false">a25_gp/a25_rev</f>
        <v>0.574</v>
      </c>
      <c r="D1065" s="14" t="n">
        <f aca="false">a26_gp/a26_rev</f>
        <v>0.593344593032623</v>
      </c>
      <c r="E1065" s="14" t="n">
        <f aca="false">gm27_B+gm_adj</f>
        <v>0.595</v>
      </c>
      <c r="F1065" s="14" t="n">
        <f aca="false">gmL_B+gm_adj</f>
        <v>0.595</v>
      </c>
      <c r="G1065" s="14" t="n">
        <f aca="false">gmL_B+gm_adj</f>
        <v>0.595</v>
      </c>
    </row>
    <row r="1066" customFormat="false" ht="15" hidden="false" customHeight="false" outlineLevel="0" collapsed="false">
      <c r="A1066" s="4" t="s">
        <v>409</v>
      </c>
      <c r="B1066" s="0" t="s">
        <v>189</v>
      </c>
      <c r="C1066" s="17" t="n">
        <f aca="false">C1060*C1065</f>
        <v>7.678398</v>
      </c>
      <c r="D1066" s="17" t="n">
        <f aca="false">D1060*D1065</f>
        <v>12.7050801</v>
      </c>
      <c r="E1066" s="17" t="n">
        <f aca="false">E1060*E1065</f>
        <v>18.2832863887621</v>
      </c>
      <c r="F1066" s="17" t="n">
        <f aca="false">F1060*F1065</f>
        <v>18.9191183391694</v>
      </c>
      <c r="G1066" s="17" t="n">
        <f aca="false">G1060*G1065</f>
        <v>22.4277806251196</v>
      </c>
    </row>
    <row r="1067" customFormat="false" ht="17.15" hidden="false" customHeight="false" outlineLevel="0" collapsed="false">
      <c r="A1067" s="4" t="s">
        <v>510</v>
      </c>
      <c r="B1067" s="0" t="s">
        <v>189</v>
      </c>
      <c r="D1067" s="17" t="n">
        <f aca="false">a26_opx</f>
        <v>5.05564928556</v>
      </c>
      <c r="E1067" s="17" t="n">
        <f aca="false">D1067*(1+phi*E1061)</f>
        <v>6.37532386531338</v>
      </c>
      <c r="F1067" s="17" t="n">
        <f aca="false">E1067*(1+phi*F1061)</f>
        <v>6.50835141369502</v>
      </c>
      <c r="G1067" s="17" t="n">
        <f aca="false">F1067*(1+phi*G1061)</f>
        <v>7.23255874956218</v>
      </c>
      <c r="K1067" s="8" t="s">
        <v>511</v>
      </c>
    </row>
    <row r="1068" customFormat="false" ht="15" hidden="false" customHeight="false" outlineLevel="0" collapsed="false">
      <c r="A1068" s="4" t="s">
        <v>415</v>
      </c>
      <c r="B1068" s="0" t="s">
        <v>189</v>
      </c>
      <c r="D1068" s="17" t="n">
        <f aca="false">D1066-D1067</f>
        <v>7.64943081444</v>
      </c>
      <c r="E1068" s="17" t="n">
        <f aca="false">E1066-E1067</f>
        <v>11.9079625234487</v>
      </c>
      <c r="F1068" s="17" t="n">
        <f aca="false">F1066-F1067</f>
        <v>12.4107669254744</v>
      </c>
      <c r="G1068" s="17" t="n">
        <f aca="false">G1066-G1067</f>
        <v>15.1952218755574</v>
      </c>
    </row>
    <row r="1069" customFormat="false" ht="15" hidden="false" customHeight="false" outlineLevel="0" collapsed="false">
      <c r="A1069" s="4" t="s">
        <v>482</v>
      </c>
      <c r="B1069" s="0" t="s">
        <v>90</v>
      </c>
      <c r="D1069" s="14" t="n">
        <f aca="false">D1068/D1060</f>
        <v>0.357238866484999</v>
      </c>
      <c r="E1069" s="14" t="n">
        <f aca="false">E1068/E1060</f>
        <v>0.387525390720071</v>
      </c>
      <c r="F1069" s="14" t="n">
        <f aca="false">F1068/F1060</f>
        <v>0.390314505585013</v>
      </c>
      <c r="G1069" s="14" t="n">
        <f aca="false">G1068/G1060</f>
        <v>0.403123125158018</v>
      </c>
    </row>
    <row r="1070" customFormat="false" ht="15" hidden="false" customHeight="false" outlineLevel="0" collapsed="false">
      <c r="A1070" s="4" t="s">
        <v>418</v>
      </c>
      <c r="B1070" s="0" t="s">
        <v>189</v>
      </c>
      <c r="C1070" s="17" t="n">
        <f aca="false">a25_ni</f>
        <v>3.18</v>
      </c>
      <c r="D1070" s="17" t="n">
        <f aca="false">a26_ni</f>
        <v>6.7316248085628</v>
      </c>
      <c r="E1070" s="17" t="n">
        <f aca="false">E1068*ni_oi</f>
        <v>10.1217681449314</v>
      </c>
      <c r="F1070" s="17" t="n">
        <f aca="false">F1068*ni_oi</f>
        <v>10.5491518866532</v>
      </c>
      <c r="G1070" s="17" t="n">
        <f aca="false">G1068*ni_oi</f>
        <v>12.9159385942238</v>
      </c>
      <c r="H1070" s="30" t="n">
        <f aca="false">H1060*H1074</f>
        <v>14.1771677786796</v>
      </c>
      <c r="I1070" s="30" t="n">
        <f aca="false">I1060*I1074</f>
        <v>14.8788245628941</v>
      </c>
      <c r="J1070" s="30" t="n">
        <f aca="false">J1060*J1074</f>
        <v>14.8990507757619</v>
      </c>
    </row>
    <row r="1071" customFormat="false" ht="15" hidden="false" customHeight="false" outlineLevel="0" collapsed="false">
      <c r="A1071" s="4" t="s">
        <v>512</v>
      </c>
      <c r="B1071" s="4" t="s">
        <v>513</v>
      </c>
      <c r="C1071" s="19" t="n">
        <f aca="false">a25_sh</f>
        <v>94.9537175276202</v>
      </c>
      <c r="D1071" s="19" t="n">
        <f aca="false">a26_sh</f>
        <v>97.9860681630967</v>
      </c>
      <c r="E1071" s="19" t="n">
        <f aca="false">D1071*(1+sh_g)</f>
        <v>97.9860681630967</v>
      </c>
      <c r="F1071" s="19" t="n">
        <f aca="false">E1071*(1+sh_g)</f>
        <v>97.9860681630967</v>
      </c>
      <c r="G1071" s="19" t="n">
        <f aca="false">F1071*(1+sh_g)</f>
        <v>97.9860681630967</v>
      </c>
      <c r="H1071" s="25" t="n">
        <f aca="false">G1071*(1+sh_g)</f>
        <v>97.9860681630967</v>
      </c>
      <c r="I1071" s="25" t="n">
        <f aca="false">H1071*(1+sh_g)</f>
        <v>97.9860681630967</v>
      </c>
      <c r="J1071" s="25" t="n">
        <f aca="false">I1071*(1+sh_g)</f>
        <v>97.9860681630967</v>
      </c>
    </row>
    <row r="1072" customFormat="false" ht="15" hidden="false" customHeight="false" outlineLevel="0" collapsed="false">
      <c r="A1072" s="0" t="s">
        <v>423</v>
      </c>
      <c r="B1072" s="0" t="s">
        <v>256</v>
      </c>
      <c r="C1072" s="20" t="n">
        <f aca="false">a25_eps</f>
        <v>33.49</v>
      </c>
      <c r="D1072" s="20" t="n">
        <f aca="false">a26_eps</f>
        <v>68.6959552317267</v>
      </c>
      <c r="E1072" s="20" t="n">
        <f aca="false">E1070/E1071*1000</f>
        <v>103.298033431486</v>
      </c>
      <c r="F1072" s="20" t="n">
        <f aca="false">F1070/F1071*1000</f>
        <v>107.659712083705</v>
      </c>
      <c r="G1072" s="20" t="n">
        <f aca="false">G1070/G1071*1000</f>
        <v>131.814030671436</v>
      </c>
      <c r="H1072" s="28" t="n">
        <f aca="false">H1070/H1071*1000</f>
        <v>144.685546062343</v>
      </c>
      <c r="I1072" s="28" t="n">
        <f aca="false">I1070/I1071*1000</f>
        <v>151.846327154678</v>
      </c>
      <c r="J1072" s="28" t="n">
        <f aca="false">J1070/J1071*1000</f>
        <v>152.052746426794</v>
      </c>
    </row>
    <row r="1073" customFormat="false" ht="17.15" hidden="false" customHeight="false" outlineLevel="0" collapsed="false">
      <c r="A1073" s="0" t="s">
        <v>514</v>
      </c>
      <c r="B1073" s="0" t="s">
        <v>90</v>
      </c>
      <c r="D1073" s="22" t="n">
        <f aca="false">D1072/C1072-1</f>
        <v>1.05123783910799</v>
      </c>
      <c r="E1073" s="22" t="n">
        <f aca="false">E1072/D1072-1</f>
        <v>0.503698916232235</v>
      </c>
      <c r="F1073" s="22" t="n">
        <f aca="false">F1072/E1072-1</f>
        <v>0.0422242177060606</v>
      </c>
      <c r="G1073" s="22" t="n">
        <f aca="false">G1072/F1072-1</f>
        <v>0.224358008397342</v>
      </c>
      <c r="H1073" s="26" t="n">
        <f aca="false">H1072/G1072-1</f>
        <v>0.0976490539386572</v>
      </c>
      <c r="I1073" s="26" t="n">
        <f aca="false">I1072/H1072-1</f>
        <v>0.0494920279683615</v>
      </c>
      <c r="J1073" s="26" t="n">
        <f aca="false">J1072/I1072-1</f>
        <v>0.00135939588387801</v>
      </c>
    </row>
    <row r="1074" customFormat="false" ht="17.15" hidden="false" customHeight="false" outlineLevel="0" collapsed="false">
      <c r="A1074" s="4" t="s">
        <v>515</v>
      </c>
      <c r="B1074" s="0" t="s">
        <v>90</v>
      </c>
      <c r="C1074" s="14" t="n">
        <f aca="false">C1070/C1060</f>
        <v>0.237721462211258</v>
      </c>
      <c r="D1074" s="14" t="n">
        <f aca="false">D1070/D1060</f>
        <v>0.314376072488123</v>
      </c>
      <c r="E1074" s="14" t="n">
        <f aca="false">E1070/E1060</f>
        <v>0.32939658211206</v>
      </c>
      <c r="F1074" s="14" t="n">
        <f aca="false">F1070/F1060</f>
        <v>0.331767329747261</v>
      </c>
      <c r="G1074" s="14" t="n">
        <f aca="false">G1070/G1060</f>
        <v>0.342654656384316</v>
      </c>
      <c r="H1074" s="27" t="n">
        <f aca="false">$G1074+(fade_mB-$G1074)*1/3</f>
        <v>0.33080411882194</v>
      </c>
      <c r="I1074" s="27" t="n">
        <f aca="false">$G1074+(fade_mB-$G1074)*2/3</f>
        <v>0.318953581259565</v>
      </c>
      <c r="J1074" s="27" t="n">
        <f aca="false">$G1074+(fade_mB-$G1074)*3/3</f>
        <v>0.30710304369719</v>
      </c>
    </row>
    <row r="1077" customFormat="false" ht="17.15" hidden="false" customHeight="false" outlineLevel="0" collapsed="false">
      <c r="A1077" s="1" t="s">
        <v>834</v>
      </c>
    </row>
    <row r="1078" customFormat="false" ht="17.15" hidden="false" customHeight="false" outlineLevel="0" collapsed="false">
      <c r="A1078" s="5" t="s">
        <v>21</v>
      </c>
      <c r="B1078" s="5" t="s">
        <v>22</v>
      </c>
      <c r="C1078" s="15" t="s">
        <v>387</v>
      </c>
      <c r="D1078" s="15" t="s">
        <v>468</v>
      </c>
      <c r="E1078" s="15" t="s">
        <v>469</v>
      </c>
      <c r="F1078" s="15" t="s">
        <v>470</v>
      </c>
      <c r="G1078" s="15" t="s">
        <v>471</v>
      </c>
      <c r="H1078" s="15" t="s">
        <v>472</v>
      </c>
      <c r="I1078" s="15" t="s">
        <v>473</v>
      </c>
      <c r="J1078" s="15" t="s">
        <v>474</v>
      </c>
      <c r="K1078" s="5" t="s">
        <v>336</v>
      </c>
    </row>
    <row r="1079" customFormat="false" ht="17.15" hidden="false" customHeight="false" outlineLevel="0" collapsed="false">
      <c r="A1079" s="6" t="s">
        <v>492</v>
      </c>
    </row>
    <row r="1080" customFormat="false" ht="17.15" hidden="false" customHeight="false" outlineLevel="0" collapsed="false">
      <c r="A1080" s="0" t="s">
        <v>493</v>
      </c>
      <c r="B1080" s="4" t="s">
        <v>32</v>
      </c>
      <c r="D1080" s="20" t="n">
        <f aca="false">units_26</f>
        <v>15.2</v>
      </c>
      <c r="E1080" s="20" t="n">
        <f aca="false">units_27*1</f>
        <v>23.7</v>
      </c>
      <c r="F1080" s="20" t="n">
        <f aca="false">units_28*um28_C*1</f>
        <v>15.9</v>
      </c>
      <c r="G1080" s="20" t="n">
        <f aca="false">units_29*um29_C*1</f>
        <v>18.09</v>
      </c>
    </row>
    <row r="1081" customFormat="false" ht="17.15" hidden="false" customHeight="false" outlineLevel="0" collapsed="false">
      <c r="A1081" s="4" t="s">
        <v>494</v>
      </c>
      <c r="B1081" s="0" t="s">
        <v>45</v>
      </c>
      <c r="D1081" s="18" t="n">
        <f aca="false">ex_nv*nvtt_26+astt_26</f>
        <v>0.607994</v>
      </c>
      <c r="E1081" s="18" t="n">
        <f aca="false">ex_nv*nvtt_27+astt_27</f>
        <v>0.6560764</v>
      </c>
      <c r="F1081" s="18" t="n">
        <f aca="false">ex_nv*nvtt_28+astt_28</f>
        <v>0.6898114</v>
      </c>
      <c r="G1081" s="18" t="n">
        <f aca="false">ex_nv*nvtt_29+astt_29</f>
        <v>0.692935</v>
      </c>
      <c r="K1081" s="8" t="s">
        <v>495</v>
      </c>
    </row>
    <row r="1082" customFormat="false" ht="17.15" hidden="false" customHeight="false" outlineLevel="0" collapsed="false">
      <c r="A1082" s="4" t="s">
        <v>447</v>
      </c>
      <c r="B1082" s="0" t="s">
        <v>45</v>
      </c>
      <c r="D1082" s="18" t="n">
        <f aca="false">D1080*D1081/($D1080*$D1081)</f>
        <v>1</v>
      </c>
      <c r="E1082" s="18" t="n">
        <f aca="false">E1080*E1081/($D1080*$D1081)</f>
        <v>1.68251862509724</v>
      </c>
      <c r="F1082" s="18" t="n">
        <f aca="false">F1080*F1081/($D1080*$D1081)</f>
        <v>1.18681932759724</v>
      </c>
      <c r="G1082" s="18" t="n">
        <f aca="false">G1080*G1081/($D1080*$D1081)</f>
        <v>1.35640125668657</v>
      </c>
    </row>
    <row r="1083" customFormat="false" ht="17.15" hidden="false" customHeight="false" outlineLevel="0" collapsed="false">
      <c r="A1083" s="4" t="s">
        <v>496</v>
      </c>
      <c r="B1083" s="0" t="s">
        <v>45</v>
      </c>
      <c r="D1083" s="20" t="n">
        <f aca="false">1</f>
        <v>1</v>
      </c>
      <c r="E1083" s="20" t="n">
        <f aca="false">rel27_C</f>
        <v>0.92</v>
      </c>
      <c r="F1083" s="20" t="n">
        <f aca="false">rel28_C</f>
        <v>0.88</v>
      </c>
      <c r="G1083" s="20" t="n">
        <f aca="false">rel29_C</f>
        <v>0.85</v>
      </c>
    </row>
    <row r="1084" customFormat="false" ht="17.15" hidden="false" customHeight="false" outlineLevel="0" collapsed="false">
      <c r="A1084" s="4" t="s">
        <v>497</v>
      </c>
      <c r="B1084" s="0" t="s">
        <v>45</v>
      </c>
      <c r="D1084" s="18" t="n">
        <f aca="false">1</f>
        <v>1</v>
      </c>
      <c r="E1084" s="18" t="n">
        <f aca="false">(1+g_ct)^1</f>
        <v>1.05</v>
      </c>
      <c r="F1084" s="18" t="n">
        <f aca="false">(1+g_ct)^2</f>
        <v>1.1025</v>
      </c>
      <c r="G1084" s="18" t="n">
        <f aca="false">(1+g_ct)^3</f>
        <v>1.157625</v>
      </c>
    </row>
    <row r="1085" customFormat="false" ht="17.15" hidden="false" customHeight="false" outlineLevel="0" collapsed="false">
      <c r="A1085" s="6" t="s">
        <v>498</v>
      </c>
    </row>
    <row r="1086" customFormat="false" ht="17.15" hidden="false" customHeight="false" outlineLevel="0" collapsed="false">
      <c r="A1086" s="0" t="s">
        <v>401</v>
      </c>
      <c r="B1086" s="0" t="s">
        <v>189</v>
      </c>
      <c r="C1086" s="17" t="n">
        <f aca="false">a25_ai</f>
        <v>5.4297243</v>
      </c>
      <c r="D1086" s="17" t="n">
        <f aca="false">a26_ai</f>
        <v>9.5342409</v>
      </c>
      <c r="E1086" s="17" t="n">
        <f aca="false">$D1086*E1082*E1083*E1084</f>
        <v>15.4961256021398</v>
      </c>
      <c r="F1086" s="17" t="n">
        <f aca="false">$D1086*F1082*F1083*F1084</f>
        <v>10.9782218171403</v>
      </c>
      <c r="G1086" s="17" t="n">
        <f aca="false">$D1086*G1082*G1083*G1084</f>
        <v>12.7250977570932</v>
      </c>
      <c r="K1086" s="8" t="s">
        <v>499</v>
      </c>
    </row>
    <row r="1087" customFormat="false" ht="17.15" hidden="false" customHeight="false" outlineLevel="0" collapsed="false">
      <c r="A1087" s="4" t="s">
        <v>404</v>
      </c>
      <c r="B1087" s="0" t="s">
        <v>189</v>
      </c>
      <c r="C1087" s="17" t="n">
        <f aca="false">a25_npc</f>
        <v>4.4425017</v>
      </c>
      <c r="D1087" s="17" t="n">
        <f aca="false">a26_npc</f>
        <v>6.3561606</v>
      </c>
      <c r="E1087" s="17" t="n">
        <f aca="false">D1087*(1+g_nonai_hi+d_npc)</f>
        <v>7.055338266</v>
      </c>
      <c r="F1087" s="17" t="n">
        <f aca="false">E1087*(1+g_nonai_hi+d_npc)</f>
        <v>7.83142547526</v>
      </c>
      <c r="G1087" s="17" t="n">
        <f aca="false">F1087*(1+g_nonai_hi+d_npc)</f>
        <v>8.6928822775386</v>
      </c>
      <c r="K1087" s="4" t="s">
        <v>500</v>
      </c>
    </row>
    <row r="1088" customFormat="false" ht="15" hidden="false" customHeight="false" outlineLevel="0" collapsed="false">
      <c r="A1088" s="4" t="s">
        <v>398</v>
      </c>
      <c r="B1088" s="0" t="s">
        <v>189</v>
      </c>
      <c r="C1088" s="17" t="n">
        <f aca="false">C1086+C1087</f>
        <v>9.872226</v>
      </c>
      <c r="D1088" s="17" t="n">
        <f aca="false">D1086+D1087</f>
        <v>15.8904015</v>
      </c>
      <c r="E1088" s="17" t="n">
        <f aca="false">E1086+E1087</f>
        <v>22.5514638681398</v>
      </c>
      <c r="F1088" s="17" t="n">
        <f aca="false">F1086+F1087</f>
        <v>18.8096472924003</v>
      </c>
      <c r="G1088" s="17" t="n">
        <f aca="false">G1086+G1087</f>
        <v>21.4179800346318</v>
      </c>
    </row>
    <row r="1089" customFormat="false" ht="17.15" hidden="false" customHeight="false" outlineLevel="0" collapsed="false">
      <c r="A1089" s="0" t="s">
        <v>501</v>
      </c>
      <c r="B1089" s="0" t="s">
        <v>189</v>
      </c>
      <c r="D1089" s="17" t="n">
        <f aca="false">k_cpo*cpo_A_26/cpo_A_27</f>
        <v>0.24</v>
      </c>
      <c r="E1089" s="17" t="n">
        <f aca="false">k_cpo*cpo_C_27/cpo_A_27</f>
        <v>0.48</v>
      </c>
      <c r="F1089" s="17" t="n">
        <f aca="false">k_cpo*cpo_C_28/cpo_A_27</f>
        <v>0.72</v>
      </c>
      <c r="G1089" s="17" t="n">
        <f aca="false">k_cpo*cpo_C_29/cpo_A_27</f>
        <v>1.2</v>
      </c>
      <c r="K1089" s="8" t="s">
        <v>502</v>
      </c>
    </row>
    <row r="1090" customFormat="false" ht="17.15" hidden="false" customHeight="false" outlineLevel="0" collapsed="false">
      <c r="A1090" s="4" t="s">
        <v>503</v>
      </c>
      <c r="B1090" s="0" t="s">
        <v>189</v>
      </c>
      <c r="C1090" s="17" t="n">
        <f aca="false">a25_eq</f>
        <v>3.290742</v>
      </c>
      <c r="D1090" s="17" t="n">
        <f aca="false">a26_eq-D1089</f>
        <v>4.8539955</v>
      </c>
      <c r="E1090" s="17" t="n">
        <f aca="false">D1090*semi_27</f>
        <v>5.659593717153</v>
      </c>
      <c r="F1090" s="17" t="n">
        <f aca="false">$E1090*eqk28_C</f>
        <v>4.5276749737224</v>
      </c>
      <c r="G1090" s="17" t="n">
        <f aca="false">$E1090*eqk29_C</f>
        <v>5.659593717153</v>
      </c>
      <c r="K1090" s="8" t="s">
        <v>504</v>
      </c>
    </row>
    <row r="1091" customFormat="false" ht="15" hidden="false" customHeight="false" outlineLevel="0" collapsed="false">
      <c r="A1091" s="4" t="s">
        <v>405</v>
      </c>
      <c r="B1091" s="0" t="s">
        <v>189</v>
      </c>
      <c r="C1091" s="17" t="n">
        <f aca="false">a25_eq</f>
        <v>3.290742</v>
      </c>
      <c r="D1091" s="17" t="n">
        <f aca="false">D1089+D1090</f>
        <v>5.0939955</v>
      </c>
      <c r="E1091" s="17" t="n">
        <f aca="false">E1089+E1090</f>
        <v>6.139593717153</v>
      </c>
      <c r="F1091" s="17" t="n">
        <f aca="false">F1089+F1090</f>
        <v>5.2476749737224</v>
      </c>
      <c r="G1091" s="17" t="n">
        <f aca="false">G1089+G1090</f>
        <v>6.859593717153</v>
      </c>
    </row>
    <row r="1092" customFormat="false" ht="15" hidden="false" customHeight="false" outlineLevel="0" collapsed="false">
      <c r="A1092" s="4" t="s">
        <v>407</v>
      </c>
      <c r="B1092" s="0" t="s">
        <v>189</v>
      </c>
      <c r="C1092" s="17" t="n">
        <f aca="false">a25_oth</f>
        <v>0.214032000000001</v>
      </c>
      <c r="D1092" s="17" t="n">
        <f aca="false">a26_oth</f>
        <v>0.428253</v>
      </c>
      <c r="E1092" s="17" t="n">
        <f aca="false">D1092*(1+g_oth)</f>
        <v>0.44966565</v>
      </c>
      <c r="F1092" s="17" t="n">
        <f aca="false">E1092*(1+g_oth)</f>
        <v>0.4721489325</v>
      </c>
      <c r="G1092" s="17" t="n">
        <f aca="false">F1092*(1+g_oth)</f>
        <v>0.495756379125</v>
      </c>
    </row>
    <row r="1093" customFormat="false" ht="17.15" hidden="false" customHeight="false" outlineLevel="0" collapsed="false">
      <c r="A1093" s="4" t="s">
        <v>394</v>
      </c>
      <c r="B1093" s="0" t="s">
        <v>189</v>
      </c>
      <c r="C1093" s="17" t="n">
        <f aca="false">C1088+C1091+C1092</f>
        <v>13.377</v>
      </c>
      <c r="D1093" s="17" t="n">
        <f aca="false">D1088+D1091+D1092</f>
        <v>21.41265</v>
      </c>
      <c r="E1093" s="17" t="n">
        <f aca="false">E1088+E1091+E1092</f>
        <v>29.1407232352928</v>
      </c>
      <c r="F1093" s="17" t="n">
        <f aca="false">F1088+F1091+F1092</f>
        <v>24.5294711986227</v>
      </c>
      <c r="G1093" s="17" t="n">
        <f aca="false">G1088+G1091+G1092</f>
        <v>28.7733301309098</v>
      </c>
      <c r="H1093" s="30" t="n">
        <f aca="false">G1093*(1+H1094)</f>
        <v>32.2838800531955</v>
      </c>
      <c r="I1093" s="30" t="n">
        <f aca="false">H1093*(1+I1094)</f>
        <v>34.5761497832756</v>
      </c>
      <c r="J1093" s="30" t="n">
        <f aca="false">I1093*(1+J1094)</f>
        <v>35.2676727789411</v>
      </c>
      <c r="K1093" s="8" t="s">
        <v>505</v>
      </c>
    </row>
    <row r="1094" customFormat="false" ht="15" hidden="false" customHeight="false" outlineLevel="0" collapsed="false">
      <c r="A1094" s="4" t="s">
        <v>506</v>
      </c>
      <c r="B1094" s="0" t="s">
        <v>90</v>
      </c>
      <c r="D1094" s="22" t="n">
        <f aca="false">D1093/C1093-1</f>
        <v>0.600706436420722</v>
      </c>
      <c r="E1094" s="22" t="n">
        <f aca="false">E1093/D1093-1</f>
        <v>0.360911574947181</v>
      </c>
      <c r="F1094" s="22" t="n">
        <f aca="false">F1093/E1093-1</f>
        <v>-0.15824082331235</v>
      </c>
      <c r="G1094" s="22" t="n">
        <f aca="false">G1093/F1093-1</f>
        <v>0.173010616410081</v>
      </c>
      <c r="H1094" s="26" t="n">
        <f aca="false">$G1094+(fade_gC-$G1094)*1/3</f>
        <v>0.122007077606721</v>
      </c>
      <c r="I1094" s="26" t="n">
        <f aca="false">$G1094+(fade_gC-$G1094)*2/3</f>
        <v>0.0710035388033604</v>
      </c>
      <c r="J1094" s="26" t="n">
        <f aca="false">$G1094+(fade_gC-$G1094)*3/3</f>
        <v>0.02</v>
      </c>
    </row>
    <row r="1095" customFormat="false" ht="17.15" hidden="false" customHeight="false" outlineLevel="0" collapsed="false">
      <c r="A1095" s="0" t="s">
        <v>507</v>
      </c>
      <c r="B1095" s="0" t="s">
        <v>90</v>
      </c>
      <c r="C1095" s="22" t="n">
        <f aca="false">C1086/C1093</f>
        <v>0.4059</v>
      </c>
      <c r="D1095" s="22" t="n">
        <f aca="false">D1086/D1093</f>
        <v>0.445262071719287</v>
      </c>
      <c r="E1095" s="22" t="n">
        <f aca="false">E1086/E1093</f>
        <v>0.531768737413222</v>
      </c>
      <c r="F1095" s="22" t="n">
        <f aca="false">F1086/F1093</f>
        <v>0.447552323009585</v>
      </c>
      <c r="G1095" s="22" t="n">
        <f aca="false">G1086/G1093</f>
        <v>0.44225321501536</v>
      </c>
    </row>
    <row r="1096" customFormat="false" ht="17.15" hidden="false" customHeight="false" outlineLevel="0" collapsed="false">
      <c r="A1096" s="4" t="s">
        <v>508</v>
      </c>
      <c r="B1096" s="0" t="s">
        <v>90</v>
      </c>
      <c r="C1096" s="22" t="n">
        <f aca="false">C1088/C1093</f>
        <v>0.738</v>
      </c>
      <c r="D1096" s="22" t="n">
        <f aca="false">D1088/D1093</f>
        <v>0.742103452865479</v>
      </c>
      <c r="E1096" s="22" t="n">
        <f aca="false">E1088/E1093</f>
        <v>0.773881405964124</v>
      </c>
      <c r="F1096" s="22" t="n">
        <f aca="false">F1088/F1093</f>
        <v>0.766818295432983</v>
      </c>
      <c r="G1096" s="22" t="n">
        <f aca="false">G1088/G1093</f>
        <v>0.744369175802265</v>
      </c>
    </row>
    <row r="1097" customFormat="false" ht="17.15" hidden="false" customHeight="false" outlineLevel="0" collapsed="false">
      <c r="A1097" s="6" t="s">
        <v>509</v>
      </c>
    </row>
    <row r="1098" customFormat="false" ht="15" hidden="false" customHeight="false" outlineLevel="0" collapsed="false">
      <c r="A1098" s="4" t="s">
        <v>412</v>
      </c>
      <c r="B1098" s="0" t="s">
        <v>90</v>
      </c>
      <c r="C1098" s="14" t="n">
        <f aca="false">a25_gp/a25_rev</f>
        <v>0.574</v>
      </c>
      <c r="D1098" s="14" t="n">
        <f aca="false">a26_gp/a26_rev</f>
        <v>0.593344593032623</v>
      </c>
      <c r="E1098" s="14" t="n">
        <f aca="false">gm27_C+gm_adj</f>
        <v>0.58</v>
      </c>
      <c r="F1098" s="14" t="n">
        <f aca="false">gmL_C+gm_adj</f>
        <v>0.565</v>
      </c>
      <c r="G1098" s="14" t="n">
        <f aca="false">gmL_C+gm_adj</f>
        <v>0.565</v>
      </c>
    </row>
    <row r="1099" customFormat="false" ht="15" hidden="false" customHeight="false" outlineLevel="0" collapsed="false">
      <c r="A1099" s="4" t="s">
        <v>409</v>
      </c>
      <c r="B1099" s="0" t="s">
        <v>189</v>
      </c>
      <c r="C1099" s="17" t="n">
        <f aca="false">C1093*C1098</f>
        <v>7.678398</v>
      </c>
      <c r="D1099" s="17" t="n">
        <f aca="false">D1093*D1098</f>
        <v>12.7050801</v>
      </c>
      <c r="E1099" s="17" t="n">
        <f aca="false">E1093*E1098</f>
        <v>16.9016194764698</v>
      </c>
      <c r="F1099" s="17" t="n">
        <f aca="false">F1093*F1098</f>
        <v>13.8591512272218</v>
      </c>
      <c r="G1099" s="17" t="n">
        <f aca="false">G1093*G1098</f>
        <v>16.256931523964</v>
      </c>
    </row>
    <row r="1100" customFormat="false" ht="17.15" hidden="false" customHeight="false" outlineLevel="0" collapsed="false">
      <c r="A1100" s="4" t="s">
        <v>510</v>
      </c>
      <c r="B1100" s="0" t="s">
        <v>189</v>
      </c>
      <c r="D1100" s="17" t="n">
        <f aca="false">a26_opx</f>
        <v>5.05564928556</v>
      </c>
      <c r="E1100" s="17" t="n">
        <f aca="false">D1100*(1+phi*E1094)</f>
        <v>6.15043469317923</v>
      </c>
      <c r="F1100" s="17" t="n">
        <f aca="false">E1100*(1+phi*F1094)</f>
        <v>5.56648478343272</v>
      </c>
      <c r="G1100" s="17" t="n">
        <f aca="false">F1100*(1+phi*G1094)</f>
        <v>6.14432136160414</v>
      </c>
      <c r="K1100" s="8" t="s">
        <v>511</v>
      </c>
    </row>
    <row r="1101" customFormat="false" ht="15" hidden="false" customHeight="false" outlineLevel="0" collapsed="false">
      <c r="A1101" s="4" t="s">
        <v>415</v>
      </c>
      <c r="B1101" s="0" t="s">
        <v>189</v>
      </c>
      <c r="D1101" s="17" t="n">
        <f aca="false">D1099-D1100</f>
        <v>7.64943081444</v>
      </c>
      <c r="E1101" s="17" t="n">
        <f aca="false">E1099-E1100</f>
        <v>10.7511847832906</v>
      </c>
      <c r="F1101" s="17" t="n">
        <f aca="false">F1099-F1100</f>
        <v>8.29266644378911</v>
      </c>
      <c r="G1101" s="17" t="n">
        <f aca="false">G1099-G1100</f>
        <v>10.1126101623599</v>
      </c>
    </row>
    <row r="1102" customFormat="false" ht="15" hidden="false" customHeight="false" outlineLevel="0" collapsed="false">
      <c r="A1102" s="4" t="s">
        <v>482</v>
      </c>
      <c r="B1102" s="0" t="s">
        <v>90</v>
      </c>
      <c r="D1102" s="14" t="n">
        <f aca="false">D1101/D1093</f>
        <v>0.357238866484999</v>
      </c>
      <c r="E1102" s="14" t="n">
        <f aca="false">E1101/E1093</f>
        <v>0.368940218006314</v>
      </c>
      <c r="F1102" s="14" t="n">
        <f aca="false">F1101/F1093</f>
        <v>0.338069515508134</v>
      </c>
      <c r="G1102" s="14" t="n">
        <f aca="false">G1101/G1093</f>
        <v>0.351457760236671</v>
      </c>
    </row>
    <row r="1103" customFormat="false" ht="15" hidden="false" customHeight="false" outlineLevel="0" collapsed="false">
      <c r="A1103" s="4" t="s">
        <v>418</v>
      </c>
      <c r="B1103" s="0" t="s">
        <v>189</v>
      </c>
      <c r="C1103" s="17" t="n">
        <f aca="false">a25_ni</f>
        <v>3.18</v>
      </c>
      <c r="D1103" s="17" t="n">
        <f aca="false">a26_ni</f>
        <v>6.7316248085628</v>
      </c>
      <c r="E1103" s="17" t="n">
        <f aca="false">E1101*ni_oi</f>
        <v>9.13850706579698</v>
      </c>
      <c r="F1103" s="17" t="n">
        <f aca="false">F1101*ni_oi</f>
        <v>7.04876647722074</v>
      </c>
      <c r="G1103" s="17" t="n">
        <f aca="false">G1101*ni_oi</f>
        <v>8.59571863800589</v>
      </c>
      <c r="H1103" s="30" t="n">
        <f aca="false">H1093*H1107</f>
        <v>8.98188867612661</v>
      </c>
      <c r="I1103" s="30" t="n">
        <f aca="false">I1093*I1107</f>
        <v>8.91002137816681</v>
      </c>
      <c r="J1103" s="30" t="n">
        <f aca="false">J1093*J1107</f>
        <v>8.36441636304547</v>
      </c>
    </row>
    <row r="1104" customFormat="false" ht="15" hidden="false" customHeight="false" outlineLevel="0" collapsed="false">
      <c r="A1104" s="4" t="s">
        <v>512</v>
      </c>
      <c r="B1104" s="4" t="s">
        <v>513</v>
      </c>
      <c r="C1104" s="19" t="n">
        <f aca="false">a25_sh</f>
        <v>94.9537175276202</v>
      </c>
      <c r="D1104" s="19" t="n">
        <f aca="false">a26_sh</f>
        <v>97.9860681630967</v>
      </c>
      <c r="E1104" s="19" t="n">
        <f aca="false">D1104*(1+sh_g)</f>
        <v>97.9860681630967</v>
      </c>
      <c r="F1104" s="19" t="n">
        <f aca="false">E1104*(1+sh_g)</f>
        <v>97.9860681630967</v>
      </c>
      <c r="G1104" s="19" t="n">
        <f aca="false">F1104*(1+sh_g)</f>
        <v>97.9860681630967</v>
      </c>
      <c r="H1104" s="25" t="n">
        <f aca="false">G1104*(1+sh_g)</f>
        <v>97.9860681630967</v>
      </c>
      <c r="I1104" s="25" t="n">
        <f aca="false">H1104*(1+sh_g)</f>
        <v>97.9860681630967</v>
      </c>
      <c r="J1104" s="25" t="n">
        <f aca="false">I1104*(1+sh_g)</f>
        <v>97.9860681630967</v>
      </c>
    </row>
    <row r="1105" customFormat="false" ht="15" hidden="false" customHeight="false" outlineLevel="0" collapsed="false">
      <c r="A1105" s="0" t="s">
        <v>423</v>
      </c>
      <c r="B1105" s="0" t="s">
        <v>256</v>
      </c>
      <c r="C1105" s="20" t="n">
        <f aca="false">a25_eps</f>
        <v>33.49</v>
      </c>
      <c r="D1105" s="20" t="n">
        <f aca="false">a26_eps</f>
        <v>68.6959552317267</v>
      </c>
      <c r="E1105" s="20" t="n">
        <f aca="false">E1103/E1104*1000</f>
        <v>93.2633305643619</v>
      </c>
      <c r="F1105" s="20" t="n">
        <f aca="false">F1103/F1104*1000</f>
        <v>71.9364151390191</v>
      </c>
      <c r="G1105" s="20" t="n">
        <f aca="false">G1103/G1104*1000</f>
        <v>87.723885641563</v>
      </c>
      <c r="H1105" s="28" t="n">
        <f aca="false">H1103/H1104*1000</f>
        <v>91.6649565035751</v>
      </c>
      <c r="I1105" s="28" t="n">
        <f aca="false">I1103/I1104*1000</f>
        <v>90.9315124608958</v>
      </c>
      <c r="J1105" s="28" t="n">
        <f aca="false">J1103/J1104*1000</f>
        <v>85.3633227646506</v>
      </c>
    </row>
    <row r="1106" customFormat="false" ht="17.15" hidden="false" customHeight="false" outlineLevel="0" collapsed="false">
      <c r="A1106" s="0" t="s">
        <v>514</v>
      </c>
      <c r="B1106" s="0" t="s">
        <v>90</v>
      </c>
      <c r="D1106" s="22" t="n">
        <f aca="false">D1105/C1105-1</f>
        <v>1.05123783910799</v>
      </c>
      <c r="E1106" s="22" t="n">
        <f aca="false">E1105/D1105-1</f>
        <v>0.357624772081034</v>
      </c>
      <c r="F1106" s="22" t="n">
        <f aca="false">F1105/E1105-1</f>
        <v>-0.228674177689</v>
      </c>
      <c r="G1106" s="22" t="n">
        <f aca="false">G1105/F1105-1</f>
        <v>0.219464237577509</v>
      </c>
      <c r="H1106" s="26" t="n">
        <f aca="false">H1105/G1105-1</f>
        <v>0.04492585837015</v>
      </c>
      <c r="I1106" s="26" t="n">
        <f aca="false">I1105/H1105-1</f>
        <v>-0.00800135701423432</v>
      </c>
      <c r="J1106" s="26" t="n">
        <f aca="false">J1105/I1105-1</f>
        <v>-0.06123498384171</v>
      </c>
    </row>
    <row r="1107" customFormat="false" ht="17.15" hidden="false" customHeight="false" outlineLevel="0" collapsed="false">
      <c r="A1107" s="4" t="s">
        <v>515</v>
      </c>
      <c r="B1107" s="0" t="s">
        <v>90</v>
      </c>
      <c r="C1107" s="14" t="n">
        <f aca="false">C1103/C1093</f>
        <v>0.237721462211258</v>
      </c>
      <c r="D1107" s="14" t="n">
        <f aca="false">D1103/D1093</f>
        <v>0.314376072488123</v>
      </c>
      <c r="E1107" s="14" t="n">
        <f aca="false">E1103/E1093</f>
        <v>0.313599185305367</v>
      </c>
      <c r="F1107" s="14" t="n">
        <f aca="false">F1103/F1093</f>
        <v>0.287359088181914</v>
      </c>
      <c r="G1107" s="14" t="n">
        <f aca="false">G1103/G1093</f>
        <v>0.298739096201171</v>
      </c>
      <c r="H1107" s="27" t="n">
        <f aca="false">$G1107+(fade_mC-$G1107)*1/3</f>
        <v>0.278215897882373</v>
      </c>
      <c r="I1107" s="27" t="n">
        <f aca="false">$G1107+(fade_mC-$G1107)*2/3</f>
        <v>0.257692699563575</v>
      </c>
      <c r="J1107" s="27" t="n">
        <f aca="false">$G1107+(fade_mC-$G1107)*3/3</f>
        <v>0.237169501244778</v>
      </c>
    </row>
    <row r="1110" customFormat="false" ht="17.15" hidden="false" customHeight="false" outlineLevel="0" collapsed="false">
      <c r="A1110" s="1" t="s">
        <v>835</v>
      </c>
    </row>
    <row r="1111" customFormat="false" ht="17.15" hidden="false" customHeight="false" outlineLevel="0" collapsed="false">
      <c r="A1111" s="5" t="s">
        <v>21</v>
      </c>
      <c r="B1111" s="5" t="s">
        <v>22</v>
      </c>
      <c r="C1111" s="15" t="s">
        <v>387</v>
      </c>
      <c r="D1111" s="15" t="s">
        <v>468</v>
      </c>
      <c r="E1111" s="15" t="s">
        <v>469</v>
      </c>
      <c r="F1111" s="15" t="s">
        <v>470</v>
      </c>
      <c r="G1111" s="15" t="s">
        <v>471</v>
      </c>
      <c r="H1111" s="15" t="s">
        <v>472</v>
      </c>
      <c r="I1111" s="15" t="s">
        <v>473</v>
      </c>
      <c r="J1111" s="15" t="s">
        <v>474</v>
      </c>
      <c r="K1111" s="5" t="s">
        <v>336</v>
      </c>
    </row>
    <row r="1112" customFormat="false" ht="17.15" hidden="false" customHeight="false" outlineLevel="0" collapsed="false">
      <c r="A1112" s="6" t="s">
        <v>492</v>
      </c>
    </row>
    <row r="1113" customFormat="false" ht="17.15" hidden="false" customHeight="false" outlineLevel="0" collapsed="false">
      <c r="A1113" s="0" t="s">
        <v>493</v>
      </c>
      <c r="B1113" s="4" t="s">
        <v>32</v>
      </c>
      <c r="D1113" s="20" t="n">
        <f aca="false">units_26</f>
        <v>15.2</v>
      </c>
      <c r="E1113" s="20" t="n">
        <f aca="false">units_27*1</f>
        <v>23.7</v>
      </c>
      <c r="F1113" s="20" t="n">
        <f aca="false">units_28*um28_A*1</f>
        <v>26.5</v>
      </c>
      <c r="G1113" s="20" t="n">
        <f aca="false">units_29*um29_A*1</f>
        <v>30.15</v>
      </c>
    </row>
    <row r="1114" customFormat="false" ht="17.15" hidden="false" customHeight="false" outlineLevel="0" collapsed="false">
      <c r="A1114" s="4" t="s">
        <v>494</v>
      </c>
      <c r="B1114" s="0" t="s">
        <v>45</v>
      </c>
      <c r="D1114" s="18" t="n">
        <f aca="false">ex_nv*nvtt_26+astt_26</f>
        <v>0.607994</v>
      </c>
      <c r="E1114" s="18" t="n">
        <f aca="false">ex_nv*nvtt_27+astt_27</f>
        <v>0.6560764</v>
      </c>
      <c r="F1114" s="18" t="n">
        <f aca="false">ex_nv*nvtt_28+astt_28</f>
        <v>0.6898114</v>
      </c>
      <c r="G1114" s="18" t="n">
        <f aca="false">ex_nv*nvtt_29+astt_29</f>
        <v>0.692935</v>
      </c>
      <c r="K1114" s="8" t="s">
        <v>495</v>
      </c>
    </row>
    <row r="1115" customFormat="false" ht="17.15" hidden="false" customHeight="false" outlineLevel="0" collapsed="false">
      <c r="A1115" s="4" t="s">
        <v>447</v>
      </c>
      <c r="B1115" s="0" t="s">
        <v>45</v>
      </c>
      <c r="D1115" s="18" t="n">
        <f aca="false">D1113*D1114/($D1113*$D1114)</f>
        <v>1</v>
      </c>
      <c r="E1115" s="18" t="n">
        <f aca="false">E1113*E1114/($D1113*$D1114)</f>
        <v>1.68251862509724</v>
      </c>
      <c r="F1115" s="18" t="n">
        <f aca="false">F1113*F1114/($D1113*$D1114)</f>
        <v>1.97803221266207</v>
      </c>
      <c r="G1115" s="18" t="n">
        <f aca="false">G1113*G1114/($D1113*$D1114)</f>
        <v>2.26066876114428</v>
      </c>
    </row>
    <row r="1116" customFormat="false" ht="17.15" hidden="false" customHeight="false" outlineLevel="0" collapsed="false">
      <c r="A1116" s="4" t="s">
        <v>496</v>
      </c>
      <c r="B1116" s="0" t="s">
        <v>45</v>
      </c>
      <c r="D1116" s="20" t="n">
        <f aca="false">1</f>
        <v>1</v>
      </c>
      <c r="E1116" s="20" t="n">
        <f aca="false">rel27_A</f>
        <v>1.05</v>
      </c>
      <c r="F1116" s="20" t="n">
        <f aca="false">rel28_A</f>
        <v>1.08</v>
      </c>
      <c r="G1116" s="20" t="n">
        <f aca="false">rel29_A</f>
        <v>1.1</v>
      </c>
    </row>
    <row r="1117" customFormat="false" ht="17.15" hidden="false" customHeight="false" outlineLevel="0" collapsed="false">
      <c r="A1117" s="4" t="s">
        <v>497</v>
      </c>
      <c r="B1117" s="0" t="s">
        <v>45</v>
      </c>
      <c r="D1117" s="18" t="n">
        <f aca="false">1</f>
        <v>1</v>
      </c>
      <c r="E1117" s="18" t="n">
        <f aca="false">(1+g_ct)^1</f>
        <v>1.05</v>
      </c>
      <c r="F1117" s="18" t="n">
        <f aca="false">(1+g_ct)^2</f>
        <v>1.1025</v>
      </c>
      <c r="G1117" s="18" t="n">
        <f aca="false">(1+g_ct)^3</f>
        <v>1.157625</v>
      </c>
    </row>
    <row r="1118" customFormat="false" ht="17.15" hidden="false" customHeight="false" outlineLevel="0" collapsed="false">
      <c r="A1118" s="6" t="s">
        <v>498</v>
      </c>
    </row>
    <row r="1119" customFormat="false" ht="17.15" hidden="false" customHeight="false" outlineLevel="0" collapsed="false">
      <c r="A1119" s="0" t="s">
        <v>401</v>
      </c>
      <c r="B1119" s="0" t="s">
        <v>189</v>
      </c>
      <c r="C1119" s="17" t="n">
        <f aca="false">a25_ai</f>
        <v>5.4297243</v>
      </c>
      <c r="D1119" s="17" t="n">
        <f aca="false">a26_ai</f>
        <v>9.5342409</v>
      </c>
      <c r="E1119" s="17" t="n">
        <f aca="false">$D1119*E1115*E1116*E1117</f>
        <v>17.6857955241812</v>
      </c>
      <c r="F1119" s="17" t="n">
        <f aca="false">$D1119*F1115*F1116*F1117</f>
        <v>22.4554537168779</v>
      </c>
      <c r="G1119" s="17" t="n">
        <f aca="false">$D1119*G1115*G1116*G1117</f>
        <v>27.4462892800048</v>
      </c>
      <c r="K1119" s="8" t="s">
        <v>499</v>
      </c>
    </row>
    <row r="1120" customFormat="false" ht="17.15" hidden="false" customHeight="false" outlineLevel="0" collapsed="false">
      <c r="A1120" s="4" t="s">
        <v>404</v>
      </c>
      <c r="B1120" s="0" t="s">
        <v>189</v>
      </c>
      <c r="C1120" s="17" t="n">
        <f aca="false">a25_npc</f>
        <v>4.4425017</v>
      </c>
      <c r="D1120" s="17" t="n">
        <f aca="false">a26_npc</f>
        <v>6.3561606</v>
      </c>
      <c r="E1120" s="17" t="n">
        <f aca="false">D1120*(1+g_nonai+d_npc_lo)</f>
        <v>6.610407024</v>
      </c>
      <c r="F1120" s="17" t="n">
        <f aca="false">E1120*(1+g_nonai+d_npc_lo)</f>
        <v>6.87482330496</v>
      </c>
      <c r="G1120" s="17" t="n">
        <f aca="false">F1120*(1+g_nonai+d_npc_lo)</f>
        <v>7.1498162371584</v>
      </c>
      <c r="K1120" s="4" t="s">
        <v>500</v>
      </c>
    </row>
    <row r="1121" customFormat="false" ht="15" hidden="false" customHeight="false" outlineLevel="0" collapsed="false">
      <c r="A1121" s="4" t="s">
        <v>398</v>
      </c>
      <c r="B1121" s="0" t="s">
        <v>189</v>
      </c>
      <c r="C1121" s="17" t="n">
        <f aca="false">C1119+C1120</f>
        <v>9.872226</v>
      </c>
      <c r="D1121" s="17" t="n">
        <f aca="false">D1119+D1120</f>
        <v>15.8904015</v>
      </c>
      <c r="E1121" s="17" t="n">
        <f aca="false">E1119+E1120</f>
        <v>24.2962025481812</v>
      </c>
      <c r="F1121" s="17" t="n">
        <f aca="false">F1119+F1120</f>
        <v>29.3302770218379</v>
      </c>
      <c r="G1121" s="17" t="n">
        <f aca="false">G1119+G1120</f>
        <v>34.5961055171632</v>
      </c>
    </row>
    <row r="1122" customFormat="false" ht="17.15" hidden="false" customHeight="false" outlineLevel="0" collapsed="false">
      <c r="A1122" s="0" t="s">
        <v>501</v>
      </c>
      <c r="B1122" s="0" t="s">
        <v>189</v>
      </c>
      <c r="D1122" s="17" t="n">
        <f aca="false">k_cpo*cpo_A_26/cpo_A_27</f>
        <v>0.24</v>
      </c>
      <c r="E1122" s="17" t="n">
        <f aca="false">k_cpo*cpo_A_27/cpo_A_27</f>
        <v>1.2</v>
      </c>
      <c r="F1122" s="17" t="n">
        <f aca="false">k_cpo*cpo_A_28/cpo_A_27</f>
        <v>2.4</v>
      </c>
      <c r="G1122" s="17" t="n">
        <f aca="false">k_cpo*cpo_A_29/cpo_A_27</f>
        <v>3.84</v>
      </c>
      <c r="K1122" s="8" t="s">
        <v>502</v>
      </c>
    </row>
    <row r="1123" customFormat="false" ht="17.15" hidden="false" customHeight="false" outlineLevel="0" collapsed="false">
      <c r="A1123" s="4" t="s">
        <v>503</v>
      </c>
      <c r="B1123" s="0" t="s">
        <v>189</v>
      </c>
      <c r="C1123" s="17" t="n">
        <f aca="false">a25_eq</f>
        <v>3.290742</v>
      </c>
      <c r="D1123" s="17" t="n">
        <f aca="false">a26_eq-D1122</f>
        <v>4.8539955</v>
      </c>
      <c r="E1123" s="17" t="n">
        <f aca="false">D1123*semi_27</f>
        <v>5.659593717153</v>
      </c>
      <c r="F1123" s="17" t="n">
        <f aca="false">$E1123*eqk28_A</f>
        <v>6.59889384801401</v>
      </c>
      <c r="G1123" s="17" t="n">
        <f aca="false">$E1123*eqk29_A</f>
        <v>7.12680377116889</v>
      </c>
      <c r="K1123" s="8" t="s">
        <v>504</v>
      </c>
    </row>
    <row r="1124" customFormat="false" ht="15" hidden="false" customHeight="false" outlineLevel="0" collapsed="false">
      <c r="A1124" s="4" t="s">
        <v>405</v>
      </c>
      <c r="B1124" s="0" t="s">
        <v>189</v>
      </c>
      <c r="C1124" s="17" t="n">
        <f aca="false">a25_eq</f>
        <v>3.290742</v>
      </c>
      <c r="D1124" s="17" t="n">
        <f aca="false">D1122+D1123</f>
        <v>5.0939955</v>
      </c>
      <c r="E1124" s="17" t="n">
        <f aca="false">E1122+E1123</f>
        <v>6.859593717153</v>
      </c>
      <c r="F1124" s="17" t="n">
        <f aca="false">F1122+F1123</f>
        <v>8.99889384801401</v>
      </c>
      <c r="G1124" s="17" t="n">
        <f aca="false">G1122+G1123</f>
        <v>10.9668037711689</v>
      </c>
    </row>
    <row r="1125" customFormat="false" ht="15" hidden="false" customHeight="false" outlineLevel="0" collapsed="false">
      <c r="A1125" s="4" t="s">
        <v>407</v>
      </c>
      <c r="B1125" s="0" t="s">
        <v>189</v>
      </c>
      <c r="C1125" s="17" t="n">
        <f aca="false">a25_oth</f>
        <v>0.214032000000001</v>
      </c>
      <c r="D1125" s="17" t="n">
        <f aca="false">a26_oth</f>
        <v>0.428253</v>
      </c>
      <c r="E1125" s="17" t="n">
        <f aca="false">D1125*(1+g_oth)</f>
        <v>0.44966565</v>
      </c>
      <c r="F1125" s="17" t="n">
        <f aca="false">E1125*(1+g_oth)</f>
        <v>0.4721489325</v>
      </c>
      <c r="G1125" s="17" t="n">
        <f aca="false">F1125*(1+g_oth)</f>
        <v>0.495756379125</v>
      </c>
    </row>
    <row r="1126" customFormat="false" ht="17.15" hidden="false" customHeight="false" outlineLevel="0" collapsed="false">
      <c r="A1126" s="4" t="s">
        <v>394</v>
      </c>
      <c r="B1126" s="0" t="s">
        <v>189</v>
      </c>
      <c r="C1126" s="17" t="n">
        <f aca="false">C1121+C1124+C1125</f>
        <v>13.377</v>
      </c>
      <c r="D1126" s="17" t="n">
        <f aca="false">D1121+D1124+D1125</f>
        <v>21.41265</v>
      </c>
      <c r="E1126" s="17" t="n">
        <f aca="false">E1121+E1124+E1125</f>
        <v>31.6054619153342</v>
      </c>
      <c r="F1126" s="17" t="n">
        <f aca="false">F1121+F1124+F1125</f>
        <v>38.8013198023519</v>
      </c>
      <c r="G1126" s="17" t="n">
        <f aca="false">G1121+G1124+G1125</f>
        <v>46.0586656674571</v>
      </c>
      <c r="H1126" s="30" t="n">
        <f aca="false">G1126*(1+H1127)</f>
        <v>52.7230055970739</v>
      </c>
      <c r="I1126" s="30" t="n">
        <f aca="false">H1126*(1+I1127)</f>
        <v>58.1190054754196</v>
      </c>
      <c r="J1126" s="30" t="n">
        <f aca="false">I1126*(1+J1127)</f>
        <v>61.6061458039448</v>
      </c>
      <c r="K1126" s="8" t="s">
        <v>505</v>
      </c>
    </row>
    <row r="1127" customFormat="false" ht="15" hidden="false" customHeight="false" outlineLevel="0" collapsed="false">
      <c r="A1127" s="4" t="s">
        <v>506</v>
      </c>
      <c r="B1127" s="0" t="s">
        <v>90</v>
      </c>
      <c r="D1127" s="22" t="n">
        <f aca="false">D1126/C1126-1</f>
        <v>0.600706436420722</v>
      </c>
      <c r="E1127" s="22" t="n">
        <f aca="false">E1126/D1126-1</f>
        <v>0.476018237599468</v>
      </c>
      <c r="F1127" s="22" t="n">
        <f aca="false">F1126/E1126-1</f>
        <v>0.227677668698346</v>
      </c>
      <c r="G1127" s="22" t="n">
        <f aca="false">G1126/F1126-1</f>
        <v>0.187038634306077</v>
      </c>
      <c r="H1127" s="26" t="n">
        <f aca="false">$G1127+(fade_gA-$G1127)*1/3</f>
        <v>0.144692422870718</v>
      </c>
      <c r="I1127" s="26" t="n">
        <f aca="false">$G1127+(fade_gA-$G1127)*2/3</f>
        <v>0.102346211435359</v>
      </c>
      <c r="J1127" s="26" t="n">
        <f aca="false">$G1127+(fade_gA-$G1127)*3/3</f>
        <v>0.06</v>
      </c>
    </row>
    <row r="1128" customFormat="false" ht="17.15" hidden="false" customHeight="false" outlineLevel="0" collapsed="false">
      <c r="A1128" s="0" t="s">
        <v>507</v>
      </c>
      <c r="B1128" s="0" t="s">
        <v>90</v>
      </c>
      <c r="C1128" s="22" t="n">
        <f aca="false">C1119/C1126</f>
        <v>0.4059</v>
      </c>
      <c r="D1128" s="22" t="n">
        <f aca="false">D1119/D1126</f>
        <v>0.445262071719287</v>
      </c>
      <c r="E1128" s="22" t="n">
        <f aca="false">E1119/E1126</f>
        <v>0.55958035264786</v>
      </c>
      <c r="F1128" s="22" t="n">
        <f aca="false">F1119/F1126</f>
        <v>0.578729121361402</v>
      </c>
      <c r="G1128" s="22" t="n">
        <f aca="false">G1119/G1126</f>
        <v>0.595898489074057</v>
      </c>
    </row>
    <row r="1129" customFormat="false" ht="17.15" hidden="false" customHeight="false" outlineLevel="0" collapsed="false">
      <c r="A1129" s="4" t="s">
        <v>508</v>
      </c>
      <c r="B1129" s="0" t="s">
        <v>90</v>
      </c>
      <c r="C1129" s="22" t="n">
        <f aca="false">C1121/C1126</f>
        <v>0.738</v>
      </c>
      <c r="D1129" s="22" t="n">
        <f aca="false">D1121/D1126</f>
        <v>0.742103452865479</v>
      </c>
      <c r="E1129" s="22" t="n">
        <f aca="false">E1121/E1126</f>
        <v>0.768734297042287</v>
      </c>
      <c r="F1129" s="22" t="n">
        <f aca="false">F1121/F1126</f>
        <v>0.755909262139585</v>
      </c>
      <c r="G1129" s="22" t="n">
        <f aca="false">G1121/G1126</f>
        <v>0.75113130212991</v>
      </c>
    </row>
    <row r="1130" customFormat="false" ht="17.15" hidden="false" customHeight="false" outlineLevel="0" collapsed="false">
      <c r="A1130" s="6" t="s">
        <v>509</v>
      </c>
    </row>
    <row r="1131" customFormat="false" ht="15" hidden="false" customHeight="false" outlineLevel="0" collapsed="false">
      <c r="A1131" s="4" t="s">
        <v>412</v>
      </c>
      <c r="B1131" s="0" t="s">
        <v>90</v>
      </c>
      <c r="C1131" s="14" t="n">
        <f aca="false">a25_gp/a25_rev</f>
        <v>0.574</v>
      </c>
      <c r="D1131" s="14" t="n">
        <f aca="false">a26_gp/a26_rev</f>
        <v>0.593344593032623</v>
      </c>
      <c r="E1131" s="14" t="n">
        <f aca="false">gm27_A+gm_adj</f>
        <v>0.6</v>
      </c>
      <c r="F1131" s="14" t="n">
        <f aca="false">gmL_A+gm_adj</f>
        <v>0.61</v>
      </c>
      <c r="G1131" s="14" t="n">
        <f aca="false">gmL_A+gm_adj</f>
        <v>0.61</v>
      </c>
    </row>
    <row r="1132" customFormat="false" ht="15" hidden="false" customHeight="false" outlineLevel="0" collapsed="false">
      <c r="A1132" s="4" t="s">
        <v>409</v>
      </c>
      <c r="B1132" s="0" t="s">
        <v>189</v>
      </c>
      <c r="C1132" s="17" t="n">
        <f aca="false">C1126*C1131</f>
        <v>7.678398</v>
      </c>
      <c r="D1132" s="17" t="n">
        <f aca="false">D1126*D1131</f>
        <v>12.7050801</v>
      </c>
      <c r="E1132" s="17" t="n">
        <f aca="false">E1126*E1131</f>
        <v>18.9632771492005</v>
      </c>
      <c r="F1132" s="17" t="n">
        <f aca="false">F1126*F1131</f>
        <v>23.6688050794347</v>
      </c>
      <c r="G1132" s="17" t="n">
        <f aca="false">G1126*G1131</f>
        <v>28.0957860571489</v>
      </c>
    </row>
    <row r="1133" customFormat="false" ht="17.15" hidden="false" customHeight="false" outlineLevel="0" collapsed="false">
      <c r="A1133" s="4" t="s">
        <v>510</v>
      </c>
      <c r="B1133" s="0" t="s">
        <v>189</v>
      </c>
      <c r="D1133" s="17" t="n">
        <f aca="false">a26_opx</f>
        <v>5.05564928556</v>
      </c>
      <c r="E1133" s="17" t="n">
        <f aca="false">D1133*(1+phi*E1127)</f>
        <v>6.49959804325997</v>
      </c>
      <c r="F1133" s="17" t="n">
        <f aca="false">E1133*(1+phi*F1127)</f>
        <v>7.38748604123942</v>
      </c>
      <c r="G1133" s="17" t="n">
        <f aca="false">F1133*(1+phi*G1127)</f>
        <v>8.2165332213046</v>
      </c>
      <c r="K1133" s="8" t="s">
        <v>511</v>
      </c>
    </row>
    <row r="1134" customFormat="false" ht="15" hidden="false" customHeight="false" outlineLevel="0" collapsed="false">
      <c r="A1134" s="4" t="s">
        <v>415</v>
      </c>
      <c r="B1134" s="0" t="s">
        <v>189</v>
      </c>
      <c r="D1134" s="17" t="n">
        <f aca="false">D1132-D1133</f>
        <v>7.64943081444</v>
      </c>
      <c r="E1134" s="17" t="n">
        <f aca="false">E1132-E1133</f>
        <v>12.4636791059406</v>
      </c>
      <c r="F1134" s="17" t="n">
        <f aca="false">F1132-F1133</f>
        <v>16.2813190381952</v>
      </c>
      <c r="G1134" s="17" t="n">
        <f aca="false">G1132-G1133</f>
        <v>19.8792528358443</v>
      </c>
    </row>
    <row r="1135" customFormat="false" ht="15" hidden="false" customHeight="false" outlineLevel="0" collapsed="false">
      <c r="A1135" s="4" t="s">
        <v>482</v>
      </c>
      <c r="B1135" s="0" t="s">
        <v>90</v>
      </c>
      <c r="D1135" s="14" t="n">
        <f aca="false">D1134/D1126</f>
        <v>0.357238866484999</v>
      </c>
      <c r="E1135" s="14" t="n">
        <f aca="false">E1134/E1126</f>
        <v>0.394352062922817</v>
      </c>
      <c r="F1135" s="14" t="n">
        <f aca="false">F1134/F1126</f>
        <v>0.419607351531593</v>
      </c>
      <c r="G1135" s="14" t="n">
        <f aca="false">G1134/G1126</f>
        <v>0.431607224129595</v>
      </c>
    </row>
    <row r="1136" customFormat="false" ht="15" hidden="false" customHeight="false" outlineLevel="0" collapsed="false">
      <c r="A1136" s="4" t="s">
        <v>418</v>
      </c>
      <c r="B1136" s="0" t="s">
        <v>189</v>
      </c>
      <c r="C1136" s="17" t="n">
        <f aca="false">a25_ni</f>
        <v>3.18</v>
      </c>
      <c r="D1136" s="17" t="n">
        <f aca="false">a26_ni</f>
        <v>6.7316248085628</v>
      </c>
      <c r="E1136" s="17" t="n">
        <f aca="false">E1134*ni_oi</f>
        <v>10.5941272400495</v>
      </c>
      <c r="F1136" s="17" t="n">
        <f aca="false">F1134*ni_oi</f>
        <v>13.839121182466</v>
      </c>
      <c r="G1136" s="17" t="n">
        <f aca="false">G1134*ni_oi</f>
        <v>16.8973649104676</v>
      </c>
      <c r="H1136" s="30" t="n">
        <f aca="false">H1126*H1140</f>
        <v>19.3545307825149</v>
      </c>
      <c r="I1136" s="30" t="n">
        <f aca="false">I1126*I1140</f>
        <v>21.3488921353728</v>
      </c>
      <c r="J1136" s="30" t="n">
        <f aca="false">J1126*J1140</f>
        <v>22.6441340238432</v>
      </c>
    </row>
    <row r="1137" customFormat="false" ht="15" hidden="false" customHeight="false" outlineLevel="0" collapsed="false">
      <c r="A1137" s="4" t="s">
        <v>512</v>
      </c>
      <c r="B1137" s="4" t="s">
        <v>513</v>
      </c>
      <c r="C1137" s="19" t="n">
        <f aca="false">a25_sh</f>
        <v>94.9537175276202</v>
      </c>
      <c r="D1137" s="19" t="n">
        <f aca="false">a26_sh</f>
        <v>97.9860681630967</v>
      </c>
      <c r="E1137" s="19" t="n">
        <f aca="false">D1137*(1+sh_g)</f>
        <v>97.9860681630967</v>
      </c>
      <c r="F1137" s="19" t="n">
        <f aca="false">E1137*(1+sh_g)</f>
        <v>97.9860681630967</v>
      </c>
      <c r="G1137" s="19" t="n">
        <f aca="false">F1137*(1+sh_g)</f>
        <v>97.9860681630967</v>
      </c>
      <c r="H1137" s="25" t="n">
        <f aca="false">G1137*(1+sh_g)</f>
        <v>97.9860681630967</v>
      </c>
      <c r="I1137" s="25" t="n">
        <f aca="false">H1137*(1+sh_g)</f>
        <v>97.9860681630967</v>
      </c>
      <c r="J1137" s="25" t="n">
        <f aca="false">I1137*(1+sh_g)</f>
        <v>97.9860681630967</v>
      </c>
    </row>
    <row r="1138" customFormat="false" ht="15" hidden="false" customHeight="false" outlineLevel="0" collapsed="false">
      <c r="A1138" s="0" t="s">
        <v>423</v>
      </c>
      <c r="B1138" s="0" t="s">
        <v>256</v>
      </c>
      <c r="C1138" s="20" t="n">
        <f aca="false">a25_eps</f>
        <v>33.49</v>
      </c>
      <c r="D1138" s="20" t="n">
        <f aca="false">a26_eps</f>
        <v>68.6959552317267</v>
      </c>
      <c r="E1138" s="20" t="n">
        <f aca="false">E1136/E1137*1000</f>
        <v>108.118709513027</v>
      </c>
      <c r="F1138" s="20" t="n">
        <f aca="false">F1136/F1137*1000</f>
        <v>141.235600549161</v>
      </c>
      <c r="G1138" s="20" t="n">
        <f aca="false">G1136/G1137*1000</f>
        <v>172.446606208774</v>
      </c>
      <c r="H1138" s="28" t="n">
        <f aca="false">H1136/H1137*1000</f>
        <v>197.523292293956</v>
      </c>
      <c r="I1138" s="28" t="n">
        <f aca="false">I1136/I1137*1000</f>
        <v>217.876811832452</v>
      </c>
      <c r="J1138" s="28" t="n">
        <f aca="false">J1136/J1137*1000</f>
        <v>231.095444978488</v>
      </c>
    </row>
    <row r="1139" customFormat="false" ht="17.15" hidden="false" customHeight="false" outlineLevel="0" collapsed="false">
      <c r="A1139" s="0" t="s">
        <v>514</v>
      </c>
      <c r="B1139" s="0" t="s">
        <v>90</v>
      </c>
      <c r="D1139" s="22" t="n">
        <f aca="false">D1138/C1138-1</f>
        <v>1.05123783910799</v>
      </c>
      <c r="E1139" s="22" t="n">
        <f aca="false">E1138/D1138-1</f>
        <v>0.573873005307494</v>
      </c>
      <c r="F1139" s="22" t="n">
        <f aca="false">F1138/E1138-1</f>
        <v>0.306301205270525</v>
      </c>
      <c r="G1139" s="22" t="n">
        <f aca="false">G1138/F1138-1</f>
        <v>0.220985399844351</v>
      </c>
      <c r="H1139" s="26" t="n">
        <f aca="false">H1138/G1138-1</f>
        <v>0.145417104090893</v>
      </c>
      <c r="I1139" s="26" t="n">
        <f aca="false">I1138/H1138-1</f>
        <v>0.103043642611046</v>
      </c>
      <c r="J1139" s="26" t="n">
        <f aca="false">J1138/I1138-1</f>
        <v>0.0606702155904533</v>
      </c>
    </row>
    <row r="1140" customFormat="false" ht="17.15" hidden="false" customHeight="false" outlineLevel="0" collapsed="false">
      <c r="A1140" s="4" t="s">
        <v>515</v>
      </c>
      <c r="B1140" s="0" t="s">
        <v>90</v>
      </c>
      <c r="C1140" s="14" t="n">
        <f aca="false">C1136/C1126</f>
        <v>0.237721462211258</v>
      </c>
      <c r="D1140" s="14" t="n">
        <f aca="false">D1136/D1126</f>
        <v>0.314376072488123</v>
      </c>
      <c r="E1140" s="14" t="n">
        <f aca="false">E1136/E1126</f>
        <v>0.335199253484394</v>
      </c>
      <c r="F1140" s="14" t="n">
        <f aca="false">F1136/F1126</f>
        <v>0.356666248801854</v>
      </c>
      <c r="G1140" s="14" t="n">
        <f aca="false">G1136/G1126</f>
        <v>0.366866140510156</v>
      </c>
      <c r="H1140" s="27" t="n">
        <f aca="false">$G1140+(fade_mA-$G1140)*1/3</f>
        <v>0.367098395915218</v>
      </c>
      <c r="I1140" s="27" t="n">
        <f aca="false">$G1140+(fade_mA-$G1140)*2/3</f>
        <v>0.367330651320281</v>
      </c>
      <c r="J1140" s="27" t="n">
        <f aca="false">$G1140+(fade_mA-$G1140)*3/3</f>
        <v>0.367562906725343</v>
      </c>
    </row>
    <row r="1143" customFormat="false" ht="17.15" hidden="false" customHeight="false" outlineLevel="0" collapsed="false">
      <c r="A1143" s="1" t="s">
        <v>836</v>
      </c>
    </row>
    <row r="1144" customFormat="false" ht="17.15" hidden="false" customHeight="false" outlineLevel="0" collapsed="false">
      <c r="A1144" s="5" t="s">
        <v>21</v>
      </c>
      <c r="B1144" s="5" t="s">
        <v>22</v>
      </c>
      <c r="C1144" s="15" t="s">
        <v>387</v>
      </c>
      <c r="D1144" s="15" t="s">
        <v>468</v>
      </c>
      <c r="E1144" s="15" t="s">
        <v>469</v>
      </c>
      <c r="F1144" s="15" t="s">
        <v>470</v>
      </c>
      <c r="G1144" s="15" t="s">
        <v>471</v>
      </c>
      <c r="H1144" s="15" t="s">
        <v>472</v>
      </c>
      <c r="I1144" s="15" t="s">
        <v>473</v>
      </c>
      <c r="J1144" s="15" t="s">
        <v>474</v>
      </c>
      <c r="K1144" s="5" t="s">
        <v>336</v>
      </c>
    </row>
    <row r="1145" customFormat="false" ht="17.15" hidden="false" customHeight="false" outlineLevel="0" collapsed="false">
      <c r="A1145" s="6" t="s">
        <v>492</v>
      </c>
    </row>
    <row r="1146" customFormat="false" ht="17.15" hidden="false" customHeight="false" outlineLevel="0" collapsed="false">
      <c r="A1146" s="0" t="s">
        <v>493</v>
      </c>
      <c r="B1146" s="4" t="s">
        <v>32</v>
      </c>
      <c r="D1146" s="20" t="n">
        <f aca="false">units_26</f>
        <v>15.2</v>
      </c>
      <c r="E1146" s="20" t="n">
        <f aca="false">units_27*1</f>
        <v>23.7</v>
      </c>
      <c r="F1146" s="20" t="n">
        <f aca="false">units_28*um28_B*1</f>
        <v>21.2</v>
      </c>
      <c r="G1146" s="20" t="n">
        <f aca="false">units_29*um29_B*1</f>
        <v>25.6275</v>
      </c>
    </row>
    <row r="1147" customFormat="false" ht="17.15" hidden="false" customHeight="false" outlineLevel="0" collapsed="false">
      <c r="A1147" s="4" t="s">
        <v>494</v>
      </c>
      <c r="B1147" s="0" t="s">
        <v>45</v>
      </c>
      <c r="D1147" s="18" t="n">
        <f aca="false">ex_nv*nvtt_26+astt_26</f>
        <v>0.607994</v>
      </c>
      <c r="E1147" s="18" t="n">
        <f aca="false">ex_nv*nvtt_27+astt_27</f>
        <v>0.6560764</v>
      </c>
      <c r="F1147" s="18" t="n">
        <f aca="false">ex_nv*nvtt_28+astt_28</f>
        <v>0.6898114</v>
      </c>
      <c r="G1147" s="18" t="n">
        <f aca="false">ex_nv*nvtt_29+astt_29</f>
        <v>0.692935</v>
      </c>
      <c r="K1147" s="8" t="s">
        <v>495</v>
      </c>
    </row>
    <row r="1148" customFormat="false" ht="17.15" hidden="false" customHeight="false" outlineLevel="0" collapsed="false">
      <c r="A1148" s="4" t="s">
        <v>447</v>
      </c>
      <c r="B1148" s="0" t="s">
        <v>45</v>
      </c>
      <c r="D1148" s="18" t="n">
        <f aca="false">D1146*D1147/($D1146*$D1147)</f>
        <v>1</v>
      </c>
      <c r="E1148" s="18" t="n">
        <f aca="false">E1146*E1147/($D1146*$D1147)</f>
        <v>1.68251862509724</v>
      </c>
      <c r="F1148" s="18" t="n">
        <f aca="false">F1146*F1147/($D1146*$D1147)</f>
        <v>1.58242577012966</v>
      </c>
      <c r="G1148" s="18" t="n">
        <f aca="false">G1146*G1147/($D1146*$D1147)</f>
        <v>1.92156844697264</v>
      </c>
    </row>
    <row r="1149" customFormat="false" ht="17.15" hidden="false" customHeight="false" outlineLevel="0" collapsed="false">
      <c r="A1149" s="4" t="s">
        <v>496</v>
      </c>
      <c r="B1149" s="0" t="s">
        <v>45</v>
      </c>
      <c r="D1149" s="20" t="n">
        <f aca="false">1</f>
        <v>1</v>
      </c>
      <c r="E1149" s="20" t="n">
        <f aca="false">rel27_B</f>
        <v>1</v>
      </c>
      <c r="F1149" s="20" t="n">
        <f aca="false">rel28_B</f>
        <v>1</v>
      </c>
      <c r="G1149" s="20" t="n">
        <f aca="false">rel29_B</f>
        <v>1</v>
      </c>
    </row>
    <row r="1150" customFormat="false" ht="17.15" hidden="false" customHeight="false" outlineLevel="0" collapsed="false">
      <c r="A1150" s="4" t="s">
        <v>497</v>
      </c>
      <c r="B1150" s="0" t="s">
        <v>45</v>
      </c>
      <c r="D1150" s="18" t="n">
        <f aca="false">1</f>
        <v>1</v>
      </c>
      <c r="E1150" s="18" t="n">
        <f aca="false">(1+g_ct)^1</f>
        <v>1.05</v>
      </c>
      <c r="F1150" s="18" t="n">
        <f aca="false">(1+g_ct)^2</f>
        <v>1.1025</v>
      </c>
      <c r="G1150" s="18" t="n">
        <f aca="false">(1+g_ct)^3</f>
        <v>1.157625</v>
      </c>
    </row>
    <row r="1151" customFormat="false" ht="17.15" hidden="false" customHeight="false" outlineLevel="0" collapsed="false">
      <c r="A1151" s="6" t="s">
        <v>498</v>
      </c>
    </row>
    <row r="1152" customFormat="false" ht="17.15" hidden="false" customHeight="false" outlineLevel="0" collapsed="false">
      <c r="A1152" s="0" t="s">
        <v>401</v>
      </c>
      <c r="B1152" s="0" t="s">
        <v>189</v>
      </c>
      <c r="C1152" s="17" t="n">
        <f aca="false">a25_ai</f>
        <v>5.4297243</v>
      </c>
      <c r="D1152" s="17" t="n">
        <f aca="false">a26_ai</f>
        <v>9.5342409</v>
      </c>
      <c r="E1152" s="17" t="n">
        <f aca="false">$D1152*E1148*E1149*E1150</f>
        <v>16.8436147849345</v>
      </c>
      <c r="F1152" s="17" t="n">
        <f aca="false">$D1152*F1148*F1149*F1150</f>
        <v>16.6336694199096</v>
      </c>
      <c r="G1152" s="17" t="n">
        <f aca="false">$D1152*G1148*G1149*G1150</f>
        <v>21.2084962618219</v>
      </c>
      <c r="K1152" s="8" t="s">
        <v>499</v>
      </c>
    </row>
    <row r="1153" customFormat="false" ht="17.15" hidden="false" customHeight="false" outlineLevel="0" collapsed="false">
      <c r="A1153" s="4" t="s">
        <v>404</v>
      </c>
      <c r="B1153" s="0" t="s">
        <v>189</v>
      </c>
      <c r="C1153" s="17" t="n">
        <f aca="false">a25_npc</f>
        <v>4.4425017</v>
      </c>
      <c r="D1153" s="17" t="n">
        <f aca="false">a26_npc</f>
        <v>6.3561606</v>
      </c>
      <c r="E1153" s="17" t="n">
        <f aca="false">D1153*(1+g_nonai+d_npc_lo)</f>
        <v>6.610407024</v>
      </c>
      <c r="F1153" s="17" t="n">
        <f aca="false">E1153*(1+g_nonai+d_npc_lo)</f>
        <v>6.87482330496</v>
      </c>
      <c r="G1153" s="17" t="n">
        <f aca="false">F1153*(1+g_nonai+d_npc_lo)</f>
        <v>7.1498162371584</v>
      </c>
      <c r="K1153" s="4" t="s">
        <v>500</v>
      </c>
    </row>
    <row r="1154" customFormat="false" ht="15" hidden="false" customHeight="false" outlineLevel="0" collapsed="false">
      <c r="A1154" s="4" t="s">
        <v>398</v>
      </c>
      <c r="B1154" s="0" t="s">
        <v>189</v>
      </c>
      <c r="C1154" s="17" t="n">
        <f aca="false">C1152+C1153</f>
        <v>9.872226</v>
      </c>
      <c r="D1154" s="17" t="n">
        <f aca="false">D1152+D1153</f>
        <v>15.8904015</v>
      </c>
      <c r="E1154" s="17" t="n">
        <f aca="false">E1152+E1153</f>
        <v>23.4540218089345</v>
      </c>
      <c r="F1154" s="17" t="n">
        <f aca="false">F1152+F1153</f>
        <v>23.5084927248695</v>
      </c>
      <c r="G1154" s="17" t="n">
        <f aca="false">G1152+G1153</f>
        <v>28.3583124989803</v>
      </c>
    </row>
    <row r="1155" customFormat="false" ht="17.15" hidden="false" customHeight="false" outlineLevel="0" collapsed="false">
      <c r="A1155" s="0" t="s">
        <v>501</v>
      </c>
      <c r="B1155" s="0" t="s">
        <v>189</v>
      </c>
      <c r="D1155" s="17" t="n">
        <f aca="false">k_cpo*cpo_A_26/cpo_A_27</f>
        <v>0.24</v>
      </c>
      <c r="E1155" s="17" t="n">
        <f aca="false">k_cpo*cpo_B_27/cpo_A_27</f>
        <v>0.72</v>
      </c>
      <c r="F1155" s="17" t="n">
        <f aca="false">k_cpo*cpo_B_28/cpo_A_27</f>
        <v>1.2</v>
      </c>
      <c r="G1155" s="17" t="n">
        <f aca="false">k_cpo*cpo_B_29/cpo_A_27</f>
        <v>1.92</v>
      </c>
      <c r="K1155" s="8" t="s">
        <v>502</v>
      </c>
    </row>
    <row r="1156" customFormat="false" ht="17.15" hidden="false" customHeight="false" outlineLevel="0" collapsed="false">
      <c r="A1156" s="4" t="s">
        <v>503</v>
      </c>
      <c r="B1156" s="0" t="s">
        <v>189</v>
      </c>
      <c r="C1156" s="17" t="n">
        <f aca="false">a25_eq</f>
        <v>3.290742</v>
      </c>
      <c r="D1156" s="17" t="n">
        <f aca="false">a26_eq-D1155</f>
        <v>4.8539955</v>
      </c>
      <c r="E1156" s="17" t="n">
        <f aca="false">D1156*semi_27</f>
        <v>5.659593717153</v>
      </c>
      <c r="F1156" s="17" t="n">
        <f aca="false">$E1156*eqk28_B</f>
        <v>5.659593717153</v>
      </c>
      <c r="G1156" s="17" t="n">
        <f aca="false">$E1156*eqk29_B</f>
        <v>5.37661403129535</v>
      </c>
      <c r="K1156" s="8" t="s">
        <v>504</v>
      </c>
    </row>
    <row r="1157" customFormat="false" ht="15" hidden="false" customHeight="false" outlineLevel="0" collapsed="false">
      <c r="A1157" s="4" t="s">
        <v>405</v>
      </c>
      <c r="B1157" s="0" t="s">
        <v>189</v>
      </c>
      <c r="C1157" s="17" t="n">
        <f aca="false">a25_eq</f>
        <v>3.290742</v>
      </c>
      <c r="D1157" s="17" t="n">
        <f aca="false">D1155+D1156</f>
        <v>5.0939955</v>
      </c>
      <c r="E1157" s="17" t="n">
        <f aca="false">E1155+E1156</f>
        <v>6.379593717153</v>
      </c>
      <c r="F1157" s="17" t="n">
        <f aca="false">F1155+F1156</f>
        <v>6.859593717153</v>
      </c>
      <c r="G1157" s="17" t="n">
        <f aca="false">G1155+G1156</f>
        <v>7.29661403129535</v>
      </c>
    </row>
    <row r="1158" customFormat="false" ht="15" hidden="false" customHeight="false" outlineLevel="0" collapsed="false">
      <c r="A1158" s="4" t="s">
        <v>407</v>
      </c>
      <c r="B1158" s="0" t="s">
        <v>189</v>
      </c>
      <c r="C1158" s="17" t="n">
        <f aca="false">a25_oth</f>
        <v>0.214032000000001</v>
      </c>
      <c r="D1158" s="17" t="n">
        <f aca="false">a26_oth</f>
        <v>0.428253</v>
      </c>
      <c r="E1158" s="17" t="n">
        <f aca="false">D1158*(1+g_oth)</f>
        <v>0.44966565</v>
      </c>
      <c r="F1158" s="17" t="n">
        <f aca="false">E1158*(1+g_oth)</f>
        <v>0.4721489325</v>
      </c>
      <c r="G1158" s="17" t="n">
        <f aca="false">F1158*(1+g_oth)</f>
        <v>0.495756379125</v>
      </c>
    </row>
    <row r="1159" customFormat="false" ht="17.15" hidden="false" customHeight="false" outlineLevel="0" collapsed="false">
      <c r="A1159" s="4" t="s">
        <v>394</v>
      </c>
      <c r="B1159" s="0" t="s">
        <v>189</v>
      </c>
      <c r="C1159" s="17" t="n">
        <f aca="false">C1154+C1157+C1158</f>
        <v>13.377</v>
      </c>
      <c r="D1159" s="17" t="n">
        <f aca="false">D1154+D1157+D1158</f>
        <v>21.41265</v>
      </c>
      <c r="E1159" s="17" t="n">
        <f aca="false">E1154+E1157+E1158</f>
        <v>30.2832811760875</v>
      </c>
      <c r="F1159" s="17" t="n">
        <f aca="false">F1154+F1157+F1158</f>
        <v>30.8402353745226</v>
      </c>
      <c r="G1159" s="17" t="n">
        <f aca="false">G1154+G1157+G1158</f>
        <v>36.1506829094007</v>
      </c>
      <c r="H1159" s="30" t="n">
        <f aca="false">G1159*(1+H1160)</f>
        <v>40.7826020832929</v>
      </c>
      <c r="I1159" s="30" t="n">
        <f aca="false">H1159*(1+I1160)</f>
        <v>44.2109532684886</v>
      </c>
      <c r="J1159" s="30" t="n">
        <f aca="false">I1159*(1+J1160)</f>
        <v>45.9793913992282</v>
      </c>
      <c r="K1159" s="8" t="s">
        <v>505</v>
      </c>
    </row>
    <row r="1160" customFormat="false" ht="15" hidden="false" customHeight="false" outlineLevel="0" collapsed="false">
      <c r="A1160" s="4" t="s">
        <v>506</v>
      </c>
      <c r="B1160" s="0" t="s">
        <v>90</v>
      </c>
      <c r="D1160" s="22" t="n">
        <f aca="false">D1159/C1159-1</f>
        <v>0.600706436420722</v>
      </c>
      <c r="E1160" s="22" t="n">
        <f aca="false">E1159/D1159-1</f>
        <v>0.414270591266729</v>
      </c>
      <c r="F1160" s="22" t="n">
        <f aca="false">F1159/E1159-1</f>
        <v>0.0183914746620926</v>
      </c>
      <c r="G1160" s="22" t="n">
        <f aca="false">G1159/F1159-1</f>
        <v>0.172192185642822</v>
      </c>
      <c r="H1160" s="26" t="n">
        <f aca="false">$G1160+(fade_gB-$G1160)*1/3</f>
        <v>0.128128123761881</v>
      </c>
      <c r="I1160" s="26" t="n">
        <f aca="false">$G1160+(fade_gB-$G1160)*2/3</f>
        <v>0.0840640618809407</v>
      </c>
      <c r="J1160" s="26" t="n">
        <f aca="false">$G1160+(fade_gB-$G1160)*3/3</f>
        <v>0.04</v>
      </c>
    </row>
    <row r="1161" customFormat="false" ht="17.15" hidden="false" customHeight="false" outlineLevel="0" collapsed="false">
      <c r="A1161" s="0" t="s">
        <v>507</v>
      </c>
      <c r="B1161" s="0" t="s">
        <v>90</v>
      </c>
      <c r="C1161" s="22" t="n">
        <f aca="false">C1152/C1159</f>
        <v>0.4059</v>
      </c>
      <c r="D1161" s="22" t="n">
        <f aca="false">D1152/D1159</f>
        <v>0.445262071719287</v>
      </c>
      <c r="E1161" s="22" t="n">
        <f aca="false">E1152/E1159</f>
        <v>0.556201776385932</v>
      </c>
      <c r="F1161" s="22" t="n">
        <f aca="false">F1152/F1159</f>
        <v>0.53934962615917</v>
      </c>
      <c r="G1161" s="22" t="n">
        <f aca="false">G1152/G1159</f>
        <v>0.586669311751974</v>
      </c>
    </row>
    <row r="1162" customFormat="false" ht="17.15" hidden="false" customHeight="false" outlineLevel="0" collapsed="false">
      <c r="A1162" s="4" t="s">
        <v>508</v>
      </c>
      <c r="B1162" s="0" t="s">
        <v>90</v>
      </c>
      <c r="C1162" s="22" t="n">
        <f aca="false">C1154/C1159</f>
        <v>0.738</v>
      </c>
      <c r="D1162" s="22" t="n">
        <f aca="false">D1154/D1159</f>
        <v>0.742103452865479</v>
      </c>
      <c r="E1162" s="22" t="n">
        <f aca="false">E1154/E1159</f>
        <v>0.774487469589472</v>
      </c>
      <c r="F1162" s="22" t="n">
        <f aca="false">F1154/F1159</f>
        <v>0.76226696843858</v>
      </c>
      <c r="G1162" s="22" t="n">
        <f aca="false">G1154/G1159</f>
        <v>0.784447490799849</v>
      </c>
    </row>
    <row r="1163" customFormat="false" ht="17.15" hidden="false" customHeight="false" outlineLevel="0" collapsed="false">
      <c r="A1163" s="6" t="s">
        <v>509</v>
      </c>
    </row>
    <row r="1164" customFormat="false" ht="15" hidden="false" customHeight="false" outlineLevel="0" collapsed="false">
      <c r="A1164" s="4" t="s">
        <v>412</v>
      </c>
      <c r="B1164" s="0" t="s">
        <v>90</v>
      </c>
      <c r="C1164" s="14" t="n">
        <f aca="false">a25_gp/a25_rev</f>
        <v>0.574</v>
      </c>
      <c r="D1164" s="14" t="n">
        <f aca="false">a26_gp/a26_rev</f>
        <v>0.593344593032623</v>
      </c>
      <c r="E1164" s="14" t="n">
        <f aca="false">gm27_B+gm_adj</f>
        <v>0.595</v>
      </c>
      <c r="F1164" s="14" t="n">
        <f aca="false">gmL_B+gm_adj</f>
        <v>0.595</v>
      </c>
      <c r="G1164" s="14" t="n">
        <f aca="false">gmL_B+gm_adj</f>
        <v>0.595</v>
      </c>
    </row>
    <row r="1165" customFormat="false" ht="15" hidden="false" customHeight="false" outlineLevel="0" collapsed="false">
      <c r="A1165" s="4" t="s">
        <v>409</v>
      </c>
      <c r="B1165" s="0" t="s">
        <v>189</v>
      </c>
      <c r="C1165" s="17" t="n">
        <f aca="false">C1159*C1164</f>
        <v>7.678398</v>
      </c>
      <c r="D1165" s="17" t="n">
        <f aca="false">D1159*D1164</f>
        <v>12.7050801</v>
      </c>
      <c r="E1165" s="17" t="n">
        <f aca="false">E1159*E1164</f>
        <v>18.0185522997721</v>
      </c>
      <c r="F1165" s="17" t="n">
        <f aca="false">F1159*F1164</f>
        <v>18.3499400478409</v>
      </c>
      <c r="G1165" s="17" t="n">
        <f aca="false">G1159*G1164</f>
        <v>21.5096563310934</v>
      </c>
    </row>
    <row r="1166" customFormat="false" ht="17.15" hidden="false" customHeight="false" outlineLevel="0" collapsed="false">
      <c r="A1166" s="4" t="s">
        <v>510</v>
      </c>
      <c r="B1166" s="0" t="s">
        <v>189</v>
      </c>
      <c r="D1166" s="17" t="n">
        <f aca="false">a26_opx</f>
        <v>5.05564928556</v>
      </c>
      <c r="E1166" s="17" t="n">
        <f aca="false">D1166*(1+phi*E1160)</f>
        <v>6.31229337681969</v>
      </c>
      <c r="F1166" s="17" t="n">
        <f aca="false">E1166*(1+phi*F1160)</f>
        <v>6.38194880703938</v>
      </c>
      <c r="G1166" s="17" t="n">
        <f aca="false">F1166*(1+phi*G1160)</f>
        <v>7.0413018352862</v>
      </c>
      <c r="K1166" s="8" t="s">
        <v>511</v>
      </c>
    </row>
    <row r="1167" customFormat="false" ht="15" hidden="false" customHeight="false" outlineLevel="0" collapsed="false">
      <c r="A1167" s="4" t="s">
        <v>415</v>
      </c>
      <c r="B1167" s="0" t="s">
        <v>189</v>
      </c>
      <c r="D1167" s="17" t="n">
        <f aca="false">D1165-D1166</f>
        <v>7.64943081444</v>
      </c>
      <c r="E1167" s="17" t="n">
        <f aca="false">E1165-E1166</f>
        <v>11.7062589229524</v>
      </c>
      <c r="F1167" s="17" t="n">
        <f aca="false">F1165-F1166</f>
        <v>11.9679912408015</v>
      </c>
      <c r="G1167" s="17" t="n">
        <f aca="false">G1165-G1166</f>
        <v>14.4683544958072</v>
      </c>
    </row>
    <row r="1168" customFormat="false" ht="15" hidden="false" customHeight="false" outlineLevel="0" collapsed="false">
      <c r="A1168" s="4" t="s">
        <v>482</v>
      </c>
      <c r="B1168" s="0" t="s">
        <v>90</v>
      </c>
      <c r="D1168" s="14" t="n">
        <f aca="false">D1167/D1159</f>
        <v>0.357238866484999</v>
      </c>
      <c r="E1168" s="14" t="n">
        <f aca="false">E1167/E1159</f>
        <v>0.386558472804986</v>
      </c>
      <c r="F1168" s="14" t="n">
        <f aca="false">F1167/F1159</f>
        <v>0.388064199104279</v>
      </c>
      <c r="G1168" s="14" t="n">
        <f aca="false">G1167/G1159</f>
        <v>0.400223545764465</v>
      </c>
    </row>
    <row r="1169" customFormat="false" ht="15" hidden="false" customHeight="false" outlineLevel="0" collapsed="false">
      <c r="A1169" s="4" t="s">
        <v>418</v>
      </c>
      <c r="B1169" s="0" t="s">
        <v>189</v>
      </c>
      <c r="C1169" s="17" t="n">
        <f aca="false">a25_ni</f>
        <v>3.18</v>
      </c>
      <c r="D1169" s="17" t="n">
        <f aca="false">a26_ni</f>
        <v>6.7316248085628</v>
      </c>
      <c r="E1169" s="17" t="n">
        <f aca="false">E1167*ni_oi</f>
        <v>9.95032008450952</v>
      </c>
      <c r="F1169" s="17" t="n">
        <f aca="false">F1167*ni_oi</f>
        <v>10.1727925546813</v>
      </c>
      <c r="G1169" s="17" t="n">
        <f aca="false">G1167*ni_oi</f>
        <v>12.2981013214361</v>
      </c>
      <c r="H1169" s="30" t="n">
        <f aca="false">H1159*H1173</f>
        <v>13.4240430562804</v>
      </c>
      <c r="I1169" s="30" t="n">
        <f aca="false">I1159*I1173</f>
        <v>14.0649204779815</v>
      </c>
      <c r="J1169" s="30" t="n">
        <f aca="false">J1159*J1173</f>
        <v>14.1204110460474</v>
      </c>
    </row>
    <row r="1170" customFormat="false" ht="15" hidden="false" customHeight="false" outlineLevel="0" collapsed="false">
      <c r="A1170" s="4" t="s">
        <v>512</v>
      </c>
      <c r="B1170" s="4" t="s">
        <v>513</v>
      </c>
      <c r="C1170" s="19" t="n">
        <f aca="false">a25_sh</f>
        <v>94.9537175276202</v>
      </c>
      <c r="D1170" s="19" t="n">
        <f aca="false">a26_sh</f>
        <v>97.9860681630967</v>
      </c>
      <c r="E1170" s="19" t="n">
        <f aca="false">D1170*(1+sh_g)</f>
        <v>97.9860681630967</v>
      </c>
      <c r="F1170" s="19" t="n">
        <f aca="false">E1170*(1+sh_g)</f>
        <v>97.9860681630967</v>
      </c>
      <c r="G1170" s="19" t="n">
        <f aca="false">F1170*(1+sh_g)</f>
        <v>97.9860681630967</v>
      </c>
      <c r="H1170" s="25" t="n">
        <f aca="false">G1170*(1+sh_g)</f>
        <v>97.9860681630967</v>
      </c>
      <c r="I1170" s="25" t="n">
        <f aca="false">H1170*(1+sh_g)</f>
        <v>97.9860681630967</v>
      </c>
      <c r="J1170" s="25" t="n">
        <f aca="false">I1170*(1+sh_g)</f>
        <v>97.9860681630967</v>
      </c>
    </row>
    <row r="1171" customFormat="false" ht="15" hidden="false" customHeight="false" outlineLevel="0" collapsed="false">
      <c r="A1171" s="0" t="s">
        <v>423</v>
      </c>
      <c r="B1171" s="0" t="s">
        <v>256</v>
      </c>
      <c r="C1171" s="20" t="n">
        <f aca="false">a25_eps</f>
        <v>33.49</v>
      </c>
      <c r="D1171" s="20" t="n">
        <f aca="false">a26_eps</f>
        <v>68.6959552317267</v>
      </c>
      <c r="E1171" s="20" t="n">
        <f aca="false">E1169/E1170*1000</f>
        <v>101.548314684362</v>
      </c>
      <c r="F1171" s="20" t="n">
        <f aca="false">F1169/F1170*1000</f>
        <v>103.818764701823</v>
      </c>
      <c r="G1171" s="20" t="n">
        <f aca="false">G1169/G1170*1000</f>
        <v>125.508672324376</v>
      </c>
      <c r="H1171" s="28" t="n">
        <f aca="false">H1169/H1170*1000</f>
        <v>136.999507255829</v>
      </c>
      <c r="I1171" s="28" t="n">
        <f aca="false">I1169/I1170*1000</f>
        <v>143.540002590681</v>
      </c>
      <c r="J1171" s="28" t="n">
        <f aca="false">J1169/J1170*1000</f>
        <v>144.106313384716</v>
      </c>
    </row>
    <row r="1172" customFormat="false" ht="17.15" hidden="false" customHeight="false" outlineLevel="0" collapsed="false">
      <c r="A1172" s="0" t="s">
        <v>514</v>
      </c>
      <c r="B1172" s="0" t="s">
        <v>90</v>
      </c>
      <c r="D1172" s="22" t="n">
        <f aca="false">D1171/C1171-1</f>
        <v>1.05123783910799</v>
      </c>
      <c r="E1172" s="22" t="n">
        <f aca="false">E1171/D1171-1</f>
        <v>0.478228439240961</v>
      </c>
      <c r="F1172" s="22" t="n">
        <f aca="false">F1171/E1171-1</f>
        <v>0.0223583229767785</v>
      </c>
      <c r="G1172" s="22" t="n">
        <f aca="false">G1171/F1171-1</f>
        <v>0.208920879427231</v>
      </c>
      <c r="H1172" s="26" t="n">
        <f aca="false">H1171/G1171-1</f>
        <v>0.091554111111581</v>
      </c>
      <c r="I1172" s="26" t="n">
        <f aca="false">I1171/H1171-1</f>
        <v>0.0477410135690313</v>
      </c>
      <c r="J1172" s="26" t="n">
        <f aca="false">J1171/I1171-1</f>
        <v>0.00394531687205246</v>
      </c>
    </row>
    <row r="1173" customFormat="false" ht="17.15" hidden="false" customHeight="false" outlineLevel="0" collapsed="false">
      <c r="A1173" s="4" t="s">
        <v>515</v>
      </c>
      <c r="B1173" s="0" t="s">
        <v>90</v>
      </c>
      <c r="C1173" s="14" t="n">
        <f aca="false">C1169/C1159</f>
        <v>0.237721462211258</v>
      </c>
      <c r="D1173" s="14" t="n">
        <f aca="false">D1169/D1159</f>
        <v>0.314376072488123</v>
      </c>
      <c r="E1173" s="14" t="n">
        <f aca="false">E1169/E1159</f>
        <v>0.328574701884238</v>
      </c>
      <c r="F1173" s="14" t="n">
        <f aca="false">F1169/F1159</f>
        <v>0.329854569238637</v>
      </c>
      <c r="G1173" s="14" t="n">
        <f aca="false">G1169/G1159</f>
        <v>0.340190013899796</v>
      </c>
      <c r="H1173" s="27" t="n">
        <f aca="false">$G1173+(fade_mB-$G1173)*1/3</f>
        <v>0.32916102383226</v>
      </c>
      <c r="I1173" s="27" t="n">
        <f aca="false">$G1173+(fade_mB-$G1173)*2/3</f>
        <v>0.318132033764725</v>
      </c>
      <c r="J1173" s="27" t="n">
        <f aca="false">$G1173+(fade_mB-$G1173)*3/3</f>
        <v>0.30710304369719</v>
      </c>
    </row>
    <row r="1176" customFormat="false" ht="17.15" hidden="false" customHeight="false" outlineLevel="0" collapsed="false">
      <c r="A1176" s="1" t="s">
        <v>837</v>
      </c>
    </row>
    <row r="1177" customFormat="false" ht="17.15" hidden="false" customHeight="false" outlineLevel="0" collapsed="false">
      <c r="A1177" s="5" t="s">
        <v>21</v>
      </c>
      <c r="B1177" s="5" t="s">
        <v>22</v>
      </c>
      <c r="C1177" s="15" t="s">
        <v>387</v>
      </c>
      <c r="D1177" s="15" t="s">
        <v>468</v>
      </c>
      <c r="E1177" s="15" t="s">
        <v>469</v>
      </c>
      <c r="F1177" s="15" t="s">
        <v>470</v>
      </c>
      <c r="G1177" s="15" t="s">
        <v>471</v>
      </c>
      <c r="H1177" s="15" t="s">
        <v>472</v>
      </c>
      <c r="I1177" s="15" t="s">
        <v>473</v>
      </c>
      <c r="J1177" s="15" t="s">
        <v>474</v>
      </c>
      <c r="K1177" s="5" t="s">
        <v>336</v>
      </c>
    </row>
    <row r="1178" customFormat="false" ht="17.15" hidden="false" customHeight="false" outlineLevel="0" collapsed="false">
      <c r="A1178" s="6" t="s">
        <v>492</v>
      </c>
    </row>
    <row r="1179" customFormat="false" ht="17.15" hidden="false" customHeight="false" outlineLevel="0" collapsed="false">
      <c r="A1179" s="0" t="s">
        <v>493</v>
      </c>
      <c r="B1179" s="4" t="s">
        <v>32</v>
      </c>
      <c r="D1179" s="20" t="n">
        <f aca="false">units_26</f>
        <v>15.2</v>
      </c>
      <c r="E1179" s="20" t="n">
        <f aca="false">units_27*1</f>
        <v>23.7</v>
      </c>
      <c r="F1179" s="20" t="n">
        <f aca="false">units_28*um28_C*1</f>
        <v>15.9</v>
      </c>
      <c r="G1179" s="20" t="n">
        <f aca="false">units_29*um29_C*1</f>
        <v>18.09</v>
      </c>
    </row>
    <row r="1180" customFormat="false" ht="17.15" hidden="false" customHeight="false" outlineLevel="0" collapsed="false">
      <c r="A1180" s="4" t="s">
        <v>494</v>
      </c>
      <c r="B1180" s="0" t="s">
        <v>45</v>
      </c>
      <c r="D1180" s="18" t="n">
        <f aca="false">ex_nv*nvtt_26+astt_26</f>
        <v>0.607994</v>
      </c>
      <c r="E1180" s="18" t="n">
        <f aca="false">ex_nv*nvtt_27+astt_27</f>
        <v>0.6560764</v>
      </c>
      <c r="F1180" s="18" t="n">
        <f aca="false">ex_nv*nvtt_28+astt_28</f>
        <v>0.6898114</v>
      </c>
      <c r="G1180" s="18" t="n">
        <f aca="false">ex_nv*nvtt_29+astt_29</f>
        <v>0.692935</v>
      </c>
      <c r="K1180" s="8" t="s">
        <v>495</v>
      </c>
    </row>
    <row r="1181" customFormat="false" ht="17.15" hidden="false" customHeight="false" outlineLevel="0" collapsed="false">
      <c r="A1181" s="4" t="s">
        <v>447</v>
      </c>
      <c r="B1181" s="0" t="s">
        <v>45</v>
      </c>
      <c r="D1181" s="18" t="n">
        <f aca="false">D1179*D1180/($D1179*$D1180)</f>
        <v>1</v>
      </c>
      <c r="E1181" s="18" t="n">
        <f aca="false">E1179*E1180/($D1179*$D1180)</f>
        <v>1.68251862509724</v>
      </c>
      <c r="F1181" s="18" t="n">
        <f aca="false">F1179*F1180/($D1179*$D1180)</f>
        <v>1.18681932759724</v>
      </c>
      <c r="G1181" s="18" t="n">
        <f aca="false">G1179*G1180/($D1179*$D1180)</f>
        <v>1.35640125668657</v>
      </c>
    </row>
    <row r="1182" customFormat="false" ht="17.15" hidden="false" customHeight="false" outlineLevel="0" collapsed="false">
      <c r="A1182" s="4" t="s">
        <v>496</v>
      </c>
      <c r="B1182" s="0" t="s">
        <v>45</v>
      </c>
      <c r="D1182" s="20" t="n">
        <f aca="false">1</f>
        <v>1</v>
      </c>
      <c r="E1182" s="20" t="n">
        <f aca="false">rel27_C</f>
        <v>0.92</v>
      </c>
      <c r="F1182" s="20" t="n">
        <f aca="false">rel28_C</f>
        <v>0.88</v>
      </c>
      <c r="G1182" s="20" t="n">
        <f aca="false">rel29_C</f>
        <v>0.85</v>
      </c>
    </row>
    <row r="1183" customFormat="false" ht="17.15" hidden="false" customHeight="false" outlineLevel="0" collapsed="false">
      <c r="A1183" s="4" t="s">
        <v>497</v>
      </c>
      <c r="B1183" s="0" t="s">
        <v>45</v>
      </c>
      <c r="D1183" s="18" t="n">
        <f aca="false">1</f>
        <v>1</v>
      </c>
      <c r="E1183" s="18" t="n">
        <f aca="false">(1+g_ct)^1</f>
        <v>1.05</v>
      </c>
      <c r="F1183" s="18" t="n">
        <f aca="false">(1+g_ct)^2</f>
        <v>1.1025</v>
      </c>
      <c r="G1183" s="18" t="n">
        <f aca="false">(1+g_ct)^3</f>
        <v>1.157625</v>
      </c>
    </row>
    <row r="1184" customFormat="false" ht="17.15" hidden="false" customHeight="false" outlineLevel="0" collapsed="false">
      <c r="A1184" s="6" t="s">
        <v>498</v>
      </c>
    </row>
    <row r="1185" customFormat="false" ht="17.15" hidden="false" customHeight="false" outlineLevel="0" collapsed="false">
      <c r="A1185" s="0" t="s">
        <v>401</v>
      </c>
      <c r="B1185" s="0" t="s">
        <v>189</v>
      </c>
      <c r="C1185" s="17" t="n">
        <f aca="false">a25_ai</f>
        <v>5.4297243</v>
      </c>
      <c r="D1185" s="17" t="n">
        <f aca="false">a26_ai</f>
        <v>9.5342409</v>
      </c>
      <c r="E1185" s="17" t="n">
        <f aca="false">$D1185*E1181*E1182*E1183</f>
        <v>15.4961256021398</v>
      </c>
      <c r="F1185" s="17" t="n">
        <f aca="false">$D1185*F1181*F1182*F1183</f>
        <v>10.9782218171403</v>
      </c>
      <c r="G1185" s="17" t="n">
        <f aca="false">$D1185*G1181*G1182*G1183</f>
        <v>12.7250977570932</v>
      </c>
      <c r="K1185" s="8" t="s">
        <v>499</v>
      </c>
    </row>
    <row r="1186" customFormat="false" ht="17.15" hidden="false" customHeight="false" outlineLevel="0" collapsed="false">
      <c r="A1186" s="4" t="s">
        <v>404</v>
      </c>
      <c r="B1186" s="0" t="s">
        <v>189</v>
      </c>
      <c r="C1186" s="17" t="n">
        <f aca="false">a25_npc</f>
        <v>4.4425017</v>
      </c>
      <c r="D1186" s="17" t="n">
        <f aca="false">a26_npc</f>
        <v>6.3561606</v>
      </c>
      <c r="E1186" s="17" t="n">
        <f aca="false">D1186*(1+g_nonai+d_npc_lo)</f>
        <v>6.610407024</v>
      </c>
      <c r="F1186" s="17" t="n">
        <f aca="false">E1186*(1+g_nonai+d_npc_lo)</f>
        <v>6.87482330496</v>
      </c>
      <c r="G1186" s="17" t="n">
        <f aca="false">F1186*(1+g_nonai+d_npc_lo)</f>
        <v>7.1498162371584</v>
      </c>
      <c r="K1186" s="4" t="s">
        <v>500</v>
      </c>
    </row>
    <row r="1187" customFormat="false" ht="15" hidden="false" customHeight="false" outlineLevel="0" collapsed="false">
      <c r="A1187" s="4" t="s">
        <v>398</v>
      </c>
      <c r="B1187" s="0" t="s">
        <v>189</v>
      </c>
      <c r="C1187" s="17" t="n">
        <f aca="false">C1185+C1186</f>
        <v>9.872226</v>
      </c>
      <c r="D1187" s="17" t="n">
        <f aca="false">D1185+D1186</f>
        <v>15.8904015</v>
      </c>
      <c r="E1187" s="17" t="n">
        <f aca="false">E1185+E1186</f>
        <v>22.1065326261398</v>
      </c>
      <c r="F1187" s="17" t="n">
        <f aca="false">F1185+F1186</f>
        <v>17.8530451221003</v>
      </c>
      <c r="G1187" s="17" t="n">
        <f aca="false">G1185+G1186</f>
        <v>19.8749139942516</v>
      </c>
    </row>
    <row r="1188" customFormat="false" ht="17.15" hidden="false" customHeight="false" outlineLevel="0" collapsed="false">
      <c r="A1188" s="0" t="s">
        <v>501</v>
      </c>
      <c r="B1188" s="0" t="s">
        <v>189</v>
      </c>
      <c r="D1188" s="17" t="n">
        <f aca="false">k_cpo*cpo_A_26/cpo_A_27</f>
        <v>0.24</v>
      </c>
      <c r="E1188" s="17" t="n">
        <f aca="false">k_cpo*cpo_C_27/cpo_A_27</f>
        <v>0.48</v>
      </c>
      <c r="F1188" s="17" t="n">
        <f aca="false">k_cpo*cpo_C_28/cpo_A_27</f>
        <v>0.72</v>
      </c>
      <c r="G1188" s="17" t="n">
        <f aca="false">k_cpo*cpo_C_29/cpo_A_27</f>
        <v>1.2</v>
      </c>
      <c r="K1188" s="8" t="s">
        <v>502</v>
      </c>
    </row>
    <row r="1189" customFormat="false" ht="17.15" hidden="false" customHeight="false" outlineLevel="0" collapsed="false">
      <c r="A1189" s="4" t="s">
        <v>503</v>
      </c>
      <c r="B1189" s="0" t="s">
        <v>189</v>
      </c>
      <c r="C1189" s="17" t="n">
        <f aca="false">a25_eq</f>
        <v>3.290742</v>
      </c>
      <c r="D1189" s="17" t="n">
        <f aca="false">a26_eq-D1188</f>
        <v>4.8539955</v>
      </c>
      <c r="E1189" s="17" t="n">
        <f aca="false">D1189*semi_27</f>
        <v>5.659593717153</v>
      </c>
      <c r="F1189" s="17" t="n">
        <f aca="false">$E1189*eqk28_C</f>
        <v>4.5276749737224</v>
      </c>
      <c r="G1189" s="17" t="n">
        <f aca="false">$E1189*eqk29_C</f>
        <v>5.659593717153</v>
      </c>
      <c r="K1189" s="8" t="s">
        <v>504</v>
      </c>
    </row>
    <row r="1190" customFormat="false" ht="15" hidden="false" customHeight="false" outlineLevel="0" collapsed="false">
      <c r="A1190" s="4" t="s">
        <v>405</v>
      </c>
      <c r="B1190" s="0" t="s">
        <v>189</v>
      </c>
      <c r="C1190" s="17" t="n">
        <f aca="false">a25_eq</f>
        <v>3.290742</v>
      </c>
      <c r="D1190" s="17" t="n">
        <f aca="false">D1188+D1189</f>
        <v>5.0939955</v>
      </c>
      <c r="E1190" s="17" t="n">
        <f aca="false">E1188+E1189</f>
        <v>6.139593717153</v>
      </c>
      <c r="F1190" s="17" t="n">
        <f aca="false">F1188+F1189</f>
        <v>5.2476749737224</v>
      </c>
      <c r="G1190" s="17" t="n">
        <f aca="false">G1188+G1189</f>
        <v>6.859593717153</v>
      </c>
    </row>
    <row r="1191" customFormat="false" ht="15" hidden="false" customHeight="false" outlineLevel="0" collapsed="false">
      <c r="A1191" s="4" t="s">
        <v>407</v>
      </c>
      <c r="B1191" s="0" t="s">
        <v>189</v>
      </c>
      <c r="C1191" s="17" t="n">
        <f aca="false">a25_oth</f>
        <v>0.214032000000001</v>
      </c>
      <c r="D1191" s="17" t="n">
        <f aca="false">a26_oth</f>
        <v>0.428253</v>
      </c>
      <c r="E1191" s="17" t="n">
        <f aca="false">D1191*(1+g_oth)</f>
        <v>0.44966565</v>
      </c>
      <c r="F1191" s="17" t="n">
        <f aca="false">E1191*(1+g_oth)</f>
        <v>0.4721489325</v>
      </c>
      <c r="G1191" s="17" t="n">
        <f aca="false">F1191*(1+g_oth)</f>
        <v>0.495756379125</v>
      </c>
    </row>
    <row r="1192" customFormat="false" ht="17.15" hidden="false" customHeight="false" outlineLevel="0" collapsed="false">
      <c r="A1192" s="4" t="s">
        <v>394</v>
      </c>
      <c r="B1192" s="0" t="s">
        <v>189</v>
      </c>
      <c r="C1192" s="17" t="n">
        <f aca="false">C1187+C1190+C1191</f>
        <v>13.377</v>
      </c>
      <c r="D1192" s="17" t="n">
        <f aca="false">D1187+D1190+D1191</f>
        <v>21.41265</v>
      </c>
      <c r="E1192" s="17" t="n">
        <f aca="false">E1187+E1190+E1191</f>
        <v>28.6957919932928</v>
      </c>
      <c r="F1192" s="17" t="n">
        <f aca="false">F1187+F1190+F1191</f>
        <v>23.5728690283227</v>
      </c>
      <c r="G1192" s="17" t="n">
        <f aca="false">G1187+G1190+G1191</f>
        <v>27.2302640905296</v>
      </c>
      <c r="H1192" s="30" t="n">
        <f aca="false">G1192*(1+H1193)</f>
        <v>30.2283657864537</v>
      </c>
      <c r="I1192" s="30" t="n">
        <f aca="false">H1192*(1+I1193)</f>
        <v>32.1947485222428</v>
      </c>
      <c r="J1192" s="30" t="n">
        <f aca="false">I1192*(1+J1193)</f>
        <v>32.8386434926876</v>
      </c>
      <c r="K1192" s="8" t="s">
        <v>505</v>
      </c>
    </row>
    <row r="1193" customFormat="false" ht="15" hidden="false" customHeight="false" outlineLevel="0" collapsed="false">
      <c r="A1193" s="4" t="s">
        <v>506</v>
      </c>
      <c r="B1193" s="0" t="s">
        <v>90</v>
      </c>
      <c r="D1193" s="22" t="n">
        <f aca="false">D1192/C1192-1</f>
        <v>0.600706436420722</v>
      </c>
      <c r="E1193" s="22" t="n">
        <f aca="false">E1192/D1192-1</f>
        <v>0.340132678266948</v>
      </c>
      <c r="F1193" s="22" t="n">
        <f aca="false">F1192/E1192-1</f>
        <v>-0.178525233461668</v>
      </c>
      <c r="G1193" s="22" t="n">
        <f aca="false">G1192/F1192-1</f>
        <v>0.155152733331378</v>
      </c>
      <c r="H1193" s="26" t="n">
        <f aca="false">$G1193+(fade_gC-$G1193)*1/3</f>
        <v>0.110101822220919</v>
      </c>
      <c r="I1193" s="26" t="n">
        <f aca="false">$G1193+(fade_gC-$G1193)*2/3</f>
        <v>0.0650509111104593</v>
      </c>
      <c r="J1193" s="26" t="n">
        <f aca="false">$G1193+(fade_gC-$G1193)*3/3</f>
        <v>0.02</v>
      </c>
    </row>
    <row r="1194" customFormat="false" ht="17.15" hidden="false" customHeight="false" outlineLevel="0" collapsed="false">
      <c r="A1194" s="0" t="s">
        <v>507</v>
      </c>
      <c r="B1194" s="0" t="s">
        <v>90</v>
      </c>
      <c r="C1194" s="22" t="n">
        <f aca="false">C1185/C1192</f>
        <v>0.4059</v>
      </c>
      <c r="D1194" s="22" t="n">
        <f aca="false">D1185/D1192</f>
        <v>0.445262071719287</v>
      </c>
      <c r="E1194" s="22" t="n">
        <f aca="false">E1185/E1192</f>
        <v>0.540013867042309</v>
      </c>
      <c r="F1194" s="22" t="n">
        <f aca="false">F1185/F1192</f>
        <v>0.465714283821372</v>
      </c>
      <c r="G1194" s="22" t="n">
        <f aca="false">G1185/G1192</f>
        <v>0.467314518683601</v>
      </c>
    </row>
    <row r="1195" customFormat="false" ht="17.15" hidden="false" customHeight="false" outlineLevel="0" collapsed="false">
      <c r="A1195" s="4" t="s">
        <v>508</v>
      </c>
      <c r="B1195" s="0" t="s">
        <v>90</v>
      </c>
      <c r="C1195" s="22" t="n">
        <f aca="false">C1187/C1192</f>
        <v>0.738</v>
      </c>
      <c r="D1195" s="22" t="n">
        <f aca="false">D1187/D1192</f>
        <v>0.742103452865479</v>
      </c>
      <c r="E1195" s="22" t="n">
        <f aca="false">E1187/E1192</f>
        <v>0.770375413625345</v>
      </c>
      <c r="F1195" s="22" t="n">
        <f aca="false">F1187/F1192</f>
        <v>0.757355632046737</v>
      </c>
      <c r="G1195" s="22" t="n">
        <f aca="false">G1187/G1192</f>
        <v>0.729883262541103</v>
      </c>
    </row>
    <row r="1196" customFormat="false" ht="17.15" hidden="false" customHeight="false" outlineLevel="0" collapsed="false">
      <c r="A1196" s="6" t="s">
        <v>509</v>
      </c>
    </row>
    <row r="1197" customFormat="false" ht="15" hidden="false" customHeight="false" outlineLevel="0" collapsed="false">
      <c r="A1197" s="4" t="s">
        <v>412</v>
      </c>
      <c r="B1197" s="0" t="s">
        <v>90</v>
      </c>
      <c r="C1197" s="14" t="n">
        <f aca="false">a25_gp/a25_rev</f>
        <v>0.574</v>
      </c>
      <c r="D1197" s="14" t="n">
        <f aca="false">a26_gp/a26_rev</f>
        <v>0.593344593032623</v>
      </c>
      <c r="E1197" s="14" t="n">
        <f aca="false">gm27_C+gm_adj</f>
        <v>0.58</v>
      </c>
      <c r="F1197" s="14" t="n">
        <f aca="false">gmL_C+gm_adj</f>
        <v>0.565</v>
      </c>
      <c r="G1197" s="14" t="n">
        <f aca="false">gmL_C+gm_adj</f>
        <v>0.565</v>
      </c>
    </row>
    <row r="1198" customFormat="false" ht="15" hidden="false" customHeight="false" outlineLevel="0" collapsed="false">
      <c r="A1198" s="4" t="s">
        <v>409</v>
      </c>
      <c r="B1198" s="0" t="s">
        <v>189</v>
      </c>
      <c r="C1198" s="17" t="n">
        <f aca="false">C1192*C1197</f>
        <v>7.678398</v>
      </c>
      <c r="D1198" s="17" t="n">
        <f aca="false">D1192*D1197</f>
        <v>12.7050801</v>
      </c>
      <c r="E1198" s="17" t="n">
        <f aca="false">E1192*E1197</f>
        <v>16.6435593561098</v>
      </c>
      <c r="F1198" s="17" t="n">
        <f aca="false">F1192*F1197</f>
        <v>13.3186710010023</v>
      </c>
      <c r="G1198" s="17" t="n">
        <f aca="false">G1192*G1197</f>
        <v>15.3850992111492</v>
      </c>
    </row>
    <row r="1199" customFormat="false" ht="17.15" hidden="false" customHeight="false" outlineLevel="0" collapsed="false">
      <c r="A1199" s="4" t="s">
        <v>510</v>
      </c>
      <c r="B1199" s="0" t="s">
        <v>189</v>
      </c>
      <c r="D1199" s="17" t="n">
        <f aca="false">a26_opx</f>
        <v>5.05564928556</v>
      </c>
      <c r="E1199" s="17" t="n">
        <f aca="false">D1199*(1+phi*E1193)</f>
        <v>6.08740420468554</v>
      </c>
      <c r="F1199" s="17" t="n">
        <f aca="false">E1199*(1+phi*F1193)</f>
        <v>5.43535105059533</v>
      </c>
      <c r="G1199" s="17" t="n">
        <f aca="false">F1199*(1+phi*G1193)</f>
        <v>5.94133679386459</v>
      </c>
      <c r="K1199" s="8" t="s">
        <v>511</v>
      </c>
    </row>
    <row r="1200" customFormat="false" ht="15" hidden="false" customHeight="false" outlineLevel="0" collapsed="false">
      <c r="A1200" s="4" t="s">
        <v>415</v>
      </c>
      <c r="B1200" s="0" t="s">
        <v>189</v>
      </c>
      <c r="D1200" s="17" t="n">
        <f aca="false">D1198-D1199</f>
        <v>7.64943081444</v>
      </c>
      <c r="E1200" s="17" t="n">
        <f aca="false">E1198-E1199</f>
        <v>10.5561551514243</v>
      </c>
      <c r="F1200" s="17" t="n">
        <f aca="false">F1198-F1199</f>
        <v>7.883319950407</v>
      </c>
      <c r="G1200" s="17" t="n">
        <f aca="false">G1198-G1199</f>
        <v>9.44376241728461</v>
      </c>
    </row>
    <row r="1201" customFormat="false" ht="15" hidden="false" customHeight="false" outlineLevel="0" collapsed="false">
      <c r="A1201" s="4" t="s">
        <v>482</v>
      </c>
      <c r="B1201" s="0" t="s">
        <v>90</v>
      </c>
      <c r="D1201" s="14" t="n">
        <f aca="false">D1200/D1192</f>
        <v>0.357238866484999</v>
      </c>
      <c r="E1201" s="14" t="n">
        <f aca="false">E1200/E1192</f>
        <v>0.367864220436627</v>
      </c>
      <c r="F1201" s="14" t="n">
        <f aca="false">F1200/F1192</f>
        <v>0.334423439969705</v>
      </c>
      <c r="G1201" s="14" t="n">
        <f aca="false">G1200/G1192</f>
        <v>0.346811268002688</v>
      </c>
    </row>
    <row r="1202" customFormat="false" ht="15" hidden="false" customHeight="false" outlineLevel="0" collapsed="false">
      <c r="A1202" s="4" t="s">
        <v>418</v>
      </c>
      <c r="B1202" s="0" t="s">
        <v>189</v>
      </c>
      <c r="C1202" s="17" t="n">
        <f aca="false">a25_ni</f>
        <v>3.18</v>
      </c>
      <c r="D1202" s="17" t="n">
        <f aca="false">a26_ni</f>
        <v>6.7316248085628</v>
      </c>
      <c r="E1202" s="17" t="n">
        <f aca="false">E1200*ni_oi</f>
        <v>8.97273187871062</v>
      </c>
      <c r="F1202" s="17" t="n">
        <f aca="false">F1200*ni_oi</f>
        <v>6.70082195784595</v>
      </c>
      <c r="G1202" s="17" t="n">
        <f aca="false">G1200*ni_oi</f>
        <v>8.02719805469192</v>
      </c>
      <c r="H1202" s="30" t="n">
        <f aca="false">H1192*H1206</f>
        <v>8.33042027090045</v>
      </c>
      <c r="I1202" s="30" t="n">
        <f aca="false">I1192*I1206</f>
        <v>8.25396707458846</v>
      </c>
      <c r="J1202" s="30" t="n">
        <f aca="false">J1192*J1206</f>
        <v>7.78832469871578</v>
      </c>
    </row>
    <row r="1203" customFormat="false" ht="15" hidden="false" customHeight="false" outlineLevel="0" collapsed="false">
      <c r="A1203" s="4" t="s">
        <v>512</v>
      </c>
      <c r="B1203" s="4" t="s">
        <v>513</v>
      </c>
      <c r="C1203" s="19" t="n">
        <f aca="false">a25_sh</f>
        <v>94.9537175276202</v>
      </c>
      <c r="D1203" s="19" t="n">
        <f aca="false">a26_sh</f>
        <v>97.9860681630967</v>
      </c>
      <c r="E1203" s="19" t="n">
        <f aca="false">D1203*(1+sh_g)</f>
        <v>97.9860681630967</v>
      </c>
      <c r="F1203" s="19" t="n">
        <f aca="false">E1203*(1+sh_g)</f>
        <v>97.9860681630967</v>
      </c>
      <c r="G1203" s="19" t="n">
        <f aca="false">F1203*(1+sh_g)</f>
        <v>97.9860681630967</v>
      </c>
      <c r="H1203" s="25" t="n">
        <f aca="false">G1203*(1+sh_g)</f>
        <v>97.9860681630967</v>
      </c>
      <c r="I1203" s="25" t="n">
        <f aca="false">H1203*(1+sh_g)</f>
        <v>97.9860681630967</v>
      </c>
      <c r="J1203" s="25" t="n">
        <f aca="false">I1203*(1+sh_g)</f>
        <v>97.9860681630967</v>
      </c>
    </row>
    <row r="1204" customFormat="false" ht="15" hidden="false" customHeight="false" outlineLevel="0" collapsed="false">
      <c r="A1204" s="0" t="s">
        <v>423</v>
      </c>
      <c r="B1204" s="0" t="s">
        <v>256</v>
      </c>
      <c r="C1204" s="20" t="n">
        <f aca="false">a25_eps</f>
        <v>33.49</v>
      </c>
      <c r="D1204" s="20" t="n">
        <f aca="false">a26_eps</f>
        <v>68.6959552317267</v>
      </c>
      <c r="E1204" s="20" t="n">
        <f aca="false">E1202/E1203*1000</f>
        <v>91.571506510248</v>
      </c>
      <c r="F1204" s="20" t="n">
        <f aca="false">F1202/F1203*1000</f>
        <v>68.385456049655</v>
      </c>
      <c r="G1204" s="20" t="n">
        <f aca="false">G1202/G1203*1000</f>
        <v>81.9218303701169</v>
      </c>
      <c r="H1204" s="28" t="n">
        <f aca="false">H1202/H1203*1000</f>
        <v>85.0163745424968</v>
      </c>
      <c r="I1204" s="28" t="n">
        <f aca="false">I1202/I1203*1000</f>
        <v>84.2361289652915</v>
      </c>
      <c r="J1204" s="28" t="n">
        <f aca="false">J1202/J1203*1000</f>
        <v>79.4840005800846</v>
      </c>
    </row>
    <row r="1205" customFormat="false" ht="17.15" hidden="false" customHeight="false" outlineLevel="0" collapsed="false">
      <c r="A1205" s="0" t="s">
        <v>514</v>
      </c>
      <c r="B1205" s="0" t="s">
        <v>90</v>
      </c>
      <c r="D1205" s="22" t="n">
        <f aca="false">D1204/C1204-1</f>
        <v>1.05123783910799</v>
      </c>
      <c r="E1205" s="22" t="n">
        <f aca="false">E1204/D1204-1</f>
        <v>0.332997062219413</v>
      </c>
      <c r="F1205" s="22" t="n">
        <f aca="false">F1204/E1204-1</f>
        <v>-0.253201583595201</v>
      </c>
      <c r="G1205" s="22" t="n">
        <f aca="false">G1204/F1204-1</f>
        <v>0.197942298003146</v>
      </c>
      <c r="H1205" s="26" t="n">
        <f aca="false">H1204/G1204-1</f>
        <v>0.0377743534098176</v>
      </c>
      <c r="I1205" s="26" t="n">
        <f aca="false">I1204/H1204-1</f>
        <v>-0.00917759174516719</v>
      </c>
      <c r="J1205" s="26" t="n">
        <f aca="false">J1204/I1204-1</f>
        <v>-0.0564143728300359</v>
      </c>
    </row>
    <row r="1206" customFormat="false" ht="17.15" hidden="false" customHeight="false" outlineLevel="0" collapsed="false">
      <c r="A1206" s="4" t="s">
        <v>515</v>
      </c>
      <c r="B1206" s="0" t="s">
        <v>90</v>
      </c>
      <c r="C1206" s="14" t="n">
        <f aca="false">C1202/C1192</f>
        <v>0.237721462211258</v>
      </c>
      <c r="D1206" s="14" t="n">
        <f aca="false">D1202/D1192</f>
        <v>0.314376072488123</v>
      </c>
      <c r="E1206" s="14" t="n">
        <f aca="false">E1202/E1192</f>
        <v>0.312684587371133</v>
      </c>
      <c r="F1206" s="14" t="n">
        <f aca="false">F1202/F1192</f>
        <v>0.284259923974249</v>
      </c>
      <c r="G1206" s="14" t="n">
        <f aca="false">G1202/G1192</f>
        <v>0.294789577802285</v>
      </c>
      <c r="H1206" s="27" t="n">
        <f aca="false">$G1206+(fade_mC-$G1206)*1/3</f>
        <v>0.275582885616449</v>
      </c>
      <c r="I1206" s="27" t="n">
        <f aca="false">$G1206+(fade_mC-$G1206)*2/3</f>
        <v>0.256376193430613</v>
      </c>
      <c r="J1206" s="27" t="n">
        <f aca="false">$G1206+(fade_mC-$G1206)*3/3</f>
        <v>0.237169501244778</v>
      </c>
    </row>
    <row r="1209" customFormat="false" ht="17.15" hidden="false" customHeight="false" outlineLevel="0" collapsed="false">
      <c r="A1209" s="1" t="s">
        <v>838</v>
      </c>
    </row>
    <row r="1210" customFormat="false" ht="17.15" hidden="false" customHeight="false" outlineLevel="0" collapsed="false">
      <c r="A1210" s="5" t="s">
        <v>21</v>
      </c>
      <c r="B1210" s="5" t="s">
        <v>22</v>
      </c>
      <c r="C1210" s="15" t="s">
        <v>387</v>
      </c>
      <c r="D1210" s="15" t="s">
        <v>468</v>
      </c>
      <c r="E1210" s="15" t="s">
        <v>469</v>
      </c>
      <c r="F1210" s="15" t="s">
        <v>470</v>
      </c>
      <c r="G1210" s="15" t="s">
        <v>471</v>
      </c>
      <c r="H1210" s="15" t="s">
        <v>472</v>
      </c>
      <c r="I1210" s="15" t="s">
        <v>473</v>
      </c>
      <c r="J1210" s="15" t="s">
        <v>474</v>
      </c>
      <c r="K1210" s="5" t="s">
        <v>336</v>
      </c>
    </row>
    <row r="1211" customFormat="false" ht="17.15" hidden="false" customHeight="false" outlineLevel="0" collapsed="false">
      <c r="A1211" s="6" t="s">
        <v>492</v>
      </c>
    </row>
    <row r="1212" customFormat="false" ht="17.15" hidden="false" customHeight="false" outlineLevel="0" collapsed="false">
      <c r="A1212" s="0" t="s">
        <v>493</v>
      </c>
      <c r="B1212" s="4" t="s">
        <v>32</v>
      </c>
      <c r="D1212" s="20" t="n">
        <f aca="false">units_26</f>
        <v>15.2</v>
      </c>
      <c r="E1212" s="20" t="n">
        <f aca="false">units_27*1</f>
        <v>23.7</v>
      </c>
      <c r="F1212" s="20" t="n">
        <f aca="false">units_28*um28_A*1</f>
        <v>26.5</v>
      </c>
      <c r="G1212" s="20" t="n">
        <f aca="false">units_29*um29_A*1</f>
        <v>30.15</v>
      </c>
    </row>
    <row r="1213" customFormat="false" ht="17.15" hidden="false" customHeight="false" outlineLevel="0" collapsed="false">
      <c r="A1213" s="4" t="s">
        <v>494</v>
      </c>
      <c r="B1213" s="0" t="s">
        <v>45</v>
      </c>
      <c r="D1213" s="18" t="n">
        <f aca="false">ex_nv*nvtt_26+astt_26</f>
        <v>0.607994</v>
      </c>
      <c r="E1213" s="18" t="n">
        <f aca="false">ex_nv*nvtt_27+astt_27</f>
        <v>0.6560764</v>
      </c>
      <c r="F1213" s="18" t="n">
        <f aca="false">ex_nv*nvtt_28+astt_28</f>
        <v>0.6898114</v>
      </c>
      <c r="G1213" s="18" t="n">
        <f aca="false">ex_nv*nvtt_29+astt_29</f>
        <v>0.692935</v>
      </c>
      <c r="K1213" s="8" t="s">
        <v>495</v>
      </c>
    </row>
    <row r="1214" customFormat="false" ht="17.15" hidden="false" customHeight="false" outlineLevel="0" collapsed="false">
      <c r="A1214" s="4" t="s">
        <v>447</v>
      </c>
      <c r="B1214" s="0" t="s">
        <v>45</v>
      </c>
      <c r="D1214" s="18" t="n">
        <f aca="false">D1212*D1213/($D1212*$D1213)</f>
        <v>1</v>
      </c>
      <c r="E1214" s="18" t="n">
        <f aca="false">E1212*E1213/($D1212*$D1213)</f>
        <v>1.68251862509724</v>
      </c>
      <c r="F1214" s="18" t="n">
        <f aca="false">F1212*F1213/($D1212*$D1213)</f>
        <v>1.97803221266207</v>
      </c>
      <c r="G1214" s="18" t="n">
        <f aca="false">G1212*G1213/($D1212*$D1213)</f>
        <v>2.26066876114428</v>
      </c>
    </row>
    <row r="1215" customFormat="false" ht="17.15" hidden="false" customHeight="false" outlineLevel="0" collapsed="false">
      <c r="A1215" s="4" t="s">
        <v>496</v>
      </c>
      <c r="B1215" s="0" t="s">
        <v>45</v>
      </c>
      <c r="D1215" s="20" t="n">
        <f aca="false">1</f>
        <v>1</v>
      </c>
      <c r="E1215" s="20" t="n">
        <f aca="false">rel27_A</f>
        <v>1.05</v>
      </c>
      <c r="F1215" s="20" t="n">
        <f aca="false">rel28_A</f>
        <v>1.08</v>
      </c>
      <c r="G1215" s="20" t="n">
        <f aca="false">rel29_A</f>
        <v>1.1</v>
      </c>
    </row>
    <row r="1216" customFormat="false" ht="17.15" hidden="false" customHeight="false" outlineLevel="0" collapsed="false">
      <c r="A1216" s="4" t="s">
        <v>497</v>
      </c>
      <c r="B1216" s="0" t="s">
        <v>45</v>
      </c>
      <c r="D1216" s="18" t="n">
        <f aca="false">1</f>
        <v>1</v>
      </c>
      <c r="E1216" s="18" t="n">
        <f aca="false">(1+g_ct)^1</f>
        <v>1.05</v>
      </c>
      <c r="F1216" s="18" t="n">
        <f aca="false">(1+g_ct)^2</f>
        <v>1.1025</v>
      </c>
      <c r="G1216" s="18" t="n">
        <f aca="false">(1+g_ct)^3</f>
        <v>1.157625</v>
      </c>
    </row>
    <row r="1217" customFormat="false" ht="17.15" hidden="false" customHeight="false" outlineLevel="0" collapsed="false">
      <c r="A1217" s="6" t="s">
        <v>498</v>
      </c>
    </row>
    <row r="1218" customFormat="false" ht="17.15" hidden="false" customHeight="false" outlineLevel="0" collapsed="false">
      <c r="A1218" s="0" t="s">
        <v>401</v>
      </c>
      <c r="B1218" s="0" t="s">
        <v>189</v>
      </c>
      <c r="C1218" s="17" t="n">
        <f aca="false">a25_ai</f>
        <v>5.4297243</v>
      </c>
      <c r="D1218" s="17" t="n">
        <f aca="false">a26_ai</f>
        <v>9.5342409</v>
      </c>
      <c r="E1218" s="17" t="n">
        <f aca="false">$D1218*E1214*E1215*E1216</f>
        <v>17.6857955241812</v>
      </c>
      <c r="F1218" s="17" t="n">
        <f aca="false">$D1218*F1214*F1215*F1216</f>
        <v>22.4554537168779</v>
      </c>
      <c r="G1218" s="17" t="n">
        <f aca="false">$D1218*G1214*G1215*G1216</f>
        <v>27.4462892800048</v>
      </c>
      <c r="K1218" s="8" t="s">
        <v>499</v>
      </c>
    </row>
    <row r="1219" customFormat="false" ht="17.15" hidden="false" customHeight="false" outlineLevel="0" collapsed="false">
      <c r="A1219" s="4" t="s">
        <v>404</v>
      </c>
      <c r="B1219" s="0" t="s">
        <v>189</v>
      </c>
      <c r="C1219" s="17" t="n">
        <f aca="false">a25_npc</f>
        <v>4.4425017</v>
      </c>
      <c r="D1219" s="17" t="n">
        <f aca="false">a26_npc</f>
        <v>6.3561606</v>
      </c>
      <c r="E1219" s="17" t="n">
        <f aca="false">D1219*(1+g_nonai+d_npc_hi)</f>
        <v>6.99177666</v>
      </c>
      <c r="F1219" s="17" t="n">
        <f aca="false">E1219*(1+g_nonai+d_npc_hi)</f>
        <v>7.690954326</v>
      </c>
      <c r="G1219" s="17" t="n">
        <f aca="false">F1219*(1+g_nonai+d_npc_hi)</f>
        <v>8.4600497586</v>
      </c>
      <c r="K1219" s="4" t="s">
        <v>500</v>
      </c>
    </row>
    <row r="1220" customFormat="false" ht="15" hidden="false" customHeight="false" outlineLevel="0" collapsed="false">
      <c r="A1220" s="4" t="s">
        <v>398</v>
      </c>
      <c r="B1220" s="0" t="s">
        <v>189</v>
      </c>
      <c r="C1220" s="17" t="n">
        <f aca="false">C1218+C1219</f>
        <v>9.872226</v>
      </c>
      <c r="D1220" s="17" t="n">
        <f aca="false">D1218+D1219</f>
        <v>15.8904015</v>
      </c>
      <c r="E1220" s="17" t="n">
        <f aca="false">E1218+E1219</f>
        <v>24.6775721841812</v>
      </c>
      <c r="F1220" s="17" t="n">
        <f aca="false">F1218+F1219</f>
        <v>30.1464080428779</v>
      </c>
      <c r="G1220" s="17" t="n">
        <f aca="false">G1218+G1219</f>
        <v>35.9063390386048</v>
      </c>
    </row>
    <row r="1221" customFormat="false" ht="17.15" hidden="false" customHeight="false" outlineLevel="0" collapsed="false">
      <c r="A1221" s="0" t="s">
        <v>501</v>
      </c>
      <c r="B1221" s="0" t="s">
        <v>189</v>
      </c>
      <c r="D1221" s="17" t="n">
        <f aca="false">k_cpo*cpo_A_26/cpo_A_27</f>
        <v>0.24</v>
      </c>
      <c r="E1221" s="17" t="n">
        <f aca="false">k_cpo*cpo_A_27/cpo_A_27</f>
        <v>1.2</v>
      </c>
      <c r="F1221" s="17" t="n">
        <f aca="false">k_cpo*cpo_A_28/cpo_A_27</f>
        <v>2.4</v>
      </c>
      <c r="G1221" s="17" t="n">
        <f aca="false">k_cpo*cpo_A_29/cpo_A_27</f>
        <v>3.84</v>
      </c>
      <c r="K1221" s="8" t="s">
        <v>502</v>
      </c>
    </row>
    <row r="1222" customFormat="false" ht="17.15" hidden="false" customHeight="false" outlineLevel="0" collapsed="false">
      <c r="A1222" s="4" t="s">
        <v>503</v>
      </c>
      <c r="B1222" s="0" t="s">
        <v>189</v>
      </c>
      <c r="C1222" s="17" t="n">
        <f aca="false">a25_eq</f>
        <v>3.290742</v>
      </c>
      <c r="D1222" s="17" t="n">
        <f aca="false">a26_eq-D1221</f>
        <v>4.8539955</v>
      </c>
      <c r="E1222" s="17" t="n">
        <f aca="false">D1222*semi_27</f>
        <v>5.659593717153</v>
      </c>
      <c r="F1222" s="17" t="n">
        <f aca="false">$E1222*eqk28_A</f>
        <v>6.59889384801401</v>
      </c>
      <c r="G1222" s="17" t="n">
        <f aca="false">$E1222*eqk29_A</f>
        <v>7.12680377116889</v>
      </c>
      <c r="K1222" s="8" t="s">
        <v>504</v>
      </c>
    </row>
    <row r="1223" customFormat="false" ht="15" hidden="false" customHeight="false" outlineLevel="0" collapsed="false">
      <c r="A1223" s="4" t="s">
        <v>405</v>
      </c>
      <c r="B1223" s="0" t="s">
        <v>189</v>
      </c>
      <c r="C1223" s="17" t="n">
        <f aca="false">a25_eq</f>
        <v>3.290742</v>
      </c>
      <c r="D1223" s="17" t="n">
        <f aca="false">D1221+D1222</f>
        <v>5.0939955</v>
      </c>
      <c r="E1223" s="17" t="n">
        <f aca="false">E1221+E1222</f>
        <v>6.859593717153</v>
      </c>
      <c r="F1223" s="17" t="n">
        <f aca="false">F1221+F1222</f>
        <v>8.99889384801401</v>
      </c>
      <c r="G1223" s="17" t="n">
        <f aca="false">G1221+G1222</f>
        <v>10.9668037711689</v>
      </c>
    </row>
    <row r="1224" customFormat="false" ht="15" hidden="false" customHeight="false" outlineLevel="0" collapsed="false">
      <c r="A1224" s="4" t="s">
        <v>407</v>
      </c>
      <c r="B1224" s="0" t="s">
        <v>189</v>
      </c>
      <c r="C1224" s="17" t="n">
        <f aca="false">a25_oth</f>
        <v>0.214032000000001</v>
      </c>
      <c r="D1224" s="17" t="n">
        <f aca="false">a26_oth</f>
        <v>0.428253</v>
      </c>
      <c r="E1224" s="17" t="n">
        <f aca="false">D1224*(1+g_oth)</f>
        <v>0.44966565</v>
      </c>
      <c r="F1224" s="17" t="n">
        <f aca="false">E1224*(1+g_oth)</f>
        <v>0.4721489325</v>
      </c>
      <c r="G1224" s="17" t="n">
        <f aca="false">F1224*(1+g_oth)</f>
        <v>0.495756379125</v>
      </c>
    </row>
    <row r="1225" customFormat="false" ht="17.15" hidden="false" customHeight="false" outlineLevel="0" collapsed="false">
      <c r="A1225" s="4" t="s">
        <v>394</v>
      </c>
      <c r="B1225" s="0" t="s">
        <v>189</v>
      </c>
      <c r="C1225" s="17" t="n">
        <f aca="false">C1220+C1223+C1224</f>
        <v>13.377</v>
      </c>
      <c r="D1225" s="17" t="n">
        <f aca="false">D1220+D1223+D1224</f>
        <v>21.41265</v>
      </c>
      <c r="E1225" s="17" t="n">
        <f aca="false">E1220+E1223+E1224</f>
        <v>31.9868315513342</v>
      </c>
      <c r="F1225" s="17" t="n">
        <f aca="false">F1220+F1223+F1224</f>
        <v>39.6174508233919</v>
      </c>
      <c r="G1225" s="17" t="n">
        <f aca="false">G1220+G1223+G1224</f>
        <v>47.3688991888987</v>
      </c>
      <c r="H1225" s="30" t="n">
        <f aca="false">G1225*(1+H1226)</f>
        <v>54.4949950282747</v>
      </c>
      <c r="I1225" s="30" t="n">
        <f aca="false">H1225*(1+I1226)</f>
        <v>60.2289116084254</v>
      </c>
      <c r="J1225" s="30" t="n">
        <f aca="false">I1225*(1+J1226)</f>
        <v>63.8426463049309</v>
      </c>
      <c r="K1225" s="8" t="s">
        <v>505</v>
      </c>
    </row>
    <row r="1226" customFormat="false" ht="15" hidden="false" customHeight="false" outlineLevel="0" collapsed="false">
      <c r="A1226" s="4" t="s">
        <v>506</v>
      </c>
      <c r="B1226" s="0" t="s">
        <v>90</v>
      </c>
      <c r="D1226" s="22" t="n">
        <f aca="false">D1225/C1225-1</f>
        <v>0.600706436420722</v>
      </c>
      <c r="E1226" s="22" t="n">
        <f aca="false">E1225/D1225-1</f>
        <v>0.493828720468239</v>
      </c>
      <c r="F1226" s="22" t="n">
        <f aca="false">F1225/E1225-1</f>
        <v>0.238555020987672</v>
      </c>
      <c r="G1226" s="22" t="n">
        <f aca="false">G1225/F1225-1</f>
        <v>0.195657423796941</v>
      </c>
      <c r="H1226" s="26" t="n">
        <f aca="false">$G1226+(fade_gA-$G1226)*1/3</f>
        <v>0.150438282531294</v>
      </c>
      <c r="I1226" s="26" t="n">
        <f aca="false">$G1226+(fade_gA-$G1226)*2/3</f>
        <v>0.105219141265647</v>
      </c>
      <c r="J1226" s="26" t="n">
        <f aca="false">$G1226+(fade_gA-$G1226)*3/3</f>
        <v>0.06</v>
      </c>
    </row>
    <row r="1227" customFormat="false" ht="17.15" hidden="false" customHeight="false" outlineLevel="0" collapsed="false">
      <c r="A1227" s="0" t="s">
        <v>507</v>
      </c>
      <c r="B1227" s="0" t="s">
        <v>90</v>
      </c>
      <c r="C1227" s="22" t="n">
        <f aca="false">C1218/C1225</f>
        <v>0.4059</v>
      </c>
      <c r="D1227" s="22" t="n">
        <f aca="false">D1218/D1225</f>
        <v>0.445262071719287</v>
      </c>
      <c r="E1227" s="22" t="n">
        <f aca="false">E1218/E1225</f>
        <v>0.552908639788161</v>
      </c>
      <c r="F1227" s="22" t="n">
        <f aca="false">F1218/F1225</f>
        <v>0.566807132972301</v>
      </c>
      <c r="G1227" s="22" t="n">
        <f aca="false">G1218/G1225</f>
        <v>0.579415813961687</v>
      </c>
    </row>
    <row r="1228" customFormat="false" ht="17.15" hidden="false" customHeight="false" outlineLevel="0" collapsed="false">
      <c r="A1228" s="4" t="s">
        <v>508</v>
      </c>
      <c r="B1228" s="0" t="s">
        <v>90</v>
      </c>
      <c r="C1228" s="22" t="n">
        <f aca="false">C1220/C1225</f>
        <v>0.738</v>
      </c>
      <c r="D1228" s="22" t="n">
        <f aca="false">D1220/D1225</f>
        <v>0.742103452865479</v>
      </c>
      <c r="E1228" s="22" t="n">
        <f aca="false">E1220/E1225</f>
        <v>0.771491610370265</v>
      </c>
      <c r="F1228" s="22" t="n">
        <f aca="false">F1220/F1225</f>
        <v>0.760937602403184</v>
      </c>
      <c r="G1228" s="22" t="n">
        <f aca="false">G1220/G1225</f>
        <v>0.758015061642382</v>
      </c>
    </row>
    <row r="1229" customFormat="false" ht="17.15" hidden="false" customHeight="false" outlineLevel="0" collapsed="false">
      <c r="A1229" s="6" t="s">
        <v>509</v>
      </c>
    </row>
    <row r="1230" customFormat="false" ht="15" hidden="false" customHeight="false" outlineLevel="0" collapsed="false">
      <c r="A1230" s="4" t="s">
        <v>412</v>
      </c>
      <c r="B1230" s="0" t="s">
        <v>90</v>
      </c>
      <c r="C1230" s="14" t="n">
        <f aca="false">a25_gp/a25_rev</f>
        <v>0.574</v>
      </c>
      <c r="D1230" s="14" t="n">
        <f aca="false">a26_gp/a26_rev</f>
        <v>0.593344593032623</v>
      </c>
      <c r="E1230" s="14" t="n">
        <f aca="false">gm27_A+gm_adj</f>
        <v>0.6</v>
      </c>
      <c r="F1230" s="14" t="n">
        <f aca="false">gmL_A+gm_adj</f>
        <v>0.61</v>
      </c>
      <c r="G1230" s="14" t="n">
        <f aca="false">gmL_A+gm_adj</f>
        <v>0.61</v>
      </c>
    </row>
    <row r="1231" customFormat="false" ht="15" hidden="false" customHeight="false" outlineLevel="0" collapsed="false">
      <c r="A1231" s="4" t="s">
        <v>409</v>
      </c>
      <c r="B1231" s="0" t="s">
        <v>189</v>
      </c>
      <c r="C1231" s="17" t="n">
        <f aca="false">C1225*C1230</f>
        <v>7.678398</v>
      </c>
      <c r="D1231" s="17" t="n">
        <f aca="false">D1225*D1230</f>
        <v>12.7050801</v>
      </c>
      <c r="E1231" s="17" t="n">
        <f aca="false">E1225*E1230</f>
        <v>19.1920989308005</v>
      </c>
      <c r="F1231" s="17" t="n">
        <f aca="false">F1225*F1230</f>
        <v>24.1666450022691</v>
      </c>
      <c r="G1231" s="17" t="n">
        <f aca="false">G1225*G1230</f>
        <v>28.8950285052282</v>
      </c>
    </row>
    <row r="1232" customFormat="false" ht="17.15" hidden="false" customHeight="false" outlineLevel="0" collapsed="false">
      <c r="A1232" s="4" t="s">
        <v>510</v>
      </c>
      <c r="B1232" s="0" t="s">
        <v>189</v>
      </c>
      <c r="D1232" s="17" t="n">
        <f aca="false">a26_opx</f>
        <v>5.05564928556</v>
      </c>
      <c r="E1232" s="17" t="n">
        <f aca="false">D1232*(1+phi*E1226)</f>
        <v>6.55362417625456</v>
      </c>
      <c r="F1232" s="17" t="n">
        <f aca="false">E1232*(1+phi*F1226)</f>
        <v>7.49166414800159</v>
      </c>
      <c r="G1232" s="17" t="n">
        <f aca="false">F1232*(1+phi*G1226)</f>
        <v>8.37114397229152</v>
      </c>
      <c r="K1232" s="8" t="s">
        <v>511</v>
      </c>
    </row>
    <row r="1233" customFormat="false" ht="15" hidden="false" customHeight="false" outlineLevel="0" collapsed="false">
      <c r="A1233" s="4" t="s">
        <v>415</v>
      </c>
      <c r="B1233" s="0" t="s">
        <v>189</v>
      </c>
      <c r="D1233" s="17" t="n">
        <f aca="false">D1231-D1232</f>
        <v>7.64943081444</v>
      </c>
      <c r="E1233" s="17" t="n">
        <f aca="false">E1231-E1232</f>
        <v>12.638474754546</v>
      </c>
      <c r="F1233" s="17" t="n">
        <f aca="false">F1231-F1232</f>
        <v>16.6749808542675</v>
      </c>
      <c r="G1233" s="17" t="n">
        <f aca="false">G1231-G1232</f>
        <v>20.5238845329367</v>
      </c>
    </row>
    <row r="1234" customFormat="false" ht="15" hidden="false" customHeight="false" outlineLevel="0" collapsed="false">
      <c r="A1234" s="4" t="s">
        <v>482</v>
      </c>
      <c r="B1234" s="0" t="s">
        <v>90</v>
      </c>
      <c r="D1234" s="14" t="n">
        <f aca="false">D1233/D1225</f>
        <v>0.357238866484999</v>
      </c>
      <c r="E1234" s="14" t="n">
        <f aca="false">E1233/E1225</f>
        <v>0.395114931413668</v>
      </c>
      <c r="F1234" s="14" t="n">
        <f aca="false">F1233/F1225</f>
        <v>0.42089989405431</v>
      </c>
      <c r="G1234" s="14" t="n">
        <f aca="false">G1233/G1225</f>
        <v>0.43327763330727</v>
      </c>
    </row>
    <row r="1235" customFormat="false" ht="15" hidden="false" customHeight="false" outlineLevel="0" collapsed="false">
      <c r="A1235" s="4" t="s">
        <v>418</v>
      </c>
      <c r="B1235" s="0" t="s">
        <v>189</v>
      </c>
      <c r="C1235" s="17" t="n">
        <f aca="false">a25_ni</f>
        <v>3.18</v>
      </c>
      <c r="D1235" s="17" t="n">
        <f aca="false">a26_ni</f>
        <v>6.7316248085628</v>
      </c>
      <c r="E1235" s="17" t="n">
        <f aca="false">E1233*ni_oi</f>
        <v>10.7427035413641</v>
      </c>
      <c r="F1235" s="17" t="n">
        <f aca="false">F1233*ni_oi</f>
        <v>14.1737337261273</v>
      </c>
      <c r="G1235" s="17" t="n">
        <f aca="false">G1233*ni_oi</f>
        <v>17.4453018529962</v>
      </c>
      <c r="H1235" s="30" t="n">
        <f aca="false">H1225*H1239</f>
        <v>20.0566083261926</v>
      </c>
      <c r="I1235" s="30" t="n">
        <f aca="false">I1225*I1239</f>
        <v>22.1524306253363</v>
      </c>
      <c r="J1235" s="30" t="n">
        <f aca="false">J1225*J1239</f>
        <v>23.4661886488784</v>
      </c>
    </row>
    <row r="1236" customFormat="false" ht="15" hidden="false" customHeight="false" outlineLevel="0" collapsed="false">
      <c r="A1236" s="4" t="s">
        <v>512</v>
      </c>
      <c r="B1236" s="4" t="s">
        <v>513</v>
      </c>
      <c r="C1236" s="19" t="n">
        <f aca="false">a25_sh</f>
        <v>94.9537175276202</v>
      </c>
      <c r="D1236" s="19" t="n">
        <f aca="false">a26_sh</f>
        <v>97.9860681630967</v>
      </c>
      <c r="E1236" s="19" t="n">
        <f aca="false">D1236*(1+sh_g)</f>
        <v>97.9860681630967</v>
      </c>
      <c r="F1236" s="19" t="n">
        <f aca="false">E1236*(1+sh_g)</f>
        <v>97.9860681630967</v>
      </c>
      <c r="G1236" s="19" t="n">
        <f aca="false">F1236*(1+sh_g)</f>
        <v>97.9860681630967</v>
      </c>
      <c r="H1236" s="25" t="n">
        <f aca="false">G1236*(1+sh_g)</f>
        <v>97.9860681630967</v>
      </c>
      <c r="I1236" s="25" t="n">
        <f aca="false">H1236*(1+sh_g)</f>
        <v>97.9860681630967</v>
      </c>
      <c r="J1236" s="25" t="n">
        <f aca="false">I1236*(1+sh_g)</f>
        <v>97.9860681630967</v>
      </c>
    </row>
    <row r="1237" customFormat="false" ht="15" hidden="false" customHeight="false" outlineLevel="0" collapsed="false">
      <c r="A1237" s="0" t="s">
        <v>423</v>
      </c>
      <c r="B1237" s="0" t="s">
        <v>256</v>
      </c>
      <c r="C1237" s="20" t="n">
        <f aca="false">a25_eps</f>
        <v>33.49</v>
      </c>
      <c r="D1237" s="20" t="n">
        <f aca="false">a26_eps</f>
        <v>68.6959552317267</v>
      </c>
      <c r="E1237" s="20" t="n">
        <f aca="false">E1235/E1236*1000</f>
        <v>109.635009779992</v>
      </c>
      <c r="F1237" s="20" t="n">
        <f aca="false">F1235/F1236*1000</f>
        <v>144.650499727526</v>
      </c>
      <c r="G1237" s="20" t="n">
        <f aca="false">G1235/G1236*1000</f>
        <v>178.038594465886</v>
      </c>
      <c r="H1237" s="28" t="n">
        <f aca="false">H1235/H1236*1000</f>
        <v>204.688367460653</v>
      </c>
      <c r="I1237" s="28" t="n">
        <f aca="false">I1235/I1236*1000</f>
        <v>226.07734998065</v>
      </c>
      <c r="J1237" s="28" t="n">
        <f aca="false">J1235/J1236*1000</f>
        <v>239.484950144333</v>
      </c>
    </row>
    <row r="1238" customFormat="false" ht="17.15" hidden="false" customHeight="false" outlineLevel="0" collapsed="false">
      <c r="A1238" s="0" t="s">
        <v>514</v>
      </c>
      <c r="B1238" s="0" t="s">
        <v>90</v>
      </c>
      <c r="D1238" s="22" t="n">
        <f aca="false">D1237/C1237-1</f>
        <v>1.05123783910799</v>
      </c>
      <c r="E1238" s="22" t="n">
        <f aca="false">E1237/D1237-1</f>
        <v>0.595945633337057</v>
      </c>
      <c r="F1238" s="22" t="n">
        <f aca="false">F1237/E1237-1</f>
        <v>0.319382376284731</v>
      </c>
      <c r="G1238" s="22" t="n">
        <f aca="false">G1237/F1237-1</f>
        <v>0.230819076334005</v>
      </c>
      <c r="H1238" s="26" t="n">
        <f aca="false">H1237/G1237-1</f>
        <v>0.149685370605832</v>
      </c>
      <c r="I1238" s="26" t="n">
        <f aca="false">I1237/H1237-1</f>
        <v>0.104495349615355</v>
      </c>
      <c r="J1238" s="26" t="n">
        <f aca="false">J1237/I1237-1</f>
        <v>0.0593053667907459</v>
      </c>
    </row>
    <row r="1239" customFormat="false" ht="17.15" hidden="false" customHeight="false" outlineLevel="0" collapsed="false">
      <c r="A1239" s="4" t="s">
        <v>515</v>
      </c>
      <c r="B1239" s="0" t="s">
        <v>90</v>
      </c>
      <c r="C1239" s="14" t="n">
        <f aca="false">C1235/C1225</f>
        <v>0.237721462211258</v>
      </c>
      <c r="D1239" s="14" t="n">
        <f aca="false">D1235/D1225</f>
        <v>0.314376072488123</v>
      </c>
      <c r="E1239" s="14" t="n">
        <f aca="false">E1235/E1225</f>
        <v>0.335847691701618</v>
      </c>
      <c r="F1239" s="14" t="n">
        <f aca="false">F1235/F1225</f>
        <v>0.357764909946163</v>
      </c>
      <c r="G1239" s="14" t="n">
        <f aca="false">G1235/G1225</f>
        <v>0.36828598831118</v>
      </c>
      <c r="H1239" s="27" t="n">
        <f aca="false">$G1239+(fade_mA-$G1239)*1/3</f>
        <v>0.368044961115901</v>
      </c>
      <c r="I1239" s="27" t="n">
        <f aca="false">$G1239+(fade_mA-$G1239)*2/3</f>
        <v>0.367803933920622</v>
      </c>
      <c r="J1239" s="27" t="n">
        <f aca="false">$G1239+(fade_mA-$G1239)*3/3</f>
        <v>0.367562906725343</v>
      </c>
    </row>
    <row r="1242" customFormat="false" ht="17.15" hidden="false" customHeight="false" outlineLevel="0" collapsed="false">
      <c r="A1242" s="1" t="s">
        <v>839</v>
      </c>
    </row>
    <row r="1243" customFormat="false" ht="17.15" hidden="false" customHeight="false" outlineLevel="0" collapsed="false">
      <c r="A1243" s="5" t="s">
        <v>21</v>
      </c>
      <c r="B1243" s="5" t="s">
        <v>22</v>
      </c>
      <c r="C1243" s="15" t="s">
        <v>387</v>
      </c>
      <c r="D1243" s="15" t="s">
        <v>468</v>
      </c>
      <c r="E1243" s="15" t="s">
        <v>469</v>
      </c>
      <c r="F1243" s="15" t="s">
        <v>470</v>
      </c>
      <c r="G1243" s="15" t="s">
        <v>471</v>
      </c>
      <c r="H1243" s="15" t="s">
        <v>472</v>
      </c>
      <c r="I1243" s="15" t="s">
        <v>473</v>
      </c>
      <c r="J1243" s="15" t="s">
        <v>474</v>
      </c>
      <c r="K1243" s="5" t="s">
        <v>336</v>
      </c>
    </row>
    <row r="1244" customFormat="false" ht="17.15" hidden="false" customHeight="false" outlineLevel="0" collapsed="false">
      <c r="A1244" s="6" t="s">
        <v>492</v>
      </c>
    </row>
    <row r="1245" customFormat="false" ht="17.15" hidden="false" customHeight="false" outlineLevel="0" collapsed="false">
      <c r="A1245" s="0" t="s">
        <v>493</v>
      </c>
      <c r="B1245" s="4" t="s">
        <v>32</v>
      </c>
      <c r="D1245" s="20" t="n">
        <f aca="false">units_26</f>
        <v>15.2</v>
      </c>
      <c r="E1245" s="20" t="n">
        <f aca="false">units_27*1</f>
        <v>23.7</v>
      </c>
      <c r="F1245" s="20" t="n">
        <f aca="false">units_28*um28_B*1</f>
        <v>21.2</v>
      </c>
      <c r="G1245" s="20" t="n">
        <f aca="false">units_29*um29_B*1</f>
        <v>25.6275</v>
      </c>
    </row>
    <row r="1246" customFormat="false" ht="17.15" hidden="false" customHeight="false" outlineLevel="0" collapsed="false">
      <c r="A1246" s="4" t="s">
        <v>494</v>
      </c>
      <c r="B1246" s="0" t="s">
        <v>45</v>
      </c>
      <c r="D1246" s="18" t="n">
        <f aca="false">ex_nv*nvtt_26+astt_26</f>
        <v>0.607994</v>
      </c>
      <c r="E1246" s="18" t="n">
        <f aca="false">ex_nv*nvtt_27+astt_27</f>
        <v>0.6560764</v>
      </c>
      <c r="F1246" s="18" t="n">
        <f aca="false">ex_nv*nvtt_28+astt_28</f>
        <v>0.6898114</v>
      </c>
      <c r="G1246" s="18" t="n">
        <f aca="false">ex_nv*nvtt_29+astt_29</f>
        <v>0.692935</v>
      </c>
      <c r="K1246" s="8" t="s">
        <v>495</v>
      </c>
    </row>
    <row r="1247" customFormat="false" ht="17.15" hidden="false" customHeight="false" outlineLevel="0" collapsed="false">
      <c r="A1247" s="4" t="s">
        <v>447</v>
      </c>
      <c r="B1247" s="0" t="s">
        <v>45</v>
      </c>
      <c r="D1247" s="18" t="n">
        <f aca="false">D1245*D1246/($D1245*$D1246)</f>
        <v>1</v>
      </c>
      <c r="E1247" s="18" t="n">
        <f aca="false">E1245*E1246/($D1245*$D1246)</f>
        <v>1.68251862509724</v>
      </c>
      <c r="F1247" s="18" t="n">
        <f aca="false">F1245*F1246/($D1245*$D1246)</f>
        <v>1.58242577012966</v>
      </c>
      <c r="G1247" s="18" t="n">
        <f aca="false">G1245*G1246/($D1245*$D1246)</f>
        <v>1.92156844697264</v>
      </c>
    </row>
    <row r="1248" customFormat="false" ht="17.15" hidden="false" customHeight="false" outlineLevel="0" collapsed="false">
      <c r="A1248" s="4" t="s">
        <v>496</v>
      </c>
      <c r="B1248" s="0" t="s">
        <v>45</v>
      </c>
      <c r="D1248" s="20" t="n">
        <f aca="false">1</f>
        <v>1</v>
      </c>
      <c r="E1248" s="20" t="n">
        <f aca="false">rel27_B</f>
        <v>1</v>
      </c>
      <c r="F1248" s="20" t="n">
        <f aca="false">rel28_B</f>
        <v>1</v>
      </c>
      <c r="G1248" s="20" t="n">
        <f aca="false">rel29_B</f>
        <v>1</v>
      </c>
    </row>
    <row r="1249" customFormat="false" ht="17.15" hidden="false" customHeight="false" outlineLevel="0" collapsed="false">
      <c r="A1249" s="4" t="s">
        <v>497</v>
      </c>
      <c r="B1249" s="0" t="s">
        <v>45</v>
      </c>
      <c r="D1249" s="18" t="n">
        <f aca="false">1</f>
        <v>1</v>
      </c>
      <c r="E1249" s="18" t="n">
        <f aca="false">(1+g_ct)^1</f>
        <v>1.05</v>
      </c>
      <c r="F1249" s="18" t="n">
        <f aca="false">(1+g_ct)^2</f>
        <v>1.1025</v>
      </c>
      <c r="G1249" s="18" t="n">
        <f aca="false">(1+g_ct)^3</f>
        <v>1.157625</v>
      </c>
    </row>
    <row r="1250" customFormat="false" ht="17.15" hidden="false" customHeight="false" outlineLevel="0" collapsed="false">
      <c r="A1250" s="6" t="s">
        <v>498</v>
      </c>
    </row>
    <row r="1251" customFormat="false" ht="17.15" hidden="false" customHeight="false" outlineLevel="0" collapsed="false">
      <c r="A1251" s="0" t="s">
        <v>401</v>
      </c>
      <c r="B1251" s="0" t="s">
        <v>189</v>
      </c>
      <c r="C1251" s="17" t="n">
        <f aca="false">a25_ai</f>
        <v>5.4297243</v>
      </c>
      <c r="D1251" s="17" t="n">
        <f aca="false">a26_ai</f>
        <v>9.5342409</v>
      </c>
      <c r="E1251" s="17" t="n">
        <f aca="false">$D1251*E1247*E1248*E1249</f>
        <v>16.8436147849345</v>
      </c>
      <c r="F1251" s="17" t="n">
        <f aca="false">$D1251*F1247*F1248*F1249</f>
        <v>16.6336694199096</v>
      </c>
      <c r="G1251" s="17" t="n">
        <f aca="false">$D1251*G1247*G1248*G1249</f>
        <v>21.2084962618219</v>
      </c>
      <c r="K1251" s="8" t="s">
        <v>499</v>
      </c>
    </row>
    <row r="1252" customFormat="false" ht="17.15" hidden="false" customHeight="false" outlineLevel="0" collapsed="false">
      <c r="A1252" s="4" t="s">
        <v>404</v>
      </c>
      <c r="B1252" s="0" t="s">
        <v>189</v>
      </c>
      <c r="C1252" s="17" t="n">
        <f aca="false">a25_npc</f>
        <v>4.4425017</v>
      </c>
      <c r="D1252" s="17" t="n">
        <f aca="false">a26_npc</f>
        <v>6.3561606</v>
      </c>
      <c r="E1252" s="17" t="n">
        <f aca="false">D1252*(1+g_nonai+d_npc_hi)</f>
        <v>6.99177666</v>
      </c>
      <c r="F1252" s="17" t="n">
        <f aca="false">E1252*(1+g_nonai+d_npc_hi)</f>
        <v>7.690954326</v>
      </c>
      <c r="G1252" s="17" t="n">
        <f aca="false">F1252*(1+g_nonai+d_npc_hi)</f>
        <v>8.4600497586</v>
      </c>
      <c r="K1252" s="4" t="s">
        <v>500</v>
      </c>
    </row>
    <row r="1253" customFormat="false" ht="15" hidden="false" customHeight="false" outlineLevel="0" collapsed="false">
      <c r="A1253" s="4" t="s">
        <v>398</v>
      </c>
      <c r="B1253" s="0" t="s">
        <v>189</v>
      </c>
      <c r="C1253" s="17" t="n">
        <f aca="false">C1251+C1252</f>
        <v>9.872226</v>
      </c>
      <c r="D1253" s="17" t="n">
        <f aca="false">D1251+D1252</f>
        <v>15.8904015</v>
      </c>
      <c r="E1253" s="17" t="n">
        <f aca="false">E1251+E1252</f>
        <v>23.8353914449345</v>
      </c>
      <c r="F1253" s="17" t="n">
        <f aca="false">F1251+F1252</f>
        <v>24.3246237459096</v>
      </c>
      <c r="G1253" s="17" t="n">
        <f aca="false">G1251+G1252</f>
        <v>29.6685460204219</v>
      </c>
    </row>
    <row r="1254" customFormat="false" ht="17.15" hidden="false" customHeight="false" outlineLevel="0" collapsed="false">
      <c r="A1254" s="0" t="s">
        <v>501</v>
      </c>
      <c r="B1254" s="0" t="s">
        <v>189</v>
      </c>
      <c r="D1254" s="17" t="n">
        <f aca="false">k_cpo*cpo_A_26/cpo_A_27</f>
        <v>0.24</v>
      </c>
      <c r="E1254" s="17" t="n">
        <f aca="false">k_cpo*cpo_B_27/cpo_A_27</f>
        <v>0.72</v>
      </c>
      <c r="F1254" s="17" t="n">
        <f aca="false">k_cpo*cpo_B_28/cpo_A_27</f>
        <v>1.2</v>
      </c>
      <c r="G1254" s="17" t="n">
        <f aca="false">k_cpo*cpo_B_29/cpo_A_27</f>
        <v>1.92</v>
      </c>
      <c r="K1254" s="8" t="s">
        <v>502</v>
      </c>
    </row>
    <row r="1255" customFormat="false" ht="17.15" hidden="false" customHeight="false" outlineLevel="0" collapsed="false">
      <c r="A1255" s="4" t="s">
        <v>503</v>
      </c>
      <c r="B1255" s="0" t="s">
        <v>189</v>
      </c>
      <c r="C1255" s="17" t="n">
        <f aca="false">a25_eq</f>
        <v>3.290742</v>
      </c>
      <c r="D1255" s="17" t="n">
        <f aca="false">a26_eq-D1254</f>
        <v>4.8539955</v>
      </c>
      <c r="E1255" s="17" t="n">
        <f aca="false">D1255*semi_27</f>
        <v>5.659593717153</v>
      </c>
      <c r="F1255" s="17" t="n">
        <f aca="false">$E1255*eqk28_B</f>
        <v>5.659593717153</v>
      </c>
      <c r="G1255" s="17" t="n">
        <f aca="false">$E1255*eqk29_B</f>
        <v>5.37661403129535</v>
      </c>
      <c r="K1255" s="8" t="s">
        <v>504</v>
      </c>
    </row>
    <row r="1256" customFormat="false" ht="15" hidden="false" customHeight="false" outlineLevel="0" collapsed="false">
      <c r="A1256" s="4" t="s">
        <v>405</v>
      </c>
      <c r="B1256" s="0" t="s">
        <v>189</v>
      </c>
      <c r="C1256" s="17" t="n">
        <f aca="false">a25_eq</f>
        <v>3.290742</v>
      </c>
      <c r="D1256" s="17" t="n">
        <f aca="false">D1254+D1255</f>
        <v>5.0939955</v>
      </c>
      <c r="E1256" s="17" t="n">
        <f aca="false">E1254+E1255</f>
        <v>6.379593717153</v>
      </c>
      <c r="F1256" s="17" t="n">
        <f aca="false">F1254+F1255</f>
        <v>6.859593717153</v>
      </c>
      <c r="G1256" s="17" t="n">
        <f aca="false">G1254+G1255</f>
        <v>7.29661403129535</v>
      </c>
    </row>
    <row r="1257" customFormat="false" ht="15" hidden="false" customHeight="false" outlineLevel="0" collapsed="false">
      <c r="A1257" s="4" t="s">
        <v>407</v>
      </c>
      <c r="B1257" s="0" t="s">
        <v>189</v>
      </c>
      <c r="C1257" s="17" t="n">
        <f aca="false">a25_oth</f>
        <v>0.214032000000001</v>
      </c>
      <c r="D1257" s="17" t="n">
        <f aca="false">a26_oth</f>
        <v>0.428253</v>
      </c>
      <c r="E1257" s="17" t="n">
        <f aca="false">D1257*(1+g_oth)</f>
        <v>0.44966565</v>
      </c>
      <c r="F1257" s="17" t="n">
        <f aca="false">E1257*(1+g_oth)</f>
        <v>0.4721489325</v>
      </c>
      <c r="G1257" s="17" t="n">
        <f aca="false">F1257*(1+g_oth)</f>
        <v>0.495756379125</v>
      </c>
    </row>
    <row r="1258" customFormat="false" ht="17.15" hidden="false" customHeight="false" outlineLevel="0" collapsed="false">
      <c r="A1258" s="4" t="s">
        <v>394</v>
      </c>
      <c r="B1258" s="0" t="s">
        <v>189</v>
      </c>
      <c r="C1258" s="17" t="n">
        <f aca="false">C1253+C1256+C1257</f>
        <v>13.377</v>
      </c>
      <c r="D1258" s="17" t="n">
        <f aca="false">D1253+D1256+D1257</f>
        <v>21.41265</v>
      </c>
      <c r="E1258" s="17" t="n">
        <f aca="false">E1253+E1256+E1257</f>
        <v>30.6646508120875</v>
      </c>
      <c r="F1258" s="17" t="n">
        <f aca="false">F1253+F1256+F1257</f>
        <v>31.6563663955626</v>
      </c>
      <c r="G1258" s="17" t="n">
        <f aca="false">G1253+G1256+G1257</f>
        <v>37.4609164308423</v>
      </c>
      <c r="H1258" s="30" t="n">
        <f aca="false">G1258*(1+H1259)</f>
        <v>42.5396482662818</v>
      </c>
      <c r="I1258" s="30" t="n">
        <f aca="false">H1258*(1+I1259)</f>
        <v>46.2740795205588</v>
      </c>
      <c r="J1258" s="30" t="n">
        <f aca="false">I1258*(1+J1259)</f>
        <v>48.1250427013811</v>
      </c>
      <c r="K1258" s="8" t="s">
        <v>505</v>
      </c>
    </row>
    <row r="1259" customFormat="false" ht="15" hidden="false" customHeight="false" outlineLevel="0" collapsed="false">
      <c r="A1259" s="4" t="s">
        <v>506</v>
      </c>
      <c r="B1259" s="0" t="s">
        <v>90</v>
      </c>
      <c r="D1259" s="22" t="n">
        <f aca="false">D1258/C1258-1</f>
        <v>0.600706436420722</v>
      </c>
      <c r="E1259" s="22" t="n">
        <f aca="false">E1258/D1258-1</f>
        <v>0.4320810741355</v>
      </c>
      <c r="F1259" s="22" t="n">
        <f aca="false">F1258/E1258-1</f>
        <v>0.032340677529715</v>
      </c>
      <c r="G1259" s="22" t="n">
        <f aca="false">G1258/F1258-1</f>
        <v>0.183361222281448</v>
      </c>
      <c r="H1259" s="26" t="n">
        <f aca="false">$G1259+(fade_gB-$G1259)*1/3</f>
        <v>0.135574148187632</v>
      </c>
      <c r="I1259" s="26" t="n">
        <f aca="false">$G1259+(fade_gB-$G1259)*2/3</f>
        <v>0.0877870740938162</v>
      </c>
      <c r="J1259" s="26" t="n">
        <f aca="false">$G1259+(fade_gB-$G1259)*3/3</f>
        <v>0.04</v>
      </c>
    </row>
    <row r="1260" customFormat="false" ht="17.15" hidden="false" customHeight="false" outlineLevel="0" collapsed="false">
      <c r="A1260" s="0" t="s">
        <v>507</v>
      </c>
      <c r="B1260" s="0" t="s">
        <v>90</v>
      </c>
      <c r="C1260" s="22" t="n">
        <f aca="false">C1251/C1258</f>
        <v>0.4059</v>
      </c>
      <c r="D1260" s="22" t="n">
        <f aca="false">D1251/D1258</f>
        <v>0.445262071719287</v>
      </c>
      <c r="E1260" s="22" t="n">
        <f aca="false">E1251/E1258</f>
        <v>0.549284415079497</v>
      </c>
      <c r="F1260" s="22" t="n">
        <f aca="false">F1251/F1258</f>
        <v>0.525444683450504</v>
      </c>
      <c r="G1260" s="22" t="n">
        <f aca="false">G1251/G1258</f>
        <v>0.566149957942849</v>
      </c>
    </row>
    <row r="1261" customFormat="false" ht="17.15" hidden="false" customHeight="false" outlineLevel="0" collapsed="false">
      <c r="A1261" s="4" t="s">
        <v>508</v>
      </c>
      <c r="B1261" s="0" t="s">
        <v>90</v>
      </c>
      <c r="C1261" s="22" t="n">
        <f aca="false">C1253/C1258</f>
        <v>0.738</v>
      </c>
      <c r="D1261" s="22" t="n">
        <f aca="false">D1253/D1258</f>
        <v>0.742103452865479</v>
      </c>
      <c r="E1261" s="22" t="n">
        <f aca="false">E1253/E1258</f>
        <v>0.777292120200468</v>
      </c>
      <c r="F1261" s="22" t="n">
        <f aca="false">F1253/F1258</f>
        <v>0.768395950500474</v>
      </c>
      <c r="G1261" s="22" t="n">
        <f aca="false">G1253/G1258</f>
        <v>0.791986658286749</v>
      </c>
    </row>
    <row r="1262" customFormat="false" ht="17.15" hidden="false" customHeight="false" outlineLevel="0" collapsed="false">
      <c r="A1262" s="6" t="s">
        <v>509</v>
      </c>
    </row>
    <row r="1263" customFormat="false" ht="15" hidden="false" customHeight="false" outlineLevel="0" collapsed="false">
      <c r="A1263" s="4" t="s">
        <v>412</v>
      </c>
      <c r="B1263" s="0" t="s">
        <v>90</v>
      </c>
      <c r="C1263" s="14" t="n">
        <f aca="false">a25_gp/a25_rev</f>
        <v>0.574</v>
      </c>
      <c r="D1263" s="14" t="n">
        <f aca="false">a26_gp/a26_rev</f>
        <v>0.593344593032623</v>
      </c>
      <c r="E1263" s="14" t="n">
        <f aca="false">gm27_B+gm_adj</f>
        <v>0.595</v>
      </c>
      <c r="F1263" s="14" t="n">
        <f aca="false">gmL_B+gm_adj</f>
        <v>0.595</v>
      </c>
      <c r="G1263" s="14" t="n">
        <f aca="false">gmL_B+gm_adj</f>
        <v>0.595</v>
      </c>
    </row>
    <row r="1264" customFormat="false" ht="15" hidden="false" customHeight="false" outlineLevel="0" collapsed="false">
      <c r="A1264" s="4" t="s">
        <v>409</v>
      </c>
      <c r="B1264" s="0" t="s">
        <v>189</v>
      </c>
      <c r="C1264" s="17" t="n">
        <f aca="false">C1258*C1263</f>
        <v>7.678398</v>
      </c>
      <c r="D1264" s="17" t="n">
        <f aca="false">D1258*D1263</f>
        <v>12.7050801</v>
      </c>
      <c r="E1264" s="17" t="n">
        <f aca="false">E1258*E1263</f>
        <v>18.2454672331921</v>
      </c>
      <c r="F1264" s="17" t="n">
        <f aca="false">F1258*F1263</f>
        <v>18.8355380053597</v>
      </c>
      <c r="G1264" s="17" t="n">
        <f aca="false">G1258*G1263</f>
        <v>22.2892452763512</v>
      </c>
    </row>
    <row r="1265" customFormat="false" ht="17.15" hidden="false" customHeight="false" outlineLevel="0" collapsed="false">
      <c r="A1265" s="4" t="s">
        <v>510</v>
      </c>
      <c r="B1265" s="0" t="s">
        <v>189</v>
      </c>
      <c r="D1265" s="17" t="n">
        <f aca="false">a26_opx</f>
        <v>5.05564928556</v>
      </c>
      <c r="E1265" s="17" t="n">
        <f aca="false">D1265*(1+phi*E1259)</f>
        <v>6.36631950981428</v>
      </c>
      <c r="F1265" s="17" t="n">
        <f aca="false">E1265*(1+phi*F1259)</f>
        <v>6.48985416160511</v>
      </c>
      <c r="G1265" s="17" t="n">
        <f aca="false">F1265*(1+phi*G1259)</f>
        <v>7.20384671650526</v>
      </c>
      <c r="K1265" s="8" t="s">
        <v>511</v>
      </c>
    </row>
    <row r="1266" customFormat="false" ht="15" hidden="false" customHeight="false" outlineLevel="0" collapsed="false">
      <c r="A1266" s="4" t="s">
        <v>415</v>
      </c>
      <c r="B1266" s="0" t="s">
        <v>189</v>
      </c>
      <c r="D1266" s="17" t="n">
        <f aca="false">D1264-D1265</f>
        <v>7.64943081444</v>
      </c>
      <c r="E1266" s="17" t="n">
        <f aca="false">E1264-E1265</f>
        <v>11.8791477233778</v>
      </c>
      <c r="F1266" s="17" t="n">
        <f aca="false">F1264-F1265</f>
        <v>12.3456838437546</v>
      </c>
      <c r="G1266" s="17" t="n">
        <f aca="false">G1264-G1265</f>
        <v>15.0853985598459</v>
      </c>
    </row>
    <row r="1267" customFormat="false" ht="15" hidden="false" customHeight="false" outlineLevel="0" collapsed="false">
      <c r="A1267" s="4" t="s">
        <v>482</v>
      </c>
      <c r="B1267" s="0" t="s">
        <v>90</v>
      </c>
      <c r="D1267" s="14" t="n">
        <f aca="false">D1266/D1258</f>
        <v>0.357238866484999</v>
      </c>
      <c r="E1267" s="14" t="n">
        <f aca="false">E1266/E1258</f>
        <v>0.387388977496369</v>
      </c>
      <c r="F1267" s="14" t="n">
        <f aca="false">F1266/F1258</f>
        <v>0.389990553226765</v>
      </c>
      <c r="G1267" s="14" t="n">
        <f aca="false">G1266/G1258</f>
        <v>0.40269699722097</v>
      </c>
    </row>
    <row r="1268" customFormat="false" ht="15" hidden="false" customHeight="false" outlineLevel="0" collapsed="false">
      <c r="A1268" s="4" t="s">
        <v>418</v>
      </c>
      <c r="B1268" s="0" t="s">
        <v>189</v>
      </c>
      <c r="C1268" s="17" t="n">
        <f aca="false">a25_ni</f>
        <v>3.18</v>
      </c>
      <c r="D1268" s="17" t="n">
        <f aca="false">a26_ni</f>
        <v>6.7316248085628</v>
      </c>
      <c r="E1268" s="17" t="n">
        <f aca="false">E1266*ni_oi</f>
        <v>10.0972755648711</v>
      </c>
      <c r="F1268" s="17" t="n">
        <f aca="false">F1266*ni_oi</f>
        <v>10.4938312671914</v>
      </c>
      <c r="G1268" s="17" t="n">
        <f aca="false">G1266*ni_oi</f>
        <v>12.822588775869</v>
      </c>
      <c r="H1268" s="30" t="n">
        <f aca="false">H1258*H1272</f>
        <v>14.0620187046062</v>
      </c>
      <c r="I1268" s="30" t="n">
        <f aca="false">I1258*I1272</f>
        <v>14.7536964237927</v>
      </c>
      <c r="J1268" s="30" t="n">
        <f aca="false">J1258*J1272</f>
        <v>14.7793470916514</v>
      </c>
    </row>
    <row r="1269" customFormat="false" ht="15" hidden="false" customHeight="false" outlineLevel="0" collapsed="false">
      <c r="A1269" s="4" t="s">
        <v>512</v>
      </c>
      <c r="B1269" s="4" t="s">
        <v>513</v>
      </c>
      <c r="C1269" s="19" t="n">
        <f aca="false">a25_sh</f>
        <v>94.9537175276202</v>
      </c>
      <c r="D1269" s="19" t="n">
        <f aca="false">a26_sh</f>
        <v>97.9860681630967</v>
      </c>
      <c r="E1269" s="19" t="n">
        <f aca="false">D1269*(1+sh_g)</f>
        <v>97.9860681630967</v>
      </c>
      <c r="F1269" s="19" t="n">
        <f aca="false">E1269*(1+sh_g)</f>
        <v>97.9860681630967</v>
      </c>
      <c r="G1269" s="19" t="n">
        <f aca="false">F1269*(1+sh_g)</f>
        <v>97.9860681630967</v>
      </c>
      <c r="H1269" s="25" t="n">
        <f aca="false">G1269*(1+sh_g)</f>
        <v>97.9860681630967</v>
      </c>
      <c r="I1269" s="25" t="n">
        <f aca="false">H1269*(1+sh_g)</f>
        <v>97.9860681630967</v>
      </c>
      <c r="J1269" s="25" t="n">
        <f aca="false">I1269*(1+sh_g)</f>
        <v>97.9860681630967</v>
      </c>
    </row>
    <row r="1270" customFormat="false" ht="15" hidden="false" customHeight="false" outlineLevel="0" collapsed="false">
      <c r="A1270" s="0" t="s">
        <v>423</v>
      </c>
      <c r="B1270" s="0" t="s">
        <v>256</v>
      </c>
      <c r="C1270" s="20" t="n">
        <f aca="false">a25_eps</f>
        <v>33.49</v>
      </c>
      <c r="D1270" s="20" t="n">
        <f aca="false">a26_eps</f>
        <v>68.6959552317267</v>
      </c>
      <c r="E1270" s="20" t="n">
        <f aca="false">E1268/E1269*1000</f>
        <v>103.048073610468</v>
      </c>
      <c r="F1270" s="20" t="n">
        <f aca="false">F1268/F1269*1000</f>
        <v>107.095135705665</v>
      </c>
      <c r="G1270" s="20" t="n">
        <f aca="false">G1268/G1269*1000</f>
        <v>130.861346069382</v>
      </c>
      <c r="H1270" s="28" t="n">
        <f aca="false">H1268/H1269*1000</f>
        <v>143.510388448285</v>
      </c>
      <c r="I1270" s="28" t="n">
        <f aca="false">I1268/I1269*1000</f>
        <v>150.569327868482</v>
      </c>
      <c r="J1270" s="28" t="n">
        <f aca="false">J1268/J1269*1000</f>
        <v>150.831106592126</v>
      </c>
    </row>
    <row r="1271" customFormat="false" ht="17.15" hidden="false" customHeight="false" outlineLevel="0" collapsed="false">
      <c r="A1271" s="0" t="s">
        <v>514</v>
      </c>
      <c r="B1271" s="0" t="s">
        <v>90</v>
      </c>
      <c r="D1271" s="22" t="n">
        <f aca="false">D1270/C1270-1</f>
        <v>1.05123783910799</v>
      </c>
      <c r="E1271" s="22" t="n">
        <f aca="false">E1270/D1270-1</f>
        <v>0.500060276662053</v>
      </c>
      <c r="F1271" s="22" t="n">
        <f aca="false">F1270/E1270-1</f>
        <v>0.0392735347047413</v>
      </c>
      <c r="G1271" s="22" t="n">
        <f aca="false">G1270/F1270-1</f>
        <v>0.221916805157556</v>
      </c>
      <c r="H1271" s="26" t="n">
        <f aca="false">H1270/G1270-1</f>
        <v>0.0966598828365812</v>
      </c>
      <c r="I1271" s="26" t="n">
        <f aca="false">I1270/H1270-1</f>
        <v>0.04918765461178</v>
      </c>
      <c r="J1271" s="26" t="n">
        <f aca="false">J1270/I1270-1</f>
        <v>0.00173859262938847</v>
      </c>
    </row>
    <row r="1272" customFormat="false" ht="17.15" hidden="false" customHeight="false" outlineLevel="0" collapsed="false">
      <c r="A1272" s="4" t="s">
        <v>515</v>
      </c>
      <c r="B1272" s="0" t="s">
        <v>90</v>
      </c>
      <c r="C1272" s="14" t="n">
        <f aca="false">C1268/C1258</f>
        <v>0.237721462211258</v>
      </c>
      <c r="D1272" s="14" t="n">
        <f aca="false">D1268/D1258</f>
        <v>0.314376072488123</v>
      </c>
      <c r="E1272" s="14" t="n">
        <f aca="false">E1268/E1258</f>
        <v>0.329280630871914</v>
      </c>
      <c r="F1272" s="14" t="n">
        <f aca="false">F1268/F1258</f>
        <v>0.33149197024275</v>
      </c>
      <c r="G1272" s="14" t="n">
        <f aca="false">G1268/G1258</f>
        <v>0.342292447637825</v>
      </c>
      <c r="H1272" s="27" t="n">
        <f aca="false">$G1272+(fade_mB-$G1272)*1/3</f>
        <v>0.33056264632428</v>
      </c>
      <c r="I1272" s="27" t="n">
        <f aca="false">$G1272+(fade_mB-$G1272)*2/3</f>
        <v>0.318832845010735</v>
      </c>
      <c r="J1272" s="27" t="n">
        <f aca="false">$G1272+(fade_mB-$G1272)*3/3</f>
        <v>0.30710304369719</v>
      </c>
    </row>
    <row r="1275" customFormat="false" ht="17.15" hidden="false" customHeight="false" outlineLevel="0" collapsed="false">
      <c r="A1275" s="1" t="s">
        <v>840</v>
      </c>
    </row>
    <row r="1276" customFormat="false" ht="17.15" hidden="false" customHeight="false" outlineLevel="0" collapsed="false">
      <c r="A1276" s="5" t="s">
        <v>21</v>
      </c>
      <c r="B1276" s="5" t="s">
        <v>22</v>
      </c>
      <c r="C1276" s="15" t="s">
        <v>387</v>
      </c>
      <c r="D1276" s="15" t="s">
        <v>468</v>
      </c>
      <c r="E1276" s="15" t="s">
        <v>469</v>
      </c>
      <c r="F1276" s="15" t="s">
        <v>470</v>
      </c>
      <c r="G1276" s="15" t="s">
        <v>471</v>
      </c>
      <c r="H1276" s="15" t="s">
        <v>472</v>
      </c>
      <c r="I1276" s="15" t="s">
        <v>473</v>
      </c>
      <c r="J1276" s="15" t="s">
        <v>474</v>
      </c>
      <c r="K1276" s="5" t="s">
        <v>336</v>
      </c>
    </row>
    <row r="1277" customFormat="false" ht="17.15" hidden="false" customHeight="false" outlineLevel="0" collapsed="false">
      <c r="A1277" s="6" t="s">
        <v>492</v>
      </c>
    </row>
    <row r="1278" customFormat="false" ht="17.15" hidden="false" customHeight="false" outlineLevel="0" collapsed="false">
      <c r="A1278" s="0" t="s">
        <v>493</v>
      </c>
      <c r="B1278" s="4" t="s">
        <v>32</v>
      </c>
      <c r="D1278" s="20" t="n">
        <f aca="false">units_26</f>
        <v>15.2</v>
      </c>
      <c r="E1278" s="20" t="n">
        <f aca="false">units_27*1</f>
        <v>23.7</v>
      </c>
      <c r="F1278" s="20" t="n">
        <f aca="false">units_28*um28_C*1</f>
        <v>15.9</v>
      </c>
      <c r="G1278" s="20" t="n">
        <f aca="false">units_29*um29_C*1</f>
        <v>18.09</v>
      </c>
    </row>
    <row r="1279" customFormat="false" ht="17.15" hidden="false" customHeight="false" outlineLevel="0" collapsed="false">
      <c r="A1279" s="4" t="s">
        <v>494</v>
      </c>
      <c r="B1279" s="0" t="s">
        <v>45</v>
      </c>
      <c r="D1279" s="18" t="n">
        <f aca="false">ex_nv*nvtt_26+astt_26</f>
        <v>0.607994</v>
      </c>
      <c r="E1279" s="18" t="n">
        <f aca="false">ex_nv*nvtt_27+astt_27</f>
        <v>0.6560764</v>
      </c>
      <c r="F1279" s="18" t="n">
        <f aca="false">ex_nv*nvtt_28+astt_28</f>
        <v>0.6898114</v>
      </c>
      <c r="G1279" s="18" t="n">
        <f aca="false">ex_nv*nvtt_29+astt_29</f>
        <v>0.692935</v>
      </c>
      <c r="K1279" s="8" t="s">
        <v>495</v>
      </c>
    </row>
    <row r="1280" customFormat="false" ht="17.15" hidden="false" customHeight="false" outlineLevel="0" collapsed="false">
      <c r="A1280" s="4" t="s">
        <v>447</v>
      </c>
      <c r="B1280" s="0" t="s">
        <v>45</v>
      </c>
      <c r="D1280" s="18" t="n">
        <f aca="false">D1278*D1279/($D1278*$D1279)</f>
        <v>1</v>
      </c>
      <c r="E1280" s="18" t="n">
        <f aca="false">E1278*E1279/($D1278*$D1279)</f>
        <v>1.68251862509724</v>
      </c>
      <c r="F1280" s="18" t="n">
        <f aca="false">F1278*F1279/($D1278*$D1279)</f>
        <v>1.18681932759724</v>
      </c>
      <c r="G1280" s="18" t="n">
        <f aca="false">G1278*G1279/($D1278*$D1279)</f>
        <v>1.35640125668657</v>
      </c>
    </row>
    <row r="1281" customFormat="false" ht="17.15" hidden="false" customHeight="false" outlineLevel="0" collapsed="false">
      <c r="A1281" s="4" t="s">
        <v>496</v>
      </c>
      <c r="B1281" s="0" t="s">
        <v>45</v>
      </c>
      <c r="D1281" s="20" t="n">
        <f aca="false">1</f>
        <v>1</v>
      </c>
      <c r="E1281" s="20" t="n">
        <f aca="false">rel27_C</f>
        <v>0.92</v>
      </c>
      <c r="F1281" s="20" t="n">
        <f aca="false">rel28_C</f>
        <v>0.88</v>
      </c>
      <c r="G1281" s="20" t="n">
        <f aca="false">rel29_C</f>
        <v>0.85</v>
      </c>
    </row>
    <row r="1282" customFormat="false" ht="17.15" hidden="false" customHeight="false" outlineLevel="0" collapsed="false">
      <c r="A1282" s="4" t="s">
        <v>497</v>
      </c>
      <c r="B1282" s="0" t="s">
        <v>45</v>
      </c>
      <c r="D1282" s="18" t="n">
        <f aca="false">1</f>
        <v>1</v>
      </c>
      <c r="E1282" s="18" t="n">
        <f aca="false">(1+g_ct)^1</f>
        <v>1.05</v>
      </c>
      <c r="F1282" s="18" t="n">
        <f aca="false">(1+g_ct)^2</f>
        <v>1.1025</v>
      </c>
      <c r="G1282" s="18" t="n">
        <f aca="false">(1+g_ct)^3</f>
        <v>1.157625</v>
      </c>
    </row>
    <row r="1283" customFormat="false" ht="17.15" hidden="false" customHeight="false" outlineLevel="0" collapsed="false">
      <c r="A1283" s="6" t="s">
        <v>498</v>
      </c>
    </row>
    <row r="1284" customFormat="false" ht="17.15" hidden="false" customHeight="false" outlineLevel="0" collapsed="false">
      <c r="A1284" s="0" t="s">
        <v>401</v>
      </c>
      <c r="B1284" s="0" t="s">
        <v>189</v>
      </c>
      <c r="C1284" s="17" t="n">
        <f aca="false">a25_ai</f>
        <v>5.4297243</v>
      </c>
      <c r="D1284" s="17" t="n">
        <f aca="false">a26_ai</f>
        <v>9.5342409</v>
      </c>
      <c r="E1284" s="17" t="n">
        <f aca="false">$D1284*E1280*E1281*E1282</f>
        <v>15.4961256021398</v>
      </c>
      <c r="F1284" s="17" t="n">
        <f aca="false">$D1284*F1280*F1281*F1282</f>
        <v>10.9782218171403</v>
      </c>
      <c r="G1284" s="17" t="n">
        <f aca="false">$D1284*G1280*G1281*G1282</f>
        <v>12.7250977570932</v>
      </c>
      <c r="K1284" s="8" t="s">
        <v>499</v>
      </c>
    </row>
    <row r="1285" customFormat="false" ht="17.15" hidden="false" customHeight="false" outlineLevel="0" collapsed="false">
      <c r="A1285" s="4" t="s">
        <v>404</v>
      </c>
      <c r="B1285" s="0" t="s">
        <v>189</v>
      </c>
      <c r="C1285" s="17" t="n">
        <f aca="false">a25_npc</f>
        <v>4.4425017</v>
      </c>
      <c r="D1285" s="17" t="n">
        <f aca="false">a26_npc</f>
        <v>6.3561606</v>
      </c>
      <c r="E1285" s="17" t="n">
        <f aca="false">D1285*(1+g_nonai+d_npc_hi)</f>
        <v>6.99177666</v>
      </c>
      <c r="F1285" s="17" t="n">
        <f aca="false">E1285*(1+g_nonai+d_npc_hi)</f>
        <v>7.690954326</v>
      </c>
      <c r="G1285" s="17" t="n">
        <f aca="false">F1285*(1+g_nonai+d_npc_hi)</f>
        <v>8.4600497586</v>
      </c>
      <c r="K1285" s="4" t="s">
        <v>500</v>
      </c>
    </row>
    <row r="1286" customFormat="false" ht="15" hidden="false" customHeight="false" outlineLevel="0" collapsed="false">
      <c r="A1286" s="4" t="s">
        <v>398</v>
      </c>
      <c r="B1286" s="0" t="s">
        <v>189</v>
      </c>
      <c r="C1286" s="17" t="n">
        <f aca="false">C1284+C1285</f>
        <v>9.872226</v>
      </c>
      <c r="D1286" s="17" t="n">
        <f aca="false">D1284+D1285</f>
        <v>15.8904015</v>
      </c>
      <c r="E1286" s="17" t="n">
        <f aca="false">E1284+E1285</f>
        <v>22.4879022621398</v>
      </c>
      <c r="F1286" s="17" t="n">
        <f aca="false">F1284+F1285</f>
        <v>18.6691761431403</v>
      </c>
      <c r="G1286" s="17" t="n">
        <f aca="false">G1284+G1285</f>
        <v>21.1851475156932</v>
      </c>
    </row>
    <row r="1287" customFormat="false" ht="17.15" hidden="false" customHeight="false" outlineLevel="0" collapsed="false">
      <c r="A1287" s="0" t="s">
        <v>501</v>
      </c>
      <c r="B1287" s="0" t="s">
        <v>189</v>
      </c>
      <c r="D1287" s="17" t="n">
        <f aca="false">k_cpo*cpo_A_26/cpo_A_27</f>
        <v>0.24</v>
      </c>
      <c r="E1287" s="17" t="n">
        <f aca="false">k_cpo*cpo_C_27/cpo_A_27</f>
        <v>0.48</v>
      </c>
      <c r="F1287" s="17" t="n">
        <f aca="false">k_cpo*cpo_C_28/cpo_A_27</f>
        <v>0.72</v>
      </c>
      <c r="G1287" s="17" t="n">
        <f aca="false">k_cpo*cpo_C_29/cpo_A_27</f>
        <v>1.2</v>
      </c>
      <c r="K1287" s="8" t="s">
        <v>502</v>
      </c>
    </row>
    <row r="1288" customFormat="false" ht="17.15" hidden="false" customHeight="false" outlineLevel="0" collapsed="false">
      <c r="A1288" s="4" t="s">
        <v>503</v>
      </c>
      <c r="B1288" s="0" t="s">
        <v>189</v>
      </c>
      <c r="C1288" s="17" t="n">
        <f aca="false">a25_eq</f>
        <v>3.290742</v>
      </c>
      <c r="D1288" s="17" t="n">
        <f aca="false">a26_eq-D1287</f>
        <v>4.8539955</v>
      </c>
      <c r="E1288" s="17" t="n">
        <f aca="false">D1288*semi_27</f>
        <v>5.659593717153</v>
      </c>
      <c r="F1288" s="17" t="n">
        <f aca="false">$E1288*eqk28_C</f>
        <v>4.5276749737224</v>
      </c>
      <c r="G1288" s="17" t="n">
        <f aca="false">$E1288*eqk29_C</f>
        <v>5.659593717153</v>
      </c>
      <c r="K1288" s="8" t="s">
        <v>504</v>
      </c>
    </row>
    <row r="1289" customFormat="false" ht="15" hidden="false" customHeight="false" outlineLevel="0" collapsed="false">
      <c r="A1289" s="4" t="s">
        <v>405</v>
      </c>
      <c r="B1289" s="0" t="s">
        <v>189</v>
      </c>
      <c r="C1289" s="17" t="n">
        <f aca="false">a25_eq</f>
        <v>3.290742</v>
      </c>
      <c r="D1289" s="17" t="n">
        <f aca="false">D1287+D1288</f>
        <v>5.0939955</v>
      </c>
      <c r="E1289" s="17" t="n">
        <f aca="false">E1287+E1288</f>
        <v>6.139593717153</v>
      </c>
      <c r="F1289" s="17" t="n">
        <f aca="false">F1287+F1288</f>
        <v>5.2476749737224</v>
      </c>
      <c r="G1289" s="17" t="n">
        <f aca="false">G1287+G1288</f>
        <v>6.859593717153</v>
      </c>
    </row>
    <row r="1290" customFormat="false" ht="15" hidden="false" customHeight="false" outlineLevel="0" collapsed="false">
      <c r="A1290" s="4" t="s">
        <v>407</v>
      </c>
      <c r="B1290" s="0" t="s">
        <v>189</v>
      </c>
      <c r="C1290" s="17" t="n">
        <f aca="false">a25_oth</f>
        <v>0.214032000000001</v>
      </c>
      <c r="D1290" s="17" t="n">
        <f aca="false">a26_oth</f>
        <v>0.428253</v>
      </c>
      <c r="E1290" s="17" t="n">
        <f aca="false">D1290*(1+g_oth)</f>
        <v>0.44966565</v>
      </c>
      <c r="F1290" s="17" t="n">
        <f aca="false">E1290*(1+g_oth)</f>
        <v>0.4721489325</v>
      </c>
      <c r="G1290" s="17" t="n">
        <f aca="false">F1290*(1+g_oth)</f>
        <v>0.495756379125</v>
      </c>
    </row>
    <row r="1291" customFormat="false" ht="17.15" hidden="false" customHeight="false" outlineLevel="0" collapsed="false">
      <c r="A1291" s="4" t="s">
        <v>394</v>
      </c>
      <c r="B1291" s="0" t="s">
        <v>189</v>
      </c>
      <c r="C1291" s="17" t="n">
        <f aca="false">C1286+C1289+C1290</f>
        <v>13.377</v>
      </c>
      <c r="D1291" s="17" t="n">
        <f aca="false">D1286+D1289+D1290</f>
        <v>21.41265</v>
      </c>
      <c r="E1291" s="17" t="n">
        <f aca="false">E1286+E1289+E1290</f>
        <v>29.0771616292928</v>
      </c>
      <c r="F1291" s="17" t="n">
        <f aca="false">F1286+F1289+F1290</f>
        <v>24.3890000493627</v>
      </c>
      <c r="G1291" s="17" t="n">
        <f aca="false">G1286+G1289+G1290</f>
        <v>28.5404976119712</v>
      </c>
      <c r="H1291" s="30" t="n">
        <f aca="false">G1291*(1+H1292)</f>
        <v>31.9695448052277</v>
      </c>
      <c r="I1291" s="30" t="n">
        <f aca="false">H1291*(1+I1292)</f>
        <v>34.2097582374877</v>
      </c>
      <c r="J1291" s="30" t="n">
        <f aca="false">I1291*(1+J1292)</f>
        <v>34.8939534022375</v>
      </c>
      <c r="K1291" s="8" t="s">
        <v>505</v>
      </c>
    </row>
    <row r="1292" customFormat="false" ht="15" hidden="false" customHeight="false" outlineLevel="0" collapsed="false">
      <c r="A1292" s="4" t="s">
        <v>506</v>
      </c>
      <c r="B1292" s="0" t="s">
        <v>90</v>
      </c>
      <c r="D1292" s="22" t="n">
        <f aca="false">D1291/C1291-1</f>
        <v>0.600706436420722</v>
      </c>
      <c r="E1292" s="22" t="n">
        <f aca="false">E1291/D1291-1</f>
        <v>0.357943161135719</v>
      </c>
      <c r="F1292" s="22" t="n">
        <f aca="false">F1291/E1291-1</f>
        <v>-0.16123174743463</v>
      </c>
      <c r="G1292" s="22" t="n">
        <f aca="false">G1291/F1291-1</f>
        <v>0.170220080946571</v>
      </c>
      <c r="H1292" s="26" t="n">
        <f aca="false">$G1292+(fade_gC-$G1292)*1/3</f>
        <v>0.120146720631048</v>
      </c>
      <c r="I1292" s="26" t="n">
        <f aca="false">$G1292+(fade_gC-$G1292)*2/3</f>
        <v>0.0700733603155238</v>
      </c>
      <c r="J1292" s="26" t="n">
        <f aca="false">$G1292+(fade_gC-$G1292)*3/3</f>
        <v>0.02</v>
      </c>
    </row>
    <row r="1293" customFormat="false" ht="17.15" hidden="false" customHeight="false" outlineLevel="0" collapsed="false">
      <c r="A1293" s="0" t="s">
        <v>507</v>
      </c>
      <c r="B1293" s="0" t="s">
        <v>90</v>
      </c>
      <c r="C1293" s="22" t="n">
        <f aca="false">C1284/C1291</f>
        <v>0.4059</v>
      </c>
      <c r="D1293" s="22" t="n">
        <f aca="false">D1284/D1291</f>
        <v>0.445262071719287</v>
      </c>
      <c r="E1293" s="22" t="n">
        <f aca="false">E1284/E1291</f>
        <v>0.532931164317247</v>
      </c>
      <c r="F1293" s="22" t="n">
        <f aca="false">F1284/F1291</f>
        <v>0.450130050224309</v>
      </c>
      <c r="G1293" s="22" t="n">
        <f aca="false">G1284/G1291</f>
        <v>0.445861103408221</v>
      </c>
    </row>
    <row r="1294" customFormat="false" ht="17.15" hidden="false" customHeight="false" outlineLevel="0" collapsed="false">
      <c r="A1294" s="4" t="s">
        <v>508</v>
      </c>
      <c r="B1294" s="0" t="s">
        <v>90</v>
      </c>
      <c r="C1294" s="22" t="n">
        <f aca="false">C1286/C1291</f>
        <v>0.738</v>
      </c>
      <c r="D1294" s="22" t="n">
        <f aca="false">D1286/D1291</f>
        <v>0.742103452865479</v>
      </c>
      <c r="E1294" s="22" t="n">
        <f aca="false">E1286/E1291</f>
        <v>0.773387119033142</v>
      </c>
      <c r="F1294" s="22" t="n">
        <f aca="false">F1286/F1291</f>
        <v>0.765475259557767</v>
      </c>
      <c r="G1294" s="22" t="n">
        <f aca="false">G1286/G1291</f>
        <v>0.74228374724648</v>
      </c>
    </row>
    <row r="1295" customFormat="false" ht="17.15" hidden="false" customHeight="false" outlineLevel="0" collapsed="false">
      <c r="A1295" s="6" t="s">
        <v>509</v>
      </c>
    </row>
    <row r="1296" customFormat="false" ht="15" hidden="false" customHeight="false" outlineLevel="0" collapsed="false">
      <c r="A1296" s="4" t="s">
        <v>412</v>
      </c>
      <c r="B1296" s="0" t="s">
        <v>90</v>
      </c>
      <c r="C1296" s="14" t="n">
        <f aca="false">a25_gp/a25_rev</f>
        <v>0.574</v>
      </c>
      <c r="D1296" s="14" t="n">
        <f aca="false">a26_gp/a26_rev</f>
        <v>0.593344593032623</v>
      </c>
      <c r="E1296" s="14" t="n">
        <f aca="false">gm27_C+gm_adj</f>
        <v>0.58</v>
      </c>
      <c r="F1296" s="14" t="n">
        <f aca="false">gmL_C+gm_adj</f>
        <v>0.565</v>
      </c>
      <c r="G1296" s="14" t="n">
        <f aca="false">gmL_C+gm_adj</f>
        <v>0.565</v>
      </c>
    </row>
    <row r="1297" customFormat="false" ht="15" hidden="false" customHeight="false" outlineLevel="0" collapsed="false">
      <c r="A1297" s="4" t="s">
        <v>409</v>
      </c>
      <c r="B1297" s="0" t="s">
        <v>189</v>
      </c>
      <c r="C1297" s="17" t="n">
        <f aca="false">C1291*C1296</f>
        <v>7.678398</v>
      </c>
      <c r="D1297" s="17" t="n">
        <f aca="false">D1291*D1296</f>
        <v>12.7050801</v>
      </c>
      <c r="E1297" s="17" t="n">
        <f aca="false">E1291*E1296</f>
        <v>16.8647537449898</v>
      </c>
      <c r="F1297" s="17" t="n">
        <f aca="false">F1291*F1296</f>
        <v>13.7797850278899</v>
      </c>
      <c r="G1297" s="17" t="n">
        <f aca="false">G1291*G1296</f>
        <v>16.1253811507637</v>
      </c>
    </row>
    <row r="1298" customFormat="false" ht="17.15" hidden="false" customHeight="false" outlineLevel="0" collapsed="false">
      <c r="A1298" s="4" t="s">
        <v>510</v>
      </c>
      <c r="B1298" s="0" t="s">
        <v>189</v>
      </c>
      <c r="D1298" s="17" t="n">
        <f aca="false">a26_opx</f>
        <v>5.05564928556</v>
      </c>
      <c r="E1298" s="17" t="n">
        <f aca="false">D1298*(1+phi*E1292)</f>
        <v>6.14143033768013</v>
      </c>
      <c r="F1298" s="17" t="n">
        <f aca="false">E1298*(1+phi*F1292)</f>
        <v>5.5473142106248</v>
      </c>
      <c r="G1298" s="17" t="n">
        <f aca="false">F1298*(1+phi*G1292)</f>
        <v>6.11387277500597</v>
      </c>
      <c r="K1298" s="8" t="s">
        <v>511</v>
      </c>
    </row>
    <row r="1299" customFormat="false" ht="15" hidden="false" customHeight="false" outlineLevel="0" collapsed="false">
      <c r="A1299" s="4" t="s">
        <v>415</v>
      </c>
      <c r="B1299" s="0" t="s">
        <v>189</v>
      </c>
      <c r="D1299" s="17" t="n">
        <f aca="false">D1297-D1298</f>
        <v>7.64943081444</v>
      </c>
      <c r="E1299" s="17" t="n">
        <f aca="false">E1297-E1298</f>
        <v>10.7233234073097</v>
      </c>
      <c r="F1299" s="17" t="n">
        <f aca="false">F1297-F1298</f>
        <v>8.23247081726512</v>
      </c>
      <c r="G1299" s="17" t="n">
        <f aca="false">G1297-G1298</f>
        <v>10.0115083757577</v>
      </c>
    </row>
    <row r="1300" customFormat="false" ht="15" hidden="false" customHeight="false" outlineLevel="0" collapsed="false">
      <c r="A1300" s="4" t="s">
        <v>482</v>
      </c>
      <c r="B1300" s="0" t="s">
        <v>90</v>
      </c>
      <c r="D1300" s="14" t="n">
        <f aca="false">D1299/D1291</f>
        <v>0.357238866484999</v>
      </c>
      <c r="E1300" s="14" t="n">
        <f aca="false">E1299/E1291</f>
        <v>0.368788520145888</v>
      </c>
      <c r="F1300" s="14" t="n">
        <f aca="false">F1299/F1291</f>
        <v>0.337548517799123</v>
      </c>
      <c r="G1300" s="14" t="n">
        <f aca="false">G1299/G1291</f>
        <v>0.350782544574782</v>
      </c>
    </row>
    <row r="1301" customFormat="false" ht="15" hidden="false" customHeight="false" outlineLevel="0" collapsed="false">
      <c r="A1301" s="4" t="s">
        <v>418</v>
      </c>
      <c r="B1301" s="0" t="s">
        <v>189</v>
      </c>
      <c r="C1301" s="17" t="n">
        <f aca="false">a25_ni</f>
        <v>3.18</v>
      </c>
      <c r="D1301" s="17" t="n">
        <f aca="false">a26_ni</f>
        <v>6.7316248085628</v>
      </c>
      <c r="E1301" s="17" t="n">
        <f aca="false">E1299*ni_oi</f>
        <v>9.11482489621321</v>
      </c>
      <c r="F1301" s="17" t="n">
        <f aca="false">F1299*ni_oi</f>
        <v>6.99760019467536</v>
      </c>
      <c r="G1301" s="17" t="n">
        <f aca="false">G1299*ni_oi</f>
        <v>8.50978211939407</v>
      </c>
      <c r="H1301" s="30" t="n">
        <f aca="false">H1291*H1305</f>
        <v>8.88220335504214</v>
      </c>
      <c r="I1301" s="30" t="n">
        <f aca="false">I1291*I1305</f>
        <v>8.80906024501257</v>
      </c>
      <c r="J1301" s="30" t="n">
        <f aca="false">J1291*J1305</f>
        <v>8.27578152486718</v>
      </c>
    </row>
    <row r="1302" customFormat="false" ht="15" hidden="false" customHeight="false" outlineLevel="0" collapsed="false">
      <c r="A1302" s="4" t="s">
        <v>512</v>
      </c>
      <c r="B1302" s="4" t="s">
        <v>513</v>
      </c>
      <c r="C1302" s="19" t="n">
        <f aca="false">a25_sh</f>
        <v>94.9537175276202</v>
      </c>
      <c r="D1302" s="19" t="n">
        <f aca="false">a26_sh</f>
        <v>97.9860681630967</v>
      </c>
      <c r="E1302" s="19" t="n">
        <f aca="false">D1302*(1+sh_g)</f>
        <v>97.9860681630967</v>
      </c>
      <c r="F1302" s="19" t="n">
        <f aca="false">E1302*(1+sh_g)</f>
        <v>97.9860681630967</v>
      </c>
      <c r="G1302" s="19" t="n">
        <f aca="false">F1302*(1+sh_g)</f>
        <v>97.9860681630967</v>
      </c>
      <c r="H1302" s="25" t="n">
        <f aca="false">G1302*(1+sh_g)</f>
        <v>97.9860681630967</v>
      </c>
      <c r="I1302" s="25" t="n">
        <f aca="false">H1302*(1+sh_g)</f>
        <v>97.9860681630967</v>
      </c>
      <c r="J1302" s="25" t="n">
        <f aca="false">I1302*(1+sh_g)</f>
        <v>97.9860681630967</v>
      </c>
    </row>
    <row r="1303" customFormat="false" ht="15" hidden="false" customHeight="false" outlineLevel="0" collapsed="false">
      <c r="A1303" s="0" t="s">
        <v>423</v>
      </c>
      <c r="B1303" s="0" t="s">
        <v>256</v>
      </c>
      <c r="C1303" s="20" t="n">
        <f aca="false">a25_eps</f>
        <v>33.49</v>
      </c>
      <c r="D1303" s="20" t="n">
        <f aca="false">a26_eps</f>
        <v>68.6959552317267</v>
      </c>
      <c r="E1303" s="20" t="n">
        <f aca="false">E1301/E1302*1000</f>
        <v>93.0216414137742</v>
      </c>
      <c r="F1303" s="20" t="n">
        <f aca="false">F1301/F1302*1000</f>
        <v>71.4142359812614</v>
      </c>
      <c r="G1303" s="20" t="n">
        <f aca="false">G1301/G1302*1000</f>
        <v>86.8468577107272</v>
      </c>
      <c r="H1303" s="28" t="n">
        <f aca="false">H1301/H1302*1000</f>
        <v>90.6476147227156</v>
      </c>
      <c r="I1303" s="28" t="n">
        <f aca="false">I1301/I1302*1000</f>
        <v>89.9011503385358</v>
      </c>
      <c r="J1303" s="28" t="n">
        <f aca="false">J1301/J1302*1000</f>
        <v>84.4587570458714</v>
      </c>
    </row>
    <row r="1304" customFormat="false" ht="17.15" hidden="false" customHeight="false" outlineLevel="0" collapsed="false">
      <c r="A1304" s="0" t="s">
        <v>514</v>
      </c>
      <c r="B1304" s="0" t="s">
        <v>90</v>
      </c>
      <c r="D1304" s="22" t="n">
        <f aca="false">D1303/C1303-1</f>
        <v>1.05123783910799</v>
      </c>
      <c r="E1304" s="22" t="n">
        <f aca="false">E1303/D1303-1</f>
        <v>0.354106527815088</v>
      </c>
      <c r="F1304" s="22" t="n">
        <f aca="false">F1303/E1303-1</f>
        <v>-0.232283639636069</v>
      </c>
      <c r="G1304" s="22" t="n">
        <f aca="false">G1303/F1303-1</f>
        <v>0.216100074689801</v>
      </c>
      <c r="H1304" s="26" t="n">
        <f aca="false">H1303/G1303-1</f>
        <v>0.043763897879278</v>
      </c>
      <c r="I1304" s="26" t="n">
        <f aca="false">I1303/H1303-1</f>
        <v>-0.00823479345223976</v>
      </c>
      <c r="J1304" s="26" t="n">
        <f aca="false">J1303/I1303-1</f>
        <v>-0.0605375267409852</v>
      </c>
    </row>
    <row r="1305" customFormat="false" ht="17.15" hidden="false" customHeight="false" outlineLevel="0" collapsed="false">
      <c r="A1305" s="4" t="s">
        <v>515</v>
      </c>
      <c r="B1305" s="0" t="s">
        <v>90</v>
      </c>
      <c r="C1305" s="14" t="n">
        <f aca="false">C1301/C1291</f>
        <v>0.237721462211258</v>
      </c>
      <c r="D1305" s="14" t="n">
        <f aca="false">D1301/D1291</f>
        <v>0.314376072488123</v>
      </c>
      <c r="E1305" s="14" t="n">
        <f aca="false">E1301/E1291</f>
        <v>0.313470242124005</v>
      </c>
      <c r="F1305" s="14" t="n">
        <f aca="false">F1301/F1291</f>
        <v>0.286916240129255</v>
      </c>
      <c r="G1305" s="14" t="n">
        <f aca="false">G1301/G1291</f>
        <v>0.298165162888565</v>
      </c>
      <c r="H1305" s="27" t="n">
        <f aca="false">$G1305+(fade_mC-$G1305)*1/3</f>
        <v>0.277833275673969</v>
      </c>
      <c r="I1305" s="27" t="n">
        <f aca="false">$G1305+(fade_mC-$G1305)*2/3</f>
        <v>0.257501388459373</v>
      </c>
      <c r="J1305" s="27" t="n">
        <f aca="false">$G1305+(fade_mC-$G1305)*3/3</f>
        <v>0.237169501244778</v>
      </c>
    </row>
    <row r="1308" customFormat="false" ht="17.15" hidden="false" customHeight="false" outlineLevel="0" collapsed="false">
      <c r="A1308" s="1" t="s">
        <v>841</v>
      </c>
    </row>
    <row r="1309" customFormat="false" ht="17.15" hidden="false" customHeight="false" outlineLevel="0" collapsed="false">
      <c r="A1309" s="5" t="s">
        <v>21</v>
      </c>
      <c r="B1309" s="5" t="s">
        <v>22</v>
      </c>
      <c r="C1309" s="15" t="s">
        <v>387</v>
      </c>
      <c r="D1309" s="15" t="s">
        <v>468</v>
      </c>
      <c r="E1309" s="15" t="s">
        <v>469</v>
      </c>
      <c r="F1309" s="15" t="s">
        <v>470</v>
      </c>
      <c r="G1309" s="15" t="s">
        <v>471</v>
      </c>
      <c r="H1309" s="15" t="s">
        <v>472</v>
      </c>
      <c r="I1309" s="15" t="s">
        <v>473</v>
      </c>
      <c r="J1309" s="15" t="s">
        <v>474</v>
      </c>
      <c r="K1309" s="5" t="s">
        <v>336</v>
      </c>
    </row>
    <row r="1310" customFormat="false" ht="17.15" hidden="false" customHeight="false" outlineLevel="0" collapsed="false">
      <c r="A1310" s="6" t="s">
        <v>492</v>
      </c>
    </row>
    <row r="1311" customFormat="false" ht="17.15" hidden="false" customHeight="false" outlineLevel="0" collapsed="false">
      <c r="A1311" s="0" t="s">
        <v>493</v>
      </c>
      <c r="B1311" s="4" t="s">
        <v>32</v>
      </c>
      <c r="D1311" s="20" t="n">
        <f aca="false">units_26</f>
        <v>15.2</v>
      </c>
      <c r="E1311" s="20" t="n">
        <f aca="false">units_27*1</f>
        <v>23.7</v>
      </c>
      <c r="F1311" s="20" t="n">
        <f aca="false">units_28*um28_A*1</f>
        <v>26.5</v>
      </c>
      <c r="G1311" s="20" t="n">
        <f aca="false">units_29*um29_A*1</f>
        <v>30.15</v>
      </c>
    </row>
    <row r="1312" customFormat="false" ht="17.15" hidden="false" customHeight="false" outlineLevel="0" collapsed="false">
      <c r="A1312" s="4" t="s">
        <v>494</v>
      </c>
      <c r="B1312" s="0" t="s">
        <v>45</v>
      </c>
      <c r="D1312" s="18" t="n">
        <f aca="false">ex_nv*nvtt_26+astt_26</f>
        <v>0.607994</v>
      </c>
      <c r="E1312" s="18" t="n">
        <f aca="false">ex_nv*nvtt_27+astt_27</f>
        <v>0.6560764</v>
      </c>
      <c r="F1312" s="18" t="n">
        <f aca="false">ex_nv*nvtt_28+astt_28</f>
        <v>0.6898114</v>
      </c>
      <c r="G1312" s="18" t="n">
        <f aca="false">ex_nv*nvtt_29+astt_29</f>
        <v>0.692935</v>
      </c>
      <c r="K1312" s="8" t="s">
        <v>495</v>
      </c>
    </row>
    <row r="1313" customFormat="false" ht="17.15" hidden="false" customHeight="false" outlineLevel="0" collapsed="false">
      <c r="A1313" s="4" t="s">
        <v>447</v>
      </c>
      <c r="B1313" s="0" t="s">
        <v>45</v>
      </c>
      <c r="D1313" s="18" t="n">
        <f aca="false">D1311*D1312/($D1311*$D1312)</f>
        <v>1</v>
      </c>
      <c r="E1313" s="18" t="n">
        <f aca="false">E1311*E1312/($D1311*$D1312)</f>
        <v>1.68251862509724</v>
      </c>
      <c r="F1313" s="18" t="n">
        <f aca="false">F1311*F1312/($D1311*$D1312)</f>
        <v>1.97803221266207</v>
      </c>
      <c r="G1313" s="18" t="n">
        <f aca="false">G1311*G1312/($D1311*$D1312)</f>
        <v>2.26066876114428</v>
      </c>
    </row>
    <row r="1314" customFormat="false" ht="17.15" hidden="false" customHeight="false" outlineLevel="0" collapsed="false">
      <c r="A1314" s="4" t="s">
        <v>496</v>
      </c>
      <c r="B1314" s="0" t="s">
        <v>45</v>
      </c>
      <c r="D1314" s="20" t="n">
        <f aca="false">1</f>
        <v>1</v>
      </c>
      <c r="E1314" s="20" t="n">
        <f aca="false">rel27_A</f>
        <v>1.05</v>
      </c>
      <c r="F1314" s="20" t="n">
        <f aca="false">rel28_A</f>
        <v>1.08</v>
      </c>
      <c r="G1314" s="20" t="n">
        <f aca="false">rel29_A</f>
        <v>1.1</v>
      </c>
    </row>
    <row r="1315" customFormat="false" ht="17.15" hidden="false" customHeight="false" outlineLevel="0" collapsed="false">
      <c r="A1315" s="4" t="s">
        <v>497</v>
      </c>
      <c r="B1315" s="0" t="s">
        <v>45</v>
      </c>
      <c r="D1315" s="18" t="n">
        <f aca="false">1</f>
        <v>1</v>
      </c>
      <c r="E1315" s="18" t="n">
        <f aca="false">(1+g_ct)^1</f>
        <v>1.05</v>
      </c>
      <c r="F1315" s="18" t="n">
        <f aca="false">(1+g_ct)^2</f>
        <v>1.1025</v>
      </c>
      <c r="G1315" s="18" t="n">
        <f aca="false">(1+g_ct)^3</f>
        <v>1.157625</v>
      </c>
    </row>
    <row r="1316" customFormat="false" ht="17.15" hidden="false" customHeight="false" outlineLevel="0" collapsed="false">
      <c r="A1316" s="6" t="s">
        <v>498</v>
      </c>
    </row>
    <row r="1317" customFormat="false" ht="17.15" hidden="false" customHeight="false" outlineLevel="0" collapsed="false">
      <c r="A1317" s="0" t="s">
        <v>401</v>
      </c>
      <c r="B1317" s="0" t="s">
        <v>189</v>
      </c>
      <c r="C1317" s="17" t="n">
        <f aca="false">a25_ai</f>
        <v>5.4297243</v>
      </c>
      <c r="D1317" s="17" t="n">
        <f aca="false">a26_ai</f>
        <v>9.5342409</v>
      </c>
      <c r="E1317" s="17" t="n">
        <f aca="false">$D1317*E1313*E1314*E1315</f>
        <v>17.6857955241812</v>
      </c>
      <c r="F1317" s="17" t="n">
        <f aca="false">$D1317*F1313*F1314*F1315</f>
        <v>22.4554537168779</v>
      </c>
      <c r="G1317" s="17" t="n">
        <f aca="false">$D1317*G1313*G1314*G1315</f>
        <v>27.4462892800048</v>
      </c>
      <c r="K1317" s="8" t="s">
        <v>499</v>
      </c>
    </row>
    <row r="1318" customFormat="false" ht="17.15" hidden="false" customHeight="false" outlineLevel="0" collapsed="false">
      <c r="A1318" s="4" t="s">
        <v>404</v>
      </c>
      <c r="B1318" s="0" t="s">
        <v>189</v>
      </c>
      <c r="C1318" s="17" t="n">
        <f aca="false">a25_npc</f>
        <v>4.4425017</v>
      </c>
      <c r="D1318" s="17" t="n">
        <f aca="false">a26_npc</f>
        <v>6.3561606</v>
      </c>
      <c r="E1318" s="17" t="n">
        <f aca="false">D1318*(1+g_nonai+d_npc)</f>
        <v>6.801091842</v>
      </c>
      <c r="F1318" s="17" t="n">
        <f aca="false">E1318*(1+g_nonai+d_npc)</f>
        <v>7.27716827094</v>
      </c>
      <c r="G1318" s="17" t="n">
        <f aca="false">F1318*(1+g_nonai+d_npc)</f>
        <v>7.7865700499058</v>
      </c>
      <c r="K1318" s="4" t="s">
        <v>500</v>
      </c>
    </row>
    <row r="1319" customFormat="false" ht="15" hidden="false" customHeight="false" outlineLevel="0" collapsed="false">
      <c r="A1319" s="4" t="s">
        <v>398</v>
      </c>
      <c r="B1319" s="0" t="s">
        <v>189</v>
      </c>
      <c r="C1319" s="17" t="n">
        <f aca="false">C1317+C1318</f>
        <v>9.872226</v>
      </c>
      <c r="D1319" s="17" t="n">
        <f aca="false">D1317+D1318</f>
        <v>15.8904015</v>
      </c>
      <c r="E1319" s="17" t="n">
        <f aca="false">E1317+E1318</f>
        <v>24.4868873661812</v>
      </c>
      <c r="F1319" s="17" t="n">
        <f aca="false">F1317+F1318</f>
        <v>29.7326219878179</v>
      </c>
      <c r="G1319" s="17" t="n">
        <f aca="false">G1317+G1318</f>
        <v>35.2328593299106</v>
      </c>
    </row>
    <row r="1320" customFormat="false" ht="17.15" hidden="false" customHeight="false" outlineLevel="0" collapsed="false">
      <c r="A1320" s="0" t="s">
        <v>501</v>
      </c>
      <c r="B1320" s="0" t="s">
        <v>189</v>
      </c>
      <c r="D1320" s="17" t="n">
        <f aca="false">k_cpo_lo*cpo_A_26/cpo_A_27</f>
        <v>0.1</v>
      </c>
      <c r="E1320" s="17" t="n">
        <f aca="false">k_cpo_lo*cpo_A_27/cpo_A_27</f>
        <v>0.5</v>
      </c>
      <c r="F1320" s="17" t="n">
        <f aca="false">k_cpo_lo*cpo_A_28/cpo_A_27</f>
        <v>1</v>
      </c>
      <c r="G1320" s="17" t="n">
        <f aca="false">k_cpo_lo*cpo_A_29/cpo_A_27</f>
        <v>1.6</v>
      </c>
      <c r="K1320" s="8" t="s">
        <v>502</v>
      </c>
    </row>
    <row r="1321" customFormat="false" ht="17.15" hidden="false" customHeight="false" outlineLevel="0" collapsed="false">
      <c r="A1321" s="4" t="s">
        <v>503</v>
      </c>
      <c r="B1321" s="0" t="s">
        <v>189</v>
      </c>
      <c r="C1321" s="17" t="n">
        <f aca="false">a25_eq</f>
        <v>3.290742</v>
      </c>
      <c r="D1321" s="17" t="n">
        <f aca="false">a26_eq-D1320</f>
        <v>4.9939955</v>
      </c>
      <c r="E1321" s="17" t="n">
        <f aca="false">D1321*semi_27</f>
        <v>5.822828957153</v>
      </c>
      <c r="F1321" s="17" t="n">
        <f aca="false">$E1321*eqk28_A</f>
        <v>6.78922058785586</v>
      </c>
      <c r="G1321" s="17" t="n">
        <f aca="false">$E1321*eqk29_A</f>
        <v>7.33235660449221</v>
      </c>
      <c r="K1321" s="8" t="s">
        <v>504</v>
      </c>
    </row>
    <row r="1322" customFormat="false" ht="15" hidden="false" customHeight="false" outlineLevel="0" collapsed="false">
      <c r="A1322" s="4" t="s">
        <v>405</v>
      </c>
      <c r="B1322" s="0" t="s">
        <v>189</v>
      </c>
      <c r="C1322" s="17" t="n">
        <f aca="false">a25_eq</f>
        <v>3.290742</v>
      </c>
      <c r="D1322" s="17" t="n">
        <f aca="false">D1320+D1321</f>
        <v>5.0939955</v>
      </c>
      <c r="E1322" s="17" t="n">
        <f aca="false">E1320+E1321</f>
        <v>6.322828957153</v>
      </c>
      <c r="F1322" s="17" t="n">
        <f aca="false">F1320+F1321</f>
        <v>7.78922058785586</v>
      </c>
      <c r="G1322" s="17" t="n">
        <f aca="false">G1320+G1321</f>
        <v>8.93235660449222</v>
      </c>
    </row>
    <row r="1323" customFormat="false" ht="15" hidden="false" customHeight="false" outlineLevel="0" collapsed="false">
      <c r="A1323" s="4" t="s">
        <v>407</v>
      </c>
      <c r="B1323" s="0" t="s">
        <v>189</v>
      </c>
      <c r="C1323" s="17" t="n">
        <f aca="false">a25_oth</f>
        <v>0.214032000000001</v>
      </c>
      <c r="D1323" s="17" t="n">
        <f aca="false">a26_oth</f>
        <v>0.428253</v>
      </c>
      <c r="E1323" s="17" t="n">
        <f aca="false">D1323*(1+g_oth)</f>
        <v>0.44966565</v>
      </c>
      <c r="F1323" s="17" t="n">
        <f aca="false">E1323*(1+g_oth)</f>
        <v>0.4721489325</v>
      </c>
      <c r="G1323" s="17" t="n">
        <f aca="false">F1323*(1+g_oth)</f>
        <v>0.495756379125</v>
      </c>
    </row>
    <row r="1324" customFormat="false" ht="17.15" hidden="false" customHeight="false" outlineLevel="0" collapsed="false">
      <c r="A1324" s="4" t="s">
        <v>394</v>
      </c>
      <c r="B1324" s="0" t="s">
        <v>189</v>
      </c>
      <c r="C1324" s="17" t="n">
        <f aca="false">C1319+C1322+C1323</f>
        <v>13.377</v>
      </c>
      <c r="D1324" s="17" t="n">
        <f aca="false">D1319+D1322+D1323</f>
        <v>21.41265</v>
      </c>
      <c r="E1324" s="17" t="n">
        <f aca="false">E1319+E1322+E1323</f>
        <v>31.2593819733342</v>
      </c>
      <c r="F1324" s="17" t="n">
        <f aca="false">F1319+F1322+F1323</f>
        <v>37.9939915081737</v>
      </c>
      <c r="G1324" s="17" t="n">
        <f aca="false">G1319+G1322+G1323</f>
        <v>44.6609723135279</v>
      </c>
      <c r="H1324" s="30" t="n">
        <f aca="false">G1324*(1+H1325)</f>
        <v>50.7787695301841</v>
      </c>
      <c r="I1324" s="30" t="n">
        <f aca="false">H1324*(1+I1325)</f>
        <v>55.7800485548218</v>
      </c>
      <c r="J1324" s="30" t="n">
        <f aca="false">I1324*(1+J1325)</f>
        <v>59.1268514681111</v>
      </c>
      <c r="K1324" s="8" t="s">
        <v>505</v>
      </c>
    </row>
    <row r="1325" customFormat="false" ht="15" hidden="false" customHeight="false" outlineLevel="0" collapsed="false">
      <c r="A1325" s="4" t="s">
        <v>506</v>
      </c>
      <c r="B1325" s="0" t="s">
        <v>90</v>
      </c>
      <c r="D1325" s="22" t="n">
        <f aca="false">D1324/C1324-1</f>
        <v>0.600706436420722</v>
      </c>
      <c r="E1325" s="22" t="n">
        <f aca="false">E1324/D1324-1</f>
        <v>0.459855831638506</v>
      </c>
      <c r="F1325" s="22" t="n">
        <f aca="false">F1324/E1324-1</f>
        <v>0.215442824192252</v>
      </c>
      <c r="G1325" s="22" t="n">
        <f aca="false">G1324/F1324-1</f>
        <v>0.175474609029163</v>
      </c>
      <c r="H1325" s="26" t="n">
        <f aca="false">$G1325+(fade_gA-$G1325)*1/3</f>
        <v>0.136983072686108</v>
      </c>
      <c r="I1325" s="26" t="n">
        <f aca="false">$G1325+(fade_gA-$G1325)*2/3</f>
        <v>0.0984915363430542</v>
      </c>
      <c r="J1325" s="26" t="n">
        <f aca="false">$G1325+(fade_gA-$G1325)*3/3</f>
        <v>0.06</v>
      </c>
    </row>
    <row r="1326" customFormat="false" ht="17.15" hidden="false" customHeight="false" outlineLevel="0" collapsed="false">
      <c r="A1326" s="0" t="s">
        <v>507</v>
      </c>
      <c r="B1326" s="0" t="s">
        <v>90</v>
      </c>
      <c r="C1326" s="22" t="n">
        <f aca="false">C1317/C1324</f>
        <v>0.4059</v>
      </c>
      <c r="D1326" s="22" t="n">
        <f aca="false">D1317/D1324</f>
        <v>0.445262071719287</v>
      </c>
      <c r="E1326" s="22" t="n">
        <f aca="false">E1317/E1324</f>
        <v>0.565775597843492</v>
      </c>
      <c r="F1326" s="22" t="n">
        <f aca="false">F1317/F1324</f>
        <v>0.591026444590508</v>
      </c>
      <c r="G1326" s="22" t="n">
        <f aca="false">G1317/G1324</f>
        <v>0.61454750889271</v>
      </c>
    </row>
    <row r="1327" customFormat="false" ht="17.15" hidden="false" customHeight="false" outlineLevel="0" collapsed="false">
      <c r="A1327" s="4" t="s">
        <v>508</v>
      </c>
      <c r="B1327" s="0" t="s">
        <v>90</v>
      </c>
      <c r="C1327" s="22" t="n">
        <f aca="false">C1319/C1324</f>
        <v>0.738</v>
      </c>
      <c r="D1327" s="22" t="n">
        <f aca="false">D1319/D1324</f>
        <v>0.742103452865479</v>
      </c>
      <c r="E1327" s="22" t="n">
        <f aca="false">E1319/E1324</f>
        <v>0.783345217351697</v>
      </c>
      <c r="F1327" s="22" t="n">
        <f aca="false">F1319/F1324</f>
        <v>0.782561157898386</v>
      </c>
      <c r="G1327" s="22" t="n">
        <f aca="false">G1319/G1324</f>
        <v>0.788895930938758</v>
      </c>
    </row>
    <row r="1328" customFormat="false" ht="17.15" hidden="false" customHeight="false" outlineLevel="0" collapsed="false">
      <c r="A1328" s="6" t="s">
        <v>509</v>
      </c>
    </row>
    <row r="1329" customFormat="false" ht="15" hidden="false" customHeight="false" outlineLevel="0" collapsed="false">
      <c r="A1329" s="4" t="s">
        <v>412</v>
      </c>
      <c r="B1329" s="0" t="s">
        <v>90</v>
      </c>
      <c r="C1329" s="14" t="n">
        <f aca="false">a25_gp/a25_rev</f>
        <v>0.574</v>
      </c>
      <c r="D1329" s="14" t="n">
        <f aca="false">a26_gp/a26_rev</f>
        <v>0.593344593032623</v>
      </c>
      <c r="E1329" s="14" t="n">
        <f aca="false">gm27_A+gm_adj</f>
        <v>0.6</v>
      </c>
      <c r="F1329" s="14" t="n">
        <f aca="false">gmL_A+gm_adj</f>
        <v>0.61</v>
      </c>
      <c r="G1329" s="14" t="n">
        <f aca="false">gmL_A+gm_adj</f>
        <v>0.61</v>
      </c>
    </row>
    <row r="1330" customFormat="false" ht="15" hidden="false" customHeight="false" outlineLevel="0" collapsed="false">
      <c r="A1330" s="4" t="s">
        <v>409</v>
      </c>
      <c r="B1330" s="0" t="s">
        <v>189</v>
      </c>
      <c r="C1330" s="17" t="n">
        <f aca="false">C1324*C1329</f>
        <v>7.678398</v>
      </c>
      <c r="D1330" s="17" t="n">
        <f aca="false">D1324*D1329</f>
        <v>12.7050801</v>
      </c>
      <c r="E1330" s="17" t="n">
        <f aca="false">E1324*E1329</f>
        <v>18.7556291840005</v>
      </c>
      <c r="F1330" s="17" t="n">
        <f aca="false">F1324*F1329</f>
        <v>23.176334819986</v>
      </c>
      <c r="G1330" s="17" t="n">
        <f aca="false">G1324*G1329</f>
        <v>27.243193111252</v>
      </c>
    </row>
    <row r="1331" customFormat="false" ht="17.15" hidden="false" customHeight="false" outlineLevel="0" collapsed="false">
      <c r="A1331" s="4" t="s">
        <v>510</v>
      </c>
      <c r="B1331" s="0" t="s">
        <v>189</v>
      </c>
      <c r="D1331" s="17" t="n">
        <f aca="false">a26_opx</f>
        <v>5.05564928556</v>
      </c>
      <c r="E1331" s="17" t="n">
        <f aca="false">D1331*(1+phi*E1325)</f>
        <v>6.45057116957029</v>
      </c>
      <c r="F1331" s="17" t="n">
        <f aca="false">E1331*(1+phi*F1325)</f>
        <v>7.28440873182549</v>
      </c>
      <c r="G1331" s="17" t="n">
        <f aca="false">F1331*(1+phi*G1325)</f>
        <v>8.05134599636091</v>
      </c>
      <c r="K1331" s="8" t="s">
        <v>511</v>
      </c>
    </row>
    <row r="1332" customFormat="false" ht="15" hidden="false" customHeight="false" outlineLevel="0" collapsed="false">
      <c r="A1332" s="4" t="s">
        <v>415</v>
      </c>
      <c r="B1332" s="0" t="s">
        <v>189</v>
      </c>
      <c r="D1332" s="17" t="n">
        <f aca="false">D1330-D1331</f>
        <v>7.64943081444</v>
      </c>
      <c r="E1332" s="17" t="n">
        <f aca="false">E1330-E1331</f>
        <v>12.3050580144303</v>
      </c>
      <c r="F1332" s="17" t="n">
        <f aca="false">F1330-F1331</f>
        <v>15.8919260881605</v>
      </c>
      <c r="G1332" s="17" t="n">
        <f aca="false">G1330-G1331</f>
        <v>19.1918471148911</v>
      </c>
    </row>
    <row r="1333" customFormat="false" ht="15" hidden="false" customHeight="false" outlineLevel="0" collapsed="false">
      <c r="A1333" s="4" t="s">
        <v>482</v>
      </c>
      <c r="B1333" s="0" t="s">
        <v>90</v>
      </c>
      <c r="D1333" s="14" t="n">
        <f aca="false">D1332/D1324</f>
        <v>0.357238866484999</v>
      </c>
      <c r="E1333" s="14" t="n">
        <f aca="false">E1332/E1324</f>
        <v>0.393643675518827</v>
      </c>
      <c r="F1333" s="14" t="n">
        <f aca="false">F1332/F1324</f>
        <v>0.418274718115406</v>
      </c>
      <c r="G1333" s="14" t="n">
        <f aca="false">G1332/G1324</f>
        <v>0.429723002449677</v>
      </c>
    </row>
    <row r="1334" customFormat="false" ht="15" hidden="false" customHeight="false" outlineLevel="0" collapsed="false">
      <c r="A1334" s="4" t="s">
        <v>418</v>
      </c>
      <c r="B1334" s="0" t="s">
        <v>189</v>
      </c>
      <c r="C1334" s="17" t="n">
        <f aca="false">a25_ni</f>
        <v>3.18</v>
      </c>
      <c r="D1334" s="17" t="n">
        <f aca="false">a26_ni</f>
        <v>6.7316248085628</v>
      </c>
      <c r="E1334" s="17" t="n">
        <f aca="false">E1332*ni_oi</f>
        <v>10.4592993122657</v>
      </c>
      <c r="F1334" s="17" t="n">
        <f aca="false">F1332*ni_oi</f>
        <v>13.5081371749364</v>
      </c>
      <c r="G1334" s="17" t="n">
        <f aca="false">G1332*ni_oi</f>
        <v>16.3130700476574</v>
      </c>
      <c r="H1334" s="30" t="n">
        <f aca="false">H1324*H1338</f>
        <v>18.5865870479698</v>
      </c>
      <c r="I1334" s="30" t="n">
        <f aca="false">I1324*I1338</f>
        <v>20.4599426728946</v>
      </c>
      <c r="J1334" s="30" t="n">
        <f aca="false">J1324*J1338</f>
        <v>21.7328373911365</v>
      </c>
    </row>
    <row r="1335" customFormat="false" ht="15" hidden="false" customHeight="false" outlineLevel="0" collapsed="false">
      <c r="A1335" s="4" t="s">
        <v>512</v>
      </c>
      <c r="B1335" s="4" t="s">
        <v>513</v>
      </c>
      <c r="C1335" s="19" t="n">
        <f aca="false">a25_sh</f>
        <v>94.9537175276202</v>
      </c>
      <c r="D1335" s="19" t="n">
        <f aca="false">a26_sh</f>
        <v>97.9860681630967</v>
      </c>
      <c r="E1335" s="19" t="n">
        <f aca="false">D1335*(1+sh_g)</f>
        <v>97.9860681630967</v>
      </c>
      <c r="F1335" s="19" t="n">
        <f aca="false">E1335*(1+sh_g)</f>
        <v>97.9860681630967</v>
      </c>
      <c r="G1335" s="19" t="n">
        <f aca="false">F1335*(1+sh_g)</f>
        <v>97.9860681630967</v>
      </c>
      <c r="H1335" s="25" t="n">
        <f aca="false">G1335*(1+sh_g)</f>
        <v>97.9860681630967</v>
      </c>
      <c r="I1335" s="25" t="n">
        <f aca="false">H1335*(1+sh_g)</f>
        <v>97.9860681630967</v>
      </c>
      <c r="J1335" s="25" t="n">
        <f aca="false">I1335*(1+sh_g)</f>
        <v>97.9860681630967</v>
      </c>
    </row>
    <row r="1336" customFormat="false" ht="15" hidden="false" customHeight="false" outlineLevel="0" collapsed="false">
      <c r="A1336" s="0" t="s">
        <v>423</v>
      </c>
      <c r="B1336" s="0" t="s">
        <v>256</v>
      </c>
      <c r="C1336" s="20" t="n">
        <f aca="false">a25_eps</f>
        <v>33.49</v>
      </c>
      <c r="D1336" s="20" t="n">
        <f aca="false">a26_eps</f>
        <v>68.6959552317267</v>
      </c>
      <c r="E1336" s="20" t="n">
        <f aca="false">E1334/E1335*1000</f>
        <v>106.742718718505</v>
      </c>
      <c r="F1336" s="20" t="n">
        <f aca="false">F1334/F1335*1000</f>
        <v>137.857732514099</v>
      </c>
      <c r="G1336" s="20" t="n">
        <f aca="false">G1334/G1335*1000</f>
        <v>166.483566015778</v>
      </c>
      <c r="H1336" s="28" t="n">
        <f aca="false">H1334/H1335*1000</f>
        <v>189.686017577852</v>
      </c>
      <c r="I1336" s="28" t="n">
        <f aca="false">I1334/I1335*1000</f>
        <v>208.804609231175</v>
      </c>
      <c r="J1336" s="28" t="n">
        <f aca="false">J1334/J1335*1000</f>
        <v>221.795177605887</v>
      </c>
    </row>
    <row r="1337" customFormat="false" ht="17.15" hidden="false" customHeight="false" outlineLevel="0" collapsed="false">
      <c r="A1337" s="0" t="s">
        <v>514</v>
      </c>
      <c r="B1337" s="0" t="s">
        <v>90</v>
      </c>
      <c r="D1337" s="22" t="n">
        <f aca="false">D1336/C1336-1</f>
        <v>1.05123783910799</v>
      </c>
      <c r="E1337" s="22" t="n">
        <f aca="false">E1336/D1336-1</f>
        <v>0.553842847929524</v>
      </c>
      <c r="F1337" s="22" t="n">
        <f aca="false">F1336/E1336-1</f>
        <v>0.291495421600116</v>
      </c>
      <c r="G1337" s="22" t="n">
        <f aca="false">G1336/F1336-1</f>
        <v>0.207647645000629</v>
      </c>
      <c r="H1337" s="26" t="n">
        <f aca="false">H1336/G1336-1</f>
        <v>0.139367819403118</v>
      </c>
      <c r="I1337" s="26" t="n">
        <f aca="false">I1336/H1336-1</f>
        <v>0.100790727210433</v>
      </c>
      <c r="J1337" s="26" t="n">
        <f aca="false">J1336/I1336-1</f>
        <v>0.0622139924139784</v>
      </c>
    </row>
    <row r="1338" customFormat="false" ht="17.15" hidden="false" customHeight="false" outlineLevel="0" collapsed="false">
      <c r="A1338" s="4" t="s">
        <v>515</v>
      </c>
      <c r="B1338" s="0" t="s">
        <v>90</v>
      </c>
      <c r="C1338" s="14" t="n">
        <f aca="false">C1334/C1324</f>
        <v>0.237721462211258</v>
      </c>
      <c r="D1338" s="14" t="n">
        <f aca="false">D1334/D1324</f>
        <v>0.314376072488123</v>
      </c>
      <c r="E1338" s="14" t="n">
        <f aca="false">E1334/E1324</f>
        <v>0.334597124191003</v>
      </c>
      <c r="F1338" s="14" t="n">
        <f aca="false">F1334/F1324</f>
        <v>0.355533510398095</v>
      </c>
      <c r="G1338" s="14" t="n">
        <f aca="false">G1334/G1324</f>
        <v>0.365264552082225</v>
      </c>
      <c r="H1338" s="27" t="n">
        <f aca="false">$G1338+(fade_mA-$G1338)*1/3</f>
        <v>0.366030670296598</v>
      </c>
      <c r="I1338" s="27" t="n">
        <f aca="false">$G1338+(fade_mA-$G1338)*2/3</f>
        <v>0.366796788510971</v>
      </c>
      <c r="J1338" s="27" t="n">
        <f aca="false">$G1338+(fade_mA-$G1338)*3/3</f>
        <v>0.367562906725343</v>
      </c>
    </row>
    <row r="1341" customFormat="false" ht="17.15" hidden="false" customHeight="false" outlineLevel="0" collapsed="false">
      <c r="A1341" s="1" t="s">
        <v>842</v>
      </c>
    </row>
    <row r="1342" customFormat="false" ht="17.15" hidden="false" customHeight="false" outlineLevel="0" collapsed="false">
      <c r="A1342" s="5" t="s">
        <v>21</v>
      </c>
      <c r="B1342" s="5" t="s">
        <v>22</v>
      </c>
      <c r="C1342" s="15" t="s">
        <v>387</v>
      </c>
      <c r="D1342" s="15" t="s">
        <v>468</v>
      </c>
      <c r="E1342" s="15" t="s">
        <v>469</v>
      </c>
      <c r="F1342" s="15" t="s">
        <v>470</v>
      </c>
      <c r="G1342" s="15" t="s">
        <v>471</v>
      </c>
      <c r="H1342" s="15" t="s">
        <v>472</v>
      </c>
      <c r="I1342" s="15" t="s">
        <v>473</v>
      </c>
      <c r="J1342" s="15" t="s">
        <v>474</v>
      </c>
      <c r="K1342" s="5" t="s">
        <v>336</v>
      </c>
    </row>
    <row r="1343" customFormat="false" ht="17.15" hidden="false" customHeight="false" outlineLevel="0" collapsed="false">
      <c r="A1343" s="6" t="s">
        <v>492</v>
      </c>
    </row>
    <row r="1344" customFormat="false" ht="17.15" hidden="false" customHeight="false" outlineLevel="0" collapsed="false">
      <c r="A1344" s="0" t="s">
        <v>493</v>
      </c>
      <c r="B1344" s="4" t="s">
        <v>32</v>
      </c>
      <c r="D1344" s="20" t="n">
        <f aca="false">units_26</f>
        <v>15.2</v>
      </c>
      <c r="E1344" s="20" t="n">
        <f aca="false">units_27*1</f>
        <v>23.7</v>
      </c>
      <c r="F1344" s="20" t="n">
        <f aca="false">units_28*um28_B*1</f>
        <v>21.2</v>
      </c>
      <c r="G1344" s="20" t="n">
        <f aca="false">units_29*um29_B*1</f>
        <v>25.6275</v>
      </c>
    </row>
    <row r="1345" customFormat="false" ht="17.15" hidden="false" customHeight="false" outlineLevel="0" collapsed="false">
      <c r="A1345" s="4" t="s">
        <v>494</v>
      </c>
      <c r="B1345" s="0" t="s">
        <v>45</v>
      </c>
      <c r="D1345" s="18" t="n">
        <f aca="false">ex_nv*nvtt_26+astt_26</f>
        <v>0.607994</v>
      </c>
      <c r="E1345" s="18" t="n">
        <f aca="false">ex_nv*nvtt_27+astt_27</f>
        <v>0.6560764</v>
      </c>
      <c r="F1345" s="18" t="n">
        <f aca="false">ex_nv*nvtt_28+astt_28</f>
        <v>0.6898114</v>
      </c>
      <c r="G1345" s="18" t="n">
        <f aca="false">ex_nv*nvtt_29+astt_29</f>
        <v>0.692935</v>
      </c>
      <c r="K1345" s="8" t="s">
        <v>495</v>
      </c>
    </row>
    <row r="1346" customFormat="false" ht="17.15" hidden="false" customHeight="false" outlineLevel="0" collapsed="false">
      <c r="A1346" s="4" t="s">
        <v>447</v>
      </c>
      <c r="B1346" s="0" t="s">
        <v>45</v>
      </c>
      <c r="D1346" s="18" t="n">
        <f aca="false">D1344*D1345/($D1344*$D1345)</f>
        <v>1</v>
      </c>
      <c r="E1346" s="18" t="n">
        <f aca="false">E1344*E1345/($D1344*$D1345)</f>
        <v>1.68251862509724</v>
      </c>
      <c r="F1346" s="18" t="n">
        <f aca="false">F1344*F1345/($D1344*$D1345)</f>
        <v>1.58242577012966</v>
      </c>
      <c r="G1346" s="18" t="n">
        <f aca="false">G1344*G1345/($D1344*$D1345)</f>
        <v>1.92156844697264</v>
      </c>
    </row>
    <row r="1347" customFormat="false" ht="17.15" hidden="false" customHeight="false" outlineLevel="0" collapsed="false">
      <c r="A1347" s="4" t="s">
        <v>496</v>
      </c>
      <c r="B1347" s="0" t="s">
        <v>45</v>
      </c>
      <c r="D1347" s="20" t="n">
        <f aca="false">1</f>
        <v>1</v>
      </c>
      <c r="E1347" s="20" t="n">
        <f aca="false">rel27_B</f>
        <v>1</v>
      </c>
      <c r="F1347" s="20" t="n">
        <f aca="false">rel28_B</f>
        <v>1</v>
      </c>
      <c r="G1347" s="20" t="n">
        <f aca="false">rel29_B</f>
        <v>1</v>
      </c>
    </row>
    <row r="1348" customFormat="false" ht="17.15" hidden="false" customHeight="false" outlineLevel="0" collapsed="false">
      <c r="A1348" s="4" t="s">
        <v>497</v>
      </c>
      <c r="B1348" s="0" t="s">
        <v>45</v>
      </c>
      <c r="D1348" s="18" t="n">
        <f aca="false">1</f>
        <v>1</v>
      </c>
      <c r="E1348" s="18" t="n">
        <f aca="false">(1+g_ct)^1</f>
        <v>1.05</v>
      </c>
      <c r="F1348" s="18" t="n">
        <f aca="false">(1+g_ct)^2</f>
        <v>1.1025</v>
      </c>
      <c r="G1348" s="18" t="n">
        <f aca="false">(1+g_ct)^3</f>
        <v>1.157625</v>
      </c>
    </row>
    <row r="1349" customFormat="false" ht="17.15" hidden="false" customHeight="false" outlineLevel="0" collapsed="false">
      <c r="A1349" s="6" t="s">
        <v>498</v>
      </c>
    </row>
    <row r="1350" customFormat="false" ht="17.15" hidden="false" customHeight="false" outlineLevel="0" collapsed="false">
      <c r="A1350" s="0" t="s">
        <v>401</v>
      </c>
      <c r="B1350" s="0" t="s">
        <v>189</v>
      </c>
      <c r="C1350" s="17" t="n">
        <f aca="false">a25_ai</f>
        <v>5.4297243</v>
      </c>
      <c r="D1350" s="17" t="n">
        <f aca="false">a26_ai</f>
        <v>9.5342409</v>
      </c>
      <c r="E1350" s="17" t="n">
        <f aca="false">$D1350*E1346*E1347*E1348</f>
        <v>16.8436147849345</v>
      </c>
      <c r="F1350" s="17" t="n">
        <f aca="false">$D1350*F1346*F1347*F1348</f>
        <v>16.6336694199096</v>
      </c>
      <c r="G1350" s="17" t="n">
        <f aca="false">$D1350*G1346*G1347*G1348</f>
        <v>21.2084962618219</v>
      </c>
      <c r="K1350" s="8" t="s">
        <v>499</v>
      </c>
    </row>
    <row r="1351" customFormat="false" ht="17.15" hidden="false" customHeight="false" outlineLevel="0" collapsed="false">
      <c r="A1351" s="4" t="s">
        <v>404</v>
      </c>
      <c r="B1351" s="0" t="s">
        <v>189</v>
      </c>
      <c r="C1351" s="17" t="n">
        <f aca="false">a25_npc</f>
        <v>4.4425017</v>
      </c>
      <c r="D1351" s="17" t="n">
        <f aca="false">a26_npc</f>
        <v>6.3561606</v>
      </c>
      <c r="E1351" s="17" t="n">
        <f aca="false">D1351*(1+g_nonai+d_npc)</f>
        <v>6.801091842</v>
      </c>
      <c r="F1351" s="17" t="n">
        <f aca="false">E1351*(1+g_nonai+d_npc)</f>
        <v>7.27716827094</v>
      </c>
      <c r="G1351" s="17" t="n">
        <f aca="false">F1351*(1+g_nonai+d_npc)</f>
        <v>7.7865700499058</v>
      </c>
      <c r="K1351" s="4" t="s">
        <v>500</v>
      </c>
    </row>
    <row r="1352" customFormat="false" ht="15" hidden="false" customHeight="false" outlineLevel="0" collapsed="false">
      <c r="A1352" s="4" t="s">
        <v>398</v>
      </c>
      <c r="B1352" s="0" t="s">
        <v>189</v>
      </c>
      <c r="C1352" s="17" t="n">
        <f aca="false">C1350+C1351</f>
        <v>9.872226</v>
      </c>
      <c r="D1352" s="17" t="n">
        <f aca="false">D1350+D1351</f>
        <v>15.8904015</v>
      </c>
      <c r="E1352" s="17" t="n">
        <f aca="false">E1350+E1351</f>
        <v>23.6447066269345</v>
      </c>
      <c r="F1352" s="17" t="n">
        <f aca="false">F1350+F1351</f>
        <v>23.9108376908495</v>
      </c>
      <c r="G1352" s="17" t="n">
        <f aca="false">G1350+G1351</f>
        <v>28.9950663117277</v>
      </c>
    </row>
    <row r="1353" customFormat="false" ht="17.15" hidden="false" customHeight="false" outlineLevel="0" collapsed="false">
      <c r="A1353" s="0" t="s">
        <v>501</v>
      </c>
      <c r="B1353" s="0" t="s">
        <v>189</v>
      </c>
      <c r="D1353" s="17" t="n">
        <f aca="false">k_cpo_lo*cpo_A_26/cpo_A_27</f>
        <v>0.1</v>
      </c>
      <c r="E1353" s="17" t="n">
        <f aca="false">k_cpo_lo*cpo_B_27/cpo_A_27</f>
        <v>0.3</v>
      </c>
      <c r="F1353" s="17" t="n">
        <f aca="false">k_cpo_lo*cpo_B_28/cpo_A_27</f>
        <v>0.5</v>
      </c>
      <c r="G1353" s="17" t="n">
        <f aca="false">k_cpo_lo*cpo_B_29/cpo_A_27</f>
        <v>0.8</v>
      </c>
      <c r="K1353" s="8" t="s">
        <v>502</v>
      </c>
    </row>
    <row r="1354" customFormat="false" ht="17.15" hidden="false" customHeight="false" outlineLevel="0" collapsed="false">
      <c r="A1354" s="4" t="s">
        <v>503</v>
      </c>
      <c r="B1354" s="0" t="s">
        <v>189</v>
      </c>
      <c r="C1354" s="17" t="n">
        <f aca="false">a25_eq</f>
        <v>3.290742</v>
      </c>
      <c r="D1354" s="17" t="n">
        <f aca="false">a26_eq-D1353</f>
        <v>4.9939955</v>
      </c>
      <c r="E1354" s="17" t="n">
        <f aca="false">D1354*semi_27</f>
        <v>5.822828957153</v>
      </c>
      <c r="F1354" s="17" t="n">
        <f aca="false">$E1354*eqk28_B</f>
        <v>5.822828957153</v>
      </c>
      <c r="G1354" s="17" t="n">
        <f aca="false">$E1354*eqk29_B</f>
        <v>5.53168750929535</v>
      </c>
      <c r="K1354" s="8" t="s">
        <v>504</v>
      </c>
    </row>
    <row r="1355" customFormat="false" ht="15" hidden="false" customHeight="false" outlineLevel="0" collapsed="false">
      <c r="A1355" s="4" t="s">
        <v>405</v>
      </c>
      <c r="B1355" s="0" t="s">
        <v>189</v>
      </c>
      <c r="C1355" s="17" t="n">
        <f aca="false">a25_eq</f>
        <v>3.290742</v>
      </c>
      <c r="D1355" s="17" t="n">
        <f aca="false">D1353+D1354</f>
        <v>5.0939955</v>
      </c>
      <c r="E1355" s="17" t="n">
        <f aca="false">E1353+E1354</f>
        <v>6.122828957153</v>
      </c>
      <c r="F1355" s="17" t="n">
        <f aca="false">F1353+F1354</f>
        <v>6.322828957153</v>
      </c>
      <c r="G1355" s="17" t="n">
        <f aca="false">G1353+G1354</f>
        <v>6.33168750929535</v>
      </c>
    </row>
    <row r="1356" customFormat="false" ht="15" hidden="false" customHeight="false" outlineLevel="0" collapsed="false">
      <c r="A1356" s="4" t="s">
        <v>407</v>
      </c>
      <c r="B1356" s="0" t="s">
        <v>189</v>
      </c>
      <c r="C1356" s="17" t="n">
        <f aca="false">a25_oth</f>
        <v>0.214032000000001</v>
      </c>
      <c r="D1356" s="17" t="n">
        <f aca="false">a26_oth</f>
        <v>0.428253</v>
      </c>
      <c r="E1356" s="17" t="n">
        <f aca="false">D1356*(1+g_oth)</f>
        <v>0.44966565</v>
      </c>
      <c r="F1356" s="17" t="n">
        <f aca="false">E1356*(1+g_oth)</f>
        <v>0.4721489325</v>
      </c>
      <c r="G1356" s="17" t="n">
        <f aca="false">F1356*(1+g_oth)</f>
        <v>0.495756379125</v>
      </c>
    </row>
    <row r="1357" customFormat="false" ht="17.15" hidden="false" customHeight="false" outlineLevel="0" collapsed="false">
      <c r="A1357" s="4" t="s">
        <v>394</v>
      </c>
      <c r="B1357" s="0" t="s">
        <v>189</v>
      </c>
      <c r="C1357" s="17" t="n">
        <f aca="false">C1352+C1355+C1356</f>
        <v>13.377</v>
      </c>
      <c r="D1357" s="17" t="n">
        <f aca="false">D1352+D1355+D1356</f>
        <v>21.41265</v>
      </c>
      <c r="E1357" s="17" t="n">
        <f aca="false">E1352+E1355+E1356</f>
        <v>30.2172012340875</v>
      </c>
      <c r="F1357" s="17" t="n">
        <f aca="false">F1352+F1355+F1356</f>
        <v>30.7058155805025</v>
      </c>
      <c r="G1357" s="17" t="n">
        <f aca="false">G1352+G1355+G1356</f>
        <v>35.8225102001481</v>
      </c>
      <c r="H1357" s="30" t="n">
        <f aca="false">G1357*(1+H1358)</f>
        <v>40.2796904695078</v>
      </c>
      <c r="I1357" s="30" t="n">
        <f aca="false">H1357*(1+I1358)</f>
        <v>43.5911645286839</v>
      </c>
      <c r="J1357" s="30" t="n">
        <f aca="false">I1357*(1+J1358)</f>
        <v>45.3348111098312</v>
      </c>
      <c r="K1357" s="8" t="s">
        <v>505</v>
      </c>
    </row>
    <row r="1358" customFormat="false" ht="15" hidden="false" customHeight="false" outlineLevel="0" collapsed="false">
      <c r="A1358" s="4" t="s">
        <v>506</v>
      </c>
      <c r="B1358" s="0" t="s">
        <v>90</v>
      </c>
      <c r="D1358" s="22" t="n">
        <f aca="false">D1357/C1357-1</f>
        <v>0.600706436420722</v>
      </c>
      <c r="E1358" s="22" t="n">
        <f aca="false">E1357/D1357-1</f>
        <v>0.41118456772457</v>
      </c>
      <c r="F1358" s="22" t="n">
        <f aca="false">F1357/E1357-1</f>
        <v>0.0161700728876184</v>
      </c>
      <c r="G1358" s="22" t="n">
        <f aca="false">G1357/F1357-1</f>
        <v>0.166636010896076</v>
      </c>
      <c r="H1358" s="26" t="n">
        <f aca="false">$G1358+(fade_gB-$G1358)*1/3</f>
        <v>0.124424007264051</v>
      </c>
      <c r="I1358" s="26" t="n">
        <f aca="false">$G1358+(fade_gB-$G1358)*2/3</f>
        <v>0.0822120036320254</v>
      </c>
      <c r="J1358" s="26" t="n">
        <f aca="false">$G1358+(fade_gB-$G1358)*3/3</f>
        <v>0.04</v>
      </c>
    </row>
    <row r="1359" customFormat="false" ht="17.15" hidden="false" customHeight="false" outlineLevel="0" collapsed="false">
      <c r="A1359" s="0" t="s">
        <v>507</v>
      </c>
      <c r="B1359" s="0" t="s">
        <v>90</v>
      </c>
      <c r="C1359" s="22" t="n">
        <f aca="false">C1350/C1357</f>
        <v>0.4059</v>
      </c>
      <c r="D1359" s="22" t="n">
        <f aca="false">D1350/D1357</f>
        <v>0.445262071719287</v>
      </c>
      <c r="E1359" s="22" t="n">
        <f aca="false">E1350/E1357</f>
        <v>0.557418096217777</v>
      </c>
      <c r="F1359" s="22" t="n">
        <f aca="false">F1350/F1357</f>
        <v>0.541710718489156</v>
      </c>
      <c r="G1359" s="22" t="n">
        <f aca="false">G1350/G1357</f>
        <v>0.592043833425561</v>
      </c>
    </row>
    <row r="1360" customFormat="false" ht="17.15" hidden="false" customHeight="false" outlineLevel="0" collapsed="false">
      <c r="A1360" s="4" t="s">
        <v>508</v>
      </c>
      <c r="B1360" s="0" t="s">
        <v>90</v>
      </c>
      <c r="C1360" s="22" t="n">
        <f aca="false">C1352/C1357</f>
        <v>0.738</v>
      </c>
      <c r="D1360" s="22" t="n">
        <f aca="false">D1352/D1357</f>
        <v>0.742103452865479</v>
      </c>
      <c r="E1360" s="22" t="n">
        <f aca="false">E1352/E1357</f>
        <v>0.782491616075327</v>
      </c>
      <c r="F1360" s="22" t="n">
        <f aca="false">F1352/F1357</f>
        <v>0.778707135401163</v>
      </c>
      <c r="G1360" s="22" t="n">
        <f aca="false">G1352/G1357</f>
        <v>0.809409115936489</v>
      </c>
    </row>
    <row r="1361" customFormat="false" ht="17.15" hidden="false" customHeight="false" outlineLevel="0" collapsed="false">
      <c r="A1361" s="6" t="s">
        <v>509</v>
      </c>
    </row>
    <row r="1362" customFormat="false" ht="15" hidden="false" customHeight="false" outlineLevel="0" collapsed="false">
      <c r="A1362" s="4" t="s">
        <v>412</v>
      </c>
      <c r="B1362" s="0" t="s">
        <v>90</v>
      </c>
      <c r="C1362" s="14" t="n">
        <f aca="false">a25_gp/a25_rev</f>
        <v>0.574</v>
      </c>
      <c r="D1362" s="14" t="n">
        <f aca="false">a26_gp/a26_rev</f>
        <v>0.593344593032623</v>
      </c>
      <c r="E1362" s="14" t="n">
        <f aca="false">gm27_B+gm_adj</f>
        <v>0.595</v>
      </c>
      <c r="F1362" s="14" t="n">
        <f aca="false">gmL_B+gm_adj</f>
        <v>0.595</v>
      </c>
      <c r="G1362" s="14" t="n">
        <f aca="false">gmL_B+gm_adj</f>
        <v>0.595</v>
      </c>
    </row>
    <row r="1363" customFormat="false" ht="15" hidden="false" customHeight="false" outlineLevel="0" collapsed="false">
      <c r="A1363" s="4" t="s">
        <v>409</v>
      </c>
      <c r="B1363" s="0" t="s">
        <v>189</v>
      </c>
      <c r="C1363" s="17" t="n">
        <f aca="false">C1357*C1362</f>
        <v>7.678398</v>
      </c>
      <c r="D1363" s="17" t="n">
        <f aca="false">D1357*D1362</f>
        <v>12.7050801</v>
      </c>
      <c r="E1363" s="17" t="n">
        <f aca="false">E1357*E1362</f>
        <v>17.9792347342821</v>
      </c>
      <c r="F1363" s="17" t="n">
        <f aca="false">F1357*F1362</f>
        <v>18.269960270399</v>
      </c>
      <c r="G1363" s="17" t="n">
        <f aca="false">G1357*G1362</f>
        <v>21.3143935690881</v>
      </c>
    </row>
    <row r="1364" customFormat="false" ht="17.15" hidden="false" customHeight="false" outlineLevel="0" collapsed="false">
      <c r="A1364" s="4" t="s">
        <v>510</v>
      </c>
      <c r="B1364" s="0" t="s">
        <v>189</v>
      </c>
      <c r="D1364" s="17" t="n">
        <f aca="false">a26_opx</f>
        <v>5.05564928556</v>
      </c>
      <c r="E1364" s="17" t="n">
        <f aca="false">D1364*(1+phi*E1358)</f>
        <v>6.30293226519001</v>
      </c>
      <c r="F1364" s="17" t="n">
        <f aca="false">E1364*(1+phi*F1358)</f>
        <v>6.36408358967032</v>
      </c>
      <c r="G1364" s="17" t="n">
        <f aca="false">F1364*(1+phi*G1358)</f>
        <v>7.00037489110543</v>
      </c>
      <c r="K1364" s="8" t="s">
        <v>511</v>
      </c>
    </row>
    <row r="1365" customFormat="false" ht="15" hidden="false" customHeight="false" outlineLevel="0" collapsed="false">
      <c r="A1365" s="4" t="s">
        <v>415</v>
      </c>
      <c r="B1365" s="0" t="s">
        <v>189</v>
      </c>
      <c r="D1365" s="17" t="n">
        <f aca="false">D1363-D1364</f>
        <v>7.64943081444</v>
      </c>
      <c r="E1365" s="17" t="n">
        <f aca="false">E1363-E1364</f>
        <v>11.6763024690921</v>
      </c>
      <c r="F1365" s="17" t="n">
        <f aca="false">F1363-F1364</f>
        <v>11.9058766807287</v>
      </c>
      <c r="G1365" s="17" t="n">
        <f aca="false">G1363-G1364</f>
        <v>14.3140186779827</v>
      </c>
    </row>
    <row r="1366" customFormat="false" ht="15" hidden="false" customHeight="false" outlineLevel="0" collapsed="false">
      <c r="A1366" s="4" t="s">
        <v>482</v>
      </c>
      <c r="B1366" s="0" t="s">
        <v>90</v>
      </c>
      <c r="D1366" s="14" t="n">
        <f aca="false">D1365/D1357</f>
        <v>0.357238866484999</v>
      </c>
      <c r="E1366" s="14" t="n">
        <f aca="false">E1365/E1357</f>
        <v>0.386412440339452</v>
      </c>
      <c r="F1366" s="14" t="n">
        <f aca="false">F1365/F1357</f>
        <v>0.387740122046738</v>
      </c>
      <c r="G1366" s="14" t="n">
        <f aca="false">G1365/G1357</f>
        <v>0.399581676381894</v>
      </c>
    </row>
    <row r="1367" customFormat="false" ht="15" hidden="false" customHeight="false" outlineLevel="0" collapsed="false">
      <c r="A1367" s="4" t="s">
        <v>418</v>
      </c>
      <c r="B1367" s="0" t="s">
        <v>189</v>
      </c>
      <c r="C1367" s="17" t="n">
        <f aca="false">a25_ni</f>
        <v>3.18</v>
      </c>
      <c r="D1367" s="17" t="n">
        <f aca="false">a26_ni</f>
        <v>6.7316248085628</v>
      </c>
      <c r="E1367" s="17" t="n">
        <f aca="false">E1365*ni_oi</f>
        <v>9.92485709872825</v>
      </c>
      <c r="F1367" s="17" t="n">
        <f aca="false">F1365*ni_oi</f>
        <v>10.1199951786194</v>
      </c>
      <c r="G1367" s="17" t="n">
        <f aca="false">G1365*ni_oi</f>
        <v>12.1669158762853</v>
      </c>
      <c r="H1367" s="30" t="n">
        <f aca="false">H1357*H1371</f>
        <v>13.2438533845604</v>
      </c>
      <c r="I1367" s="30" t="n">
        <f aca="false">I1357*I1371</f>
        <v>13.8598182060888</v>
      </c>
      <c r="J1367" s="30" t="n">
        <f aca="false">J1357*J1371</f>
        <v>13.9224584772663</v>
      </c>
    </row>
    <row r="1368" customFormat="false" ht="15" hidden="false" customHeight="false" outlineLevel="0" collapsed="false">
      <c r="A1368" s="4" t="s">
        <v>512</v>
      </c>
      <c r="B1368" s="4" t="s">
        <v>513</v>
      </c>
      <c r="C1368" s="19" t="n">
        <f aca="false">a25_sh</f>
        <v>94.9537175276202</v>
      </c>
      <c r="D1368" s="19" t="n">
        <f aca="false">a26_sh</f>
        <v>97.9860681630967</v>
      </c>
      <c r="E1368" s="19" t="n">
        <f aca="false">D1368*(1+sh_g)</f>
        <v>97.9860681630967</v>
      </c>
      <c r="F1368" s="19" t="n">
        <f aca="false">E1368*(1+sh_g)</f>
        <v>97.9860681630967</v>
      </c>
      <c r="G1368" s="19" t="n">
        <f aca="false">F1368*(1+sh_g)</f>
        <v>97.9860681630967</v>
      </c>
      <c r="H1368" s="25" t="n">
        <f aca="false">G1368*(1+sh_g)</f>
        <v>97.9860681630967</v>
      </c>
      <c r="I1368" s="25" t="n">
        <f aca="false">H1368*(1+sh_g)</f>
        <v>97.9860681630967</v>
      </c>
      <c r="J1368" s="25" t="n">
        <f aca="false">I1368*(1+sh_g)</f>
        <v>97.9860681630967</v>
      </c>
    </row>
    <row r="1369" customFormat="false" ht="15" hidden="false" customHeight="false" outlineLevel="0" collapsed="false">
      <c r="A1369" s="0" t="s">
        <v>423</v>
      </c>
      <c r="B1369" s="0" t="s">
        <v>256</v>
      </c>
      <c r="C1369" s="20" t="n">
        <f aca="false">a25_eps</f>
        <v>33.49</v>
      </c>
      <c r="D1369" s="20" t="n">
        <f aca="false">a26_eps</f>
        <v>68.6959552317267</v>
      </c>
      <c r="E1369" s="20" t="n">
        <f aca="false">E1367/E1368*1000</f>
        <v>101.288451356252</v>
      </c>
      <c r="F1369" s="20" t="n">
        <f aca="false">F1367/F1368*1000</f>
        <v>103.279939366225</v>
      </c>
      <c r="G1369" s="20" t="n">
        <f aca="false">G1367/G1368*1000</f>
        <v>124.169855004628</v>
      </c>
      <c r="H1369" s="28" t="n">
        <f aca="false">H1367/H1368*1000</f>
        <v>135.160575710785</v>
      </c>
      <c r="I1369" s="28" t="n">
        <f aca="false">I1367/I1368*1000</f>
        <v>141.446824695724</v>
      </c>
      <c r="J1369" s="28" t="n">
        <f aca="false">J1367/J1368*1000</f>
        <v>142.086102016999</v>
      </c>
    </row>
    <row r="1370" customFormat="false" ht="17.15" hidden="false" customHeight="false" outlineLevel="0" collapsed="false">
      <c r="A1370" s="0" t="s">
        <v>514</v>
      </c>
      <c r="B1370" s="0" t="s">
        <v>90</v>
      </c>
      <c r="D1370" s="22" t="n">
        <f aca="false">D1369/C1369-1</f>
        <v>1.05123783910799</v>
      </c>
      <c r="E1370" s="22" t="n">
        <f aca="false">E1369/D1369-1</f>
        <v>0.474445635330115</v>
      </c>
      <c r="F1370" s="22" t="n">
        <f aca="false">F1369/E1369-1</f>
        <v>0.0196615505845568</v>
      </c>
      <c r="G1370" s="22" t="n">
        <f aca="false">G1369/F1369-1</f>
        <v>0.202264987436993</v>
      </c>
      <c r="H1370" s="26" t="n">
        <f aca="false">H1369/G1369-1</f>
        <v>0.088513598616571</v>
      </c>
      <c r="I1370" s="26" t="n">
        <f aca="false">I1369/H1369-1</f>
        <v>0.0465094866005193</v>
      </c>
      <c r="J1370" s="26" t="n">
        <f aca="false">J1369/I1369-1</f>
        <v>0.0045195593655043</v>
      </c>
    </row>
    <row r="1371" customFormat="false" ht="17.15" hidden="false" customHeight="false" outlineLevel="0" collapsed="false">
      <c r="A1371" s="4" t="s">
        <v>515</v>
      </c>
      <c r="B1371" s="0" t="s">
        <v>90</v>
      </c>
      <c r="C1371" s="14" t="n">
        <f aca="false">C1367/C1357</f>
        <v>0.237721462211258</v>
      </c>
      <c r="D1371" s="14" t="n">
        <f aca="false">D1367/D1357</f>
        <v>0.314376072488123</v>
      </c>
      <c r="E1371" s="14" t="n">
        <f aca="false">E1367/E1357</f>
        <v>0.328450574288534</v>
      </c>
      <c r="F1371" s="14" t="n">
        <f aca="false">F1367/F1357</f>
        <v>0.329579103739728</v>
      </c>
      <c r="G1371" s="14" t="n">
        <f aca="false">G1367/G1357</f>
        <v>0.33964442492461</v>
      </c>
      <c r="H1371" s="27" t="n">
        <f aca="false">$G1371+(fade_mB-$G1371)*1/3</f>
        <v>0.328797297848803</v>
      </c>
      <c r="I1371" s="27" t="n">
        <f aca="false">$G1371+(fade_mB-$G1371)*2/3</f>
        <v>0.317950170772997</v>
      </c>
      <c r="J1371" s="27" t="n">
        <f aca="false">$G1371+(fade_mB-$G1371)*3/3</f>
        <v>0.30710304369719</v>
      </c>
    </row>
    <row r="1374" customFormat="false" ht="17.15" hidden="false" customHeight="false" outlineLevel="0" collapsed="false">
      <c r="A1374" s="1" t="s">
        <v>843</v>
      </c>
    </row>
    <row r="1375" customFormat="false" ht="17.15" hidden="false" customHeight="false" outlineLevel="0" collapsed="false">
      <c r="A1375" s="5" t="s">
        <v>21</v>
      </c>
      <c r="B1375" s="5" t="s">
        <v>22</v>
      </c>
      <c r="C1375" s="15" t="s">
        <v>387</v>
      </c>
      <c r="D1375" s="15" t="s">
        <v>468</v>
      </c>
      <c r="E1375" s="15" t="s">
        <v>469</v>
      </c>
      <c r="F1375" s="15" t="s">
        <v>470</v>
      </c>
      <c r="G1375" s="15" t="s">
        <v>471</v>
      </c>
      <c r="H1375" s="15" t="s">
        <v>472</v>
      </c>
      <c r="I1375" s="15" t="s">
        <v>473</v>
      </c>
      <c r="J1375" s="15" t="s">
        <v>474</v>
      </c>
      <c r="K1375" s="5" t="s">
        <v>336</v>
      </c>
    </row>
    <row r="1376" customFormat="false" ht="17.15" hidden="false" customHeight="false" outlineLevel="0" collapsed="false">
      <c r="A1376" s="6" t="s">
        <v>492</v>
      </c>
    </row>
    <row r="1377" customFormat="false" ht="17.15" hidden="false" customHeight="false" outlineLevel="0" collapsed="false">
      <c r="A1377" s="0" t="s">
        <v>493</v>
      </c>
      <c r="B1377" s="4" t="s">
        <v>32</v>
      </c>
      <c r="D1377" s="20" t="n">
        <f aca="false">units_26</f>
        <v>15.2</v>
      </c>
      <c r="E1377" s="20" t="n">
        <f aca="false">units_27*1</f>
        <v>23.7</v>
      </c>
      <c r="F1377" s="20" t="n">
        <f aca="false">units_28*um28_C*1</f>
        <v>15.9</v>
      </c>
      <c r="G1377" s="20" t="n">
        <f aca="false">units_29*um29_C*1</f>
        <v>18.09</v>
      </c>
    </row>
    <row r="1378" customFormat="false" ht="17.15" hidden="false" customHeight="false" outlineLevel="0" collapsed="false">
      <c r="A1378" s="4" t="s">
        <v>494</v>
      </c>
      <c r="B1378" s="0" t="s">
        <v>45</v>
      </c>
      <c r="D1378" s="18" t="n">
        <f aca="false">ex_nv*nvtt_26+astt_26</f>
        <v>0.607994</v>
      </c>
      <c r="E1378" s="18" t="n">
        <f aca="false">ex_nv*nvtt_27+astt_27</f>
        <v>0.6560764</v>
      </c>
      <c r="F1378" s="18" t="n">
        <f aca="false">ex_nv*nvtt_28+astt_28</f>
        <v>0.6898114</v>
      </c>
      <c r="G1378" s="18" t="n">
        <f aca="false">ex_nv*nvtt_29+astt_29</f>
        <v>0.692935</v>
      </c>
      <c r="K1378" s="8" t="s">
        <v>495</v>
      </c>
    </row>
    <row r="1379" customFormat="false" ht="17.15" hidden="false" customHeight="false" outlineLevel="0" collapsed="false">
      <c r="A1379" s="4" t="s">
        <v>447</v>
      </c>
      <c r="B1379" s="0" t="s">
        <v>45</v>
      </c>
      <c r="D1379" s="18" t="n">
        <f aca="false">D1377*D1378/($D1377*$D1378)</f>
        <v>1</v>
      </c>
      <c r="E1379" s="18" t="n">
        <f aca="false">E1377*E1378/($D1377*$D1378)</f>
        <v>1.68251862509724</v>
      </c>
      <c r="F1379" s="18" t="n">
        <f aca="false">F1377*F1378/($D1377*$D1378)</f>
        <v>1.18681932759724</v>
      </c>
      <c r="G1379" s="18" t="n">
        <f aca="false">G1377*G1378/($D1377*$D1378)</f>
        <v>1.35640125668657</v>
      </c>
    </row>
    <row r="1380" customFormat="false" ht="17.15" hidden="false" customHeight="false" outlineLevel="0" collapsed="false">
      <c r="A1380" s="4" t="s">
        <v>496</v>
      </c>
      <c r="B1380" s="0" t="s">
        <v>45</v>
      </c>
      <c r="D1380" s="20" t="n">
        <f aca="false">1</f>
        <v>1</v>
      </c>
      <c r="E1380" s="20" t="n">
        <f aca="false">rel27_C</f>
        <v>0.92</v>
      </c>
      <c r="F1380" s="20" t="n">
        <f aca="false">rel28_C</f>
        <v>0.88</v>
      </c>
      <c r="G1380" s="20" t="n">
        <f aca="false">rel29_C</f>
        <v>0.85</v>
      </c>
    </row>
    <row r="1381" customFormat="false" ht="17.15" hidden="false" customHeight="false" outlineLevel="0" collapsed="false">
      <c r="A1381" s="4" t="s">
        <v>497</v>
      </c>
      <c r="B1381" s="0" t="s">
        <v>45</v>
      </c>
      <c r="D1381" s="18" t="n">
        <f aca="false">1</f>
        <v>1</v>
      </c>
      <c r="E1381" s="18" t="n">
        <f aca="false">(1+g_ct)^1</f>
        <v>1.05</v>
      </c>
      <c r="F1381" s="18" t="n">
        <f aca="false">(1+g_ct)^2</f>
        <v>1.1025</v>
      </c>
      <c r="G1381" s="18" t="n">
        <f aca="false">(1+g_ct)^3</f>
        <v>1.157625</v>
      </c>
    </row>
    <row r="1382" customFormat="false" ht="17.15" hidden="false" customHeight="false" outlineLevel="0" collapsed="false">
      <c r="A1382" s="6" t="s">
        <v>498</v>
      </c>
    </row>
    <row r="1383" customFormat="false" ht="17.15" hidden="false" customHeight="false" outlineLevel="0" collapsed="false">
      <c r="A1383" s="0" t="s">
        <v>401</v>
      </c>
      <c r="B1383" s="0" t="s">
        <v>189</v>
      </c>
      <c r="C1383" s="17" t="n">
        <f aca="false">a25_ai</f>
        <v>5.4297243</v>
      </c>
      <c r="D1383" s="17" t="n">
        <f aca="false">a26_ai</f>
        <v>9.5342409</v>
      </c>
      <c r="E1383" s="17" t="n">
        <f aca="false">$D1383*E1379*E1380*E1381</f>
        <v>15.4961256021398</v>
      </c>
      <c r="F1383" s="17" t="n">
        <f aca="false">$D1383*F1379*F1380*F1381</f>
        <v>10.9782218171403</v>
      </c>
      <c r="G1383" s="17" t="n">
        <f aca="false">$D1383*G1379*G1380*G1381</f>
        <v>12.7250977570932</v>
      </c>
      <c r="K1383" s="8" t="s">
        <v>499</v>
      </c>
    </row>
    <row r="1384" customFormat="false" ht="17.15" hidden="false" customHeight="false" outlineLevel="0" collapsed="false">
      <c r="A1384" s="4" t="s">
        <v>404</v>
      </c>
      <c r="B1384" s="0" t="s">
        <v>189</v>
      </c>
      <c r="C1384" s="17" t="n">
        <f aca="false">a25_npc</f>
        <v>4.4425017</v>
      </c>
      <c r="D1384" s="17" t="n">
        <f aca="false">a26_npc</f>
        <v>6.3561606</v>
      </c>
      <c r="E1384" s="17" t="n">
        <f aca="false">D1384*(1+g_nonai+d_npc)</f>
        <v>6.801091842</v>
      </c>
      <c r="F1384" s="17" t="n">
        <f aca="false">E1384*(1+g_nonai+d_npc)</f>
        <v>7.27716827094</v>
      </c>
      <c r="G1384" s="17" t="n">
        <f aca="false">F1384*(1+g_nonai+d_npc)</f>
        <v>7.7865700499058</v>
      </c>
      <c r="K1384" s="4" t="s">
        <v>500</v>
      </c>
    </row>
    <row r="1385" customFormat="false" ht="15" hidden="false" customHeight="false" outlineLevel="0" collapsed="false">
      <c r="A1385" s="4" t="s">
        <v>398</v>
      </c>
      <c r="B1385" s="0" t="s">
        <v>189</v>
      </c>
      <c r="C1385" s="17" t="n">
        <f aca="false">C1383+C1384</f>
        <v>9.872226</v>
      </c>
      <c r="D1385" s="17" t="n">
        <f aca="false">D1383+D1384</f>
        <v>15.8904015</v>
      </c>
      <c r="E1385" s="17" t="n">
        <f aca="false">E1383+E1384</f>
        <v>22.2972174441398</v>
      </c>
      <c r="F1385" s="17" t="n">
        <f aca="false">F1383+F1384</f>
        <v>18.2553900880803</v>
      </c>
      <c r="G1385" s="17" t="n">
        <f aca="false">G1383+G1384</f>
        <v>20.511667806999</v>
      </c>
    </row>
    <row r="1386" customFormat="false" ht="17.15" hidden="false" customHeight="false" outlineLevel="0" collapsed="false">
      <c r="A1386" s="0" t="s">
        <v>501</v>
      </c>
      <c r="B1386" s="0" t="s">
        <v>189</v>
      </c>
      <c r="D1386" s="17" t="n">
        <f aca="false">k_cpo_lo*cpo_A_26/cpo_A_27</f>
        <v>0.1</v>
      </c>
      <c r="E1386" s="17" t="n">
        <f aca="false">k_cpo_lo*cpo_C_27/cpo_A_27</f>
        <v>0.2</v>
      </c>
      <c r="F1386" s="17" t="n">
        <f aca="false">k_cpo_lo*cpo_C_28/cpo_A_27</f>
        <v>0.3</v>
      </c>
      <c r="G1386" s="17" t="n">
        <f aca="false">k_cpo_lo*cpo_C_29/cpo_A_27</f>
        <v>0.5</v>
      </c>
      <c r="K1386" s="8" t="s">
        <v>502</v>
      </c>
    </row>
    <row r="1387" customFormat="false" ht="17.15" hidden="false" customHeight="false" outlineLevel="0" collapsed="false">
      <c r="A1387" s="4" t="s">
        <v>503</v>
      </c>
      <c r="B1387" s="0" t="s">
        <v>189</v>
      </c>
      <c r="C1387" s="17" t="n">
        <f aca="false">a25_eq</f>
        <v>3.290742</v>
      </c>
      <c r="D1387" s="17" t="n">
        <f aca="false">a26_eq-D1386</f>
        <v>4.9939955</v>
      </c>
      <c r="E1387" s="17" t="n">
        <f aca="false">D1387*semi_27</f>
        <v>5.822828957153</v>
      </c>
      <c r="F1387" s="17" t="n">
        <f aca="false">$E1387*eqk28_C</f>
        <v>4.6582631657224</v>
      </c>
      <c r="G1387" s="17" t="n">
        <f aca="false">$E1387*eqk29_C</f>
        <v>5.822828957153</v>
      </c>
      <c r="K1387" s="8" t="s">
        <v>504</v>
      </c>
    </row>
    <row r="1388" customFormat="false" ht="15" hidden="false" customHeight="false" outlineLevel="0" collapsed="false">
      <c r="A1388" s="4" t="s">
        <v>405</v>
      </c>
      <c r="B1388" s="0" t="s">
        <v>189</v>
      </c>
      <c r="C1388" s="17" t="n">
        <f aca="false">a25_eq</f>
        <v>3.290742</v>
      </c>
      <c r="D1388" s="17" t="n">
        <f aca="false">D1386+D1387</f>
        <v>5.0939955</v>
      </c>
      <c r="E1388" s="17" t="n">
        <f aca="false">E1386+E1387</f>
        <v>6.022828957153</v>
      </c>
      <c r="F1388" s="17" t="n">
        <f aca="false">F1386+F1387</f>
        <v>4.9582631657224</v>
      </c>
      <c r="G1388" s="17" t="n">
        <f aca="false">G1386+G1387</f>
        <v>6.322828957153</v>
      </c>
    </row>
    <row r="1389" customFormat="false" ht="15" hidden="false" customHeight="false" outlineLevel="0" collapsed="false">
      <c r="A1389" s="4" t="s">
        <v>407</v>
      </c>
      <c r="B1389" s="0" t="s">
        <v>189</v>
      </c>
      <c r="C1389" s="17" t="n">
        <f aca="false">a25_oth</f>
        <v>0.214032000000001</v>
      </c>
      <c r="D1389" s="17" t="n">
        <f aca="false">a26_oth</f>
        <v>0.428253</v>
      </c>
      <c r="E1389" s="17" t="n">
        <f aca="false">D1389*(1+g_oth)</f>
        <v>0.44966565</v>
      </c>
      <c r="F1389" s="17" t="n">
        <f aca="false">E1389*(1+g_oth)</f>
        <v>0.4721489325</v>
      </c>
      <c r="G1389" s="17" t="n">
        <f aca="false">F1389*(1+g_oth)</f>
        <v>0.495756379125</v>
      </c>
    </row>
    <row r="1390" customFormat="false" ht="17.15" hidden="false" customHeight="false" outlineLevel="0" collapsed="false">
      <c r="A1390" s="4" t="s">
        <v>394</v>
      </c>
      <c r="B1390" s="0" t="s">
        <v>189</v>
      </c>
      <c r="C1390" s="17" t="n">
        <f aca="false">C1385+C1388+C1389</f>
        <v>13.377</v>
      </c>
      <c r="D1390" s="17" t="n">
        <f aca="false">D1385+D1388+D1389</f>
        <v>21.41265</v>
      </c>
      <c r="E1390" s="17" t="n">
        <f aca="false">E1385+E1388+E1389</f>
        <v>28.7697120512928</v>
      </c>
      <c r="F1390" s="17" t="n">
        <f aca="false">F1385+F1388+F1389</f>
        <v>23.6858021863027</v>
      </c>
      <c r="G1390" s="17" t="n">
        <f aca="false">G1385+G1388+G1389</f>
        <v>27.330253143277</v>
      </c>
      <c r="H1390" s="30" t="n">
        <f aca="false">G1390*(1+H1391)</f>
        <v>30.3159280237964</v>
      </c>
      <c r="I1390" s="30" t="n">
        <f aca="false">H1390*(1+I1391)</f>
        <v>32.2750087531658</v>
      </c>
      <c r="J1390" s="30" t="n">
        <f aca="false">I1390*(1+J1391)</f>
        <v>32.9205089282291</v>
      </c>
      <c r="K1390" s="8" t="s">
        <v>505</v>
      </c>
    </row>
    <row r="1391" customFormat="false" ht="15" hidden="false" customHeight="false" outlineLevel="0" collapsed="false">
      <c r="A1391" s="4" t="s">
        <v>506</v>
      </c>
      <c r="B1391" s="0" t="s">
        <v>90</v>
      </c>
      <c r="D1391" s="22" t="n">
        <f aca="false">D1390/C1390-1</f>
        <v>0.600706436420722</v>
      </c>
      <c r="E1391" s="22" t="n">
        <f aca="false">E1390/D1390-1</f>
        <v>0.343584845934191</v>
      </c>
      <c r="F1391" s="22" t="n">
        <f aca="false">F1390/E1390-1</f>
        <v>-0.176710488305412</v>
      </c>
      <c r="G1391" s="22" t="n">
        <f aca="false">G1390/F1390-1</f>
        <v>0.153866477829567</v>
      </c>
      <c r="H1391" s="26" t="n">
        <f aca="false">$G1391+(fade_gC-$G1391)*1/3</f>
        <v>0.109244318553045</v>
      </c>
      <c r="I1391" s="26" t="n">
        <f aca="false">$G1391+(fade_gC-$G1391)*2/3</f>
        <v>0.0646221592765223</v>
      </c>
      <c r="J1391" s="26" t="n">
        <f aca="false">$G1391+(fade_gC-$G1391)*3/3</f>
        <v>0.02</v>
      </c>
    </row>
    <row r="1392" customFormat="false" ht="17.15" hidden="false" customHeight="false" outlineLevel="0" collapsed="false">
      <c r="A1392" s="0" t="s">
        <v>507</v>
      </c>
      <c r="B1392" s="0" t="s">
        <v>90</v>
      </c>
      <c r="C1392" s="22" t="n">
        <f aca="false">C1383/C1390</f>
        <v>0.4059</v>
      </c>
      <c r="D1392" s="22" t="n">
        <f aca="false">D1383/D1390</f>
        <v>0.445262071719287</v>
      </c>
      <c r="E1392" s="22" t="n">
        <f aca="false">E1383/E1390</f>
        <v>0.538626371182031</v>
      </c>
      <c r="F1392" s="22" t="n">
        <f aca="false">F1383/F1390</f>
        <v>0.463493772800691</v>
      </c>
      <c r="G1392" s="22" t="n">
        <f aca="false">G1383/G1390</f>
        <v>0.465604825918835</v>
      </c>
    </row>
    <row r="1393" customFormat="false" ht="17.15" hidden="false" customHeight="false" outlineLevel="0" collapsed="false">
      <c r="A1393" s="4" t="s">
        <v>508</v>
      </c>
      <c r="B1393" s="0" t="s">
        <v>90</v>
      </c>
      <c r="C1393" s="22" t="n">
        <f aca="false">C1385/C1390</f>
        <v>0.738</v>
      </c>
      <c r="D1393" s="22" t="n">
        <f aca="false">D1385/D1390</f>
        <v>0.742103452865479</v>
      </c>
      <c r="E1393" s="22" t="n">
        <f aca="false">E1385/E1390</f>
        <v>0.77502400456378</v>
      </c>
      <c r="F1393" s="22" t="n">
        <f aca="false">F1385/F1390</f>
        <v>0.770731341268958</v>
      </c>
      <c r="G1393" s="22" t="n">
        <f aca="false">G1385/G1390</f>
        <v>0.750511446032642</v>
      </c>
    </row>
    <row r="1394" customFormat="false" ht="17.15" hidden="false" customHeight="false" outlineLevel="0" collapsed="false">
      <c r="A1394" s="6" t="s">
        <v>509</v>
      </c>
    </row>
    <row r="1395" customFormat="false" ht="15" hidden="false" customHeight="false" outlineLevel="0" collapsed="false">
      <c r="A1395" s="4" t="s">
        <v>412</v>
      </c>
      <c r="B1395" s="0" t="s">
        <v>90</v>
      </c>
      <c r="C1395" s="14" t="n">
        <f aca="false">a25_gp/a25_rev</f>
        <v>0.574</v>
      </c>
      <c r="D1395" s="14" t="n">
        <f aca="false">a26_gp/a26_rev</f>
        <v>0.593344593032623</v>
      </c>
      <c r="E1395" s="14" t="n">
        <f aca="false">gm27_C+gm_adj</f>
        <v>0.58</v>
      </c>
      <c r="F1395" s="14" t="n">
        <f aca="false">gmL_C+gm_adj</f>
        <v>0.565</v>
      </c>
      <c r="G1395" s="14" t="n">
        <f aca="false">gmL_C+gm_adj</f>
        <v>0.565</v>
      </c>
    </row>
    <row r="1396" customFormat="false" ht="15" hidden="false" customHeight="false" outlineLevel="0" collapsed="false">
      <c r="A1396" s="4" t="s">
        <v>409</v>
      </c>
      <c r="B1396" s="0" t="s">
        <v>189</v>
      </c>
      <c r="C1396" s="17" t="n">
        <f aca="false">C1390*C1395</f>
        <v>7.678398</v>
      </c>
      <c r="D1396" s="17" t="n">
        <f aca="false">D1390*D1395</f>
        <v>12.7050801</v>
      </c>
      <c r="E1396" s="17" t="n">
        <f aca="false">E1390*E1395</f>
        <v>16.6864329897498</v>
      </c>
      <c r="F1396" s="17" t="n">
        <f aca="false">F1390*F1395</f>
        <v>13.382478235261</v>
      </c>
      <c r="G1396" s="17" t="n">
        <f aca="false">G1390*G1395</f>
        <v>15.4415930259515</v>
      </c>
    </row>
    <row r="1397" customFormat="false" ht="17.15" hidden="false" customHeight="false" outlineLevel="0" collapsed="false">
      <c r="A1397" s="4" t="s">
        <v>510</v>
      </c>
      <c r="B1397" s="0" t="s">
        <v>189</v>
      </c>
      <c r="D1397" s="17" t="n">
        <f aca="false">a26_opx</f>
        <v>5.05564928556</v>
      </c>
      <c r="E1397" s="17" t="n">
        <f aca="false">D1397*(1+phi*E1391)</f>
        <v>6.09787597408586</v>
      </c>
      <c r="F1397" s="17" t="n">
        <f aca="false">E1397*(1+phi*F1391)</f>
        <v>5.45134078948193</v>
      </c>
      <c r="G1397" s="17" t="n">
        <f aca="false">F1397*(1+phi*G1391)</f>
        <v>5.95460795351767</v>
      </c>
      <c r="K1397" s="8" t="s">
        <v>511</v>
      </c>
    </row>
    <row r="1398" customFormat="false" ht="15" hidden="false" customHeight="false" outlineLevel="0" collapsed="false">
      <c r="A1398" s="4" t="s">
        <v>415</v>
      </c>
      <c r="B1398" s="0" t="s">
        <v>189</v>
      </c>
      <c r="D1398" s="17" t="n">
        <f aca="false">D1396-D1397</f>
        <v>7.64943081444</v>
      </c>
      <c r="E1398" s="17" t="n">
        <f aca="false">E1396-E1397</f>
        <v>10.5885570156639</v>
      </c>
      <c r="F1398" s="17" t="n">
        <f aca="false">F1396-F1397</f>
        <v>7.9311374457791</v>
      </c>
      <c r="G1398" s="17" t="n">
        <f aca="false">G1396-G1397</f>
        <v>9.48698507243381</v>
      </c>
    </row>
    <row r="1399" customFormat="false" ht="15" hidden="false" customHeight="false" outlineLevel="0" collapsed="false">
      <c r="A1399" s="4" t="s">
        <v>482</v>
      </c>
      <c r="B1399" s="0" t="s">
        <v>90</v>
      </c>
      <c r="D1399" s="14" t="n">
        <f aca="false">D1398/D1390</f>
        <v>0.357238866484999</v>
      </c>
      <c r="E1399" s="14" t="n">
        <f aca="false">E1398/E1390</f>
        <v>0.368045290018401</v>
      </c>
      <c r="F1399" s="14" t="n">
        <f aca="false">F1398/F1390</f>
        <v>0.334847744796484</v>
      </c>
      <c r="G1399" s="14" t="n">
        <f aca="false">G1398/G1390</f>
        <v>0.347123937078041</v>
      </c>
    </row>
    <row r="1400" customFormat="false" ht="15" hidden="false" customHeight="false" outlineLevel="0" collapsed="false">
      <c r="A1400" s="4" t="s">
        <v>418</v>
      </c>
      <c r="B1400" s="0" t="s">
        <v>189</v>
      </c>
      <c r="C1400" s="17" t="n">
        <f aca="false">a25_ni</f>
        <v>3.18</v>
      </c>
      <c r="D1400" s="17" t="n">
        <f aca="false">a26_ni</f>
        <v>6.7316248085628</v>
      </c>
      <c r="E1400" s="17" t="n">
        <f aca="false">E1398*ni_oi</f>
        <v>9.00027346331434</v>
      </c>
      <c r="F1400" s="17" t="n">
        <f aca="false">F1398*ni_oi</f>
        <v>6.74146682891223</v>
      </c>
      <c r="G1400" s="17" t="n">
        <f aca="false">G1398*ni_oi</f>
        <v>8.06393731156874</v>
      </c>
      <c r="H1400" s="30" t="n">
        <f aca="false">H1390*H1404</f>
        <v>8.35992227507581</v>
      </c>
      <c r="I1400" s="30" t="n">
        <f aca="false">I1390*I1404</f>
        <v>8.27740311626714</v>
      </c>
      <c r="J1400" s="30" t="n">
        <f aca="false">J1390*J1404</f>
        <v>7.80774068323235</v>
      </c>
    </row>
    <row r="1401" customFormat="false" ht="15" hidden="false" customHeight="false" outlineLevel="0" collapsed="false">
      <c r="A1401" s="4" t="s">
        <v>512</v>
      </c>
      <c r="B1401" s="4" t="s">
        <v>513</v>
      </c>
      <c r="C1401" s="19" t="n">
        <f aca="false">a25_sh</f>
        <v>94.9537175276202</v>
      </c>
      <c r="D1401" s="19" t="n">
        <f aca="false">a26_sh</f>
        <v>97.9860681630967</v>
      </c>
      <c r="E1401" s="19" t="n">
        <f aca="false">D1401*(1+sh_g)</f>
        <v>97.9860681630967</v>
      </c>
      <c r="F1401" s="19" t="n">
        <f aca="false">E1401*(1+sh_g)</f>
        <v>97.9860681630967</v>
      </c>
      <c r="G1401" s="19" t="n">
        <f aca="false">F1401*(1+sh_g)</f>
        <v>97.9860681630967</v>
      </c>
      <c r="H1401" s="25" t="n">
        <f aca="false">G1401*(1+sh_g)</f>
        <v>97.9860681630967</v>
      </c>
      <c r="I1401" s="25" t="n">
        <f aca="false">H1401*(1+sh_g)</f>
        <v>97.9860681630967</v>
      </c>
      <c r="J1401" s="25" t="n">
        <f aca="false">I1401*(1+sh_g)</f>
        <v>97.9860681630967</v>
      </c>
    </row>
    <row r="1402" customFormat="false" ht="15" hidden="false" customHeight="false" outlineLevel="0" collapsed="false">
      <c r="A1402" s="0" t="s">
        <v>423</v>
      </c>
      <c r="B1402" s="0" t="s">
        <v>256</v>
      </c>
      <c r="C1402" s="20" t="n">
        <f aca="false">a25_eps</f>
        <v>33.49</v>
      </c>
      <c r="D1402" s="20" t="n">
        <f aca="false">a26_eps</f>
        <v>68.6959552317267</v>
      </c>
      <c r="E1402" s="20" t="n">
        <f aca="false">E1400/E1401*1000</f>
        <v>91.8525830461275</v>
      </c>
      <c r="F1402" s="20" t="n">
        <f aca="false">F1400/F1401*1000</f>
        <v>68.8002586009589</v>
      </c>
      <c r="G1402" s="20" t="n">
        <f aca="false">G1400/G1401*1000</f>
        <v>82.2967740490047</v>
      </c>
      <c r="H1402" s="28" t="n">
        <f aca="false">H1400/H1401*1000</f>
        <v>85.3174582039645</v>
      </c>
      <c r="I1402" s="28" t="n">
        <f aca="false">I1400/I1401*1000</f>
        <v>84.4753062495527</v>
      </c>
      <c r="J1402" s="28" t="n">
        <f aca="false">J1400/J1401*1000</f>
        <v>79.6821510404567</v>
      </c>
    </row>
    <row r="1403" customFormat="false" ht="17.15" hidden="false" customHeight="false" outlineLevel="0" collapsed="false">
      <c r="A1403" s="0" t="s">
        <v>514</v>
      </c>
      <c r="B1403" s="0" t="s">
        <v>90</v>
      </c>
      <c r="D1403" s="22" t="n">
        <f aca="false">D1402/C1402-1</f>
        <v>1.05123783910799</v>
      </c>
      <c r="E1403" s="22" t="n">
        <f aca="false">E1402/D1402-1</f>
        <v>0.3370886646279</v>
      </c>
      <c r="F1403" s="22" t="n">
        <f aca="false">F1402/E1402-1</f>
        <v>-0.250970889230104</v>
      </c>
      <c r="G1403" s="22" t="n">
        <f aca="false">G1402/F1402-1</f>
        <v>0.196169545325775</v>
      </c>
      <c r="H1403" s="26" t="n">
        <f aca="false">H1402/G1402-1</f>
        <v>0.0367047698997423</v>
      </c>
      <c r="I1403" s="26" t="n">
        <f aca="false">I1402/H1402-1</f>
        <v>-0.00987080454739364</v>
      </c>
      <c r="J1403" s="26" t="n">
        <f aca="false">J1402/I1402-1</f>
        <v>-0.0567403117182712</v>
      </c>
    </row>
    <row r="1404" customFormat="false" ht="17.15" hidden="false" customHeight="false" outlineLevel="0" collapsed="false">
      <c r="A1404" s="4" t="s">
        <v>515</v>
      </c>
      <c r="B1404" s="0" t="s">
        <v>90</v>
      </c>
      <c r="C1404" s="14" t="n">
        <f aca="false">C1400/C1390</f>
        <v>0.237721462211258</v>
      </c>
      <c r="D1404" s="14" t="n">
        <f aca="false">D1400/D1390</f>
        <v>0.314376072488123</v>
      </c>
      <c r="E1404" s="14" t="n">
        <f aca="false">E1400/E1390</f>
        <v>0.312838496515641</v>
      </c>
      <c r="F1404" s="14" t="n">
        <f aca="false">F1400/F1390</f>
        <v>0.284620583077012</v>
      </c>
      <c r="G1404" s="14" t="n">
        <f aca="false">G1400/G1390</f>
        <v>0.295055346516335</v>
      </c>
      <c r="H1404" s="27" t="n">
        <f aca="false">$G1404+(fade_mC-$G1404)*1/3</f>
        <v>0.275760064759149</v>
      </c>
      <c r="I1404" s="27" t="n">
        <f aca="false">$G1404+(fade_mC-$G1404)*2/3</f>
        <v>0.256464783001963</v>
      </c>
      <c r="J1404" s="27" t="n">
        <f aca="false">$G1404+(fade_mC-$G1404)*3/3</f>
        <v>0.237169501244778</v>
      </c>
    </row>
    <row r="1407" customFormat="false" ht="17.15" hidden="false" customHeight="false" outlineLevel="0" collapsed="false">
      <c r="A1407" s="1" t="s">
        <v>844</v>
      </c>
    </row>
    <row r="1408" customFormat="false" ht="17.15" hidden="false" customHeight="false" outlineLevel="0" collapsed="false">
      <c r="A1408" s="5" t="s">
        <v>21</v>
      </c>
      <c r="B1408" s="5" t="s">
        <v>22</v>
      </c>
      <c r="C1408" s="15" t="s">
        <v>387</v>
      </c>
      <c r="D1408" s="15" t="s">
        <v>468</v>
      </c>
      <c r="E1408" s="15" t="s">
        <v>469</v>
      </c>
      <c r="F1408" s="15" t="s">
        <v>470</v>
      </c>
      <c r="G1408" s="15" t="s">
        <v>471</v>
      </c>
      <c r="H1408" s="15" t="s">
        <v>472</v>
      </c>
      <c r="I1408" s="15" t="s">
        <v>473</v>
      </c>
      <c r="J1408" s="15" t="s">
        <v>474</v>
      </c>
      <c r="K1408" s="5" t="s">
        <v>336</v>
      </c>
    </row>
    <row r="1409" customFormat="false" ht="17.15" hidden="false" customHeight="false" outlineLevel="0" collapsed="false">
      <c r="A1409" s="6" t="s">
        <v>492</v>
      </c>
    </row>
    <row r="1410" customFormat="false" ht="17.15" hidden="false" customHeight="false" outlineLevel="0" collapsed="false">
      <c r="A1410" s="0" t="s">
        <v>493</v>
      </c>
      <c r="B1410" s="4" t="s">
        <v>32</v>
      </c>
      <c r="D1410" s="20" t="n">
        <f aca="false">units_26</f>
        <v>15.2</v>
      </c>
      <c r="E1410" s="20" t="n">
        <f aca="false">units_27*1</f>
        <v>23.7</v>
      </c>
      <c r="F1410" s="20" t="n">
        <f aca="false">units_28*um28_A*1</f>
        <v>26.5</v>
      </c>
      <c r="G1410" s="20" t="n">
        <f aca="false">units_29*um29_A*1</f>
        <v>30.15</v>
      </c>
    </row>
    <row r="1411" customFormat="false" ht="17.15" hidden="false" customHeight="false" outlineLevel="0" collapsed="false">
      <c r="A1411" s="4" t="s">
        <v>494</v>
      </c>
      <c r="B1411" s="0" t="s">
        <v>45</v>
      </c>
      <c r="D1411" s="18" t="n">
        <f aca="false">ex_nv*nvtt_26+astt_26</f>
        <v>0.607994</v>
      </c>
      <c r="E1411" s="18" t="n">
        <f aca="false">ex_nv*nvtt_27+astt_27</f>
        <v>0.6560764</v>
      </c>
      <c r="F1411" s="18" t="n">
        <f aca="false">ex_nv*nvtt_28+astt_28</f>
        <v>0.6898114</v>
      </c>
      <c r="G1411" s="18" t="n">
        <f aca="false">ex_nv*nvtt_29+astt_29</f>
        <v>0.692935</v>
      </c>
      <c r="K1411" s="8" t="s">
        <v>495</v>
      </c>
    </row>
    <row r="1412" customFormat="false" ht="17.15" hidden="false" customHeight="false" outlineLevel="0" collapsed="false">
      <c r="A1412" s="4" t="s">
        <v>447</v>
      </c>
      <c r="B1412" s="0" t="s">
        <v>45</v>
      </c>
      <c r="D1412" s="18" t="n">
        <f aca="false">D1410*D1411/($D1410*$D1411)</f>
        <v>1</v>
      </c>
      <c r="E1412" s="18" t="n">
        <f aca="false">E1410*E1411/($D1410*$D1411)</f>
        <v>1.68251862509724</v>
      </c>
      <c r="F1412" s="18" t="n">
        <f aca="false">F1410*F1411/($D1410*$D1411)</f>
        <v>1.97803221266207</v>
      </c>
      <c r="G1412" s="18" t="n">
        <f aca="false">G1410*G1411/($D1410*$D1411)</f>
        <v>2.26066876114428</v>
      </c>
    </row>
    <row r="1413" customFormat="false" ht="17.15" hidden="false" customHeight="false" outlineLevel="0" collapsed="false">
      <c r="A1413" s="4" t="s">
        <v>496</v>
      </c>
      <c r="B1413" s="0" t="s">
        <v>45</v>
      </c>
      <c r="D1413" s="20" t="n">
        <f aca="false">1</f>
        <v>1</v>
      </c>
      <c r="E1413" s="20" t="n">
        <f aca="false">rel27_A</f>
        <v>1.05</v>
      </c>
      <c r="F1413" s="20" t="n">
        <f aca="false">rel28_A</f>
        <v>1.08</v>
      </c>
      <c r="G1413" s="20" t="n">
        <f aca="false">rel29_A</f>
        <v>1.1</v>
      </c>
    </row>
    <row r="1414" customFormat="false" ht="17.15" hidden="false" customHeight="false" outlineLevel="0" collapsed="false">
      <c r="A1414" s="4" t="s">
        <v>497</v>
      </c>
      <c r="B1414" s="0" t="s">
        <v>45</v>
      </c>
      <c r="D1414" s="18" t="n">
        <f aca="false">1</f>
        <v>1</v>
      </c>
      <c r="E1414" s="18" t="n">
        <f aca="false">(1+g_ct)^1</f>
        <v>1.05</v>
      </c>
      <c r="F1414" s="18" t="n">
        <f aca="false">(1+g_ct)^2</f>
        <v>1.1025</v>
      </c>
      <c r="G1414" s="18" t="n">
        <f aca="false">(1+g_ct)^3</f>
        <v>1.157625</v>
      </c>
    </row>
    <row r="1415" customFormat="false" ht="17.15" hidden="false" customHeight="false" outlineLevel="0" collapsed="false">
      <c r="A1415" s="6" t="s">
        <v>498</v>
      </c>
    </row>
    <row r="1416" customFormat="false" ht="17.15" hidden="false" customHeight="false" outlineLevel="0" collapsed="false">
      <c r="A1416" s="0" t="s">
        <v>401</v>
      </c>
      <c r="B1416" s="0" t="s">
        <v>189</v>
      </c>
      <c r="C1416" s="17" t="n">
        <f aca="false">a25_ai</f>
        <v>5.4297243</v>
      </c>
      <c r="D1416" s="17" t="n">
        <f aca="false">a26_ai</f>
        <v>9.5342409</v>
      </c>
      <c r="E1416" s="17" t="n">
        <f aca="false">$D1416*E1412*E1413*E1414</f>
        <v>17.6857955241812</v>
      </c>
      <c r="F1416" s="17" t="n">
        <f aca="false">$D1416*F1412*F1413*F1414</f>
        <v>22.4554537168779</v>
      </c>
      <c r="G1416" s="17" t="n">
        <f aca="false">$D1416*G1412*G1413*G1414</f>
        <v>27.4462892800048</v>
      </c>
      <c r="K1416" s="8" t="s">
        <v>499</v>
      </c>
    </row>
    <row r="1417" customFormat="false" ht="17.15" hidden="false" customHeight="false" outlineLevel="0" collapsed="false">
      <c r="A1417" s="4" t="s">
        <v>404</v>
      </c>
      <c r="B1417" s="0" t="s">
        <v>189</v>
      </c>
      <c r="C1417" s="17" t="n">
        <f aca="false">a25_npc</f>
        <v>4.4425017</v>
      </c>
      <c r="D1417" s="17" t="n">
        <f aca="false">a26_npc</f>
        <v>6.3561606</v>
      </c>
      <c r="E1417" s="17" t="n">
        <f aca="false">D1417*(1+g_nonai+d_npc)</f>
        <v>6.801091842</v>
      </c>
      <c r="F1417" s="17" t="n">
        <f aca="false">E1417*(1+g_nonai+d_npc)</f>
        <v>7.27716827094</v>
      </c>
      <c r="G1417" s="17" t="n">
        <f aca="false">F1417*(1+g_nonai+d_npc)</f>
        <v>7.7865700499058</v>
      </c>
      <c r="K1417" s="4" t="s">
        <v>500</v>
      </c>
    </row>
    <row r="1418" customFormat="false" ht="15" hidden="false" customHeight="false" outlineLevel="0" collapsed="false">
      <c r="A1418" s="4" t="s">
        <v>398</v>
      </c>
      <c r="B1418" s="0" t="s">
        <v>189</v>
      </c>
      <c r="C1418" s="17" t="n">
        <f aca="false">C1416+C1417</f>
        <v>9.872226</v>
      </c>
      <c r="D1418" s="17" t="n">
        <f aca="false">D1416+D1417</f>
        <v>15.8904015</v>
      </c>
      <c r="E1418" s="17" t="n">
        <f aca="false">E1416+E1417</f>
        <v>24.4868873661812</v>
      </c>
      <c r="F1418" s="17" t="n">
        <f aca="false">F1416+F1417</f>
        <v>29.7326219878179</v>
      </c>
      <c r="G1418" s="17" t="n">
        <f aca="false">G1416+G1417</f>
        <v>35.2328593299106</v>
      </c>
    </row>
    <row r="1419" customFormat="false" ht="17.15" hidden="false" customHeight="false" outlineLevel="0" collapsed="false">
      <c r="A1419" s="0" t="s">
        <v>501</v>
      </c>
      <c r="B1419" s="0" t="s">
        <v>189</v>
      </c>
      <c r="D1419" s="17" t="n">
        <f aca="false">k_cpo_hi*cpo_A_26/cpo_A_27</f>
        <v>0.4</v>
      </c>
      <c r="E1419" s="17" t="n">
        <f aca="false">k_cpo_hi*cpo_A_27/cpo_A_27</f>
        <v>2</v>
      </c>
      <c r="F1419" s="17" t="n">
        <f aca="false">k_cpo_hi*cpo_A_28/cpo_A_27</f>
        <v>4</v>
      </c>
      <c r="G1419" s="17" t="n">
        <f aca="false">k_cpo_hi*cpo_A_29/cpo_A_27</f>
        <v>6.4</v>
      </c>
      <c r="K1419" s="8" t="s">
        <v>502</v>
      </c>
    </row>
    <row r="1420" customFormat="false" ht="17.15" hidden="false" customHeight="false" outlineLevel="0" collapsed="false">
      <c r="A1420" s="4" t="s">
        <v>503</v>
      </c>
      <c r="B1420" s="0" t="s">
        <v>189</v>
      </c>
      <c r="C1420" s="17" t="n">
        <f aca="false">a25_eq</f>
        <v>3.290742</v>
      </c>
      <c r="D1420" s="17" t="n">
        <f aca="false">a26_eq-D1419</f>
        <v>4.6939955</v>
      </c>
      <c r="E1420" s="17" t="n">
        <f aca="false">D1420*semi_27</f>
        <v>5.473039157153</v>
      </c>
      <c r="F1420" s="17" t="n">
        <f aca="false">$E1420*eqk28_A</f>
        <v>6.38137757390905</v>
      </c>
      <c r="G1420" s="17" t="n">
        <f aca="false">$E1420*eqk29_A</f>
        <v>6.89188624737081</v>
      </c>
      <c r="K1420" s="8" t="s">
        <v>504</v>
      </c>
    </row>
    <row r="1421" customFormat="false" ht="15" hidden="false" customHeight="false" outlineLevel="0" collapsed="false">
      <c r="A1421" s="4" t="s">
        <v>405</v>
      </c>
      <c r="B1421" s="0" t="s">
        <v>189</v>
      </c>
      <c r="C1421" s="17" t="n">
        <f aca="false">a25_eq</f>
        <v>3.290742</v>
      </c>
      <c r="D1421" s="17" t="n">
        <f aca="false">D1419+D1420</f>
        <v>5.0939955</v>
      </c>
      <c r="E1421" s="17" t="n">
        <f aca="false">E1419+E1420</f>
        <v>7.473039157153</v>
      </c>
      <c r="F1421" s="17" t="n">
        <f aca="false">F1419+F1420</f>
        <v>10.3813775739091</v>
      </c>
      <c r="G1421" s="17" t="n">
        <f aca="false">G1419+G1420</f>
        <v>13.2918862473708</v>
      </c>
    </row>
    <row r="1422" customFormat="false" ht="15" hidden="false" customHeight="false" outlineLevel="0" collapsed="false">
      <c r="A1422" s="4" t="s">
        <v>407</v>
      </c>
      <c r="B1422" s="0" t="s">
        <v>189</v>
      </c>
      <c r="C1422" s="17" t="n">
        <f aca="false">a25_oth</f>
        <v>0.214032000000001</v>
      </c>
      <c r="D1422" s="17" t="n">
        <f aca="false">a26_oth</f>
        <v>0.428253</v>
      </c>
      <c r="E1422" s="17" t="n">
        <f aca="false">D1422*(1+g_oth)</f>
        <v>0.44966565</v>
      </c>
      <c r="F1422" s="17" t="n">
        <f aca="false">E1422*(1+g_oth)</f>
        <v>0.4721489325</v>
      </c>
      <c r="G1422" s="17" t="n">
        <f aca="false">F1422*(1+g_oth)</f>
        <v>0.495756379125</v>
      </c>
    </row>
    <row r="1423" customFormat="false" ht="17.15" hidden="false" customHeight="false" outlineLevel="0" collapsed="false">
      <c r="A1423" s="4" t="s">
        <v>394</v>
      </c>
      <c r="B1423" s="0" t="s">
        <v>189</v>
      </c>
      <c r="C1423" s="17" t="n">
        <f aca="false">C1418+C1421+C1422</f>
        <v>13.377</v>
      </c>
      <c r="D1423" s="17" t="n">
        <f aca="false">D1418+D1421+D1422</f>
        <v>21.41265</v>
      </c>
      <c r="E1423" s="17" t="n">
        <f aca="false">E1418+E1421+E1422</f>
        <v>32.4095921733342</v>
      </c>
      <c r="F1423" s="17" t="n">
        <f aca="false">F1418+F1421+F1422</f>
        <v>40.5861484942269</v>
      </c>
      <c r="G1423" s="17" t="n">
        <f aca="false">G1418+G1421+G1422</f>
        <v>49.0205019564065</v>
      </c>
      <c r="H1423" s="30" t="n">
        <f aca="false">G1423*(1+H1424)</f>
        <v>56.79232985168</v>
      </c>
      <c r="I1423" s="30" t="n">
        <f aca="false">H1423*(1+I1424)</f>
        <v>62.9980958076887</v>
      </c>
      <c r="J1423" s="30" t="n">
        <f aca="false">I1423*(1+J1424)</f>
        <v>66.7779815561501</v>
      </c>
      <c r="K1423" s="8" t="s">
        <v>505</v>
      </c>
    </row>
    <row r="1424" customFormat="false" ht="15" hidden="false" customHeight="false" outlineLevel="0" collapsed="false">
      <c r="A1424" s="4" t="s">
        <v>506</v>
      </c>
      <c r="B1424" s="0" t="s">
        <v>90</v>
      </c>
      <c r="D1424" s="22" t="n">
        <f aca="false">D1423/C1423-1</f>
        <v>0.600706436420722</v>
      </c>
      <c r="E1424" s="22" t="n">
        <f aca="false">E1423/D1423-1</f>
        <v>0.513572218914252</v>
      </c>
      <c r="F1424" s="22" t="n">
        <f aca="false">F1423/E1423-1</f>
        <v>0.252288158307038</v>
      </c>
      <c r="G1424" s="22" t="n">
        <f aca="false">G1423/F1423-1</f>
        <v>0.207813595896621</v>
      </c>
      <c r="H1424" s="26" t="n">
        <f aca="false">$G1424+(fade_gA-$G1424)*1/3</f>
        <v>0.158542397264414</v>
      </c>
      <c r="I1424" s="26" t="n">
        <f aca="false">$G1424+(fade_gA-$G1424)*2/3</f>
        <v>0.109271198632207</v>
      </c>
      <c r="J1424" s="26" t="n">
        <f aca="false">$G1424+(fade_gA-$G1424)*3/3</f>
        <v>0.06</v>
      </c>
    </row>
    <row r="1425" customFormat="false" ht="17.15" hidden="false" customHeight="false" outlineLevel="0" collapsed="false">
      <c r="A1425" s="0" t="s">
        <v>507</v>
      </c>
      <c r="B1425" s="0" t="s">
        <v>90</v>
      </c>
      <c r="C1425" s="22" t="n">
        <f aca="false">C1416/C1423</f>
        <v>0.4059</v>
      </c>
      <c r="D1425" s="22" t="n">
        <f aca="false">D1416/D1423</f>
        <v>0.445262071719287</v>
      </c>
      <c r="E1425" s="22" t="n">
        <f aca="false">E1416/E1423</f>
        <v>0.545696330567611</v>
      </c>
      <c r="F1425" s="22" t="n">
        <f aca="false">F1416/F1423</f>
        <v>0.553278755190875</v>
      </c>
      <c r="G1425" s="22" t="n">
        <f aca="false">G1416/G1423</f>
        <v>0.559894088893921</v>
      </c>
    </row>
    <row r="1426" customFormat="false" ht="17.15" hidden="false" customHeight="false" outlineLevel="0" collapsed="false">
      <c r="A1426" s="4" t="s">
        <v>508</v>
      </c>
      <c r="B1426" s="0" t="s">
        <v>90</v>
      </c>
      <c r="C1426" s="22" t="n">
        <f aca="false">C1418/C1423</f>
        <v>0.738</v>
      </c>
      <c r="D1426" s="22" t="n">
        <f aca="false">D1418/D1423</f>
        <v>0.742103452865479</v>
      </c>
      <c r="E1426" s="22" t="n">
        <f aca="false">E1418/E1423</f>
        <v>0.755544446076937</v>
      </c>
      <c r="F1426" s="22" t="n">
        <f aca="false">F1418/F1423</f>
        <v>0.732580525398884</v>
      </c>
      <c r="G1426" s="22" t="n">
        <f aca="false">G1418/G1423</f>
        <v>0.718737220627462</v>
      </c>
    </row>
    <row r="1427" customFormat="false" ht="17.15" hidden="false" customHeight="false" outlineLevel="0" collapsed="false">
      <c r="A1427" s="6" t="s">
        <v>509</v>
      </c>
    </row>
    <row r="1428" customFormat="false" ht="15" hidden="false" customHeight="false" outlineLevel="0" collapsed="false">
      <c r="A1428" s="4" t="s">
        <v>412</v>
      </c>
      <c r="B1428" s="0" t="s">
        <v>90</v>
      </c>
      <c r="C1428" s="14" t="n">
        <f aca="false">a25_gp/a25_rev</f>
        <v>0.574</v>
      </c>
      <c r="D1428" s="14" t="n">
        <f aca="false">a26_gp/a26_rev</f>
        <v>0.593344593032623</v>
      </c>
      <c r="E1428" s="14" t="n">
        <f aca="false">gm27_A+gm_adj</f>
        <v>0.6</v>
      </c>
      <c r="F1428" s="14" t="n">
        <f aca="false">gmL_A+gm_adj</f>
        <v>0.61</v>
      </c>
      <c r="G1428" s="14" t="n">
        <f aca="false">gmL_A+gm_adj</f>
        <v>0.61</v>
      </c>
    </row>
    <row r="1429" customFormat="false" ht="15" hidden="false" customHeight="false" outlineLevel="0" collapsed="false">
      <c r="A1429" s="4" t="s">
        <v>409</v>
      </c>
      <c r="B1429" s="0" t="s">
        <v>189</v>
      </c>
      <c r="C1429" s="17" t="n">
        <f aca="false">C1423*C1428</f>
        <v>7.678398</v>
      </c>
      <c r="D1429" s="17" t="n">
        <f aca="false">D1423*D1428</f>
        <v>12.7050801</v>
      </c>
      <c r="E1429" s="17" t="n">
        <f aca="false">E1423*E1428</f>
        <v>19.4457553040005</v>
      </c>
      <c r="F1429" s="17" t="n">
        <f aca="false">F1423*F1428</f>
        <v>24.7575505814784</v>
      </c>
      <c r="G1429" s="17" t="n">
        <f aca="false">G1423*G1428</f>
        <v>29.9025061934079</v>
      </c>
    </row>
    <row r="1430" customFormat="false" ht="17.15" hidden="false" customHeight="false" outlineLevel="0" collapsed="false">
      <c r="A1430" s="4" t="s">
        <v>510</v>
      </c>
      <c r="B1430" s="0" t="s">
        <v>189</v>
      </c>
      <c r="D1430" s="17" t="n">
        <f aca="false">a26_opx</f>
        <v>5.05564928556</v>
      </c>
      <c r="E1430" s="17" t="n">
        <f aca="false">D1430*(1+phi*E1424)</f>
        <v>6.61351389854238</v>
      </c>
      <c r="F1430" s="17" t="n">
        <f aca="false">E1430*(1+phi*F1424)</f>
        <v>7.61462064338313</v>
      </c>
      <c r="G1430" s="17" t="n">
        <f aca="false">F1430*(1+phi*G1424)</f>
        <v>8.56407366175719</v>
      </c>
      <c r="K1430" s="8" t="s">
        <v>511</v>
      </c>
    </row>
    <row r="1431" customFormat="false" ht="15" hidden="false" customHeight="false" outlineLevel="0" collapsed="false">
      <c r="A1431" s="4" t="s">
        <v>415</v>
      </c>
      <c r="B1431" s="0" t="s">
        <v>189</v>
      </c>
      <c r="D1431" s="17" t="n">
        <f aca="false">D1429-D1430</f>
        <v>7.64943081444</v>
      </c>
      <c r="E1431" s="17" t="n">
        <f aca="false">E1429-E1430</f>
        <v>12.8322414054582</v>
      </c>
      <c r="F1431" s="17" t="n">
        <f aca="false">F1429-F1430</f>
        <v>17.1429299380953</v>
      </c>
      <c r="G1431" s="17" t="n">
        <f aca="false">G1429-G1430</f>
        <v>21.3384325316508</v>
      </c>
    </row>
    <row r="1432" customFormat="false" ht="15" hidden="false" customHeight="false" outlineLevel="0" collapsed="false">
      <c r="A1432" s="4" t="s">
        <v>482</v>
      </c>
      <c r="B1432" s="0" t="s">
        <v>90</v>
      </c>
      <c r="D1432" s="14" t="n">
        <f aca="false">D1431/D1423</f>
        <v>0.357238866484999</v>
      </c>
      <c r="E1432" s="14" t="n">
        <f aca="false">E1431/E1423</f>
        <v>0.395939613705358</v>
      </c>
      <c r="F1432" s="14" t="n">
        <f aca="false">F1431/F1423</f>
        <v>0.422383758353758</v>
      </c>
      <c r="G1432" s="14" t="n">
        <f aca="false">G1431/G1423</f>
        <v>0.435296083883981</v>
      </c>
    </row>
    <row r="1433" customFormat="false" ht="15" hidden="false" customHeight="false" outlineLevel="0" collapsed="false">
      <c r="A1433" s="4" t="s">
        <v>418</v>
      </c>
      <c r="B1433" s="0" t="s">
        <v>189</v>
      </c>
      <c r="C1433" s="17" t="n">
        <f aca="false">a25_ni</f>
        <v>3.18</v>
      </c>
      <c r="D1433" s="17" t="n">
        <f aca="false">a26_ni</f>
        <v>6.7316248085628</v>
      </c>
      <c r="E1433" s="17" t="n">
        <f aca="false">E1431*ni_oi</f>
        <v>10.9074051946394</v>
      </c>
      <c r="F1433" s="17" t="n">
        <f aca="false">F1431*ni_oi</f>
        <v>14.571490447381</v>
      </c>
      <c r="G1433" s="17" t="n">
        <f aca="false">G1431*ni_oi</f>
        <v>18.1376676519031</v>
      </c>
      <c r="H1433" s="30" t="n">
        <f aca="false">H1423*H1437</f>
        <v>20.96708925481</v>
      </c>
      <c r="I1433" s="30" t="n">
        <f aca="false">I1423*I1437</f>
        <v>23.2069757213737</v>
      </c>
      <c r="J1433" s="30" t="n">
        <f aca="false">J1423*J1437</f>
        <v>24.5451090060299</v>
      </c>
    </row>
    <row r="1434" customFormat="false" ht="15" hidden="false" customHeight="false" outlineLevel="0" collapsed="false">
      <c r="A1434" s="4" t="s">
        <v>512</v>
      </c>
      <c r="B1434" s="4" t="s">
        <v>513</v>
      </c>
      <c r="C1434" s="19" t="n">
        <f aca="false">a25_sh</f>
        <v>94.9537175276202</v>
      </c>
      <c r="D1434" s="19" t="n">
        <f aca="false">a26_sh</f>
        <v>97.9860681630967</v>
      </c>
      <c r="E1434" s="19" t="n">
        <f aca="false">D1434*(1+sh_g)</f>
        <v>97.9860681630967</v>
      </c>
      <c r="F1434" s="19" t="n">
        <f aca="false">E1434*(1+sh_g)</f>
        <v>97.9860681630967</v>
      </c>
      <c r="G1434" s="19" t="n">
        <f aca="false">F1434*(1+sh_g)</f>
        <v>97.9860681630967</v>
      </c>
      <c r="H1434" s="25" t="n">
        <f aca="false">G1434*(1+sh_g)</f>
        <v>97.9860681630967</v>
      </c>
      <c r="I1434" s="25" t="n">
        <f aca="false">H1434*(1+sh_g)</f>
        <v>97.9860681630967</v>
      </c>
      <c r="J1434" s="25" t="n">
        <f aca="false">I1434*(1+sh_g)</f>
        <v>97.9860681630967</v>
      </c>
    </row>
    <row r="1435" customFormat="false" ht="15" hidden="false" customHeight="false" outlineLevel="0" collapsed="false">
      <c r="A1435" s="0" t="s">
        <v>423</v>
      </c>
      <c r="B1435" s="0" t="s">
        <v>256</v>
      </c>
      <c r="C1435" s="20" t="n">
        <f aca="false">a25_eps</f>
        <v>33.49</v>
      </c>
      <c r="D1435" s="20" t="n">
        <f aca="false">a26_eps</f>
        <v>68.6959552317267</v>
      </c>
      <c r="E1435" s="20" t="n">
        <f aca="false">E1433/E1434*1000</f>
        <v>111.315877849943</v>
      </c>
      <c r="F1435" s="20" t="n">
        <f aca="false">F1433/F1434*1000</f>
        <v>148.709818860442</v>
      </c>
      <c r="G1435" s="20" t="n">
        <f aca="false">G1433/G1434*1000</f>
        <v>185.104556106009</v>
      </c>
      <c r="H1435" s="28" t="n">
        <f aca="false">H1433/H1434*1000</f>
        <v>213.980310138688</v>
      </c>
      <c r="I1435" s="28" t="n">
        <f aca="false">I1433/I1434*1000</f>
        <v>236.83954419669</v>
      </c>
      <c r="J1435" s="28" t="n">
        <f aca="false">J1433/J1434*1000</f>
        <v>250.495906879076</v>
      </c>
    </row>
    <row r="1436" customFormat="false" ht="17.15" hidden="false" customHeight="false" outlineLevel="0" collapsed="false">
      <c r="A1436" s="0" t="s">
        <v>514</v>
      </c>
      <c r="B1436" s="0" t="s">
        <v>90</v>
      </c>
      <c r="D1436" s="22" t="n">
        <f aca="false">D1435/C1435-1</f>
        <v>1.05123783910799</v>
      </c>
      <c r="E1436" s="22" t="n">
        <f aca="false">E1435/D1435-1</f>
        <v>0.620413858056848</v>
      </c>
      <c r="F1436" s="22" t="n">
        <f aca="false">F1435/E1435-1</f>
        <v>0.335926390131937</v>
      </c>
      <c r="G1436" s="22" t="n">
        <f aca="false">G1435/F1435-1</f>
        <v>0.244736612043904</v>
      </c>
      <c r="H1436" s="26" t="n">
        <f aca="false">H1435/G1435-1</f>
        <v>0.155996992403266</v>
      </c>
      <c r="I1436" s="26" t="n">
        <f aca="false">I1435/H1435-1</f>
        <v>0.106828679906047</v>
      </c>
      <c r="J1436" s="26" t="n">
        <f aca="false">J1435/I1435-1</f>
        <v>0.0576608215013463</v>
      </c>
    </row>
    <row r="1437" customFormat="false" ht="17.15" hidden="false" customHeight="false" outlineLevel="0" collapsed="false">
      <c r="A1437" s="4" t="s">
        <v>515</v>
      </c>
      <c r="B1437" s="0" t="s">
        <v>90</v>
      </c>
      <c r="C1437" s="14" t="n">
        <f aca="false">C1433/C1423</f>
        <v>0.237721462211258</v>
      </c>
      <c r="D1437" s="14" t="n">
        <f aca="false">D1433/D1423</f>
        <v>0.314376072488123</v>
      </c>
      <c r="E1437" s="14" t="n">
        <f aca="false">E1433/E1423</f>
        <v>0.336548671649555</v>
      </c>
      <c r="F1437" s="14" t="n">
        <f aca="false">F1433/F1423</f>
        <v>0.359026194600694</v>
      </c>
      <c r="G1437" s="14" t="n">
        <f aca="false">G1433/G1423</f>
        <v>0.370001671301384</v>
      </c>
      <c r="H1437" s="27" t="n">
        <f aca="false">$G1437+(fade_mA-$G1437)*1/3</f>
        <v>0.369188749776037</v>
      </c>
      <c r="I1437" s="27" t="n">
        <f aca="false">$G1437+(fade_mA-$G1437)*2/3</f>
        <v>0.36837582825069</v>
      </c>
      <c r="J1437" s="27" t="n">
        <f aca="false">$G1437+(fade_mA-$G1437)*3/3</f>
        <v>0.367562906725343</v>
      </c>
    </row>
    <row r="1440" customFormat="false" ht="17.15" hidden="false" customHeight="false" outlineLevel="0" collapsed="false">
      <c r="A1440" s="1" t="s">
        <v>845</v>
      </c>
    </row>
    <row r="1441" customFormat="false" ht="17.15" hidden="false" customHeight="false" outlineLevel="0" collapsed="false">
      <c r="A1441" s="5" t="s">
        <v>21</v>
      </c>
      <c r="B1441" s="5" t="s">
        <v>22</v>
      </c>
      <c r="C1441" s="15" t="s">
        <v>387</v>
      </c>
      <c r="D1441" s="15" t="s">
        <v>468</v>
      </c>
      <c r="E1441" s="15" t="s">
        <v>469</v>
      </c>
      <c r="F1441" s="15" t="s">
        <v>470</v>
      </c>
      <c r="G1441" s="15" t="s">
        <v>471</v>
      </c>
      <c r="H1441" s="15" t="s">
        <v>472</v>
      </c>
      <c r="I1441" s="15" t="s">
        <v>473</v>
      </c>
      <c r="J1441" s="15" t="s">
        <v>474</v>
      </c>
      <c r="K1441" s="5" t="s">
        <v>336</v>
      </c>
    </row>
    <row r="1442" customFormat="false" ht="17.15" hidden="false" customHeight="false" outlineLevel="0" collapsed="false">
      <c r="A1442" s="6" t="s">
        <v>492</v>
      </c>
    </row>
    <row r="1443" customFormat="false" ht="17.15" hidden="false" customHeight="false" outlineLevel="0" collapsed="false">
      <c r="A1443" s="0" t="s">
        <v>493</v>
      </c>
      <c r="B1443" s="4" t="s">
        <v>32</v>
      </c>
      <c r="D1443" s="20" t="n">
        <f aca="false">units_26</f>
        <v>15.2</v>
      </c>
      <c r="E1443" s="20" t="n">
        <f aca="false">units_27*1</f>
        <v>23.7</v>
      </c>
      <c r="F1443" s="20" t="n">
        <f aca="false">units_28*um28_B*1</f>
        <v>21.2</v>
      </c>
      <c r="G1443" s="20" t="n">
        <f aca="false">units_29*um29_B*1</f>
        <v>25.6275</v>
      </c>
    </row>
    <row r="1444" customFormat="false" ht="17.15" hidden="false" customHeight="false" outlineLevel="0" collapsed="false">
      <c r="A1444" s="4" t="s">
        <v>494</v>
      </c>
      <c r="B1444" s="0" t="s">
        <v>45</v>
      </c>
      <c r="D1444" s="18" t="n">
        <f aca="false">ex_nv*nvtt_26+astt_26</f>
        <v>0.607994</v>
      </c>
      <c r="E1444" s="18" t="n">
        <f aca="false">ex_nv*nvtt_27+astt_27</f>
        <v>0.6560764</v>
      </c>
      <c r="F1444" s="18" t="n">
        <f aca="false">ex_nv*nvtt_28+astt_28</f>
        <v>0.6898114</v>
      </c>
      <c r="G1444" s="18" t="n">
        <f aca="false">ex_nv*nvtt_29+astt_29</f>
        <v>0.692935</v>
      </c>
      <c r="K1444" s="8" t="s">
        <v>495</v>
      </c>
    </row>
    <row r="1445" customFormat="false" ht="17.15" hidden="false" customHeight="false" outlineLevel="0" collapsed="false">
      <c r="A1445" s="4" t="s">
        <v>447</v>
      </c>
      <c r="B1445" s="0" t="s">
        <v>45</v>
      </c>
      <c r="D1445" s="18" t="n">
        <f aca="false">D1443*D1444/($D1443*$D1444)</f>
        <v>1</v>
      </c>
      <c r="E1445" s="18" t="n">
        <f aca="false">E1443*E1444/($D1443*$D1444)</f>
        <v>1.68251862509724</v>
      </c>
      <c r="F1445" s="18" t="n">
        <f aca="false">F1443*F1444/($D1443*$D1444)</f>
        <v>1.58242577012966</v>
      </c>
      <c r="G1445" s="18" t="n">
        <f aca="false">G1443*G1444/($D1443*$D1444)</f>
        <v>1.92156844697264</v>
      </c>
    </row>
    <row r="1446" customFormat="false" ht="17.15" hidden="false" customHeight="false" outlineLevel="0" collapsed="false">
      <c r="A1446" s="4" t="s">
        <v>496</v>
      </c>
      <c r="B1446" s="0" t="s">
        <v>45</v>
      </c>
      <c r="D1446" s="20" t="n">
        <f aca="false">1</f>
        <v>1</v>
      </c>
      <c r="E1446" s="20" t="n">
        <f aca="false">rel27_B</f>
        <v>1</v>
      </c>
      <c r="F1446" s="20" t="n">
        <f aca="false">rel28_B</f>
        <v>1</v>
      </c>
      <c r="G1446" s="20" t="n">
        <f aca="false">rel29_B</f>
        <v>1</v>
      </c>
    </row>
    <row r="1447" customFormat="false" ht="17.15" hidden="false" customHeight="false" outlineLevel="0" collapsed="false">
      <c r="A1447" s="4" t="s">
        <v>497</v>
      </c>
      <c r="B1447" s="0" t="s">
        <v>45</v>
      </c>
      <c r="D1447" s="18" t="n">
        <f aca="false">1</f>
        <v>1</v>
      </c>
      <c r="E1447" s="18" t="n">
        <f aca="false">(1+g_ct)^1</f>
        <v>1.05</v>
      </c>
      <c r="F1447" s="18" t="n">
        <f aca="false">(1+g_ct)^2</f>
        <v>1.1025</v>
      </c>
      <c r="G1447" s="18" t="n">
        <f aca="false">(1+g_ct)^3</f>
        <v>1.157625</v>
      </c>
    </row>
    <row r="1448" customFormat="false" ht="17.15" hidden="false" customHeight="false" outlineLevel="0" collapsed="false">
      <c r="A1448" s="6" t="s">
        <v>498</v>
      </c>
    </row>
    <row r="1449" customFormat="false" ht="17.15" hidden="false" customHeight="false" outlineLevel="0" collapsed="false">
      <c r="A1449" s="0" t="s">
        <v>401</v>
      </c>
      <c r="B1449" s="0" t="s">
        <v>189</v>
      </c>
      <c r="C1449" s="17" t="n">
        <f aca="false">a25_ai</f>
        <v>5.4297243</v>
      </c>
      <c r="D1449" s="17" t="n">
        <f aca="false">a26_ai</f>
        <v>9.5342409</v>
      </c>
      <c r="E1449" s="17" t="n">
        <f aca="false">$D1449*E1445*E1446*E1447</f>
        <v>16.8436147849345</v>
      </c>
      <c r="F1449" s="17" t="n">
        <f aca="false">$D1449*F1445*F1446*F1447</f>
        <v>16.6336694199096</v>
      </c>
      <c r="G1449" s="17" t="n">
        <f aca="false">$D1449*G1445*G1446*G1447</f>
        <v>21.2084962618219</v>
      </c>
      <c r="K1449" s="8" t="s">
        <v>499</v>
      </c>
    </row>
    <row r="1450" customFormat="false" ht="17.15" hidden="false" customHeight="false" outlineLevel="0" collapsed="false">
      <c r="A1450" s="4" t="s">
        <v>404</v>
      </c>
      <c r="B1450" s="0" t="s">
        <v>189</v>
      </c>
      <c r="C1450" s="17" t="n">
        <f aca="false">a25_npc</f>
        <v>4.4425017</v>
      </c>
      <c r="D1450" s="17" t="n">
        <f aca="false">a26_npc</f>
        <v>6.3561606</v>
      </c>
      <c r="E1450" s="17" t="n">
        <f aca="false">D1450*(1+g_nonai+d_npc)</f>
        <v>6.801091842</v>
      </c>
      <c r="F1450" s="17" t="n">
        <f aca="false">E1450*(1+g_nonai+d_npc)</f>
        <v>7.27716827094</v>
      </c>
      <c r="G1450" s="17" t="n">
        <f aca="false">F1450*(1+g_nonai+d_npc)</f>
        <v>7.7865700499058</v>
      </c>
      <c r="K1450" s="4" t="s">
        <v>500</v>
      </c>
    </row>
    <row r="1451" customFormat="false" ht="15" hidden="false" customHeight="false" outlineLevel="0" collapsed="false">
      <c r="A1451" s="4" t="s">
        <v>398</v>
      </c>
      <c r="B1451" s="0" t="s">
        <v>189</v>
      </c>
      <c r="C1451" s="17" t="n">
        <f aca="false">C1449+C1450</f>
        <v>9.872226</v>
      </c>
      <c r="D1451" s="17" t="n">
        <f aca="false">D1449+D1450</f>
        <v>15.8904015</v>
      </c>
      <c r="E1451" s="17" t="n">
        <f aca="false">E1449+E1450</f>
        <v>23.6447066269345</v>
      </c>
      <c r="F1451" s="17" t="n">
        <f aca="false">F1449+F1450</f>
        <v>23.9108376908495</v>
      </c>
      <c r="G1451" s="17" t="n">
        <f aca="false">G1449+G1450</f>
        <v>28.9950663117277</v>
      </c>
    </row>
    <row r="1452" customFormat="false" ht="17.15" hidden="false" customHeight="false" outlineLevel="0" collapsed="false">
      <c r="A1452" s="0" t="s">
        <v>501</v>
      </c>
      <c r="B1452" s="0" t="s">
        <v>189</v>
      </c>
      <c r="D1452" s="17" t="n">
        <f aca="false">k_cpo_hi*cpo_A_26/cpo_A_27</f>
        <v>0.4</v>
      </c>
      <c r="E1452" s="17" t="n">
        <f aca="false">k_cpo_hi*cpo_B_27/cpo_A_27</f>
        <v>1.2</v>
      </c>
      <c r="F1452" s="17" t="n">
        <f aca="false">k_cpo_hi*cpo_B_28/cpo_A_27</f>
        <v>2</v>
      </c>
      <c r="G1452" s="17" t="n">
        <f aca="false">k_cpo_hi*cpo_B_29/cpo_A_27</f>
        <v>3.2</v>
      </c>
      <c r="K1452" s="8" t="s">
        <v>502</v>
      </c>
    </row>
    <row r="1453" customFormat="false" ht="17.15" hidden="false" customHeight="false" outlineLevel="0" collapsed="false">
      <c r="A1453" s="4" t="s">
        <v>503</v>
      </c>
      <c r="B1453" s="0" t="s">
        <v>189</v>
      </c>
      <c r="C1453" s="17" t="n">
        <f aca="false">a25_eq</f>
        <v>3.290742</v>
      </c>
      <c r="D1453" s="17" t="n">
        <f aca="false">a26_eq-D1452</f>
        <v>4.6939955</v>
      </c>
      <c r="E1453" s="17" t="n">
        <f aca="false">D1453*semi_27</f>
        <v>5.473039157153</v>
      </c>
      <c r="F1453" s="17" t="n">
        <f aca="false">$E1453*eqk28_B</f>
        <v>5.473039157153</v>
      </c>
      <c r="G1453" s="17" t="n">
        <f aca="false">$E1453*eqk29_B</f>
        <v>5.19938719929535</v>
      </c>
      <c r="K1453" s="8" t="s">
        <v>504</v>
      </c>
    </row>
    <row r="1454" customFormat="false" ht="15" hidden="false" customHeight="false" outlineLevel="0" collapsed="false">
      <c r="A1454" s="4" t="s">
        <v>405</v>
      </c>
      <c r="B1454" s="0" t="s">
        <v>189</v>
      </c>
      <c r="C1454" s="17" t="n">
        <f aca="false">a25_eq</f>
        <v>3.290742</v>
      </c>
      <c r="D1454" s="17" t="n">
        <f aca="false">D1452+D1453</f>
        <v>5.0939955</v>
      </c>
      <c r="E1454" s="17" t="n">
        <f aca="false">E1452+E1453</f>
        <v>6.673039157153</v>
      </c>
      <c r="F1454" s="17" t="n">
        <f aca="false">F1452+F1453</f>
        <v>7.473039157153</v>
      </c>
      <c r="G1454" s="17" t="n">
        <f aca="false">G1452+G1453</f>
        <v>8.39938719929535</v>
      </c>
    </row>
    <row r="1455" customFormat="false" ht="15" hidden="false" customHeight="false" outlineLevel="0" collapsed="false">
      <c r="A1455" s="4" t="s">
        <v>407</v>
      </c>
      <c r="B1455" s="0" t="s">
        <v>189</v>
      </c>
      <c r="C1455" s="17" t="n">
        <f aca="false">a25_oth</f>
        <v>0.214032000000001</v>
      </c>
      <c r="D1455" s="17" t="n">
        <f aca="false">a26_oth</f>
        <v>0.428253</v>
      </c>
      <c r="E1455" s="17" t="n">
        <f aca="false">D1455*(1+g_oth)</f>
        <v>0.44966565</v>
      </c>
      <c r="F1455" s="17" t="n">
        <f aca="false">E1455*(1+g_oth)</f>
        <v>0.4721489325</v>
      </c>
      <c r="G1455" s="17" t="n">
        <f aca="false">F1455*(1+g_oth)</f>
        <v>0.495756379125</v>
      </c>
    </row>
    <row r="1456" customFormat="false" ht="17.15" hidden="false" customHeight="false" outlineLevel="0" collapsed="false">
      <c r="A1456" s="4" t="s">
        <v>394</v>
      </c>
      <c r="B1456" s="0" t="s">
        <v>189</v>
      </c>
      <c r="C1456" s="17" t="n">
        <f aca="false">C1451+C1454+C1455</f>
        <v>13.377</v>
      </c>
      <c r="D1456" s="17" t="n">
        <f aca="false">D1451+D1454+D1455</f>
        <v>21.41265</v>
      </c>
      <c r="E1456" s="17" t="n">
        <f aca="false">E1451+E1454+E1455</f>
        <v>30.7674114340875</v>
      </c>
      <c r="F1456" s="17" t="n">
        <f aca="false">F1451+F1454+F1455</f>
        <v>31.8560257805026</v>
      </c>
      <c r="G1456" s="17" t="n">
        <f aca="false">G1451+G1454+G1455</f>
        <v>37.8902098901481</v>
      </c>
      <c r="H1456" s="30" t="n">
        <f aca="false">G1456*(1+H1457)</f>
        <v>43.1802008478768</v>
      </c>
      <c r="I1456" s="30" t="n">
        <f aca="false">H1456*(1+I1457)</f>
        <v>47.0580778485474</v>
      </c>
      <c r="J1456" s="30" t="n">
        <f aca="false">I1456*(1+J1457)</f>
        <v>48.9404009624893</v>
      </c>
      <c r="K1456" s="8" t="s">
        <v>505</v>
      </c>
    </row>
    <row r="1457" customFormat="false" ht="15" hidden="false" customHeight="false" outlineLevel="0" collapsed="false">
      <c r="A1457" s="4" t="s">
        <v>506</v>
      </c>
      <c r="B1457" s="0" t="s">
        <v>90</v>
      </c>
      <c r="D1457" s="22" t="n">
        <f aca="false">D1456/C1456-1</f>
        <v>0.600706436420722</v>
      </c>
      <c r="E1457" s="22" t="n">
        <f aca="false">E1456/D1456-1</f>
        <v>0.436880135531451</v>
      </c>
      <c r="F1457" s="22" t="n">
        <f aca="false">F1456/E1456-1</f>
        <v>0.0353820583427096</v>
      </c>
      <c r="G1457" s="22" t="n">
        <f aca="false">G1456/F1456-1</f>
        <v>0.189420493040244</v>
      </c>
      <c r="H1457" s="26" t="n">
        <f aca="false">$G1457+(fade_gB-$G1457)*1/3</f>
        <v>0.139613662026829</v>
      </c>
      <c r="I1457" s="26" t="n">
        <f aca="false">$G1457+(fade_gB-$G1457)*2/3</f>
        <v>0.0898068310134147</v>
      </c>
      <c r="J1457" s="26" t="n">
        <f aca="false">$G1457+(fade_gB-$G1457)*3/3</f>
        <v>0.04</v>
      </c>
    </row>
    <row r="1458" customFormat="false" ht="17.15" hidden="false" customHeight="false" outlineLevel="0" collapsed="false">
      <c r="A1458" s="0" t="s">
        <v>507</v>
      </c>
      <c r="B1458" s="0" t="s">
        <v>90</v>
      </c>
      <c r="C1458" s="22" t="n">
        <f aca="false">C1449/C1456</f>
        <v>0.4059</v>
      </c>
      <c r="D1458" s="22" t="n">
        <f aca="false">D1449/D1456</f>
        <v>0.445262071719287</v>
      </c>
      <c r="E1458" s="22" t="n">
        <f aca="false">E1449/E1456</f>
        <v>0.547449850339808</v>
      </c>
      <c r="F1458" s="22" t="n">
        <f aca="false">F1449/F1456</f>
        <v>0.522151430141363</v>
      </c>
      <c r="G1458" s="22" t="n">
        <f aca="false">G1449/G1456</f>
        <v>0.559735518048328</v>
      </c>
    </row>
    <row r="1459" customFormat="false" ht="17.15" hidden="false" customHeight="false" outlineLevel="0" collapsed="false">
      <c r="A1459" s="4" t="s">
        <v>508</v>
      </c>
      <c r="B1459" s="0" t="s">
        <v>90</v>
      </c>
      <c r="C1459" s="22" t="n">
        <f aca="false">C1451/C1456</f>
        <v>0.738</v>
      </c>
      <c r="D1459" s="22" t="n">
        <f aca="false">D1451/D1456</f>
        <v>0.742103452865479</v>
      </c>
      <c r="E1459" s="22" t="n">
        <f aca="false">E1451/E1456</f>
        <v>0.76849840545046</v>
      </c>
      <c r="F1459" s="22" t="n">
        <f aca="false">F1451/F1456</f>
        <v>0.750590731424011</v>
      </c>
      <c r="G1459" s="22" t="n">
        <f aca="false">G1451/G1456</f>
        <v>0.765238999619973</v>
      </c>
    </row>
    <row r="1460" customFormat="false" ht="17.15" hidden="false" customHeight="false" outlineLevel="0" collapsed="false">
      <c r="A1460" s="6" t="s">
        <v>509</v>
      </c>
    </row>
    <row r="1461" customFormat="false" ht="15" hidden="false" customHeight="false" outlineLevel="0" collapsed="false">
      <c r="A1461" s="4" t="s">
        <v>412</v>
      </c>
      <c r="B1461" s="0" t="s">
        <v>90</v>
      </c>
      <c r="C1461" s="14" t="n">
        <f aca="false">a25_gp/a25_rev</f>
        <v>0.574</v>
      </c>
      <c r="D1461" s="14" t="n">
        <f aca="false">a26_gp/a26_rev</f>
        <v>0.593344593032623</v>
      </c>
      <c r="E1461" s="14" t="n">
        <f aca="false">gm27_B+gm_adj</f>
        <v>0.595</v>
      </c>
      <c r="F1461" s="14" t="n">
        <f aca="false">gmL_B+gm_adj</f>
        <v>0.595</v>
      </c>
      <c r="G1461" s="14" t="n">
        <f aca="false">gmL_B+gm_adj</f>
        <v>0.595</v>
      </c>
    </row>
    <row r="1462" customFormat="false" ht="15" hidden="false" customHeight="false" outlineLevel="0" collapsed="false">
      <c r="A1462" s="4" t="s">
        <v>409</v>
      </c>
      <c r="B1462" s="0" t="s">
        <v>189</v>
      </c>
      <c r="C1462" s="17" t="n">
        <f aca="false">C1456*C1461</f>
        <v>7.678398</v>
      </c>
      <c r="D1462" s="17" t="n">
        <f aca="false">D1456*D1461</f>
        <v>12.7050801</v>
      </c>
      <c r="E1462" s="17" t="n">
        <f aca="false">E1456*E1461</f>
        <v>18.3066098032821</v>
      </c>
      <c r="F1462" s="17" t="n">
        <f aca="false">F1456*F1461</f>
        <v>18.954335339399</v>
      </c>
      <c r="G1462" s="17" t="n">
        <f aca="false">G1456*G1461</f>
        <v>22.5446748846381</v>
      </c>
    </row>
    <row r="1463" customFormat="false" ht="17.15" hidden="false" customHeight="false" outlineLevel="0" collapsed="false">
      <c r="A1463" s="4" t="s">
        <v>510</v>
      </c>
      <c r="B1463" s="0" t="s">
        <v>189</v>
      </c>
      <c r="D1463" s="17" t="n">
        <f aca="false">a26_opx</f>
        <v>5.05564928556</v>
      </c>
      <c r="E1463" s="17" t="n">
        <f aca="false">D1463*(1+phi*E1457)</f>
        <v>6.38087693260496</v>
      </c>
      <c r="F1463" s="17" t="n">
        <f aca="false">E1463*(1+phi*F1457)</f>
        <v>6.51633806854921</v>
      </c>
      <c r="G1463" s="17" t="n">
        <f aca="false">F1463*(1+phi*G1457)</f>
        <v>7.25693485040611</v>
      </c>
      <c r="K1463" s="8" t="s">
        <v>511</v>
      </c>
    </row>
    <row r="1464" customFormat="false" ht="15" hidden="false" customHeight="false" outlineLevel="0" collapsed="false">
      <c r="A1464" s="4" t="s">
        <v>415</v>
      </c>
      <c r="B1464" s="0" t="s">
        <v>189</v>
      </c>
      <c r="D1464" s="17" t="n">
        <f aca="false">D1462-D1463</f>
        <v>7.64943081444</v>
      </c>
      <c r="E1464" s="17" t="n">
        <f aca="false">E1462-E1463</f>
        <v>11.9257328706771</v>
      </c>
      <c r="F1464" s="17" t="n">
        <f aca="false">F1462-F1463</f>
        <v>12.4379972708498</v>
      </c>
      <c r="G1464" s="17" t="n">
        <f aca="false">G1462-G1463</f>
        <v>15.287740034232</v>
      </c>
    </row>
    <row r="1465" customFormat="false" ht="15" hidden="false" customHeight="false" outlineLevel="0" collapsed="false">
      <c r="A1465" s="4" t="s">
        <v>482</v>
      </c>
      <c r="B1465" s="0" t="s">
        <v>90</v>
      </c>
      <c r="D1465" s="14" t="n">
        <f aca="false">D1464/D1456</f>
        <v>0.357238866484999</v>
      </c>
      <c r="E1465" s="14" t="n">
        <f aca="false">E1464/E1456</f>
        <v>0.387609237007975</v>
      </c>
      <c r="F1465" s="14" t="n">
        <f aca="false">F1464/F1456</f>
        <v>0.390444098600098</v>
      </c>
      <c r="G1465" s="14" t="n">
        <f aca="false">G1464/G1456</f>
        <v>0.403474672707131</v>
      </c>
    </row>
    <row r="1466" customFormat="false" ht="15" hidden="false" customHeight="false" outlineLevel="0" collapsed="false">
      <c r="A1466" s="4" t="s">
        <v>418</v>
      </c>
      <c r="B1466" s="0" t="s">
        <v>189</v>
      </c>
      <c r="C1466" s="17" t="n">
        <f aca="false">a25_ni</f>
        <v>3.18</v>
      </c>
      <c r="D1466" s="17" t="n">
        <f aca="false">a26_ni</f>
        <v>6.7316248085628</v>
      </c>
      <c r="E1466" s="17" t="n">
        <f aca="false">E1464*ni_oi</f>
        <v>10.1368729400755</v>
      </c>
      <c r="F1466" s="17" t="n">
        <f aca="false">F1464*ni_oi</f>
        <v>10.5722976802223</v>
      </c>
      <c r="G1466" s="17" t="n">
        <f aca="false">G1464*ni_oi</f>
        <v>12.9945790290972</v>
      </c>
      <c r="H1466" s="30" t="n">
        <f aca="false">H1456*H1470</f>
        <v>14.292790231844</v>
      </c>
      <c r="I1466" s="30" t="n">
        <f aca="false">I1456*I1470</f>
        <v>15.0140296833668</v>
      </c>
      <c r="J1466" s="30" t="n">
        <f aca="false">J1456*J1470</f>
        <v>15.0297460953413</v>
      </c>
    </row>
    <row r="1467" customFormat="false" ht="15" hidden="false" customHeight="false" outlineLevel="0" collapsed="false">
      <c r="A1467" s="4" t="s">
        <v>512</v>
      </c>
      <c r="B1467" s="4" t="s">
        <v>513</v>
      </c>
      <c r="C1467" s="19" t="n">
        <f aca="false">a25_sh</f>
        <v>94.9537175276202</v>
      </c>
      <c r="D1467" s="19" t="n">
        <f aca="false">a26_sh</f>
        <v>97.9860681630967</v>
      </c>
      <c r="E1467" s="19" t="n">
        <f aca="false">D1467*(1+sh_g)</f>
        <v>97.9860681630967</v>
      </c>
      <c r="F1467" s="19" t="n">
        <f aca="false">E1467*(1+sh_g)</f>
        <v>97.9860681630967</v>
      </c>
      <c r="G1467" s="19" t="n">
        <f aca="false">F1467*(1+sh_g)</f>
        <v>97.9860681630967</v>
      </c>
      <c r="H1467" s="25" t="n">
        <f aca="false">G1467*(1+sh_g)</f>
        <v>97.9860681630967</v>
      </c>
      <c r="I1467" s="25" t="n">
        <f aca="false">H1467*(1+sh_g)</f>
        <v>97.9860681630967</v>
      </c>
      <c r="J1467" s="25" t="n">
        <f aca="false">I1467*(1+sh_g)</f>
        <v>97.9860681630967</v>
      </c>
    </row>
    <row r="1468" customFormat="false" ht="15" hidden="false" customHeight="false" outlineLevel="0" collapsed="false">
      <c r="A1468" s="0" t="s">
        <v>423</v>
      </c>
      <c r="B1468" s="0" t="s">
        <v>256</v>
      </c>
      <c r="C1468" s="20" t="n">
        <f aca="false">a25_eps</f>
        <v>33.49</v>
      </c>
      <c r="D1468" s="20" t="n">
        <f aca="false">a26_eps</f>
        <v>68.6959552317267</v>
      </c>
      <c r="E1468" s="20" t="n">
        <f aca="false">E1466/E1467*1000</f>
        <v>103.452185908744</v>
      </c>
      <c r="F1468" s="20" t="n">
        <f aca="false">F1466/F1467*1000</f>
        <v>107.89592723146</v>
      </c>
      <c r="G1468" s="20" t="n">
        <f aca="false">G1466/G1467*1000</f>
        <v>132.616598182793</v>
      </c>
      <c r="H1468" s="28" t="n">
        <f aca="false">H1466/H1467*1000</f>
        <v>145.865534762083</v>
      </c>
      <c r="I1468" s="28" t="n">
        <f aca="false">I1466/I1467*1000</f>
        <v>153.226167401432</v>
      </c>
      <c r="J1468" s="28" t="n">
        <f aca="false">J1466/J1467*1000</f>
        <v>153.386561754111</v>
      </c>
    </row>
    <row r="1469" customFormat="false" ht="17.15" hidden="false" customHeight="false" outlineLevel="0" collapsed="false">
      <c r="A1469" s="0" t="s">
        <v>514</v>
      </c>
      <c r="B1469" s="0" t="s">
        <v>90</v>
      </c>
      <c r="D1469" s="22" t="n">
        <f aca="false">D1468/C1468-1</f>
        <v>1.05123783910799</v>
      </c>
      <c r="E1469" s="22" t="n">
        <f aca="false">E1468/D1468-1</f>
        <v>0.505942898090242</v>
      </c>
      <c r="F1469" s="22" t="n">
        <f aca="false">F1468/E1468-1</f>
        <v>0.0429545425616777</v>
      </c>
      <c r="G1469" s="22" t="n">
        <f aca="false">G1468/F1468-1</f>
        <v>0.229115885887912</v>
      </c>
      <c r="H1469" s="26" t="n">
        <f aca="false">H1468/G1468-1</f>
        <v>0.0999040599806933</v>
      </c>
      <c r="I1469" s="26" t="n">
        <f aca="false">I1468/H1468-1</f>
        <v>0.0504617670744174</v>
      </c>
      <c r="J1469" s="26" t="n">
        <f aca="false">J1468/I1468-1</f>
        <v>0.00104678173055439</v>
      </c>
    </row>
    <row r="1470" customFormat="false" ht="17.15" hidden="false" customHeight="false" outlineLevel="0" collapsed="false">
      <c r="A1470" s="4" t="s">
        <v>515</v>
      </c>
      <c r="B1470" s="0" t="s">
        <v>90</v>
      </c>
      <c r="C1470" s="14" t="n">
        <f aca="false">C1466/C1456</f>
        <v>0.237721462211258</v>
      </c>
      <c r="D1470" s="14" t="n">
        <f aca="false">D1466/D1456</f>
        <v>0.314376072488123</v>
      </c>
      <c r="E1470" s="14" t="n">
        <f aca="false">E1466/E1456</f>
        <v>0.329467851456779</v>
      </c>
      <c r="F1470" s="14" t="n">
        <f aca="false">F1466/F1456</f>
        <v>0.331877483810084</v>
      </c>
      <c r="G1470" s="14" t="n">
        <f aca="false">G1466/G1456</f>
        <v>0.342953471801061</v>
      </c>
      <c r="H1470" s="27" t="n">
        <f aca="false">$G1470+(fade_mB-$G1470)*1/3</f>
        <v>0.331003329099771</v>
      </c>
      <c r="I1470" s="27" t="n">
        <f aca="false">$G1470+(fade_mB-$G1470)*2/3</f>
        <v>0.31905318639848</v>
      </c>
      <c r="J1470" s="27" t="n">
        <f aca="false">$G1470+(fade_mB-$G1470)*3/3</f>
        <v>0.30710304369719</v>
      </c>
    </row>
    <row r="1473" customFormat="false" ht="17.15" hidden="false" customHeight="false" outlineLevel="0" collapsed="false">
      <c r="A1473" s="1" t="s">
        <v>846</v>
      </c>
    </row>
    <row r="1474" customFormat="false" ht="17.15" hidden="false" customHeight="false" outlineLevel="0" collapsed="false">
      <c r="A1474" s="5" t="s">
        <v>21</v>
      </c>
      <c r="B1474" s="5" t="s">
        <v>22</v>
      </c>
      <c r="C1474" s="15" t="s">
        <v>387</v>
      </c>
      <c r="D1474" s="15" t="s">
        <v>468</v>
      </c>
      <c r="E1474" s="15" t="s">
        <v>469</v>
      </c>
      <c r="F1474" s="15" t="s">
        <v>470</v>
      </c>
      <c r="G1474" s="15" t="s">
        <v>471</v>
      </c>
      <c r="H1474" s="15" t="s">
        <v>472</v>
      </c>
      <c r="I1474" s="15" t="s">
        <v>473</v>
      </c>
      <c r="J1474" s="15" t="s">
        <v>474</v>
      </c>
      <c r="K1474" s="5" t="s">
        <v>336</v>
      </c>
    </row>
    <row r="1475" customFormat="false" ht="17.15" hidden="false" customHeight="false" outlineLevel="0" collapsed="false">
      <c r="A1475" s="6" t="s">
        <v>492</v>
      </c>
    </row>
    <row r="1476" customFormat="false" ht="17.15" hidden="false" customHeight="false" outlineLevel="0" collapsed="false">
      <c r="A1476" s="0" t="s">
        <v>493</v>
      </c>
      <c r="B1476" s="4" t="s">
        <v>32</v>
      </c>
      <c r="D1476" s="20" t="n">
        <f aca="false">units_26</f>
        <v>15.2</v>
      </c>
      <c r="E1476" s="20" t="n">
        <f aca="false">units_27*1</f>
        <v>23.7</v>
      </c>
      <c r="F1476" s="20" t="n">
        <f aca="false">units_28*um28_C*1</f>
        <v>15.9</v>
      </c>
      <c r="G1476" s="20" t="n">
        <f aca="false">units_29*um29_C*1</f>
        <v>18.09</v>
      </c>
    </row>
    <row r="1477" customFormat="false" ht="17.15" hidden="false" customHeight="false" outlineLevel="0" collapsed="false">
      <c r="A1477" s="4" t="s">
        <v>494</v>
      </c>
      <c r="B1477" s="0" t="s">
        <v>45</v>
      </c>
      <c r="D1477" s="18" t="n">
        <f aca="false">ex_nv*nvtt_26+astt_26</f>
        <v>0.607994</v>
      </c>
      <c r="E1477" s="18" t="n">
        <f aca="false">ex_nv*nvtt_27+astt_27</f>
        <v>0.6560764</v>
      </c>
      <c r="F1477" s="18" t="n">
        <f aca="false">ex_nv*nvtt_28+astt_28</f>
        <v>0.6898114</v>
      </c>
      <c r="G1477" s="18" t="n">
        <f aca="false">ex_nv*nvtt_29+astt_29</f>
        <v>0.692935</v>
      </c>
      <c r="K1477" s="8" t="s">
        <v>495</v>
      </c>
    </row>
    <row r="1478" customFormat="false" ht="17.15" hidden="false" customHeight="false" outlineLevel="0" collapsed="false">
      <c r="A1478" s="4" t="s">
        <v>447</v>
      </c>
      <c r="B1478" s="0" t="s">
        <v>45</v>
      </c>
      <c r="D1478" s="18" t="n">
        <f aca="false">D1476*D1477/($D1476*$D1477)</f>
        <v>1</v>
      </c>
      <c r="E1478" s="18" t="n">
        <f aca="false">E1476*E1477/($D1476*$D1477)</f>
        <v>1.68251862509724</v>
      </c>
      <c r="F1478" s="18" t="n">
        <f aca="false">F1476*F1477/($D1476*$D1477)</f>
        <v>1.18681932759724</v>
      </c>
      <c r="G1478" s="18" t="n">
        <f aca="false">G1476*G1477/($D1476*$D1477)</f>
        <v>1.35640125668657</v>
      </c>
    </row>
    <row r="1479" customFormat="false" ht="17.15" hidden="false" customHeight="false" outlineLevel="0" collapsed="false">
      <c r="A1479" s="4" t="s">
        <v>496</v>
      </c>
      <c r="B1479" s="0" t="s">
        <v>45</v>
      </c>
      <c r="D1479" s="20" t="n">
        <f aca="false">1</f>
        <v>1</v>
      </c>
      <c r="E1479" s="20" t="n">
        <f aca="false">rel27_C</f>
        <v>0.92</v>
      </c>
      <c r="F1479" s="20" t="n">
        <f aca="false">rel28_C</f>
        <v>0.88</v>
      </c>
      <c r="G1479" s="20" t="n">
        <f aca="false">rel29_C</f>
        <v>0.85</v>
      </c>
    </row>
    <row r="1480" customFormat="false" ht="17.15" hidden="false" customHeight="false" outlineLevel="0" collapsed="false">
      <c r="A1480" s="4" t="s">
        <v>497</v>
      </c>
      <c r="B1480" s="0" t="s">
        <v>45</v>
      </c>
      <c r="D1480" s="18" t="n">
        <f aca="false">1</f>
        <v>1</v>
      </c>
      <c r="E1480" s="18" t="n">
        <f aca="false">(1+g_ct)^1</f>
        <v>1.05</v>
      </c>
      <c r="F1480" s="18" t="n">
        <f aca="false">(1+g_ct)^2</f>
        <v>1.1025</v>
      </c>
      <c r="G1480" s="18" t="n">
        <f aca="false">(1+g_ct)^3</f>
        <v>1.157625</v>
      </c>
    </row>
    <row r="1481" customFormat="false" ht="17.15" hidden="false" customHeight="false" outlineLevel="0" collapsed="false">
      <c r="A1481" s="6" t="s">
        <v>498</v>
      </c>
    </row>
    <row r="1482" customFormat="false" ht="17.15" hidden="false" customHeight="false" outlineLevel="0" collapsed="false">
      <c r="A1482" s="0" t="s">
        <v>401</v>
      </c>
      <c r="B1482" s="0" t="s">
        <v>189</v>
      </c>
      <c r="C1482" s="17" t="n">
        <f aca="false">a25_ai</f>
        <v>5.4297243</v>
      </c>
      <c r="D1482" s="17" t="n">
        <f aca="false">a26_ai</f>
        <v>9.5342409</v>
      </c>
      <c r="E1482" s="17" t="n">
        <f aca="false">$D1482*E1478*E1479*E1480</f>
        <v>15.4961256021398</v>
      </c>
      <c r="F1482" s="17" t="n">
        <f aca="false">$D1482*F1478*F1479*F1480</f>
        <v>10.9782218171403</v>
      </c>
      <c r="G1482" s="17" t="n">
        <f aca="false">$D1482*G1478*G1479*G1480</f>
        <v>12.7250977570932</v>
      </c>
      <c r="K1482" s="8" t="s">
        <v>499</v>
      </c>
    </row>
    <row r="1483" customFormat="false" ht="17.15" hidden="false" customHeight="false" outlineLevel="0" collapsed="false">
      <c r="A1483" s="4" t="s">
        <v>404</v>
      </c>
      <c r="B1483" s="0" t="s">
        <v>189</v>
      </c>
      <c r="C1483" s="17" t="n">
        <f aca="false">a25_npc</f>
        <v>4.4425017</v>
      </c>
      <c r="D1483" s="17" t="n">
        <f aca="false">a26_npc</f>
        <v>6.3561606</v>
      </c>
      <c r="E1483" s="17" t="n">
        <f aca="false">D1483*(1+g_nonai+d_npc)</f>
        <v>6.801091842</v>
      </c>
      <c r="F1483" s="17" t="n">
        <f aca="false">E1483*(1+g_nonai+d_npc)</f>
        <v>7.27716827094</v>
      </c>
      <c r="G1483" s="17" t="n">
        <f aca="false">F1483*(1+g_nonai+d_npc)</f>
        <v>7.7865700499058</v>
      </c>
      <c r="K1483" s="4" t="s">
        <v>500</v>
      </c>
    </row>
    <row r="1484" customFormat="false" ht="15" hidden="false" customHeight="false" outlineLevel="0" collapsed="false">
      <c r="A1484" s="4" t="s">
        <v>398</v>
      </c>
      <c r="B1484" s="0" t="s">
        <v>189</v>
      </c>
      <c r="C1484" s="17" t="n">
        <f aca="false">C1482+C1483</f>
        <v>9.872226</v>
      </c>
      <c r="D1484" s="17" t="n">
        <f aca="false">D1482+D1483</f>
        <v>15.8904015</v>
      </c>
      <c r="E1484" s="17" t="n">
        <f aca="false">E1482+E1483</f>
        <v>22.2972174441398</v>
      </c>
      <c r="F1484" s="17" t="n">
        <f aca="false">F1482+F1483</f>
        <v>18.2553900880803</v>
      </c>
      <c r="G1484" s="17" t="n">
        <f aca="false">G1482+G1483</f>
        <v>20.511667806999</v>
      </c>
    </row>
    <row r="1485" customFormat="false" ht="17.15" hidden="false" customHeight="false" outlineLevel="0" collapsed="false">
      <c r="A1485" s="0" t="s">
        <v>501</v>
      </c>
      <c r="B1485" s="0" t="s">
        <v>189</v>
      </c>
      <c r="D1485" s="17" t="n">
        <f aca="false">k_cpo_hi*cpo_A_26/cpo_A_27</f>
        <v>0.4</v>
      </c>
      <c r="E1485" s="17" t="n">
        <f aca="false">k_cpo_hi*cpo_C_27/cpo_A_27</f>
        <v>0.8</v>
      </c>
      <c r="F1485" s="17" t="n">
        <f aca="false">k_cpo_hi*cpo_C_28/cpo_A_27</f>
        <v>1.2</v>
      </c>
      <c r="G1485" s="17" t="n">
        <f aca="false">k_cpo_hi*cpo_C_29/cpo_A_27</f>
        <v>2</v>
      </c>
      <c r="K1485" s="8" t="s">
        <v>502</v>
      </c>
    </row>
    <row r="1486" customFormat="false" ht="17.15" hidden="false" customHeight="false" outlineLevel="0" collapsed="false">
      <c r="A1486" s="4" t="s">
        <v>503</v>
      </c>
      <c r="B1486" s="0" t="s">
        <v>189</v>
      </c>
      <c r="C1486" s="17" t="n">
        <f aca="false">a25_eq</f>
        <v>3.290742</v>
      </c>
      <c r="D1486" s="17" t="n">
        <f aca="false">a26_eq-D1485</f>
        <v>4.6939955</v>
      </c>
      <c r="E1486" s="17" t="n">
        <f aca="false">D1486*semi_27</f>
        <v>5.473039157153</v>
      </c>
      <c r="F1486" s="17" t="n">
        <f aca="false">$E1486*eqk28_C</f>
        <v>4.3784313257224</v>
      </c>
      <c r="G1486" s="17" t="n">
        <f aca="false">$E1486*eqk29_C</f>
        <v>5.473039157153</v>
      </c>
      <c r="K1486" s="8" t="s">
        <v>504</v>
      </c>
    </row>
    <row r="1487" customFormat="false" ht="15" hidden="false" customHeight="false" outlineLevel="0" collapsed="false">
      <c r="A1487" s="4" t="s">
        <v>405</v>
      </c>
      <c r="B1487" s="0" t="s">
        <v>189</v>
      </c>
      <c r="C1487" s="17" t="n">
        <f aca="false">a25_eq</f>
        <v>3.290742</v>
      </c>
      <c r="D1487" s="17" t="n">
        <f aca="false">D1485+D1486</f>
        <v>5.0939955</v>
      </c>
      <c r="E1487" s="17" t="n">
        <f aca="false">E1485+E1486</f>
        <v>6.273039157153</v>
      </c>
      <c r="F1487" s="17" t="n">
        <f aca="false">F1485+F1486</f>
        <v>5.5784313257224</v>
      </c>
      <c r="G1487" s="17" t="n">
        <f aca="false">G1485+G1486</f>
        <v>7.473039157153</v>
      </c>
    </row>
    <row r="1488" customFormat="false" ht="15" hidden="false" customHeight="false" outlineLevel="0" collapsed="false">
      <c r="A1488" s="4" t="s">
        <v>407</v>
      </c>
      <c r="B1488" s="0" t="s">
        <v>189</v>
      </c>
      <c r="C1488" s="17" t="n">
        <f aca="false">a25_oth</f>
        <v>0.214032000000001</v>
      </c>
      <c r="D1488" s="17" t="n">
        <f aca="false">a26_oth</f>
        <v>0.428253</v>
      </c>
      <c r="E1488" s="17" t="n">
        <f aca="false">D1488*(1+g_oth)</f>
        <v>0.44966565</v>
      </c>
      <c r="F1488" s="17" t="n">
        <f aca="false">E1488*(1+g_oth)</f>
        <v>0.4721489325</v>
      </c>
      <c r="G1488" s="17" t="n">
        <f aca="false">F1488*(1+g_oth)</f>
        <v>0.495756379125</v>
      </c>
    </row>
    <row r="1489" customFormat="false" ht="17.15" hidden="false" customHeight="false" outlineLevel="0" collapsed="false">
      <c r="A1489" s="4" t="s">
        <v>394</v>
      </c>
      <c r="B1489" s="0" t="s">
        <v>189</v>
      </c>
      <c r="C1489" s="17" t="n">
        <f aca="false">C1484+C1487+C1488</f>
        <v>13.377</v>
      </c>
      <c r="D1489" s="17" t="n">
        <f aca="false">D1484+D1487+D1488</f>
        <v>21.41265</v>
      </c>
      <c r="E1489" s="17" t="n">
        <f aca="false">E1484+E1487+E1488</f>
        <v>29.0199222512928</v>
      </c>
      <c r="F1489" s="17" t="n">
        <f aca="false">F1484+F1487+F1488</f>
        <v>24.3059703463027</v>
      </c>
      <c r="G1489" s="17" t="n">
        <f aca="false">G1484+G1487+G1488</f>
        <v>28.480463343277</v>
      </c>
      <c r="H1489" s="30" t="n">
        <f aca="false">G1489*(1+H1490)</f>
        <v>31.9313013050135</v>
      </c>
      <c r="I1489" s="30" t="n">
        <f aca="false">H1489*(1+I1490)</f>
        <v>34.1850938485205</v>
      </c>
      <c r="J1489" s="30" t="n">
        <f aca="false">I1489*(1+J1490)</f>
        <v>34.8687957254909</v>
      </c>
      <c r="K1489" s="8" t="s">
        <v>505</v>
      </c>
    </row>
    <row r="1490" customFormat="false" ht="15" hidden="false" customHeight="false" outlineLevel="0" collapsed="false">
      <c r="A1490" s="4" t="s">
        <v>506</v>
      </c>
      <c r="B1490" s="0" t="s">
        <v>90</v>
      </c>
      <c r="D1490" s="22" t="n">
        <f aca="false">D1489/C1489-1</f>
        <v>0.600706436420722</v>
      </c>
      <c r="E1490" s="22" t="n">
        <f aca="false">E1489/D1489-1</f>
        <v>0.355270004006639</v>
      </c>
      <c r="F1490" s="22" t="n">
        <f aca="false">F1489/E1489-1</f>
        <v>-0.162438474650981</v>
      </c>
      <c r="G1490" s="22" t="n">
        <f aca="false">G1489/F1489-1</f>
        <v>0.171747638028747</v>
      </c>
      <c r="H1490" s="26" t="n">
        <f aca="false">$G1490+(fade_gC-$G1490)*1/3</f>
        <v>0.121165092019165</v>
      </c>
      <c r="I1490" s="26" t="n">
        <f aca="false">$G1490+(fade_gC-$G1490)*2/3</f>
        <v>0.0705825460095823</v>
      </c>
      <c r="J1490" s="26" t="n">
        <f aca="false">$G1490+(fade_gC-$G1490)*3/3</f>
        <v>0.02</v>
      </c>
    </row>
    <row r="1491" customFormat="false" ht="17.15" hidden="false" customHeight="false" outlineLevel="0" collapsed="false">
      <c r="A1491" s="0" t="s">
        <v>507</v>
      </c>
      <c r="B1491" s="0" t="s">
        <v>90</v>
      </c>
      <c r="C1491" s="22" t="n">
        <f aca="false">C1482/C1489</f>
        <v>0.4059</v>
      </c>
      <c r="D1491" s="22" t="n">
        <f aca="false">D1482/D1489</f>
        <v>0.445262071719287</v>
      </c>
      <c r="E1491" s="22" t="n">
        <f aca="false">E1482/E1489</f>
        <v>0.533982326622169</v>
      </c>
      <c r="F1491" s="22" t="n">
        <f aca="false">F1482/F1489</f>
        <v>0.451667703890302</v>
      </c>
      <c r="G1491" s="22" t="n">
        <f aca="false">G1482/G1489</f>
        <v>0.446800938724791</v>
      </c>
    </row>
    <row r="1492" customFormat="false" ht="17.15" hidden="false" customHeight="false" outlineLevel="0" collapsed="false">
      <c r="A1492" s="4" t="s">
        <v>508</v>
      </c>
      <c r="B1492" s="0" t="s">
        <v>90</v>
      </c>
      <c r="C1492" s="22" t="n">
        <f aca="false">C1484/C1489</f>
        <v>0.738</v>
      </c>
      <c r="D1492" s="22" t="n">
        <f aca="false">D1484/D1489</f>
        <v>0.742103452865479</v>
      </c>
      <c r="E1492" s="22" t="n">
        <f aca="false">E1484/E1489</f>
        <v>0.768341736103255</v>
      </c>
      <c r="F1492" s="22" t="n">
        <f aca="false">F1484/F1489</f>
        <v>0.751066089030147</v>
      </c>
      <c r="G1492" s="22" t="n">
        <f aca="false">G1484/G1489</f>
        <v>0.720201338010918</v>
      </c>
    </row>
    <row r="1493" customFormat="false" ht="17.15" hidden="false" customHeight="false" outlineLevel="0" collapsed="false">
      <c r="A1493" s="6" t="s">
        <v>509</v>
      </c>
    </row>
    <row r="1494" customFormat="false" ht="15" hidden="false" customHeight="false" outlineLevel="0" collapsed="false">
      <c r="A1494" s="4" t="s">
        <v>412</v>
      </c>
      <c r="B1494" s="0" t="s">
        <v>90</v>
      </c>
      <c r="C1494" s="14" t="n">
        <f aca="false">a25_gp/a25_rev</f>
        <v>0.574</v>
      </c>
      <c r="D1494" s="14" t="n">
        <f aca="false">a26_gp/a26_rev</f>
        <v>0.593344593032623</v>
      </c>
      <c r="E1494" s="14" t="n">
        <f aca="false">gm27_C+gm_adj</f>
        <v>0.58</v>
      </c>
      <c r="F1494" s="14" t="n">
        <f aca="false">gmL_C+gm_adj</f>
        <v>0.565</v>
      </c>
      <c r="G1494" s="14" t="n">
        <f aca="false">gmL_C+gm_adj</f>
        <v>0.565</v>
      </c>
    </row>
    <row r="1495" customFormat="false" ht="15" hidden="false" customHeight="false" outlineLevel="0" collapsed="false">
      <c r="A1495" s="4" t="s">
        <v>409</v>
      </c>
      <c r="B1495" s="0" t="s">
        <v>189</v>
      </c>
      <c r="C1495" s="17" t="n">
        <f aca="false">C1489*C1494</f>
        <v>7.678398</v>
      </c>
      <c r="D1495" s="17" t="n">
        <f aca="false">D1489*D1494</f>
        <v>12.7050801</v>
      </c>
      <c r="E1495" s="17" t="n">
        <f aca="false">E1489*E1494</f>
        <v>16.8315549057498</v>
      </c>
      <c r="F1495" s="17" t="n">
        <f aca="false">F1489*F1494</f>
        <v>13.732873245661</v>
      </c>
      <c r="G1495" s="17" t="n">
        <f aca="false">G1489*G1494</f>
        <v>16.0914617889515</v>
      </c>
    </row>
    <row r="1496" customFormat="false" ht="17.15" hidden="false" customHeight="false" outlineLevel="0" collapsed="false">
      <c r="A1496" s="4" t="s">
        <v>510</v>
      </c>
      <c r="B1496" s="0" t="s">
        <v>189</v>
      </c>
      <c r="D1496" s="17" t="n">
        <f aca="false">a26_opx</f>
        <v>5.05564928556</v>
      </c>
      <c r="E1496" s="17" t="n">
        <f aca="false">D1496*(1+phi*E1490)</f>
        <v>6.13332161072224</v>
      </c>
      <c r="F1496" s="17" t="n">
        <f aca="false">E1496*(1+phi*F1490)</f>
        <v>5.53554916652847</v>
      </c>
      <c r="G1496" s="17" t="n">
        <f aca="false">F1496*(1+phi*G1490)</f>
        <v>6.10597966325442</v>
      </c>
      <c r="K1496" s="8" t="s">
        <v>511</v>
      </c>
    </row>
    <row r="1497" customFormat="false" ht="15" hidden="false" customHeight="false" outlineLevel="0" collapsed="false">
      <c r="A1497" s="4" t="s">
        <v>415</v>
      </c>
      <c r="B1497" s="0" t="s">
        <v>189</v>
      </c>
      <c r="D1497" s="17" t="n">
        <f aca="false">D1495-D1496</f>
        <v>7.64943081444</v>
      </c>
      <c r="E1497" s="17" t="n">
        <f aca="false">E1495-E1496</f>
        <v>10.6982332950276</v>
      </c>
      <c r="F1497" s="17" t="n">
        <f aca="false">F1495-F1496</f>
        <v>8.19732407913256</v>
      </c>
      <c r="G1497" s="17" t="n">
        <f aca="false">G1495-G1496</f>
        <v>9.98548212569705</v>
      </c>
    </row>
    <row r="1498" customFormat="false" ht="15" hidden="false" customHeight="false" outlineLevel="0" collapsed="false">
      <c r="A1498" s="4" t="s">
        <v>482</v>
      </c>
      <c r="B1498" s="0" t="s">
        <v>90</v>
      </c>
      <c r="D1498" s="14" t="n">
        <f aca="false">D1497/D1489</f>
        <v>0.357238866484999</v>
      </c>
      <c r="E1498" s="14" t="n">
        <f aca="false">E1497/E1489</f>
        <v>0.368651342425667</v>
      </c>
      <c r="F1498" s="14" t="n">
        <f aca="false">F1497/F1489</f>
        <v>0.337255578046877</v>
      </c>
      <c r="G1498" s="14" t="n">
        <f aca="false">G1497/G1489</f>
        <v>0.350608134612888</v>
      </c>
    </row>
    <row r="1499" customFormat="false" ht="15" hidden="false" customHeight="false" outlineLevel="0" collapsed="false">
      <c r="A1499" s="4" t="s">
        <v>418</v>
      </c>
      <c r="B1499" s="0" t="s">
        <v>189</v>
      </c>
      <c r="C1499" s="17" t="n">
        <f aca="false">a25_ni</f>
        <v>3.18</v>
      </c>
      <c r="D1499" s="17" t="n">
        <f aca="false">a26_ni</f>
        <v>6.7316248085628</v>
      </c>
      <c r="E1499" s="17" t="n">
        <f aca="false">E1497*ni_oi</f>
        <v>9.09349830077343</v>
      </c>
      <c r="F1499" s="17" t="n">
        <f aca="false">F1497*ni_oi</f>
        <v>6.96772546726268</v>
      </c>
      <c r="G1499" s="17" t="n">
        <f aca="false">G1497*ni_oi</f>
        <v>8.4876598068425</v>
      </c>
      <c r="H1499" s="30" t="n">
        <f aca="false">H1489*H1503</f>
        <v>8.86842219377955</v>
      </c>
      <c r="I1499" s="30" t="n">
        <f aca="false">I1489*I1503</f>
        <v>8.80101983468196</v>
      </c>
      <c r="J1499" s="30" t="n">
        <f aca="false">J1489*J1503</f>
        <v>8.26981489122071</v>
      </c>
    </row>
    <row r="1500" customFormat="false" ht="15" hidden="false" customHeight="false" outlineLevel="0" collapsed="false">
      <c r="A1500" s="4" t="s">
        <v>512</v>
      </c>
      <c r="B1500" s="4" t="s">
        <v>513</v>
      </c>
      <c r="C1500" s="19" t="n">
        <f aca="false">a25_sh</f>
        <v>94.9537175276202</v>
      </c>
      <c r="D1500" s="19" t="n">
        <f aca="false">a26_sh</f>
        <v>97.9860681630967</v>
      </c>
      <c r="E1500" s="19" t="n">
        <f aca="false">D1500*(1+sh_g)</f>
        <v>97.9860681630967</v>
      </c>
      <c r="F1500" s="19" t="n">
        <f aca="false">E1500*(1+sh_g)</f>
        <v>97.9860681630967</v>
      </c>
      <c r="G1500" s="19" t="n">
        <f aca="false">F1500*(1+sh_g)</f>
        <v>97.9860681630967</v>
      </c>
      <c r="H1500" s="25" t="n">
        <f aca="false">G1500*(1+sh_g)</f>
        <v>97.9860681630967</v>
      </c>
      <c r="I1500" s="25" t="n">
        <f aca="false">H1500*(1+sh_g)</f>
        <v>97.9860681630967</v>
      </c>
      <c r="J1500" s="25" t="n">
        <f aca="false">I1500*(1+sh_g)</f>
        <v>97.9860681630967</v>
      </c>
    </row>
    <row r="1501" customFormat="false" ht="15" hidden="false" customHeight="false" outlineLevel="0" collapsed="false">
      <c r="A1501" s="0" t="s">
        <v>423</v>
      </c>
      <c r="B1501" s="0" t="s">
        <v>256</v>
      </c>
      <c r="C1501" s="20" t="n">
        <f aca="false">a25_eps</f>
        <v>33.49</v>
      </c>
      <c r="D1501" s="20" t="n">
        <f aca="false">a26_eps</f>
        <v>68.6959552317267</v>
      </c>
      <c r="E1501" s="20" t="n">
        <f aca="false">E1499/E1500*1000</f>
        <v>92.8039921515925</v>
      </c>
      <c r="F1501" s="20" t="n">
        <f aca="false">F1499/F1500*1000</f>
        <v>71.109348480694</v>
      </c>
      <c r="G1501" s="20" t="n">
        <f aca="false">G1499/G1500*1000</f>
        <v>86.6210877317262</v>
      </c>
      <c r="H1501" s="28" t="n">
        <f aca="false">H1499/H1500*1000</f>
        <v>90.5069706340105</v>
      </c>
      <c r="I1501" s="28" t="n">
        <f aca="false">I1499/I1500*1000</f>
        <v>89.8190936698548</v>
      </c>
      <c r="J1501" s="28" t="n">
        <f aca="false">J1499/J1500*1000</f>
        <v>84.3978643724708</v>
      </c>
    </row>
    <row r="1502" customFormat="false" ht="17.15" hidden="false" customHeight="false" outlineLevel="0" collapsed="false">
      <c r="A1502" s="0" t="s">
        <v>514</v>
      </c>
      <c r="B1502" s="0" t="s">
        <v>90</v>
      </c>
      <c r="D1502" s="22" t="n">
        <f aca="false">D1501/C1501-1</f>
        <v>1.05123783910799</v>
      </c>
      <c r="E1502" s="22" t="n">
        <f aca="false">E1501/D1501-1</f>
        <v>0.350938229747938</v>
      </c>
      <c r="F1502" s="22" t="n">
        <f aca="false">F1501/E1501-1</f>
        <v>-0.233768431378048</v>
      </c>
      <c r="G1502" s="22" t="n">
        <f aca="false">G1501/F1501-1</f>
        <v>0.218139240232859</v>
      </c>
      <c r="H1502" s="26" t="n">
        <f aca="false">H1501/G1501-1</f>
        <v>0.0448607031387016</v>
      </c>
      <c r="I1502" s="26" t="n">
        <f aca="false">I1501/H1501-1</f>
        <v>-0.00760026503303668</v>
      </c>
      <c r="J1502" s="26" t="n">
        <f aca="false">J1501/I1501-1</f>
        <v>-0.0603572033059099</v>
      </c>
    </row>
    <row r="1503" customFormat="false" ht="17.15" hidden="false" customHeight="false" outlineLevel="0" collapsed="false">
      <c r="A1503" s="4" t="s">
        <v>515</v>
      </c>
      <c r="B1503" s="0" t="s">
        <v>90</v>
      </c>
      <c r="C1503" s="14" t="n">
        <f aca="false">C1499/C1489</f>
        <v>0.237721462211258</v>
      </c>
      <c r="D1503" s="14" t="n">
        <f aca="false">D1499/D1489</f>
        <v>0.314376072488123</v>
      </c>
      <c r="E1503" s="14" t="n">
        <f aca="false">E1499/E1489</f>
        <v>0.313353641061817</v>
      </c>
      <c r="F1503" s="14" t="n">
        <f aca="false">F1499/F1489</f>
        <v>0.286667241339845</v>
      </c>
      <c r="G1503" s="14" t="n">
        <f aca="false">G1499/G1489</f>
        <v>0.298016914420954</v>
      </c>
      <c r="H1503" s="27" t="n">
        <f aca="false">$G1503+(fade_mC-$G1503)*1/3</f>
        <v>0.277734443362229</v>
      </c>
      <c r="I1503" s="27" t="n">
        <f aca="false">$G1503+(fade_mC-$G1503)*2/3</f>
        <v>0.257451972303503</v>
      </c>
      <c r="J1503" s="27" t="n">
        <f aca="false">$G1503+(fade_mC-$G1503)*3/3</f>
        <v>0.237169501244778</v>
      </c>
    </row>
    <row r="1506" customFormat="false" ht="17.15" hidden="false" customHeight="false" outlineLevel="0" collapsed="false">
      <c r="A1506" s="1" t="s">
        <v>847</v>
      </c>
    </row>
    <row r="1507" customFormat="false" ht="17.15" hidden="false" customHeight="false" outlineLevel="0" collapsed="false">
      <c r="A1507" s="5" t="s">
        <v>21</v>
      </c>
      <c r="B1507" s="5" t="s">
        <v>22</v>
      </c>
      <c r="C1507" s="15" t="s">
        <v>387</v>
      </c>
      <c r="D1507" s="15" t="s">
        <v>468</v>
      </c>
      <c r="E1507" s="15" t="s">
        <v>469</v>
      </c>
      <c r="F1507" s="15" t="s">
        <v>470</v>
      </c>
      <c r="G1507" s="15" t="s">
        <v>471</v>
      </c>
      <c r="H1507" s="15" t="s">
        <v>472</v>
      </c>
      <c r="I1507" s="15" t="s">
        <v>473</v>
      </c>
      <c r="J1507" s="15" t="s">
        <v>474</v>
      </c>
      <c r="K1507" s="5" t="s">
        <v>336</v>
      </c>
    </row>
    <row r="1508" customFormat="false" ht="17.15" hidden="false" customHeight="false" outlineLevel="0" collapsed="false">
      <c r="A1508" s="6" t="s">
        <v>492</v>
      </c>
    </row>
    <row r="1509" customFormat="false" ht="17.15" hidden="false" customHeight="false" outlineLevel="0" collapsed="false">
      <c r="A1509" s="0" t="s">
        <v>493</v>
      </c>
      <c r="B1509" s="4" t="s">
        <v>32</v>
      </c>
      <c r="D1509" s="20" t="n">
        <f aca="false">units_26</f>
        <v>15.2</v>
      </c>
      <c r="E1509" s="20" t="n">
        <f aca="false">units_27*1</f>
        <v>23.7</v>
      </c>
      <c r="F1509" s="20" t="n">
        <f aca="false">units_28*um28_A*1</f>
        <v>26.5</v>
      </c>
      <c r="G1509" s="20" t="n">
        <f aca="false">units_29*um29_A*1</f>
        <v>30.15</v>
      </c>
    </row>
    <row r="1510" customFormat="false" ht="17.15" hidden="false" customHeight="false" outlineLevel="0" collapsed="false">
      <c r="A1510" s="4" t="s">
        <v>494</v>
      </c>
      <c r="B1510" s="0" t="s">
        <v>45</v>
      </c>
      <c r="D1510" s="18" t="n">
        <f aca="false">ex_nv*nvtt_26+astt_26</f>
        <v>0.607994</v>
      </c>
      <c r="E1510" s="18" t="n">
        <f aca="false">ex_nv*nvtt_27+astt_27</f>
        <v>0.6560764</v>
      </c>
      <c r="F1510" s="18" t="n">
        <f aca="false">ex_nv*nvtt_28+astt_28</f>
        <v>0.6898114</v>
      </c>
      <c r="G1510" s="18" t="n">
        <f aca="false">ex_nv*nvtt_29+astt_29</f>
        <v>0.692935</v>
      </c>
      <c r="K1510" s="8" t="s">
        <v>495</v>
      </c>
    </row>
    <row r="1511" customFormat="false" ht="17.15" hidden="false" customHeight="false" outlineLevel="0" collapsed="false">
      <c r="A1511" s="4" t="s">
        <v>447</v>
      </c>
      <c r="B1511" s="0" t="s">
        <v>45</v>
      </c>
      <c r="D1511" s="18" t="n">
        <f aca="false">D1509*D1510/($D1509*$D1510)</f>
        <v>1</v>
      </c>
      <c r="E1511" s="18" t="n">
        <f aca="false">E1509*E1510/($D1509*$D1510)</f>
        <v>1.68251862509724</v>
      </c>
      <c r="F1511" s="18" t="n">
        <f aca="false">F1509*F1510/($D1509*$D1510)</f>
        <v>1.97803221266207</v>
      </c>
      <c r="G1511" s="18" t="n">
        <f aca="false">G1509*G1510/($D1509*$D1510)</f>
        <v>2.26066876114428</v>
      </c>
    </row>
    <row r="1512" customFormat="false" ht="17.15" hidden="false" customHeight="false" outlineLevel="0" collapsed="false">
      <c r="A1512" s="4" t="s">
        <v>496</v>
      </c>
      <c r="B1512" s="0" t="s">
        <v>45</v>
      </c>
      <c r="D1512" s="20" t="n">
        <f aca="false">1</f>
        <v>1</v>
      </c>
      <c r="E1512" s="20" t="n">
        <f aca="false">rel27_A</f>
        <v>1.05</v>
      </c>
      <c r="F1512" s="20" t="n">
        <f aca="false">rel28_A</f>
        <v>1.08</v>
      </c>
      <c r="G1512" s="20" t="n">
        <f aca="false">rel29_A</f>
        <v>1.1</v>
      </c>
    </row>
    <row r="1513" customFormat="false" ht="17.15" hidden="false" customHeight="false" outlineLevel="0" collapsed="false">
      <c r="A1513" s="4" t="s">
        <v>497</v>
      </c>
      <c r="B1513" s="0" t="s">
        <v>45</v>
      </c>
      <c r="D1513" s="18" t="n">
        <f aca="false">1</f>
        <v>1</v>
      </c>
      <c r="E1513" s="18" t="n">
        <f aca="false">(1+g_ct)^1</f>
        <v>1.05</v>
      </c>
      <c r="F1513" s="18" t="n">
        <f aca="false">(1+g_ct)^2</f>
        <v>1.1025</v>
      </c>
      <c r="G1513" s="18" t="n">
        <f aca="false">(1+g_ct)^3</f>
        <v>1.157625</v>
      </c>
    </row>
    <row r="1514" customFormat="false" ht="17.15" hidden="false" customHeight="false" outlineLevel="0" collapsed="false">
      <c r="A1514" s="6" t="s">
        <v>498</v>
      </c>
    </row>
    <row r="1515" customFormat="false" ht="17.15" hidden="false" customHeight="false" outlineLevel="0" collapsed="false">
      <c r="A1515" s="0" t="s">
        <v>401</v>
      </c>
      <c r="B1515" s="0" t="s">
        <v>189</v>
      </c>
      <c r="C1515" s="17" t="n">
        <f aca="false">a25_ai</f>
        <v>5.4297243</v>
      </c>
      <c r="D1515" s="17" t="n">
        <f aca="false">a26_ai</f>
        <v>9.5342409</v>
      </c>
      <c r="E1515" s="17" t="n">
        <f aca="false">$D1515*E1511*E1512*E1513</f>
        <v>17.6857955241812</v>
      </c>
      <c r="F1515" s="17" t="n">
        <f aca="false">$D1515*F1511*F1512*F1513</f>
        <v>22.4554537168779</v>
      </c>
      <c r="G1515" s="17" t="n">
        <f aca="false">$D1515*G1511*G1512*G1513</f>
        <v>27.4462892800048</v>
      </c>
      <c r="K1515" s="8" t="s">
        <v>499</v>
      </c>
    </row>
    <row r="1516" customFormat="false" ht="17.15" hidden="false" customHeight="false" outlineLevel="0" collapsed="false">
      <c r="A1516" s="4" t="s">
        <v>404</v>
      </c>
      <c r="B1516" s="0" t="s">
        <v>189</v>
      </c>
      <c r="C1516" s="17" t="n">
        <f aca="false">a25_npc</f>
        <v>4.4425017</v>
      </c>
      <c r="D1516" s="17" t="n">
        <f aca="false">a26_npc</f>
        <v>6.3561606</v>
      </c>
      <c r="E1516" s="17" t="n">
        <f aca="false">D1516*(1+g_nonai+d_npc)</f>
        <v>6.801091842</v>
      </c>
      <c r="F1516" s="17" t="n">
        <f aca="false">E1516*(1+g_nonai+d_npc)</f>
        <v>7.27716827094</v>
      </c>
      <c r="G1516" s="17" t="n">
        <f aca="false">F1516*(1+g_nonai+d_npc)</f>
        <v>7.7865700499058</v>
      </c>
      <c r="K1516" s="4" t="s">
        <v>500</v>
      </c>
    </row>
    <row r="1517" customFormat="false" ht="15" hidden="false" customHeight="false" outlineLevel="0" collapsed="false">
      <c r="A1517" s="4" t="s">
        <v>398</v>
      </c>
      <c r="B1517" s="0" t="s">
        <v>189</v>
      </c>
      <c r="C1517" s="17" t="n">
        <f aca="false">C1515+C1516</f>
        <v>9.872226</v>
      </c>
      <c r="D1517" s="17" t="n">
        <f aca="false">D1515+D1516</f>
        <v>15.8904015</v>
      </c>
      <c r="E1517" s="17" t="n">
        <f aca="false">E1515+E1516</f>
        <v>24.4868873661812</v>
      </c>
      <c r="F1517" s="17" t="n">
        <f aca="false">F1515+F1516</f>
        <v>29.7326219878179</v>
      </c>
      <c r="G1517" s="17" t="n">
        <f aca="false">G1515+G1516</f>
        <v>35.2328593299106</v>
      </c>
    </row>
    <row r="1518" customFormat="false" ht="17.15" hidden="false" customHeight="false" outlineLevel="0" collapsed="false">
      <c r="A1518" s="0" t="s">
        <v>501</v>
      </c>
      <c r="B1518" s="0" t="s">
        <v>189</v>
      </c>
      <c r="D1518" s="17" t="n">
        <f aca="false">k_cpo*cpo_A_26/cpo_A_27</f>
        <v>0.24</v>
      </c>
      <c r="E1518" s="17" t="n">
        <f aca="false">k_cpo*cpo_A_27/cpo_A_27</f>
        <v>1.2</v>
      </c>
      <c r="F1518" s="17" t="n">
        <f aca="false">k_cpo*cpo_A_28/cpo_A_27</f>
        <v>2.4</v>
      </c>
      <c r="G1518" s="17" t="n">
        <f aca="false">k_cpo*cpo_A_29/cpo_A_27</f>
        <v>3.84</v>
      </c>
      <c r="K1518" s="8" t="s">
        <v>502</v>
      </c>
    </row>
    <row r="1519" customFormat="false" ht="17.15" hidden="false" customHeight="false" outlineLevel="0" collapsed="false">
      <c r="A1519" s="4" t="s">
        <v>503</v>
      </c>
      <c r="B1519" s="0" t="s">
        <v>189</v>
      </c>
      <c r="C1519" s="17" t="n">
        <f aca="false">a25_eq</f>
        <v>3.290742</v>
      </c>
      <c r="D1519" s="17" t="n">
        <f aca="false">a26_eq-D1518</f>
        <v>4.8539955</v>
      </c>
      <c r="E1519" s="17" t="n">
        <f aca="false">D1519*semi_27</f>
        <v>5.659593717153</v>
      </c>
      <c r="F1519" s="17" t="n">
        <f aca="false">$E1519*eqk28_A</f>
        <v>6.59889384801401</v>
      </c>
      <c r="G1519" s="17" t="n">
        <f aca="false">$E1519*eqk29_A</f>
        <v>7.12680377116889</v>
      </c>
      <c r="K1519" s="8" t="s">
        <v>504</v>
      </c>
    </row>
    <row r="1520" customFormat="false" ht="15" hidden="false" customHeight="false" outlineLevel="0" collapsed="false">
      <c r="A1520" s="4" t="s">
        <v>405</v>
      </c>
      <c r="B1520" s="0" t="s">
        <v>189</v>
      </c>
      <c r="C1520" s="17" t="n">
        <f aca="false">a25_eq</f>
        <v>3.290742</v>
      </c>
      <c r="D1520" s="17" t="n">
        <f aca="false">D1518+D1519</f>
        <v>5.0939955</v>
      </c>
      <c r="E1520" s="17" t="n">
        <f aca="false">E1518+E1519</f>
        <v>6.859593717153</v>
      </c>
      <c r="F1520" s="17" t="n">
        <f aca="false">F1518+F1519</f>
        <v>8.99889384801401</v>
      </c>
      <c r="G1520" s="17" t="n">
        <f aca="false">G1518+G1519</f>
        <v>10.9668037711689</v>
      </c>
    </row>
    <row r="1521" customFormat="false" ht="15" hidden="false" customHeight="false" outlineLevel="0" collapsed="false">
      <c r="A1521" s="4" t="s">
        <v>407</v>
      </c>
      <c r="B1521" s="0" t="s">
        <v>189</v>
      </c>
      <c r="C1521" s="17" t="n">
        <f aca="false">a25_oth</f>
        <v>0.214032000000001</v>
      </c>
      <c r="D1521" s="17" t="n">
        <f aca="false">a26_oth</f>
        <v>0.428253</v>
      </c>
      <c r="E1521" s="17" t="n">
        <f aca="false">D1521*(1+g_oth)</f>
        <v>0.44966565</v>
      </c>
      <c r="F1521" s="17" t="n">
        <f aca="false">E1521*(1+g_oth)</f>
        <v>0.4721489325</v>
      </c>
      <c r="G1521" s="17" t="n">
        <f aca="false">F1521*(1+g_oth)</f>
        <v>0.495756379125</v>
      </c>
    </row>
    <row r="1522" customFormat="false" ht="17.15" hidden="false" customHeight="false" outlineLevel="0" collapsed="false">
      <c r="A1522" s="4" t="s">
        <v>394</v>
      </c>
      <c r="B1522" s="0" t="s">
        <v>189</v>
      </c>
      <c r="C1522" s="17" t="n">
        <f aca="false">C1517+C1520+C1521</f>
        <v>13.377</v>
      </c>
      <c r="D1522" s="17" t="n">
        <f aca="false">D1517+D1520+D1521</f>
        <v>21.41265</v>
      </c>
      <c r="E1522" s="17" t="n">
        <f aca="false">E1517+E1520+E1521</f>
        <v>31.7961467333342</v>
      </c>
      <c r="F1522" s="17" t="n">
        <f aca="false">F1517+F1520+F1521</f>
        <v>39.2036647683319</v>
      </c>
      <c r="G1522" s="17" t="n">
        <f aca="false">G1517+G1520+G1521</f>
        <v>46.6954194802045</v>
      </c>
      <c r="H1522" s="30" t="n">
        <f aca="false">G1522*(1+H1523)</f>
        <v>53.5782722007526</v>
      </c>
      <c r="I1522" s="30" t="n">
        <f aca="false">H1522*(1+I1523)</f>
        <v>59.1343091320141</v>
      </c>
      <c r="J1522" s="30" t="n">
        <f aca="false">I1522*(1+J1523)</f>
        <v>62.682367679935</v>
      </c>
      <c r="K1522" s="8" t="s">
        <v>505</v>
      </c>
    </row>
    <row r="1523" customFormat="false" ht="15" hidden="false" customHeight="false" outlineLevel="0" collapsed="false">
      <c r="A1523" s="4" t="s">
        <v>506</v>
      </c>
      <c r="B1523" s="0" t="s">
        <v>90</v>
      </c>
      <c r="D1523" s="22" t="n">
        <f aca="false">D1522/C1522-1</f>
        <v>0.600706436420722</v>
      </c>
      <c r="E1523" s="22" t="n">
        <f aca="false">E1522/D1522-1</f>
        <v>0.484923479033854</v>
      </c>
      <c r="F1523" s="22" t="n">
        <f aca="false">F1522/E1522-1</f>
        <v>0.232969048014608</v>
      </c>
      <c r="G1523" s="22" t="n">
        <f aca="false">G1522/F1522-1</f>
        <v>0.191098326040283</v>
      </c>
      <c r="H1523" s="26" t="n">
        <f aca="false">$G1523+(fade_gA-$G1523)*1/3</f>
        <v>0.147398884026855</v>
      </c>
      <c r="I1523" s="26" t="n">
        <f aca="false">$G1523+(fade_gA-$G1523)*2/3</f>
        <v>0.103699442013428</v>
      </c>
      <c r="J1523" s="26" t="n">
        <f aca="false">$G1523+(fade_gA-$G1523)*3/3</f>
        <v>0.06</v>
      </c>
    </row>
    <row r="1524" customFormat="false" ht="17.15" hidden="false" customHeight="false" outlineLevel="0" collapsed="false">
      <c r="A1524" s="0" t="s">
        <v>507</v>
      </c>
      <c r="B1524" s="0" t="s">
        <v>90</v>
      </c>
      <c r="C1524" s="22" t="n">
        <f aca="false">C1515/C1522</f>
        <v>0.4059</v>
      </c>
      <c r="D1524" s="22" t="n">
        <f aca="false">D1515/D1522</f>
        <v>0.445262071719287</v>
      </c>
      <c r="E1524" s="22" t="n">
        <f aca="false">E1515/E1522</f>
        <v>0.556224490738053</v>
      </c>
      <c r="F1524" s="22" t="n">
        <f aca="false">F1515/F1522</f>
        <v>0.572789657537758</v>
      </c>
      <c r="G1524" s="22" t="n">
        <f aca="false">G1515/G1522</f>
        <v>0.587772624928235</v>
      </c>
    </row>
    <row r="1525" customFormat="false" ht="17.15" hidden="false" customHeight="false" outlineLevel="0" collapsed="false">
      <c r="A1525" s="4" t="s">
        <v>508</v>
      </c>
      <c r="B1525" s="0" t="s">
        <v>90</v>
      </c>
      <c r="C1525" s="22" t="n">
        <f aca="false">C1517/C1522</f>
        <v>0.738</v>
      </c>
      <c r="D1525" s="22" t="n">
        <f aca="false">D1517/D1522</f>
        <v>0.742103452865479</v>
      </c>
      <c r="E1525" s="22" t="n">
        <f aca="false">E1517/E1522</f>
        <v>0.770121221654504</v>
      </c>
      <c r="F1525" s="22" t="n">
        <f aca="false">F1517/F1522</f>
        <v>0.758414351401031</v>
      </c>
      <c r="G1525" s="22" t="n">
        <f aca="false">G1517/G1522</f>
        <v>0.754524956025865</v>
      </c>
    </row>
    <row r="1526" customFormat="false" ht="17.15" hidden="false" customHeight="false" outlineLevel="0" collapsed="false">
      <c r="A1526" s="6" t="s">
        <v>509</v>
      </c>
    </row>
    <row r="1527" customFormat="false" ht="15" hidden="false" customHeight="false" outlineLevel="0" collapsed="false">
      <c r="A1527" s="4" t="s">
        <v>412</v>
      </c>
      <c r="B1527" s="0" t="s">
        <v>90</v>
      </c>
      <c r="C1527" s="14" t="n">
        <f aca="false">a25_gp/a25_rev</f>
        <v>0.574</v>
      </c>
      <c r="D1527" s="14" t="n">
        <f aca="false">a26_gp/a26_rev</f>
        <v>0.593344593032623</v>
      </c>
      <c r="E1527" s="14" t="n">
        <f aca="false">gm27_A+gm_adj_lo</f>
        <v>0.58</v>
      </c>
      <c r="F1527" s="14" t="n">
        <f aca="false">gmL_A+gm_adj_lo</f>
        <v>0.59</v>
      </c>
      <c r="G1527" s="14" t="n">
        <f aca="false">gmL_A+gm_adj_lo</f>
        <v>0.59</v>
      </c>
    </row>
    <row r="1528" customFormat="false" ht="15" hidden="false" customHeight="false" outlineLevel="0" collapsed="false">
      <c r="A1528" s="4" t="s">
        <v>409</v>
      </c>
      <c r="B1528" s="0" t="s">
        <v>189</v>
      </c>
      <c r="C1528" s="17" t="n">
        <f aca="false">C1522*C1527</f>
        <v>7.678398</v>
      </c>
      <c r="D1528" s="17" t="n">
        <f aca="false">D1522*D1527</f>
        <v>12.7050801</v>
      </c>
      <c r="E1528" s="17" t="n">
        <f aca="false">E1522*E1527</f>
        <v>18.4417651053339</v>
      </c>
      <c r="F1528" s="17" t="n">
        <f aca="false">F1522*F1527</f>
        <v>23.1301622133158</v>
      </c>
      <c r="G1528" s="17" t="n">
        <f aca="false">G1522*G1527</f>
        <v>27.5502974933207</v>
      </c>
    </row>
    <row r="1529" customFormat="false" ht="17.15" hidden="false" customHeight="false" outlineLevel="0" collapsed="false">
      <c r="A1529" s="4" t="s">
        <v>510</v>
      </c>
      <c r="B1529" s="0" t="s">
        <v>189</v>
      </c>
      <c r="D1529" s="17" t="n">
        <f aca="false">a26_opx</f>
        <v>5.05564928556</v>
      </c>
      <c r="E1529" s="17" t="n">
        <f aca="false">D1529*(1+phi*E1523)</f>
        <v>6.52661110975726</v>
      </c>
      <c r="F1529" s="17" t="n">
        <f aca="false">E1529*(1+phi*F1523)</f>
        <v>7.43891013595829</v>
      </c>
      <c r="G1529" s="17" t="n">
        <f aca="false">F1529*(1+phi*G1523)</f>
        <v>8.29184810068572</v>
      </c>
      <c r="K1529" s="8" t="s">
        <v>511</v>
      </c>
    </row>
    <row r="1530" customFormat="false" ht="15" hidden="false" customHeight="false" outlineLevel="0" collapsed="false">
      <c r="A1530" s="4" t="s">
        <v>415</v>
      </c>
      <c r="B1530" s="0" t="s">
        <v>189</v>
      </c>
      <c r="D1530" s="17" t="n">
        <f aca="false">D1528-D1529</f>
        <v>7.64943081444</v>
      </c>
      <c r="E1530" s="17" t="n">
        <f aca="false">E1528-E1529</f>
        <v>11.9151539955766</v>
      </c>
      <c r="F1530" s="17" t="n">
        <f aca="false">F1528-F1529</f>
        <v>15.6912520773575</v>
      </c>
      <c r="G1530" s="17" t="n">
        <f aca="false">G1528-G1529</f>
        <v>19.258449392635</v>
      </c>
    </row>
    <row r="1531" customFormat="false" ht="15" hidden="false" customHeight="false" outlineLevel="0" collapsed="false">
      <c r="A1531" s="4" t="s">
        <v>482</v>
      </c>
      <c r="B1531" s="0" t="s">
        <v>90</v>
      </c>
      <c r="D1531" s="14" t="n">
        <f aca="false">D1530/D1522</f>
        <v>0.357238866484999</v>
      </c>
      <c r="E1531" s="14" t="n">
        <f aca="false">E1530/E1522</f>
        <v>0.374735784669312</v>
      </c>
      <c r="F1531" s="14" t="n">
        <f aca="false">F1530/F1522</f>
        <v>0.400249623857428</v>
      </c>
      <c r="G1531" s="14" t="n">
        <f aca="false">G1530/G1522</f>
        <v>0.412426949088639</v>
      </c>
    </row>
    <row r="1532" customFormat="false" ht="15" hidden="false" customHeight="false" outlineLevel="0" collapsed="false">
      <c r="A1532" s="4" t="s">
        <v>418</v>
      </c>
      <c r="B1532" s="0" t="s">
        <v>189</v>
      </c>
      <c r="C1532" s="17" t="n">
        <f aca="false">a25_ni</f>
        <v>3.18</v>
      </c>
      <c r="D1532" s="17" t="n">
        <f aca="false">a26_ni</f>
        <v>6.7316248085628</v>
      </c>
      <c r="E1532" s="17" t="n">
        <f aca="false">E1530*ni_oi</f>
        <v>10.1278808962401</v>
      </c>
      <c r="F1532" s="17" t="n">
        <f aca="false">F1530*ni_oi</f>
        <v>13.3375642657539</v>
      </c>
      <c r="G1532" s="17" t="n">
        <f aca="false">G1530*ni_oi</f>
        <v>16.3696819837397</v>
      </c>
      <c r="H1532" s="30" t="n">
        <f aca="false">H1522*H1536</f>
        <v>19.0861650491551</v>
      </c>
      <c r="I1532" s="30" t="n">
        <f aca="false">I1522*I1536</f>
        <v>21.4004841333434</v>
      </c>
      <c r="J1532" s="30" t="n">
        <f aca="false">J1522*J1536</f>
        <v>23.0397132648636</v>
      </c>
    </row>
    <row r="1533" customFormat="false" ht="15" hidden="false" customHeight="false" outlineLevel="0" collapsed="false">
      <c r="A1533" s="4" t="s">
        <v>512</v>
      </c>
      <c r="B1533" s="4" t="s">
        <v>513</v>
      </c>
      <c r="C1533" s="19" t="n">
        <f aca="false">a25_sh</f>
        <v>94.9537175276202</v>
      </c>
      <c r="D1533" s="19" t="n">
        <f aca="false">a26_sh</f>
        <v>97.9860681630967</v>
      </c>
      <c r="E1533" s="19" t="n">
        <f aca="false">D1533*(1+sh_g)</f>
        <v>97.9860681630967</v>
      </c>
      <c r="F1533" s="19" t="n">
        <f aca="false">E1533*(1+sh_g)</f>
        <v>97.9860681630967</v>
      </c>
      <c r="G1533" s="19" t="n">
        <f aca="false">F1533*(1+sh_g)</f>
        <v>97.9860681630967</v>
      </c>
      <c r="H1533" s="25" t="n">
        <f aca="false">G1533*(1+sh_g)</f>
        <v>97.9860681630967</v>
      </c>
      <c r="I1533" s="25" t="n">
        <f aca="false">H1533*(1+sh_g)</f>
        <v>97.9860681630967</v>
      </c>
      <c r="J1533" s="25" t="n">
        <f aca="false">I1533*(1+sh_g)</f>
        <v>97.9860681630967</v>
      </c>
    </row>
    <row r="1534" customFormat="false" ht="15" hidden="false" customHeight="false" outlineLevel="0" collapsed="false">
      <c r="A1534" s="0" t="s">
        <v>423</v>
      </c>
      <c r="B1534" s="0" t="s">
        <v>256</v>
      </c>
      <c r="C1534" s="20" t="n">
        <f aca="false">a25_eps</f>
        <v>33.49</v>
      </c>
      <c r="D1534" s="20" t="n">
        <f aca="false">a26_eps</f>
        <v>68.6959552317267</v>
      </c>
      <c r="E1534" s="20" t="n">
        <f aca="false">E1532/E1533*1000</f>
        <v>103.360417313432</v>
      </c>
      <c r="F1534" s="20" t="n">
        <f aca="false">F1532/F1533*1000</f>
        <v>136.116945151363</v>
      </c>
      <c r="G1534" s="20" t="n">
        <f aca="false">G1532/G1533*1000</f>
        <v>167.061320967513</v>
      </c>
      <c r="H1534" s="28" t="n">
        <f aca="false">H1532/H1533*1000</f>
        <v>194.784477088991</v>
      </c>
      <c r="I1534" s="28" t="n">
        <f aca="false">I1532/I1533*1000</f>
        <v>218.403335642803</v>
      </c>
      <c r="J1534" s="28" t="n">
        <f aca="false">J1532/J1533*1000</f>
        <v>235.132541766185</v>
      </c>
    </row>
    <row r="1535" customFormat="false" ht="17.15" hidden="false" customHeight="false" outlineLevel="0" collapsed="false">
      <c r="A1535" s="0" t="s">
        <v>514</v>
      </c>
      <c r="B1535" s="0" t="s">
        <v>90</v>
      </c>
      <c r="D1535" s="22" t="n">
        <f aca="false">D1534/C1534-1</f>
        <v>1.05123783910799</v>
      </c>
      <c r="E1535" s="22" t="n">
        <f aca="false">E1534/D1534-1</f>
        <v>0.504607032026482</v>
      </c>
      <c r="F1535" s="22" t="n">
        <f aca="false">F1534/E1534-1</f>
        <v>0.316915591958172</v>
      </c>
      <c r="G1535" s="22" t="n">
        <f aca="false">G1534/F1534-1</f>
        <v>0.227336690385906</v>
      </c>
      <c r="H1535" s="26" t="n">
        <f aca="false">H1534/G1534-1</f>
        <v>0.165945988939411</v>
      </c>
      <c r="I1535" s="26" t="n">
        <f aca="false">I1534/H1534-1</f>
        <v>0.121256369638843</v>
      </c>
      <c r="J1535" s="26" t="n">
        <f aca="false">J1534/I1534-1</f>
        <v>0.0765977592519138</v>
      </c>
    </row>
    <row r="1536" customFormat="false" ht="17.15" hidden="false" customHeight="false" outlineLevel="0" collapsed="false">
      <c r="A1536" s="4" t="s">
        <v>515</v>
      </c>
      <c r="B1536" s="0" t="s">
        <v>90</v>
      </c>
      <c r="C1536" s="14" t="n">
        <f aca="false">C1532/C1522</f>
        <v>0.237721462211258</v>
      </c>
      <c r="D1536" s="14" t="n">
        <f aca="false">D1532/D1522</f>
        <v>0.314376072488123</v>
      </c>
      <c r="E1536" s="14" t="n">
        <f aca="false">E1532/E1522</f>
        <v>0.318525416968915</v>
      </c>
      <c r="F1536" s="14" t="n">
        <f aca="false">F1532/F1522</f>
        <v>0.340212180278813</v>
      </c>
      <c r="G1536" s="14" t="n">
        <f aca="false">G1532/G1522</f>
        <v>0.350562906725343</v>
      </c>
      <c r="H1536" s="27" t="n">
        <f aca="false">$G1536+(fade_mA-$G1536)*1/3</f>
        <v>0.35622957339201</v>
      </c>
      <c r="I1536" s="27" t="n">
        <f aca="false">$G1536+(fade_mA-$G1536)*2/3</f>
        <v>0.361896240058676</v>
      </c>
      <c r="J1536" s="27" t="n">
        <f aca="false">$G1536+(fade_mA-$G1536)*3/3</f>
        <v>0.367562906725343</v>
      </c>
    </row>
    <row r="1539" customFormat="false" ht="17.15" hidden="false" customHeight="false" outlineLevel="0" collapsed="false">
      <c r="A1539" s="1" t="s">
        <v>848</v>
      </c>
    </row>
    <row r="1540" customFormat="false" ht="17.15" hidden="false" customHeight="false" outlineLevel="0" collapsed="false">
      <c r="A1540" s="5" t="s">
        <v>21</v>
      </c>
      <c r="B1540" s="5" t="s">
        <v>22</v>
      </c>
      <c r="C1540" s="15" t="s">
        <v>387</v>
      </c>
      <c r="D1540" s="15" t="s">
        <v>468</v>
      </c>
      <c r="E1540" s="15" t="s">
        <v>469</v>
      </c>
      <c r="F1540" s="15" t="s">
        <v>470</v>
      </c>
      <c r="G1540" s="15" t="s">
        <v>471</v>
      </c>
      <c r="H1540" s="15" t="s">
        <v>472</v>
      </c>
      <c r="I1540" s="15" t="s">
        <v>473</v>
      </c>
      <c r="J1540" s="15" t="s">
        <v>474</v>
      </c>
      <c r="K1540" s="5" t="s">
        <v>336</v>
      </c>
    </row>
    <row r="1541" customFormat="false" ht="17.15" hidden="false" customHeight="false" outlineLevel="0" collapsed="false">
      <c r="A1541" s="6" t="s">
        <v>492</v>
      </c>
    </row>
    <row r="1542" customFormat="false" ht="17.15" hidden="false" customHeight="false" outlineLevel="0" collapsed="false">
      <c r="A1542" s="0" t="s">
        <v>493</v>
      </c>
      <c r="B1542" s="4" t="s">
        <v>32</v>
      </c>
      <c r="D1542" s="20" t="n">
        <f aca="false">units_26</f>
        <v>15.2</v>
      </c>
      <c r="E1542" s="20" t="n">
        <f aca="false">units_27*1</f>
        <v>23.7</v>
      </c>
      <c r="F1542" s="20" t="n">
        <f aca="false">units_28*um28_B*1</f>
        <v>21.2</v>
      </c>
      <c r="G1542" s="20" t="n">
        <f aca="false">units_29*um29_B*1</f>
        <v>25.6275</v>
      </c>
    </row>
    <row r="1543" customFormat="false" ht="17.15" hidden="false" customHeight="false" outlineLevel="0" collapsed="false">
      <c r="A1543" s="4" t="s">
        <v>494</v>
      </c>
      <c r="B1543" s="0" t="s">
        <v>45</v>
      </c>
      <c r="D1543" s="18" t="n">
        <f aca="false">ex_nv*nvtt_26+astt_26</f>
        <v>0.607994</v>
      </c>
      <c r="E1543" s="18" t="n">
        <f aca="false">ex_nv*nvtt_27+astt_27</f>
        <v>0.6560764</v>
      </c>
      <c r="F1543" s="18" t="n">
        <f aca="false">ex_nv*nvtt_28+astt_28</f>
        <v>0.6898114</v>
      </c>
      <c r="G1543" s="18" t="n">
        <f aca="false">ex_nv*nvtt_29+astt_29</f>
        <v>0.692935</v>
      </c>
      <c r="K1543" s="8" t="s">
        <v>495</v>
      </c>
    </row>
    <row r="1544" customFormat="false" ht="17.15" hidden="false" customHeight="false" outlineLevel="0" collapsed="false">
      <c r="A1544" s="4" t="s">
        <v>447</v>
      </c>
      <c r="B1544" s="0" t="s">
        <v>45</v>
      </c>
      <c r="D1544" s="18" t="n">
        <f aca="false">D1542*D1543/($D1542*$D1543)</f>
        <v>1</v>
      </c>
      <c r="E1544" s="18" t="n">
        <f aca="false">E1542*E1543/($D1542*$D1543)</f>
        <v>1.68251862509724</v>
      </c>
      <c r="F1544" s="18" t="n">
        <f aca="false">F1542*F1543/($D1542*$D1543)</f>
        <v>1.58242577012966</v>
      </c>
      <c r="G1544" s="18" t="n">
        <f aca="false">G1542*G1543/($D1542*$D1543)</f>
        <v>1.92156844697264</v>
      </c>
    </row>
    <row r="1545" customFormat="false" ht="17.15" hidden="false" customHeight="false" outlineLevel="0" collapsed="false">
      <c r="A1545" s="4" t="s">
        <v>496</v>
      </c>
      <c r="B1545" s="0" t="s">
        <v>45</v>
      </c>
      <c r="D1545" s="20" t="n">
        <f aca="false">1</f>
        <v>1</v>
      </c>
      <c r="E1545" s="20" t="n">
        <f aca="false">rel27_B</f>
        <v>1</v>
      </c>
      <c r="F1545" s="20" t="n">
        <f aca="false">rel28_B</f>
        <v>1</v>
      </c>
      <c r="G1545" s="20" t="n">
        <f aca="false">rel29_B</f>
        <v>1</v>
      </c>
    </row>
    <row r="1546" customFormat="false" ht="17.15" hidden="false" customHeight="false" outlineLevel="0" collapsed="false">
      <c r="A1546" s="4" t="s">
        <v>497</v>
      </c>
      <c r="B1546" s="0" t="s">
        <v>45</v>
      </c>
      <c r="D1546" s="18" t="n">
        <f aca="false">1</f>
        <v>1</v>
      </c>
      <c r="E1546" s="18" t="n">
        <f aca="false">(1+g_ct)^1</f>
        <v>1.05</v>
      </c>
      <c r="F1546" s="18" t="n">
        <f aca="false">(1+g_ct)^2</f>
        <v>1.1025</v>
      </c>
      <c r="G1546" s="18" t="n">
        <f aca="false">(1+g_ct)^3</f>
        <v>1.157625</v>
      </c>
    </row>
    <row r="1547" customFormat="false" ht="17.15" hidden="false" customHeight="false" outlineLevel="0" collapsed="false">
      <c r="A1547" s="6" t="s">
        <v>498</v>
      </c>
    </row>
    <row r="1548" customFormat="false" ht="17.15" hidden="false" customHeight="false" outlineLevel="0" collapsed="false">
      <c r="A1548" s="0" t="s">
        <v>401</v>
      </c>
      <c r="B1548" s="0" t="s">
        <v>189</v>
      </c>
      <c r="C1548" s="17" t="n">
        <f aca="false">a25_ai</f>
        <v>5.4297243</v>
      </c>
      <c r="D1548" s="17" t="n">
        <f aca="false">a26_ai</f>
        <v>9.5342409</v>
      </c>
      <c r="E1548" s="17" t="n">
        <f aca="false">$D1548*E1544*E1545*E1546</f>
        <v>16.8436147849345</v>
      </c>
      <c r="F1548" s="17" t="n">
        <f aca="false">$D1548*F1544*F1545*F1546</f>
        <v>16.6336694199096</v>
      </c>
      <c r="G1548" s="17" t="n">
        <f aca="false">$D1548*G1544*G1545*G1546</f>
        <v>21.2084962618219</v>
      </c>
      <c r="K1548" s="8" t="s">
        <v>499</v>
      </c>
    </row>
    <row r="1549" customFormat="false" ht="17.15" hidden="false" customHeight="false" outlineLevel="0" collapsed="false">
      <c r="A1549" s="4" t="s">
        <v>404</v>
      </c>
      <c r="B1549" s="0" t="s">
        <v>189</v>
      </c>
      <c r="C1549" s="17" t="n">
        <f aca="false">a25_npc</f>
        <v>4.4425017</v>
      </c>
      <c r="D1549" s="17" t="n">
        <f aca="false">a26_npc</f>
        <v>6.3561606</v>
      </c>
      <c r="E1549" s="17" t="n">
        <f aca="false">D1549*(1+g_nonai+d_npc)</f>
        <v>6.801091842</v>
      </c>
      <c r="F1549" s="17" t="n">
        <f aca="false">E1549*(1+g_nonai+d_npc)</f>
        <v>7.27716827094</v>
      </c>
      <c r="G1549" s="17" t="n">
        <f aca="false">F1549*(1+g_nonai+d_npc)</f>
        <v>7.7865700499058</v>
      </c>
      <c r="K1549" s="4" t="s">
        <v>500</v>
      </c>
    </row>
    <row r="1550" customFormat="false" ht="15" hidden="false" customHeight="false" outlineLevel="0" collapsed="false">
      <c r="A1550" s="4" t="s">
        <v>398</v>
      </c>
      <c r="B1550" s="0" t="s">
        <v>189</v>
      </c>
      <c r="C1550" s="17" t="n">
        <f aca="false">C1548+C1549</f>
        <v>9.872226</v>
      </c>
      <c r="D1550" s="17" t="n">
        <f aca="false">D1548+D1549</f>
        <v>15.8904015</v>
      </c>
      <c r="E1550" s="17" t="n">
        <f aca="false">E1548+E1549</f>
        <v>23.6447066269345</v>
      </c>
      <c r="F1550" s="17" t="n">
        <f aca="false">F1548+F1549</f>
        <v>23.9108376908495</v>
      </c>
      <c r="G1550" s="17" t="n">
        <f aca="false">G1548+G1549</f>
        <v>28.9950663117277</v>
      </c>
    </row>
    <row r="1551" customFormat="false" ht="17.15" hidden="false" customHeight="false" outlineLevel="0" collapsed="false">
      <c r="A1551" s="0" t="s">
        <v>501</v>
      </c>
      <c r="B1551" s="0" t="s">
        <v>189</v>
      </c>
      <c r="D1551" s="17" t="n">
        <f aca="false">k_cpo*cpo_A_26/cpo_A_27</f>
        <v>0.24</v>
      </c>
      <c r="E1551" s="17" t="n">
        <f aca="false">k_cpo*cpo_B_27/cpo_A_27</f>
        <v>0.72</v>
      </c>
      <c r="F1551" s="17" t="n">
        <f aca="false">k_cpo*cpo_B_28/cpo_A_27</f>
        <v>1.2</v>
      </c>
      <c r="G1551" s="17" t="n">
        <f aca="false">k_cpo*cpo_B_29/cpo_A_27</f>
        <v>1.92</v>
      </c>
      <c r="K1551" s="8" t="s">
        <v>502</v>
      </c>
    </row>
    <row r="1552" customFormat="false" ht="17.15" hidden="false" customHeight="false" outlineLevel="0" collapsed="false">
      <c r="A1552" s="4" t="s">
        <v>503</v>
      </c>
      <c r="B1552" s="0" t="s">
        <v>189</v>
      </c>
      <c r="C1552" s="17" t="n">
        <f aca="false">a25_eq</f>
        <v>3.290742</v>
      </c>
      <c r="D1552" s="17" t="n">
        <f aca="false">a26_eq-D1551</f>
        <v>4.8539955</v>
      </c>
      <c r="E1552" s="17" t="n">
        <f aca="false">D1552*semi_27</f>
        <v>5.659593717153</v>
      </c>
      <c r="F1552" s="17" t="n">
        <f aca="false">$E1552*eqk28_B</f>
        <v>5.659593717153</v>
      </c>
      <c r="G1552" s="17" t="n">
        <f aca="false">$E1552*eqk29_B</f>
        <v>5.37661403129535</v>
      </c>
      <c r="K1552" s="8" t="s">
        <v>504</v>
      </c>
    </row>
    <row r="1553" customFormat="false" ht="15" hidden="false" customHeight="false" outlineLevel="0" collapsed="false">
      <c r="A1553" s="4" t="s">
        <v>405</v>
      </c>
      <c r="B1553" s="0" t="s">
        <v>189</v>
      </c>
      <c r="C1553" s="17" t="n">
        <f aca="false">a25_eq</f>
        <v>3.290742</v>
      </c>
      <c r="D1553" s="17" t="n">
        <f aca="false">D1551+D1552</f>
        <v>5.0939955</v>
      </c>
      <c r="E1553" s="17" t="n">
        <f aca="false">E1551+E1552</f>
        <v>6.379593717153</v>
      </c>
      <c r="F1553" s="17" t="n">
        <f aca="false">F1551+F1552</f>
        <v>6.859593717153</v>
      </c>
      <c r="G1553" s="17" t="n">
        <f aca="false">G1551+G1552</f>
        <v>7.29661403129535</v>
      </c>
    </row>
    <row r="1554" customFormat="false" ht="15" hidden="false" customHeight="false" outlineLevel="0" collapsed="false">
      <c r="A1554" s="4" t="s">
        <v>407</v>
      </c>
      <c r="B1554" s="0" t="s">
        <v>189</v>
      </c>
      <c r="C1554" s="17" t="n">
        <f aca="false">a25_oth</f>
        <v>0.214032000000001</v>
      </c>
      <c r="D1554" s="17" t="n">
        <f aca="false">a26_oth</f>
        <v>0.428253</v>
      </c>
      <c r="E1554" s="17" t="n">
        <f aca="false">D1554*(1+g_oth)</f>
        <v>0.44966565</v>
      </c>
      <c r="F1554" s="17" t="n">
        <f aca="false">E1554*(1+g_oth)</f>
        <v>0.4721489325</v>
      </c>
      <c r="G1554" s="17" t="n">
        <f aca="false">F1554*(1+g_oth)</f>
        <v>0.495756379125</v>
      </c>
    </row>
    <row r="1555" customFormat="false" ht="17.15" hidden="false" customHeight="false" outlineLevel="0" collapsed="false">
      <c r="A1555" s="4" t="s">
        <v>394</v>
      </c>
      <c r="B1555" s="0" t="s">
        <v>189</v>
      </c>
      <c r="C1555" s="17" t="n">
        <f aca="false">C1550+C1553+C1554</f>
        <v>13.377</v>
      </c>
      <c r="D1555" s="17" t="n">
        <f aca="false">D1550+D1553+D1554</f>
        <v>21.41265</v>
      </c>
      <c r="E1555" s="17" t="n">
        <f aca="false">E1550+E1553+E1554</f>
        <v>30.4739659940875</v>
      </c>
      <c r="F1555" s="17" t="n">
        <f aca="false">F1550+F1553+F1554</f>
        <v>31.2425803405026</v>
      </c>
      <c r="G1555" s="17" t="n">
        <f aca="false">G1550+G1553+G1554</f>
        <v>36.7874367221481</v>
      </c>
      <c r="H1555" s="30" t="n">
        <f aca="false">G1555*(1+H1556)</f>
        <v>41.6305651224657</v>
      </c>
      <c r="I1555" s="30" t="n">
        <f aca="false">H1555*(1+I1556)</f>
        <v>45.2035436566513</v>
      </c>
      <c r="J1555" s="30" t="n">
        <f aca="false">I1555*(1+J1556)</f>
        <v>47.0116854029173</v>
      </c>
      <c r="K1555" s="8" t="s">
        <v>505</v>
      </c>
    </row>
    <row r="1556" customFormat="false" ht="15" hidden="false" customHeight="false" outlineLevel="0" collapsed="false">
      <c r="A1556" s="4" t="s">
        <v>506</v>
      </c>
      <c r="B1556" s="0" t="s">
        <v>90</v>
      </c>
      <c r="D1556" s="22" t="n">
        <f aca="false">D1555/C1555-1</f>
        <v>0.600706436420722</v>
      </c>
      <c r="E1556" s="22" t="n">
        <f aca="false">E1555/D1555-1</f>
        <v>0.423175832701115</v>
      </c>
      <c r="F1556" s="22" t="n">
        <f aca="false">F1555/E1555-1</f>
        <v>0.0252219992161231</v>
      </c>
      <c r="G1556" s="22" t="n">
        <f aca="false">G1555/F1555-1</f>
        <v>0.177477542546549</v>
      </c>
      <c r="H1556" s="26" t="n">
        <f aca="false">$G1556+(fade_gB-$G1556)*1/3</f>
        <v>0.131651695031033</v>
      </c>
      <c r="I1556" s="26" t="n">
        <f aca="false">$G1556+(fade_gB-$G1556)*2/3</f>
        <v>0.0858258475155164</v>
      </c>
      <c r="J1556" s="26" t="n">
        <f aca="false">$G1556+(fade_gB-$G1556)*3/3</f>
        <v>0.04</v>
      </c>
    </row>
    <row r="1557" customFormat="false" ht="17.15" hidden="false" customHeight="false" outlineLevel="0" collapsed="false">
      <c r="A1557" s="0" t="s">
        <v>507</v>
      </c>
      <c r="B1557" s="0" t="s">
        <v>90</v>
      </c>
      <c r="C1557" s="22" t="n">
        <f aca="false">C1548/C1555</f>
        <v>0.4059</v>
      </c>
      <c r="D1557" s="22" t="n">
        <f aca="false">D1548/D1555</f>
        <v>0.445262071719287</v>
      </c>
      <c r="E1557" s="22" t="n">
        <f aca="false">E1548/E1555</f>
        <v>0.552721453722252</v>
      </c>
      <c r="F1557" s="22" t="n">
        <f aca="false">F1548/F1555</f>
        <v>0.532403829601291</v>
      </c>
      <c r="G1557" s="22" t="n">
        <f aca="false">G1548/G1555</f>
        <v>0.576514651510178</v>
      </c>
    </row>
    <row r="1558" customFormat="false" ht="17.15" hidden="false" customHeight="false" outlineLevel="0" collapsed="false">
      <c r="A1558" s="4" t="s">
        <v>508</v>
      </c>
      <c r="B1558" s="0" t="s">
        <v>90</v>
      </c>
      <c r="C1558" s="22" t="n">
        <f aca="false">C1550/C1555</f>
        <v>0.738</v>
      </c>
      <c r="D1558" s="22" t="n">
        <f aca="false">D1550/D1555</f>
        <v>0.742103452865479</v>
      </c>
      <c r="E1558" s="22" t="n">
        <f aca="false">E1550/E1555</f>
        <v>0.775898569668353</v>
      </c>
      <c r="F1558" s="22" t="n">
        <f aca="false">F1550/F1555</f>
        <v>0.765328517371268</v>
      </c>
      <c r="G1558" s="22" t="n">
        <f aca="false">G1550/G1555</f>
        <v>0.788178489594821</v>
      </c>
    </row>
    <row r="1559" customFormat="false" ht="17.15" hidden="false" customHeight="false" outlineLevel="0" collapsed="false">
      <c r="A1559" s="6" t="s">
        <v>509</v>
      </c>
    </row>
    <row r="1560" customFormat="false" ht="15" hidden="false" customHeight="false" outlineLevel="0" collapsed="false">
      <c r="A1560" s="4" t="s">
        <v>412</v>
      </c>
      <c r="B1560" s="0" t="s">
        <v>90</v>
      </c>
      <c r="C1560" s="14" t="n">
        <f aca="false">a25_gp/a25_rev</f>
        <v>0.574</v>
      </c>
      <c r="D1560" s="14" t="n">
        <f aca="false">a26_gp/a26_rev</f>
        <v>0.593344593032623</v>
      </c>
      <c r="E1560" s="14" t="n">
        <f aca="false">gm27_B+gm_adj_lo</f>
        <v>0.575</v>
      </c>
      <c r="F1560" s="14" t="n">
        <f aca="false">gmL_B+gm_adj_lo</f>
        <v>0.575</v>
      </c>
      <c r="G1560" s="14" t="n">
        <f aca="false">gmL_B+gm_adj_lo</f>
        <v>0.575</v>
      </c>
    </row>
    <row r="1561" customFormat="false" ht="15" hidden="false" customHeight="false" outlineLevel="0" collapsed="false">
      <c r="A1561" s="4" t="s">
        <v>409</v>
      </c>
      <c r="B1561" s="0" t="s">
        <v>189</v>
      </c>
      <c r="C1561" s="17" t="n">
        <f aca="false">C1555*C1560</f>
        <v>7.678398</v>
      </c>
      <c r="D1561" s="17" t="n">
        <f aca="false">D1555*D1560</f>
        <v>12.7050801</v>
      </c>
      <c r="E1561" s="17" t="n">
        <f aca="false">E1555*E1560</f>
        <v>17.5225304466003</v>
      </c>
      <c r="F1561" s="17" t="n">
        <f aca="false">F1555*F1560</f>
        <v>17.964483695789</v>
      </c>
      <c r="G1561" s="17" t="n">
        <f aca="false">G1555*G1560</f>
        <v>21.1527761152351</v>
      </c>
    </row>
    <row r="1562" customFormat="false" ht="17.15" hidden="false" customHeight="false" outlineLevel="0" collapsed="false">
      <c r="A1562" s="4" t="s">
        <v>510</v>
      </c>
      <c r="B1562" s="0" t="s">
        <v>189</v>
      </c>
      <c r="D1562" s="17" t="n">
        <f aca="false">a26_opx</f>
        <v>5.05564928556</v>
      </c>
      <c r="E1562" s="17" t="n">
        <f aca="false">D1562*(1+phi*E1556)</f>
        <v>6.33930644331699</v>
      </c>
      <c r="F1562" s="17" t="n">
        <f aca="false">E1562*(1+phi*F1556)</f>
        <v>6.43524043260345</v>
      </c>
      <c r="G1562" s="17" t="n">
        <f aca="false">F1562*(1+phi*G1556)</f>
        <v>7.12050682720824</v>
      </c>
      <c r="K1562" s="8" t="s">
        <v>511</v>
      </c>
    </row>
    <row r="1563" customFormat="false" ht="15" hidden="false" customHeight="false" outlineLevel="0" collapsed="false">
      <c r="A1563" s="4" t="s">
        <v>415</v>
      </c>
      <c r="B1563" s="0" t="s">
        <v>189</v>
      </c>
      <c r="D1563" s="17" t="n">
        <f aca="false">D1561-D1562</f>
        <v>7.64943081444</v>
      </c>
      <c r="E1563" s="17" t="n">
        <f aca="false">E1561-E1562</f>
        <v>11.1832240032833</v>
      </c>
      <c r="F1563" s="17" t="n">
        <f aca="false">F1561-F1562</f>
        <v>11.5292432631855</v>
      </c>
      <c r="G1563" s="17" t="n">
        <f aca="false">G1561-G1562</f>
        <v>14.0322692880269</v>
      </c>
    </row>
    <row r="1564" customFormat="false" ht="15" hidden="false" customHeight="false" outlineLevel="0" collapsed="false">
      <c r="A1564" s="4" t="s">
        <v>482</v>
      </c>
      <c r="B1564" s="0" t="s">
        <v>90</v>
      </c>
      <c r="D1564" s="14" t="n">
        <f aca="false">D1563/D1555</f>
        <v>0.357238866484999</v>
      </c>
      <c r="E1564" s="14" t="n">
        <f aca="false">E1563/E1555</f>
        <v>0.366976323510142</v>
      </c>
      <c r="F1564" s="14" t="n">
        <f aca="false">F1563/F1555</f>
        <v>0.369023401317436</v>
      </c>
      <c r="G1564" s="14" t="n">
        <f aca="false">G1563/G1555</f>
        <v>0.381441887185869</v>
      </c>
    </row>
    <row r="1565" customFormat="false" ht="15" hidden="false" customHeight="false" outlineLevel="0" collapsed="false">
      <c r="A1565" s="4" t="s">
        <v>418</v>
      </c>
      <c r="B1565" s="0" t="s">
        <v>189</v>
      </c>
      <c r="C1565" s="17" t="n">
        <f aca="false">a25_ni</f>
        <v>3.18</v>
      </c>
      <c r="D1565" s="17" t="n">
        <f aca="false">a26_ni</f>
        <v>6.7316248085628</v>
      </c>
      <c r="E1565" s="17" t="n">
        <f aca="false">E1563*ni_oi</f>
        <v>9.50574040279083</v>
      </c>
      <c r="F1565" s="17" t="n">
        <f aca="false">F1563*ni_oi</f>
        <v>9.79985677370769</v>
      </c>
      <c r="G1565" s="17" t="n">
        <f aca="false">G1563*ni_oi</f>
        <v>11.9274288948229</v>
      </c>
      <c r="H1565" s="30" t="n">
        <f aca="false">H1555*H1569</f>
        <v>13.26008783744</v>
      </c>
      <c r="I1565" s="30" t="n">
        <f aca="false">I1555*I1569</f>
        <v>14.1401459785375</v>
      </c>
      <c r="J1565" s="30" t="n">
        <f aca="false">J1555*J1569</f>
        <v>14.4374316765707</v>
      </c>
    </row>
    <row r="1566" customFormat="false" ht="15" hidden="false" customHeight="false" outlineLevel="0" collapsed="false">
      <c r="A1566" s="4" t="s">
        <v>512</v>
      </c>
      <c r="B1566" s="4" t="s">
        <v>513</v>
      </c>
      <c r="C1566" s="19" t="n">
        <f aca="false">a25_sh</f>
        <v>94.9537175276202</v>
      </c>
      <c r="D1566" s="19" t="n">
        <f aca="false">a26_sh</f>
        <v>97.9860681630967</v>
      </c>
      <c r="E1566" s="19" t="n">
        <f aca="false">D1566*(1+sh_g)</f>
        <v>97.9860681630967</v>
      </c>
      <c r="F1566" s="19" t="n">
        <f aca="false">E1566*(1+sh_g)</f>
        <v>97.9860681630967</v>
      </c>
      <c r="G1566" s="19" t="n">
        <f aca="false">F1566*(1+sh_g)</f>
        <v>97.9860681630967</v>
      </c>
      <c r="H1566" s="25" t="n">
        <f aca="false">G1566*(1+sh_g)</f>
        <v>97.9860681630967</v>
      </c>
      <c r="I1566" s="25" t="n">
        <f aca="false">H1566*(1+sh_g)</f>
        <v>97.9860681630967</v>
      </c>
      <c r="J1566" s="25" t="n">
        <f aca="false">I1566*(1+sh_g)</f>
        <v>97.9860681630967</v>
      </c>
    </row>
    <row r="1567" customFormat="false" ht="15" hidden="false" customHeight="false" outlineLevel="0" collapsed="false">
      <c r="A1567" s="0" t="s">
        <v>423</v>
      </c>
      <c r="B1567" s="0" t="s">
        <v>256</v>
      </c>
      <c r="C1567" s="20" t="n">
        <f aca="false">a25_eps</f>
        <v>33.49</v>
      </c>
      <c r="D1567" s="20" t="n">
        <f aca="false">a26_eps</f>
        <v>68.6959552317267</v>
      </c>
      <c r="E1567" s="20" t="n">
        <f aca="false">E1565/E1566*1000</f>
        <v>97.0111423081967</v>
      </c>
      <c r="F1567" s="20" t="n">
        <f aca="false">F1565/F1566*1000</f>
        <v>100.012756480808</v>
      </c>
      <c r="G1567" s="20" t="n">
        <f aca="false">G1565/G1566*1000</f>
        <v>121.725762839772</v>
      </c>
      <c r="H1567" s="28" t="n">
        <f aca="false">H1565/H1566*1000</f>
        <v>135.32625694674</v>
      </c>
      <c r="I1567" s="28" t="n">
        <f aca="false">I1565/I1566*1000</f>
        <v>144.307718878987</v>
      </c>
      <c r="J1567" s="28" t="n">
        <f aca="false">J1565/J1566*1000</f>
        <v>147.341677722385</v>
      </c>
    </row>
    <row r="1568" customFormat="false" ht="17.15" hidden="false" customHeight="false" outlineLevel="0" collapsed="false">
      <c r="A1568" s="0" t="s">
        <v>514</v>
      </c>
      <c r="B1568" s="0" t="s">
        <v>90</v>
      </c>
      <c r="D1568" s="22" t="n">
        <f aca="false">D1567/C1567-1</f>
        <v>1.05123783910799</v>
      </c>
      <c r="E1568" s="22" t="n">
        <f aca="false">E1567/D1567-1</f>
        <v>0.412181284632502</v>
      </c>
      <c r="F1568" s="22" t="n">
        <f aca="false">F1567/E1567-1</f>
        <v>0.0309409218487078</v>
      </c>
      <c r="G1568" s="22" t="n">
        <f aca="false">G1567/F1567-1</f>
        <v>0.217102368967606</v>
      </c>
      <c r="H1568" s="26" t="n">
        <f aca="false">H1567/G1567-1</f>
        <v>0.111730613057406</v>
      </c>
      <c r="I1568" s="26" t="n">
        <f aca="false">I1567/H1567-1</f>
        <v>0.0663689525956657</v>
      </c>
      <c r="J1568" s="26" t="n">
        <f aca="false">J1567/I1567-1</f>
        <v>0.0210242311843474</v>
      </c>
    </row>
    <row r="1569" customFormat="false" ht="17.15" hidden="false" customHeight="false" outlineLevel="0" collapsed="false">
      <c r="A1569" s="4" t="s">
        <v>515</v>
      </c>
      <c r="B1569" s="0" t="s">
        <v>90</v>
      </c>
      <c r="C1569" s="14" t="n">
        <f aca="false">C1565/C1555</f>
        <v>0.237721462211258</v>
      </c>
      <c r="D1569" s="14" t="n">
        <f aca="false">D1565/D1555</f>
        <v>0.314376072488123</v>
      </c>
      <c r="E1569" s="14" t="n">
        <f aca="false">E1565/E1555</f>
        <v>0.311929874983621</v>
      </c>
      <c r="F1569" s="14" t="n">
        <f aca="false">F1565/F1555</f>
        <v>0.313669891119821</v>
      </c>
      <c r="G1569" s="14" t="n">
        <f aca="false">G1565/G1555</f>
        <v>0.324225604107989</v>
      </c>
      <c r="H1569" s="27" t="n">
        <f aca="false">$G1569+(fade_mB-$G1569)*1/3</f>
        <v>0.318518083971056</v>
      </c>
      <c r="I1569" s="27" t="n">
        <f aca="false">$G1569+(fade_mB-$G1569)*2/3</f>
        <v>0.312810563834123</v>
      </c>
      <c r="J1569" s="27" t="n">
        <f aca="false">$G1569+(fade_mB-$G1569)*3/3</f>
        <v>0.30710304369719</v>
      </c>
    </row>
    <row r="1572" customFormat="false" ht="17.15" hidden="false" customHeight="false" outlineLevel="0" collapsed="false">
      <c r="A1572" s="1" t="s">
        <v>849</v>
      </c>
    </row>
    <row r="1573" customFormat="false" ht="17.15" hidden="false" customHeight="false" outlineLevel="0" collapsed="false">
      <c r="A1573" s="5" t="s">
        <v>21</v>
      </c>
      <c r="B1573" s="5" t="s">
        <v>22</v>
      </c>
      <c r="C1573" s="15" t="s">
        <v>387</v>
      </c>
      <c r="D1573" s="15" t="s">
        <v>468</v>
      </c>
      <c r="E1573" s="15" t="s">
        <v>469</v>
      </c>
      <c r="F1573" s="15" t="s">
        <v>470</v>
      </c>
      <c r="G1573" s="15" t="s">
        <v>471</v>
      </c>
      <c r="H1573" s="15" t="s">
        <v>472</v>
      </c>
      <c r="I1573" s="15" t="s">
        <v>473</v>
      </c>
      <c r="J1573" s="15" t="s">
        <v>474</v>
      </c>
      <c r="K1573" s="5" t="s">
        <v>336</v>
      </c>
    </row>
    <row r="1574" customFormat="false" ht="17.15" hidden="false" customHeight="false" outlineLevel="0" collapsed="false">
      <c r="A1574" s="6" t="s">
        <v>492</v>
      </c>
    </row>
    <row r="1575" customFormat="false" ht="17.15" hidden="false" customHeight="false" outlineLevel="0" collapsed="false">
      <c r="A1575" s="0" t="s">
        <v>493</v>
      </c>
      <c r="B1575" s="4" t="s">
        <v>32</v>
      </c>
      <c r="D1575" s="20" t="n">
        <f aca="false">units_26</f>
        <v>15.2</v>
      </c>
      <c r="E1575" s="20" t="n">
        <f aca="false">units_27*1</f>
        <v>23.7</v>
      </c>
      <c r="F1575" s="20" t="n">
        <f aca="false">units_28*um28_C*1</f>
        <v>15.9</v>
      </c>
      <c r="G1575" s="20" t="n">
        <f aca="false">units_29*um29_C*1</f>
        <v>18.09</v>
      </c>
    </row>
    <row r="1576" customFormat="false" ht="17.15" hidden="false" customHeight="false" outlineLevel="0" collapsed="false">
      <c r="A1576" s="4" t="s">
        <v>494</v>
      </c>
      <c r="B1576" s="0" t="s">
        <v>45</v>
      </c>
      <c r="D1576" s="18" t="n">
        <f aca="false">ex_nv*nvtt_26+astt_26</f>
        <v>0.607994</v>
      </c>
      <c r="E1576" s="18" t="n">
        <f aca="false">ex_nv*nvtt_27+astt_27</f>
        <v>0.6560764</v>
      </c>
      <c r="F1576" s="18" t="n">
        <f aca="false">ex_nv*nvtt_28+astt_28</f>
        <v>0.6898114</v>
      </c>
      <c r="G1576" s="18" t="n">
        <f aca="false">ex_nv*nvtt_29+astt_29</f>
        <v>0.692935</v>
      </c>
      <c r="K1576" s="8" t="s">
        <v>495</v>
      </c>
    </row>
    <row r="1577" customFormat="false" ht="17.15" hidden="false" customHeight="false" outlineLevel="0" collapsed="false">
      <c r="A1577" s="4" t="s">
        <v>447</v>
      </c>
      <c r="B1577" s="0" t="s">
        <v>45</v>
      </c>
      <c r="D1577" s="18" t="n">
        <f aca="false">D1575*D1576/($D1575*$D1576)</f>
        <v>1</v>
      </c>
      <c r="E1577" s="18" t="n">
        <f aca="false">E1575*E1576/($D1575*$D1576)</f>
        <v>1.68251862509724</v>
      </c>
      <c r="F1577" s="18" t="n">
        <f aca="false">F1575*F1576/($D1575*$D1576)</f>
        <v>1.18681932759724</v>
      </c>
      <c r="G1577" s="18" t="n">
        <f aca="false">G1575*G1576/($D1575*$D1576)</f>
        <v>1.35640125668657</v>
      </c>
    </row>
    <row r="1578" customFormat="false" ht="17.15" hidden="false" customHeight="false" outlineLevel="0" collapsed="false">
      <c r="A1578" s="4" t="s">
        <v>496</v>
      </c>
      <c r="B1578" s="0" t="s">
        <v>45</v>
      </c>
      <c r="D1578" s="20" t="n">
        <f aca="false">1</f>
        <v>1</v>
      </c>
      <c r="E1578" s="20" t="n">
        <f aca="false">rel27_C</f>
        <v>0.92</v>
      </c>
      <c r="F1578" s="20" t="n">
        <f aca="false">rel28_C</f>
        <v>0.88</v>
      </c>
      <c r="G1578" s="20" t="n">
        <f aca="false">rel29_C</f>
        <v>0.85</v>
      </c>
    </row>
    <row r="1579" customFormat="false" ht="17.15" hidden="false" customHeight="false" outlineLevel="0" collapsed="false">
      <c r="A1579" s="4" t="s">
        <v>497</v>
      </c>
      <c r="B1579" s="0" t="s">
        <v>45</v>
      </c>
      <c r="D1579" s="18" t="n">
        <f aca="false">1</f>
        <v>1</v>
      </c>
      <c r="E1579" s="18" t="n">
        <f aca="false">(1+g_ct)^1</f>
        <v>1.05</v>
      </c>
      <c r="F1579" s="18" t="n">
        <f aca="false">(1+g_ct)^2</f>
        <v>1.1025</v>
      </c>
      <c r="G1579" s="18" t="n">
        <f aca="false">(1+g_ct)^3</f>
        <v>1.157625</v>
      </c>
    </row>
    <row r="1580" customFormat="false" ht="17.15" hidden="false" customHeight="false" outlineLevel="0" collapsed="false">
      <c r="A1580" s="6" t="s">
        <v>498</v>
      </c>
    </row>
    <row r="1581" customFormat="false" ht="17.15" hidden="false" customHeight="false" outlineLevel="0" collapsed="false">
      <c r="A1581" s="0" t="s">
        <v>401</v>
      </c>
      <c r="B1581" s="0" t="s">
        <v>189</v>
      </c>
      <c r="C1581" s="17" t="n">
        <f aca="false">a25_ai</f>
        <v>5.4297243</v>
      </c>
      <c r="D1581" s="17" t="n">
        <f aca="false">a26_ai</f>
        <v>9.5342409</v>
      </c>
      <c r="E1581" s="17" t="n">
        <f aca="false">$D1581*E1577*E1578*E1579</f>
        <v>15.4961256021398</v>
      </c>
      <c r="F1581" s="17" t="n">
        <f aca="false">$D1581*F1577*F1578*F1579</f>
        <v>10.9782218171403</v>
      </c>
      <c r="G1581" s="17" t="n">
        <f aca="false">$D1581*G1577*G1578*G1579</f>
        <v>12.7250977570932</v>
      </c>
      <c r="K1581" s="8" t="s">
        <v>499</v>
      </c>
    </row>
    <row r="1582" customFormat="false" ht="17.15" hidden="false" customHeight="false" outlineLevel="0" collapsed="false">
      <c r="A1582" s="4" t="s">
        <v>404</v>
      </c>
      <c r="B1582" s="0" t="s">
        <v>189</v>
      </c>
      <c r="C1582" s="17" t="n">
        <f aca="false">a25_npc</f>
        <v>4.4425017</v>
      </c>
      <c r="D1582" s="17" t="n">
        <f aca="false">a26_npc</f>
        <v>6.3561606</v>
      </c>
      <c r="E1582" s="17" t="n">
        <f aca="false">D1582*(1+g_nonai+d_npc)</f>
        <v>6.801091842</v>
      </c>
      <c r="F1582" s="17" t="n">
        <f aca="false">E1582*(1+g_nonai+d_npc)</f>
        <v>7.27716827094</v>
      </c>
      <c r="G1582" s="17" t="n">
        <f aca="false">F1582*(1+g_nonai+d_npc)</f>
        <v>7.7865700499058</v>
      </c>
      <c r="K1582" s="4" t="s">
        <v>500</v>
      </c>
    </row>
    <row r="1583" customFormat="false" ht="15" hidden="false" customHeight="false" outlineLevel="0" collapsed="false">
      <c r="A1583" s="4" t="s">
        <v>398</v>
      </c>
      <c r="B1583" s="0" t="s">
        <v>189</v>
      </c>
      <c r="C1583" s="17" t="n">
        <f aca="false">C1581+C1582</f>
        <v>9.872226</v>
      </c>
      <c r="D1583" s="17" t="n">
        <f aca="false">D1581+D1582</f>
        <v>15.8904015</v>
      </c>
      <c r="E1583" s="17" t="n">
        <f aca="false">E1581+E1582</f>
        <v>22.2972174441398</v>
      </c>
      <c r="F1583" s="17" t="n">
        <f aca="false">F1581+F1582</f>
        <v>18.2553900880803</v>
      </c>
      <c r="G1583" s="17" t="n">
        <f aca="false">G1581+G1582</f>
        <v>20.511667806999</v>
      </c>
    </row>
    <row r="1584" customFormat="false" ht="17.15" hidden="false" customHeight="false" outlineLevel="0" collapsed="false">
      <c r="A1584" s="0" t="s">
        <v>501</v>
      </c>
      <c r="B1584" s="0" t="s">
        <v>189</v>
      </c>
      <c r="D1584" s="17" t="n">
        <f aca="false">k_cpo*cpo_A_26/cpo_A_27</f>
        <v>0.24</v>
      </c>
      <c r="E1584" s="17" t="n">
        <f aca="false">k_cpo*cpo_C_27/cpo_A_27</f>
        <v>0.48</v>
      </c>
      <c r="F1584" s="17" t="n">
        <f aca="false">k_cpo*cpo_C_28/cpo_A_27</f>
        <v>0.72</v>
      </c>
      <c r="G1584" s="17" t="n">
        <f aca="false">k_cpo*cpo_C_29/cpo_A_27</f>
        <v>1.2</v>
      </c>
      <c r="K1584" s="8" t="s">
        <v>502</v>
      </c>
    </row>
    <row r="1585" customFormat="false" ht="17.15" hidden="false" customHeight="false" outlineLevel="0" collapsed="false">
      <c r="A1585" s="4" t="s">
        <v>503</v>
      </c>
      <c r="B1585" s="0" t="s">
        <v>189</v>
      </c>
      <c r="C1585" s="17" t="n">
        <f aca="false">a25_eq</f>
        <v>3.290742</v>
      </c>
      <c r="D1585" s="17" t="n">
        <f aca="false">a26_eq-D1584</f>
        <v>4.8539955</v>
      </c>
      <c r="E1585" s="17" t="n">
        <f aca="false">D1585*semi_27</f>
        <v>5.659593717153</v>
      </c>
      <c r="F1585" s="17" t="n">
        <f aca="false">$E1585*eqk28_C</f>
        <v>4.5276749737224</v>
      </c>
      <c r="G1585" s="17" t="n">
        <f aca="false">$E1585*eqk29_C</f>
        <v>5.659593717153</v>
      </c>
      <c r="K1585" s="8" t="s">
        <v>504</v>
      </c>
    </row>
    <row r="1586" customFormat="false" ht="15" hidden="false" customHeight="false" outlineLevel="0" collapsed="false">
      <c r="A1586" s="4" t="s">
        <v>405</v>
      </c>
      <c r="B1586" s="0" t="s">
        <v>189</v>
      </c>
      <c r="C1586" s="17" t="n">
        <f aca="false">a25_eq</f>
        <v>3.290742</v>
      </c>
      <c r="D1586" s="17" t="n">
        <f aca="false">D1584+D1585</f>
        <v>5.0939955</v>
      </c>
      <c r="E1586" s="17" t="n">
        <f aca="false">E1584+E1585</f>
        <v>6.139593717153</v>
      </c>
      <c r="F1586" s="17" t="n">
        <f aca="false">F1584+F1585</f>
        <v>5.2476749737224</v>
      </c>
      <c r="G1586" s="17" t="n">
        <f aca="false">G1584+G1585</f>
        <v>6.859593717153</v>
      </c>
    </row>
    <row r="1587" customFormat="false" ht="15" hidden="false" customHeight="false" outlineLevel="0" collapsed="false">
      <c r="A1587" s="4" t="s">
        <v>407</v>
      </c>
      <c r="B1587" s="0" t="s">
        <v>189</v>
      </c>
      <c r="C1587" s="17" t="n">
        <f aca="false">a25_oth</f>
        <v>0.214032000000001</v>
      </c>
      <c r="D1587" s="17" t="n">
        <f aca="false">a26_oth</f>
        <v>0.428253</v>
      </c>
      <c r="E1587" s="17" t="n">
        <f aca="false">D1587*(1+g_oth)</f>
        <v>0.44966565</v>
      </c>
      <c r="F1587" s="17" t="n">
        <f aca="false">E1587*(1+g_oth)</f>
        <v>0.4721489325</v>
      </c>
      <c r="G1587" s="17" t="n">
        <f aca="false">F1587*(1+g_oth)</f>
        <v>0.495756379125</v>
      </c>
    </row>
    <row r="1588" customFormat="false" ht="17.15" hidden="false" customHeight="false" outlineLevel="0" collapsed="false">
      <c r="A1588" s="4" t="s">
        <v>394</v>
      </c>
      <c r="B1588" s="0" t="s">
        <v>189</v>
      </c>
      <c r="C1588" s="17" t="n">
        <f aca="false">C1583+C1586+C1587</f>
        <v>13.377</v>
      </c>
      <c r="D1588" s="17" t="n">
        <f aca="false">D1583+D1586+D1587</f>
        <v>21.41265</v>
      </c>
      <c r="E1588" s="17" t="n">
        <f aca="false">E1583+E1586+E1587</f>
        <v>28.8864768112928</v>
      </c>
      <c r="F1588" s="17" t="n">
        <f aca="false">F1583+F1586+F1587</f>
        <v>23.9752139943027</v>
      </c>
      <c r="G1588" s="17" t="n">
        <f aca="false">G1583+G1586+G1587</f>
        <v>27.867017903277</v>
      </c>
      <c r="H1588" s="30" t="n">
        <f aca="false">G1588*(1+H1589)</f>
        <v>31.0684949623466</v>
      </c>
      <c r="I1588" s="30" t="n">
        <f aca="false">H1588*(1+I1589)</f>
        <v>33.1638178346034</v>
      </c>
      <c r="J1588" s="30" t="n">
        <f aca="false">I1588*(1+J1589)</f>
        <v>33.8270941912954</v>
      </c>
      <c r="K1588" s="8" t="s">
        <v>505</v>
      </c>
    </row>
    <row r="1589" customFormat="false" ht="15" hidden="false" customHeight="false" outlineLevel="0" collapsed="false">
      <c r="A1589" s="4" t="s">
        <v>506</v>
      </c>
      <c r="B1589" s="0" t="s">
        <v>90</v>
      </c>
      <c r="D1589" s="22" t="n">
        <f aca="false">D1588/C1588-1</f>
        <v>0.600706436420722</v>
      </c>
      <c r="E1589" s="22" t="n">
        <f aca="false">E1588/D1588-1</f>
        <v>0.349037919701333</v>
      </c>
      <c r="F1589" s="22" t="n">
        <f aca="false">F1588/E1588-1</f>
        <v>-0.170019447130017</v>
      </c>
      <c r="G1589" s="22" t="n">
        <f aca="false">G1588/F1588-1</f>
        <v>0.162326138565398</v>
      </c>
      <c r="H1589" s="26" t="n">
        <f aca="false">$G1589+(fade_gC-$G1589)*1/3</f>
        <v>0.114884092376932</v>
      </c>
      <c r="I1589" s="26" t="n">
        <f aca="false">$G1589+(fade_gC-$G1589)*2/3</f>
        <v>0.0674420461884661</v>
      </c>
      <c r="J1589" s="26" t="n">
        <f aca="false">$G1589+(fade_gC-$G1589)*3/3</f>
        <v>0.02</v>
      </c>
    </row>
    <row r="1590" customFormat="false" ht="17.15" hidden="false" customHeight="false" outlineLevel="0" collapsed="false">
      <c r="A1590" s="0" t="s">
        <v>507</v>
      </c>
      <c r="B1590" s="0" t="s">
        <v>90</v>
      </c>
      <c r="C1590" s="22" t="n">
        <f aca="false">C1581/C1588</f>
        <v>0.4059</v>
      </c>
      <c r="D1590" s="22" t="n">
        <f aca="false">D1581/D1588</f>
        <v>0.445262071719287</v>
      </c>
      <c r="E1590" s="22" t="n">
        <f aca="false">E1581/E1588</f>
        <v>0.536449138583829</v>
      </c>
      <c r="F1590" s="22" t="n">
        <f aca="false">F1581/F1588</f>
        <v>0.457898804146194</v>
      </c>
      <c r="G1590" s="22" t="n">
        <f aca="false">G1581/G1588</f>
        <v>0.456636508479681</v>
      </c>
    </row>
    <row r="1591" customFormat="false" ht="17.15" hidden="false" customHeight="false" outlineLevel="0" collapsed="false">
      <c r="A1591" s="4" t="s">
        <v>508</v>
      </c>
      <c r="B1591" s="0" t="s">
        <v>90</v>
      </c>
      <c r="C1591" s="22" t="n">
        <f aca="false">C1583/C1588</f>
        <v>0.738</v>
      </c>
      <c r="D1591" s="22" t="n">
        <f aca="false">D1583/D1588</f>
        <v>0.742103452865479</v>
      </c>
      <c r="E1591" s="22" t="n">
        <f aca="false">E1583/E1588</f>
        <v>0.771891206733214</v>
      </c>
      <c r="F1591" s="22" t="n">
        <f aca="false">F1583/F1588</f>
        <v>0.761427618223486</v>
      </c>
      <c r="G1591" s="22" t="n">
        <f aca="false">G1583/G1588</f>
        <v>0.736055356844872</v>
      </c>
    </row>
    <row r="1592" customFormat="false" ht="17.15" hidden="false" customHeight="false" outlineLevel="0" collapsed="false">
      <c r="A1592" s="6" t="s">
        <v>509</v>
      </c>
    </row>
    <row r="1593" customFormat="false" ht="15" hidden="false" customHeight="false" outlineLevel="0" collapsed="false">
      <c r="A1593" s="4" t="s">
        <v>412</v>
      </c>
      <c r="B1593" s="0" t="s">
        <v>90</v>
      </c>
      <c r="C1593" s="14" t="n">
        <f aca="false">a25_gp/a25_rev</f>
        <v>0.574</v>
      </c>
      <c r="D1593" s="14" t="n">
        <f aca="false">a26_gp/a26_rev</f>
        <v>0.593344593032623</v>
      </c>
      <c r="E1593" s="14" t="n">
        <f aca="false">gm27_C+gm_adj_lo</f>
        <v>0.56</v>
      </c>
      <c r="F1593" s="14" t="n">
        <f aca="false">gmL_C+gm_adj_lo</f>
        <v>0.545</v>
      </c>
      <c r="G1593" s="14" t="n">
        <f aca="false">gmL_C+gm_adj_lo</f>
        <v>0.545</v>
      </c>
    </row>
    <row r="1594" customFormat="false" ht="15" hidden="false" customHeight="false" outlineLevel="0" collapsed="false">
      <c r="A1594" s="4" t="s">
        <v>409</v>
      </c>
      <c r="B1594" s="0" t="s">
        <v>189</v>
      </c>
      <c r="C1594" s="17" t="n">
        <f aca="false">C1588*C1593</f>
        <v>7.678398</v>
      </c>
      <c r="D1594" s="17" t="n">
        <f aca="false">D1588*D1593</f>
        <v>12.7050801</v>
      </c>
      <c r="E1594" s="17" t="n">
        <f aca="false">E1588*E1593</f>
        <v>16.1764270143239</v>
      </c>
      <c r="F1594" s="17" t="n">
        <f aca="false">F1588*F1593</f>
        <v>13.066491626895</v>
      </c>
      <c r="G1594" s="17" t="n">
        <f aca="false">G1588*G1593</f>
        <v>15.1875247572859</v>
      </c>
    </row>
    <row r="1595" customFormat="false" ht="17.15" hidden="false" customHeight="false" outlineLevel="0" collapsed="false">
      <c r="A1595" s="4" t="s">
        <v>510</v>
      </c>
      <c r="B1595" s="0" t="s">
        <v>189</v>
      </c>
      <c r="D1595" s="17" t="n">
        <f aca="false">a26_opx</f>
        <v>5.05564928556</v>
      </c>
      <c r="E1595" s="17" t="n">
        <f aca="false">D1595*(1+phi*E1589)</f>
        <v>6.11441727118284</v>
      </c>
      <c r="F1595" s="17" t="n">
        <f aca="false">E1595*(1+phi*F1589)</f>
        <v>5.4906753648016</v>
      </c>
      <c r="G1595" s="17" t="n">
        <f aca="false">F1595*(1+phi*G1589)</f>
        <v>6.02544344285224</v>
      </c>
      <c r="K1595" s="8" t="s">
        <v>511</v>
      </c>
    </row>
    <row r="1596" customFormat="false" ht="15" hidden="false" customHeight="false" outlineLevel="0" collapsed="false">
      <c r="A1596" s="4" t="s">
        <v>415</v>
      </c>
      <c r="B1596" s="0" t="s">
        <v>189</v>
      </c>
      <c r="D1596" s="17" t="n">
        <f aca="false">D1594-D1595</f>
        <v>7.64943081444</v>
      </c>
      <c r="E1596" s="17" t="n">
        <f aca="false">E1594-E1595</f>
        <v>10.0620097431411</v>
      </c>
      <c r="F1596" s="17" t="n">
        <f aca="false">F1594-F1595</f>
        <v>7.57581626209337</v>
      </c>
      <c r="G1596" s="17" t="n">
        <f aca="false">G1594-G1595</f>
        <v>9.1620813144337</v>
      </c>
    </row>
    <row r="1597" customFormat="false" ht="15" hidden="false" customHeight="false" outlineLevel="0" collapsed="false">
      <c r="A1597" s="4" t="s">
        <v>482</v>
      </c>
      <c r="B1597" s="0" t="s">
        <v>90</v>
      </c>
      <c r="D1597" s="14" t="n">
        <f aca="false">D1596/D1588</f>
        <v>0.357238866484999</v>
      </c>
      <c r="E1597" s="14" t="n">
        <f aca="false">E1596/E1588</f>
        <v>0.348329421025395</v>
      </c>
      <c r="F1597" s="14" t="n">
        <f aca="false">F1596/F1588</f>
        <v>0.315985344860473</v>
      </c>
      <c r="G1597" s="14" t="n">
        <f aca="false">G1596/G1588</f>
        <v>0.328778678301144</v>
      </c>
    </row>
    <row r="1598" customFormat="false" ht="15" hidden="false" customHeight="false" outlineLevel="0" collapsed="false">
      <c r="A1598" s="4" t="s">
        <v>418</v>
      </c>
      <c r="B1598" s="0" t="s">
        <v>189</v>
      </c>
      <c r="C1598" s="17" t="n">
        <f aca="false">a25_ni</f>
        <v>3.18</v>
      </c>
      <c r="D1598" s="17" t="n">
        <f aca="false">a26_ni</f>
        <v>6.7316248085628</v>
      </c>
      <c r="E1598" s="17" t="n">
        <f aca="false">E1596*ni_oi</f>
        <v>8.55270828166993</v>
      </c>
      <c r="F1598" s="17" t="n">
        <f aca="false">F1596*ni_oi</f>
        <v>6.43944382277937</v>
      </c>
      <c r="G1598" s="17" t="n">
        <f aca="false">G1596*ni_oi</f>
        <v>7.78776911726864</v>
      </c>
      <c r="H1598" s="30" t="n">
        <f aca="false">H1588*H1602</f>
        <v>8.24447308751332</v>
      </c>
      <c r="I1598" s="30" t="n">
        <f aca="false">I1588*I1602</f>
        <v>8.33297167874325</v>
      </c>
      <c r="J1598" s="30" t="n">
        <f aca="false">J1588*J1602</f>
        <v>8.02275505790965</v>
      </c>
    </row>
    <row r="1599" customFormat="false" ht="15" hidden="false" customHeight="false" outlineLevel="0" collapsed="false">
      <c r="A1599" s="4" t="s">
        <v>512</v>
      </c>
      <c r="B1599" s="4" t="s">
        <v>513</v>
      </c>
      <c r="C1599" s="19" t="n">
        <f aca="false">a25_sh</f>
        <v>94.9537175276202</v>
      </c>
      <c r="D1599" s="19" t="n">
        <f aca="false">a26_sh</f>
        <v>97.9860681630967</v>
      </c>
      <c r="E1599" s="19" t="n">
        <f aca="false">D1599*(1+sh_g)</f>
        <v>97.9860681630967</v>
      </c>
      <c r="F1599" s="19" t="n">
        <f aca="false">E1599*(1+sh_g)</f>
        <v>97.9860681630967</v>
      </c>
      <c r="G1599" s="19" t="n">
        <f aca="false">F1599*(1+sh_g)</f>
        <v>97.9860681630967</v>
      </c>
      <c r="H1599" s="25" t="n">
        <f aca="false">G1599*(1+sh_g)</f>
        <v>97.9860681630967</v>
      </c>
      <c r="I1599" s="25" t="n">
        <f aca="false">H1599*(1+sh_g)</f>
        <v>97.9860681630967</v>
      </c>
      <c r="J1599" s="25" t="n">
        <f aca="false">I1599*(1+sh_g)</f>
        <v>97.9860681630967</v>
      </c>
    </row>
    <row r="1600" customFormat="false" ht="15" hidden="false" customHeight="false" outlineLevel="0" collapsed="false">
      <c r="A1600" s="0" t="s">
        <v>423</v>
      </c>
      <c r="B1600" s="0" t="s">
        <v>256</v>
      </c>
      <c r="C1600" s="20" t="n">
        <f aca="false">a25_eps</f>
        <v>33.49</v>
      </c>
      <c r="D1600" s="20" t="n">
        <f aca="false">a26_eps</f>
        <v>68.6959552317267</v>
      </c>
      <c r="E1600" s="20" t="n">
        <f aca="false">E1598/E1599*1000</f>
        <v>87.2849420535382</v>
      </c>
      <c r="F1600" s="20" t="n">
        <f aca="false">F1598/F1599*1000</f>
        <v>65.7179530059415</v>
      </c>
      <c r="G1600" s="20" t="n">
        <f aca="false">G1598/G1599*1000</f>
        <v>79.4783305755875</v>
      </c>
      <c r="H1600" s="28" t="n">
        <f aca="false">H1598/H1599*1000</f>
        <v>84.1392377719503</v>
      </c>
      <c r="I1600" s="28" t="n">
        <f aca="false">I1598/I1599*1000</f>
        <v>85.0424130180743</v>
      </c>
      <c r="J1600" s="28" t="n">
        <f aca="false">J1598/J1599*1000</f>
        <v>81.8764872222025</v>
      </c>
    </row>
    <row r="1601" customFormat="false" ht="17.15" hidden="false" customHeight="false" outlineLevel="0" collapsed="false">
      <c r="A1601" s="0" t="s">
        <v>514</v>
      </c>
      <c r="B1601" s="0" t="s">
        <v>90</v>
      </c>
      <c r="D1601" s="22" t="n">
        <f aca="false">D1600/C1600-1</f>
        <v>1.05123783910799</v>
      </c>
      <c r="E1601" s="22" t="n">
        <f aca="false">E1600/D1600-1</f>
        <v>0.270597981483869</v>
      </c>
      <c r="F1601" s="22" t="n">
        <f aca="false">F1600/E1600-1</f>
        <v>-0.247087166929298</v>
      </c>
      <c r="G1601" s="22" t="n">
        <f aca="false">G1600/F1600-1</f>
        <v>0.209385364885025</v>
      </c>
      <c r="H1601" s="26" t="n">
        <f aca="false">H1600/G1600-1</f>
        <v>0.0586437480833857</v>
      </c>
      <c r="I1601" s="26" t="n">
        <f aca="false">I1600/H1600-1</f>
        <v>0.0107342931792653</v>
      </c>
      <c r="J1601" s="26" t="n">
        <f aca="false">J1600/I1600-1</f>
        <v>-0.0372276101243614</v>
      </c>
    </row>
    <row r="1602" customFormat="false" ht="17.15" hidden="false" customHeight="false" outlineLevel="0" collapsed="false">
      <c r="A1602" s="4" t="s">
        <v>515</v>
      </c>
      <c r="B1602" s="0" t="s">
        <v>90</v>
      </c>
      <c r="C1602" s="14" t="n">
        <f aca="false">C1598/C1588</f>
        <v>0.237721462211258</v>
      </c>
      <c r="D1602" s="14" t="n">
        <f aca="false">D1598/D1588</f>
        <v>0.314376072488123</v>
      </c>
      <c r="E1602" s="14" t="n">
        <f aca="false">E1598/E1588</f>
        <v>0.296080007871586</v>
      </c>
      <c r="F1602" s="14" t="n">
        <f aca="false">F1598/F1588</f>
        <v>0.268587543131402</v>
      </c>
      <c r="G1602" s="14" t="n">
        <f aca="false">G1598/G1588</f>
        <v>0.279461876555972</v>
      </c>
      <c r="H1602" s="27" t="n">
        <f aca="false">$G1602+(fade_mC-$G1602)*1/3</f>
        <v>0.265364418118907</v>
      </c>
      <c r="I1602" s="27" t="n">
        <f aca="false">$G1602+(fade_mC-$G1602)*2/3</f>
        <v>0.251266959681842</v>
      </c>
      <c r="J1602" s="27" t="n">
        <f aca="false">$G1602+(fade_mC-$G1602)*3/3</f>
        <v>0.237169501244778</v>
      </c>
    </row>
    <row r="1605" customFormat="false" ht="17.15" hidden="false" customHeight="false" outlineLevel="0" collapsed="false">
      <c r="A1605" s="1" t="s">
        <v>850</v>
      </c>
    </row>
    <row r="1606" customFormat="false" ht="17.15" hidden="false" customHeight="false" outlineLevel="0" collapsed="false">
      <c r="A1606" s="5" t="s">
        <v>21</v>
      </c>
      <c r="B1606" s="5" t="s">
        <v>22</v>
      </c>
      <c r="C1606" s="15" t="s">
        <v>387</v>
      </c>
      <c r="D1606" s="15" t="s">
        <v>468</v>
      </c>
      <c r="E1606" s="15" t="s">
        <v>469</v>
      </c>
      <c r="F1606" s="15" t="s">
        <v>470</v>
      </c>
      <c r="G1606" s="15" t="s">
        <v>471</v>
      </c>
      <c r="H1606" s="15" t="s">
        <v>472</v>
      </c>
      <c r="I1606" s="15" t="s">
        <v>473</v>
      </c>
      <c r="J1606" s="15" t="s">
        <v>474</v>
      </c>
      <c r="K1606" s="5" t="s">
        <v>336</v>
      </c>
    </row>
    <row r="1607" customFormat="false" ht="17.15" hidden="false" customHeight="false" outlineLevel="0" collapsed="false">
      <c r="A1607" s="6" t="s">
        <v>492</v>
      </c>
    </row>
    <row r="1608" customFormat="false" ht="17.15" hidden="false" customHeight="false" outlineLevel="0" collapsed="false">
      <c r="A1608" s="0" t="s">
        <v>493</v>
      </c>
      <c r="B1608" s="4" t="s">
        <v>32</v>
      </c>
      <c r="D1608" s="20" t="n">
        <f aca="false">units_26</f>
        <v>15.2</v>
      </c>
      <c r="E1608" s="20" t="n">
        <f aca="false">units_27*1</f>
        <v>23.7</v>
      </c>
      <c r="F1608" s="20" t="n">
        <f aca="false">units_28*um28_A*1</f>
        <v>26.5</v>
      </c>
      <c r="G1608" s="20" t="n">
        <f aca="false">units_29*um29_A*1</f>
        <v>30.15</v>
      </c>
    </row>
    <row r="1609" customFormat="false" ht="17.15" hidden="false" customHeight="false" outlineLevel="0" collapsed="false">
      <c r="A1609" s="4" t="s">
        <v>494</v>
      </c>
      <c r="B1609" s="0" t="s">
        <v>45</v>
      </c>
      <c r="D1609" s="18" t="n">
        <f aca="false">ex_nv*nvtt_26+astt_26</f>
        <v>0.607994</v>
      </c>
      <c r="E1609" s="18" t="n">
        <f aca="false">ex_nv*nvtt_27+astt_27</f>
        <v>0.6560764</v>
      </c>
      <c r="F1609" s="18" t="n">
        <f aca="false">ex_nv*nvtt_28+astt_28</f>
        <v>0.6898114</v>
      </c>
      <c r="G1609" s="18" t="n">
        <f aca="false">ex_nv*nvtt_29+astt_29</f>
        <v>0.692935</v>
      </c>
      <c r="K1609" s="8" t="s">
        <v>495</v>
      </c>
    </row>
    <row r="1610" customFormat="false" ht="17.15" hidden="false" customHeight="false" outlineLevel="0" collapsed="false">
      <c r="A1610" s="4" t="s">
        <v>447</v>
      </c>
      <c r="B1610" s="0" t="s">
        <v>45</v>
      </c>
      <c r="D1610" s="18" t="n">
        <f aca="false">D1608*D1609/($D1608*$D1609)</f>
        <v>1</v>
      </c>
      <c r="E1610" s="18" t="n">
        <f aca="false">E1608*E1609/($D1608*$D1609)</f>
        <v>1.68251862509724</v>
      </c>
      <c r="F1610" s="18" t="n">
        <f aca="false">F1608*F1609/($D1608*$D1609)</f>
        <v>1.97803221266207</v>
      </c>
      <c r="G1610" s="18" t="n">
        <f aca="false">G1608*G1609/($D1608*$D1609)</f>
        <v>2.26066876114428</v>
      </c>
    </row>
    <row r="1611" customFormat="false" ht="17.15" hidden="false" customHeight="false" outlineLevel="0" collapsed="false">
      <c r="A1611" s="4" t="s">
        <v>496</v>
      </c>
      <c r="B1611" s="0" t="s">
        <v>45</v>
      </c>
      <c r="D1611" s="20" t="n">
        <f aca="false">1</f>
        <v>1</v>
      </c>
      <c r="E1611" s="20" t="n">
        <f aca="false">rel27_A</f>
        <v>1.05</v>
      </c>
      <c r="F1611" s="20" t="n">
        <f aca="false">rel28_A</f>
        <v>1.08</v>
      </c>
      <c r="G1611" s="20" t="n">
        <f aca="false">rel29_A</f>
        <v>1.1</v>
      </c>
    </row>
    <row r="1612" customFormat="false" ht="17.15" hidden="false" customHeight="false" outlineLevel="0" collapsed="false">
      <c r="A1612" s="4" t="s">
        <v>497</v>
      </c>
      <c r="B1612" s="0" t="s">
        <v>45</v>
      </c>
      <c r="D1612" s="18" t="n">
        <f aca="false">1</f>
        <v>1</v>
      </c>
      <c r="E1612" s="18" t="n">
        <f aca="false">(1+g_ct)^1</f>
        <v>1.05</v>
      </c>
      <c r="F1612" s="18" t="n">
        <f aca="false">(1+g_ct)^2</f>
        <v>1.1025</v>
      </c>
      <c r="G1612" s="18" t="n">
        <f aca="false">(1+g_ct)^3</f>
        <v>1.157625</v>
      </c>
    </row>
    <row r="1613" customFormat="false" ht="17.15" hidden="false" customHeight="false" outlineLevel="0" collapsed="false">
      <c r="A1613" s="6" t="s">
        <v>498</v>
      </c>
    </row>
    <row r="1614" customFormat="false" ht="17.15" hidden="false" customHeight="false" outlineLevel="0" collapsed="false">
      <c r="A1614" s="0" t="s">
        <v>401</v>
      </c>
      <c r="B1614" s="0" t="s">
        <v>189</v>
      </c>
      <c r="C1614" s="17" t="n">
        <f aca="false">a25_ai</f>
        <v>5.4297243</v>
      </c>
      <c r="D1614" s="17" t="n">
        <f aca="false">a26_ai</f>
        <v>9.5342409</v>
      </c>
      <c r="E1614" s="17" t="n">
        <f aca="false">$D1614*E1610*E1611*E1612</f>
        <v>17.6857955241812</v>
      </c>
      <c r="F1614" s="17" t="n">
        <f aca="false">$D1614*F1610*F1611*F1612</f>
        <v>22.4554537168779</v>
      </c>
      <c r="G1614" s="17" t="n">
        <f aca="false">$D1614*G1610*G1611*G1612</f>
        <v>27.4462892800048</v>
      </c>
      <c r="K1614" s="8" t="s">
        <v>499</v>
      </c>
    </row>
    <row r="1615" customFormat="false" ht="17.15" hidden="false" customHeight="false" outlineLevel="0" collapsed="false">
      <c r="A1615" s="4" t="s">
        <v>404</v>
      </c>
      <c r="B1615" s="0" t="s">
        <v>189</v>
      </c>
      <c r="C1615" s="17" t="n">
        <f aca="false">a25_npc</f>
        <v>4.4425017</v>
      </c>
      <c r="D1615" s="17" t="n">
        <f aca="false">a26_npc</f>
        <v>6.3561606</v>
      </c>
      <c r="E1615" s="17" t="n">
        <f aca="false">D1615*(1+g_nonai+d_npc)</f>
        <v>6.801091842</v>
      </c>
      <c r="F1615" s="17" t="n">
        <f aca="false">E1615*(1+g_nonai+d_npc)</f>
        <v>7.27716827094</v>
      </c>
      <c r="G1615" s="17" t="n">
        <f aca="false">F1615*(1+g_nonai+d_npc)</f>
        <v>7.7865700499058</v>
      </c>
      <c r="K1615" s="4" t="s">
        <v>500</v>
      </c>
    </row>
    <row r="1616" customFormat="false" ht="15" hidden="false" customHeight="false" outlineLevel="0" collapsed="false">
      <c r="A1616" s="4" t="s">
        <v>398</v>
      </c>
      <c r="B1616" s="0" t="s">
        <v>189</v>
      </c>
      <c r="C1616" s="17" t="n">
        <f aca="false">C1614+C1615</f>
        <v>9.872226</v>
      </c>
      <c r="D1616" s="17" t="n">
        <f aca="false">D1614+D1615</f>
        <v>15.8904015</v>
      </c>
      <c r="E1616" s="17" t="n">
        <f aca="false">E1614+E1615</f>
        <v>24.4868873661812</v>
      </c>
      <c r="F1616" s="17" t="n">
        <f aca="false">F1614+F1615</f>
        <v>29.7326219878179</v>
      </c>
      <c r="G1616" s="17" t="n">
        <f aca="false">G1614+G1615</f>
        <v>35.2328593299106</v>
      </c>
    </row>
    <row r="1617" customFormat="false" ht="17.15" hidden="false" customHeight="false" outlineLevel="0" collapsed="false">
      <c r="A1617" s="0" t="s">
        <v>501</v>
      </c>
      <c r="B1617" s="0" t="s">
        <v>189</v>
      </c>
      <c r="D1617" s="17" t="n">
        <f aca="false">k_cpo*cpo_A_26/cpo_A_27</f>
        <v>0.24</v>
      </c>
      <c r="E1617" s="17" t="n">
        <f aca="false">k_cpo*cpo_A_27/cpo_A_27</f>
        <v>1.2</v>
      </c>
      <c r="F1617" s="17" t="n">
        <f aca="false">k_cpo*cpo_A_28/cpo_A_27</f>
        <v>2.4</v>
      </c>
      <c r="G1617" s="17" t="n">
        <f aca="false">k_cpo*cpo_A_29/cpo_A_27</f>
        <v>3.84</v>
      </c>
      <c r="K1617" s="8" t="s">
        <v>502</v>
      </c>
    </row>
    <row r="1618" customFormat="false" ht="17.15" hidden="false" customHeight="false" outlineLevel="0" collapsed="false">
      <c r="A1618" s="4" t="s">
        <v>503</v>
      </c>
      <c r="B1618" s="0" t="s">
        <v>189</v>
      </c>
      <c r="C1618" s="17" t="n">
        <f aca="false">a25_eq</f>
        <v>3.290742</v>
      </c>
      <c r="D1618" s="17" t="n">
        <f aca="false">a26_eq-D1617</f>
        <v>4.8539955</v>
      </c>
      <c r="E1618" s="17" t="n">
        <f aca="false">D1618*semi_27</f>
        <v>5.659593717153</v>
      </c>
      <c r="F1618" s="17" t="n">
        <f aca="false">$E1618*eqk28_A</f>
        <v>6.59889384801401</v>
      </c>
      <c r="G1618" s="17" t="n">
        <f aca="false">$E1618*eqk29_A</f>
        <v>7.12680377116889</v>
      </c>
      <c r="K1618" s="8" t="s">
        <v>504</v>
      </c>
    </row>
    <row r="1619" customFormat="false" ht="15" hidden="false" customHeight="false" outlineLevel="0" collapsed="false">
      <c r="A1619" s="4" t="s">
        <v>405</v>
      </c>
      <c r="B1619" s="0" t="s">
        <v>189</v>
      </c>
      <c r="C1619" s="17" t="n">
        <f aca="false">a25_eq</f>
        <v>3.290742</v>
      </c>
      <c r="D1619" s="17" t="n">
        <f aca="false">D1617+D1618</f>
        <v>5.0939955</v>
      </c>
      <c r="E1619" s="17" t="n">
        <f aca="false">E1617+E1618</f>
        <v>6.859593717153</v>
      </c>
      <c r="F1619" s="17" t="n">
        <f aca="false">F1617+F1618</f>
        <v>8.99889384801401</v>
      </c>
      <c r="G1619" s="17" t="n">
        <f aca="false">G1617+G1618</f>
        <v>10.9668037711689</v>
      </c>
    </row>
    <row r="1620" customFormat="false" ht="15" hidden="false" customHeight="false" outlineLevel="0" collapsed="false">
      <c r="A1620" s="4" t="s">
        <v>407</v>
      </c>
      <c r="B1620" s="0" t="s">
        <v>189</v>
      </c>
      <c r="C1620" s="17" t="n">
        <f aca="false">a25_oth</f>
        <v>0.214032000000001</v>
      </c>
      <c r="D1620" s="17" t="n">
        <f aca="false">a26_oth</f>
        <v>0.428253</v>
      </c>
      <c r="E1620" s="17" t="n">
        <f aca="false">D1620*(1+g_oth)</f>
        <v>0.44966565</v>
      </c>
      <c r="F1620" s="17" t="n">
        <f aca="false">E1620*(1+g_oth)</f>
        <v>0.4721489325</v>
      </c>
      <c r="G1620" s="17" t="n">
        <f aca="false">F1620*(1+g_oth)</f>
        <v>0.495756379125</v>
      </c>
    </row>
    <row r="1621" customFormat="false" ht="17.15" hidden="false" customHeight="false" outlineLevel="0" collapsed="false">
      <c r="A1621" s="4" t="s">
        <v>394</v>
      </c>
      <c r="B1621" s="0" t="s">
        <v>189</v>
      </c>
      <c r="C1621" s="17" t="n">
        <f aca="false">C1616+C1619+C1620</f>
        <v>13.377</v>
      </c>
      <c r="D1621" s="17" t="n">
        <f aca="false">D1616+D1619+D1620</f>
        <v>21.41265</v>
      </c>
      <c r="E1621" s="17" t="n">
        <f aca="false">E1616+E1619+E1620</f>
        <v>31.7961467333342</v>
      </c>
      <c r="F1621" s="17" t="n">
        <f aca="false">F1616+F1619+F1620</f>
        <v>39.2036647683319</v>
      </c>
      <c r="G1621" s="17" t="n">
        <f aca="false">G1616+G1619+G1620</f>
        <v>46.6954194802045</v>
      </c>
      <c r="H1621" s="30" t="n">
        <f aca="false">G1621*(1+H1622)</f>
        <v>53.5782722007526</v>
      </c>
      <c r="I1621" s="30" t="n">
        <f aca="false">H1621*(1+I1622)</f>
        <v>59.1343091320141</v>
      </c>
      <c r="J1621" s="30" t="n">
        <f aca="false">I1621*(1+J1622)</f>
        <v>62.682367679935</v>
      </c>
      <c r="K1621" s="8" t="s">
        <v>505</v>
      </c>
    </row>
    <row r="1622" customFormat="false" ht="15" hidden="false" customHeight="false" outlineLevel="0" collapsed="false">
      <c r="A1622" s="4" t="s">
        <v>506</v>
      </c>
      <c r="B1622" s="0" t="s">
        <v>90</v>
      </c>
      <c r="D1622" s="22" t="n">
        <f aca="false">D1621/C1621-1</f>
        <v>0.600706436420722</v>
      </c>
      <c r="E1622" s="22" t="n">
        <f aca="false">E1621/D1621-1</f>
        <v>0.484923479033854</v>
      </c>
      <c r="F1622" s="22" t="n">
        <f aca="false">F1621/E1621-1</f>
        <v>0.232969048014608</v>
      </c>
      <c r="G1622" s="22" t="n">
        <f aca="false">G1621/F1621-1</f>
        <v>0.191098326040283</v>
      </c>
      <c r="H1622" s="26" t="n">
        <f aca="false">$G1622+(fade_gA-$G1622)*1/3</f>
        <v>0.147398884026855</v>
      </c>
      <c r="I1622" s="26" t="n">
        <f aca="false">$G1622+(fade_gA-$G1622)*2/3</f>
        <v>0.103699442013428</v>
      </c>
      <c r="J1622" s="26" t="n">
        <f aca="false">$G1622+(fade_gA-$G1622)*3/3</f>
        <v>0.06</v>
      </c>
    </row>
    <row r="1623" customFormat="false" ht="17.15" hidden="false" customHeight="false" outlineLevel="0" collapsed="false">
      <c r="A1623" s="0" t="s">
        <v>507</v>
      </c>
      <c r="B1623" s="0" t="s">
        <v>90</v>
      </c>
      <c r="C1623" s="22" t="n">
        <f aca="false">C1614/C1621</f>
        <v>0.4059</v>
      </c>
      <c r="D1623" s="22" t="n">
        <f aca="false">D1614/D1621</f>
        <v>0.445262071719287</v>
      </c>
      <c r="E1623" s="22" t="n">
        <f aca="false">E1614/E1621</f>
        <v>0.556224490738053</v>
      </c>
      <c r="F1623" s="22" t="n">
        <f aca="false">F1614/F1621</f>
        <v>0.572789657537758</v>
      </c>
      <c r="G1623" s="22" t="n">
        <f aca="false">G1614/G1621</f>
        <v>0.587772624928235</v>
      </c>
    </row>
    <row r="1624" customFormat="false" ht="17.15" hidden="false" customHeight="false" outlineLevel="0" collapsed="false">
      <c r="A1624" s="4" t="s">
        <v>508</v>
      </c>
      <c r="B1624" s="0" t="s">
        <v>90</v>
      </c>
      <c r="C1624" s="22" t="n">
        <f aca="false">C1616/C1621</f>
        <v>0.738</v>
      </c>
      <c r="D1624" s="22" t="n">
        <f aca="false">D1616/D1621</f>
        <v>0.742103452865479</v>
      </c>
      <c r="E1624" s="22" t="n">
        <f aca="false">E1616/E1621</f>
        <v>0.770121221654504</v>
      </c>
      <c r="F1624" s="22" t="n">
        <f aca="false">F1616/F1621</f>
        <v>0.758414351401031</v>
      </c>
      <c r="G1624" s="22" t="n">
        <f aca="false">G1616/G1621</f>
        <v>0.754524956025865</v>
      </c>
    </row>
    <row r="1625" customFormat="false" ht="17.15" hidden="false" customHeight="false" outlineLevel="0" collapsed="false">
      <c r="A1625" s="6" t="s">
        <v>509</v>
      </c>
    </row>
    <row r="1626" customFormat="false" ht="15" hidden="false" customHeight="false" outlineLevel="0" collapsed="false">
      <c r="A1626" s="4" t="s">
        <v>412</v>
      </c>
      <c r="B1626" s="0" t="s">
        <v>90</v>
      </c>
      <c r="C1626" s="14" t="n">
        <f aca="false">a25_gp/a25_rev</f>
        <v>0.574</v>
      </c>
      <c r="D1626" s="14" t="n">
        <f aca="false">a26_gp/a26_rev</f>
        <v>0.593344593032623</v>
      </c>
      <c r="E1626" s="14" t="n">
        <f aca="false">gm27_A+gm_adj_hi</f>
        <v>0.62</v>
      </c>
      <c r="F1626" s="14" t="n">
        <f aca="false">gmL_A+gm_adj_hi</f>
        <v>0.63</v>
      </c>
      <c r="G1626" s="14" t="n">
        <f aca="false">gmL_A+gm_adj_hi</f>
        <v>0.63</v>
      </c>
    </row>
    <row r="1627" customFormat="false" ht="15" hidden="false" customHeight="false" outlineLevel="0" collapsed="false">
      <c r="A1627" s="4" t="s">
        <v>409</v>
      </c>
      <c r="B1627" s="0" t="s">
        <v>189</v>
      </c>
      <c r="C1627" s="17" t="n">
        <f aca="false">C1621*C1626</f>
        <v>7.678398</v>
      </c>
      <c r="D1627" s="17" t="n">
        <f aca="false">D1621*D1626</f>
        <v>12.7050801</v>
      </c>
      <c r="E1627" s="17" t="n">
        <f aca="false">E1621*E1626</f>
        <v>19.7136109746672</v>
      </c>
      <c r="F1627" s="17" t="n">
        <f aca="false">F1621*F1626</f>
        <v>24.6983088040491</v>
      </c>
      <c r="G1627" s="17" t="n">
        <f aca="false">G1621*G1626</f>
        <v>29.4181142725289</v>
      </c>
    </row>
    <row r="1628" customFormat="false" ht="17.15" hidden="false" customHeight="false" outlineLevel="0" collapsed="false">
      <c r="A1628" s="4" t="s">
        <v>510</v>
      </c>
      <c r="B1628" s="0" t="s">
        <v>189</v>
      </c>
      <c r="D1628" s="17" t="n">
        <f aca="false">a26_opx</f>
        <v>5.05564928556</v>
      </c>
      <c r="E1628" s="17" t="n">
        <f aca="false">D1628*(1+phi*E1622)</f>
        <v>6.52661110975726</v>
      </c>
      <c r="F1628" s="17" t="n">
        <f aca="false">E1628*(1+phi*F1622)</f>
        <v>7.43891013595829</v>
      </c>
      <c r="G1628" s="17" t="n">
        <f aca="false">F1628*(1+phi*G1622)</f>
        <v>8.29184810068572</v>
      </c>
      <c r="K1628" s="8" t="s">
        <v>511</v>
      </c>
    </row>
    <row r="1629" customFormat="false" ht="15" hidden="false" customHeight="false" outlineLevel="0" collapsed="false">
      <c r="A1629" s="4" t="s">
        <v>415</v>
      </c>
      <c r="B1629" s="0" t="s">
        <v>189</v>
      </c>
      <c r="D1629" s="17" t="n">
        <f aca="false">D1627-D1628</f>
        <v>7.64943081444</v>
      </c>
      <c r="E1629" s="17" t="n">
        <f aca="false">E1627-E1628</f>
        <v>13.18699986491</v>
      </c>
      <c r="F1629" s="17" t="n">
        <f aca="false">F1627-F1628</f>
        <v>17.2593986680908</v>
      </c>
      <c r="G1629" s="17" t="n">
        <f aca="false">G1627-G1628</f>
        <v>21.1262661718431</v>
      </c>
    </row>
    <row r="1630" customFormat="false" ht="15" hidden="false" customHeight="false" outlineLevel="0" collapsed="false">
      <c r="A1630" s="4" t="s">
        <v>482</v>
      </c>
      <c r="B1630" s="0" t="s">
        <v>90</v>
      </c>
      <c r="D1630" s="14" t="n">
        <f aca="false">D1629/D1621</f>
        <v>0.357238866484999</v>
      </c>
      <c r="E1630" s="14" t="n">
        <f aca="false">E1629/E1621</f>
        <v>0.414735784669312</v>
      </c>
      <c r="F1630" s="14" t="n">
        <f aca="false">F1629/F1621</f>
        <v>0.440249623857428</v>
      </c>
      <c r="G1630" s="14" t="n">
        <f aca="false">G1629/G1621</f>
        <v>0.452426949088639</v>
      </c>
    </row>
    <row r="1631" customFormat="false" ht="15" hidden="false" customHeight="false" outlineLevel="0" collapsed="false">
      <c r="A1631" s="4" t="s">
        <v>418</v>
      </c>
      <c r="B1631" s="0" t="s">
        <v>189</v>
      </c>
      <c r="C1631" s="17" t="n">
        <f aca="false">a25_ni</f>
        <v>3.18</v>
      </c>
      <c r="D1631" s="17" t="n">
        <f aca="false">a26_ni</f>
        <v>6.7316248085628</v>
      </c>
      <c r="E1631" s="17" t="n">
        <f aca="false">E1629*ni_oi</f>
        <v>11.2089498851735</v>
      </c>
      <c r="F1631" s="17" t="n">
        <f aca="false">F1629*ni_oi</f>
        <v>14.6704888678772</v>
      </c>
      <c r="G1631" s="17" t="n">
        <f aca="false">G1629*ni_oi</f>
        <v>17.9573262460667</v>
      </c>
      <c r="H1631" s="30" t="n">
        <f aca="false">H1621*H1635</f>
        <v>20.3006058857054</v>
      </c>
      <c r="I1631" s="30" t="n">
        <f aca="false">I1621*I1635</f>
        <v>22.0706729701729</v>
      </c>
      <c r="J1631" s="30" t="n">
        <f aca="false">J1621*J1635</f>
        <v>23.0397132648636</v>
      </c>
    </row>
    <row r="1632" customFormat="false" ht="15" hidden="false" customHeight="false" outlineLevel="0" collapsed="false">
      <c r="A1632" s="4" t="s">
        <v>512</v>
      </c>
      <c r="B1632" s="4" t="s">
        <v>513</v>
      </c>
      <c r="C1632" s="19" t="n">
        <f aca="false">a25_sh</f>
        <v>94.9537175276202</v>
      </c>
      <c r="D1632" s="19" t="n">
        <f aca="false">a26_sh</f>
        <v>97.9860681630967</v>
      </c>
      <c r="E1632" s="19" t="n">
        <f aca="false">D1632*(1+sh_g)</f>
        <v>97.9860681630967</v>
      </c>
      <c r="F1632" s="19" t="n">
        <f aca="false">E1632*(1+sh_g)</f>
        <v>97.9860681630967</v>
      </c>
      <c r="G1632" s="19" t="n">
        <f aca="false">F1632*(1+sh_g)</f>
        <v>97.9860681630967</v>
      </c>
      <c r="H1632" s="25" t="n">
        <f aca="false">G1632*(1+sh_g)</f>
        <v>97.9860681630967</v>
      </c>
      <c r="I1632" s="25" t="n">
        <f aca="false">H1632*(1+sh_g)</f>
        <v>97.9860681630967</v>
      </c>
      <c r="J1632" s="25" t="n">
        <f aca="false">I1632*(1+sh_g)</f>
        <v>97.9860681630967</v>
      </c>
    </row>
    <row r="1633" customFormat="false" ht="15" hidden="false" customHeight="false" outlineLevel="0" collapsed="false">
      <c r="A1633" s="0" t="s">
        <v>423</v>
      </c>
      <c r="B1633" s="0" t="s">
        <v>256</v>
      </c>
      <c r="C1633" s="20" t="n">
        <f aca="false">a25_eps</f>
        <v>33.49</v>
      </c>
      <c r="D1633" s="20" t="n">
        <f aca="false">a26_eps</f>
        <v>68.6959552317267</v>
      </c>
      <c r="E1633" s="20" t="n">
        <f aca="false">E1631/E1632*1000</f>
        <v>114.393301979587</v>
      </c>
      <c r="F1633" s="20" t="n">
        <f aca="false">F1631/F1632*1000</f>
        <v>149.720150455046</v>
      </c>
      <c r="G1633" s="20" t="n">
        <f aca="false">G1631/G1632*1000</f>
        <v>183.264076033512</v>
      </c>
      <c r="H1633" s="28" t="n">
        <f aca="false">H1631/H1632*1000</f>
        <v>207.17849247625</v>
      </c>
      <c r="I1633" s="28" t="n">
        <f aca="false">I1631/I1632*1000</f>
        <v>225.242969576414</v>
      </c>
      <c r="J1633" s="28" t="n">
        <f aca="false">J1631/J1632*1000</f>
        <v>235.132541766185</v>
      </c>
    </row>
    <row r="1634" customFormat="false" ht="17.15" hidden="false" customHeight="false" outlineLevel="0" collapsed="false">
      <c r="A1634" s="0" t="s">
        <v>514</v>
      </c>
      <c r="B1634" s="0" t="s">
        <v>90</v>
      </c>
      <c r="D1634" s="22" t="n">
        <f aca="false">D1633/C1633-1</f>
        <v>1.05123783910799</v>
      </c>
      <c r="E1634" s="22" t="n">
        <f aca="false">E1633/D1633-1</f>
        <v>0.665211606618069</v>
      </c>
      <c r="F1634" s="22" t="n">
        <f aca="false">F1633/E1633-1</f>
        <v>0.3088192041328</v>
      </c>
      <c r="G1634" s="22" t="n">
        <f aca="false">G1633/F1633-1</f>
        <v>0.224044161567541</v>
      </c>
      <c r="H1634" s="26" t="n">
        <f aca="false">H1633/G1633-1</f>
        <v>0.130491566925341</v>
      </c>
      <c r="I1634" s="26" t="n">
        <f aca="false">I1633/H1633-1</f>
        <v>0.087192820472112</v>
      </c>
      <c r="J1634" s="26" t="n">
        <f aca="false">J1633/I1633-1</f>
        <v>0.0439062413728997</v>
      </c>
    </row>
    <row r="1635" customFormat="false" ht="17.15" hidden="false" customHeight="false" outlineLevel="0" collapsed="false">
      <c r="A1635" s="4" t="s">
        <v>515</v>
      </c>
      <c r="B1635" s="0" t="s">
        <v>90</v>
      </c>
      <c r="C1635" s="14" t="n">
        <f aca="false">C1631/C1621</f>
        <v>0.237721462211258</v>
      </c>
      <c r="D1635" s="14" t="n">
        <f aca="false">D1631/D1621</f>
        <v>0.314376072488123</v>
      </c>
      <c r="E1635" s="14" t="n">
        <f aca="false">E1631/E1621</f>
        <v>0.352525416968916</v>
      </c>
      <c r="F1635" s="14" t="n">
        <f aca="false">F1631/F1621</f>
        <v>0.374212180278813</v>
      </c>
      <c r="G1635" s="14" t="n">
        <f aca="false">G1631/G1621</f>
        <v>0.384562906725343</v>
      </c>
      <c r="H1635" s="27" t="n">
        <f aca="false">$G1635+(fade_mA-$G1635)*1/3</f>
        <v>0.378896240058676</v>
      </c>
      <c r="I1635" s="27" t="n">
        <f aca="false">$G1635+(fade_mA-$G1635)*2/3</f>
        <v>0.37322957339201</v>
      </c>
      <c r="J1635" s="27" t="n">
        <f aca="false">$G1635+(fade_mA-$G1635)*3/3</f>
        <v>0.367562906725343</v>
      </c>
    </row>
    <row r="1638" customFormat="false" ht="17.15" hidden="false" customHeight="false" outlineLevel="0" collapsed="false">
      <c r="A1638" s="1" t="s">
        <v>851</v>
      </c>
    </row>
    <row r="1639" customFormat="false" ht="17.15" hidden="false" customHeight="false" outlineLevel="0" collapsed="false">
      <c r="A1639" s="5" t="s">
        <v>21</v>
      </c>
      <c r="B1639" s="5" t="s">
        <v>22</v>
      </c>
      <c r="C1639" s="15" t="s">
        <v>387</v>
      </c>
      <c r="D1639" s="15" t="s">
        <v>468</v>
      </c>
      <c r="E1639" s="15" t="s">
        <v>469</v>
      </c>
      <c r="F1639" s="15" t="s">
        <v>470</v>
      </c>
      <c r="G1639" s="15" t="s">
        <v>471</v>
      </c>
      <c r="H1639" s="15" t="s">
        <v>472</v>
      </c>
      <c r="I1639" s="15" t="s">
        <v>473</v>
      </c>
      <c r="J1639" s="15" t="s">
        <v>474</v>
      </c>
      <c r="K1639" s="5" t="s">
        <v>336</v>
      </c>
    </row>
    <row r="1640" customFormat="false" ht="17.15" hidden="false" customHeight="false" outlineLevel="0" collapsed="false">
      <c r="A1640" s="6" t="s">
        <v>492</v>
      </c>
    </row>
    <row r="1641" customFormat="false" ht="17.15" hidden="false" customHeight="false" outlineLevel="0" collapsed="false">
      <c r="A1641" s="0" t="s">
        <v>493</v>
      </c>
      <c r="B1641" s="4" t="s">
        <v>32</v>
      </c>
      <c r="D1641" s="20" t="n">
        <f aca="false">units_26</f>
        <v>15.2</v>
      </c>
      <c r="E1641" s="20" t="n">
        <f aca="false">units_27*1</f>
        <v>23.7</v>
      </c>
      <c r="F1641" s="20" t="n">
        <f aca="false">units_28*um28_B*1</f>
        <v>21.2</v>
      </c>
      <c r="G1641" s="20" t="n">
        <f aca="false">units_29*um29_B*1</f>
        <v>25.6275</v>
      </c>
    </row>
    <row r="1642" customFormat="false" ht="17.15" hidden="false" customHeight="false" outlineLevel="0" collapsed="false">
      <c r="A1642" s="4" t="s">
        <v>494</v>
      </c>
      <c r="B1642" s="0" t="s">
        <v>45</v>
      </c>
      <c r="D1642" s="18" t="n">
        <f aca="false">ex_nv*nvtt_26+astt_26</f>
        <v>0.607994</v>
      </c>
      <c r="E1642" s="18" t="n">
        <f aca="false">ex_nv*nvtt_27+astt_27</f>
        <v>0.6560764</v>
      </c>
      <c r="F1642" s="18" t="n">
        <f aca="false">ex_nv*nvtt_28+astt_28</f>
        <v>0.6898114</v>
      </c>
      <c r="G1642" s="18" t="n">
        <f aca="false">ex_nv*nvtt_29+astt_29</f>
        <v>0.692935</v>
      </c>
      <c r="K1642" s="8" t="s">
        <v>495</v>
      </c>
    </row>
    <row r="1643" customFormat="false" ht="17.15" hidden="false" customHeight="false" outlineLevel="0" collapsed="false">
      <c r="A1643" s="4" t="s">
        <v>447</v>
      </c>
      <c r="B1643" s="0" t="s">
        <v>45</v>
      </c>
      <c r="D1643" s="18" t="n">
        <f aca="false">D1641*D1642/($D1641*$D1642)</f>
        <v>1</v>
      </c>
      <c r="E1643" s="18" t="n">
        <f aca="false">E1641*E1642/($D1641*$D1642)</f>
        <v>1.68251862509724</v>
      </c>
      <c r="F1643" s="18" t="n">
        <f aca="false">F1641*F1642/($D1641*$D1642)</f>
        <v>1.58242577012966</v>
      </c>
      <c r="G1643" s="18" t="n">
        <f aca="false">G1641*G1642/($D1641*$D1642)</f>
        <v>1.92156844697264</v>
      </c>
    </row>
    <row r="1644" customFormat="false" ht="17.15" hidden="false" customHeight="false" outlineLevel="0" collapsed="false">
      <c r="A1644" s="4" t="s">
        <v>496</v>
      </c>
      <c r="B1644" s="0" t="s">
        <v>45</v>
      </c>
      <c r="D1644" s="20" t="n">
        <f aca="false">1</f>
        <v>1</v>
      </c>
      <c r="E1644" s="20" t="n">
        <f aca="false">rel27_B</f>
        <v>1</v>
      </c>
      <c r="F1644" s="20" t="n">
        <f aca="false">rel28_B</f>
        <v>1</v>
      </c>
      <c r="G1644" s="20" t="n">
        <f aca="false">rel29_B</f>
        <v>1</v>
      </c>
    </row>
    <row r="1645" customFormat="false" ht="17.15" hidden="false" customHeight="false" outlineLevel="0" collapsed="false">
      <c r="A1645" s="4" t="s">
        <v>497</v>
      </c>
      <c r="B1645" s="0" t="s">
        <v>45</v>
      </c>
      <c r="D1645" s="18" t="n">
        <f aca="false">1</f>
        <v>1</v>
      </c>
      <c r="E1645" s="18" t="n">
        <f aca="false">(1+g_ct)^1</f>
        <v>1.05</v>
      </c>
      <c r="F1645" s="18" t="n">
        <f aca="false">(1+g_ct)^2</f>
        <v>1.1025</v>
      </c>
      <c r="G1645" s="18" t="n">
        <f aca="false">(1+g_ct)^3</f>
        <v>1.157625</v>
      </c>
    </row>
    <row r="1646" customFormat="false" ht="17.15" hidden="false" customHeight="false" outlineLevel="0" collapsed="false">
      <c r="A1646" s="6" t="s">
        <v>498</v>
      </c>
    </row>
    <row r="1647" customFormat="false" ht="17.15" hidden="false" customHeight="false" outlineLevel="0" collapsed="false">
      <c r="A1647" s="0" t="s">
        <v>401</v>
      </c>
      <c r="B1647" s="0" t="s">
        <v>189</v>
      </c>
      <c r="C1647" s="17" t="n">
        <f aca="false">a25_ai</f>
        <v>5.4297243</v>
      </c>
      <c r="D1647" s="17" t="n">
        <f aca="false">a26_ai</f>
        <v>9.5342409</v>
      </c>
      <c r="E1647" s="17" t="n">
        <f aca="false">$D1647*E1643*E1644*E1645</f>
        <v>16.8436147849345</v>
      </c>
      <c r="F1647" s="17" t="n">
        <f aca="false">$D1647*F1643*F1644*F1645</f>
        <v>16.6336694199096</v>
      </c>
      <c r="G1647" s="17" t="n">
        <f aca="false">$D1647*G1643*G1644*G1645</f>
        <v>21.2084962618219</v>
      </c>
      <c r="K1647" s="8" t="s">
        <v>499</v>
      </c>
    </row>
    <row r="1648" customFormat="false" ht="17.15" hidden="false" customHeight="false" outlineLevel="0" collapsed="false">
      <c r="A1648" s="4" t="s">
        <v>404</v>
      </c>
      <c r="B1648" s="0" t="s">
        <v>189</v>
      </c>
      <c r="C1648" s="17" t="n">
        <f aca="false">a25_npc</f>
        <v>4.4425017</v>
      </c>
      <c r="D1648" s="17" t="n">
        <f aca="false">a26_npc</f>
        <v>6.3561606</v>
      </c>
      <c r="E1648" s="17" t="n">
        <f aca="false">D1648*(1+g_nonai+d_npc)</f>
        <v>6.801091842</v>
      </c>
      <c r="F1648" s="17" t="n">
        <f aca="false">E1648*(1+g_nonai+d_npc)</f>
        <v>7.27716827094</v>
      </c>
      <c r="G1648" s="17" t="n">
        <f aca="false">F1648*(1+g_nonai+d_npc)</f>
        <v>7.7865700499058</v>
      </c>
      <c r="K1648" s="4" t="s">
        <v>500</v>
      </c>
    </row>
    <row r="1649" customFormat="false" ht="15" hidden="false" customHeight="false" outlineLevel="0" collapsed="false">
      <c r="A1649" s="4" t="s">
        <v>398</v>
      </c>
      <c r="B1649" s="0" t="s">
        <v>189</v>
      </c>
      <c r="C1649" s="17" t="n">
        <f aca="false">C1647+C1648</f>
        <v>9.872226</v>
      </c>
      <c r="D1649" s="17" t="n">
        <f aca="false">D1647+D1648</f>
        <v>15.8904015</v>
      </c>
      <c r="E1649" s="17" t="n">
        <f aca="false">E1647+E1648</f>
        <v>23.6447066269345</v>
      </c>
      <c r="F1649" s="17" t="n">
        <f aca="false">F1647+F1648</f>
        <v>23.9108376908495</v>
      </c>
      <c r="G1649" s="17" t="n">
        <f aca="false">G1647+G1648</f>
        <v>28.9950663117277</v>
      </c>
    </row>
    <row r="1650" customFormat="false" ht="17.15" hidden="false" customHeight="false" outlineLevel="0" collapsed="false">
      <c r="A1650" s="0" t="s">
        <v>501</v>
      </c>
      <c r="B1650" s="0" t="s">
        <v>189</v>
      </c>
      <c r="D1650" s="17" t="n">
        <f aca="false">k_cpo*cpo_A_26/cpo_A_27</f>
        <v>0.24</v>
      </c>
      <c r="E1650" s="17" t="n">
        <f aca="false">k_cpo*cpo_B_27/cpo_A_27</f>
        <v>0.72</v>
      </c>
      <c r="F1650" s="17" t="n">
        <f aca="false">k_cpo*cpo_B_28/cpo_A_27</f>
        <v>1.2</v>
      </c>
      <c r="G1650" s="17" t="n">
        <f aca="false">k_cpo*cpo_B_29/cpo_A_27</f>
        <v>1.92</v>
      </c>
      <c r="K1650" s="8" t="s">
        <v>502</v>
      </c>
    </row>
    <row r="1651" customFormat="false" ht="17.15" hidden="false" customHeight="false" outlineLevel="0" collapsed="false">
      <c r="A1651" s="4" t="s">
        <v>503</v>
      </c>
      <c r="B1651" s="0" t="s">
        <v>189</v>
      </c>
      <c r="C1651" s="17" t="n">
        <f aca="false">a25_eq</f>
        <v>3.290742</v>
      </c>
      <c r="D1651" s="17" t="n">
        <f aca="false">a26_eq-D1650</f>
        <v>4.8539955</v>
      </c>
      <c r="E1651" s="17" t="n">
        <f aca="false">D1651*semi_27</f>
        <v>5.659593717153</v>
      </c>
      <c r="F1651" s="17" t="n">
        <f aca="false">$E1651*eqk28_B</f>
        <v>5.659593717153</v>
      </c>
      <c r="G1651" s="17" t="n">
        <f aca="false">$E1651*eqk29_B</f>
        <v>5.37661403129535</v>
      </c>
      <c r="K1651" s="8" t="s">
        <v>504</v>
      </c>
    </row>
    <row r="1652" customFormat="false" ht="15" hidden="false" customHeight="false" outlineLevel="0" collapsed="false">
      <c r="A1652" s="4" t="s">
        <v>405</v>
      </c>
      <c r="B1652" s="0" t="s">
        <v>189</v>
      </c>
      <c r="C1652" s="17" t="n">
        <f aca="false">a25_eq</f>
        <v>3.290742</v>
      </c>
      <c r="D1652" s="17" t="n">
        <f aca="false">D1650+D1651</f>
        <v>5.0939955</v>
      </c>
      <c r="E1652" s="17" t="n">
        <f aca="false">E1650+E1651</f>
        <v>6.379593717153</v>
      </c>
      <c r="F1652" s="17" t="n">
        <f aca="false">F1650+F1651</f>
        <v>6.859593717153</v>
      </c>
      <c r="G1652" s="17" t="n">
        <f aca="false">G1650+G1651</f>
        <v>7.29661403129535</v>
      </c>
    </row>
    <row r="1653" customFormat="false" ht="15" hidden="false" customHeight="false" outlineLevel="0" collapsed="false">
      <c r="A1653" s="4" t="s">
        <v>407</v>
      </c>
      <c r="B1653" s="0" t="s">
        <v>189</v>
      </c>
      <c r="C1653" s="17" t="n">
        <f aca="false">a25_oth</f>
        <v>0.214032000000001</v>
      </c>
      <c r="D1653" s="17" t="n">
        <f aca="false">a26_oth</f>
        <v>0.428253</v>
      </c>
      <c r="E1653" s="17" t="n">
        <f aca="false">D1653*(1+g_oth)</f>
        <v>0.44966565</v>
      </c>
      <c r="F1653" s="17" t="n">
        <f aca="false">E1653*(1+g_oth)</f>
        <v>0.4721489325</v>
      </c>
      <c r="G1653" s="17" t="n">
        <f aca="false">F1653*(1+g_oth)</f>
        <v>0.495756379125</v>
      </c>
    </row>
    <row r="1654" customFormat="false" ht="17.15" hidden="false" customHeight="false" outlineLevel="0" collapsed="false">
      <c r="A1654" s="4" t="s">
        <v>394</v>
      </c>
      <c r="B1654" s="0" t="s">
        <v>189</v>
      </c>
      <c r="C1654" s="17" t="n">
        <f aca="false">C1649+C1652+C1653</f>
        <v>13.377</v>
      </c>
      <c r="D1654" s="17" t="n">
        <f aca="false">D1649+D1652+D1653</f>
        <v>21.41265</v>
      </c>
      <c r="E1654" s="17" t="n">
        <f aca="false">E1649+E1652+E1653</f>
        <v>30.4739659940875</v>
      </c>
      <c r="F1654" s="17" t="n">
        <f aca="false">F1649+F1652+F1653</f>
        <v>31.2425803405026</v>
      </c>
      <c r="G1654" s="17" t="n">
        <f aca="false">G1649+G1652+G1653</f>
        <v>36.7874367221481</v>
      </c>
      <c r="H1654" s="30" t="n">
        <f aca="false">G1654*(1+H1655)</f>
        <v>41.6305651224657</v>
      </c>
      <c r="I1654" s="30" t="n">
        <f aca="false">H1654*(1+I1655)</f>
        <v>45.2035436566513</v>
      </c>
      <c r="J1654" s="30" t="n">
        <f aca="false">I1654*(1+J1655)</f>
        <v>47.0116854029173</v>
      </c>
      <c r="K1654" s="8" t="s">
        <v>505</v>
      </c>
    </row>
    <row r="1655" customFormat="false" ht="15" hidden="false" customHeight="false" outlineLevel="0" collapsed="false">
      <c r="A1655" s="4" t="s">
        <v>506</v>
      </c>
      <c r="B1655" s="0" t="s">
        <v>90</v>
      </c>
      <c r="D1655" s="22" t="n">
        <f aca="false">D1654/C1654-1</f>
        <v>0.600706436420722</v>
      </c>
      <c r="E1655" s="22" t="n">
        <f aca="false">E1654/D1654-1</f>
        <v>0.423175832701115</v>
      </c>
      <c r="F1655" s="22" t="n">
        <f aca="false">F1654/E1654-1</f>
        <v>0.0252219992161231</v>
      </c>
      <c r="G1655" s="22" t="n">
        <f aca="false">G1654/F1654-1</f>
        <v>0.177477542546549</v>
      </c>
      <c r="H1655" s="26" t="n">
        <f aca="false">$G1655+(fade_gB-$G1655)*1/3</f>
        <v>0.131651695031033</v>
      </c>
      <c r="I1655" s="26" t="n">
        <f aca="false">$G1655+(fade_gB-$G1655)*2/3</f>
        <v>0.0858258475155164</v>
      </c>
      <c r="J1655" s="26" t="n">
        <f aca="false">$G1655+(fade_gB-$G1655)*3/3</f>
        <v>0.04</v>
      </c>
    </row>
    <row r="1656" customFormat="false" ht="17.15" hidden="false" customHeight="false" outlineLevel="0" collapsed="false">
      <c r="A1656" s="0" t="s">
        <v>507</v>
      </c>
      <c r="B1656" s="0" t="s">
        <v>90</v>
      </c>
      <c r="C1656" s="22" t="n">
        <f aca="false">C1647/C1654</f>
        <v>0.4059</v>
      </c>
      <c r="D1656" s="22" t="n">
        <f aca="false">D1647/D1654</f>
        <v>0.445262071719287</v>
      </c>
      <c r="E1656" s="22" t="n">
        <f aca="false">E1647/E1654</f>
        <v>0.552721453722252</v>
      </c>
      <c r="F1656" s="22" t="n">
        <f aca="false">F1647/F1654</f>
        <v>0.532403829601291</v>
      </c>
      <c r="G1656" s="22" t="n">
        <f aca="false">G1647/G1654</f>
        <v>0.576514651510178</v>
      </c>
    </row>
    <row r="1657" customFormat="false" ht="17.15" hidden="false" customHeight="false" outlineLevel="0" collapsed="false">
      <c r="A1657" s="4" t="s">
        <v>508</v>
      </c>
      <c r="B1657" s="0" t="s">
        <v>90</v>
      </c>
      <c r="C1657" s="22" t="n">
        <f aca="false">C1649/C1654</f>
        <v>0.738</v>
      </c>
      <c r="D1657" s="22" t="n">
        <f aca="false">D1649/D1654</f>
        <v>0.742103452865479</v>
      </c>
      <c r="E1657" s="22" t="n">
        <f aca="false">E1649/E1654</f>
        <v>0.775898569668353</v>
      </c>
      <c r="F1657" s="22" t="n">
        <f aca="false">F1649/F1654</f>
        <v>0.765328517371268</v>
      </c>
      <c r="G1657" s="22" t="n">
        <f aca="false">G1649/G1654</f>
        <v>0.788178489594821</v>
      </c>
    </row>
    <row r="1658" customFormat="false" ht="17.15" hidden="false" customHeight="false" outlineLevel="0" collapsed="false">
      <c r="A1658" s="6" t="s">
        <v>509</v>
      </c>
    </row>
    <row r="1659" customFormat="false" ht="15" hidden="false" customHeight="false" outlineLevel="0" collapsed="false">
      <c r="A1659" s="4" t="s">
        <v>412</v>
      </c>
      <c r="B1659" s="0" t="s">
        <v>90</v>
      </c>
      <c r="C1659" s="14" t="n">
        <f aca="false">a25_gp/a25_rev</f>
        <v>0.574</v>
      </c>
      <c r="D1659" s="14" t="n">
        <f aca="false">a26_gp/a26_rev</f>
        <v>0.593344593032623</v>
      </c>
      <c r="E1659" s="14" t="n">
        <f aca="false">gm27_B+gm_adj_hi</f>
        <v>0.615</v>
      </c>
      <c r="F1659" s="14" t="n">
        <f aca="false">gmL_B+gm_adj_hi</f>
        <v>0.615</v>
      </c>
      <c r="G1659" s="14" t="n">
        <f aca="false">gmL_B+gm_adj_hi</f>
        <v>0.615</v>
      </c>
    </row>
    <row r="1660" customFormat="false" ht="15" hidden="false" customHeight="false" outlineLevel="0" collapsed="false">
      <c r="A1660" s="4" t="s">
        <v>409</v>
      </c>
      <c r="B1660" s="0" t="s">
        <v>189</v>
      </c>
      <c r="C1660" s="17" t="n">
        <f aca="false">C1654*C1659</f>
        <v>7.678398</v>
      </c>
      <c r="D1660" s="17" t="n">
        <f aca="false">D1654*D1659</f>
        <v>12.7050801</v>
      </c>
      <c r="E1660" s="17" t="n">
        <f aca="false">E1654*E1659</f>
        <v>18.7414890863638</v>
      </c>
      <c r="F1660" s="17" t="n">
        <f aca="false">F1654*F1659</f>
        <v>19.2141869094091</v>
      </c>
      <c r="G1660" s="17" t="n">
        <f aca="false">G1654*G1659</f>
        <v>22.6242735841211</v>
      </c>
    </row>
    <row r="1661" customFormat="false" ht="17.15" hidden="false" customHeight="false" outlineLevel="0" collapsed="false">
      <c r="A1661" s="4" t="s">
        <v>510</v>
      </c>
      <c r="B1661" s="0" t="s">
        <v>189</v>
      </c>
      <c r="D1661" s="17" t="n">
        <f aca="false">a26_opx</f>
        <v>5.05564928556</v>
      </c>
      <c r="E1661" s="17" t="n">
        <f aca="false">D1661*(1+phi*E1655)</f>
        <v>6.33930644331699</v>
      </c>
      <c r="F1661" s="17" t="n">
        <f aca="false">E1661*(1+phi*F1655)</f>
        <v>6.43524043260345</v>
      </c>
      <c r="G1661" s="17" t="n">
        <f aca="false">F1661*(1+phi*G1655)</f>
        <v>7.12050682720824</v>
      </c>
      <c r="K1661" s="8" t="s">
        <v>511</v>
      </c>
    </row>
    <row r="1662" customFormat="false" ht="15" hidden="false" customHeight="false" outlineLevel="0" collapsed="false">
      <c r="A1662" s="4" t="s">
        <v>415</v>
      </c>
      <c r="B1662" s="0" t="s">
        <v>189</v>
      </c>
      <c r="D1662" s="17" t="n">
        <f aca="false">D1660-D1661</f>
        <v>7.64943081444</v>
      </c>
      <c r="E1662" s="17" t="n">
        <f aca="false">E1660-E1661</f>
        <v>12.4021826430468</v>
      </c>
      <c r="F1662" s="17" t="n">
        <f aca="false">F1660-F1661</f>
        <v>12.7789464768056</v>
      </c>
      <c r="G1662" s="17" t="n">
        <f aca="false">G1660-G1661</f>
        <v>15.5037667569128</v>
      </c>
    </row>
    <row r="1663" customFormat="false" ht="15" hidden="false" customHeight="false" outlineLevel="0" collapsed="false">
      <c r="A1663" s="4" t="s">
        <v>482</v>
      </c>
      <c r="B1663" s="0" t="s">
        <v>90</v>
      </c>
      <c r="D1663" s="14" t="n">
        <f aca="false">D1662/D1654</f>
        <v>0.357238866484999</v>
      </c>
      <c r="E1663" s="14" t="n">
        <f aca="false">E1662/E1654</f>
        <v>0.406976323510142</v>
      </c>
      <c r="F1663" s="14" t="n">
        <f aca="false">F1662/F1654</f>
        <v>0.409023401317436</v>
      </c>
      <c r="G1663" s="14" t="n">
        <f aca="false">G1662/G1654</f>
        <v>0.421441887185869</v>
      </c>
    </row>
    <row r="1664" customFormat="false" ht="15" hidden="false" customHeight="false" outlineLevel="0" collapsed="false">
      <c r="A1664" s="4" t="s">
        <v>418</v>
      </c>
      <c r="B1664" s="0" t="s">
        <v>189</v>
      </c>
      <c r="C1664" s="17" t="n">
        <f aca="false">a25_ni</f>
        <v>3.18</v>
      </c>
      <c r="D1664" s="17" t="n">
        <f aca="false">a26_ni</f>
        <v>6.7316248085628</v>
      </c>
      <c r="E1664" s="17" t="n">
        <f aca="false">E1662*ni_oi</f>
        <v>10.5418552465898</v>
      </c>
      <c r="F1664" s="17" t="n">
        <f aca="false">F1662*ni_oi</f>
        <v>10.8621045052848</v>
      </c>
      <c r="G1664" s="17" t="n">
        <f aca="false">G1662*ni_oi</f>
        <v>13.1782017433759</v>
      </c>
      <c r="H1664" s="30" t="n">
        <f aca="false">H1654*H1668</f>
        <v>14.2037139802159</v>
      </c>
      <c r="I1664" s="30" t="n">
        <f aca="false">I1654*I1668</f>
        <v>14.6524528066462</v>
      </c>
      <c r="J1664" s="30" t="n">
        <f aca="false">J1654*J1668</f>
        <v>14.4374316765707</v>
      </c>
    </row>
    <row r="1665" customFormat="false" ht="15" hidden="false" customHeight="false" outlineLevel="0" collapsed="false">
      <c r="A1665" s="4" t="s">
        <v>512</v>
      </c>
      <c r="B1665" s="4" t="s">
        <v>513</v>
      </c>
      <c r="C1665" s="19" t="n">
        <f aca="false">a25_sh</f>
        <v>94.9537175276202</v>
      </c>
      <c r="D1665" s="19" t="n">
        <f aca="false">a26_sh</f>
        <v>97.9860681630967</v>
      </c>
      <c r="E1665" s="19" t="n">
        <f aca="false">D1665*(1+sh_g)</f>
        <v>97.9860681630967</v>
      </c>
      <c r="F1665" s="19" t="n">
        <f aca="false">E1665*(1+sh_g)</f>
        <v>97.9860681630967</v>
      </c>
      <c r="G1665" s="19" t="n">
        <f aca="false">F1665*(1+sh_g)</f>
        <v>97.9860681630967</v>
      </c>
      <c r="H1665" s="25" t="n">
        <f aca="false">G1665*(1+sh_g)</f>
        <v>97.9860681630967</v>
      </c>
      <c r="I1665" s="25" t="n">
        <f aca="false">H1665*(1+sh_g)</f>
        <v>97.9860681630967</v>
      </c>
      <c r="J1665" s="25" t="n">
        <f aca="false">I1665*(1+sh_g)</f>
        <v>97.9860681630967</v>
      </c>
    </row>
    <row r="1666" customFormat="false" ht="15" hidden="false" customHeight="false" outlineLevel="0" collapsed="false">
      <c r="A1666" s="0" t="s">
        <v>423</v>
      </c>
      <c r="B1666" s="0" t="s">
        <v>256</v>
      </c>
      <c r="C1666" s="20" t="n">
        <f aca="false">a25_eps</f>
        <v>33.49</v>
      </c>
      <c r="D1666" s="20" t="n">
        <f aca="false">a26_eps</f>
        <v>68.6959552317267</v>
      </c>
      <c r="E1666" s="20" t="n">
        <f aca="false">E1664/E1665*1000</f>
        <v>107.585245986634</v>
      </c>
      <c r="F1666" s="20" t="n">
        <f aca="false">F1664/F1665*1000</f>
        <v>110.853560193934</v>
      </c>
      <c r="G1666" s="20" t="n">
        <f aca="false">G1664/G1665*1000</f>
        <v>134.490565755133</v>
      </c>
      <c r="H1666" s="28" t="n">
        <f aca="false">H1664/H1665*1000</f>
        <v>144.95646418401</v>
      </c>
      <c r="I1666" s="28" t="n">
        <f aca="false">I1664/I1665*1000</f>
        <v>149.536082846567</v>
      </c>
      <c r="J1666" s="28" t="n">
        <f aca="false">J1664/J1665*1000</f>
        <v>147.341677722385</v>
      </c>
    </row>
    <row r="1667" customFormat="false" ht="17.15" hidden="false" customHeight="false" outlineLevel="0" collapsed="false">
      <c r="A1667" s="0" t="s">
        <v>514</v>
      </c>
      <c r="B1667" s="0" t="s">
        <v>90</v>
      </c>
      <c r="D1667" s="22" t="n">
        <f aca="false">D1666/C1666-1</f>
        <v>1.05123783910799</v>
      </c>
      <c r="E1667" s="22" t="n">
        <f aca="false">E1666/D1666-1</f>
        <v>0.566107431270512</v>
      </c>
      <c r="F1667" s="22" t="n">
        <f aca="false">F1666/E1666-1</f>
        <v>0.0303788328718102</v>
      </c>
      <c r="G1667" s="22" t="n">
        <f aca="false">G1666/F1666-1</f>
        <v>0.213227302035647</v>
      </c>
      <c r="H1667" s="26" t="n">
        <f aca="false">H1666/G1666-1</f>
        <v>0.0778188296711659</v>
      </c>
      <c r="I1667" s="26" t="n">
        <f aca="false">I1666/H1666-1</f>
        <v>0.0315930627056618</v>
      </c>
      <c r="J1667" s="26" t="n">
        <f aca="false">J1666/I1666-1</f>
        <v>-0.0146747532930455</v>
      </c>
    </row>
    <row r="1668" customFormat="false" ht="17.15" hidden="false" customHeight="false" outlineLevel="0" collapsed="false">
      <c r="A1668" s="4" t="s">
        <v>515</v>
      </c>
      <c r="B1668" s="0" t="s">
        <v>90</v>
      </c>
      <c r="C1668" s="14" t="n">
        <f aca="false">C1664/C1654</f>
        <v>0.237721462211258</v>
      </c>
      <c r="D1668" s="14" t="n">
        <f aca="false">D1664/D1654</f>
        <v>0.314376072488123</v>
      </c>
      <c r="E1668" s="14" t="n">
        <f aca="false">E1664/E1654</f>
        <v>0.345929874983621</v>
      </c>
      <c r="F1668" s="14" t="n">
        <f aca="false">F1664/F1654</f>
        <v>0.347669891119821</v>
      </c>
      <c r="G1668" s="14" t="n">
        <f aca="false">G1664/G1654</f>
        <v>0.358225604107989</v>
      </c>
      <c r="H1668" s="27" t="n">
        <f aca="false">$G1668+(fade_mB-$G1668)*1/3</f>
        <v>0.341184750637722</v>
      </c>
      <c r="I1668" s="27" t="n">
        <f aca="false">$G1668+(fade_mB-$G1668)*2/3</f>
        <v>0.324143897167456</v>
      </c>
      <c r="J1668" s="27" t="n">
        <f aca="false">$G1668+(fade_mB-$G1668)*3/3</f>
        <v>0.30710304369719</v>
      </c>
    </row>
    <row r="1671" customFormat="false" ht="17.15" hidden="false" customHeight="false" outlineLevel="0" collapsed="false">
      <c r="A1671" s="1" t="s">
        <v>852</v>
      </c>
    </row>
    <row r="1672" customFormat="false" ht="17.15" hidden="false" customHeight="false" outlineLevel="0" collapsed="false">
      <c r="A1672" s="5" t="s">
        <v>21</v>
      </c>
      <c r="B1672" s="5" t="s">
        <v>22</v>
      </c>
      <c r="C1672" s="15" t="s">
        <v>387</v>
      </c>
      <c r="D1672" s="15" t="s">
        <v>468</v>
      </c>
      <c r="E1672" s="15" t="s">
        <v>469</v>
      </c>
      <c r="F1672" s="15" t="s">
        <v>470</v>
      </c>
      <c r="G1672" s="15" t="s">
        <v>471</v>
      </c>
      <c r="H1672" s="15" t="s">
        <v>472</v>
      </c>
      <c r="I1672" s="15" t="s">
        <v>473</v>
      </c>
      <c r="J1672" s="15" t="s">
        <v>474</v>
      </c>
      <c r="K1672" s="5" t="s">
        <v>336</v>
      </c>
    </row>
    <row r="1673" customFormat="false" ht="17.15" hidden="false" customHeight="false" outlineLevel="0" collapsed="false">
      <c r="A1673" s="6" t="s">
        <v>492</v>
      </c>
    </row>
    <row r="1674" customFormat="false" ht="17.15" hidden="false" customHeight="false" outlineLevel="0" collapsed="false">
      <c r="A1674" s="0" t="s">
        <v>493</v>
      </c>
      <c r="B1674" s="4" t="s">
        <v>32</v>
      </c>
      <c r="D1674" s="20" t="n">
        <f aca="false">units_26</f>
        <v>15.2</v>
      </c>
      <c r="E1674" s="20" t="n">
        <f aca="false">units_27*1</f>
        <v>23.7</v>
      </c>
      <c r="F1674" s="20" t="n">
        <f aca="false">units_28*um28_C*1</f>
        <v>15.9</v>
      </c>
      <c r="G1674" s="20" t="n">
        <f aca="false">units_29*um29_C*1</f>
        <v>18.09</v>
      </c>
    </row>
    <row r="1675" customFormat="false" ht="17.15" hidden="false" customHeight="false" outlineLevel="0" collapsed="false">
      <c r="A1675" s="4" t="s">
        <v>494</v>
      </c>
      <c r="B1675" s="0" t="s">
        <v>45</v>
      </c>
      <c r="D1675" s="18" t="n">
        <f aca="false">ex_nv*nvtt_26+astt_26</f>
        <v>0.607994</v>
      </c>
      <c r="E1675" s="18" t="n">
        <f aca="false">ex_nv*nvtt_27+astt_27</f>
        <v>0.6560764</v>
      </c>
      <c r="F1675" s="18" t="n">
        <f aca="false">ex_nv*nvtt_28+astt_28</f>
        <v>0.6898114</v>
      </c>
      <c r="G1675" s="18" t="n">
        <f aca="false">ex_nv*nvtt_29+astt_29</f>
        <v>0.692935</v>
      </c>
      <c r="K1675" s="8" t="s">
        <v>495</v>
      </c>
    </row>
    <row r="1676" customFormat="false" ht="17.15" hidden="false" customHeight="false" outlineLevel="0" collapsed="false">
      <c r="A1676" s="4" t="s">
        <v>447</v>
      </c>
      <c r="B1676" s="0" t="s">
        <v>45</v>
      </c>
      <c r="D1676" s="18" t="n">
        <f aca="false">D1674*D1675/($D1674*$D1675)</f>
        <v>1</v>
      </c>
      <c r="E1676" s="18" t="n">
        <f aca="false">E1674*E1675/($D1674*$D1675)</f>
        <v>1.68251862509724</v>
      </c>
      <c r="F1676" s="18" t="n">
        <f aca="false">F1674*F1675/($D1674*$D1675)</f>
        <v>1.18681932759724</v>
      </c>
      <c r="G1676" s="18" t="n">
        <f aca="false">G1674*G1675/($D1674*$D1675)</f>
        <v>1.35640125668657</v>
      </c>
    </row>
    <row r="1677" customFormat="false" ht="17.15" hidden="false" customHeight="false" outlineLevel="0" collapsed="false">
      <c r="A1677" s="4" t="s">
        <v>496</v>
      </c>
      <c r="B1677" s="0" t="s">
        <v>45</v>
      </c>
      <c r="D1677" s="20" t="n">
        <f aca="false">1</f>
        <v>1</v>
      </c>
      <c r="E1677" s="20" t="n">
        <f aca="false">rel27_C</f>
        <v>0.92</v>
      </c>
      <c r="F1677" s="20" t="n">
        <f aca="false">rel28_C</f>
        <v>0.88</v>
      </c>
      <c r="G1677" s="20" t="n">
        <f aca="false">rel29_C</f>
        <v>0.85</v>
      </c>
    </row>
    <row r="1678" customFormat="false" ht="17.15" hidden="false" customHeight="false" outlineLevel="0" collapsed="false">
      <c r="A1678" s="4" t="s">
        <v>497</v>
      </c>
      <c r="B1678" s="0" t="s">
        <v>45</v>
      </c>
      <c r="D1678" s="18" t="n">
        <f aca="false">1</f>
        <v>1</v>
      </c>
      <c r="E1678" s="18" t="n">
        <f aca="false">(1+g_ct)^1</f>
        <v>1.05</v>
      </c>
      <c r="F1678" s="18" t="n">
        <f aca="false">(1+g_ct)^2</f>
        <v>1.1025</v>
      </c>
      <c r="G1678" s="18" t="n">
        <f aca="false">(1+g_ct)^3</f>
        <v>1.157625</v>
      </c>
    </row>
    <row r="1679" customFormat="false" ht="17.15" hidden="false" customHeight="false" outlineLevel="0" collapsed="false">
      <c r="A1679" s="6" t="s">
        <v>498</v>
      </c>
    </row>
    <row r="1680" customFormat="false" ht="17.15" hidden="false" customHeight="false" outlineLevel="0" collapsed="false">
      <c r="A1680" s="0" t="s">
        <v>401</v>
      </c>
      <c r="B1680" s="0" t="s">
        <v>189</v>
      </c>
      <c r="C1680" s="17" t="n">
        <f aca="false">a25_ai</f>
        <v>5.4297243</v>
      </c>
      <c r="D1680" s="17" t="n">
        <f aca="false">a26_ai</f>
        <v>9.5342409</v>
      </c>
      <c r="E1680" s="17" t="n">
        <f aca="false">$D1680*E1676*E1677*E1678</f>
        <v>15.4961256021398</v>
      </c>
      <c r="F1680" s="17" t="n">
        <f aca="false">$D1680*F1676*F1677*F1678</f>
        <v>10.9782218171403</v>
      </c>
      <c r="G1680" s="17" t="n">
        <f aca="false">$D1680*G1676*G1677*G1678</f>
        <v>12.7250977570932</v>
      </c>
      <c r="K1680" s="8" t="s">
        <v>499</v>
      </c>
    </row>
    <row r="1681" customFormat="false" ht="17.15" hidden="false" customHeight="false" outlineLevel="0" collapsed="false">
      <c r="A1681" s="4" t="s">
        <v>404</v>
      </c>
      <c r="B1681" s="0" t="s">
        <v>189</v>
      </c>
      <c r="C1681" s="17" t="n">
        <f aca="false">a25_npc</f>
        <v>4.4425017</v>
      </c>
      <c r="D1681" s="17" t="n">
        <f aca="false">a26_npc</f>
        <v>6.3561606</v>
      </c>
      <c r="E1681" s="17" t="n">
        <f aca="false">D1681*(1+g_nonai+d_npc)</f>
        <v>6.801091842</v>
      </c>
      <c r="F1681" s="17" t="n">
        <f aca="false">E1681*(1+g_nonai+d_npc)</f>
        <v>7.27716827094</v>
      </c>
      <c r="G1681" s="17" t="n">
        <f aca="false">F1681*(1+g_nonai+d_npc)</f>
        <v>7.7865700499058</v>
      </c>
      <c r="K1681" s="4" t="s">
        <v>500</v>
      </c>
    </row>
    <row r="1682" customFormat="false" ht="15" hidden="false" customHeight="false" outlineLevel="0" collapsed="false">
      <c r="A1682" s="4" t="s">
        <v>398</v>
      </c>
      <c r="B1682" s="0" t="s">
        <v>189</v>
      </c>
      <c r="C1682" s="17" t="n">
        <f aca="false">C1680+C1681</f>
        <v>9.872226</v>
      </c>
      <c r="D1682" s="17" t="n">
        <f aca="false">D1680+D1681</f>
        <v>15.8904015</v>
      </c>
      <c r="E1682" s="17" t="n">
        <f aca="false">E1680+E1681</f>
        <v>22.2972174441398</v>
      </c>
      <c r="F1682" s="17" t="n">
        <f aca="false">F1680+F1681</f>
        <v>18.2553900880803</v>
      </c>
      <c r="G1682" s="17" t="n">
        <f aca="false">G1680+G1681</f>
        <v>20.511667806999</v>
      </c>
    </row>
    <row r="1683" customFormat="false" ht="17.15" hidden="false" customHeight="false" outlineLevel="0" collapsed="false">
      <c r="A1683" s="0" t="s">
        <v>501</v>
      </c>
      <c r="B1683" s="0" t="s">
        <v>189</v>
      </c>
      <c r="D1683" s="17" t="n">
        <f aca="false">k_cpo*cpo_A_26/cpo_A_27</f>
        <v>0.24</v>
      </c>
      <c r="E1683" s="17" t="n">
        <f aca="false">k_cpo*cpo_C_27/cpo_A_27</f>
        <v>0.48</v>
      </c>
      <c r="F1683" s="17" t="n">
        <f aca="false">k_cpo*cpo_C_28/cpo_A_27</f>
        <v>0.72</v>
      </c>
      <c r="G1683" s="17" t="n">
        <f aca="false">k_cpo*cpo_C_29/cpo_A_27</f>
        <v>1.2</v>
      </c>
      <c r="K1683" s="8" t="s">
        <v>502</v>
      </c>
    </row>
    <row r="1684" customFormat="false" ht="17.15" hidden="false" customHeight="false" outlineLevel="0" collapsed="false">
      <c r="A1684" s="4" t="s">
        <v>503</v>
      </c>
      <c r="B1684" s="0" t="s">
        <v>189</v>
      </c>
      <c r="C1684" s="17" t="n">
        <f aca="false">a25_eq</f>
        <v>3.290742</v>
      </c>
      <c r="D1684" s="17" t="n">
        <f aca="false">a26_eq-D1683</f>
        <v>4.8539955</v>
      </c>
      <c r="E1684" s="17" t="n">
        <f aca="false">D1684*semi_27</f>
        <v>5.659593717153</v>
      </c>
      <c r="F1684" s="17" t="n">
        <f aca="false">$E1684*eqk28_C</f>
        <v>4.5276749737224</v>
      </c>
      <c r="G1684" s="17" t="n">
        <f aca="false">$E1684*eqk29_C</f>
        <v>5.659593717153</v>
      </c>
      <c r="K1684" s="8" t="s">
        <v>504</v>
      </c>
    </row>
    <row r="1685" customFormat="false" ht="15" hidden="false" customHeight="false" outlineLevel="0" collapsed="false">
      <c r="A1685" s="4" t="s">
        <v>405</v>
      </c>
      <c r="B1685" s="0" t="s">
        <v>189</v>
      </c>
      <c r="C1685" s="17" t="n">
        <f aca="false">a25_eq</f>
        <v>3.290742</v>
      </c>
      <c r="D1685" s="17" t="n">
        <f aca="false">D1683+D1684</f>
        <v>5.0939955</v>
      </c>
      <c r="E1685" s="17" t="n">
        <f aca="false">E1683+E1684</f>
        <v>6.139593717153</v>
      </c>
      <c r="F1685" s="17" t="n">
        <f aca="false">F1683+F1684</f>
        <v>5.2476749737224</v>
      </c>
      <c r="G1685" s="17" t="n">
        <f aca="false">G1683+G1684</f>
        <v>6.859593717153</v>
      </c>
    </row>
    <row r="1686" customFormat="false" ht="15" hidden="false" customHeight="false" outlineLevel="0" collapsed="false">
      <c r="A1686" s="4" t="s">
        <v>407</v>
      </c>
      <c r="B1686" s="0" t="s">
        <v>189</v>
      </c>
      <c r="C1686" s="17" t="n">
        <f aca="false">a25_oth</f>
        <v>0.214032000000001</v>
      </c>
      <c r="D1686" s="17" t="n">
        <f aca="false">a26_oth</f>
        <v>0.428253</v>
      </c>
      <c r="E1686" s="17" t="n">
        <f aca="false">D1686*(1+g_oth)</f>
        <v>0.44966565</v>
      </c>
      <c r="F1686" s="17" t="n">
        <f aca="false">E1686*(1+g_oth)</f>
        <v>0.4721489325</v>
      </c>
      <c r="G1686" s="17" t="n">
        <f aca="false">F1686*(1+g_oth)</f>
        <v>0.495756379125</v>
      </c>
    </row>
    <row r="1687" customFormat="false" ht="17.15" hidden="false" customHeight="false" outlineLevel="0" collapsed="false">
      <c r="A1687" s="4" t="s">
        <v>394</v>
      </c>
      <c r="B1687" s="0" t="s">
        <v>189</v>
      </c>
      <c r="C1687" s="17" t="n">
        <f aca="false">C1682+C1685+C1686</f>
        <v>13.377</v>
      </c>
      <c r="D1687" s="17" t="n">
        <f aca="false">D1682+D1685+D1686</f>
        <v>21.41265</v>
      </c>
      <c r="E1687" s="17" t="n">
        <f aca="false">E1682+E1685+E1686</f>
        <v>28.8864768112928</v>
      </c>
      <c r="F1687" s="17" t="n">
        <f aca="false">F1682+F1685+F1686</f>
        <v>23.9752139943027</v>
      </c>
      <c r="G1687" s="17" t="n">
        <f aca="false">G1682+G1685+G1686</f>
        <v>27.867017903277</v>
      </c>
      <c r="H1687" s="30" t="n">
        <f aca="false">G1687*(1+H1688)</f>
        <v>31.0684949623466</v>
      </c>
      <c r="I1687" s="30" t="n">
        <f aca="false">H1687*(1+I1688)</f>
        <v>33.1638178346034</v>
      </c>
      <c r="J1687" s="30" t="n">
        <f aca="false">I1687*(1+J1688)</f>
        <v>33.8270941912954</v>
      </c>
      <c r="K1687" s="8" t="s">
        <v>505</v>
      </c>
    </row>
    <row r="1688" customFormat="false" ht="15" hidden="false" customHeight="false" outlineLevel="0" collapsed="false">
      <c r="A1688" s="4" t="s">
        <v>506</v>
      </c>
      <c r="B1688" s="0" t="s">
        <v>90</v>
      </c>
      <c r="D1688" s="22" t="n">
        <f aca="false">D1687/C1687-1</f>
        <v>0.600706436420722</v>
      </c>
      <c r="E1688" s="22" t="n">
        <f aca="false">E1687/D1687-1</f>
        <v>0.349037919701333</v>
      </c>
      <c r="F1688" s="22" t="n">
        <f aca="false">F1687/E1687-1</f>
        <v>-0.170019447130017</v>
      </c>
      <c r="G1688" s="22" t="n">
        <f aca="false">G1687/F1687-1</f>
        <v>0.162326138565398</v>
      </c>
      <c r="H1688" s="26" t="n">
        <f aca="false">$G1688+(fade_gC-$G1688)*1/3</f>
        <v>0.114884092376932</v>
      </c>
      <c r="I1688" s="26" t="n">
        <f aca="false">$G1688+(fade_gC-$G1688)*2/3</f>
        <v>0.0674420461884661</v>
      </c>
      <c r="J1688" s="26" t="n">
        <f aca="false">$G1688+(fade_gC-$G1688)*3/3</f>
        <v>0.02</v>
      </c>
    </row>
    <row r="1689" customFormat="false" ht="17.15" hidden="false" customHeight="false" outlineLevel="0" collapsed="false">
      <c r="A1689" s="0" t="s">
        <v>507</v>
      </c>
      <c r="B1689" s="0" t="s">
        <v>90</v>
      </c>
      <c r="C1689" s="22" t="n">
        <f aca="false">C1680/C1687</f>
        <v>0.4059</v>
      </c>
      <c r="D1689" s="22" t="n">
        <f aca="false">D1680/D1687</f>
        <v>0.445262071719287</v>
      </c>
      <c r="E1689" s="22" t="n">
        <f aca="false">E1680/E1687</f>
        <v>0.536449138583829</v>
      </c>
      <c r="F1689" s="22" t="n">
        <f aca="false">F1680/F1687</f>
        <v>0.457898804146194</v>
      </c>
      <c r="G1689" s="22" t="n">
        <f aca="false">G1680/G1687</f>
        <v>0.456636508479681</v>
      </c>
    </row>
    <row r="1690" customFormat="false" ht="17.15" hidden="false" customHeight="false" outlineLevel="0" collapsed="false">
      <c r="A1690" s="4" t="s">
        <v>508</v>
      </c>
      <c r="B1690" s="0" t="s">
        <v>90</v>
      </c>
      <c r="C1690" s="22" t="n">
        <f aca="false">C1682/C1687</f>
        <v>0.738</v>
      </c>
      <c r="D1690" s="22" t="n">
        <f aca="false">D1682/D1687</f>
        <v>0.742103452865479</v>
      </c>
      <c r="E1690" s="22" t="n">
        <f aca="false">E1682/E1687</f>
        <v>0.771891206733214</v>
      </c>
      <c r="F1690" s="22" t="n">
        <f aca="false">F1682/F1687</f>
        <v>0.761427618223486</v>
      </c>
      <c r="G1690" s="22" t="n">
        <f aca="false">G1682/G1687</f>
        <v>0.736055356844872</v>
      </c>
    </row>
    <row r="1691" customFormat="false" ht="17.15" hidden="false" customHeight="false" outlineLevel="0" collapsed="false">
      <c r="A1691" s="6" t="s">
        <v>509</v>
      </c>
    </row>
    <row r="1692" customFormat="false" ht="15" hidden="false" customHeight="false" outlineLevel="0" collapsed="false">
      <c r="A1692" s="4" t="s">
        <v>412</v>
      </c>
      <c r="B1692" s="0" t="s">
        <v>90</v>
      </c>
      <c r="C1692" s="14" t="n">
        <f aca="false">a25_gp/a25_rev</f>
        <v>0.574</v>
      </c>
      <c r="D1692" s="14" t="n">
        <f aca="false">a26_gp/a26_rev</f>
        <v>0.593344593032623</v>
      </c>
      <c r="E1692" s="14" t="n">
        <f aca="false">gm27_C+gm_adj_hi</f>
        <v>0.6</v>
      </c>
      <c r="F1692" s="14" t="n">
        <f aca="false">gmL_C+gm_adj_hi</f>
        <v>0.585</v>
      </c>
      <c r="G1692" s="14" t="n">
        <f aca="false">gmL_C+gm_adj_hi</f>
        <v>0.585</v>
      </c>
    </row>
    <row r="1693" customFormat="false" ht="15" hidden="false" customHeight="false" outlineLevel="0" collapsed="false">
      <c r="A1693" s="4" t="s">
        <v>409</v>
      </c>
      <c r="B1693" s="0" t="s">
        <v>189</v>
      </c>
      <c r="C1693" s="17" t="n">
        <f aca="false">C1687*C1692</f>
        <v>7.678398</v>
      </c>
      <c r="D1693" s="17" t="n">
        <f aca="false">D1687*D1692</f>
        <v>12.7050801</v>
      </c>
      <c r="E1693" s="17" t="n">
        <f aca="false">E1687*E1692</f>
        <v>17.3318860867757</v>
      </c>
      <c r="F1693" s="17" t="n">
        <f aca="false">F1687*F1692</f>
        <v>14.0255001866671</v>
      </c>
      <c r="G1693" s="17" t="n">
        <f aca="false">G1687*G1692</f>
        <v>16.302205473417</v>
      </c>
    </row>
    <row r="1694" customFormat="false" ht="17.15" hidden="false" customHeight="false" outlineLevel="0" collapsed="false">
      <c r="A1694" s="4" t="s">
        <v>510</v>
      </c>
      <c r="B1694" s="0" t="s">
        <v>189</v>
      </c>
      <c r="D1694" s="17" t="n">
        <f aca="false">a26_opx</f>
        <v>5.05564928556</v>
      </c>
      <c r="E1694" s="17" t="n">
        <f aca="false">D1694*(1+phi*E1688)</f>
        <v>6.11441727118284</v>
      </c>
      <c r="F1694" s="17" t="n">
        <f aca="false">E1694*(1+phi*F1688)</f>
        <v>5.4906753648016</v>
      </c>
      <c r="G1694" s="17" t="n">
        <f aca="false">F1694*(1+phi*G1688)</f>
        <v>6.02544344285224</v>
      </c>
      <c r="K1694" s="8" t="s">
        <v>511</v>
      </c>
    </row>
    <row r="1695" customFormat="false" ht="15" hidden="false" customHeight="false" outlineLevel="0" collapsed="false">
      <c r="A1695" s="4" t="s">
        <v>415</v>
      </c>
      <c r="B1695" s="0" t="s">
        <v>189</v>
      </c>
      <c r="D1695" s="17" t="n">
        <f aca="false">D1693-D1694</f>
        <v>7.64943081444</v>
      </c>
      <c r="E1695" s="17" t="n">
        <f aca="false">E1693-E1694</f>
        <v>11.2174688155928</v>
      </c>
      <c r="F1695" s="17" t="n">
        <f aca="false">F1693-F1694</f>
        <v>8.53482482186548</v>
      </c>
      <c r="G1695" s="17" t="n">
        <f aca="false">G1693-G1694</f>
        <v>10.2767620305648</v>
      </c>
    </row>
    <row r="1696" customFormat="false" ht="15" hidden="false" customHeight="false" outlineLevel="0" collapsed="false">
      <c r="A1696" s="4" t="s">
        <v>482</v>
      </c>
      <c r="B1696" s="0" t="s">
        <v>90</v>
      </c>
      <c r="D1696" s="14" t="n">
        <f aca="false">D1695/D1687</f>
        <v>0.357238866484999</v>
      </c>
      <c r="E1696" s="14" t="n">
        <f aca="false">E1695/E1687</f>
        <v>0.388329421025395</v>
      </c>
      <c r="F1696" s="14" t="n">
        <f aca="false">F1695/F1687</f>
        <v>0.355985344860473</v>
      </c>
      <c r="G1696" s="14" t="n">
        <f aca="false">G1695/G1687</f>
        <v>0.368778678301144</v>
      </c>
    </row>
    <row r="1697" customFormat="false" ht="15" hidden="false" customHeight="false" outlineLevel="0" collapsed="false">
      <c r="A1697" s="4" t="s">
        <v>418</v>
      </c>
      <c r="B1697" s="0" t="s">
        <v>189</v>
      </c>
      <c r="C1697" s="17" t="n">
        <f aca="false">a25_ni</f>
        <v>3.18</v>
      </c>
      <c r="D1697" s="17" t="n">
        <f aca="false">a26_ni</f>
        <v>6.7316248085628</v>
      </c>
      <c r="E1697" s="17" t="n">
        <f aca="false">E1695*ni_oi</f>
        <v>9.53484849325389</v>
      </c>
      <c r="F1697" s="17" t="n">
        <f aca="false">F1695*ni_oi</f>
        <v>7.25460109858566</v>
      </c>
      <c r="G1697" s="17" t="n">
        <f aca="false">G1695*ni_oi</f>
        <v>8.73524772598006</v>
      </c>
      <c r="H1697" s="30" t="n">
        <f aca="false">H1687*H1701</f>
        <v>8.94869230665984</v>
      </c>
      <c r="I1697" s="30" t="n">
        <f aca="false">I1687*I1701</f>
        <v>8.70882828086875</v>
      </c>
      <c r="J1697" s="30" t="n">
        <f aca="false">J1687*J1701</f>
        <v>8.02275505790965</v>
      </c>
    </row>
    <row r="1698" customFormat="false" ht="15" hidden="false" customHeight="false" outlineLevel="0" collapsed="false">
      <c r="A1698" s="4" t="s">
        <v>512</v>
      </c>
      <c r="B1698" s="4" t="s">
        <v>513</v>
      </c>
      <c r="C1698" s="19" t="n">
        <f aca="false">a25_sh</f>
        <v>94.9537175276202</v>
      </c>
      <c r="D1698" s="19" t="n">
        <f aca="false">a26_sh</f>
        <v>97.9860681630967</v>
      </c>
      <c r="E1698" s="19" t="n">
        <f aca="false">D1698*(1+sh_g)</f>
        <v>97.9860681630967</v>
      </c>
      <c r="F1698" s="19" t="n">
        <f aca="false">E1698*(1+sh_g)</f>
        <v>97.9860681630967</v>
      </c>
      <c r="G1698" s="19" t="n">
        <f aca="false">F1698*(1+sh_g)</f>
        <v>97.9860681630967</v>
      </c>
      <c r="H1698" s="25" t="n">
        <f aca="false">G1698*(1+sh_g)</f>
        <v>97.9860681630967</v>
      </c>
      <c r="I1698" s="25" t="n">
        <f aca="false">H1698*(1+sh_g)</f>
        <v>97.9860681630967</v>
      </c>
      <c r="J1698" s="25" t="n">
        <f aca="false">I1698*(1+sh_g)</f>
        <v>97.9860681630967</v>
      </c>
    </row>
    <row r="1699" customFormat="false" ht="15" hidden="false" customHeight="false" outlineLevel="0" collapsed="false">
      <c r="A1699" s="0" t="s">
        <v>423</v>
      </c>
      <c r="B1699" s="0" t="s">
        <v>256</v>
      </c>
      <c r="C1699" s="20" t="n">
        <f aca="false">a25_eps</f>
        <v>33.49</v>
      </c>
      <c r="D1699" s="20" t="n">
        <f aca="false">a26_eps</f>
        <v>68.6959552317267</v>
      </c>
      <c r="E1699" s="20" t="n">
        <f aca="false">E1697/E1698*1000</f>
        <v>97.308205870484</v>
      </c>
      <c r="F1699" s="20" t="n">
        <f aca="false">F1697/F1698*1000</f>
        <v>74.0370670502919</v>
      </c>
      <c r="G1699" s="20" t="n">
        <f aca="false">G1697/G1698*1000</f>
        <v>89.1478542790424</v>
      </c>
      <c r="H1699" s="28" t="n">
        <f aca="false">H1697/H1698*1000</f>
        <v>91.3261698771793</v>
      </c>
      <c r="I1699" s="28" t="n">
        <f aca="false">I1697/I1698*1000</f>
        <v>88.8782297741859</v>
      </c>
      <c r="J1699" s="28" t="n">
        <f aca="false">J1697/J1698*1000</f>
        <v>81.8764872222025</v>
      </c>
    </row>
    <row r="1700" customFormat="false" ht="17.15" hidden="false" customHeight="false" outlineLevel="0" collapsed="false">
      <c r="A1700" s="0" t="s">
        <v>514</v>
      </c>
      <c r="B1700" s="0" t="s">
        <v>90</v>
      </c>
      <c r="D1700" s="22" t="n">
        <f aca="false">D1699/C1699-1</f>
        <v>1.05123783910799</v>
      </c>
      <c r="E1700" s="22" t="n">
        <f aca="false">E1699/D1699-1</f>
        <v>0.416505608550632</v>
      </c>
      <c r="F1700" s="22" t="n">
        <f aca="false">F1699/E1699-1</f>
        <v>-0.239148781051063</v>
      </c>
      <c r="G1700" s="22" t="n">
        <f aca="false">G1699/F1699-1</f>
        <v>0.20409759368893</v>
      </c>
      <c r="H1700" s="26" t="n">
        <f aca="false">H1699/G1699-1</f>
        <v>0.0244348629112097</v>
      </c>
      <c r="I1700" s="26" t="n">
        <f aca="false">I1699/H1699-1</f>
        <v>-0.0268043662214841</v>
      </c>
      <c r="J1700" s="26" t="n">
        <f aca="false">J1699/I1699-1</f>
        <v>-0.078779050502838</v>
      </c>
    </row>
    <row r="1701" customFormat="false" ht="17.15" hidden="false" customHeight="false" outlineLevel="0" collapsed="false">
      <c r="A1701" s="4" t="s">
        <v>515</v>
      </c>
      <c r="B1701" s="0" t="s">
        <v>90</v>
      </c>
      <c r="C1701" s="14" t="n">
        <f aca="false">C1697/C1687</f>
        <v>0.237721462211258</v>
      </c>
      <c r="D1701" s="14" t="n">
        <f aca="false">D1697/D1687</f>
        <v>0.314376072488123</v>
      </c>
      <c r="E1701" s="14" t="n">
        <f aca="false">E1697/E1687</f>
        <v>0.330080007871586</v>
      </c>
      <c r="F1701" s="14" t="n">
        <f aca="false">F1697/F1687</f>
        <v>0.302587543131402</v>
      </c>
      <c r="G1701" s="14" t="n">
        <f aca="false">G1697/G1687</f>
        <v>0.313461876555972</v>
      </c>
      <c r="H1701" s="27" t="n">
        <f aca="false">$G1701+(fade_mC-$G1701)*1/3</f>
        <v>0.288031084785574</v>
      </c>
      <c r="I1701" s="27" t="n">
        <f aca="false">$G1701+(fade_mC-$G1701)*2/3</f>
        <v>0.262600293015176</v>
      </c>
      <c r="J1701" s="27" t="n">
        <f aca="false">$G1701+(fade_mC-$G1701)*3/3</f>
        <v>0.237169501244778</v>
      </c>
    </row>
    <row r="1704" customFormat="false" ht="17.15" hidden="false" customHeight="false" outlineLevel="0" collapsed="false">
      <c r="A1704" s="1" t="s">
        <v>853</v>
      </c>
    </row>
    <row r="1705" customFormat="false" ht="17.15" hidden="false" customHeight="false" outlineLevel="0" collapsed="false">
      <c r="A1705" s="5" t="s">
        <v>21</v>
      </c>
      <c r="B1705" s="5" t="s">
        <v>22</v>
      </c>
      <c r="C1705" s="15" t="s">
        <v>387</v>
      </c>
      <c r="D1705" s="15" t="s">
        <v>468</v>
      </c>
      <c r="E1705" s="15" t="s">
        <v>469</v>
      </c>
      <c r="F1705" s="15" t="s">
        <v>470</v>
      </c>
      <c r="G1705" s="15" t="s">
        <v>471</v>
      </c>
      <c r="H1705" s="15" t="s">
        <v>472</v>
      </c>
      <c r="I1705" s="15" t="s">
        <v>473</v>
      </c>
      <c r="J1705" s="15" t="s">
        <v>474</v>
      </c>
      <c r="K1705" s="5" t="s">
        <v>336</v>
      </c>
    </row>
    <row r="1706" customFormat="false" ht="17.15" hidden="false" customHeight="false" outlineLevel="0" collapsed="false">
      <c r="A1706" s="6" t="s">
        <v>492</v>
      </c>
    </row>
    <row r="1707" customFormat="false" ht="17.15" hidden="false" customHeight="false" outlineLevel="0" collapsed="false">
      <c r="A1707" s="0" t="s">
        <v>493</v>
      </c>
      <c r="B1707" s="4" t="s">
        <v>32</v>
      </c>
      <c r="D1707" s="20" t="n">
        <f aca="false">units_26</f>
        <v>15.2</v>
      </c>
      <c r="E1707" s="20" t="n">
        <f aca="false">units_27*1</f>
        <v>23.7</v>
      </c>
      <c r="F1707" s="20" t="n">
        <f aca="false">units_28*um28_A*1</f>
        <v>26.5</v>
      </c>
      <c r="G1707" s="20" t="n">
        <f aca="false">units_29*um29_A*1</f>
        <v>30.15</v>
      </c>
    </row>
    <row r="1708" customFormat="false" ht="17.15" hidden="false" customHeight="false" outlineLevel="0" collapsed="false">
      <c r="A1708" s="4" t="s">
        <v>494</v>
      </c>
      <c r="B1708" s="0" t="s">
        <v>45</v>
      </c>
      <c r="D1708" s="18" t="n">
        <f aca="false">ex_nv*nvtt_26+astt_26</f>
        <v>0.607994</v>
      </c>
      <c r="E1708" s="18" t="n">
        <f aca="false">ex_nv*nvtt_27+astt_27</f>
        <v>0.6560764</v>
      </c>
      <c r="F1708" s="18" t="n">
        <f aca="false">ex_nv*nvtt_28+astt_28</f>
        <v>0.6898114</v>
      </c>
      <c r="G1708" s="18" t="n">
        <f aca="false">ex_nv*nvtt_29+astt_29</f>
        <v>0.692935</v>
      </c>
      <c r="K1708" s="8" t="s">
        <v>495</v>
      </c>
    </row>
    <row r="1709" customFormat="false" ht="17.15" hidden="false" customHeight="false" outlineLevel="0" collapsed="false">
      <c r="A1709" s="4" t="s">
        <v>447</v>
      </c>
      <c r="B1709" s="0" t="s">
        <v>45</v>
      </c>
      <c r="D1709" s="18" t="n">
        <f aca="false">D1707*D1708/($D1707*$D1708)</f>
        <v>1</v>
      </c>
      <c r="E1709" s="18" t="n">
        <f aca="false">E1707*E1708/($D1707*$D1708)</f>
        <v>1.68251862509724</v>
      </c>
      <c r="F1709" s="18" t="n">
        <f aca="false">F1707*F1708/($D1707*$D1708)</f>
        <v>1.97803221266207</v>
      </c>
      <c r="G1709" s="18" t="n">
        <f aca="false">G1707*G1708/($D1707*$D1708)</f>
        <v>2.26066876114428</v>
      </c>
    </row>
    <row r="1710" customFormat="false" ht="17.15" hidden="false" customHeight="false" outlineLevel="0" collapsed="false">
      <c r="A1710" s="4" t="s">
        <v>496</v>
      </c>
      <c r="B1710" s="0" t="s">
        <v>45</v>
      </c>
      <c r="D1710" s="20" t="n">
        <f aca="false">1</f>
        <v>1</v>
      </c>
      <c r="E1710" s="20" t="n">
        <f aca="false">rel27_A</f>
        <v>1.05</v>
      </c>
      <c r="F1710" s="20" t="n">
        <f aca="false">rel28_A</f>
        <v>1.08</v>
      </c>
      <c r="G1710" s="20" t="n">
        <f aca="false">rel29_A</f>
        <v>1.1</v>
      </c>
    </row>
    <row r="1711" customFormat="false" ht="17.15" hidden="false" customHeight="false" outlineLevel="0" collapsed="false">
      <c r="A1711" s="4" t="s">
        <v>497</v>
      </c>
      <c r="B1711" s="0" t="s">
        <v>45</v>
      </c>
      <c r="D1711" s="18" t="n">
        <f aca="false">1</f>
        <v>1</v>
      </c>
      <c r="E1711" s="18" t="n">
        <f aca="false">(1+g_ct)^1</f>
        <v>1.05</v>
      </c>
      <c r="F1711" s="18" t="n">
        <f aca="false">(1+g_ct)^2</f>
        <v>1.1025</v>
      </c>
      <c r="G1711" s="18" t="n">
        <f aca="false">(1+g_ct)^3</f>
        <v>1.157625</v>
      </c>
    </row>
    <row r="1712" customFormat="false" ht="17.15" hidden="false" customHeight="false" outlineLevel="0" collapsed="false">
      <c r="A1712" s="6" t="s">
        <v>498</v>
      </c>
    </row>
    <row r="1713" customFormat="false" ht="17.15" hidden="false" customHeight="false" outlineLevel="0" collapsed="false">
      <c r="A1713" s="0" t="s">
        <v>401</v>
      </c>
      <c r="B1713" s="0" t="s">
        <v>189</v>
      </c>
      <c r="C1713" s="17" t="n">
        <f aca="false">a25_ai</f>
        <v>5.4297243</v>
      </c>
      <c r="D1713" s="17" t="n">
        <f aca="false">a26_ai</f>
        <v>9.5342409</v>
      </c>
      <c r="E1713" s="17" t="n">
        <f aca="false">$D1713*E1709*E1710*E1711</f>
        <v>17.6857955241812</v>
      </c>
      <c r="F1713" s="17" t="n">
        <f aca="false">$D1713*F1709*F1710*F1711</f>
        <v>22.4554537168779</v>
      </c>
      <c r="G1713" s="17" t="n">
        <f aca="false">$D1713*G1709*G1710*G1711</f>
        <v>27.4462892800048</v>
      </c>
      <c r="K1713" s="8" t="s">
        <v>499</v>
      </c>
    </row>
    <row r="1714" customFormat="false" ht="17.15" hidden="false" customHeight="false" outlineLevel="0" collapsed="false">
      <c r="A1714" s="4" t="s">
        <v>404</v>
      </c>
      <c r="B1714" s="0" t="s">
        <v>189</v>
      </c>
      <c r="C1714" s="17" t="n">
        <f aca="false">a25_npc</f>
        <v>4.4425017</v>
      </c>
      <c r="D1714" s="17" t="n">
        <f aca="false">a26_npc</f>
        <v>6.3561606</v>
      </c>
      <c r="E1714" s="17" t="n">
        <f aca="false">D1714*(1+g_nonai+d_npc)</f>
        <v>6.801091842</v>
      </c>
      <c r="F1714" s="17" t="n">
        <f aca="false">E1714*(1+g_nonai+d_npc)</f>
        <v>7.27716827094</v>
      </c>
      <c r="G1714" s="17" t="n">
        <f aca="false">F1714*(1+g_nonai+d_npc)</f>
        <v>7.7865700499058</v>
      </c>
      <c r="K1714" s="4" t="s">
        <v>500</v>
      </c>
    </row>
    <row r="1715" customFormat="false" ht="15" hidden="false" customHeight="false" outlineLevel="0" collapsed="false">
      <c r="A1715" s="4" t="s">
        <v>398</v>
      </c>
      <c r="B1715" s="0" t="s">
        <v>189</v>
      </c>
      <c r="C1715" s="17" t="n">
        <f aca="false">C1713+C1714</f>
        <v>9.872226</v>
      </c>
      <c r="D1715" s="17" t="n">
        <f aca="false">D1713+D1714</f>
        <v>15.8904015</v>
      </c>
      <c r="E1715" s="17" t="n">
        <f aca="false">E1713+E1714</f>
        <v>24.4868873661812</v>
      </c>
      <c r="F1715" s="17" t="n">
        <f aca="false">F1713+F1714</f>
        <v>29.7326219878179</v>
      </c>
      <c r="G1715" s="17" t="n">
        <f aca="false">G1713+G1714</f>
        <v>35.2328593299106</v>
      </c>
    </row>
    <row r="1716" customFormat="false" ht="17.15" hidden="false" customHeight="false" outlineLevel="0" collapsed="false">
      <c r="A1716" s="0" t="s">
        <v>501</v>
      </c>
      <c r="B1716" s="0" t="s">
        <v>189</v>
      </c>
      <c r="D1716" s="17" t="n">
        <f aca="false">k_cpo*cpo_A_26/cpo_A_27</f>
        <v>0.24</v>
      </c>
      <c r="E1716" s="17" t="n">
        <f aca="false">k_cpo*cpo_A_27/cpo_A_27</f>
        <v>1.2</v>
      </c>
      <c r="F1716" s="17" t="n">
        <f aca="false">k_cpo*cpo_A_28/cpo_A_27</f>
        <v>2.4</v>
      </c>
      <c r="G1716" s="17" t="n">
        <f aca="false">k_cpo*cpo_A_29/cpo_A_27</f>
        <v>3.84</v>
      </c>
      <c r="K1716" s="8" t="s">
        <v>502</v>
      </c>
    </row>
    <row r="1717" customFormat="false" ht="17.15" hidden="false" customHeight="false" outlineLevel="0" collapsed="false">
      <c r="A1717" s="4" t="s">
        <v>503</v>
      </c>
      <c r="B1717" s="0" t="s">
        <v>189</v>
      </c>
      <c r="C1717" s="17" t="n">
        <f aca="false">a25_eq</f>
        <v>3.290742</v>
      </c>
      <c r="D1717" s="17" t="n">
        <f aca="false">a26_eq-D1716</f>
        <v>4.8539955</v>
      </c>
      <c r="E1717" s="17" t="n">
        <f aca="false">D1717*semi_27</f>
        <v>5.659593717153</v>
      </c>
      <c r="F1717" s="17" t="n">
        <f aca="false">$E1717*eqk28_A</f>
        <v>6.59889384801401</v>
      </c>
      <c r="G1717" s="17" t="n">
        <f aca="false">$E1717*eqk29_A</f>
        <v>7.12680377116889</v>
      </c>
      <c r="K1717" s="8" t="s">
        <v>504</v>
      </c>
    </row>
    <row r="1718" customFormat="false" ht="15" hidden="false" customHeight="false" outlineLevel="0" collapsed="false">
      <c r="A1718" s="4" t="s">
        <v>405</v>
      </c>
      <c r="B1718" s="0" t="s">
        <v>189</v>
      </c>
      <c r="C1718" s="17" t="n">
        <f aca="false">a25_eq</f>
        <v>3.290742</v>
      </c>
      <c r="D1718" s="17" t="n">
        <f aca="false">D1716+D1717</f>
        <v>5.0939955</v>
      </c>
      <c r="E1718" s="17" t="n">
        <f aca="false">E1716+E1717</f>
        <v>6.859593717153</v>
      </c>
      <c r="F1718" s="17" t="n">
        <f aca="false">F1716+F1717</f>
        <v>8.99889384801401</v>
      </c>
      <c r="G1718" s="17" t="n">
        <f aca="false">G1716+G1717</f>
        <v>10.9668037711689</v>
      </c>
    </row>
    <row r="1719" customFormat="false" ht="15" hidden="false" customHeight="false" outlineLevel="0" collapsed="false">
      <c r="A1719" s="4" t="s">
        <v>407</v>
      </c>
      <c r="B1719" s="0" t="s">
        <v>189</v>
      </c>
      <c r="C1719" s="17" t="n">
        <f aca="false">a25_oth</f>
        <v>0.214032000000001</v>
      </c>
      <c r="D1719" s="17" t="n">
        <f aca="false">a26_oth</f>
        <v>0.428253</v>
      </c>
      <c r="E1719" s="17" t="n">
        <f aca="false">D1719*(1+g_oth)</f>
        <v>0.44966565</v>
      </c>
      <c r="F1719" s="17" t="n">
        <f aca="false">E1719*(1+g_oth)</f>
        <v>0.4721489325</v>
      </c>
      <c r="G1719" s="17" t="n">
        <f aca="false">F1719*(1+g_oth)</f>
        <v>0.495756379125</v>
      </c>
    </row>
    <row r="1720" customFormat="false" ht="17.15" hidden="false" customHeight="false" outlineLevel="0" collapsed="false">
      <c r="A1720" s="4" t="s">
        <v>394</v>
      </c>
      <c r="B1720" s="0" t="s">
        <v>189</v>
      </c>
      <c r="C1720" s="17" t="n">
        <f aca="false">C1715+C1718+C1719</f>
        <v>13.377</v>
      </c>
      <c r="D1720" s="17" t="n">
        <f aca="false">D1715+D1718+D1719</f>
        <v>21.41265</v>
      </c>
      <c r="E1720" s="17" t="n">
        <f aca="false">E1715+E1718+E1719</f>
        <v>31.7961467333342</v>
      </c>
      <c r="F1720" s="17" t="n">
        <f aca="false">F1715+F1718+F1719</f>
        <v>39.2036647683319</v>
      </c>
      <c r="G1720" s="17" t="n">
        <f aca="false">G1715+G1718+G1719</f>
        <v>46.6954194802045</v>
      </c>
      <c r="H1720" s="30" t="n">
        <f aca="false">G1720*(1+H1721)</f>
        <v>53.5782722007526</v>
      </c>
      <c r="I1720" s="30" t="n">
        <f aca="false">H1720*(1+I1721)</f>
        <v>59.1343091320141</v>
      </c>
      <c r="J1720" s="30" t="n">
        <f aca="false">I1720*(1+J1721)</f>
        <v>62.682367679935</v>
      </c>
      <c r="K1720" s="8" t="s">
        <v>505</v>
      </c>
    </row>
    <row r="1721" customFormat="false" ht="15" hidden="false" customHeight="false" outlineLevel="0" collapsed="false">
      <c r="A1721" s="4" t="s">
        <v>506</v>
      </c>
      <c r="B1721" s="0" t="s">
        <v>90</v>
      </c>
      <c r="D1721" s="22" t="n">
        <f aca="false">D1720/C1720-1</f>
        <v>0.600706436420722</v>
      </c>
      <c r="E1721" s="22" t="n">
        <f aca="false">E1720/D1720-1</f>
        <v>0.484923479033854</v>
      </c>
      <c r="F1721" s="22" t="n">
        <f aca="false">F1720/E1720-1</f>
        <v>0.232969048014608</v>
      </c>
      <c r="G1721" s="22" t="n">
        <f aca="false">G1720/F1720-1</f>
        <v>0.191098326040283</v>
      </c>
      <c r="H1721" s="26" t="n">
        <f aca="false">$G1721+(fade_gA-$G1721)*1/3</f>
        <v>0.147398884026855</v>
      </c>
      <c r="I1721" s="26" t="n">
        <f aca="false">$G1721+(fade_gA-$G1721)*2/3</f>
        <v>0.103699442013428</v>
      </c>
      <c r="J1721" s="26" t="n">
        <f aca="false">$G1721+(fade_gA-$G1721)*3/3</f>
        <v>0.06</v>
      </c>
    </row>
    <row r="1722" customFormat="false" ht="17.15" hidden="false" customHeight="false" outlineLevel="0" collapsed="false">
      <c r="A1722" s="0" t="s">
        <v>507</v>
      </c>
      <c r="B1722" s="0" t="s">
        <v>90</v>
      </c>
      <c r="C1722" s="22" t="n">
        <f aca="false">C1713/C1720</f>
        <v>0.4059</v>
      </c>
      <c r="D1722" s="22" t="n">
        <f aca="false">D1713/D1720</f>
        <v>0.445262071719287</v>
      </c>
      <c r="E1722" s="22" t="n">
        <f aca="false">E1713/E1720</f>
        <v>0.556224490738053</v>
      </c>
      <c r="F1722" s="22" t="n">
        <f aca="false">F1713/F1720</f>
        <v>0.572789657537758</v>
      </c>
      <c r="G1722" s="22" t="n">
        <f aca="false">G1713/G1720</f>
        <v>0.587772624928235</v>
      </c>
    </row>
    <row r="1723" customFormat="false" ht="17.15" hidden="false" customHeight="false" outlineLevel="0" collapsed="false">
      <c r="A1723" s="4" t="s">
        <v>508</v>
      </c>
      <c r="B1723" s="0" t="s">
        <v>90</v>
      </c>
      <c r="C1723" s="22" t="n">
        <f aca="false">C1715/C1720</f>
        <v>0.738</v>
      </c>
      <c r="D1723" s="22" t="n">
        <f aca="false">D1715/D1720</f>
        <v>0.742103452865479</v>
      </c>
      <c r="E1723" s="22" t="n">
        <f aca="false">E1715/E1720</f>
        <v>0.770121221654504</v>
      </c>
      <c r="F1723" s="22" t="n">
        <f aca="false">F1715/F1720</f>
        <v>0.758414351401031</v>
      </c>
      <c r="G1723" s="22" t="n">
        <f aca="false">G1715/G1720</f>
        <v>0.754524956025865</v>
      </c>
    </row>
    <row r="1724" customFormat="false" ht="17.15" hidden="false" customHeight="false" outlineLevel="0" collapsed="false">
      <c r="A1724" s="6" t="s">
        <v>509</v>
      </c>
    </row>
    <row r="1725" customFormat="false" ht="15" hidden="false" customHeight="false" outlineLevel="0" collapsed="false">
      <c r="A1725" s="4" t="s">
        <v>412</v>
      </c>
      <c r="B1725" s="0" t="s">
        <v>90</v>
      </c>
      <c r="C1725" s="14" t="n">
        <f aca="false">a25_gp/a25_rev</f>
        <v>0.574</v>
      </c>
      <c r="D1725" s="14" t="n">
        <f aca="false">a26_gp/a26_rev</f>
        <v>0.593344593032623</v>
      </c>
      <c r="E1725" s="14" t="n">
        <f aca="false">gm27_A+gm_adj</f>
        <v>0.6</v>
      </c>
      <c r="F1725" s="14" t="n">
        <f aca="false">gmL_A+gm_adj</f>
        <v>0.61</v>
      </c>
      <c r="G1725" s="14" t="n">
        <f aca="false">gmL_A+gm_adj</f>
        <v>0.61</v>
      </c>
    </row>
    <row r="1726" customFormat="false" ht="15" hidden="false" customHeight="false" outlineLevel="0" collapsed="false">
      <c r="A1726" s="4" t="s">
        <v>409</v>
      </c>
      <c r="B1726" s="0" t="s">
        <v>189</v>
      </c>
      <c r="C1726" s="17" t="n">
        <f aca="false">C1720*C1725</f>
        <v>7.678398</v>
      </c>
      <c r="D1726" s="17" t="n">
        <f aca="false">D1720*D1725</f>
        <v>12.7050801</v>
      </c>
      <c r="E1726" s="17" t="n">
        <f aca="false">E1720*E1725</f>
        <v>19.0776880400005</v>
      </c>
      <c r="F1726" s="17" t="n">
        <f aca="false">F1720*F1725</f>
        <v>23.9142355086825</v>
      </c>
      <c r="G1726" s="17" t="n">
        <f aca="false">G1720*G1725</f>
        <v>28.4842058829248</v>
      </c>
    </row>
    <row r="1727" customFormat="false" ht="17.15" hidden="false" customHeight="false" outlineLevel="0" collapsed="false">
      <c r="A1727" s="4" t="s">
        <v>510</v>
      </c>
      <c r="B1727" s="0" t="s">
        <v>189</v>
      </c>
      <c r="D1727" s="17" t="n">
        <f aca="false">a26_opx</f>
        <v>5.05564928556</v>
      </c>
      <c r="E1727" s="17" t="n">
        <f aca="false">D1727*(1+phi_lo*E1721)</f>
        <v>6.03629050169151</v>
      </c>
      <c r="F1727" s="17" t="n">
        <f aca="false">E1727*(1+phi_lo*F1721)</f>
        <v>6.59879804237898</v>
      </c>
      <c r="G1727" s="17" t="n">
        <f aca="false">F1727*(1+phi_lo*G1721)</f>
        <v>7.10320574628959</v>
      </c>
      <c r="K1727" s="8" t="s">
        <v>511</v>
      </c>
    </row>
    <row r="1728" customFormat="false" ht="15" hidden="false" customHeight="false" outlineLevel="0" collapsed="false">
      <c r="A1728" s="4" t="s">
        <v>415</v>
      </c>
      <c r="B1728" s="0" t="s">
        <v>189</v>
      </c>
      <c r="D1728" s="17" t="n">
        <f aca="false">D1726-D1727</f>
        <v>7.64943081444</v>
      </c>
      <c r="E1728" s="17" t="n">
        <f aca="false">E1726-E1727</f>
        <v>13.041397538309</v>
      </c>
      <c r="F1728" s="17" t="n">
        <f aca="false">F1726-F1727</f>
        <v>17.3154374663035</v>
      </c>
      <c r="G1728" s="17" t="n">
        <f aca="false">G1726-G1727</f>
        <v>21.3810001366352</v>
      </c>
    </row>
    <row r="1729" customFormat="false" ht="15" hidden="false" customHeight="false" outlineLevel="0" collapsed="false">
      <c r="A1729" s="4" t="s">
        <v>482</v>
      </c>
      <c r="B1729" s="0" t="s">
        <v>90</v>
      </c>
      <c r="D1729" s="14" t="n">
        <f aca="false">D1728/D1720</f>
        <v>0.357238866484999</v>
      </c>
      <c r="E1729" s="14" t="n">
        <f aca="false">E1728/E1720</f>
        <v>0.410156540277781</v>
      </c>
      <c r="F1729" s="14" t="n">
        <f aca="false">F1728/F1720</f>
        <v>0.441679051400588</v>
      </c>
      <c r="G1729" s="14" t="n">
        <f aca="false">G1728/G1720</f>
        <v>0.457882172912038</v>
      </c>
    </row>
    <row r="1730" customFormat="false" ht="15" hidden="false" customHeight="false" outlineLevel="0" collapsed="false">
      <c r="A1730" s="4" t="s">
        <v>418</v>
      </c>
      <c r="B1730" s="0" t="s">
        <v>189</v>
      </c>
      <c r="C1730" s="17" t="n">
        <f aca="false">a25_ni</f>
        <v>3.18</v>
      </c>
      <c r="D1730" s="17" t="n">
        <f aca="false">a26_ni</f>
        <v>6.7316248085628</v>
      </c>
      <c r="E1730" s="17" t="n">
        <f aca="false">E1728*ni_oi</f>
        <v>11.0851879075627</v>
      </c>
      <c r="F1730" s="17" t="n">
        <f aca="false">F1728*ni_oi</f>
        <v>14.718121846358</v>
      </c>
      <c r="G1730" s="17" t="n">
        <f aca="false">G1728*ni_oi</f>
        <v>18.1738501161399</v>
      </c>
      <c r="H1730" s="30" t="n">
        <f aca="false">H1720*H1734</f>
        <v>20.4662320502969</v>
      </c>
      <c r="I1730" s="30" t="n">
        <f aca="false">I1720*I1734</f>
        <v>22.1620737228941</v>
      </c>
      <c r="J1730" s="30" t="n">
        <f aca="false">J1720*J1734</f>
        <v>23.0397132648636</v>
      </c>
    </row>
    <row r="1731" customFormat="false" ht="15" hidden="false" customHeight="false" outlineLevel="0" collapsed="false">
      <c r="A1731" s="4" t="s">
        <v>512</v>
      </c>
      <c r="B1731" s="4" t="s">
        <v>513</v>
      </c>
      <c r="C1731" s="19" t="n">
        <f aca="false">a25_sh</f>
        <v>94.9537175276202</v>
      </c>
      <c r="D1731" s="19" t="n">
        <f aca="false">a26_sh</f>
        <v>97.9860681630967</v>
      </c>
      <c r="E1731" s="19" t="n">
        <f aca="false">D1731*(1+sh_g)</f>
        <v>97.9860681630967</v>
      </c>
      <c r="F1731" s="19" t="n">
        <f aca="false">E1731*(1+sh_g)</f>
        <v>97.9860681630967</v>
      </c>
      <c r="G1731" s="19" t="n">
        <f aca="false">F1731*(1+sh_g)</f>
        <v>97.9860681630967</v>
      </c>
      <c r="H1731" s="25" t="n">
        <f aca="false">G1731*(1+sh_g)</f>
        <v>97.9860681630967</v>
      </c>
      <c r="I1731" s="25" t="n">
        <f aca="false">H1731*(1+sh_g)</f>
        <v>97.9860681630967</v>
      </c>
      <c r="J1731" s="25" t="n">
        <f aca="false">I1731*(1+sh_g)</f>
        <v>97.9860681630967</v>
      </c>
    </row>
    <row r="1732" customFormat="false" ht="15" hidden="false" customHeight="false" outlineLevel="0" collapsed="false">
      <c r="A1732" s="0" t="s">
        <v>423</v>
      </c>
      <c r="B1732" s="0" t="s">
        <v>256</v>
      </c>
      <c r="C1732" s="20" t="n">
        <f aca="false">a25_eps</f>
        <v>33.49</v>
      </c>
      <c r="D1732" s="20" t="n">
        <f aca="false">a26_eps</f>
        <v>68.6959552317267</v>
      </c>
      <c r="E1732" s="20" t="n">
        <f aca="false">E1730/E1731*1000</f>
        <v>113.130245098839</v>
      </c>
      <c r="F1732" s="20" t="n">
        <f aca="false">F1730/F1731*1000</f>
        <v>150.206270363454</v>
      </c>
      <c r="G1732" s="20" t="n">
        <f aca="false">G1730/G1731*1000</f>
        <v>185.473817419531</v>
      </c>
      <c r="H1732" s="28" t="n">
        <f aca="false">H1730/H1731*1000</f>
        <v>208.868795676454</v>
      </c>
      <c r="I1732" s="28" t="n">
        <f aca="false">I1730/I1731*1000</f>
        <v>226.175762925864</v>
      </c>
      <c r="J1732" s="28" t="n">
        <f aca="false">J1730/J1731*1000</f>
        <v>235.132541766185</v>
      </c>
    </row>
    <row r="1733" customFormat="false" ht="17.15" hidden="false" customHeight="false" outlineLevel="0" collapsed="false">
      <c r="A1733" s="0" t="s">
        <v>514</v>
      </c>
      <c r="B1733" s="0" t="s">
        <v>90</v>
      </c>
      <c r="D1733" s="22" t="n">
        <f aca="false">D1732/C1732-1</f>
        <v>1.05123783910799</v>
      </c>
      <c r="E1733" s="22" t="n">
        <f aca="false">E1732/D1732-1</f>
        <v>0.646825416681748</v>
      </c>
      <c r="F1733" s="22" t="n">
        <f aca="false">F1732/E1732-1</f>
        <v>0.327728674433815</v>
      </c>
      <c r="G1733" s="22" t="n">
        <f aca="false">G1732/F1732-1</f>
        <v>0.234794106602472</v>
      </c>
      <c r="H1733" s="26" t="n">
        <f aca="false">H1732/G1732-1</f>
        <v>0.12613628479973</v>
      </c>
      <c r="I1733" s="26" t="n">
        <f aca="false">I1732/H1732-1</f>
        <v>0.082860473214099</v>
      </c>
      <c r="J1733" s="26" t="n">
        <f aca="false">J1732/I1732-1</f>
        <v>0.0396009666307939</v>
      </c>
    </row>
    <row r="1734" customFormat="false" ht="17.15" hidden="false" customHeight="false" outlineLevel="0" collapsed="false">
      <c r="A1734" s="4" t="s">
        <v>515</v>
      </c>
      <c r="B1734" s="0" t="s">
        <v>90</v>
      </c>
      <c r="C1734" s="14" t="n">
        <f aca="false">C1730/C1720</f>
        <v>0.237721462211258</v>
      </c>
      <c r="D1734" s="14" t="n">
        <f aca="false">D1730/D1720</f>
        <v>0.314376072488123</v>
      </c>
      <c r="E1734" s="14" t="n">
        <f aca="false">E1730/E1720</f>
        <v>0.348633059236114</v>
      </c>
      <c r="F1734" s="14" t="n">
        <f aca="false">F1730/F1720</f>
        <v>0.3754271936905</v>
      </c>
      <c r="G1734" s="14" t="n">
        <f aca="false">G1730/G1720</f>
        <v>0.389199846975233</v>
      </c>
      <c r="H1734" s="27" t="n">
        <f aca="false">$G1734+(fade_mA-$G1734)*1/3</f>
        <v>0.381987533558603</v>
      </c>
      <c r="I1734" s="27" t="n">
        <f aca="false">$G1734+(fade_mA-$G1734)*2/3</f>
        <v>0.374775220141973</v>
      </c>
      <c r="J1734" s="27" t="n">
        <f aca="false">$G1734+(fade_mA-$G1734)*3/3</f>
        <v>0.367562906725343</v>
      </c>
    </row>
    <row r="1737" customFormat="false" ht="17.15" hidden="false" customHeight="false" outlineLevel="0" collapsed="false">
      <c r="A1737" s="1" t="s">
        <v>854</v>
      </c>
    </row>
    <row r="1738" customFormat="false" ht="17.15" hidden="false" customHeight="false" outlineLevel="0" collapsed="false">
      <c r="A1738" s="5" t="s">
        <v>21</v>
      </c>
      <c r="B1738" s="5" t="s">
        <v>22</v>
      </c>
      <c r="C1738" s="15" t="s">
        <v>387</v>
      </c>
      <c r="D1738" s="15" t="s">
        <v>468</v>
      </c>
      <c r="E1738" s="15" t="s">
        <v>469</v>
      </c>
      <c r="F1738" s="15" t="s">
        <v>470</v>
      </c>
      <c r="G1738" s="15" t="s">
        <v>471</v>
      </c>
      <c r="H1738" s="15" t="s">
        <v>472</v>
      </c>
      <c r="I1738" s="15" t="s">
        <v>473</v>
      </c>
      <c r="J1738" s="15" t="s">
        <v>474</v>
      </c>
      <c r="K1738" s="5" t="s">
        <v>336</v>
      </c>
    </row>
    <row r="1739" customFormat="false" ht="17.15" hidden="false" customHeight="false" outlineLevel="0" collapsed="false">
      <c r="A1739" s="6" t="s">
        <v>492</v>
      </c>
    </row>
    <row r="1740" customFormat="false" ht="17.15" hidden="false" customHeight="false" outlineLevel="0" collapsed="false">
      <c r="A1740" s="0" t="s">
        <v>493</v>
      </c>
      <c r="B1740" s="4" t="s">
        <v>32</v>
      </c>
      <c r="D1740" s="20" t="n">
        <f aca="false">units_26</f>
        <v>15.2</v>
      </c>
      <c r="E1740" s="20" t="n">
        <f aca="false">units_27*1</f>
        <v>23.7</v>
      </c>
      <c r="F1740" s="20" t="n">
        <f aca="false">units_28*um28_B*1</f>
        <v>21.2</v>
      </c>
      <c r="G1740" s="20" t="n">
        <f aca="false">units_29*um29_B*1</f>
        <v>25.6275</v>
      </c>
    </row>
    <row r="1741" customFormat="false" ht="17.15" hidden="false" customHeight="false" outlineLevel="0" collapsed="false">
      <c r="A1741" s="4" t="s">
        <v>494</v>
      </c>
      <c r="B1741" s="0" t="s">
        <v>45</v>
      </c>
      <c r="D1741" s="18" t="n">
        <f aca="false">ex_nv*nvtt_26+astt_26</f>
        <v>0.607994</v>
      </c>
      <c r="E1741" s="18" t="n">
        <f aca="false">ex_nv*nvtt_27+astt_27</f>
        <v>0.6560764</v>
      </c>
      <c r="F1741" s="18" t="n">
        <f aca="false">ex_nv*nvtt_28+astt_28</f>
        <v>0.6898114</v>
      </c>
      <c r="G1741" s="18" t="n">
        <f aca="false">ex_nv*nvtt_29+astt_29</f>
        <v>0.692935</v>
      </c>
      <c r="K1741" s="8" t="s">
        <v>495</v>
      </c>
    </row>
    <row r="1742" customFormat="false" ht="17.15" hidden="false" customHeight="false" outlineLevel="0" collapsed="false">
      <c r="A1742" s="4" t="s">
        <v>447</v>
      </c>
      <c r="B1742" s="0" t="s">
        <v>45</v>
      </c>
      <c r="D1742" s="18" t="n">
        <f aca="false">D1740*D1741/($D1740*$D1741)</f>
        <v>1</v>
      </c>
      <c r="E1742" s="18" t="n">
        <f aca="false">E1740*E1741/($D1740*$D1741)</f>
        <v>1.68251862509724</v>
      </c>
      <c r="F1742" s="18" t="n">
        <f aca="false">F1740*F1741/($D1740*$D1741)</f>
        <v>1.58242577012966</v>
      </c>
      <c r="G1742" s="18" t="n">
        <f aca="false">G1740*G1741/($D1740*$D1741)</f>
        <v>1.92156844697264</v>
      </c>
    </row>
    <row r="1743" customFormat="false" ht="17.15" hidden="false" customHeight="false" outlineLevel="0" collapsed="false">
      <c r="A1743" s="4" t="s">
        <v>496</v>
      </c>
      <c r="B1743" s="0" t="s">
        <v>45</v>
      </c>
      <c r="D1743" s="20" t="n">
        <f aca="false">1</f>
        <v>1</v>
      </c>
      <c r="E1743" s="20" t="n">
        <f aca="false">rel27_B</f>
        <v>1</v>
      </c>
      <c r="F1743" s="20" t="n">
        <f aca="false">rel28_B</f>
        <v>1</v>
      </c>
      <c r="G1743" s="20" t="n">
        <f aca="false">rel29_B</f>
        <v>1</v>
      </c>
    </row>
    <row r="1744" customFormat="false" ht="17.15" hidden="false" customHeight="false" outlineLevel="0" collapsed="false">
      <c r="A1744" s="4" t="s">
        <v>497</v>
      </c>
      <c r="B1744" s="0" t="s">
        <v>45</v>
      </c>
      <c r="D1744" s="18" t="n">
        <f aca="false">1</f>
        <v>1</v>
      </c>
      <c r="E1744" s="18" t="n">
        <f aca="false">(1+g_ct)^1</f>
        <v>1.05</v>
      </c>
      <c r="F1744" s="18" t="n">
        <f aca="false">(1+g_ct)^2</f>
        <v>1.1025</v>
      </c>
      <c r="G1744" s="18" t="n">
        <f aca="false">(1+g_ct)^3</f>
        <v>1.157625</v>
      </c>
    </row>
    <row r="1745" customFormat="false" ht="17.15" hidden="false" customHeight="false" outlineLevel="0" collapsed="false">
      <c r="A1745" s="6" t="s">
        <v>498</v>
      </c>
    </row>
    <row r="1746" customFormat="false" ht="17.15" hidden="false" customHeight="false" outlineLevel="0" collapsed="false">
      <c r="A1746" s="0" t="s">
        <v>401</v>
      </c>
      <c r="B1746" s="0" t="s">
        <v>189</v>
      </c>
      <c r="C1746" s="17" t="n">
        <f aca="false">a25_ai</f>
        <v>5.4297243</v>
      </c>
      <c r="D1746" s="17" t="n">
        <f aca="false">a26_ai</f>
        <v>9.5342409</v>
      </c>
      <c r="E1746" s="17" t="n">
        <f aca="false">$D1746*E1742*E1743*E1744</f>
        <v>16.8436147849345</v>
      </c>
      <c r="F1746" s="17" t="n">
        <f aca="false">$D1746*F1742*F1743*F1744</f>
        <v>16.6336694199096</v>
      </c>
      <c r="G1746" s="17" t="n">
        <f aca="false">$D1746*G1742*G1743*G1744</f>
        <v>21.2084962618219</v>
      </c>
      <c r="K1746" s="8" t="s">
        <v>499</v>
      </c>
    </row>
    <row r="1747" customFormat="false" ht="17.15" hidden="false" customHeight="false" outlineLevel="0" collapsed="false">
      <c r="A1747" s="4" t="s">
        <v>404</v>
      </c>
      <c r="B1747" s="0" t="s">
        <v>189</v>
      </c>
      <c r="C1747" s="17" t="n">
        <f aca="false">a25_npc</f>
        <v>4.4425017</v>
      </c>
      <c r="D1747" s="17" t="n">
        <f aca="false">a26_npc</f>
        <v>6.3561606</v>
      </c>
      <c r="E1747" s="17" t="n">
        <f aca="false">D1747*(1+g_nonai+d_npc)</f>
        <v>6.801091842</v>
      </c>
      <c r="F1747" s="17" t="n">
        <f aca="false">E1747*(1+g_nonai+d_npc)</f>
        <v>7.27716827094</v>
      </c>
      <c r="G1747" s="17" t="n">
        <f aca="false">F1747*(1+g_nonai+d_npc)</f>
        <v>7.7865700499058</v>
      </c>
      <c r="K1747" s="4" t="s">
        <v>500</v>
      </c>
    </row>
    <row r="1748" customFormat="false" ht="15" hidden="false" customHeight="false" outlineLevel="0" collapsed="false">
      <c r="A1748" s="4" t="s">
        <v>398</v>
      </c>
      <c r="B1748" s="0" t="s">
        <v>189</v>
      </c>
      <c r="C1748" s="17" t="n">
        <f aca="false">C1746+C1747</f>
        <v>9.872226</v>
      </c>
      <c r="D1748" s="17" t="n">
        <f aca="false">D1746+D1747</f>
        <v>15.8904015</v>
      </c>
      <c r="E1748" s="17" t="n">
        <f aca="false">E1746+E1747</f>
        <v>23.6447066269345</v>
      </c>
      <c r="F1748" s="17" t="n">
        <f aca="false">F1746+F1747</f>
        <v>23.9108376908495</v>
      </c>
      <c r="G1748" s="17" t="n">
        <f aca="false">G1746+G1747</f>
        <v>28.9950663117277</v>
      </c>
    </row>
    <row r="1749" customFormat="false" ht="17.15" hidden="false" customHeight="false" outlineLevel="0" collapsed="false">
      <c r="A1749" s="0" t="s">
        <v>501</v>
      </c>
      <c r="B1749" s="0" t="s">
        <v>189</v>
      </c>
      <c r="D1749" s="17" t="n">
        <f aca="false">k_cpo*cpo_A_26/cpo_A_27</f>
        <v>0.24</v>
      </c>
      <c r="E1749" s="17" t="n">
        <f aca="false">k_cpo*cpo_B_27/cpo_A_27</f>
        <v>0.72</v>
      </c>
      <c r="F1749" s="17" t="n">
        <f aca="false">k_cpo*cpo_B_28/cpo_A_27</f>
        <v>1.2</v>
      </c>
      <c r="G1749" s="17" t="n">
        <f aca="false">k_cpo*cpo_B_29/cpo_A_27</f>
        <v>1.92</v>
      </c>
      <c r="K1749" s="8" t="s">
        <v>502</v>
      </c>
    </row>
    <row r="1750" customFormat="false" ht="17.15" hidden="false" customHeight="false" outlineLevel="0" collapsed="false">
      <c r="A1750" s="4" t="s">
        <v>503</v>
      </c>
      <c r="B1750" s="0" t="s">
        <v>189</v>
      </c>
      <c r="C1750" s="17" t="n">
        <f aca="false">a25_eq</f>
        <v>3.290742</v>
      </c>
      <c r="D1750" s="17" t="n">
        <f aca="false">a26_eq-D1749</f>
        <v>4.8539955</v>
      </c>
      <c r="E1750" s="17" t="n">
        <f aca="false">D1750*semi_27</f>
        <v>5.659593717153</v>
      </c>
      <c r="F1750" s="17" t="n">
        <f aca="false">$E1750*eqk28_B</f>
        <v>5.659593717153</v>
      </c>
      <c r="G1750" s="17" t="n">
        <f aca="false">$E1750*eqk29_B</f>
        <v>5.37661403129535</v>
      </c>
      <c r="K1750" s="8" t="s">
        <v>504</v>
      </c>
    </row>
    <row r="1751" customFormat="false" ht="15" hidden="false" customHeight="false" outlineLevel="0" collapsed="false">
      <c r="A1751" s="4" t="s">
        <v>405</v>
      </c>
      <c r="B1751" s="0" t="s">
        <v>189</v>
      </c>
      <c r="C1751" s="17" t="n">
        <f aca="false">a25_eq</f>
        <v>3.290742</v>
      </c>
      <c r="D1751" s="17" t="n">
        <f aca="false">D1749+D1750</f>
        <v>5.0939955</v>
      </c>
      <c r="E1751" s="17" t="n">
        <f aca="false">E1749+E1750</f>
        <v>6.379593717153</v>
      </c>
      <c r="F1751" s="17" t="n">
        <f aca="false">F1749+F1750</f>
        <v>6.859593717153</v>
      </c>
      <c r="G1751" s="17" t="n">
        <f aca="false">G1749+G1750</f>
        <v>7.29661403129535</v>
      </c>
    </row>
    <row r="1752" customFormat="false" ht="15" hidden="false" customHeight="false" outlineLevel="0" collapsed="false">
      <c r="A1752" s="4" t="s">
        <v>407</v>
      </c>
      <c r="B1752" s="0" t="s">
        <v>189</v>
      </c>
      <c r="C1752" s="17" t="n">
        <f aca="false">a25_oth</f>
        <v>0.214032000000001</v>
      </c>
      <c r="D1752" s="17" t="n">
        <f aca="false">a26_oth</f>
        <v>0.428253</v>
      </c>
      <c r="E1752" s="17" t="n">
        <f aca="false">D1752*(1+g_oth)</f>
        <v>0.44966565</v>
      </c>
      <c r="F1752" s="17" t="n">
        <f aca="false">E1752*(1+g_oth)</f>
        <v>0.4721489325</v>
      </c>
      <c r="G1752" s="17" t="n">
        <f aca="false">F1752*(1+g_oth)</f>
        <v>0.495756379125</v>
      </c>
    </row>
    <row r="1753" customFormat="false" ht="17.15" hidden="false" customHeight="false" outlineLevel="0" collapsed="false">
      <c r="A1753" s="4" t="s">
        <v>394</v>
      </c>
      <c r="B1753" s="0" t="s">
        <v>189</v>
      </c>
      <c r="C1753" s="17" t="n">
        <f aca="false">C1748+C1751+C1752</f>
        <v>13.377</v>
      </c>
      <c r="D1753" s="17" t="n">
        <f aca="false">D1748+D1751+D1752</f>
        <v>21.41265</v>
      </c>
      <c r="E1753" s="17" t="n">
        <f aca="false">E1748+E1751+E1752</f>
        <v>30.4739659940875</v>
      </c>
      <c r="F1753" s="17" t="n">
        <f aca="false">F1748+F1751+F1752</f>
        <v>31.2425803405026</v>
      </c>
      <c r="G1753" s="17" t="n">
        <f aca="false">G1748+G1751+G1752</f>
        <v>36.7874367221481</v>
      </c>
      <c r="H1753" s="30" t="n">
        <f aca="false">G1753*(1+H1754)</f>
        <v>41.6305651224657</v>
      </c>
      <c r="I1753" s="30" t="n">
        <f aca="false">H1753*(1+I1754)</f>
        <v>45.2035436566513</v>
      </c>
      <c r="J1753" s="30" t="n">
        <f aca="false">I1753*(1+J1754)</f>
        <v>47.0116854029173</v>
      </c>
      <c r="K1753" s="8" t="s">
        <v>505</v>
      </c>
    </row>
    <row r="1754" customFormat="false" ht="15" hidden="false" customHeight="false" outlineLevel="0" collapsed="false">
      <c r="A1754" s="4" t="s">
        <v>506</v>
      </c>
      <c r="B1754" s="0" t="s">
        <v>90</v>
      </c>
      <c r="D1754" s="22" t="n">
        <f aca="false">D1753/C1753-1</f>
        <v>0.600706436420722</v>
      </c>
      <c r="E1754" s="22" t="n">
        <f aca="false">E1753/D1753-1</f>
        <v>0.423175832701115</v>
      </c>
      <c r="F1754" s="22" t="n">
        <f aca="false">F1753/E1753-1</f>
        <v>0.0252219992161231</v>
      </c>
      <c r="G1754" s="22" t="n">
        <f aca="false">G1753/F1753-1</f>
        <v>0.177477542546549</v>
      </c>
      <c r="H1754" s="26" t="n">
        <f aca="false">$G1754+(fade_gB-$G1754)*1/3</f>
        <v>0.131651695031033</v>
      </c>
      <c r="I1754" s="26" t="n">
        <f aca="false">$G1754+(fade_gB-$G1754)*2/3</f>
        <v>0.0858258475155164</v>
      </c>
      <c r="J1754" s="26" t="n">
        <f aca="false">$G1754+(fade_gB-$G1754)*3/3</f>
        <v>0.04</v>
      </c>
    </row>
    <row r="1755" customFormat="false" ht="17.15" hidden="false" customHeight="false" outlineLevel="0" collapsed="false">
      <c r="A1755" s="0" t="s">
        <v>507</v>
      </c>
      <c r="B1755" s="0" t="s">
        <v>90</v>
      </c>
      <c r="C1755" s="22" t="n">
        <f aca="false">C1746/C1753</f>
        <v>0.4059</v>
      </c>
      <c r="D1755" s="22" t="n">
        <f aca="false">D1746/D1753</f>
        <v>0.445262071719287</v>
      </c>
      <c r="E1755" s="22" t="n">
        <f aca="false">E1746/E1753</f>
        <v>0.552721453722252</v>
      </c>
      <c r="F1755" s="22" t="n">
        <f aca="false">F1746/F1753</f>
        <v>0.532403829601291</v>
      </c>
      <c r="G1755" s="22" t="n">
        <f aca="false">G1746/G1753</f>
        <v>0.576514651510178</v>
      </c>
    </row>
    <row r="1756" customFormat="false" ht="17.15" hidden="false" customHeight="false" outlineLevel="0" collapsed="false">
      <c r="A1756" s="4" t="s">
        <v>508</v>
      </c>
      <c r="B1756" s="0" t="s">
        <v>90</v>
      </c>
      <c r="C1756" s="22" t="n">
        <f aca="false">C1748/C1753</f>
        <v>0.738</v>
      </c>
      <c r="D1756" s="22" t="n">
        <f aca="false">D1748/D1753</f>
        <v>0.742103452865479</v>
      </c>
      <c r="E1756" s="22" t="n">
        <f aca="false">E1748/E1753</f>
        <v>0.775898569668353</v>
      </c>
      <c r="F1756" s="22" t="n">
        <f aca="false">F1748/F1753</f>
        <v>0.765328517371268</v>
      </c>
      <c r="G1756" s="22" t="n">
        <f aca="false">G1748/G1753</f>
        <v>0.788178489594821</v>
      </c>
    </row>
    <row r="1757" customFormat="false" ht="17.15" hidden="false" customHeight="false" outlineLevel="0" collapsed="false">
      <c r="A1757" s="6" t="s">
        <v>509</v>
      </c>
    </row>
    <row r="1758" customFormat="false" ht="15" hidden="false" customHeight="false" outlineLevel="0" collapsed="false">
      <c r="A1758" s="4" t="s">
        <v>412</v>
      </c>
      <c r="B1758" s="0" t="s">
        <v>90</v>
      </c>
      <c r="C1758" s="14" t="n">
        <f aca="false">a25_gp/a25_rev</f>
        <v>0.574</v>
      </c>
      <c r="D1758" s="14" t="n">
        <f aca="false">a26_gp/a26_rev</f>
        <v>0.593344593032623</v>
      </c>
      <c r="E1758" s="14" t="n">
        <f aca="false">gm27_B+gm_adj</f>
        <v>0.595</v>
      </c>
      <c r="F1758" s="14" t="n">
        <f aca="false">gmL_B+gm_adj</f>
        <v>0.595</v>
      </c>
      <c r="G1758" s="14" t="n">
        <f aca="false">gmL_B+gm_adj</f>
        <v>0.595</v>
      </c>
    </row>
    <row r="1759" customFormat="false" ht="15" hidden="false" customHeight="false" outlineLevel="0" collapsed="false">
      <c r="A1759" s="4" t="s">
        <v>409</v>
      </c>
      <c r="B1759" s="0" t="s">
        <v>189</v>
      </c>
      <c r="C1759" s="17" t="n">
        <f aca="false">C1753*C1758</f>
        <v>7.678398</v>
      </c>
      <c r="D1759" s="17" t="n">
        <f aca="false">D1753*D1758</f>
        <v>12.7050801</v>
      </c>
      <c r="E1759" s="17" t="n">
        <f aca="false">E1753*E1758</f>
        <v>18.1320097664821</v>
      </c>
      <c r="F1759" s="17" t="n">
        <f aca="false">F1753*F1758</f>
        <v>18.589335302599</v>
      </c>
      <c r="G1759" s="17" t="n">
        <f aca="false">G1753*G1758</f>
        <v>21.8885248496781</v>
      </c>
    </row>
    <row r="1760" customFormat="false" ht="17.15" hidden="false" customHeight="false" outlineLevel="0" collapsed="false">
      <c r="A1760" s="4" t="s">
        <v>510</v>
      </c>
      <c r="B1760" s="0" t="s">
        <v>189</v>
      </c>
      <c r="D1760" s="17" t="n">
        <f aca="false">a26_opx</f>
        <v>5.05564928556</v>
      </c>
      <c r="E1760" s="17" t="n">
        <f aca="false">D1760*(1+phi_lo*E1754)</f>
        <v>5.91142072406466</v>
      </c>
      <c r="F1760" s="17" t="n">
        <f aca="false">E1760*(1+phi_lo*F1754)</f>
        <v>5.97105986361207</v>
      </c>
      <c r="G1760" s="17" t="n">
        <f aca="false">F1760*(1+phi_lo*G1754)</f>
        <v>6.39495147600895</v>
      </c>
      <c r="K1760" s="8" t="s">
        <v>511</v>
      </c>
    </row>
    <row r="1761" customFormat="false" ht="15" hidden="false" customHeight="false" outlineLevel="0" collapsed="false">
      <c r="A1761" s="4" t="s">
        <v>415</v>
      </c>
      <c r="B1761" s="0" t="s">
        <v>189</v>
      </c>
      <c r="D1761" s="17" t="n">
        <f aca="false">D1759-D1760</f>
        <v>7.64943081444</v>
      </c>
      <c r="E1761" s="17" t="n">
        <f aca="false">E1759-E1760</f>
        <v>12.2205890424174</v>
      </c>
      <c r="F1761" s="17" t="n">
        <f aca="false">F1759-F1760</f>
        <v>12.6182754389869</v>
      </c>
      <c r="G1761" s="17" t="n">
        <f aca="false">G1759-G1760</f>
        <v>15.4935733736692</v>
      </c>
    </row>
    <row r="1762" customFormat="false" ht="15" hidden="false" customHeight="false" outlineLevel="0" collapsed="false">
      <c r="A1762" s="4" t="s">
        <v>482</v>
      </c>
      <c r="B1762" s="0" t="s">
        <v>90</v>
      </c>
      <c r="D1762" s="14" t="n">
        <f aca="false">D1761/D1753</f>
        <v>0.357238866484999</v>
      </c>
      <c r="E1762" s="14" t="n">
        <f aca="false">E1761/E1753</f>
        <v>0.401017348539026</v>
      </c>
      <c r="F1762" s="14" t="n">
        <f aca="false">F1761/F1753</f>
        <v>0.403880707081955</v>
      </c>
      <c r="G1762" s="14" t="n">
        <f aca="false">G1761/G1753</f>
        <v>0.421164798479726</v>
      </c>
    </row>
    <row r="1763" customFormat="false" ht="15" hidden="false" customHeight="false" outlineLevel="0" collapsed="false">
      <c r="A1763" s="4" t="s">
        <v>418</v>
      </c>
      <c r="B1763" s="0" t="s">
        <v>189</v>
      </c>
      <c r="C1763" s="17" t="n">
        <f aca="false">a25_ni</f>
        <v>3.18</v>
      </c>
      <c r="D1763" s="17" t="n">
        <f aca="false">a26_ni</f>
        <v>6.7316248085628</v>
      </c>
      <c r="E1763" s="17" t="n">
        <f aca="false">E1761*ni_oi</f>
        <v>10.3875006860548</v>
      </c>
      <c r="F1763" s="17" t="n">
        <f aca="false">F1761*ni_oi</f>
        <v>10.7255341231389</v>
      </c>
      <c r="G1763" s="17" t="n">
        <f aca="false">G1761*ni_oi</f>
        <v>13.1695373676188</v>
      </c>
      <c r="H1763" s="30" t="n">
        <f aca="false">H1753*H1767</f>
        <v>14.1971772765413</v>
      </c>
      <c r="I1763" s="30" t="n">
        <f aca="false">I1753*I1767</f>
        <v>14.6489039457424</v>
      </c>
      <c r="J1763" s="30" t="n">
        <f aca="false">J1753*J1767</f>
        <v>14.4374316765707</v>
      </c>
    </row>
    <row r="1764" customFormat="false" ht="15" hidden="false" customHeight="false" outlineLevel="0" collapsed="false">
      <c r="A1764" s="4" t="s">
        <v>512</v>
      </c>
      <c r="B1764" s="4" t="s">
        <v>513</v>
      </c>
      <c r="C1764" s="19" t="n">
        <f aca="false">a25_sh</f>
        <v>94.9537175276202</v>
      </c>
      <c r="D1764" s="19" t="n">
        <f aca="false">a26_sh</f>
        <v>97.9860681630967</v>
      </c>
      <c r="E1764" s="19" t="n">
        <f aca="false">D1764*(1+sh_g)</f>
        <v>97.9860681630967</v>
      </c>
      <c r="F1764" s="19" t="n">
        <f aca="false">E1764*(1+sh_g)</f>
        <v>97.9860681630967</v>
      </c>
      <c r="G1764" s="19" t="n">
        <f aca="false">F1764*(1+sh_g)</f>
        <v>97.9860681630967</v>
      </c>
      <c r="H1764" s="25" t="n">
        <f aca="false">G1764*(1+sh_g)</f>
        <v>97.9860681630967</v>
      </c>
      <c r="I1764" s="25" t="n">
        <f aca="false">H1764*(1+sh_g)</f>
        <v>97.9860681630967</v>
      </c>
      <c r="J1764" s="25" t="n">
        <f aca="false">I1764*(1+sh_g)</f>
        <v>97.9860681630967</v>
      </c>
    </row>
    <row r="1765" customFormat="false" ht="15" hidden="false" customHeight="false" outlineLevel="0" collapsed="false">
      <c r="A1765" s="0" t="s">
        <v>423</v>
      </c>
      <c r="B1765" s="0" t="s">
        <v>256</v>
      </c>
      <c r="C1765" s="20" t="n">
        <f aca="false">a25_eps</f>
        <v>33.49</v>
      </c>
      <c r="D1765" s="20" t="n">
        <f aca="false">a26_eps</f>
        <v>68.6959552317267</v>
      </c>
      <c r="E1765" s="20" t="n">
        <f aca="false">E1763/E1764*1000</f>
        <v>106.009975507589</v>
      </c>
      <c r="F1765" s="20" t="n">
        <f aca="false">F1763/F1764*1000</f>
        <v>109.459786724847</v>
      </c>
      <c r="G1765" s="20" t="n">
        <f aca="false">G1763/G1764*1000</f>
        <v>134.402141187033</v>
      </c>
      <c r="H1765" s="28" t="n">
        <f aca="false">H1763/H1764*1000</f>
        <v>144.889753642429</v>
      </c>
      <c r="I1765" s="28" t="n">
        <f aca="false">I1763/I1764*1000</f>
        <v>149.499864831391</v>
      </c>
      <c r="J1765" s="28" t="n">
        <f aca="false">J1763/J1764*1000</f>
        <v>147.341677722385</v>
      </c>
    </row>
    <row r="1766" customFormat="false" ht="17.15" hidden="false" customHeight="false" outlineLevel="0" collapsed="false">
      <c r="A1766" s="0" t="s">
        <v>514</v>
      </c>
      <c r="B1766" s="0" t="s">
        <v>90</v>
      </c>
      <c r="D1766" s="22" t="n">
        <f aca="false">D1765/C1765-1</f>
        <v>1.05123783910799</v>
      </c>
      <c r="E1766" s="22" t="n">
        <f aca="false">E1765/D1765-1</f>
        <v>0.543176379890105</v>
      </c>
      <c r="F1766" s="22" t="n">
        <f aca="false">F1765/E1765-1</f>
        <v>0.0325423263305205</v>
      </c>
      <c r="G1766" s="22" t="n">
        <f aca="false">G1765/F1765-1</f>
        <v>0.227867742195446</v>
      </c>
      <c r="H1766" s="26" t="n">
        <f aca="false">H1765/G1765-1</f>
        <v>0.0780315876128868</v>
      </c>
      <c r="I1766" s="26" t="n">
        <f aca="false">I1765/H1765-1</f>
        <v>0.0318180621684248</v>
      </c>
      <c r="J1766" s="26" t="n">
        <f aca="false">J1765/I1765-1</f>
        <v>-0.0144360472261312</v>
      </c>
    </row>
    <row r="1767" customFormat="false" ht="17.15" hidden="false" customHeight="false" outlineLevel="0" collapsed="false">
      <c r="A1767" s="4" t="s">
        <v>515</v>
      </c>
      <c r="B1767" s="0" t="s">
        <v>90</v>
      </c>
      <c r="C1767" s="14" t="n">
        <f aca="false">C1763/C1753</f>
        <v>0.237721462211258</v>
      </c>
      <c r="D1767" s="14" t="n">
        <f aca="false">D1763/D1753</f>
        <v>0.314376072488123</v>
      </c>
      <c r="E1767" s="14" t="n">
        <f aca="false">E1763/E1753</f>
        <v>0.340864746258172</v>
      </c>
      <c r="F1767" s="14" t="n">
        <f aca="false">F1763/F1753</f>
        <v>0.343298601019661</v>
      </c>
      <c r="G1767" s="14" t="n">
        <f aca="false">G1763/G1753</f>
        <v>0.357990078707767</v>
      </c>
      <c r="H1767" s="27" t="n">
        <f aca="false">$G1767+(fade_mB-$G1767)*1/3</f>
        <v>0.341027733704241</v>
      </c>
      <c r="I1767" s="27" t="n">
        <f aca="false">$G1767+(fade_mB-$G1767)*2/3</f>
        <v>0.324065388700715</v>
      </c>
      <c r="J1767" s="27" t="n">
        <f aca="false">$G1767+(fade_mB-$G1767)*3/3</f>
        <v>0.30710304369719</v>
      </c>
    </row>
    <row r="1770" customFormat="false" ht="17.15" hidden="false" customHeight="false" outlineLevel="0" collapsed="false">
      <c r="A1770" s="1" t="s">
        <v>855</v>
      </c>
    </row>
    <row r="1771" customFormat="false" ht="17.15" hidden="false" customHeight="false" outlineLevel="0" collapsed="false">
      <c r="A1771" s="5" t="s">
        <v>21</v>
      </c>
      <c r="B1771" s="5" t="s">
        <v>22</v>
      </c>
      <c r="C1771" s="15" t="s">
        <v>387</v>
      </c>
      <c r="D1771" s="15" t="s">
        <v>468</v>
      </c>
      <c r="E1771" s="15" t="s">
        <v>469</v>
      </c>
      <c r="F1771" s="15" t="s">
        <v>470</v>
      </c>
      <c r="G1771" s="15" t="s">
        <v>471</v>
      </c>
      <c r="H1771" s="15" t="s">
        <v>472</v>
      </c>
      <c r="I1771" s="15" t="s">
        <v>473</v>
      </c>
      <c r="J1771" s="15" t="s">
        <v>474</v>
      </c>
      <c r="K1771" s="5" t="s">
        <v>336</v>
      </c>
    </row>
    <row r="1772" customFormat="false" ht="17.15" hidden="false" customHeight="false" outlineLevel="0" collapsed="false">
      <c r="A1772" s="6" t="s">
        <v>492</v>
      </c>
    </row>
    <row r="1773" customFormat="false" ht="17.15" hidden="false" customHeight="false" outlineLevel="0" collapsed="false">
      <c r="A1773" s="0" t="s">
        <v>493</v>
      </c>
      <c r="B1773" s="4" t="s">
        <v>32</v>
      </c>
      <c r="D1773" s="20" t="n">
        <f aca="false">units_26</f>
        <v>15.2</v>
      </c>
      <c r="E1773" s="20" t="n">
        <f aca="false">units_27*1</f>
        <v>23.7</v>
      </c>
      <c r="F1773" s="20" t="n">
        <f aca="false">units_28*um28_C*1</f>
        <v>15.9</v>
      </c>
      <c r="G1773" s="20" t="n">
        <f aca="false">units_29*um29_C*1</f>
        <v>18.09</v>
      </c>
    </row>
    <row r="1774" customFormat="false" ht="17.15" hidden="false" customHeight="false" outlineLevel="0" collapsed="false">
      <c r="A1774" s="4" t="s">
        <v>494</v>
      </c>
      <c r="B1774" s="0" t="s">
        <v>45</v>
      </c>
      <c r="D1774" s="18" t="n">
        <f aca="false">ex_nv*nvtt_26+astt_26</f>
        <v>0.607994</v>
      </c>
      <c r="E1774" s="18" t="n">
        <f aca="false">ex_nv*nvtt_27+astt_27</f>
        <v>0.6560764</v>
      </c>
      <c r="F1774" s="18" t="n">
        <f aca="false">ex_nv*nvtt_28+astt_28</f>
        <v>0.6898114</v>
      </c>
      <c r="G1774" s="18" t="n">
        <f aca="false">ex_nv*nvtt_29+astt_29</f>
        <v>0.692935</v>
      </c>
      <c r="K1774" s="8" t="s">
        <v>495</v>
      </c>
    </row>
    <row r="1775" customFormat="false" ht="17.15" hidden="false" customHeight="false" outlineLevel="0" collapsed="false">
      <c r="A1775" s="4" t="s">
        <v>447</v>
      </c>
      <c r="B1775" s="0" t="s">
        <v>45</v>
      </c>
      <c r="D1775" s="18" t="n">
        <f aca="false">D1773*D1774/($D1773*$D1774)</f>
        <v>1</v>
      </c>
      <c r="E1775" s="18" t="n">
        <f aca="false">E1773*E1774/($D1773*$D1774)</f>
        <v>1.68251862509724</v>
      </c>
      <c r="F1775" s="18" t="n">
        <f aca="false">F1773*F1774/($D1773*$D1774)</f>
        <v>1.18681932759724</v>
      </c>
      <c r="G1775" s="18" t="n">
        <f aca="false">G1773*G1774/($D1773*$D1774)</f>
        <v>1.35640125668657</v>
      </c>
    </row>
    <row r="1776" customFormat="false" ht="17.15" hidden="false" customHeight="false" outlineLevel="0" collapsed="false">
      <c r="A1776" s="4" t="s">
        <v>496</v>
      </c>
      <c r="B1776" s="0" t="s">
        <v>45</v>
      </c>
      <c r="D1776" s="20" t="n">
        <f aca="false">1</f>
        <v>1</v>
      </c>
      <c r="E1776" s="20" t="n">
        <f aca="false">rel27_C</f>
        <v>0.92</v>
      </c>
      <c r="F1776" s="20" t="n">
        <f aca="false">rel28_C</f>
        <v>0.88</v>
      </c>
      <c r="G1776" s="20" t="n">
        <f aca="false">rel29_C</f>
        <v>0.85</v>
      </c>
    </row>
    <row r="1777" customFormat="false" ht="17.15" hidden="false" customHeight="false" outlineLevel="0" collapsed="false">
      <c r="A1777" s="4" t="s">
        <v>497</v>
      </c>
      <c r="B1777" s="0" t="s">
        <v>45</v>
      </c>
      <c r="D1777" s="18" t="n">
        <f aca="false">1</f>
        <v>1</v>
      </c>
      <c r="E1777" s="18" t="n">
        <f aca="false">(1+g_ct)^1</f>
        <v>1.05</v>
      </c>
      <c r="F1777" s="18" t="n">
        <f aca="false">(1+g_ct)^2</f>
        <v>1.1025</v>
      </c>
      <c r="G1777" s="18" t="n">
        <f aca="false">(1+g_ct)^3</f>
        <v>1.157625</v>
      </c>
    </row>
    <row r="1778" customFormat="false" ht="17.15" hidden="false" customHeight="false" outlineLevel="0" collapsed="false">
      <c r="A1778" s="6" t="s">
        <v>498</v>
      </c>
    </row>
    <row r="1779" customFormat="false" ht="17.15" hidden="false" customHeight="false" outlineLevel="0" collapsed="false">
      <c r="A1779" s="0" t="s">
        <v>401</v>
      </c>
      <c r="B1779" s="0" t="s">
        <v>189</v>
      </c>
      <c r="C1779" s="17" t="n">
        <f aca="false">a25_ai</f>
        <v>5.4297243</v>
      </c>
      <c r="D1779" s="17" t="n">
        <f aca="false">a26_ai</f>
        <v>9.5342409</v>
      </c>
      <c r="E1779" s="17" t="n">
        <f aca="false">$D1779*E1775*E1776*E1777</f>
        <v>15.4961256021398</v>
      </c>
      <c r="F1779" s="17" t="n">
        <f aca="false">$D1779*F1775*F1776*F1777</f>
        <v>10.9782218171403</v>
      </c>
      <c r="G1779" s="17" t="n">
        <f aca="false">$D1779*G1775*G1776*G1777</f>
        <v>12.7250977570932</v>
      </c>
      <c r="K1779" s="8" t="s">
        <v>499</v>
      </c>
    </row>
    <row r="1780" customFormat="false" ht="17.15" hidden="false" customHeight="false" outlineLevel="0" collapsed="false">
      <c r="A1780" s="4" t="s">
        <v>404</v>
      </c>
      <c r="B1780" s="0" t="s">
        <v>189</v>
      </c>
      <c r="C1780" s="17" t="n">
        <f aca="false">a25_npc</f>
        <v>4.4425017</v>
      </c>
      <c r="D1780" s="17" t="n">
        <f aca="false">a26_npc</f>
        <v>6.3561606</v>
      </c>
      <c r="E1780" s="17" t="n">
        <f aca="false">D1780*(1+g_nonai+d_npc)</f>
        <v>6.801091842</v>
      </c>
      <c r="F1780" s="17" t="n">
        <f aca="false">E1780*(1+g_nonai+d_npc)</f>
        <v>7.27716827094</v>
      </c>
      <c r="G1780" s="17" t="n">
        <f aca="false">F1780*(1+g_nonai+d_npc)</f>
        <v>7.7865700499058</v>
      </c>
      <c r="K1780" s="4" t="s">
        <v>500</v>
      </c>
    </row>
    <row r="1781" customFormat="false" ht="15" hidden="false" customHeight="false" outlineLevel="0" collapsed="false">
      <c r="A1781" s="4" t="s">
        <v>398</v>
      </c>
      <c r="B1781" s="0" t="s">
        <v>189</v>
      </c>
      <c r="C1781" s="17" t="n">
        <f aca="false">C1779+C1780</f>
        <v>9.872226</v>
      </c>
      <c r="D1781" s="17" t="n">
        <f aca="false">D1779+D1780</f>
        <v>15.8904015</v>
      </c>
      <c r="E1781" s="17" t="n">
        <f aca="false">E1779+E1780</f>
        <v>22.2972174441398</v>
      </c>
      <c r="F1781" s="17" t="n">
        <f aca="false">F1779+F1780</f>
        <v>18.2553900880803</v>
      </c>
      <c r="G1781" s="17" t="n">
        <f aca="false">G1779+G1780</f>
        <v>20.511667806999</v>
      </c>
    </row>
    <row r="1782" customFormat="false" ht="17.15" hidden="false" customHeight="false" outlineLevel="0" collapsed="false">
      <c r="A1782" s="0" t="s">
        <v>501</v>
      </c>
      <c r="B1782" s="0" t="s">
        <v>189</v>
      </c>
      <c r="D1782" s="17" t="n">
        <f aca="false">k_cpo*cpo_A_26/cpo_A_27</f>
        <v>0.24</v>
      </c>
      <c r="E1782" s="17" t="n">
        <f aca="false">k_cpo*cpo_C_27/cpo_A_27</f>
        <v>0.48</v>
      </c>
      <c r="F1782" s="17" t="n">
        <f aca="false">k_cpo*cpo_C_28/cpo_A_27</f>
        <v>0.72</v>
      </c>
      <c r="G1782" s="17" t="n">
        <f aca="false">k_cpo*cpo_C_29/cpo_A_27</f>
        <v>1.2</v>
      </c>
      <c r="K1782" s="8" t="s">
        <v>502</v>
      </c>
    </row>
    <row r="1783" customFormat="false" ht="17.15" hidden="false" customHeight="false" outlineLevel="0" collapsed="false">
      <c r="A1783" s="4" t="s">
        <v>503</v>
      </c>
      <c r="B1783" s="0" t="s">
        <v>189</v>
      </c>
      <c r="C1783" s="17" t="n">
        <f aca="false">a25_eq</f>
        <v>3.290742</v>
      </c>
      <c r="D1783" s="17" t="n">
        <f aca="false">a26_eq-D1782</f>
        <v>4.8539955</v>
      </c>
      <c r="E1783" s="17" t="n">
        <f aca="false">D1783*semi_27</f>
        <v>5.659593717153</v>
      </c>
      <c r="F1783" s="17" t="n">
        <f aca="false">$E1783*eqk28_C</f>
        <v>4.5276749737224</v>
      </c>
      <c r="G1783" s="17" t="n">
        <f aca="false">$E1783*eqk29_C</f>
        <v>5.659593717153</v>
      </c>
      <c r="K1783" s="8" t="s">
        <v>504</v>
      </c>
    </row>
    <row r="1784" customFormat="false" ht="15" hidden="false" customHeight="false" outlineLevel="0" collapsed="false">
      <c r="A1784" s="4" t="s">
        <v>405</v>
      </c>
      <c r="B1784" s="0" t="s">
        <v>189</v>
      </c>
      <c r="C1784" s="17" t="n">
        <f aca="false">a25_eq</f>
        <v>3.290742</v>
      </c>
      <c r="D1784" s="17" t="n">
        <f aca="false">D1782+D1783</f>
        <v>5.0939955</v>
      </c>
      <c r="E1784" s="17" t="n">
        <f aca="false">E1782+E1783</f>
        <v>6.139593717153</v>
      </c>
      <c r="F1784" s="17" t="n">
        <f aca="false">F1782+F1783</f>
        <v>5.2476749737224</v>
      </c>
      <c r="G1784" s="17" t="n">
        <f aca="false">G1782+G1783</f>
        <v>6.859593717153</v>
      </c>
    </row>
    <row r="1785" customFormat="false" ht="15" hidden="false" customHeight="false" outlineLevel="0" collapsed="false">
      <c r="A1785" s="4" t="s">
        <v>407</v>
      </c>
      <c r="B1785" s="0" t="s">
        <v>189</v>
      </c>
      <c r="C1785" s="17" t="n">
        <f aca="false">a25_oth</f>
        <v>0.214032000000001</v>
      </c>
      <c r="D1785" s="17" t="n">
        <f aca="false">a26_oth</f>
        <v>0.428253</v>
      </c>
      <c r="E1785" s="17" t="n">
        <f aca="false">D1785*(1+g_oth)</f>
        <v>0.44966565</v>
      </c>
      <c r="F1785" s="17" t="n">
        <f aca="false">E1785*(1+g_oth)</f>
        <v>0.4721489325</v>
      </c>
      <c r="G1785" s="17" t="n">
        <f aca="false">F1785*(1+g_oth)</f>
        <v>0.495756379125</v>
      </c>
    </row>
    <row r="1786" customFormat="false" ht="17.15" hidden="false" customHeight="false" outlineLevel="0" collapsed="false">
      <c r="A1786" s="4" t="s">
        <v>394</v>
      </c>
      <c r="B1786" s="0" t="s">
        <v>189</v>
      </c>
      <c r="C1786" s="17" t="n">
        <f aca="false">C1781+C1784+C1785</f>
        <v>13.377</v>
      </c>
      <c r="D1786" s="17" t="n">
        <f aca="false">D1781+D1784+D1785</f>
        <v>21.41265</v>
      </c>
      <c r="E1786" s="17" t="n">
        <f aca="false">E1781+E1784+E1785</f>
        <v>28.8864768112928</v>
      </c>
      <c r="F1786" s="17" t="n">
        <f aca="false">F1781+F1784+F1785</f>
        <v>23.9752139943027</v>
      </c>
      <c r="G1786" s="17" t="n">
        <f aca="false">G1781+G1784+G1785</f>
        <v>27.867017903277</v>
      </c>
      <c r="H1786" s="30" t="n">
        <f aca="false">G1786*(1+H1787)</f>
        <v>31.0684949623466</v>
      </c>
      <c r="I1786" s="30" t="n">
        <f aca="false">H1786*(1+I1787)</f>
        <v>33.1638178346034</v>
      </c>
      <c r="J1786" s="30" t="n">
        <f aca="false">I1786*(1+J1787)</f>
        <v>33.8270941912954</v>
      </c>
      <c r="K1786" s="8" t="s">
        <v>505</v>
      </c>
    </row>
    <row r="1787" customFormat="false" ht="15" hidden="false" customHeight="false" outlineLevel="0" collapsed="false">
      <c r="A1787" s="4" t="s">
        <v>506</v>
      </c>
      <c r="B1787" s="0" t="s">
        <v>90</v>
      </c>
      <c r="D1787" s="22" t="n">
        <f aca="false">D1786/C1786-1</f>
        <v>0.600706436420722</v>
      </c>
      <c r="E1787" s="22" t="n">
        <f aca="false">E1786/D1786-1</f>
        <v>0.349037919701333</v>
      </c>
      <c r="F1787" s="22" t="n">
        <f aca="false">F1786/E1786-1</f>
        <v>-0.170019447130017</v>
      </c>
      <c r="G1787" s="22" t="n">
        <f aca="false">G1786/F1786-1</f>
        <v>0.162326138565398</v>
      </c>
      <c r="H1787" s="26" t="n">
        <f aca="false">$G1787+(fade_gC-$G1787)*1/3</f>
        <v>0.114884092376932</v>
      </c>
      <c r="I1787" s="26" t="n">
        <f aca="false">$G1787+(fade_gC-$G1787)*2/3</f>
        <v>0.0674420461884661</v>
      </c>
      <c r="J1787" s="26" t="n">
        <f aca="false">$G1787+(fade_gC-$G1787)*3/3</f>
        <v>0.02</v>
      </c>
    </row>
    <row r="1788" customFormat="false" ht="17.15" hidden="false" customHeight="false" outlineLevel="0" collapsed="false">
      <c r="A1788" s="0" t="s">
        <v>507</v>
      </c>
      <c r="B1788" s="0" t="s">
        <v>90</v>
      </c>
      <c r="C1788" s="22" t="n">
        <f aca="false">C1779/C1786</f>
        <v>0.4059</v>
      </c>
      <c r="D1788" s="22" t="n">
        <f aca="false">D1779/D1786</f>
        <v>0.445262071719287</v>
      </c>
      <c r="E1788" s="22" t="n">
        <f aca="false">E1779/E1786</f>
        <v>0.536449138583829</v>
      </c>
      <c r="F1788" s="22" t="n">
        <f aca="false">F1779/F1786</f>
        <v>0.457898804146194</v>
      </c>
      <c r="G1788" s="22" t="n">
        <f aca="false">G1779/G1786</f>
        <v>0.456636508479681</v>
      </c>
    </row>
    <row r="1789" customFormat="false" ht="17.15" hidden="false" customHeight="false" outlineLevel="0" collapsed="false">
      <c r="A1789" s="4" t="s">
        <v>508</v>
      </c>
      <c r="B1789" s="0" t="s">
        <v>90</v>
      </c>
      <c r="C1789" s="22" t="n">
        <f aca="false">C1781/C1786</f>
        <v>0.738</v>
      </c>
      <c r="D1789" s="22" t="n">
        <f aca="false">D1781/D1786</f>
        <v>0.742103452865479</v>
      </c>
      <c r="E1789" s="22" t="n">
        <f aca="false">E1781/E1786</f>
        <v>0.771891206733214</v>
      </c>
      <c r="F1789" s="22" t="n">
        <f aca="false">F1781/F1786</f>
        <v>0.761427618223486</v>
      </c>
      <c r="G1789" s="22" t="n">
        <f aca="false">G1781/G1786</f>
        <v>0.736055356844872</v>
      </c>
    </row>
    <row r="1790" customFormat="false" ht="17.15" hidden="false" customHeight="false" outlineLevel="0" collapsed="false">
      <c r="A1790" s="6" t="s">
        <v>509</v>
      </c>
    </row>
    <row r="1791" customFormat="false" ht="15" hidden="false" customHeight="false" outlineLevel="0" collapsed="false">
      <c r="A1791" s="4" t="s">
        <v>412</v>
      </c>
      <c r="B1791" s="0" t="s">
        <v>90</v>
      </c>
      <c r="C1791" s="14" t="n">
        <f aca="false">a25_gp/a25_rev</f>
        <v>0.574</v>
      </c>
      <c r="D1791" s="14" t="n">
        <f aca="false">a26_gp/a26_rev</f>
        <v>0.593344593032623</v>
      </c>
      <c r="E1791" s="14" t="n">
        <f aca="false">gm27_C+gm_adj</f>
        <v>0.58</v>
      </c>
      <c r="F1791" s="14" t="n">
        <f aca="false">gmL_C+gm_adj</f>
        <v>0.565</v>
      </c>
      <c r="G1791" s="14" t="n">
        <f aca="false">gmL_C+gm_adj</f>
        <v>0.565</v>
      </c>
    </row>
    <row r="1792" customFormat="false" ht="15" hidden="false" customHeight="false" outlineLevel="0" collapsed="false">
      <c r="A1792" s="4" t="s">
        <v>409</v>
      </c>
      <c r="B1792" s="0" t="s">
        <v>189</v>
      </c>
      <c r="C1792" s="17" t="n">
        <f aca="false">C1786*C1791</f>
        <v>7.678398</v>
      </c>
      <c r="D1792" s="17" t="n">
        <f aca="false">D1786*D1791</f>
        <v>12.7050801</v>
      </c>
      <c r="E1792" s="17" t="n">
        <f aca="false">E1786*E1791</f>
        <v>16.7541565505498</v>
      </c>
      <c r="F1792" s="17" t="n">
        <f aca="false">F1786*F1791</f>
        <v>13.545995906781</v>
      </c>
      <c r="G1792" s="17" t="n">
        <f aca="false">G1786*G1791</f>
        <v>15.7448651153515</v>
      </c>
    </row>
    <row r="1793" customFormat="false" ht="17.15" hidden="false" customHeight="false" outlineLevel="0" collapsed="false">
      <c r="A1793" s="4" t="s">
        <v>510</v>
      </c>
      <c r="B1793" s="0" t="s">
        <v>189</v>
      </c>
      <c r="D1793" s="17" t="n">
        <f aca="false">a26_opx</f>
        <v>5.05564928556</v>
      </c>
      <c r="E1793" s="17" t="n">
        <f aca="false">D1793*(1+phi_lo*E1787)</f>
        <v>5.76149460930856</v>
      </c>
      <c r="F1793" s="17" t="n">
        <f aca="false">E1793*(1+phi_lo*F1787)</f>
        <v>5.36966815806167</v>
      </c>
      <c r="G1793" s="17" t="n">
        <f aca="false">F1793*(1+phi_lo*G1787)</f>
        <v>5.71832315705196</v>
      </c>
      <c r="K1793" s="8" t="s">
        <v>511</v>
      </c>
    </row>
    <row r="1794" customFormat="false" ht="15" hidden="false" customHeight="false" outlineLevel="0" collapsed="false">
      <c r="A1794" s="4" t="s">
        <v>415</v>
      </c>
      <c r="B1794" s="0" t="s">
        <v>189</v>
      </c>
      <c r="D1794" s="17" t="n">
        <f aca="false">D1792-D1793</f>
        <v>7.64943081444</v>
      </c>
      <c r="E1794" s="17" t="n">
        <f aca="false">E1792-E1793</f>
        <v>10.9926619412412</v>
      </c>
      <c r="F1794" s="17" t="n">
        <f aca="false">F1792-F1793</f>
        <v>8.17632774871935</v>
      </c>
      <c r="G1794" s="17" t="n">
        <f aca="false">G1792-G1793</f>
        <v>10.0265419582995</v>
      </c>
    </row>
    <row r="1795" customFormat="false" ht="15" hidden="false" customHeight="false" outlineLevel="0" collapsed="false">
      <c r="A1795" s="4" t="s">
        <v>482</v>
      </c>
      <c r="B1795" s="0" t="s">
        <v>90</v>
      </c>
      <c r="D1795" s="14" t="n">
        <f aca="false">D1794/D1786</f>
        <v>0.357238866484999</v>
      </c>
      <c r="E1795" s="14" t="n">
        <f aca="false">E1794/E1786</f>
        <v>0.380546994811905</v>
      </c>
      <c r="F1795" s="14" t="n">
        <f aca="false">F1794/F1786</f>
        <v>0.341032524283717</v>
      </c>
      <c r="G1795" s="14" t="n">
        <f aca="false">G1794/G1786</f>
        <v>0.359799602278953</v>
      </c>
    </row>
    <row r="1796" customFormat="false" ht="15" hidden="false" customHeight="false" outlineLevel="0" collapsed="false">
      <c r="A1796" s="4" t="s">
        <v>418</v>
      </c>
      <c r="B1796" s="0" t="s">
        <v>189</v>
      </c>
      <c r="C1796" s="17" t="n">
        <f aca="false">a25_ni</f>
        <v>3.18</v>
      </c>
      <c r="D1796" s="17" t="n">
        <f aca="false">a26_ni</f>
        <v>6.7316248085628</v>
      </c>
      <c r="E1796" s="17" t="n">
        <f aca="false">E1794*ni_oi</f>
        <v>9.34376265005505</v>
      </c>
      <c r="F1796" s="17" t="n">
        <f aca="false">F1794*ni_oi</f>
        <v>6.94987858641145</v>
      </c>
      <c r="G1796" s="17" t="n">
        <f aca="false">G1794*ni_oi</f>
        <v>8.52256066455459</v>
      </c>
      <c r="H1796" s="30" t="n">
        <f aca="false">H1786*H1800</f>
        <v>8.79061135903474</v>
      </c>
      <c r="I1796" s="30" t="n">
        <f aca="false">I1786*I1800</f>
        <v>8.62445715577057</v>
      </c>
      <c r="J1796" s="30" t="n">
        <f aca="false">J1786*J1800</f>
        <v>8.02275505790965</v>
      </c>
    </row>
    <row r="1797" customFormat="false" ht="15" hidden="false" customHeight="false" outlineLevel="0" collapsed="false">
      <c r="A1797" s="4" t="s">
        <v>512</v>
      </c>
      <c r="B1797" s="4" t="s">
        <v>513</v>
      </c>
      <c r="C1797" s="19" t="n">
        <f aca="false">a25_sh</f>
        <v>94.9537175276202</v>
      </c>
      <c r="D1797" s="19" t="n">
        <f aca="false">a26_sh</f>
        <v>97.9860681630967</v>
      </c>
      <c r="E1797" s="19" t="n">
        <f aca="false">D1797*(1+sh_g)</f>
        <v>97.9860681630967</v>
      </c>
      <c r="F1797" s="19" t="n">
        <f aca="false">E1797*(1+sh_g)</f>
        <v>97.9860681630967</v>
      </c>
      <c r="G1797" s="19" t="n">
        <f aca="false">F1797*(1+sh_g)</f>
        <v>97.9860681630967</v>
      </c>
      <c r="H1797" s="25" t="n">
        <f aca="false">G1797*(1+sh_g)</f>
        <v>97.9860681630967</v>
      </c>
      <c r="I1797" s="25" t="n">
        <f aca="false">H1797*(1+sh_g)</f>
        <v>97.9860681630967</v>
      </c>
      <c r="J1797" s="25" t="n">
        <f aca="false">I1797*(1+sh_g)</f>
        <v>97.9860681630967</v>
      </c>
    </row>
    <row r="1798" customFormat="false" ht="15" hidden="false" customHeight="false" outlineLevel="0" collapsed="false">
      <c r="A1798" s="0" t="s">
        <v>423</v>
      </c>
      <c r="B1798" s="0" t="s">
        <v>256</v>
      </c>
      <c r="C1798" s="20" t="n">
        <f aca="false">a25_eps</f>
        <v>33.49</v>
      </c>
      <c r="D1798" s="20" t="n">
        <f aca="false">a26_eps</f>
        <v>68.6959552317267</v>
      </c>
      <c r="E1798" s="20" t="n">
        <f aca="false">E1796/E1797*1000</f>
        <v>95.3580730936409</v>
      </c>
      <c r="F1798" s="20" t="n">
        <f aca="false">F1796/F1797*1000</f>
        <v>70.9272115587234</v>
      </c>
      <c r="G1798" s="20" t="n">
        <f aca="false">G1796/G1797*1000</f>
        <v>86.9772695682501</v>
      </c>
      <c r="H1798" s="28" t="n">
        <f aca="false">H1796/H1797*1000</f>
        <v>89.7128696337</v>
      </c>
      <c r="I1798" s="28" t="n">
        <f aca="false">I1796/I1797*1000</f>
        <v>88.017177517678</v>
      </c>
      <c r="J1798" s="28" t="n">
        <f aca="false">J1796/J1797*1000</f>
        <v>81.8764872222025</v>
      </c>
    </row>
    <row r="1799" customFormat="false" ht="17.15" hidden="false" customHeight="false" outlineLevel="0" collapsed="false">
      <c r="A1799" s="0" t="s">
        <v>514</v>
      </c>
      <c r="B1799" s="0" t="s">
        <v>90</v>
      </c>
      <c r="D1799" s="22" t="n">
        <f aca="false">D1798/C1798-1</f>
        <v>1.05123783910799</v>
      </c>
      <c r="E1799" s="22" t="n">
        <f aca="false">E1798/D1798-1</f>
        <v>0.388117725009819</v>
      </c>
      <c r="F1799" s="22" t="n">
        <f aca="false">F1798/E1798-1</f>
        <v>-0.256201292059736</v>
      </c>
      <c r="G1799" s="22" t="n">
        <f aca="false">G1798/F1798-1</f>
        <v>0.226289144276287</v>
      </c>
      <c r="H1799" s="26" t="n">
        <f aca="false">H1798/G1798-1</f>
        <v>0.0314518963291131</v>
      </c>
      <c r="I1799" s="26" t="n">
        <f aca="false">I1798/H1798-1</f>
        <v>-0.0189013251158459</v>
      </c>
      <c r="J1799" s="26" t="n">
        <f aca="false">J1798/I1798-1</f>
        <v>-0.0697669530955151</v>
      </c>
    </row>
    <row r="1800" customFormat="false" ht="17.15" hidden="false" customHeight="false" outlineLevel="0" collapsed="false">
      <c r="A1800" s="4" t="s">
        <v>515</v>
      </c>
      <c r="B1800" s="0" t="s">
        <v>90</v>
      </c>
      <c r="C1800" s="14" t="n">
        <f aca="false">C1796/C1786</f>
        <v>0.237721462211258</v>
      </c>
      <c r="D1800" s="14" t="n">
        <f aca="false">D1796/D1786</f>
        <v>0.314376072488123</v>
      </c>
      <c r="E1800" s="14" t="n">
        <f aca="false">E1796/E1786</f>
        <v>0.323464945590119</v>
      </c>
      <c r="F1800" s="14" t="n">
        <f aca="false">F1796/F1786</f>
        <v>0.28987764564116</v>
      </c>
      <c r="G1800" s="14" t="n">
        <f aca="false">G1796/G1786</f>
        <v>0.30582966193711</v>
      </c>
      <c r="H1800" s="27" t="n">
        <f aca="false">$G1800+(fade_mC-$G1800)*1/3</f>
        <v>0.282942941706333</v>
      </c>
      <c r="I1800" s="27" t="n">
        <f aca="false">$G1800+(fade_mC-$G1800)*2/3</f>
        <v>0.260056221475555</v>
      </c>
      <c r="J1800" s="27" t="n">
        <f aca="false">$G1800+(fade_mC-$G1800)*3/3</f>
        <v>0.237169501244778</v>
      </c>
    </row>
    <row r="1803" customFormat="false" ht="17.15" hidden="false" customHeight="false" outlineLevel="0" collapsed="false">
      <c r="A1803" s="1" t="s">
        <v>856</v>
      </c>
    </row>
    <row r="1804" customFormat="false" ht="17.15" hidden="false" customHeight="false" outlineLevel="0" collapsed="false">
      <c r="A1804" s="5" t="s">
        <v>21</v>
      </c>
      <c r="B1804" s="5" t="s">
        <v>22</v>
      </c>
      <c r="C1804" s="15" t="s">
        <v>387</v>
      </c>
      <c r="D1804" s="15" t="s">
        <v>468</v>
      </c>
      <c r="E1804" s="15" t="s">
        <v>469</v>
      </c>
      <c r="F1804" s="15" t="s">
        <v>470</v>
      </c>
      <c r="G1804" s="15" t="s">
        <v>471</v>
      </c>
      <c r="H1804" s="15" t="s">
        <v>472</v>
      </c>
      <c r="I1804" s="15" t="s">
        <v>473</v>
      </c>
      <c r="J1804" s="15" t="s">
        <v>474</v>
      </c>
      <c r="K1804" s="5" t="s">
        <v>336</v>
      </c>
    </row>
    <row r="1805" customFormat="false" ht="17.15" hidden="false" customHeight="false" outlineLevel="0" collapsed="false">
      <c r="A1805" s="6" t="s">
        <v>492</v>
      </c>
    </row>
    <row r="1806" customFormat="false" ht="17.15" hidden="false" customHeight="false" outlineLevel="0" collapsed="false">
      <c r="A1806" s="0" t="s">
        <v>493</v>
      </c>
      <c r="B1806" s="4" t="s">
        <v>32</v>
      </c>
      <c r="D1806" s="20" t="n">
        <f aca="false">units_26</f>
        <v>15.2</v>
      </c>
      <c r="E1806" s="20" t="n">
        <f aca="false">units_27*1</f>
        <v>23.7</v>
      </c>
      <c r="F1806" s="20" t="n">
        <f aca="false">units_28*um28_A*1</f>
        <v>26.5</v>
      </c>
      <c r="G1806" s="20" t="n">
        <f aca="false">units_29*um29_A*1</f>
        <v>30.15</v>
      </c>
    </row>
    <row r="1807" customFormat="false" ht="17.15" hidden="false" customHeight="false" outlineLevel="0" collapsed="false">
      <c r="A1807" s="4" t="s">
        <v>494</v>
      </c>
      <c r="B1807" s="0" t="s">
        <v>45</v>
      </c>
      <c r="D1807" s="18" t="n">
        <f aca="false">ex_nv*nvtt_26+astt_26</f>
        <v>0.607994</v>
      </c>
      <c r="E1807" s="18" t="n">
        <f aca="false">ex_nv*nvtt_27+astt_27</f>
        <v>0.6560764</v>
      </c>
      <c r="F1807" s="18" t="n">
        <f aca="false">ex_nv*nvtt_28+astt_28</f>
        <v>0.6898114</v>
      </c>
      <c r="G1807" s="18" t="n">
        <f aca="false">ex_nv*nvtt_29+astt_29</f>
        <v>0.692935</v>
      </c>
      <c r="K1807" s="8" t="s">
        <v>495</v>
      </c>
    </row>
    <row r="1808" customFormat="false" ht="17.15" hidden="false" customHeight="false" outlineLevel="0" collapsed="false">
      <c r="A1808" s="4" t="s">
        <v>447</v>
      </c>
      <c r="B1808" s="0" t="s">
        <v>45</v>
      </c>
      <c r="D1808" s="18" t="n">
        <f aca="false">D1806*D1807/($D1806*$D1807)</f>
        <v>1</v>
      </c>
      <c r="E1808" s="18" t="n">
        <f aca="false">E1806*E1807/($D1806*$D1807)</f>
        <v>1.68251862509724</v>
      </c>
      <c r="F1808" s="18" t="n">
        <f aca="false">F1806*F1807/($D1806*$D1807)</f>
        <v>1.97803221266207</v>
      </c>
      <c r="G1808" s="18" t="n">
        <f aca="false">G1806*G1807/($D1806*$D1807)</f>
        <v>2.26066876114428</v>
      </c>
    </row>
    <row r="1809" customFormat="false" ht="17.15" hidden="false" customHeight="false" outlineLevel="0" collapsed="false">
      <c r="A1809" s="4" t="s">
        <v>496</v>
      </c>
      <c r="B1809" s="0" t="s">
        <v>45</v>
      </c>
      <c r="D1809" s="20" t="n">
        <f aca="false">1</f>
        <v>1</v>
      </c>
      <c r="E1809" s="20" t="n">
        <f aca="false">rel27_A</f>
        <v>1.05</v>
      </c>
      <c r="F1809" s="20" t="n">
        <f aca="false">rel28_A</f>
        <v>1.08</v>
      </c>
      <c r="G1809" s="20" t="n">
        <f aca="false">rel29_A</f>
        <v>1.1</v>
      </c>
    </row>
    <row r="1810" customFormat="false" ht="17.15" hidden="false" customHeight="false" outlineLevel="0" collapsed="false">
      <c r="A1810" s="4" t="s">
        <v>497</v>
      </c>
      <c r="B1810" s="0" t="s">
        <v>45</v>
      </c>
      <c r="D1810" s="18" t="n">
        <f aca="false">1</f>
        <v>1</v>
      </c>
      <c r="E1810" s="18" t="n">
        <f aca="false">(1+g_ct)^1</f>
        <v>1.05</v>
      </c>
      <c r="F1810" s="18" t="n">
        <f aca="false">(1+g_ct)^2</f>
        <v>1.1025</v>
      </c>
      <c r="G1810" s="18" t="n">
        <f aca="false">(1+g_ct)^3</f>
        <v>1.157625</v>
      </c>
    </row>
    <row r="1811" customFormat="false" ht="17.15" hidden="false" customHeight="false" outlineLevel="0" collapsed="false">
      <c r="A1811" s="6" t="s">
        <v>498</v>
      </c>
    </row>
    <row r="1812" customFormat="false" ht="17.15" hidden="false" customHeight="false" outlineLevel="0" collapsed="false">
      <c r="A1812" s="0" t="s">
        <v>401</v>
      </c>
      <c r="B1812" s="0" t="s">
        <v>189</v>
      </c>
      <c r="C1812" s="17" t="n">
        <f aca="false">a25_ai</f>
        <v>5.4297243</v>
      </c>
      <c r="D1812" s="17" t="n">
        <f aca="false">a26_ai</f>
        <v>9.5342409</v>
      </c>
      <c r="E1812" s="17" t="n">
        <f aca="false">$D1812*E1808*E1809*E1810</f>
        <v>17.6857955241812</v>
      </c>
      <c r="F1812" s="17" t="n">
        <f aca="false">$D1812*F1808*F1809*F1810</f>
        <v>22.4554537168779</v>
      </c>
      <c r="G1812" s="17" t="n">
        <f aca="false">$D1812*G1808*G1809*G1810</f>
        <v>27.4462892800048</v>
      </c>
      <c r="K1812" s="8" t="s">
        <v>499</v>
      </c>
    </row>
    <row r="1813" customFormat="false" ht="17.15" hidden="false" customHeight="false" outlineLevel="0" collapsed="false">
      <c r="A1813" s="4" t="s">
        <v>404</v>
      </c>
      <c r="B1813" s="0" t="s">
        <v>189</v>
      </c>
      <c r="C1813" s="17" t="n">
        <f aca="false">a25_npc</f>
        <v>4.4425017</v>
      </c>
      <c r="D1813" s="17" t="n">
        <f aca="false">a26_npc</f>
        <v>6.3561606</v>
      </c>
      <c r="E1813" s="17" t="n">
        <f aca="false">D1813*(1+g_nonai+d_npc)</f>
        <v>6.801091842</v>
      </c>
      <c r="F1813" s="17" t="n">
        <f aca="false">E1813*(1+g_nonai+d_npc)</f>
        <v>7.27716827094</v>
      </c>
      <c r="G1813" s="17" t="n">
        <f aca="false">F1813*(1+g_nonai+d_npc)</f>
        <v>7.7865700499058</v>
      </c>
      <c r="K1813" s="4" t="s">
        <v>500</v>
      </c>
    </row>
    <row r="1814" customFormat="false" ht="15" hidden="false" customHeight="false" outlineLevel="0" collapsed="false">
      <c r="A1814" s="4" t="s">
        <v>398</v>
      </c>
      <c r="B1814" s="0" t="s">
        <v>189</v>
      </c>
      <c r="C1814" s="17" t="n">
        <f aca="false">C1812+C1813</f>
        <v>9.872226</v>
      </c>
      <c r="D1814" s="17" t="n">
        <f aca="false">D1812+D1813</f>
        <v>15.8904015</v>
      </c>
      <c r="E1814" s="17" t="n">
        <f aca="false">E1812+E1813</f>
        <v>24.4868873661812</v>
      </c>
      <c r="F1814" s="17" t="n">
        <f aca="false">F1812+F1813</f>
        <v>29.7326219878179</v>
      </c>
      <c r="G1814" s="17" t="n">
        <f aca="false">G1812+G1813</f>
        <v>35.2328593299106</v>
      </c>
    </row>
    <row r="1815" customFormat="false" ht="17.15" hidden="false" customHeight="false" outlineLevel="0" collapsed="false">
      <c r="A1815" s="0" t="s">
        <v>501</v>
      </c>
      <c r="B1815" s="0" t="s">
        <v>189</v>
      </c>
      <c r="D1815" s="17" t="n">
        <f aca="false">k_cpo*cpo_A_26/cpo_A_27</f>
        <v>0.24</v>
      </c>
      <c r="E1815" s="17" t="n">
        <f aca="false">k_cpo*cpo_A_27/cpo_A_27</f>
        <v>1.2</v>
      </c>
      <c r="F1815" s="17" t="n">
        <f aca="false">k_cpo*cpo_A_28/cpo_A_27</f>
        <v>2.4</v>
      </c>
      <c r="G1815" s="17" t="n">
        <f aca="false">k_cpo*cpo_A_29/cpo_A_27</f>
        <v>3.84</v>
      </c>
      <c r="K1815" s="8" t="s">
        <v>502</v>
      </c>
    </row>
    <row r="1816" customFormat="false" ht="17.15" hidden="false" customHeight="false" outlineLevel="0" collapsed="false">
      <c r="A1816" s="4" t="s">
        <v>503</v>
      </c>
      <c r="B1816" s="0" t="s">
        <v>189</v>
      </c>
      <c r="C1816" s="17" t="n">
        <f aca="false">a25_eq</f>
        <v>3.290742</v>
      </c>
      <c r="D1816" s="17" t="n">
        <f aca="false">a26_eq-D1815</f>
        <v>4.8539955</v>
      </c>
      <c r="E1816" s="17" t="n">
        <f aca="false">D1816*semi_27</f>
        <v>5.659593717153</v>
      </c>
      <c r="F1816" s="17" t="n">
        <f aca="false">$E1816*eqk28_A</f>
        <v>6.59889384801401</v>
      </c>
      <c r="G1816" s="17" t="n">
        <f aca="false">$E1816*eqk29_A</f>
        <v>7.12680377116889</v>
      </c>
      <c r="K1816" s="8" t="s">
        <v>504</v>
      </c>
    </row>
    <row r="1817" customFormat="false" ht="15" hidden="false" customHeight="false" outlineLevel="0" collapsed="false">
      <c r="A1817" s="4" t="s">
        <v>405</v>
      </c>
      <c r="B1817" s="0" t="s">
        <v>189</v>
      </c>
      <c r="C1817" s="17" t="n">
        <f aca="false">a25_eq</f>
        <v>3.290742</v>
      </c>
      <c r="D1817" s="17" t="n">
        <f aca="false">D1815+D1816</f>
        <v>5.0939955</v>
      </c>
      <c r="E1817" s="17" t="n">
        <f aca="false">E1815+E1816</f>
        <v>6.859593717153</v>
      </c>
      <c r="F1817" s="17" t="n">
        <f aca="false">F1815+F1816</f>
        <v>8.99889384801401</v>
      </c>
      <c r="G1817" s="17" t="n">
        <f aca="false">G1815+G1816</f>
        <v>10.9668037711689</v>
      </c>
    </row>
    <row r="1818" customFormat="false" ht="15" hidden="false" customHeight="false" outlineLevel="0" collapsed="false">
      <c r="A1818" s="4" t="s">
        <v>407</v>
      </c>
      <c r="B1818" s="0" t="s">
        <v>189</v>
      </c>
      <c r="C1818" s="17" t="n">
        <f aca="false">a25_oth</f>
        <v>0.214032000000001</v>
      </c>
      <c r="D1818" s="17" t="n">
        <f aca="false">a26_oth</f>
        <v>0.428253</v>
      </c>
      <c r="E1818" s="17" t="n">
        <f aca="false">D1818*(1+g_oth)</f>
        <v>0.44966565</v>
      </c>
      <c r="F1818" s="17" t="n">
        <f aca="false">E1818*(1+g_oth)</f>
        <v>0.4721489325</v>
      </c>
      <c r="G1818" s="17" t="n">
        <f aca="false">F1818*(1+g_oth)</f>
        <v>0.495756379125</v>
      </c>
    </row>
    <row r="1819" customFormat="false" ht="17.15" hidden="false" customHeight="false" outlineLevel="0" collapsed="false">
      <c r="A1819" s="4" t="s">
        <v>394</v>
      </c>
      <c r="B1819" s="0" t="s">
        <v>189</v>
      </c>
      <c r="C1819" s="17" t="n">
        <f aca="false">C1814+C1817+C1818</f>
        <v>13.377</v>
      </c>
      <c r="D1819" s="17" t="n">
        <f aca="false">D1814+D1817+D1818</f>
        <v>21.41265</v>
      </c>
      <c r="E1819" s="17" t="n">
        <f aca="false">E1814+E1817+E1818</f>
        <v>31.7961467333342</v>
      </c>
      <c r="F1819" s="17" t="n">
        <f aca="false">F1814+F1817+F1818</f>
        <v>39.2036647683319</v>
      </c>
      <c r="G1819" s="17" t="n">
        <f aca="false">G1814+G1817+G1818</f>
        <v>46.6954194802045</v>
      </c>
      <c r="H1819" s="30" t="n">
        <f aca="false">G1819*(1+H1820)</f>
        <v>53.5782722007526</v>
      </c>
      <c r="I1819" s="30" t="n">
        <f aca="false">H1819*(1+I1820)</f>
        <v>59.1343091320141</v>
      </c>
      <c r="J1819" s="30" t="n">
        <f aca="false">I1819*(1+J1820)</f>
        <v>62.682367679935</v>
      </c>
      <c r="K1819" s="8" t="s">
        <v>505</v>
      </c>
    </row>
    <row r="1820" customFormat="false" ht="15" hidden="false" customHeight="false" outlineLevel="0" collapsed="false">
      <c r="A1820" s="4" t="s">
        <v>506</v>
      </c>
      <c r="B1820" s="0" t="s">
        <v>90</v>
      </c>
      <c r="D1820" s="22" t="n">
        <f aca="false">D1819/C1819-1</f>
        <v>0.600706436420722</v>
      </c>
      <c r="E1820" s="22" t="n">
        <f aca="false">E1819/D1819-1</f>
        <v>0.484923479033854</v>
      </c>
      <c r="F1820" s="22" t="n">
        <f aca="false">F1819/E1819-1</f>
        <v>0.232969048014608</v>
      </c>
      <c r="G1820" s="22" t="n">
        <f aca="false">G1819/F1819-1</f>
        <v>0.191098326040283</v>
      </c>
      <c r="H1820" s="26" t="n">
        <f aca="false">$G1820+(fade_gA-$G1820)*1/3</f>
        <v>0.147398884026855</v>
      </c>
      <c r="I1820" s="26" t="n">
        <f aca="false">$G1820+(fade_gA-$G1820)*2/3</f>
        <v>0.103699442013428</v>
      </c>
      <c r="J1820" s="26" t="n">
        <f aca="false">$G1820+(fade_gA-$G1820)*3/3</f>
        <v>0.06</v>
      </c>
    </row>
    <row r="1821" customFormat="false" ht="17.15" hidden="false" customHeight="false" outlineLevel="0" collapsed="false">
      <c r="A1821" s="0" t="s">
        <v>507</v>
      </c>
      <c r="B1821" s="0" t="s">
        <v>90</v>
      </c>
      <c r="C1821" s="22" t="n">
        <f aca="false">C1812/C1819</f>
        <v>0.4059</v>
      </c>
      <c r="D1821" s="22" t="n">
        <f aca="false">D1812/D1819</f>
        <v>0.445262071719287</v>
      </c>
      <c r="E1821" s="22" t="n">
        <f aca="false">E1812/E1819</f>
        <v>0.556224490738053</v>
      </c>
      <c r="F1821" s="22" t="n">
        <f aca="false">F1812/F1819</f>
        <v>0.572789657537758</v>
      </c>
      <c r="G1821" s="22" t="n">
        <f aca="false">G1812/G1819</f>
        <v>0.587772624928235</v>
      </c>
    </row>
    <row r="1822" customFormat="false" ht="17.15" hidden="false" customHeight="false" outlineLevel="0" collapsed="false">
      <c r="A1822" s="4" t="s">
        <v>508</v>
      </c>
      <c r="B1822" s="0" t="s">
        <v>90</v>
      </c>
      <c r="C1822" s="22" t="n">
        <f aca="false">C1814/C1819</f>
        <v>0.738</v>
      </c>
      <c r="D1822" s="22" t="n">
        <f aca="false">D1814/D1819</f>
        <v>0.742103452865479</v>
      </c>
      <c r="E1822" s="22" t="n">
        <f aca="false">E1814/E1819</f>
        <v>0.770121221654504</v>
      </c>
      <c r="F1822" s="22" t="n">
        <f aca="false">F1814/F1819</f>
        <v>0.758414351401031</v>
      </c>
      <c r="G1822" s="22" t="n">
        <f aca="false">G1814/G1819</f>
        <v>0.754524956025865</v>
      </c>
    </row>
    <row r="1823" customFormat="false" ht="17.15" hidden="false" customHeight="false" outlineLevel="0" collapsed="false">
      <c r="A1823" s="6" t="s">
        <v>509</v>
      </c>
    </row>
    <row r="1824" customFormat="false" ht="15" hidden="false" customHeight="false" outlineLevel="0" collapsed="false">
      <c r="A1824" s="4" t="s">
        <v>412</v>
      </c>
      <c r="B1824" s="0" t="s">
        <v>90</v>
      </c>
      <c r="C1824" s="14" t="n">
        <f aca="false">a25_gp/a25_rev</f>
        <v>0.574</v>
      </c>
      <c r="D1824" s="14" t="n">
        <f aca="false">a26_gp/a26_rev</f>
        <v>0.593344593032623</v>
      </c>
      <c r="E1824" s="14" t="n">
        <f aca="false">gm27_A+gm_adj</f>
        <v>0.6</v>
      </c>
      <c r="F1824" s="14" t="n">
        <f aca="false">gmL_A+gm_adj</f>
        <v>0.61</v>
      </c>
      <c r="G1824" s="14" t="n">
        <f aca="false">gmL_A+gm_adj</f>
        <v>0.61</v>
      </c>
    </row>
    <row r="1825" customFormat="false" ht="15" hidden="false" customHeight="false" outlineLevel="0" collapsed="false">
      <c r="A1825" s="4" t="s">
        <v>409</v>
      </c>
      <c r="B1825" s="0" t="s">
        <v>189</v>
      </c>
      <c r="C1825" s="17" t="n">
        <f aca="false">C1819*C1824</f>
        <v>7.678398</v>
      </c>
      <c r="D1825" s="17" t="n">
        <f aca="false">D1819*D1824</f>
        <v>12.7050801</v>
      </c>
      <c r="E1825" s="17" t="n">
        <f aca="false">E1819*E1824</f>
        <v>19.0776880400005</v>
      </c>
      <c r="F1825" s="17" t="n">
        <f aca="false">F1819*F1824</f>
        <v>23.9142355086825</v>
      </c>
      <c r="G1825" s="17" t="n">
        <f aca="false">G1819*G1824</f>
        <v>28.4842058829248</v>
      </c>
    </row>
    <row r="1826" customFormat="false" ht="17.15" hidden="false" customHeight="false" outlineLevel="0" collapsed="false">
      <c r="A1826" s="4" t="s">
        <v>510</v>
      </c>
      <c r="B1826" s="0" t="s">
        <v>189</v>
      </c>
      <c r="D1826" s="17" t="n">
        <f aca="false">a26_opx</f>
        <v>5.05564928556</v>
      </c>
      <c r="E1826" s="17" t="n">
        <f aca="false">D1826*(1+phi_hi*E1820)</f>
        <v>7.26209202185589</v>
      </c>
      <c r="F1826" s="17" t="n">
        <f aca="false">E1826*(1+phi_hi*F1820)</f>
        <v>8.78475042028952</v>
      </c>
      <c r="G1826" s="17" t="n">
        <f aca="false">F1826*(1+phi_hi*G1820)</f>
        <v>10.2956264102886</v>
      </c>
      <c r="K1826" s="8" t="s">
        <v>511</v>
      </c>
    </row>
    <row r="1827" customFormat="false" ht="15" hidden="false" customHeight="false" outlineLevel="0" collapsed="false">
      <c r="A1827" s="4" t="s">
        <v>415</v>
      </c>
      <c r="B1827" s="0" t="s">
        <v>189</v>
      </c>
      <c r="D1827" s="17" t="n">
        <f aca="false">D1825-D1826</f>
        <v>7.64943081444</v>
      </c>
      <c r="E1827" s="17" t="n">
        <f aca="false">E1825-E1826</f>
        <v>11.8155960181446</v>
      </c>
      <c r="F1827" s="17" t="n">
        <f aca="false">F1825-F1826</f>
        <v>15.1294850883929</v>
      </c>
      <c r="G1827" s="17" t="n">
        <f aca="false">G1825-G1826</f>
        <v>18.1885794726362</v>
      </c>
    </row>
    <row r="1828" customFormat="false" ht="15" hidden="false" customHeight="false" outlineLevel="0" collapsed="false">
      <c r="A1828" s="4" t="s">
        <v>482</v>
      </c>
      <c r="B1828" s="0" t="s">
        <v>90</v>
      </c>
      <c r="D1828" s="14" t="n">
        <f aca="false">D1827/D1819</f>
        <v>0.357238866484999</v>
      </c>
      <c r="E1828" s="14" t="n">
        <f aca="false">E1827/E1819</f>
        <v>0.371604651256609</v>
      </c>
      <c r="F1828" s="14" t="n">
        <f aca="false">F1827/F1819</f>
        <v>0.38592017296848</v>
      </c>
      <c r="G1828" s="14" t="n">
        <f aca="false">G1827/G1819</f>
        <v>0.389515281693674</v>
      </c>
    </row>
    <row r="1829" customFormat="false" ht="15" hidden="false" customHeight="false" outlineLevel="0" collapsed="false">
      <c r="A1829" s="4" t="s">
        <v>418</v>
      </c>
      <c r="B1829" s="0" t="s">
        <v>189</v>
      </c>
      <c r="C1829" s="17" t="n">
        <f aca="false">a25_ni</f>
        <v>3.18</v>
      </c>
      <c r="D1829" s="17" t="n">
        <f aca="false">a26_ni</f>
        <v>6.7316248085628</v>
      </c>
      <c r="E1829" s="17" t="n">
        <f aca="false">E1827*ni_oi</f>
        <v>10.043256615423</v>
      </c>
      <c r="F1829" s="17" t="n">
        <f aca="false">F1827*ni_oi</f>
        <v>12.860062325134</v>
      </c>
      <c r="G1829" s="17" t="n">
        <f aca="false">G1827*ni_oi</f>
        <v>15.4602925517407</v>
      </c>
      <c r="H1829" s="30" t="n">
        <f aca="false">H1819*H1833</f>
        <v>18.3905434362074</v>
      </c>
      <c r="I1829" s="30" t="n">
        <f aca="false">I1819*I1833</f>
        <v>21.016605540312</v>
      </c>
      <c r="J1829" s="30" t="n">
        <f aca="false">J1819*J1833</f>
        <v>23.0397132648636</v>
      </c>
    </row>
    <row r="1830" customFormat="false" ht="15" hidden="false" customHeight="false" outlineLevel="0" collapsed="false">
      <c r="A1830" s="4" t="s">
        <v>512</v>
      </c>
      <c r="B1830" s="4" t="s">
        <v>513</v>
      </c>
      <c r="C1830" s="19" t="n">
        <f aca="false">a25_sh</f>
        <v>94.9537175276202</v>
      </c>
      <c r="D1830" s="19" t="n">
        <f aca="false">a26_sh</f>
        <v>97.9860681630967</v>
      </c>
      <c r="E1830" s="19" t="n">
        <f aca="false">D1830*(1+sh_g)</f>
        <v>97.9860681630967</v>
      </c>
      <c r="F1830" s="19" t="n">
        <f aca="false">E1830*(1+sh_g)</f>
        <v>97.9860681630967</v>
      </c>
      <c r="G1830" s="19" t="n">
        <f aca="false">F1830*(1+sh_g)</f>
        <v>97.9860681630967</v>
      </c>
      <c r="H1830" s="25" t="n">
        <f aca="false">G1830*(1+sh_g)</f>
        <v>97.9860681630967</v>
      </c>
      <c r="I1830" s="25" t="n">
        <f aca="false">H1830*(1+sh_g)</f>
        <v>97.9860681630967</v>
      </c>
      <c r="J1830" s="25" t="n">
        <f aca="false">I1830*(1+sh_g)</f>
        <v>97.9860681630967</v>
      </c>
    </row>
    <row r="1831" customFormat="false" ht="15" hidden="false" customHeight="false" outlineLevel="0" collapsed="false">
      <c r="A1831" s="0" t="s">
        <v>423</v>
      </c>
      <c r="B1831" s="0" t="s">
        <v>256</v>
      </c>
      <c r="C1831" s="20" t="n">
        <f aca="false">a25_eps</f>
        <v>33.49</v>
      </c>
      <c r="D1831" s="20" t="n">
        <f aca="false">a26_eps</f>
        <v>68.6959552317267</v>
      </c>
      <c r="E1831" s="20" t="n">
        <f aca="false">E1829/E1830*1000</f>
        <v>102.496781468015</v>
      </c>
      <c r="F1831" s="20" t="n">
        <f aca="false">F1829/F1830*1000</f>
        <v>131.243783593077</v>
      </c>
      <c r="G1831" s="20" t="n">
        <f aca="false">G1829/G1830*1000</f>
        <v>157.780517593657</v>
      </c>
      <c r="H1831" s="28" t="n">
        <f aca="false">H1829/H1830*1000</f>
        <v>187.685288132968</v>
      </c>
      <c r="I1831" s="28" t="n">
        <f aca="false">I1829/I1830*1000</f>
        <v>214.485650198047</v>
      </c>
      <c r="J1831" s="28" t="n">
        <f aca="false">J1829/J1830*1000</f>
        <v>235.132541766185</v>
      </c>
    </row>
    <row r="1832" customFormat="false" ht="17.15" hidden="false" customHeight="false" outlineLevel="0" collapsed="false">
      <c r="A1832" s="0" t="s">
        <v>514</v>
      </c>
      <c r="B1832" s="0" t="s">
        <v>90</v>
      </c>
      <c r="D1832" s="22" t="n">
        <f aca="false">D1831/C1831-1</f>
        <v>1.05123783910799</v>
      </c>
      <c r="E1832" s="22" t="n">
        <f aca="false">E1831/D1831-1</f>
        <v>0.492035173283066</v>
      </c>
      <c r="F1832" s="22" t="n">
        <f aca="false">F1831/E1831-1</f>
        <v>0.280467364080433</v>
      </c>
      <c r="G1832" s="22" t="n">
        <f aca="false">G1831/F1831-1</f>
        <v>0.202194216549385</v>
      </c>
      <c r="H1832" s="26" t="n">
        <f aca="false">H1831/G1831-1</f>
        <v>0.189533986802648</v>
      </c>
      <c r="I1832" s="26" t="n">
        <f aca="false">I1831/H1831-1</f>
        <v>0.142794154681386</v>
      </c>
      <c r="J1832" s="26" t="n">
        <f aca="false">J1831/I1831-1</f>
        <v>0.0962623445860988</v>
      </c>
    </row>
    <row r="1833" customFormat="false" ht="17.15" hidden="false" customHeight="false" outlineLevel="0" collapsed="false">
      <c r="A1833" s="4" t="s">
        <v>515</v>
      </c>
      <c r="B1833" s="0" t="s">
        <v>90</v>
      </c>
      <c r="C1833" s="14" t="n">
        <f aca="false">C1829/C1819</f>
        <v>0.237721462211258</v>
      </c>
      <c r="D1833" s="14" t="n">
        <f aca="false">D1829/D1819</f>
        <v>0.314376072488123</v>
      </c>
      <c r="E1833" s="14" t="n">
        <f aca="false">E1829/E1819</f>
        <v>0.315863953568118</v>
      </c>
      <c r="F1833" s="14" t="n">
        <f aca="false">F1829/F1819</f>
        <v>0.328032147023208</v>
      </c>
      <c r="G1833" s="14" t="n">
        <f aca="false">G1829/G1819</f>
        <v>0.331087989439623</v>
      </c>
      <c r="H1833" s="27" t="n">
        <f aca="false">$G1833+(fade_mA-$G1833)*1/3</f>
        <v>0.34324629520153</v>
      </c>
      <c r="I1833" s="27" t="n">
        <f aca="false">$G1833+(fade_mA-$G1833)*2/3</f>
        <v>0.355404600963436</v>
      </c>
      <c r="J1833" s="27" t="n">
        <f aca="false">$G1833+(fade_mA-$G1833)*3/3</f>
        <v>0.367562906725343</v>
      </c>
    </row>
    <row r="1836" customFormat="false" ht="17.15" hidden="false" customHeight="false" outlineLevel="0" collapsed="false">
      <c r="A1836" s="1" t="s">
        <v>857</v>
      </c>
    </row>
    <row r="1837" customFormat="false" ht="17.15" hidden="false" customHeight="false" outlineLevel="0" collapsed="false">
      <c r="A1837" s="5" t="s">
        <v>21</v>
      </c>
      <c r="B1837" s="5" t="s">
        <v>22</v>
      </c>
      <c r="C1837" s="15" t="s">
        <v>387</v>
      </c>
      <c r="D1837" s="15" t="s">
        <v>468</v>
      </c>
      <c r="E1837" s="15" t="s">
        <v>469</v>
      </c>
      <c r="F1837" s="15" t="s">
        <v>470</v>
      </c>
      <c r="G1837" s="15" t="s">
        <v>471</v>
      </c>
      <c r="H1837" s="15" t="s">
        <v>472</v>
      </c>
      <c r="I1837" s="15" t="s">
        <v>473</v>
      </c>
      <c r="J1837" s="15" t="s">
        <v>474</v>
      </c>
      <c r="K1837" s="5" t="s">
        <v>336</v>
      </c>
    </row>
    <row r="1838" customFormat="false" ht="17.15" hidden="false" customHeight="false" outlineLevel="0" collapsed="false">
      <c r="A1838" s="6" t="s">
        <v>492</v>
      </c>
    </row>
    <row r="1839" customFormat="false" ht="17.15" hidden="false" customHeight="false" outlineLevel="0" collapsed="false">
      <c r="A1839" s="0" t="s">
        <v>493</v>
      </c>
      <c r="B1839" s="4" t="s">
        <v>32</v>
      </c>
      <c r="D1839" s="20" t="n">
        <f aca="false">units_26</f>
        <v>15.2</v>
      </c>
      <c r="E1839" s="20" t="n">
        <f aca="false">units_27*1</f>
        <v>23.7</v>
      </c>
      <c r="F1839" s="20" t="n">
        <f aca="false">units_28*um28_B*1</f>
        <v>21.2</v>
      </c>
      <c r="G1839" s="20" t="n">
        <f aca="false">units_29*um29_B*1</f>
        <v>25.6275</v>
      </c>
    </row>
    <row r="1840" customFormat="false" ht="17.15" hidden="false" customHeight="false" outlineLevel="0" collapsed="false">
      <c r="A1840" s="4" t="s">
        <v>494</v>
      </c>
      <c r="B1840" s="0" t="s">
        <v>45</v>
      </c>
      <c r="D1840" s="18" t="n">
        <f aca="false">ex_nv*nvtt_26+astt_26</f>
        <v>0.607994</v>
      </c>
      <c r="E1840" s="18" t="n">
        <f aca="false">ex_nv*nvtt_27+astt_27</f>
        <v>0.6560764</v>
      </c>
      <c r="F1840" s="18" t="n">
        <f aca="false">ex_nv*nvtt_28+astt_28</f>
        <v>0.6898114</v>
      </c>
      <c r="G1840" s="18" t="n">
        <f aca="false">ex_nv*nvtt_29+astt_29</f>
        <v>0.692935</v>
      </c>
      <c r="K1840" s="8" t="s">
        <v>495</v>
      </c>
    </row>
    <row r="1841" customFormat="false" ht="17.15" hidden="false" customHeight="false" outlineLevel="0" collapsed="false">
      <c r="A1841" s="4" t="s">
        <v>447</v>
      </c>
      <c r="B1841" s="0" t="s">
        <v>45</v>
      </c>
      <c r="D1841" s="18" t="n">
        <f aca="false">D1839*D1840/($D1839*$D1840)</f>
        <v>1</v>
      </c>
      <c r="E1841" s="18" t="n">
        <f aca="false">E1839*E1840/($D1839*$D1840)</f>
        <v>1.68251862509724</v>
      </c>
      <c r="F1841" s="18" t="n">
        <f aca="false">F1839*F1840/($D1839*$D1840)</f>
        <v>1.58242577012966</v>
      </c>
      <c r="G1841" s="18" t="n">
        <f aca="false">G1839*G1840/($D1839*$D1840)</f>
        <v>1.92156844697264</v>
      </c>
    </row>
    <row r="1842" customFormat="false" ht="17.15" hidden="false" customHeight="false" outlineLevel="0" collapsed="false">
      <c r="A1842" s="4" t="s">
        <v>496</v>
      </c>
      <c r="B1842" s="0" t="s">
        <v>45</v>
      </c>
      <c r="D1842" s="20" t="n">
        <f aca="false">1</f>
        <v>1</v>
      </c>
      <c r="E1842" s="20" t="n">
        <f aca="false">rel27_B</f>
        <v>1</v>
      </c>
      <c r="F1842" s="20" t="n">
        <f aca="false">rel28_B</f>
        <v>1</v>
      </c>
      <c r="G1842" s="20" t="n">
        <f aca="false">rel29_B</f>
        <v>1</v>
      </c>
    </row>
    <row r="1843" customFormat="false" ht="17.15" hidden="false" customHeight="false" outlineLevel="0" collapsed="false">
      <c r="A1843" s="4" t="s">
        <v>497</v>
      </c>
      <c r="B1843" s="0" t="s">
        <v>45</v>
      </c>
      <c r="D1843" s="18" t="n">
        <f aca="false">1</f>
        <v>1</v>
      </c>
      <c r="E1843" s="18" t="n">
        <f aca="false">(1+g_ct)^1</f>
        <v>1.05</v>
      </c>
      <c r="F1843" s="18" t="n">
        <f aca="false">(1+g_ct)^2</f>
        <v>1.1025</v>
      </c>
      <c r="G1843" s="18" t="n">
        <f aca="false">(1+g_ct)^3</f>
        <v>1.157625</v>
      </c>
    </row>
    <row r="1844" customFormat="false" ht="17.15" hidden="false" customHeight="false" outlineLevel="0" collapsed="false">
      <c r="A1844" s="6" t="s">
        <v>498</v>
      </c>
    </row>
    <row r="1845" customFormat="false" ht="17.15" hidden="false" customHeight="false" outlineLevel="0" collapsed="false">
      <c r="A1845" s="0" t="s">
        <v>401</v>
      </c>
      <c r="B1845" s="0" t="s">
        <v>189</v>
      </c>
      <c r="C1845" s="17" t="n">
        <f aca="false">a25_ai</f>
        <v>5.4297243</v>
      </c>
      <c r="D1845" s="17" t="n">
        <f aca="false">a26_ai</f>
        <v>9.5342409</v>
      </c>
      <c r="E1845" s="17" t="n">
        <f aca="false">$D1845*E1841*E1842*E1843</f>
        <v>16.8436147849345</v>
      </c>
      <c r="F1845" s="17" t="n">
        <f aca="false">$D1845*F1841*F1842*F1843</f>
        <v>16.6336694199096</v>
      </c>
      <c r="G1845" s="17" t="n">
        <f aca="false">$D1845*G1841*G1842*G1843</f>
        <v>21.2084962618219</v>
      </c>
      <c r="K1845" s="8" t="s">
        <v>499</v>
      </c>
    </row>
    <row r="1846" customFormat="false" ht="17.15" hidden="false" customHeight="false" outlineLevel="0" collapsed="false">
      <c r="A1846" s="4" t="s">
        <v>404</v>
      </c>
      <c r="B1846" s="0" t="s">
        <v>189</v>
      </c>
      <c r="C1846" s="17" t="n">
        <f aca="false">a25_npc</f>
        <v>4.4425017</v>
      </c>
      <c r="D1846" s="17" t="n">
        <f aca="false">a26_npc</f>
        <v>6.3561606</v>
      </c>
      <c r="E1846" s="17" t="n">
        <f aca="false">D1846*(1+g_nonai+d_npc)</f>
        <v>6.801091842</v>
      </c>
      <c r="F1846" s="17" t="n">
        <f aca="false">E1846*(1+g_nonai+d_npc)</f>
        <v>7.27716827094</v>
      </c>
      <c r="G1846" s="17" t="n">
        <f aca="false">F1846*(1+g_nonai+d_npc)</f>
        <v>7.7865700499058</v>
      </c>
      <c r="K1846" s="4" t="s">
        <v>500</v>
      </c>
    </row>
    <row r="1847" customFormat="false" ht="15" hidden="false" customHeight="false" outlineLevel="0" collapsed="false">
      <c r="A1847" s="4" t="s">
        <v>398</v>
      </c>
      <c r="B1847" s="0" t="s">
        <v>189</v>
      </c>
      <c r="C1847" s="17" t="n">
        <f aca="false">C1845+C1846</f>
        <v>9.872226</v>
      </c>
      <c r="D1847" s="17" t="n">
        <f aca="false">D1845+D1846</f>
        <v>15.8904015</v>
      </c>
      <c r="E1847" s="17" t="n">
        <f aca="false">E1845+E1846</f>
        <v>23.6447066269345</v>
      </c>
      <c r="F1847" s="17" t="n">
        <f aca="false">F1845+F1846</f>
        <v>23.9108376908495</v>
      </c>
      <c r="G1847" s="17" t="n">
        <f aca="false">G1845+G1846</f>
        <v>28.9950663117277</v>
      </c>
    </row>
    <row r="1848" customFormat="false" ht="17.15" hidden="false" customHeight="false" outlineLevel="0" collapsed="false">
      <c r="A1848" s="0" t="s">
        <v>501</v>
      </c>
      <c r="B1848" s="0" t="s">
        <v>189</v>
      </c>
      <c r="D1848" s="17" t="n">
        <f aca="false">k_cpo*cpo_A_26/cpo_A_27</f>
        <v>0.24</v>
      </c>
      <c r="E1848" s="17" t="n">
        <f aca="false">k_cpo*cpo_B_27/cpo_A_27</f>
        <v>0.72</v>
      </c>
      <c r="F1848" s="17" t="n">
        <f aca="false">k_cpo*cpo_B_28/cpo_A_27</f>
        <v>1.2</v>
      </c>
      <c r="G1848" s="17" t="n">
        <f aca="false">k_cpo*cpo_B_29/cpo_A_27</f>
        <v>1.92</v>
      </c>
      <c r="K1848" s="8" t="s">
        <v>502</v>
      </c>
    </row>
    <row r="1849" customFormat="false" ht="17.15" hidden="false" customHeight="false" outlineLevel="0" collapsed="false">
      <c r="A1849" s="4" t="s">
        <v>503</v>
      </c>
      <c r="B1849" s="0" t="s">
        <v>189</v>
      </c>
      <c r="C1849" s="17" t="n">
        <f aca="false">a25_eq</f>
        <v>3.290742</v>
      </c>
      <c r="D1849" s="17" t="n">
        <f aca="false">a26_eq-D1848</f>
        <v>4.8539955</v>
      </c>
      <c r="E1849" s="17" t="n">
        <f aca="false">D1849*semi_27</f>
        <v>5.659593717153</v>
      </c>
      <c r="F1849" s="17" t="n">
        <f aca="false">$E1849*eqk28_B</f>
        <v>5.659593717153</v>
      </c>
      <c r="G1849" s="17" t="n">
        <f aca="false">$E1849*eqk29_B</f>
        <v>5.37661403129535</v>
      </c>
      <c r="K1849" s="8" t="s">
        <v>504</v>
      </c>
    </row>
    <row r="1850" customFormat="false" ht="15" hidden="false" customHeight="false" outlineLevel="0" collapsed="false">
      <c r="A1850" s="4" t="s">
        <v>405</v>
      </c>
      <c r="B1850" s="0" t="s">
        <v>189</v>
      </c>
      <c r="C1850" s="17" t="n">
        <f aca="false">a25_eq</f>
        <v>3.290742</v>
      </c>
      <c r="D1850" s="17" t="n">
        <f aca="false">D1848+D1849</f>
        <v>5.0939955</v>
      </c>
      <c r="E1850" s="17" t="n">
        <f aca="false">E1848+E1849</f>
        <v>6.379593717153</v>
      </c>
      <c r="F1850" s="17" t="n">
        <f aca="false">F1848+F1849</f>
        <v>6.859593717153</v>
      </c>
      <c r="G1850" s="17" t="n">
        <f aca="false">G1848+G1849</f>
        <v>7.29661403129535</v>
      </c>
    </row>
    <row r="1851" customFormat="false" ht="15" hidden="false" customHeight="false" outlineLevel="0" collapsed="false">
      <c r="A1851" s="4" t="s">
        <v>407</v>
      </c>
      <c r="B1851" s="0" t="s">
        <v>189</v>
      </c>
      <c r="C1851" s="17" t="n">
        <f aca="false">a25_oth</f>
        <v>0.214032000000001</v>
      </c>
      <c r="D1851" s="17" t="n">
        <f aca="false">a26_oth</f>
        <v>0.428253</v>
      </c>
      <c r="E1851" s="17" t="n">
        <f aca="false">D1851*(1+g_oth)</f>
        <v>0.44966565</v>
      </c>
      <c r="F1851" s="17" t="n">
        <f aca="false">E1851*(1+g_oth)</f>
        <v>0.4721489325</v>
      </c>
      <c r="G1851" s="17" t="n">
        <f aca="false">F1851*(1+g_oth)</f>
        <v>0.495756379125</v>
      </c>
    </row>
    <row r="1852" customFormat="false" ht="17.15" hidden="false" customHeight="false" outlineLevel="0" collapsed="false">
      <c r="A1852" s="4" t="s">
        <v>394</v>
      </c>
      <c r="B1852" s="0" t="s">
        <v>189</v>
      </c>
      <c r="C1852" s="17" t="n">
        <f aca="false">C1847+C1850+C1851</f>
        <v>13.377</v>
      </c>
      <c r="D1852" s="17" t="n">
        <f aca="false">D1847+D1850+D1851</f>
        <v>21.41265</v>
      </c>
      <c r="E1852" s="17" t="n">
        <f aca="false">E1847+E1850+E1851</f>
        <v>30.4739659940875</v>
      </c>
      <c r="F1852" s="17" t="n">
        <f aca="false">F1847+F1850+F1851</f>
        <v>31.2425803405026</v>
      </c>
      <c r="G1852" s="17" t="n">
        <f aca="false">G1847+G1850+G1851</f>
        <v>36.7874367221481</v>
      </c>
      <c r="H1852" s="30" t="n">
        <f aca="false">G1852*(1+H1853)</f>
        <v>41.6305651224657</v>
      </c>
      <c r="I1852" s="30" t="n">
        <f aca="false">H1852*(1+I1853)</f>
        <v>45.2035436566513</v>
      </c>
      <c r="J1852" s="30" t="n">
        <f aca="false">I1852*(1+J1853)</f>
        <v>47.0116854029173</v>
      </c>
      <c r="K1852" s="8" t="s">
        <v>505</v>
      </c>
    </row>
    <row r="1853" customFormat="false" ht="15" hidden="false" customHeight="false" outlineLevel="0" collapsed="false">
      <c r="A1853" s="4" t="s">
        <v>506</v>
      </c>
      <c r="B1853" s="0" t="s">
        <v>90</v>
      </c>
      <c r="D1853" s="22" t="n">
        <f aca="false">D1852/C1852-1</f>
        <v>0.600706436420722</v>
      </c>
      <c r="E1853" s="22" t="n">
        <f aca="false">E1852/D1852-1</f>
        <v>0.423175832701115</v>
      </c>
      <c r="F1853" s="22" t="n">
        <f aca="false">F1852/E1852-1</f>
        <v>0.0252219992161231</v>
      </c>
      <c r="G1853" s="22" t="n">
        <f aca="false">G1852/F1852-1</f>
        <v>0.177477542546549</v>
      </c>
      <c r="H1853" s="26" t="n">
        <f aca="false">$G1853+(fade_gB-$G1853)*1/3</f>
        <v>0.131651695031033</v>
      </c>
      <c r="I1853" s="26" t="n">
        <f aca="false">$G1853+(fade_gB-$G1853)*2/3</f>
        <v>0.0858258475155164</v>
      </c>
      <c r="J1853" s="26" t="n">
        <f aca="false">$G1853+(fade_gB-$G1853)*3/3</f>
        <v>0.04</v>
      </c>
    </row>
    <row r="1854" customFormat="false" ht="17.15" hidden="false" customHeight="false" outlineLevel="0" collapsed="false">
      <c r="A1854" s="0" t="s">
        <v>507</v>
      </c>
      <c r="B1854" s="0" t="s">
        <v>90</v>
      </c>
      <c r="C1854" s="22" t="n">
        <f aca="false">C1845/C1852</f>
        <v>0.4059</v>
      </c>
      <c r="D1854" s="22" t="n">
        <f aca="false">D1845/D1852</f>
        <v>0.445262071719287</v>
      </c>
      <c r="E1854" s="22" t="n">
        <f aca="false">E1845/E1852</f>
        <v>0.552721453722252</v>
      </c>
      <c r="F1854" s="22" t="n">
        <f aca="false">F1845/F1852</f>
        <v>0.532403829601291</v>
      </c>
      <c r="G1854" s="22" t="n">
        <f aca="false">G1845/G1852</f>
        <v>0.576514651510178</v>
      </c>
    </row>
    <row r="1855" customFormat="false" ht="17.15" hidden="false" customHeight="false" outlineLevel="0" collapsed="false">
      <c r="A1855" s="4" t="s">
        <v>508</v>
      </c>
      <c r="B1855" s="0" t="s">
        <v>90</v>
      </c>
      <c r="C1855" s="22" t="n">
        <f aca="false">C1847/C1852</f>
        <v>0.738</v>
      </c>
      <c r="D1855" s="22" t="n">
        <f aca="false">D1847/D1852</f>
        <v>0.742103452865479</v>
      </c>
      <c r="E1855" s="22" t="n">
        <f aca="false">E1847/E1852</f>
        <v>0.775898569668353</v>
      </c>
      <c r="F1855" s="22" t="n">
        <f aca="false">F1847/F1852</f>
        <v>0.765328517371268</v>
      </c>
      <c r="G1855" s="22" t="n">
        <f aca="false">G1847/G1852</f>
        <v>0.788178489594821</v>
      </c>
    </row>
    <row r="1856" customFormat="false" ht="17.15" hidden="false" customHeight="false" outlineLevel="0" collapsed="false">
      <c r="A1856" s="6" t="s">
        <v>509</v>
      </c>
    </row>
    <row r="1857" customFormat="false" ht="15" hidden="false" customHeight="false" outlineLevel="0" collapsed="false">
      <c r="A1857" s="4" t="s">
        <v>412</v>
      </c>
      <c r="B1857" s="0" t="s">
        <v>90</v>
      </c>
      <c r="C1857" s="14" t="n">
        <f aca="false">a25_gp/a25_rev</f>
        <v>0.574</v>
      </c>
      <c r="D1857" s="14" t="n">
        <f aca="false">a26_gp/a26_rev</f>
        <v>0.593344593032623</v>
      </c>
      <c r="E1857" s="14" t="n">
        <f aca="false">gm27_B+gm_adj</f>
        <v>0.595</v>
      </c>
      <c r="F1857" s="14" t="n">
        <f aca="false">gmL_B+gm_adj</f>
        <v>0.595</v>
      </c>
      <c r="G1857" s="14" t="n">
        <f aca="false">gmL_B+gm_adj</f>
        <v>0.595</v>
      </c>
    </row>
    <row r="1858" customFormat="false" ht="15" hidden="false" customHeight="false" outlineLevel="0" collapsed="false">
      <c r="A1858" s="4" t="s">
        <v>409</v>
      </c>
      <c r="B1858" s="0" t="s">
        <v>189</v>
      </c>
      <c r="C1858" s="17" t="n">
        <f aca="false">C1852*C1857</f>
        <v>7.678398</v>
      </c>
      <c r="D1858" s="17" t="n">
        <f aca="false">D1852*D1857</f>
        <v>12.7050801</v>
      </c>
      <c r="E1858" s="17" t="n">
        <f aca="false">E1852*E1857</f>
        <v>18.1320097664821</v>
      </c>
      <c r="F1858" s="17" t="n">
        <f aca="false">F1852*F1857</f>
        <v>18.589335302599</v>
      </c>
      <c r="G1858" s="17" t="n">
        <f aca="false">G1852*G1857</f>
        <v>21.8885248496781</v>
      </c>
    </row>
    <row r="1859" customFormat="false" ht="17.15" hidden="false" customHeight="false" outlineLevel="0" collapsed="false">
      <c r="A1859" s="4" t="s">
        <v>510</v>
      </c>
      <c r="B1859" s="0" t="s">
        <v>189</v>
      </c>
      <c r="D1859" s="17" t="n">
        <f aca="false">a26_opx</f>
        <v>5.05564928556</v>
      </c>
      <c r="E1859" s="17" t="n">
        <f aca="false">D1859*(1+phi_hi*E1853)</f>
        <v>6.98113502219548</v>
      </c>
      <c r="F1859" s="17" t="n">
        <f aca="false">E1859*(1+phi_hi*F1853)</f>
        <v>7.1396053860472</v>
      </c>
      <c r="G1859" s="17" t="n">
        <f aca="false">F1859*(1+phi_hi*G1853)</f>
        <v>8.28001304284819</v>
      </c>
      <c r="K1859" s="8" t="s">
        <v>511</v>
      </c>
    </row>
    <row r="1860" customFormat="false" ht="15" hidden="false" customHeight="false" outlineLevel="0" collapsed="false">
      <c r="A1860" s="4" t="s">
        <v>415</v>
      </c>
      <c r="B1860" s="0" t="s">
        <v>189</v>
      </c>
      <c r="D1860" s="17" t="n">
        <f aca="false">D1858-D1859</f>
        <v>7.64943081444</v>
      </c>
      <c r="E1860" s="17" t="n">
        <f aca="false">E1858-E1859</f>
        <v>11.1508747442866</v>
      </c>
      <c r="F1860" s="17" t="n">
        <f aca="false">F1858-F1859</f>
        <v>11.4497299165518</v>
      </c>
      <c r="G1860" s="17" t="n">
        <f aca="false">G1858-G1859</f>
        <v>13.6085118068299</v>
      </c>
    </row>
    <row r="1861" customFormat="false" ht="15" hidden="false" customHeight="false" outlineLevel="0" collapsed="false">
      <c r="A1861" s="4" t="s">
        <v>482</v>
      </c>
      <c r="B1861" s="0" t="s">
        <v>90</v>
      </c>
      <c r="D1861" s="14" t="n">
        <f aca="false">D1860/D1852</f>
        <v>0.357238866484999</v>
      </c>
      <c r="E1861" s="14" t="n">
        <f aca="false">E1860/E1852</f>
        <v>0.365914785966817</v>
      </c>
      <c r="F1861" s="14" t="n">
        <f aca="false">F1860/F1852</f>
        <v>0.366478369960643</v>
      </c>
      <c r="G1861" s="14" t="n">
        <f aca="false">G1860/G1852</f>
        <v>0.369922805701677</v>
      </c>
    </row>
    <row r="1862" customFormat="false" ht="15" hidden="false" customHeight="false" outlineLevel="0" collapsed="false">
      <c r="A1862" s="4" t="s">
        <v>418</v>
      </c>
      <c r="B1862" s="0" t="s">
        <v>189</v>
      </c>
      <c r="C1862" s="17" t="n">
        <f aca="false">a25_ni</f>
        <v>3.18</v>
      </c>
      <c r="D1862" s="17" t="n">
        <f aca="false">a26_ni</f>
        <v>6.7316248085628</v>
      </c>
      <c r="E1862" s="17" t="n">
        <f aca="false">E1860*ni_oi</f>
        <v>9.4782435326436</v>
      </c>
      <c r="F1862" s="17" t="n">
        <f aca="false">F1860*ni_oi</f>
        <v>9.73227042906904</v>
      </c>
      <c r="G1862" s="17" t="n">
        <f aca="false">G1860*ni_oi</f>
        <v>11.5672350358054</v>
      </c>
      <c r="H1862" s="30" t="n">
        <f aca="false">H1852*H1866</f>
        <v>12.9883451767088</v>
      </c>
      <c r="I1862" s="30" t="n">
        <f aca="false">I1852*I1866</f>
        <v>13.9926133760902</v>
      </c>
      <c r="J1862" s="30" t="n">
        <f aca="false">J1852*J1866</f>
        <v>14.4374316765707</v>
      </c>
    </row>
    <row r="1863" customFormat="false" ht="15" hidden="false" customHeight="false" outlineLevel="0" collapsed="false">
      <c r="A1863" s="4" t="s">
        <v>512</v>
      </c>
      <c r="B1863" s="4" t="s">
        <v>513</v>
      </c>
      <c r="C1863" s="19" t="n">
        <f aca="false">a25_sh</f>
        <v>94.9537175276202</v>
      </c>
      <c r="D1863" s="19" t="n">
        <f aca="false">a26_sh</f>
        <v>97.9860681630967</v>
      </c>
      <c r="E1863" s="19" t="n">
        <f aca="false">D1863*(1+sh_g)</f>
        <v>97.9860681630967</v>
      </c>
      <c r="F1863" s="19" t="n">
        <f aca="false">E1863*(1+sh_g)</f>
        <v>97.9860681630967</v>
      </c>
      <c r="G1863" s="19" t="n">
        <f aca="false">F1863*(1+sh_g)</f>
        <v>97.9860681630967</v>
      </c>
      <c r="H1863" s="25" t="n">
        <f aca="false">G1863*(1+sh_g)</f>
        <v>97.9860681630967</v>
      </c>
      <c r="I1863" s="25" t="n">
        <f aca="false">H1863*(1+sh_g)</f>
        <v>97.9860681630967</v>
      </c>
      <c r="J1863" s="25" t="n">
        <f aca="false">I1863*(1+sh_g)</f>
        <v>97.9860681630967</v>
      </c>
    </row>
    <row r="1864" customFormat="false" ht="15" hidden="false" customHeight="false" outlineLevel="0" collapsed="false">
      <c r="A1864" s="0" t="s">
        <v>423</v>
      </c>
      <c r="B1864" s="0" t="s">
        <v>256</v>
      </c>
      <c r="C1864" s="20" t="n">
        <f aca="false">a25_eps</f>
        <v>33.49</v>
      </c>
      <c r="D1864" s="20" t="n">
        <f aca="false">a26_eps</f>
        <v>68.6959552317267</v>
      </c>
      <c r="E1864" s="20" t="n">
        <f aca="false">E1862/E1863*1000</f>
        <v>96.7305221071548</v>
      </c>
      <c r="F1864" s="20" t="n">
        <f aca="false">F1862/F1863*1000</f>
        <v>99.3230018462399</v>
      </c>
      <c r="G1864" s="20" t="n">
        <f aca="false">G1862/G1863*1000</f>
        <v>118.04979271698</v>
      </c>
      <c r="H1864" s="28" t="n">
        <f aca="false">H1862/H1863*1000</f>
        <v>132.552978399846</v>
      </c>
      <c r="I1864" s="28" t="n">
        <f aca="false">I1862/I1863*1000</f>
        <v>142.802070114698</v>
      </c>
      <c r="J1864" s="28" t="n">
        <f aca="false">J1862/J1863*1000</f>
        <v>147.341677722385</v>
      </c>
    </row>
    <row r="1865" customFormat="false" ht="17.15" hidden="false" customHeight="false" outlineLevel="0" collapsed="false">
      <c r="A1865" s="0" t="s">
        <v>514</v>
      </c>
      <c r="B1865" s="0" t="s">
        <v>90</v>
      </c>
      <c r="D1865" s="22" t="n">
        <f aca="false">D1864/C1864-1</f>
        <v>1.05123783910799</v>
      </c>
      <c r="E1865" s="22" t="n">
        <f aca="false">E1864/D1864-1</f>
        <v>0.408096325043611</v>
      </c>
      <c r="F1865" s="22" t="n">
        <f aca="false">F1864/E1864-1</f>
        <v>0.0268010518563442</v>
      </c>
      <c r="G1865" s="22" t="n">
        <f aca="false">G1864/F1864-1</f>
        <v>0.188544350479163</v>
      </c>
      <c r="H1865" s="26" t="n">
        <f aca="false">H1864/G1864-1</f>
        <v>0.122856511215035</v>
      </c>
      <c r="I1865" s="26" t="n">
        <f aca="false">I1864/H1864-1</f>
        <v>0.077320719900656</v>
      </c>
      <c r="J1865" s="26" t="n">
        <f aca="false">J1864/I1864-1</f>
        <v>0.0317895084016673</v>
      </c>
    </row>
    <row r="1866" customFormat="false" ht="17.15" hidden="false" customHeight="false" outlineLevel="0" collapsed="false">
      <c r="A1866" s="4" t="s">
        <v>515</v>
      </c>
      <c r="B1866" s="0" t="s">
        <v>90</v>
      </c>
      <c r="C1866" s="14" t="n">
        <f aca="false">C1862/C1852</f>
        <v>0.237721462211258</v>
      </c>
      <c r="D1866" s="14" t="n">
        <f aca="false">D1862/D1852</f>
        <v>0.314376072488123</v>
      </c>
      <c r="E1866" s="14" t="n">
        <f aca="false">E1862/E1852</f>
        <v>0.311027568071794</v>
      </c>
      <c r="F1866" s="14" t="n">
        <f aca="false">F1862/F1852</f>
        <v>0.311506614466547</v>
      </c>
      <c r="G1866" s="14" t="n">
        <f aca="false">G1862/G1852</f>
        <v>0.314434384846425</v>
      </c>
      <c r="H1866" s="27" t="n">
        <f aca="false">$G1866+(fade_mB-$G1866)*1/3</f>
        <v>0.311990604463347</v>
      </c>
      <c r="I1866" s="27" t="n">
        <f aca="false">$G1866+(fade_mB-$G1866)*2/3</f>
        <v>0.309546824080268</v>
      </c>
      <c r="J1866" s="27" t="n">
        <f aca="false">$G1866+(fade_mB-$G1866)*3/3</f>
        <v>0.30710304369719</v>
      </c>
    </row>
    <row r="1869" customFormat="false" ht="17.15" hidden="false" customHeight="false" outlineLevel="0" collapsed="false">
      <c r="A1869" s="1" t="s">
        <v>858</v>
      </c>
    </row>
    <row r="1870" customFormat="false" ht="17.15" hidden="false" customHeight="false" outlineLevel="0" collapsed="false">
      <c r="A1870" s="5" t="s">
        <v>21</v>
      </c>
      <c r="B1870" s="5" t="s">
        <v>22</v>
      </c>
      <c r="C1870" s="15" t="s">
        <v>387</v>
      </c>
      <c r="D1870" s="15" t="s">
        <v>468</v>
      </c>
      <c r="E1870" s="15" t="s">
        <v>469</v>
      </c>
      <c r="F1870" s="15" t="s">
        <v>470</v>
      </c>
      <c r="G1870" s="15" t="s">
        <v>471</v>
      </c>
      <c r="H1870" s="15" t="s">
        <v>472</v>
      </c>
      <c r="I1870" s="15" t="s">
        <v>473</v>
      </c>
      <c r="J1870" s="15" t="s">
        <v>474</v>
      </c>
      <c r="K1870" s="5" t="s">
        <v>336</v>
      </c>
    </row>
    <row r="1871" customFormat="false" ht="17.15" hidden="false" customHeight="false" outlineLevel="0" collapsed="false">
      <c r="A1871" s="6" t="s">
        <v>492</v>
      </c>
    </row>
    <row r="1872" customFormat="false" ht="17.15" hidden="false" customHeight="false" outlineLevel="0" collapsed="false">
      <c r="A1872" s="0" t="s">
        <v>493</v>
      </c>
      <c r="B1872" s="4" t="s">
        <v>32</v>
      </c>
      <c r="D1872" s="20" t="n">
        <f aca="false">units_26</f>
        <v>15.2</v>
      </c>
      <c r="E1872" s="20" t="n">
        <f aca="false">units_27*1</f>
        <v>23.7</v>
      </c>
      <c r="F1872" s="20" t="n">
        <f aca="false">units_28*um28_C*1</f>
        <v>15.9</v>
      </c>
      <c r="G1872" s="20" t="n">
        <f aca="false">units_29*um29_C*1</f>
        <v>18.09</v>
      </c>
    </row>
    <row r="1873" customFormat="false" ht="17.15" hidden="false" customHeight="false" outlineLevel="0" collapsed="false">
      <c r="A1873" s="4" t="s">
        <v>494</v>
      </c>
      <c r="B1873" s="0" t="s">
        <v>45</v>
      </c>
      <c r="D1873" s="18" t="n">
        <f aca="false">ex_nv*nvtt_26+astt_26</f>
        <v>0.607994</v>
      </c>
      <c r="E1873" s="18" t="n">
        <f aca="false">ex_nv*nvtt_27+astt_27</f>
        <v>0.6560764</v>
      </c>
      <c r="F1873" s="18" t="n">
        <f aca="false">ex_nv*nvtt_28+astt_28</f>
        <v>0.6898114</v>
      </c>
      <c r="G1873" s="18" t="n">
        <f aca="false">ex_nv*nvtt_29+astt_29</f>
        <v>0.692935</v>
      </c>
      <c r="K1873" s="8" t="s">
        <v>495</v>
      </c>
    </row>
    <row r="1874" customFormat="false" ht="17.15" hidden="false" customHeight="false" outlineLevel="0" collapsed="false">
      <c r="A1874" s="4" t="s">
        <v>447</v>
      </c>
      <c r="B1874" s="0" t="s">
        <v>45</v>
      </c>
      <c r="D1874" s="18" t="n">
        <f aca="false">D1872*D1873/($D1872*$D1873)</f>
        <v>1</v>
      </c>
      <c r="E1874" s="18" t="n">
        <f aca="false">E1872*E1873/($D1872*$D1873)</f>
        <v>1.68251862509724</v>
      </c>
      <c r="F1874" s="18" t="n">
        <f aca="false">F1872*F1873/($D1872*$D1873)</f>
        <v>1.18681932759724</v>
      </c>
      <c r="G1874" s="18" t="n">
        <f aca="false">G1872*G1873/($D1872*$D1873)</f>
        <v>1.35640125668657</v>
      </c>
    </row>
    <row r="1875" customFormat="false" ht="17.15" hidden="false" customHeight="false" outlineLevel="0" collapsed="false">
      <c r="A1875" s="4" t="s">
        <v>496</v>
      </c>
      <c r="B1875" s="0" t="s">
        <v>45</v>
      </c>
      <c r="D1875" s="20" t="n">
        <f aca="false">1</f>
        <v>1</v>
      </c>
      <c r="E1875" s="20" t="n">
        <f aca="false">rel27_C</f>
        <v>0.92</v>
      </c>
      <c r="F1875" s="20" t="n">
        <f aca="false">rel28_C</f>
        <v>0.88</v>
      </c>
      <c r="G1875" s="20" t="n">
        <f aca="false">rel29_C</f>
        <v>0.85</v>
      </c>
    </row>
    <row r="1876" customFormat="false" ht="17.15" hidden="false" customHeight="false" outlineLevel="0" collapsed="false">
      <c r="A1876" s="4" t="s">
        <v>497</v>
      </c>
      <c r="B1876" s="0" t="s">
        <v>45</v>
      </c>
      <c r="D1876" s="18" t="n">
        <f aca="false">1</f>
        <v>1</v>
      </c>
      <c r="E1876" s="18" t="n">
        <f aca="false">(1+g_ct)^1</f>
        <v>1.05</v>
      </c>
      <c r="F1876" s="18" t="n">
        <f aca="false">(1+g_ct)^2</f>
        <v>1.1025</v>
      </c>
      <c r="G1876" s="18" t="n">
        <f aca="false">(1+g_ct)^3</f>
        <v>1.157625</v>
      </c>
    </row>
    <row r="1877" customFormat="false" ht="17.15" hidden="false" customHeight="false" outlineLevel="0" collapsed="false">
      <c r="A1877" s="6" t="s">
        <v>498</v>
      </c>
    </row>
    <row r="1878" customFormat="false" ht="17.15" hidden="false" customHeight="false" outlineLevel="0" collapsed="false">
      <c r="A1878" s="0" t="s">
        <v>401</v>
      </c>
      <c r="B1878" s="0" t="s">
        <v>189</v>
      </c>
      <c r="C1878" s="17" t="n">
        <f aca="false">a25_ai</f>
        <v>5.4297243</v>
      </c>
      <c r="D1878" s="17" t="n">
        <f aca="false">a26_ai</f>
        <v>9.5342409</v>
      </c>
      <c r="E1878" s="17" t="n">
        <f aca="false">$D1878*E1874*E1875*E1876</f>
        <v>15.4961256021398</v>
      </c>
      <c r="F1878" s="17" t="n">
        <f aca="false">$D1878*F1874*F1875*F1876</f>
        <v>10.9782218171403</v>
      </c>
      <c r="G1878" s="17" t="n">
        <f aca="false">$D1878*G1874*G1875*G1876</f>
        <v>12.7250977570932</v>
      </c>
      <c r="K1878" s="8" t="s">
        <v>499</v>
      </c>
    </row>
    <row r="1879" customFormat="false" ht="17.15" hidden="false" customHeight="false" outlineLevel="0" collapsed="false">
      <c r="A1879" s="4" t="s">
        <v>404</v>
      </c>
      <c r="B1879" s="0" t="s">
        <v>189</v>
      </c>
      <c r="C1879" s="17" t="n">
        <f aca="false">a25_npc</f>
        <v>4.4425017</v>
      </c>
      <c r="D1879" s="17" t="n">
        <f aca="false">a26_npc</f>
        <v>6.3561606</v>
      </c>
      <c r="E1879" s="17" t="n">
        <f aca="false">D1879*(1+g_nonai+d_npc)</f>
        <v>6.801091842</v>
      </c>
      <c r="F1879" s="17" t="n">
        <f aca="false">E1879*(1+g_nonai+d_npc)</f>
        <v>7.27716827094</v>
      </c>
      <c r="G1879" s="17" t="n">
        <f aca="false">F1879*(1+g_nonai+d_npc)</f>
        <v>7.7865700499058</v>
      </c>
      <c r="K1879" s="4" t="s">
        <v>500</v>
      </c>
    </row>
    <row r="1880" customFormat="false" ht="15" hidden="false" customHeight="false" outlineLevel="0" collapsed="false">
      <c r="A1880" s="4" t="s">
        <v>398</v>
      </c>
      <c r="B1880" s="0" t="s">
        <v>189</v>
      </c>
      <c r="C1880" s="17" t="n">
        <f aca="false">C1878+C1879</f>
        <v>9.872226</v>
      </c>
      <c r="D1880" s="17" t="n">
        <f aca="false">D1878+D1879</f>
        <v>15.8904015</v>
      </c>
      <c r="E1880" s="17" t="n">
        <f aca="false">E1878+E1879</f>
        <v>22.2972174441398</v>
      </c>
      <c r="F1880" s="17" t="n">
        <f aca="false">F1878+F1879</f>
        <v>18.2553900880803</v>
      </c>
      <c r="G1880" s="17" t="n">
        <f aca="false">G1878+G1879</f>
        <v>20.511667806999</v>
      </c>
    </row>
    <row r="1881" customFormat="false" ht="17.15" hidden="false" customHeight="false" outlineLevel="0" collapsed="false">
      <c r="A1881" s="0" t="s">
        <v>501</v>
      </c>
      <c r="B1881" s="0" t="s">
        <v>189</v>
      </c>
      <c r="D1881" s="17" t="n">
        <f aca="false">k_cpo*cpo_A_26/cpo_A_27</f>
        <v>0.24</v>
      </c>
      <c r="E1881" s="17" t="n">
        <f aca="false">k_cpo*cpo_C_27/cpo_A_27</f>
        <v>0.48</v>
      </c>
      <c r="F1881" s="17" t="n">
        <f aca="false">k_cpo*cpo_C_28/cpo_A_27</f>
        <v>0.72</v>
      </c>
      <c r="G1881" s="17" t="n">
        <f aca="false">k_cpo*cpo_C_29/cpo_A_27</f>
        <v>1.2</v>
      </c>
      <c r="K1881" s="8" t="s">
        <v>502</v>
      </c>
    </row>
    <row r="1882" customFormat="false" ht="17.15" hidden="false" customHeight="false" outlineLevel="0" collapsed="false">
      <c r="A1882" s="4" t="s">
        <v>503</v>
      </c>
      <c r="B1882" s="0" t="s">
        <v>189</v>
      </c>
      <c r="C1882" s="17" t="n">
        <f aca="false">a25_eq</f>
        <v>3.290742</v>
      </c>
      <c r="D1882" s="17" t="n">
        <f aca="false">a26_eq-D1881</f>
        <v>4.8539955</v>
      </c>
      <c r="E1882" s="17" t="n">
        <f aca="false">D1882*semi_27</f>
        <v>5.659593717153</v>
      </c>
      <c r="F1882" s="17" t="n">
        <f aca="false">$E1882*eqk28_C</f>
        <v>4.5276749737224</v>
      </c>
      <c r="G1882" s="17" t="n">
        <f aca="false">$E1882*eqk29_C</f>
        <v>5.659593717153</v>
      </c>
      <c r="K1882" s="8" t="s">
        <v>504</v>
      </c>
    </row>
    <row r="1883" customFormat="false" ht="15" hidden="false" customHeight="false" outlineLevel="0" collapsed="false">
      <c r="A1883" s="4" t="s">
        <v>405</v>
      </c>
      <c r="B1883" s="0" t="s">
        <v>189</v>
      </c>
      <c r="C1883" s="17" t="n">
        <f aca="false">a25_eq</f>
        <v>3.290742</v>
      </c>
      <c r="D1883" s="17" t="n">
        <f aca="false">D1881+D1882</f>
        <v>5.0939955</v>
      </c>
      <c r="E1883" s="17" t="n">
        <f aca="false">E1881+E1882</f>
        <v>6.139593717153</v>
      </c>
      <c r="F1883" s="17" t="n">
        <f aca="false">F1881+F1882</f>
        <v>5.2476749737224</v>
      </c>
      <c r="G1883" s="17" t="n">
        <f aca="false">G1881+G1882</f>
        <v>6.859593717153</v>
      </c>
    </row>
    <row r="1884" customFormat="false" ht="15" hidden="false" customHeight="false" outlineLevel="0" collapsed="false">
      <c r="A1884" s="4" t="s">
        <v>407</v>
      </c>
      <c r="B1884" s="0" t="s">
        <v>189</v>
      </c>
      <c r="C1884" s="17" t="n">
        <f aca="false">a25_oth</f>
        <v>0.214032000000001</v>
      </c>
      <c r="D1884" s="17" t="n">
        <f aca="false">a26_oth</f>
        <v>0.428253</v>
      </c>
      <c r="E1884" s="17" t="n">
        <f aca="false">D1884*(1+g_oth)</f>
        <v>0.44966565</v>
      </c>
      <c r="F1884" s="17" t="n">
        <f aca="false">E1884*(1+g_oth)</f>
        <v>0.4721489325</v>
      </c>
      <c r="G1884" s="17" t="n">
        <f aca="false">F1884*(1+g_oth)</f>
        <v>0.495756379125</v>
      </c>
    </row>
    <row r="1885" customFormat="false" ht="17.15" hidden="false" customHeight="false" outlineLevel="0" collapsed="false">
      <c r="A1885" s="4" t="s">
        <v>394</v>
      </c>
      <c r="B1885" s="0" t="s">
        <v>189</v>
      </c>
      <c r="C1885" s="17" t="n">
        <f aca="false">C1880+C1883+C1884</f>
        <v>13.377</v>
      </c>
      <c r="D1885" s="17" t="n">
        <f aca="false">D1880+D1883+D1884</f>
        <v>21.41265</v>
      </c>
      <c r="E1885" s="17" t="n">
        <f aca="false">E1880+E1883+E1884</f>
        <v>28.8864768112928</v>
      </c>
      <c r="F1885" s="17" t="n">
        <f aca="false">F1880+F1883+F1884</f>
        <v>23.9752139943027</v>
      </c>
      <c r="G1885" s="17" t="n">
        <f aca="false">G1880+G1883+G1884</f>
        <v>27.867017903277</v>
      </c>
      <c r="H1885" s="30" t="n">
        <f aca="false">G1885*(1+H1886)</f>
        <v>31.0684949623466</v>
      </c>
      <c r="I1885" s="30" t="n">
        <f aca="false">H1885*(1+I1886)</f>
        <v>33.1638178346034</v>
      </c>
      <c r="J1885" s="30" t="n">
        <f aca="false">I1885*(1+J1886)</f>
        <v>33.8270941912954</v>
      </c>
      <c r="K1885" s="8" t="s">
        <v>505</v>
      </c>
    </row>
    <row r="1886" customFormat="false" ht="15" hidden="false" customHeight="false" outlineLevel="0" collapsed="false">
      <c r="A1886" s="4" t="s">
        <v>506</v>
      </c>
      <c r="B1886" s="0" t="s">
        <v>90</v>
      </c>
      <c r="D1886" s="22" t="n">
        <f aca="false">D1885/C1885-1</f>
        <v>0.600706436420722</v>
      </c>
      <c r="E1886" s="22" t="n">
        <f aca="false">E1885/D1885-1</f>
        <v>0.349037919701333</v>
      </c>
      <c r="F1886" s="22" t="n">
        <f aca="false">F1885/E1885-1</f>
        <v>-0.170019447130017</v>
      </c>
      <c r="G1886" s="22" t="n">
        <f aca="false">G1885/F1885-1</f>
        <v>0.162326138565398</v>
      </c>
      <c r="H1886" s="26" t="n">
        <f aca="false">$G1886+(fade_gC-$G1886)*1/3</f>
        <v>0.114884092376932</v>
      </c>
      <c r="I1886" s="26" t="n">
        <f aca="false">$G1886+(fade_gC-$G1886)*2/3</f>
        <v>0.0674420461884661</v>
      </c>
      <c r="J1886" s="26" t="n">
        <f aca="false">$G1886+(fade_gC-$G1886)*3/3</f>
        <v>0.02</v>
      </c>
    </row>
    <row r="1887" customFormat="false" ht="17.15" hidden="false" customHeight="false" outlineLevel="0" collapsed="false">
      <c r="A1887" s="0" t="s">
        <v>507</v>
      </c>
      <c r="B1887" s="0" t="s">
        <v>90</v>
      </c>
      <c r="C1887" s="22" t="n">
        <f aca="false">C1878/C1885</f>
        <v>0.4059</v>
      </c>
      <c r="D1887" s="22" t="n">
        <f aca="false">D1878/D1885</f>
        <v>0.445262071719287</v>
      </c>
      <c r="E1887" s="22" t="n">
        <f aca="false">E1878/E1885</f>
        <v>0.536449138583829</v>
      </c>
      <c r="F1887" s="22" t="n">
        <f aca="false">F1878/F1885</f>
        <v>0.457898804146194</v>
      </c>
      <c r="G1887" s="22" t="n">
        <f aca="false">G1878/G1885</f>
        <v>0.456636508479681</v>
      </c>
    </row>
    <row r="1888" customFormat="false" ht="17.15" hidden="false" customHeight="false" outlineLevel="0" collapsed="false">
      <c r="A1888" s="4" t="s">
        <v>508</v>
      </c>
      <c r="B1888" s="0" t="s">
        <v>90</v>
      </c>
      <c r="C1888" s="22" t="n">
        <f aca="false">C1880/C1885</f>
        <v>0.738</v>
      </c>
      <c r="D1888" s="22" t="n">
        <f aca="false">D1880/D1885</f>
        <v>0.742103452865479</v>
      </c>
      <c r="E1888" s="22" t="n">
        <f aca="false">E1880/E1885</f>
        <v>0.771891206733214</v>
      </c>
      <c r="F1888" s="22" t="n">
        <f aca="false">F1880/F1885</f>
        <v>0.761427618223486</v>
      </c>
      <c r="G1888" s="22" t="n">
        <f aca="false">G1880/G1885</f>
        <v>0.736055356844872</v>
      </c>
    </row>
    <row r="1889" customFormat="false" ht="17.15" hidden="false" customHeight="false" outlineLevel="0" collapsed="false">
      <c r="A1889" s="6" t="s">
        <v>509</v>
      </c>
    </row>
    <row r="1890" customFormat="false" ht="15" hidden="false" customHeight="false" outlineLevel="0" collapsed="false">
      <c r="A1890" s="4" t="s">
        <v>412</v>
      </c>
      <c r="B1890" s="0" t="s">
        <v>90</v>
      </c>
      <c r="C1890" s="14" t="n">
        <f aca="false">a25_gp/a25_rev</f>
        <v>0.574</v>
      </c>
      <c r="D1890" s="14" t="n">
        <f aca="false">a26_gp/a26_rev</f>
        <v>0.593344593032623</v>
      </c>
      <c r="E1890" s="14" t="n">
        <f aca="false">gm27_C+gm_adj</f>
        <v>0.58</v>
      </c>
      <c r="F1890" s="14" t="n">
        <f aca="false">gmL_C+gm_adj</f>
        <v>0.565</v>
      </c>
      <c r="G1890" s="14" t="n">
        <f aca="false">gmL_C+gm_adj</f>
        <v>0.565</v>
      </c>
    </row>
    <row r="1891" customFormat="false" ht="15" hidden="false" customHeight="false" outlineLevel="0" collapsed="false">
      <c r="A1891" s="4" t="s">
        <v>409</v>
      </c>
      <c r="B1891" s="0" t="s">
        <v>189</v>
      </c>
      <c r="C1891" s="17" t="n">
        <f aca="false">C1885*C1890</f>
        <v>7.678398</v>
      </c>
      <c r="D1891" s="17" t="n">
        <f aca="false">D1885*D1890</f>
        <v>12.7050801</v>
      </c>
      <c r="E1891" s="17" t="n">
        <f aca="false">E1885*E1890</f>
        <v>16.7541565505498</v>
      </c>
      <c r="F1891" s="17" t="n">
        <f aca="false">F1885*F1890</f>
        <v>13.545995906781</v>
      </c>
      <c r="G1891" s="17" t="n">
        <f aca="false">G1885*G1890</f>
        <v>15.7448651153515</v>
      </c>
    </row>
    <row r="1892" customFormat="false" ht="17.15" hidden="false" customHeight="false" outlineLevel="0" collapsed="false">
      <c r="A1892" s="4" t="s">
        <v>510</v>
      </c>
      <c r="B1892" s="0" t="s">
        <v>189</v>
      </c>
      <c r="D1892" s="17" t="n">
        <f aca="false">a26_opx</f>
        <v>5.05564928556</v>
      </c>
      <c r="E1892" s="17" t="n">
        <f aca="false">D1892*(1+phi_hi*E1886)</f>
        <v>6.64380126399425</v>
      </c>
      <c r="F1892" s="17" t="n">
        <f aca="false">E1892*(1+phi_hi*F1886)</f>
        <v>5.62718338802284</v>
      </c>
      <c r="G1892" s="17" t="n">
        <f aca="false">F1892*(1+phi_hi*G1886)</f>
        <v>6.44927844336224</v>
      </c>
      <c r="K1892" s="8" t="s">
        <v>511</v>
      </c>
    </row>
    <row r="1893" customFormat="false" ht="15" hidden="false" customHeight="false" outlineLevel="0" collapsed="false">
      <c r="A1893" s="4" t="s">
        <v>415</v>
      </c>
      <c r="B1893" s="0" t="s">
        <v>189</v>
      </c>
      <c r="D1893" s="17" t="n">
        <f aca="false">D1891-D1892</f>
        <v>7.64943081444</v>
      </c>
      <c r="E1893" s="17" t="n">
        <f aca="false">E1891-E1892</f>
        <v>10.1103552865555</v>
      </c>
      <c r="F1893" s="17" t="n">
        <f aca="false">F1891-F1892</f>
        <v>7.91881251875818</v>
      </c>
      <c r="G1893" s="17" t="n">
        <f aca="false">G1891-G1892</f>
        <v>9.29558667198924</v>
      </c>
    </row>
    <row r="1894" customFormat="false" ht="15" hidden="false" customHeight="false" outlineLevel="0" collapsed="false">
      <c r="A1894" s="4" t="s">
        <v>482</v>
      </c>
      <c r="B1894" s="0" t="s">
        <v>90</v>
      </c>
      <c r="D1894" s="14" t="n">
        <f aca="false">D1893/D1885</f>
        <v>0.357238866484999</v>
      </c>
      <c r="E1894" s="14" t="n">
        <f aca="false">E1893/E1885</f>
        <v>0.35000306034563</v>
      </c>
      <c r="F1894" s="14" t="n">
        <f aca="false">F1893/F1885</f>
        <v>0.330291630374601</v>
      </c>
      <c r="G1894" s="14" t="n">
        <f aca="false">G1893/G1885</f>
        <v>0.333569480030231</v>
      </c>
    </row>
    <row r="1895" customFormat="false" ht="15" hidden="false" customHeight="false" outlineLevel="0" collapsed="false">
      <c r="A1895" s="4" t="s">
        <v>418</v>
      </c>
      <c r="B1895" s="0" t="s">
        <v>189</v>
      </c>
      <c r="C1895" s="17" t="n">
        <f aca="false">a25_ni</f>
        <v>3.18</v>
      </c>
      <c r="D1895" s="17" t="n">
        <f aca="false">a26_ni</f>
        <v>6.7316248085628</v>
      </c>
      <c r="E1895" s="17" t="n">
        <f aca="false">E1893*ni_oi</f>
        <v>8.59380199357221</v>
      </c>
      <c r="F1895" s="17" t="n">
        <f aca="false">F1893*ni_oi</f>
        <v>6.73099064094445</v>
      </c>
      <c r="G1895" s="17" t="n">
        <f aca="false">G1893*ni_oi</f>
        <v>7.90124867119086</v>
      </c>
      <c r="H1895" s="30" t="n">
        <f aca="false">H1885*H1899</f>
        <v>8.32881745383192</v>
      </c>
      <c r="I1895" s="30" t="n">
        <f aca="false">I1885*I1899</f>
        <v>8.37798804022705</v>
      </c>
      <c r="J1895" s="30" t="n">
        <f aca="false">J1885*J1899</f>
        <v>8.02275505790965</v>
      </c>
    </row>
    <row r="1896" customFormat="false" ht="15" hidden="false" customHeight="false" outlineLevel="0" collapsed="false">
      <c r="A1896" s="4" t="s">
        <v>512</v>
      </c>
      <c r="B1896" s="4" t="s">
        <v>513</v>
      </c>
      <c r="C1896" s="19" t="n">
        <f aca="false">a25_sh</f>
        <v>94.9537175276202</v>
      </c>
      <c r="D1896" s="19" t="n">
        <f aca="false">a26_sh</f>
        <v>97.9860681630967</v>
      </c>
      <c r="E1896" s="19" t="n">
        <f aca="false">D1896*(1+sh_g)</f>
        <v>97.9860681630967</v>
      </c>
      <c r="F1896" s="19" t="n">
        <f aca="false">E1896*(1+sh_g)</f>
        <v>97.9860681630967</v>
      </c>
      <c r="G1896" s="19" t="n">
        <f aca="false">F1896*(1+sh_g)</f>
        <v>97.9860681630967</v>
      </c>
      <c r="H1896" s="25" t="n">
        <f aca="false">G1896*(1+sh_g)</f>
        <v>97.9860681630967</v>
      </c>
      <c r="I1896" s="25" t="n">
        <f aca="false">H1896*(1+sh_g)</f>
        <v>97.9860681630967</v>
      </c>
      <c r="J1896" s="25" t="n">
        <f aca="false">I1896*(1+sh_g)</f>
        <v>97.9860681630967</v>
      </c>
    </row>
    <row r="1897" customFormat="false" ht="15" hidden="false" customHeight="false" outlineLevel="0" collapsed="false">
      <c r="A1897" s="0" t="s">
        <v>423</v>
      </c>
      <c r="B1897" s="0" t="s">
        <v>256</v>
      </c>
      <c r="C1897" s="20" t="n">
        <f aca="false">a25_eps</f>
        <v>33.49</v>
      </c>
      <c r="D1897" s="20" t="n">
        <f aca="false">a26_eps</f>
        <v>68.6959552317267</v>
      </c>
      <c r="E1897" s="20" t="n">
        <f aca="false">E1895/E1896*1000</f>
        <v>87.7043252645664</v>
      </c>
      <c r="F1897" s="20" t="n">
        <f aca="false">F1895/F1896*1000</f>
        <v>68.6933435245182</v>
      </c>
      <c r="G1897" s="20" t="n">
        <f aca="false">G1895/G1896*1000</f>
        <v>80.6364498475367</v>
      </c>
      <c r="H1897" s="28" t="n">
        <f aca="false">H1895/H1896*1000</f>
        <v>85.0000169408645</v>
      </c>
      <c r="I1897" s="28" t="n">
        <f aca="false">I1895/I1896*1000</f>
        <v>85.5018289567654</v>
      </c>
      <c r="J1897" s="28" t="n">
        <f aca="false">J1895/J1896*1000</f>
        <v>81.8764872222025</v>
      </c>
    </row>
    <row r="1898" customFormat="false" ht="17.15" hidden="false" customHeight="false" outlineLevel="0" collapsed="false">
      <c r="A1898" s="0" t="s">
        <v>514</v>
      </c>
      <c r="B1898" s="0" t="s">
        <v>90</v>
      </c>
      <c r="D1898" s="22" t="n">
        <f aca="false">D1897/C1897-1</f>
        <v>1.05123783910799</v>
      </c>
      <c r="E1898" s="22" t="n">
        <f aca="false">E1897/D1897-1</f>
        <v>0.276702900028397</v>
      </c>
      <c r="F1898" s="22" t="n">
        <f aca="false">F1897/E1897-1</f>
        <v>-0.216762191405045</v>
      </c>
      <c r="G1898" s="22" t="n">
        <f aca="false">G1897/F1897-1</f>
        <v>0.173861188147811</v>
      </c>
      <c r="H1898" s="26" t="n">
        <f aca="false">H1897/G1897-1</f>
        <v>0.0541140774622171</v>
      </c>
      <c r="I1898" s="26" t="n">
        <f aca="false">I1897/H1897-1</f>
        <v>0.00590366959867827</v>
      </c>
      <c r="J1898" s="26" t="n">
        <f aca="false">J1897/I1897-1</f>
        <v>-0.042400750706702</v>
      </c>
    </row>
    <row r="1899" customFormat="false" ht="17.15" hidden="false" customHeight="false" outlineLevel="0" collapsed="false">
      <c r="A1899" s="4" t="s">
        <v>515</v>
      </c>
      <c r="B1899" s="0" t="s">
        <v>90</v>
      </c>
      <c r="C1899" s="14" t="n">
        <f aca="false">C1895/C1885</f>
        <v>0.237721462211258</v>
      </c>
      <c r="D1899" s="14" t="n">
        <f aca="false">D1895/D1885</f>
        <v>0.314376072488123</v>
      </c>
      <c r="E1899" s="14" t="n">
        <f aca="false">E1895/E1885</f>
        <v>0.297502601293786</v>
      </c>
      <c r="F1899" s="14" t="n">
        <f aca="false">F1895/F1885</f>
        <v>0.280747885818411</v>
      </c>
      <c r="G1899" s="14" t="n">
        <f aca="false">G1895/G1885</f>
        <v>0.283534058025697</v>
      </c>
      <c r="H1899" s="27" t="n">
        <f aca="false">$G1899+(fade_mC-$G1899)*1/3</f>
        <v>0.26807920576539</v>
      </c>
      <c r="I1899" s="27" t="n">
        <f aca="false">$G1899+(fade_mC-$G1899)*2/3</f>
        <v>0.252624353505084</v>
      </c>
      <c r="J1899" s="27" t="n">
        <f aca="false">$G1899+(fade_mC-$G1899)*3/3</f>
        <v>0.237169501244778</v>
      </c>
    </row>
    <row r="1902" customFormat="false" ht="17.15" hidden="false" customHeight="false" outlineLevel="0" collapsed="false">
      <c r="A1902" s="1" t="s">
        <v>859</v>
      </c>
    </row>
    <row r="1903" customFormat="false" ht="17.15" hidden="false" customHeight="false" outlineLevel="0" collapsed="false">
      <c r="A1903" s="5" t="s">
        <v>21</v>
      </c>
      <c r="B1903" s="5" t="s">
        <v>22</v>
      </c>
      <c r="C1903" s="15" t="s">
        <v>387</v>
      </c>
      <c r="D1903" s="15" t="s">
        <v>468</v>
      </c>
      <c r="E1903" s="15" t="s">
        <v>469</v>
      </c>
      <c r="F1903" s="15" t="s">
        <v>470</v>
      </c>
      <c r="G1903" s="15" t="s">
        <v>471</v>
      </c>
      <c r="H1903" s="15" t="s">
        <v>472</v>
      </c>
      <c r="I1903" s="15" t="s">
        <v>473</v>
      </c>
      <c r="J1903" s="15" t="s">
        <v>474</v>
      </c>
      <c r="K1903" s="5" t="s">
        <v>336</v>
      </c>
    </row>
    <row r="1904" customFormat="false" ht="17.15" hidden="false" customHeight="false" outlineLevel="0" collapsed="false">
      <c r="A1904" s="6" t="s">
        <v>492</v>
      </c>
    </row>
    <row r="1905" customFormat="false" ht="17.15" hidden="false" customHeight="false" outlineLevel="0" collapsed="false">
      <c r="A1905" s="0" t="s">
        <v>493</v>
      </c>
      <c r="B1905" s="4" t="s">
        <v>32</v>
      </c>
      <c r="D1905" s="20" t="n">
        <f aca="false">units_26</f>
        <v>15.2</v>
      </c>
      <c r="E1905" s="20" t="n">
        <f aca="false">units_27*1</f>
        <v>23.7</v>
      </c>
      <c r="F1905" s="20" t="n">
        <f aca="false">units_28*um28_A*1</f>
        <v>26.5</v>
      </c>
      <c r="G1905" s="20" t="n">
        <f aca="false">units_29*um29_A*1</f>
        <v>30.15</v>
      </c>
    </row>
    <row r="1906" customFormat="false" ht="17.15" hidden="false" customHeight="false" outlineLevel="0" collapsed="false">
      <c r="A1906" s="4" t="s">
        <v>494</v>
      </c>
      <c r="B1906" s="0" t="s">
        <v>45</v>
      </c>
      <c r="D1906" s="18" t="n">
        <f aca="false">ex_nv*nvtt_26+astt_26</f>
        <v>0.607994</v>
      </c>
      <c r="E1906" s="18" t="n">
        <f aca="false">ex_nv*nvtt_27+astt_27</f>
        <v>0.6560764</v>
      </c>
      <c r="F1906" s="18" t="n">
        <f aca="false">ex_nv*nvtt_28+astt_28</f>
        <v>0.6898114</v>
      </c>
      <c r="G1906" s="18" t="n">
        <f aca="false">ex_nv*nvtt_29+astt_29</f>
        <v>0.692935</v>
      </c>
      <c r="K1906" s="8" t="s">
        <v>495</v>
      </c>
    </row>
    <row r="1907" customFormat="false" ht="17.15" hidden="false" customHeight="false" outlineLevel="0" collapsed="false">
      <c r="A1907" s="4" t="s">
        <v>447</v>
      </c>
      <c r="B1907" s="0" t="s">
        <v>45</v>
      </c>
      <c r="D1907" s="18" t="n">
        <f aca="false">D1905*D1906/($D1905*$D1906)</f>
        <v>1</v>
      </c>
      <c r="E1907" s="18" t="n">
        <f aca="false">E1905*E1906/($D1905*$D1906)</f>
        <v>1.68251862509724</v>
      </c>
      <c r="F1907" s="18" t="n">
        <f aca="false">F1905*F1906/($D1905*$D1906)</f>
        <v>1.97803221266207</v>
      </c>
      <c r="G1907" s="18" t="n">
        <f aca="false">G1905*G1906/($D1905*$D1906)</f>
        <v>2.26066876114428</v>
      </c>
    </row>
    <row r="1908" customFormat="false" ht="17.15" hidden="false" customHeight="false" outlineLevel="0" collapsed="false">
      <c r="A1908" s="4" t="s">
        <v>496</v>
      </c>
      <c r="B1908" s="0" t="s">
        <v>45</v>
      </c>
      <c r="D1908" s="20" t="n">
        <f aca="false">1</f>
        <v>1</v>
      </c>
      <c r="E1908" s="20" t="n">
        <f aca="false">rel27_A</f>
        <v>1.05</v>
      </c>
      <c r="F1908" s="20" t="n">
        <f aca="false">rel28_A</f>
        <v>1.08</v>
      </c>
      <c r="G1908" s="20" t="n">
        <f aca="false">rel29_A</f>
        <v>1.1</v>
      </c>
    </row>
    <row r="1909" customFormat="false" ht="17.15" hidden="false" customHeight="false" outlineLevel="0" collapsed="false">
      <c r="A1909" s="4" t="s">
        <v>497</v>
      </c>
      <c r="B1909" s="0" t="s">
        <v>45</v>
      </c>
      <c r="D1909" s="18" t="n">
        <f aca="false">1</f>
        <v>1</v>
      </c>
      <c r="E1909" s="18" t="n">
        <f aca="false">(1+g_ct)^1</f>
        <v>1.05</v>
      </c>
      <c r="F1909" s="18" t="n">
        <f aca="false">(1+g_ct)^2</f>
        <v>1.1025</v>
      </c>
      <c r="G1909" s="18" t="n">
        <f aca="false">(1+g_ct)^3</f>
        <v>1.157625</v>
      </c>
    </row>
    <row r="1910" customFormat="false" ht="17.15" hidden="false" customHeight="false" outlineLevel="0" collapsed="false">
      <c r="A1910" s="6" t="s">
        <v>498</v>
      </c>
    </row>
    <row r="1911" customFormat="false" ht="17.15" hidden="false" customHeight="false" outlineLevel="0" collapsed="false">
      <c r="A1911" s="0" t="s">
        <v>401</v>
      </c>
      <c r="B1911" s="0" t="s">
        <v>189</v>
      </c>
      <c r="C1911" s="17" t="n">
        <f aca="false">a25_ai</f>
        <v>5.4297243</v>
      </c>
      <c r="D1911" s="17" t="n">
        <f aca="false">a26_ai</f>
        <v>9.5342409</v>
      </c>
      <c r="E1911" s="17" t="n">
        <f aca="false">$D1911*E1907*E1908*E1909</f>
        <v>17.6857955241812</v>
      </c>
      <c r="F1911" s="17" t="n">
        <f aca="false">$D1911*F1907*F1908*F1909</f>
        <v>22.4554537168779</v>
      </c>
      <c r="G1911" s="17" t="n">
        <f aca="false">$D1911*G1907*G1908*G1909</f>
        <v>27.4462892800048</v>
      </c>
      <c r="K1911" s="8" t="s">
        <v>499</v>
      </c>
    </row>
    <row r="1912" customFormat="false" ht="17.15" hidden="false" customHeight="false" outlineLevel="0" collapsed="false">
      <c r="A1912" s="4" t="s">
        <v>404</v>
      </c>
      <c r="B1912" s="0" t="s">
        <v>189</v>
      </c>
      <c r="C1912" s="17" t="n">
        <f aca="false">a25_npc</f>
        <v>4.4425017</v>
      </c>
      <c r="D1912" s="17" t="n">
        <f aca="false">a26_npc</f>
        <v>6.3561606</v>
      </c>
      <c r="E1912" s="17" t="n">
        <f aca="false">D1912*(1+g_nonai+d_npc)</f>
        <v>6.801091842</v>
      </c>
      <c r="F1912" s="17" t="n">
        <f aca="false">E1912*(1+g_nonai+d_npc)</f>
        <v>7.27716827094</v>
      </c>
      <c r="G1912" s="17" t="n">
        <f aca="false">F1912*(1+g_nonai+d_npc)</f>
        <v>7.7865700499058</v>
      </c>
      <c r="K1912" s="4" t="s">
        <v>500</v>
      </c>
    </row>
    <row r="1913" customFormat="false" ht="15" hidden="false" customHeight="false" outlineLevel="0" collapsed="false">
      <c r="A1913" s="4" t="s">
        <v>398</v>
      </c>
      <c r="B1913" s="0" t="s">
        <v>189</v>
      </c>
      <c r="C1913" s="17" t="n">
        <f aca="false">C1911+C1912</f>
        <v>9.872226</v>
      </c>
      <c r="D1913" s="17" t="n">
        <f aca="false">D1911+D1912</f>
        <v>15.8904015</v>
      </c>
      <c r="E1913" s="17" t="n">
        <f aca="false">E1911+E1912</f>
        <v>24.4868873661812</v>
      </c>
      <c r="F1913" s="17" t="n">
        <f aca="false">F1911+F1912</f>
        <v>29.7326219878179</v>
      </c>
      <c r="G1913" s="17" t="n">
        <f aca="false">G1911+G1912</f>
        <v>35.2328593299106</v>
      </c>
    </row>
    <row r="1914" customFormat="false" ht="17.15" hidden="false" customHeight="false" outlineLevel="0" collapsed="false">
      <c r="A1914" s="0" t="s">
        <v>501</v>
      </c>
      <c r="B1914" s="0" t="s">
        <v>189</v>
      </c>
      <c r="D1914" s="17" t="n">
        <f aca="false">k_cpo*cpo_A_26/cpo_A_27</f>
        <v>0.24</v>
      </c>
      <c r="E1914" s="17" t="n">
        <f aca="false">k_cpo*cpo_A_27/cpo_A_27</f>
        <v>1.2</v>
      </c>
      <c r="F1914" s="17" t="n">
        <f aca="false">k_cpo*cpo_A_28/cpo_A_27</f>
        <v>2.4</v>
      </c>
      <c r="G1914" s="17" t="n">
        <f aca="false">k_cpo*cpo_A_29/cpo_A_27</f>
        <v>3.84</v>
      </c>
      <c r="K1914" s="8" t="s">
        <v>502</v>
      </c>
    </row>
    <row r="1915" customFormat="false" ht="17.15" hidden="false" customHeight="false" outlineLevel="0" collapsed="false">
      <c r="A1915" s="4" t="s">
        <v>503</v>
      </c>
      <c r="B1915" s="0" t="s">
        <v>189</v>
      </c>
      <c r="C1915" s="17" t="n">
        <f aca="false">a25_eq</f>
        <v>3.290742</v>
      </c>
      <c r="D1915" s="17" t="n">
        <f aca="false">a26_eq-D1914</f>
        <v>4.8539955</v>
      </c>
      <c r="E1915" s="17" t="n">
        <f aca="false">D1915*semi_27</f>
        <v>5.659593717153</v>
      </c>
      <c r="F1915" s="17" t="n">
        <f aca="false">$E1915*eqk28_A</f>
        <v>6.59889384801401</v>
      </c>
      <c r="G1915" s="17" t="n">
        <f aca="false">$E1915*eqk29_A</f>
        <v>7.12680377116889</v>
      </c>
      <c r="K1915" s="8" t="s">
        <v>504</v>
      </c>
    </row>
    <row r="1916" customFormat="false" ht="15" hidden="false" customHeight="false" outlineLevel="0" collapsed="false">
      <c r="A1916" s="4" t="s">
        <v>405</v>
      </c>
      <c r="B1916" s="0" t="s">
        <v>189</v>
      </c>
      <c r="C1916" s="17" t="n">
        <f aca="false">a25_eq</f>
        <v>3.290742</v>
      </c>
      <c r="D1916" s="17" t="n">
        <f aca="false">D1914+D1915</f>
        <v>5.0939955</v>
      </c>
      <c r="E1916" s="17" t="n">
        <f aca="false">E1914+E1915</f>
        <v>6.859593717153</v>
      </c>
      <c r="F1916" s="17" t="n">
        <f aca="false">F1914+F1915</f>
        <v>8.99889384801401</v>
      </c>
      <c r="G1916" s="17" t="n">
        <f aca="false">G1914+G1915</f>
        <v>10.9668037711689</v>
      </c>
    </row>
    <row r="1917" customFormat="false" ht="15" hidden="false" customHeight="false" outlineLevel="0" collapsed="false">
      <c r="A1917" s="4" t="s">
        <v>407</v>
      </c>
      <c r="B1917" s="0" t="s">
        <v>189</v>
      </c>
      <c r="C1917" s="17" t="n">
        <f aca="false">a25_oth</f>
        <v>0.214032000000001</v>
      </c>
      <c r="D1917" s="17" t="n">
        <f aca="false">a26_oth</f>
        <v>0.428253</v>
      </c>
      <c r="E1917" s="17" t="n">
        <f aca="false">D1917*(1+g_oth)</f>
        <v>0.44966565</v>
      </c>
      <c r="F1917" s="17" t="n">
        <f aca="false">E1917*(1+g_oth)</f>
        <v>0.4721489325</v>
      </c>
      <c r="G1917" s="17" t="n">
        <f aca="false">F1917*(1+g_oth)</f>
        <v>0.495756379125</v>
      </c>
    </row>
    <row r="1918" customFormat="false" ht="17.15" hidden="false" customHeight="false" outlineLevel="0" collapsed="false">
      <c r="A1918" s="4" t="s">
        <v>394</v>
      </c>
      <c r="B1918" s="0" t="s">
        <v>189</v>
      </c>
      <c r="C1918" s="17" t="n">
        <f aca="false">C1913+C1916+C1917</f>
        <v>13.377</v>
      </c>
      <c r="D1918" s="17" t="n">
        <f aca="false">D1913+D1916+D1917</f>
        <v>21.41265</v>
      </c>
      <c r="E1918" s="17" t="n">
        <f aca="false">E1913+E1916+E1917</f>
        <v>31.7961467333342</v>
      </c>
      <c r="F1918" s="17" t="n">
        <f aca="false">F1913+F1916+F1917</f>
        <v>39.2036647683319</v>
      </c>
      <c r="G1918" s="17" t="n">
        <f aca="false">G1913+G1916+G1917</f>
        <v>46.6954194802045</v>
      </c>
      <c r="H1918" s="30" t="n">
        <f aca="false">G1918*(1+H1919)</f>
        <v>53.5782722007526</v>
      </c>
      <c r="I1918" s="30" t="n">
        <f aca="false">H1918*(1+I1919)</f>
        <v>59.1343091320141</v>
      </c>
      <c r="J1918" s="30" t="n">
        <f aca="false">I1918*(1+J1919)</f>
        <v>62.682367679935</v>
      </c>
      <c r="K1918" s="8" t="s">
        <v>505</v>
      </c>
    </row>
    <row r="1919" customFormat="false" ht="15" hidden="false" customHeight="false" outlineLevel="0" collapsed="false">
      <c r="A1919" s="4" t="s">
        <v>506</v>
      </c>
      <c r="B1919" s="0" t="s">
        <v>90</v>
      </c>
      <c r="D1919" s="22" t="n">
        <f aca="false">D1918/C1918-1</f>
        <v>0.600706436420722</v>
      </c>
      <c r="E1919" s="22" t="n">
        <f aca="false">E1918/D1918-1</f>
        <v>0.484923479033854</v>
      </c>
      <c r="F1919" s="22" t="n">
        <f aca="false">F1918/E1918-1</f>
        <v>0.232969048014608</v>
      </c>
      <c r="G1919" s="22" t="n">
        <f aca="false">G1918/F1918-1</f>
        <v>0.191098326040283</v>
      </c>
      <c r="H1919" s="26" t="n">
        <f aca="false">$G1919+(fade_gA-$G1919)*1/3</f>
        <v>0.147398884026855</v>
      </c>
      <c r="I1919" s="26" t="n">
        <f aca="false">$G1919+(fade_gA-$G1919)*2/3</f>
        <v>0.103699442013428</v>
      </c>
      <c r="J1919" s="26" t="n">
        <f aca="false">$G1919+(fade_gA-$G1919)*3/3</f>
        <v>0.06</v>
      </c>
    </row>
    <row r="1920" customFormat="false" ht="17.15" hidden="false" customHeight="false" outlineLevel="0" collapsed="false">
      <c r="A1920" s="0" t="s">
        <v>507</v>
      </c>
      <c r="B1920" s="0" t="s">
        <v>90</v>
      </c>
      <c r="C1920" s="22" t="n">
        <f aca="false">C1911/C1918</f>
        <v>0.4059</v>
      </c>
      <c r="D1920" s="22" t="n">
        <f aca="false">D1911/D1918</f>
        <v>0.445262071719287</v>
      </c>
      <c r="E1920" s="22" t="n">
        <f aca="false">E1911/E1918</f>
        <v>0.556224490738053</v>
      </c>
      <c r="F1920" s="22" t="n">
        <f aca="false">F1911/F1918</f>
        <v>0.572789657537758</v>
      </c>
      <c r="G1920" s="22" t="n">
        <f aca="false">G1911/G1918</f>
        <v>0.587772624928235</v>
      </c>
    </row>
    <row r="1921" customFormat="false" ht="17.15" hidden="false" customHeight="false" outlineLevel="0" collapsed="false">
      <c r="A1921" s="4" t="s">
        <v>508</v>
      </c>
      <c r="B1921" s="0" t="s">
        <v>90</v>
      </c>
      <c r="C1921" s="22" t="n">
        <f aca="false">C1913/C1918</f>
        <v>0.738</v>
      </c>
      <c r="D1921" s="22" t="n">
        <f aca="false">D1913/D1918</f>
        <v>0.742103452865479</v>
      </c>
      <c r="E1921" s="22" t="n">
        <f aca="false">E1913/E1918</f>
        <v>0.770121221654504</v>
      </c>
      <c r="F1921" s="22" t="n">
        <f aca="false">F1913/F1918</f>
        <v>0.758414351401031</v>
      </c>
      <c r="G1921" s="22" t="n">
        <f aca="false">G1913/G1918</f>
        <v>0.754524956025865</v>
      </c>
    </row>
    <row r="1922" customFormat="false" ht="17.15" hidden="false" customHeight="false" outlineLevel="0" collapsed="false">
      <c r="A1922" s="6" t="s">
        <v>509</v>
      </c>
    </row>
    <row r="1923" customFormat="false" ht="15" hidden="false" customHeight="false" outlineLevel="0" collapsed="false">
      <c r="A1923" s="4" t="s">
        <v>412</v>
      </c>
      <c r="B1923" s="0" t="s">
        <v>90</v>
      </c>
      <c r="C1923" s="14" t="n">
        <f aca="false">a25_gp/a25_rev</f>
        <v>0.574</v>
      </c>
      <c r="D1923" s="14" t="n">
        <f aca="false">a26_gp/a26_rev</f>
        <v>0.593344593032623</v>
      </c>
      <c r="E1923" s="14" t="n">
        <f aca="false">gm27_A+gm_adj</f>
        <v>0.6</v>
      </c>
      <c r="F1923" s="14" t="n">
        <f aca="false">gmL_A+gm_adj</f>
        <v>0.61</v>
      </c>
      <c r="G1923" s="14" t="n">
        <f aca="false">gmL_A+gm_adj</f>
        <v>0.61</v>
      </c>
    </row>
    <row r="1924" customFormat="false" ht="15" hidden="false" customHeight="false" outlineLevel="0" collapsed="false">
      <c r="A1924" s="4" t="s">
        <v>409</v>
      </c>
      <c r="B1924" s="0" t="s">
        <v>189</v>
      </c>
      <c r="C1924" s="17" t="n">
        <f aca="false">C1918*C1923</f>
        <v>7.678398</v>
      </c>
      <c r="D1924" s="17" t="n">
        <f aca="false">D1918*D1923</f>
        <v>12.7050801</v>
      </c>
      <c r="E1924" s="17" t="n">
        <f aca="false">E1918*E1923</f>
        <v>19.0776880400005</v>
      </c>
      <c r="F1924" s="17" t="n">
        <f aca="false">F1918*F1923</f>
        <v>23.9142355086825</v>
      </c>
      <c r="G1924" s="17" t="n">
        <f aca="false">G1918*G1923</f>
        <v>28.4842058829248</v>
      </c>
    </row>
    <row r="1925" customFormat="false" ht="17.15" hidden="false" customHeight="false" outlineLevel="0" collapsed="false">
      <c r="A1925" s="4" t="s">
        <v>510</v>
      </c>
      <c r="B1925" s="0" t="s">
        <v>189</v>
      </c>
      <c r="D1925" s="17" t="n">
        <f aca="false">a26_opx</f>
        <v>5.05564928556</v>
      </c>
      <c r="E1925" s="17" t="n">
        <f aca="false">D1925*(1+phi*E1919)</f>
        <v>6.52661110975726</v>
      </c>
      <c r="F1925" s="17" t="n">
        <f aca="false">E1925*(1+phi*F1919)</f>
        <v>7.43891013595829</v>
      </c>
      <c r="G1925" s="17" t="n">
        <f aca="false">F1925*(1+phi*G1919)</f>
        <v>8.29184810068572</v>
      </c>
      <c r="K1925" s="8" t="s">
        <v>511</v>
      </c>
    </row>
    <row r="1926" customFormat="false" ht="15" hidden="false" customHeight="false" outlineLevel="0" collapsed="false">
      <c r="A1926" s="4" t="s">
        <v>415</v>
      </c>
      <c r="B1926" s="0" t="s">
        <v>189</v>
      </c>
      <c r="D1926" s="17" t="n">
        <f aca="false">D1924-D1925</f>
        <v>7.64943081444</v>
      </c>
      <c r="E1926" s="17" t="n">
        <f aca="false">E1924-E1925</f>
        <v>12.5510769302433</v>
      </c>
      <c r="F1926" s="17" t="n">
        <f aca="false">F1924-F1925</f>
        <v>16.4753253727242</v>
      </c>
      <c r="G1926" s="17" t="n">
        <f aca="false">G1924-G1925</f>
        <v>20.192357782239</v>
      </c>
    </row>
    <row r="1927" customFormat="false" ht="15" hidden="false" customHeight="false" outlineLevel="0" collapsed="false">
      <c r="A1927" s="4" t="s">
        <v>482</v>
      </c>
      <c r="B1927" s="0" t="s">
        <v>90</v>
      </c>
      <c r="D1927" s="14" t="n">
        <f aca="false">D1926/D1918</f>
        <v>0.357238866484999</v>
      </c>
      <c r="E1927" s="14" t="n">
        <f aca="false">E1926/E1918</f>
        <v>0.394735784669312</v>
      </c>
      <c r="F1927" s="14" t="n">
        <f aca="false">F1926/F1918</f>
        <v>0.420249623857428</v>
      </c>
      <c r="G1927" s="14" t="n">
        <f aca="false">G1926/G1918</f>
        <v>0.432426949088639</v>
      </c>
    </row>
    <row r="1928" customFormat="false" ht="15" hidden="false" customHeight="false" outlineLevel="0" collapsed="false">
      <c r="A1928" s="4" t="s">
        <v>418</v>
      </c>
      <c r="B1928" s="0" t="s">
        <v>189</v>
      </c>
      <c r="C1928" s="17" t="n">
        <f aca="false">a25_ni</f>
        <v>3.18</v>
      </c>
      <c r="D1928" s="17" t="n">
        <f aca="false">a26_ni</f>
        <v>6.7316248085628</v>
      </c>
      <c r="E1928" s="17" t="n">
        <f aca="false">E1926*ni_oi_lo</f>
        <v>10.0408615441946</v>
      </c>
      <c r="F1928" s="17" t="n">
        <f aca="false">F1926*ni_oi_lo</f>
        <v>13.1802602981793</v>
      </c>
      <c r="G1928" s="17" t="n">
        <f aca="false">G1926*ni_oi_lo</f>
        <v>16.1538862257912</v>
      </c>
      <c r="H1928" s="30" t="n">
        <f aca="false">H1918*H1932</f>
        <v>18.9210958412565</v>
      </c>
      <c r="I1928" s="30" t="n">
        <f aca="false">I1918*I1932</f>
        <v>21.3093907370178</v>
      </c>
      <c r="J1928" s="30" t="n">
        <f aca="false">J1918*J1932</f>
        <v>23.0397132648636</v>
      </c>
    </row>
    <row r="1929" customFormat="false" ht="15" hidden="false" customHeight="false" outlineLevel="0" collapsed="false">
      <c r="A1929" s="4" t="s">
        <v>512</v>
      </c>
      <c r="B1929" s="4" t="s">
        <v>513</v>
      </c>
      <c r="C1929" s="19" t="n">
        <f aca="false">a25_sh</f>
        <v>94.9537175276202</v>
      </c>
      <c r="D1929" s="19" t="n">
        <f aca="false">a26_sh</f>
        <v>97.9860681630967</v>
      </c>
      <c r="E1929" s="19" t="n">
        <f aca="false">D1929*(1+sh_g)</f>
        <v>97.9860681630967</v>
      </c>
      <c r="F1929" s="19" t="n">
        <f aca="false">E1929*(1+sh_g)</f>
        <v>97.9860681630967</v>
      </c>
      <c r="G1929" s="19" t="n">
        <f aca="false">F1929*(1+sh_g)</f>
        <v>97.9860681630967</v>
      </c>
      <c r="H1929" s="25" t="n">
        <f aca="false">G1929*(1+sh_g)</f>
        <v>97.9860681630967</v>
      </c>
      <c r="I1929" s="25" t="n">
        <f aca="false">H1929*(1+sh_g)</f>
        <v>97.9860681630967</v>
      </c>
      <c r="J1929" s="25" t="n">
        <f aca="false">I1929*(1+sh_g)</f>
        <v>97.9860681630967</v>
      </c>
    </row>
    <row r="1930" customFormat="false" ht="15" hidden="false" customHeight="false" outlineLevel="0" collapsed="false">
      <c r="A1930" s="0" t="s">
        <v>423</v>
      </c>
      <c r="B1930" s="0" t="s">
        <v>256</v>
      </c>
      <c r="C1930" s="20" t="n">
        <f aca="false">a25_eps</f>
        <v>33.49</v>
      </c>
      <c r="D1930" s="20" t="n">
        <f aca="false">a26_eps</f>
        <v>68.6959552317267</v>
      </c>
      <c r="E1930" s="20" t="n">
        <f aca="false">E1928/E1929*1000</f>
        <v>102.472338490832</v>
      </c>
      <c r="F1930" s="20" t="n">
        <f aca="false">F1928/F1929*1000</f>
        <v>134.511574403016</v>
      </c>
      <c r="G1930" s="20" t="n">
        <f aca="false">G1928/G1929*1000</f>
        <v>164.859010353424</v>
      </c>
      <c r="H1930" s="28" t="n">
        <f aca="false">H1928/H1929*1000</f>
        <v>193.0998579284</v>
      </c>
      <c r="I1930" s="28" t="n">
        <f aca="false">I1928/I1929*1000</f>
        <v>217.473679029028</v>
      </c>
      <c r="J1930" s="28" t="n">
        <f aca="false">J1928/J1929*1000</f>
        <v>235.132541766185</v>
      </c>
    </row>
    <row r="1931" customFormat="false" ht="17.15" hidden="false" customHeight="false" outlineLevel="0" collapsed="false">
      <c r="A1931" s="0" t="s">
        <v>514</v>
      </c>
      <c r="B1931" s="0" t="s">
        <v>90</v>
      </c>
      <c r="D1931" s="22" t="n">
        <f aca="false">D1930/C1930-1</f>
        <v>1.05123783910799</v>
      </c>
      <c r="E1931" s="22" t="n">
        <f aca="false">E1930/D1930-1</f>
        <v>0.491679359362142</v>
      </c>
      <c r="F1931" s="22" t="n">
        <f aca="false">F1930/E1930-1</f>
        <v>0.312662289004456</v>
      </c>
      <c r="G1931" s="22" t="n">
        <f aca="false">G1930/F1930-1</f>
        <v>0.225612078998369</v>
      </c>
      <c r="H1931" s="26" t="n">
        <f aca="false">H1930/G1930-1</f>
        <v>0.171303027444081</v>
      </c>
      <c r="I1931" s="26" t="n">
        <f aca="false">I1930/H1930-1</f>
        <v>0.126223920421865</v>
      </c>
      <c r="J1931" s="26" t="n">
        <f aca="false">J1930/I1930-1</f>
        <v>0.0811999999999999</v>
      </c>
    </row>
    <row r="1932" customFormat="false" ht="17.15" hidden="false" customHeight="false" outlineLevel="0" collapsed="false">
      <c r="A1932" s="4" t="s">
        <v>515</v>
      </c>
      <c r="B1932" s="0" t="s">
        <v>90</v>
      </c>
      <c r="C1932" s="14" t="n">
        <f aca="false">C1928/C1918</f>
        <v>0.237721462211258</v>
      </c>
      <c r="D1932" s="14" t="n">
        <f aca="false">D1928/D1918</f>
        <v>0.314376072488123</v>
      </c>
      <c r="E1932" s="14" t="n">
        <f aca="false">E1928/E1918</f>
        <v>0.31578862773545</v>
      </c>
      <c r="F1932" s="14" t="n">
        <f aca="false">F1928/F1918</f>
        <v>0.336199699085942</v>
      </c>
      <c r="G1932" s="14" t="n">
        <f aca="false">G1928/G1918</f>
        <v>0.345941559270911</v>
      </c>
      <c r="H1932" s="27" t="n">
        <f aca="false">$G1932+(fade_mA-$G1932)*1/3</f>
        <v>0.353148675089055</v>
      </c>
      <c r="I1932" s="27" t="n">
        <f aca="false">$G1932+(fade_mA-$G1932)*2/3</f>
        <v>0.360355790907199</v>
      </c>
      <c r="J1932" s="27" t="n">
        <f aca="false">$G1932+(fade_mA-$G1932)*3/3</f>
        <v>0.367562906725343</v>
      </c>
    </row>
    <row r="1935" customFormat="false" ht="17.15" hidden="false" customHeight="false" outlineLevel="0" collapsed="false">
      <c r="A1935" s="1" t="s">
        <v>860</v>
      </c>
    </row>
    <row r="1936" customFormat="false" ht="17.15" hidden="false" customHeight="false" outlineLevel="0" collapsed="false">
      <c r="A1936" s="5" t="s">
        <v>21</v>
      </c>
      <c r="B1936" s="5" t="s">
        <v>22</v>
      </c>
      <c r="C1936" s="15" t="s">
        <v>387</v>
      </c>
      <c r="D1936" s="15" t="s">
        <v>468</v>
      </c>
      <c r="E1936" s="15" t="s">
        <v>469</v>
      </c>
      <c r="F1936" s="15" t="s">
        <v>470</v>
      </c>
      <c r="G1936" s="15" t="s">
        <v>471</v>
      </c>
      <c r="H1936" s="15" t="s">
        <v>472</v>
      </c>
      <c r="I1936" s="15" t="s">
        <v>473</v>
      </c>
      <c r="J1936" s="15" t="s">
        <v>474</v>
      </c>
      <c r="K1936" s="5" t="s">
        <v>336</v>
      </c>
    </row>
    <row r="1937" customFormat="false" ht="17.15" hidden="false" customHeight="false" outlineLevel="0" collapsed="false">
      <c r="A1937" s="6" t="s">
        <v>492</v>
      </c>
    </row>
    <row r="1938" customFormat="false" ht="17.15" hidden="false" customHeight="false" outlineLevel="0" collapsed="false">
      <c r="A1938" s="0" t="s">
        <v>493</v>
      </c>
      <c r="B1938" s="4" t="s">
        <v>32</v>
      </c>
      <c r="D1938" s="20" t="n">
        <f aca="false">units_26</f>
        <v>15.2</v>
      </c>
      <c r="E1938" s="20" t="n">
        <f aca="false">units_27*1</f>
        <v>23.7</v>
      </c>
      <c r="F1938" s="20" t="n">
        <f aca="false">units_28*um28_B*1</f>
        <v>21.2</v>
      </c>
      <c r="G1938" s="20" t="n">
        <f aca="false">units_29*um29_B*1</f>
        <v>25.6275</v>
      </c>
    </row>
    <row r="1939" customFormat="false" ht="17.15" hidden="false" customHeight="false" outlineLevel="0" collapsed="false">
      <c r="A1939" s="4" t="s">
        <v>494</v>
      </c>
      <c r="B1939" s="0" t="s">
        <v>45</v>
      </c>
      <c r="D1939" s="18" t="n">
        <f aca="false">ex_nv*nvtt_26+astt_26</f>
        <v>0.607994</v>
      </c>
      <c r="E1939" s="18" t="n">
        <f aca="false">ex_nv*nvtt_27+astt_27</f>
        <v>0.6560764</v>
      </c>
      <c r="F1939" s="18" t="n">
        <f aca="false">ex_nv*nvtt_28+astt_28</f>
        <v>0.6898114</v>
      </c>
      <c r="G1939" s="18" t="n">
        <f aca="false">ex_nv*nvtt_29+astt_29</f>
        <v>0.692935</v>
      </c>
      <c r="K1939" s="8" t="s">
        <v>495</v>
      </c>
    </row>
    <row r="1940" customFormat="false" ht="17.15" hidden="false" customHeight="false" outlineLevel="0" collapsed="false">
      <c r="A1940" s="4" t="s">
        <v>447</v>
      </c>
      <c r="B1940" s="0" t="s">
        <v>45</v>
      </c>
      <c r="D1940" s="18" t="n">
        <f aca="false">D1938*D1939/($D1938*$D1939)</f>
        <v>1</v>
      </c>
      <c r="E1940" s="18" t="n">
        <f aca="false">E1938*E1939/($D1938*$D1939)</f>
        <v>1.68251862509724</v>
      </c>
      <c r="F1940" s="18" t="n">
        <f aca="false">F1938*F1939/($D1938*$D1939)</f>
        <v>1.58242577012966</v>
      </c>
      <c r="G1940" s="18" t="n">
        <f aca="false">G1938*G1939/($D1938*$D1939)</f>
        <v>1.92156844697264</v>
      </c>
    </row>
    <row r="1941" customFormat="false" ht="17.15" hidden="false" customHeight="false" outlineLevel="0" collapsed="false">
      <c r="A1941" s="4" t="s">
        <v>496</v>
      </c>
      <c r="B1941" s="0" t="s">
        <v>45</v>
      </c>
      <c r="D1941" s="20" t="n">
        <f aca="false">1</f>
        <v>1</v>
      </c>
      <c r="E1941" s="20" t="n">
        <f aca="false">rel27_B</f>
        <v>1</v>
      </c>
      <c r="F1941" s="20" t="n">
        <f aca="false">rel28_B</f>
        <v>1</v>
      </c>
      <c r="G1941" s="20" t="n">
        <f aca="false">rel29_B</f>
        <v>1</v>
      </c>
    </row>
    <row r="1942" customFormat="false" ht="17.15" hidden="false" customHeight="false" outlineLevel="0" collapsed="false">
      <c r="A1942" s="4" t="s">
        <v>497</v>
      </c>
      <c r="B1942" s="0" t="s">
        <v>45</v>
      </c>
      <c r="D1942" s="18" t="n">
        <f aca="false">1</f>
        <v>1</v>
      </c>
      <c r="E1942" s="18" t="n">
        <f aca="false">(1+g_ct)^1</f>
        <v>1.05</v>
      </c>
      <c r="F1942" s="18" t="n">
        <f aca="false">(1+g_ct)^2</f>
        <v>1.1025</v>
      </c>
      <c r="G1942" s="18" t="n">
        <f aca="false">(1+g_ct)^3</f>
        <v>1.157625</v>
      </c>
    </row>
    <row r="1943" customFormat="false" ht="17.15" hidden="false" customHeight="false" outlineLevel="0" collapsed="false">
      <c r="A1943" s="6" t="s">
        <v>498</v>
      </c>
    </row>
    <row r="1944" customFormat="false" ht="17.15" hidden="false" customHeight="false" outlineLevel="0" collapsed="false">
      <c r="A1944" s="0" t="s">
        <v>401</v>
      </c>
      <c r="B1944" s="0" t="s">
        <v>189</v>
      </c>
      <c r="C1944" s="17" t="n">
        <f aca="false">a25_ai</f>
        <v>5.4297243</v>
      </c>
      <c r="D1944" s="17" t="n">
        <f aca="false">a26_ai</f>
        <v>9.5342409</v>
      </c>
      <c r="E1944" s="17" t="n">
        <f aca="false">$D1944*E1940*E1941*E1942</f>
        <v>16.8436147849345</v>
      </c>
      <c r="F1944" s="17" t="n">
        <f aca="false">$D1944*F1940*F1941*F1942</f>
        <v>16.6336694199096</v>
      </c>
      <c r="G1944" s="17" t="n">
        <f aca="false">$D1944*G1940*G1941*G1942</f>
        <v>21.2084962618219</v>
      </c>
      <c r="K1944" s="8" t="s">
        <v>499</v>
      </c>
    </row>
    <row r="1945" customFormat="false" ht="17.15" hidden="false" customHeight="false" outlineLevel="0" collapsed="false">
      <c r="A1945" s="4" t="s">
        <v>404</v>
      </c>
      <c r="B1945" s="0" t="s">
        <v>189</v>
      </c>
      <c r="C1945" s="17" t="n">
        <f aca="false">a25_npc</f>
        <v>4.4425017</v>
      </c>
      <c r="D1945" s="17" t="n">
        <f aca="false">a26_npc</f>
        <v>6.3561606</v>
      </c>
      <c r="E1945" s="17" t="n">
        <f aca="false">D1945*(1+g_nonai+d_npc)</f>
        <v>6.801091842</v>
      </c>
      <c r="F1945" s="17" t="n">
        <f aca="false">E1945*(1+g_nonai+d_npc)</f>
        <v>7.27716827094</v>
      </c>
      <c r="G1945" s="17" t="n">
        <f aca="false">F1945*(1+g_nonai+d_npc)</f>
        <v>7.7865700499058</v>
      </c>
      <c r="K1945" s="4" t="s">
        <v>500</v>
      </c>
    </row>
    <row r="1946" customFormat="false" ht="15" hidden="false" customHeight="false" outlineLevel="0" collapsed="false">
      <c r="A1946" s="4" t="s">
        <v>398</v>
      </c>
      <c r="B1946" s="0" t="s">
        <v>189</v>
      </c>
      <c r="C1946" s="17" t="n">
        <f aca="false">C1944+C1945</f>
        <v>9.872226</v>
      </c>
      <c r="D1946" s="17" t="n">
        <f aca="false">D1944+D1945</f>
        <v>15.8904015</v>
      </c>
      <c r="E1946" s="17" t="n">
        <f aca="false">E1944+E1945</f>
        <v>23.6447066269345</v>
      </c>
      <c r="F1946" s="17" t="n">
        <f aca="false">F1944+F1945</f>
        <v>23.9108376908495</v>
      </c>
      <c r="G1946" s="17" t="n">
        <f aca="false">G1944+G1945</f>
        <v>28.9950663117277</v>
      </c>
    </row>
    <row r="1947" customFormat="false" ht="17.15" hidden="false" customHeight="false" outlineLevel="0" collapsed="false">
      <c r="A1947" s="0" t="s">
        <v>501</v>
      </c>
      <c r="B1947" s="0" t="s">
        <v>189</v>
      </c>
      <c r="D1947" s="17" t="n">
        <f aca="false">k_cpo*cpo_A_26/cpo_A_27</f>
        <v>0.24</v>
      </c>
      <c r="E1947" s="17" t="n">
        <f aca="false">k_cpo*cpo_B_27/cpo_A_27</f>
        <v>0.72</v>
      </c>
      <c r="F1947" s="17" t="n">
        <f aca="false">k_cpo*cpo_B_28/cpo_A_27</f>
        <v>1.2</v>
      </c>
      <c r="G1947" s="17" t="n">
        <f aca="false">k_cpo*cpo_B_29/cpo_A_27</f>
        <v>1.92</v>
      </c>
      <c r="K1947" s="8" t="s">
        <v>502</v>
      </c>
    </row>
    <row r="1948" customFormat="false" ht="17.15" hidden="false" customHeight="false" outlineLevel="0" collapsed="false">
      <c r="A1948" s="4" t="s">
        <v>503</v>
      </c>
      <c r="B1948" s="0" t="s">
        <v>189</v>
      </c>
      <c r="C1948" s="17" t="n">
        <f aca="false">a25_eq</f>
        <v>3.290742</v>
      </c>
      <c r="D1948" s="17" t="n">
        <f aca="false">a26_eq-D1947</f>
        <v>4.8539955</v>
      </c>
      <c r="E1948" s="17" t="n">
        <f aca="false">D1948*semi_27</f>
        <v>5.659593717153</v>
      </c>
      <c r="F1948" s="17" t="n">
        <f aca="false">$E1948*eqk28_B</f>
        <v>5.659593717153</v>
      </c>
      <c r="G1948" s="17" t="n">
        <f aca="false">$E1948*eqk29_B</f>
        <v>5.37661403129535</v>
      </c>
      <c r="K1948" s="8" t="s">
        <v>504</v>
      </c>
    </row>
    <row r="1949" customFormat="false" ht="15" hidden="false" customHeight="false" outlineLevel="0" collapsed="false">
      <c r="A1949" s="4" t="s">
        <v>405</v>
      </c>
      <c r="B1949" s="0" t="s">
        <v>189</v>
      </c>
      <c r="C1949" s="17" t="n">
        <f aca="false">a25_eq</f>
        <v>3.290742</v>
      </c>
      <c r="D1949" s="17" t="n">
        <f aca="false">D1947+D1948</f>
        <v>5.0939955</v>
      </c>
      <c r="E1949" s="17" t="n">
        <f aca="false">E1947+E1948</f>
        <v>6.379593717153</v>
      </c>
      <c r="F1949" s="17" t="n">
        <f aca="false">F1947+F1948</f>
        <v>6.859593717153</v>
      </c>
      <c r="G1949" s="17" t="n">
        <f aca="false">G1947+G1948</f>
        <v>7.29661403129535</v>
      </c>
    </row>
    <row r="1950" customFormat="false" ht="15" hidden="false" customHeight="false" outlineLevel="0" collapsed="false">
      <c r="A1950" s="4" t="s">
        <v>407</v>
      </c>
      <c r="B1950" s="0" t="s">
        <v>189</v>
      </c>
      <c r="C1950" s="17" t="n">
        <f aca="false">a25_oth</f>
        <v>0.214032000000001</v>
      </c>
      <c r="D1950" s="17" t="n">
        <f aca="false">a26_oth</f>
        <v>0.428253</v>
      </c>
      <c r="E1950" s="17" t="n">
        <f aca="false">D1950*(1+g_oth)</f>
        <v>0.44966565</v>
      </c>
      <c r="F1950" s="17" t="n">
        <f aca="false">E1950*(1+g_oth)</f>
        <v>0.4721489325</v>
      </c>
      <c r="G1950" s="17" t="n">
        <f aca="false">F1950*(1+g_oth)</f>
        <v>0.495756379125</v>
      </c>
    </row>
    <row r="1951" customFormat="false" ht="17.15" hidden="false" customHeight="false" outlineLevel="0" collapsed="false">
      <c r="A1951" s="4" t="s">
        <v>394</v>
      </c>
      <c r="B1951" s="0" t="s">
        <v>189</v>
      </c>
      <c r="C1951" s="17" t="n">
        <f aca="false">C1946+C1949+C1950</f>
        <v>13.377</v>
      </c>
      <c r="D1951" s="17" t="n">
        <f aca="false">D1946+D1949+D1950</f>
        <v>21.41265</v>
      </c>
      <c r="E1951" s="17" t="n">
        <f aca="false">E1946+E1949+E1950</f>
        <v>30.4739659940875</v>
      </c>
      <c r="F1951" s="17" t="n">
        <f aca="false">F1946+F1949+F1950</f>
        <v>31.2425803405026</v>
      </c>
      <c r="G1951" s="17" t="n">
        <f aca="false">G1946+G1949+G1950</f>
        <v>36.7874367221481</v>
      </c>
      <c r="H1951" s="30" t="n">
        <f aca="false">G1951*(1+H1952)</f>
        <v>41.6305651224657</v>
      </c>
      <c r="I1951" s="30" t="n">
        <f aca="false">H1951*(1+I1952)</f>
        <v>45.2035436566513</v>
      </c>
      <c r="J1951" s="30" t="n">
        <f aca="false">I1951*(1+J1952)</f>
        <v>47.0116854029173</v>
      </c>
      <c r="K1951" s="8" t="s">
        <v>505</v>
      </c>
    </row>
    <row r="1952" customFormat="false" ht="15" hidden="false" customHeight="false" outlineLevel="0" collapsed="false">
      <c r="A1952" s="4" t="s">
        <v>506</v>
      </c>
      <c r="B1952" s="0" t="s">
        <v>90</v>
      </c>
      <c r="D1952" s="22" t="n">
        <f aca="false">D1951/C1951-1</f>
        <v>0.600706436420722</v>
      </c>
      <c r="E1952" s="22" t="n">
        <f aca="false">E1951/D1951-1</f>
        <v>0.423175832701115</v>
      </c>
      <c r="F1952" s="22" t="n">
        <f aca="false">F1951/E1951-1</f>
        <v>0.0252219992161231</v>
      </c>
      <c r="G1952" s="22" t="n">
        <f aca="false">G1951/F1951-1</f>
        <v>0.177477542546549</v>
      </c>
      <c r="H1952" s="26" t="n">
        <f aca="false">$G1952+(fade_gB-$G1952)*1/3</f>
        <v>0.131651695031033</v>
      </c>
      <c r="I1952" s="26" t="n">
        <f aca="false">$G1952+(fade_gB-$G1952)*2/3</f>
        <v>0.0858258475155164</v>
      </c>
      <c r="J1952" s="26" t="n">
        <f aca="false">$G1952+(fade_gB-$G1952)*3/3</f>
        <v>0.04</v>
      </c>
    </row>
    <row r="1953" customFormat="false" ht="17.15" hidden="false" customHeight="false" outlineLevel="0" collapsed="false">
      <c r="A1953" s="0" t="s">
        <v>507</v>
      </c>
      <c r="B1953" s="0" t="s">
        <v>90</v>
      </c>
      <c r="C1953" s="22" t="n">
        <f aca="false">C1944/C1951</f>
        <v>0.4059</v>
      </c>
      <c r="D1953" s="22" t="n">
        <f aca="false">D1944/D1951</f>
        <v>0.445262071719287</v>
      </c>
      <c r="E1953" s="22" t="n">
        <f aca="false">E1944/E1951</f>
        <v>0.552721453722252</v>
      </c>
      <c r="F1953" s="22" t="n">
        <f aca="false">F1944/F1951</f>
        <v>0.532403829601291</v>
      </c>
      <c r="G1953" s="22" t="n">
        <f aca="false">G1944/G1951</f>
        <v>0.576514651510178</v>
      </c>
    </row>
    <row r="1954" customFormat="false" ht="17.15" hidden="false" customHeight="false" outlineLevel="0" collapsed="false">
      <c r="A1954" s="4" t="s">
        <v>508</v>
      </c>
      <c r="B1954" s="0" t="s">
        <v>90</v>
      </c>
      <c r="C1954" s="22" t="n">
        <f aca="false">C1946/C1951</f>
        <v>0.738</v>
      </c>
      <c r="D1954" s="22" t="n">
        <f aca="false">D1946/D1951</f>
        <v>0.742103452865479</v>
      </c>
      <c r="E1954" s="22" t="n">
        <f aca="false">E1946/E1951</f>
        <v>0.775898569668353</v>
      </c>
      <c r="F1954" s="22" t="n">
        <f aca="false">F1946/F1951</f>
        <v>0.765328517371268</v>
      </c>
      <c r="G1954" s="22" t="n">
        <f aca="false">G1946/G1951</f>
        <v>0.788178489594821</v>
      </c>
    </row>
    <row r="1955" customFormat="false" ht="17.15" hidden="false" customHeight="false" outlineLevel="0" collapsed="false">
      <c r="A1955" s="6" t="s">
        <v>509</v>
      </c>
    </row>
    <row r="1956" customFormat="false" ht="15" hidden="false" customHeight="false" outlineLevel="0" collapsed="false">
      <c r="A1956" s="4" t="s">
        <v>412</v>
      </c>
      <c r="B1956" s="0" t="s">
        <v>90</v>
      </c>
      <c r="C1956" s="14" t="n">
        <f aca="false">a25_gp/a25_rev</f>
        <v>0.574</v>
      </c>
      <c r="D1956" s="14" t="n">
        <f aca="false">a26_gp/a26_rev</f>
        <v>0.593344593032623</v>
      </c>
      <c r="E1956" s="14" t="n">
        <f aca="false">gm27_B+gm_adj</f>
        <v>0.595</v>
      </c>
      <c r="F1956" s="14" t="n">
        <f aca="false">gmL_B+gm_adj</f>
        <v>0.595</v>
      </c>
      <c r="G1956" s="14" t="n">
        <f aca="false">gmL_B+gm_adj</f>
        <v>0.595</v>
      </c>
    </row>
    <row r="1957" customFormat="false" ht="15" hidden="false" customHeight="false" outlineLevel="0" collapsed="false">
      <c r="A1957" s="4" t="s">
        <v>409</v>
      </c>
      <c r="B1957" s="0" t="s">
        <v>189</v>
      </c>
      <c r="C1957" s="17" t="n">
        <f aca="false">C1951*C1956</f>
        <v>7.678398</v>
      </c>
      <c r="D1957" s="17" t="n">
        <f aca="false">D1951*D1956</f>
        <v>12.7050801</v>
      </c>
      <c r="E1957" s="17" t="n">
        <f aca="false">E1951*E1956</f>
        <v>18.1320097664821</v>
      </c>
      <c r="F1957" s="17" t="n">
        <f aca="false">F1951*F1956</f>
        <v>18.589335302599</v>
      </c>
      <c r="G1957" s="17" t="n">
        <f aca="false">G1951*G1956</f>
        <v>21.8885248496781</v>
      </c>
    </row>
    <row r="1958" customFormat="false" ht="17.15" hidden="false" customHeight="false" outlineLevel="0" collapsed="false">
      <c r="A1958" s="4" t="s">
        <v>510</v>
      </c>
      <c r="B1958" s="0" t="s">
        <v>189</v>
      </c>
      <c r="D1958" s="17" t="n">
        <f aca="false">a26_opx</f>
        <v>5.05564928556</v>
      </c>
      <c r="E1958" s="17" t="n">
        <f aca="false">D1958*(1+phi*E1952)</f>
        <v>6.33930644331699</v>
      </c>
      <c r="F1958" s="17" t="n">
        <f aca="false">E1958*(1+phi*F1952)</f>
        <v>6.43524043260345</v>
      </c>
      <c r="G1958" s="17" t="n">
        <f aca="false">F1958*(1+phi*G1952)</f>
        <v>7.12050682720824</v>
      </c>
      <c r="K1958" s="8" t="s">
        <v>511</v>
      </c>
    </row>
    <row r="1959" customFormat="false" ht="15" hidden="false" customHeight="false" outlineLevel="0" collapsed="false">
      <c r="A1959" s="4" t="s">
        <v>415</v>
      </c>
      <c r="B1959" s="0" t="s">
        <v>189</v>
      </c>
      <c r="D1959" s="17" t="n">
        <f aca="false">D1957-D1958</f>
        <v>7.64943081444</v>
      </c>
      <c r="E1959" s="17" t="n">
        <f aca="false">E1957-E1958</f>
        <v>11.7927033231651</v>
      </c>
      <c r="F1959" s="17" t="n">
        <f aca="false">F1957-F1958</f>
        <v>12.1540948699956</v>
      </c>
      <c r="G1959" s="17" t="n">
        <f aca="false">G1957-G1958</f>
        <v>14.7680180224699</v>
      </c>
    </row>
    <row r="1960" customFormat="false" ht="15" hidden="false" customHeight="false" outlineLevel="0" collapsed="false">
      <c r="A1960" s="4" t="s">
        <v>482</v>
      </c>
      <c r="B1960" s="0" t="s">
        <v>90</v>
      </c>
      <c r="D1960" s="14" t="n">
        <f aca="false">D1959/D1951</f>
        <v>0.357238866484999</v>
      </c>
      <c r="E1960" s="14" t="n">
        <f aca="false">E1959/E1951</f>
        <v>0.386976323510142</v>
      </c>
      <c r="F1960" s="14" t="n">
        <f aca="false">F1959/F1951</f>
        <v>0.389023401317436</v>
      </c>
      <c r="G1960" s="14" t="n">
        <f aca="false">G1959/G1951</f>
        <v>0.401441887185869</v>
      </c>
    </row>
    <row r="1961" customFormat="false" ht="15" hidden="false" customHeight="false" outlineLevel="0" collapsed="false">
      <c r="A1961" s="4" t="s">
        <v>418</v>
      </c>
      <c r="B1961" s="0" t="s">
        <v>189</v>
      </c>
      <c r="C1961" s="17" t="n">
        <f aca="false">a25_ni</f>
        <v>3.18</v>
      </c>
      <c r="D1961" s="17" t="n">
        <f aca="false">a26_ni</f>
        <v>6.7316248085628</v>
      </c>
      <c r="E1961" s="17" t="n">
        <f aca="false">E1959*ni_oi_lo</f>
        <v>9.43416265853207</v>
      </c>
      <c r="F1961" s="17" t="n">
        <f aca="false">F1959*ni_oi_lo</f>
        <v>9.72327589599645</v>
      </c>
      <c r="G1961" s="17" t="n">
        <f aca="false">G1959*ni_oi_lo</f>
        <v>11.8144144179759</v>
      </c>
      <c r="H1961" s="30" t="n">
        <f aca="false">H1951*H1965</f>
        <v>13.1748258212488</v>
      </c>
      <c r="I1961" s="30" t="n">
        <f aca="false">I1951*I1965</f>
        <v>14.0938561280416</v>
      </c>
      <c r="J1961" s="30" t="n">
        <f aca="false">J1951*J1965</f>
        <v>14.4374316765707</v>
      </c>
    </row>
    <row r="1962" customFormat="false" ht="15" hidden="false" customHeight="false" outlineLevel="0" collapsed="false">
      <c r="A1962" s="4" t="s">
        <v>512</v>
      </c>
      <c r="B1962" s="4" t="s">
        <v>513</v>
      </c>
      <c r="C1962" s="19" t="n">
        <f aca="false">a25_sh</f>
        <v>94.9537175276202</v>
      </c>
      <c r="D1962" s="19" t="n">
        <f aca="false">a26_sh</f>
        <v>97.9860681630967</v>
      </c>
      <c r="E1962" s="19" t="n">
        <f aca="false">D1962*(1+sh_g)</f>
        <v>97.9860681630967</v>
      </c>
      <c r="F1962" s="19" t="n">
        <f aca="false">E1962*(1+sh_g)</f>
        <v>97.9860681630967</v>
      </c>
      <c r="G1962" s="19" t="n">
        <f aca="false">F1962*(1+sh_g)</f>
        <v>97.9860681630967</v>
      </c>
      <c r="H1962" s="25" t="n">
        <f aca="false">G1962*(1+sh_g)</f>
        <v>97.9860681630967</v>
      </c>
      <c r="I1962" s="25" t="n">
        <f aca="false">H1962*(1+sh_g)</f>
        <v>97.9860681630967</v>
      </c>
      <c r="J1962" s="25" t="n">
        <f aca="false">I1962*(1+sh_g)</f>
        <v>97.9860681630967</v>
      </c>
    </row>
    <row r="1963" customFormat="false" ht="15" hidden="false" customHeight="false" outlineLevel="0" collapsed="false">
      <c r="A1963" s="0" t="s">
        <v>423</v>
      </c>
      <c r="B1963" s="0" t="s">
        <v>256</v>
      </c>
      <c r="C1963" s="20" t="n">
        <f aca="false">a25_eps</f>
        <v>33.49</v>
      </c>
      <c r="D1963" s="20" t="n">
        <f aca="false">a26_eps</f>
        <v>68.6959552317267</v>
      </c>
      <c r="E1963" s="20" t="n">
        <f aca="false">E1961/E1962*1000</f>
        <v>96.2806533152143</v>
      </c>
      <c r="F1963" s="20" t="n">
        <f aca="false">F1961/F1962*1000</f>
        <v>99.2312078469377</v>
      </c>
      <c r="G1963" s="20" t="n">
        <f aca="false">G1961/G1962*1000</f>
        <v>120.572389927014</v>
      </c>
      <c r="H1963" s="28" t="n">
        <f aca="false">H1961/H1962*1000</f>
        <v>134.456112672257</v>
      </c>
      <c r="I1963" s="28" t="n">
        <f aca="false">I1961/I1962*1000</f>
        <v>143.835306306837</v>
      </c>
      <c r="J1963" s="28" t="n">
        <f aca="false">J1961/J1962*1000</f>
        <v>147.341677722385</v>
      </c>
    </row>
    <row r="1964" customFormat="false" ht="17.15" hidden="false" customHeight="false" outlineLevel="0" collapsed="false">
      <c r="A1964" s="0" t="s">
        <v>514</v>
      </c>
      <c r="B1964" s="0" t="s">
        <v>90</v>
      </c>
      <c r="D1964" s="22" t="n">
        <f aca="false">D1963/C1963-1</f>
        <v>1.05123783910799</v>
      </c>
      <c r="E1964" s="22" t="n">
        <f aca="false">E1963/D1963-1</f>
        <v>0.401547631013183</v>
      </c>
      <c r="F1964" s="22" t="n">
        <f aca="false">F1963/E1963-1</f>
        <v>0.0306453522086476</v>
      </c>
      <c r="G1964" s="22" t="n">
        <f aca="false">G1963/F1963-1</f>
        <v>0.215065225377433</v>
      </c>
      <c r="H1964" s="26" t="n">
        <f aca="false">H1963/G1963-1</f>
        <v>0.115148441145163</v>
      </c>
      <c r="I1964" s="26" t="n">
        <f aca="false">I1963/H1963-1</f>
        <v>0.0697565432182468</v>
      </c>
      <c r="J1964" s="26" t="n">
        <f aca="false">J1963/I1963-1</f>
        <v>0.0243776824034334</v>
      </c>
    </row>
    <row r="1965" customFormat="false" ht="17.15" hidden="false" customHeight="false" outlineLevel="0" collapsed="false">
      <c r="A1965" s="4" t="s">
        <v>515</v>
      </c>
      <c r="B1965" s="0" t="s">
        <v>90</v>
      </c>
      <c r="C1965" s="14" t="n">
        <f aca="false">C1961/C1951</f>
        <v>0.237721462211258</v>
      </c>
      <c r="D1965" s="14" t="n">
        <f aca="false">D1961/D1951</f>
        <v>0.314376072488123</v>
      </c>
      <c r="E1965" s="14" t="n">
        <f aca="false">E1961/E1951</f>
        <v>0.309581058808114</v>
      </c>
      <c r="F1965" s="14" t="n">
        <f aca="false">F1961/F1951</f>
        <v>0.311218721053949</v>
      </c>
      <c r="G1965" s="14" t="n">
        <f aca="false">G1961/G1951</f>
        <v>0.321153509748695</v>
      </c>
      <c r="H1965" s="27" t="n">
        <f aca="false">$G1965+(fade_mB-$G1965)*1/3</f>
        <v>0.31647002106486</v>
      </c>
      <c r="I1965" s="27" t="n">
        <f aca="false">$G1965+(fade_mB-$G1965)*2/3</f>
        <v>0.311786532381025</v>
      </c>
      <c r="J1965" s="27" t="n">
        <f aca="false">$G1965+(fade_mB-$G1965)*3/3</f>
        <v>0.30710304369719</v>
      </c>
    </row>
    <row r="1968" customFormat="false" ht="17.15" hidden="false" customHeight="false" outlineLevel="0" collapsed="false">
      <c r="A1968" s="1" t="s">
        <v>861</v>
      </c>
    </row>
    <row r="1969" customFormat="false" ht="17.15" hidden="false" customHeight="false" outlineLevel="0" collapsed="false">
      <c r="A1969" s="5" t="s">
        <v>21</v>
      </c>
      <c r="B1969" s="5" t="s">
        <v>22</v>
      </c>
      <c r="C1969" s="15" t="s">
        <v>387</v>
      </c>
      <c r="D1969" s="15" t="s">
        <v>468</v>
      </c>
      <c r="E1969" s="15" t="s">
        <v>469</v>
      </c>
      <c r="F1969" s="15" t="s">
        <v>470</v>
      </c>
      <c r="G1969" s="15" t="s">
        <v>471</v>
      </c>
      <c r="H1969" s="15" t="s">
        <v>472</v>
      </c>
      <c r="I1969" s="15" t="s">
        <v>473</v>
      </c>
      <c r="J1969" s="15" t="s">
        <v>474</v>
      </c>
      <c r="K1969" s="5" t="s">
        <v>336</v>
      </c>
    </row>
    <row r="1970" customFormat="false" ht="17.15" hidden="false" customHeight="false" outlineLevel="0" collapsed="false">
      <c r="A1970" s="6" t="s">
        <v>492</v>
      </c>
    </row>
    <row r="1971" customFormat="false" ht="17.15" hidden="false" customHeight="false" outlineLevel="0" collapsed="false">
      <c r="A1971" s="0" t="s">
        <v>493</v>
      </c>
      <c r="B1971" s="4" t="s">
        <v>32</v>
      </c>
      <c r="D1971" s="20" t="n">
        <f aca="false">units_26</f>
        <v>15.2</v>
      </c>
      <c r="E1971" s="20" t="n">
        <f aca="false">units_27*1</f>
        <v>23.7</v>
      </c>
      <c r="F1971" s="20" t="n">
        <f aca="false">units_28*um28_C*1</f>
        <v>15.9</v>
      </c>
      <c r="G1971" s="20" t="n">
        <f aca="false">units_29*um29_C*1</f>
        <v>18.09</v>
      </c>
    </row>
    <row r="1972" customFormat="false" ht="17.15" hidden="false" customHeight="false" outlineLevel="0" collapsed="false">
      <c r="A1972" s="4" t="s">
        <v>494</v>
      </c>
      <c r="B1972" s="0" t="s">
        <v>45</v>
      </c>
      <c r="D1972" s="18" t="n">
        <f aca="false">ex_nv*nvtt_26+astt_26</f>
        <v>0.607994</v>
      </c>
      <c r="E1972" s="18" t="n">
        <f aca="false">ex_nv*nvtt_27+astt_27</f>
        <v>0.6560764</v>
      </c>
      <c r="F1972" s="18" t="n">
        <f aca="false">ex_nv*nvtt_28+astt_28</f>
        <v>0.6898114</v>
      </c>
      <c r="G1972" s="18" t="n">
        <f aca="false">ex_nv*nvtt_29+astt_29</f>
        <v>0.692935</v>
      </c>
      <c r="K1972" s="8" t="s">
        <v>495</v>
      </c>
    </row>
    <row r="1973" customFormat="false" ht="17.15" hidden="false" customHeight="false" outlineLevel="0" collapsed="false">
      <c r="A1973" s="4" t="s">
        <v>447</v>
      </c>
      <c r="B1973" s="0" t="s">
        <v>45</v>
      </c>
      <c r="D1973" s="18" t="n">
        <f aca="false">D1971*D1972/($D1971*$D1972)</f>
        <v>1</v>
      </c>
      <c r="E1973" s="18" t="n">
        <f aca="false">E1971*E1972/($D1971*$D1972)</f>
        <v>1.68251862509724</v>
      </c>
      <c r="F1973" s="18" t="n">
        <f aca="false">F1971*F1972/($D1971*$D1972)</f>
        <v>1.18681932759724</v>
      </c>
      <c r="G1973" s="18" t="n">
        <f aca="false">G1971*G1972/($D1971*$D1972)</f>
        <v>1.35640125668657</v>
      </c>
    </row>
    <row r="1974" customFormat="false" ht="17.15" hidden="false" customHeight="false" outlineLevel="0" collapsed="false">
      <c r="A1974" s="4" t="s">
        <v>496</v>
      </c>
      <c r="B1974" s="0" t="s">
        <v>45</v>
      </c>
      <c r="D1974" s="20" t="n">
        <f aca="false">1</f>
        <v>1</v>
      </c>
      <c r="E1974" s="20" t="n">
        <f aca="false">rel27_C</f>
        <v>0.92</v>
      </c>
      <c r="F1974" s="20" t="n">
        <f aca="false">rel28_C</f>
        <v>0.88</v>
      </c>
      <c r="G1974" s="20" t="n">
        <f aca="false">rel29_C</f>
        <v>0.85</v>
      </c>
    </row>
    <row r="1975" customFormat="false" ht="17.15" hidden="false" customHeight="false" outlineLevel="0" collapsed="false">
      <c r="A1975" s="4" t="s">
        <v>497</v>
      </c>
      <c r="B1975" s="0" t="s">
        <v>45</v>
      </c>
      <c r="D1975" s="18" t="n">
        <f aca="false">1</f>
        <v>1</v>
      </c>
      <c r="E1975" s="18" t="n">
        <f aca="false">(1+g_ct)^1</f>
        <v>1.05</v>
      </c>
      <c r="F1975" s="18" t="n">
        <f aca="false">(1+g_ct)^2</f>
        <v>1.1025</v>
      </c>
      <c r="G1975" s="18" t="n">
        <f aca="false">(1+g_ct)^3</f>
        <v>1.157625</v>
      </c>
    </row>
    <row r="1976" customFormat="false" ht="17.15" hidden="false" customHeight="false" outlineLevel="0" collapsed="false">
      <c r="A1976" s="6" t="s">
        <v>498</v>
      </c>
    </row>
    <row r="1977" customFormat="false" ht="17.15" hidden="false" customHeight="false" outlineLevel="0" collapsed="false">
      <c r="A1977" s="0" t="s">
        <v>401</v>
      </c>
      <c r="B1977" s="0" t="s">
        <v>189</v>
      </c>
      <c r="C1977" s="17" t="n">
        <f aca="false">a25_ai</f>
        <v>5.4297243</v>
      </c>
      <c r="D1977" s="17" t="n">
        <f aca="false">a26_ai</f>
        <v>9.5342409</v>
      </c>
      <c r="E1977" s="17" t="n">
        <f aca="false">$D1977*E1973*E1974*E1975</f>
        <v>15.4961256021398</v>
      </c>
      <c r="F1977" s="17" t="n">
        <f aca="false">$D1977*F1973*F1974*F1975</f>
        <v>10.9782218171403</v>
      </c>
      <c r="G1977" s="17" t="n">
        <f aca="false">$D1977*G1973*G1974*G1975</f>
        <v>12.7250977570932</v>
      </c>
      <c r="K1977" s="8" t="s">
        <v>499</v>
      </c>
    </row>
    <row r="1978" customFormat="false" ht="17.15" hidden="false" customHeight="false" outlineLevel="0" collapsed="false">
      <c r="A1978" s="4" t="s">
        <v>404</v>
      </c>
      <c r="B1978" s="0" t="s">
        <v>189</v>
      </c>
      <c r="C1978" s="17" t="n">
        <f aca="false">a25_npc</f>
        <v>4.4425017</v>
      </c>
      <c r="D1978" s="17" t="n">
        <f aca="false">a26_npc</f>
        <v>6.3561606</v>
      </c>
      <c r="E1978" s="17" t="n">
        <f aca="false">D1978*(1+g_nonai+d_npc)</f>
        <v>6.801091842</v>
      </c>
      <c r="F1978" s="17" t="n">
        <f aca="false">E1978*(1+g_nonai+d_npc)</f>
        <v>7.27716827094</v>
      </c>
      <c r="G1978" s="17" t="n">
        <f aca="false">F1978*(1+g_nonai+d_npc)</f>
        <v>7.7865700499058</v>
      </c>
      <c r="K1978" s="4" t="s">
        <v>500</v>
      </c>
    </row>
    <row r="1979" customFormat="false" ht="15" hidden="false" customHeight="false" outlineLevel="0" collapsed="false">
      <c r="A1979" s="4" t="s">
        <v>398</v>
      </c>
      <c r="B1979" s="0" t="s">
        <v>189</v>
      </c>
      <c r="C1979" s="17" t="n">
        <f aca="false">C1977+C1978</f>
        <v>9.872226</v>
      </c>
      <c r="D1979" s="17" t="n">
        <f aca="false">D1977+D1978</f>
        <v>15.8904015</v>
      </c>
      <c r="E1979" s="17" t="n">
        <f aca="false">E1977+E1978</f>
        <v>22.2972174441398</v>
      </c>
      <c r="F1979" s="17" t="n">
        <f aca="false">F1977+F1978</f>
        <v>18.2553900880803</v>
      </c>
      <c r="G1979" s="17" t="n">
        <f aca="false">G1977+G1978</f>
        <v>20.511667806999</v>
      </c>
    </row>
    <row r="1980" customFormat="false" ht="17.15" hidden="false" customHeight="false" outlineLevel="0" collapsed="false">
      <c r="A1980" s="0" t="s">
        <v>501</v>
      </c>
      <c r="B1980" s="0" t="s">
        <v>189</v>
      </c>
      <c r="D1980" s="17" t="n">
        <f aca="false">k_cpo*cpo_A_26/cpo_A_27</f>
        <v>0.24</v>
      </c>
      <c r="E1980" s="17" t="n">
        <f aca="false">k_cpo*cpo_C_27/cpo_A_27</f>
        <v>0.48</v>
      </c>
      <c r="F1980" s="17" t="n">
        <f aca="false">k_cpo*cpo_C_28/cpo_A_27</f>
        <v>0.72</v>
      </c>
      <c r="G1980" s="17" t="n">
        <f aca="false">k_cpo*cpo_C_29/cpo_A_27</f>
        <v>1.2</v>
      </c>
      <c r="K1980" s="8" t="s">
        <v>502</v>
      </c>
    </row>
    <row r="1981" customFormat="false" ht="17.15" hidden="false" customHeight="false" outlineLevel="0" collapsed="false">
      <c r="A1981" s="4" t="s">
        <v>503</v>
      </c>
      <c r="B1981" s="0" t="s">
        <v>189</v>
      </c>
      <c r="C1981" s="17" t="n">
        <f aca="false">a25_eq</f>
        <v>3.290742</v>
      </c>
      <c r="D1981" s="17" t="n">
        <f aca="false">a26_eq-D1980</f>
        <v>4.8539955</v>
      </c>
      <c r="E1981" s="17" t="n">
        <f aca="false">D1981*semi_27</f>
        <v>5.659593717153</v>
      </c>
      <c r="F1981" s="17" t="n">
        <f aca="false">$E1981*eqk28_C</f>
        <v>4.5276749737224</v>
      </c>
      <c r="G1981" s="17" t="n">
        <f aca="false">$E1981*eqk29_C</f>
        <v>5.659593717153</v>
      </c>
      <c r="K1981" s="8" t="s">
        <v>504</v>
      </c>
    </row>
    <row r="1982" customFormat="false" ht="15" hidden="false" customHeight="false" outlineLevel="0" collapsed="false">
      <c r="A1982" s="4" t="s">
        <v>405</v>
      </c>
      <c r="B1982" s="0" t="s">
        <v>189</v>
      </c>
      <c r="C1982" s="17" t="n">
        <f aca="false">a25_eq</f>
        <v>3.290742</v>
      </c>
      <c r="D1982" s="17" t="n">
        <f aca="false">D1980+D1981</f>
        <v>5.0939955</v>
      </c>
      <c r="E1982" s="17" t="n">
        <f aca="false">E1980+E1981</f>
        <v>6.139593717153</v>
      </c>
      <c r="F1982" s="17" t="n">
        <f aca="false">F1980+F1981</f>
        <v>5.2476749737224</v>
      </c>
      <c r="G1982" s="17" t="n">
        <f aca="false">G1980+G1981</f>
        <v>6.859593717153</v>
      </c>
    </row>
    <row r="1983" customFormat="false" ht="15" hidden="false" customHeight="false" outlineLevel="0" collapsed="false">
      <c r="A1983" s="4" t="s">
        <v>407</v>
      </c>
      <c r="B1983" s="0" t="s">
        <v>189</v>
      </c>
      <c r="C1983" s="17" t="n">
        <f aca="false">a25_oth</f>
        <v>0.214032000000001</v>
      </c>
      <c r="D1983" s="17" t="n">
        <f aca="false">a26_oth</f>
        <v>0.428253</v>
      </c>
      <c r="E1983" s="17" t="n">
        <f aca="false">D1983*(1+g_oth)</f>
        <v>0.44966565</v>
      </c>
      <c r="F1983" s="17" t="n">
        <f aca="false">E1983*(1+g_oth)</f>
        <v>0.4721489325</v>
      </c>
      <c r="G1983" s="17" t="n">
        <f aca="false">F1983*(1+g_oth)</f>
        <v>0.495756379125</v>
      </c>
    </row>
    <row r="1984" customFormat="false" ht="17.15" hidden="false" customHeight="false" outlineLevel="0" collapsed="false">
      <c r="A1984" s="4" t="s">
        <v>394</v>
      </c>
      <c r="B1984" s="0" t="s">
        <v>189</v>
      </c>
      <c r="C1984" s="17" t="n">
        <f aca="false">C1979+C1982+C1983</f>
        <v>13.377</v>
      </c>
      <c r="D1984" s="17" t="n">
        <f aca="false">D1979+D1982+D1983</f>
        <v>21.41265</v>
      </c>
      <c r="E1984" s="17" t="n">
        <f aca="false">E1979+E1982+E1983</f>
        <v>28.8864768112928</v>
      </c>
      <c r="F1984" s="17" t="n">
        <f aca="false">F1979+F1982+F1983</f>
        <v>23.9752139943027</v>
      </c>
      <c r="G1984" s="17" t="n">
        <f aca="false">G1979+G1982+G1983</f>
        <v>27.867017903277</v>
      </c>
      <c r="H1984" s="30" t="n">
        <f aca="false">G1984*(1+H1985)</f>
        <v>31.0684949623466</v>
      </c>
      <c r="I1984" s="30" t="n">
        <f aca="false">H1984*(1+I1985)</f>
        <v>33.1638178346034</v>
      </c>
      <c r="J1984" s="30" t="n">
        <f aca="false">I1984*(1+J1985)</f>
        <v>33.8270941912954</v>
      </c>
      <c r="K1984" s="8" t="s">
        <v>505</v>
      </c>
    </row>
    <row r="1985" customFormat="false" ht="15" hidden="false" customHeight="false" outlineLevel="0" collapsed="false">
      <c r="A1985" s="4" t="s">
        <v>506</v>
      </c>
      <c r="B1985" s="0" t="s">
        <v>90</v>
      </c>
      <c r="D1985" s="22" t="n">
        <f aca="false">D1984/C1984-1</f>
        <v>0.600706436420722</v>
      </c>
      <c r="E1985" s="22" t="n">
        <f aca="false">E1984/D1984-1</f>
        <v>0.349037919701333</v>
      </c>
      <c r="F1985" s="22" t="n">
        <f aca="false">F1984/E1984-1</f>
        <v>-0.170019447130017</v>
      </c>
      <c r="G1985" s="22" t="n">
        <f aca="false">G1984/F1984-1</f>
        <v>0.162326138565398</v>
      </c>
      <c r="H1985" s="26" t="n">
        <f aca="false">$G1985+(fade_gC-$G1985)*1/3</f>
        <v>0.114884092376932</v>
      </c>
      <c r="I1985" s="26" t="n">
        <f aca="false">$G1985+(fade_gC-$G1985)*2/3</f>
        <v>0.0674420461884661</v>
      </c>
      <c r="J1985" s="26" t="n">
        <f aca="false">$G1985+(fade_gC-$G1985)*3/3</f>
        <v>0.02</v>
      </c>
    </row>
    <row r="1986" customFormat="false" ht="17.15" hidden="false" customHeight="false" outlineLevel="0" collapsed="false">
      <c r="A1986" s="0" t="s">
        <v>507</v>
      </c>
      <c r="B1986" s="0" t="s">
        <v>90</v>
      </c>
      <c r="C1986" s="22" t="n">
        <f aca="false">C1977/C1984</f>
        <v>0.4059</v>
      </c>
      <c r="D1986" s="22" t="n">
        <f aca="false">D1977/D1984</f>
        <v>0.445262071719287</v>
      </c>
      <c r="E1986" s="22" t="n">
        <f aca="false">E1977/E1984</f>
        <v>0.536449138583829</v>
      </c>
      <c r="F1986" s="22" t="n">
        <f aca="false">F1977/F1984</f>
        <v>0.457898804146194</v>
      </c>
      <c r="G1986" s="22" t="n">
        <f aca="false">G1977/G1984</f>
        <v>0.456636508479681</v>
      </c>
    </row>
    <row r="1987" customFormat="false" ht="17.15" hidden="false" customHeight="false" outlineLevel="0" collapsed="false">
      <c r="A1987" s="4" t="s">
        <v>508</v>
      </c>
      <c r="B1987" s="0" t="s">
        <v>90</v>
      </c>
      <c r="C1987" s="22" t="n">
        <f aca="false">C1979/C1984</f>
        <v>0.738</v>
      </c>
      <c r="D1987" s="22" t="n">
        <f aca="false">D1979/D1984</f>
        <v>0.742103452865479</v>
      </c>
      <c r="E1987" s="22" t="n">
        <f aca="false">E1979/E1984</f>
        <v>0.771891206733214</v>
      </c>
      <c r="F1987" s="22" t="n">
        <f aca="false">F1979/F1984</f>
        <v>0.761427618223486</v>
      </c>
      <c r="G1987" s="22" t="n">
        <f aca="false">G1979/G1984</f>
        <v>0.736055356844872</v>
      </c>
    </row>
    <row r="1988" customFormat="false" ht="17.15" hidden="false" customHeight="false" outlineLevel="0" collapsed="false">
      <c r="A1988" s="6" t="s">
        <v>509</v>
      </c>
    </row>
    <row r="1989" customFormat="false" ht="15" hidden="false" customHeight="false" outlineLevel="0" collapsed="false">
      <c r="A1989" s="4" t="s">
        <v>412</v>
      </c>
      <c r="B1989" s="0" t="s">
        <v>90</v>
      </c>
      <c r="C1989" s="14" t="n">
        <f aca="false">a25_gp/a25_rev</f>
        <v>0.574</v>
      </c>
      <c r="D1989" s="14" t="n">
        <f aca="false">a26_gp/a26_rev</f>
        <v>0.593344593032623</v>
      </c>
      <c r="E1989" s="14" t="n">
        <f aca="false">gm27_C+gm_adj</f>
        <v>0.58</v>
      </c>
      <c r="F1989" s="14" t="n">
        <f aca="false">gmL_C+gm_adj</f>
        <v>0.565</v>
      </c>
      <c r="G1989" s="14" t="n">
        <f aca="false">gmL_C+gm_adj</f>
        <v>0.565</v>
      </c>
    </row>
    <row r="1990" customFormat="false" ht="15" hidden="false" customHeight="false" outlineLevel="0" collapsed="false">
      <c r="A1990" s="4" t="s">
        <v>409</v>
      </c>
      <c r="B1990" s="0" t="s">
        <v>189</v>
      </c>
      <c r="C1990" s="17" t="n">
        <f aca="false">C1984*C1989</f>
        <v>7.678398</v>
      </c>
      <c r="D1990" s="17" t="n">
        <f aca="false">D1984*D1989</f>
        <v>12.7050801</v>
      </c>
      <c r="E1990" s="17" t="n">
        <f aca="false">E1984*E1989</f>
        <v>16.7541565505498</v>
      </c>
      <c r="F1990" s="17" t="n">
        <f aca="false">F1984*F1989</f>
        <v>13.545995906781</v>
      </c>
      <c r="G1990" s="17" t="n">
        <f aca="false">G1984*G1989</f>
        <v>15.7448651153515</v>
      </c>
    </row>
    <row r="1991" customFormat="false" ht="17.15" hidden="false" customHeight="false" outlineLevel="0" collapsed="false">
      <c r="A1991" s="4" t="s">
        <v>510</v>
      </c>
      <c r="B1991" s="0" t="s">
        <v>189</v>
      </c>
      <c r="D1991" s="17" t="n">
        <f aca="false">a26_opx</f>
        <v>5.05564928556</v>
      </c>
      <c r="E1991" s="17" t="n">
        <f aca="false">D1991*(1+phi*E1985)</f>
        <v>6.11441727118284</v>
      </c>
      <c r="F1991" s="17" t="n">
        <f aca="false">E1991*(1+phi*F1985)</f>
        <v>5.4906753648016</v>
      </c>
      <c r="G1991" s="17" t="n">
        <f aca="false">F1991*(1+phi*G1985)</f>
        <v>6.02544344285224</v>
      </c>
      <c r="K1991" s="8" t="s">
        <v>511</v>
      </c>
    </row>
    <row r="1992" customFormat="false" ht="15" hidden="false" customHeight="false" outlineLevel="0" collapsed="false">
      <c r="A1992" s="4" t="s">
        <v>415</v>
      </c>
      <c r="B1992" s="0" t="s">
        <v>189</v>
      </c>
      <c r="D1992" s="17" t="n">
        <f aca="false">D1990-D1991</f>
        <v>7.64943081444</v>
      </c>
      <c r="E1992" s="17" t="n">
        <f aca="false">E1990-E1991</f>
        <v>10.639739279367</v>
      </c>
      <c r="F1992" s="17" t="n">
        <f aca="false">F1990-F1991</f>
        <v>8.05532054197943</v>
      </c>
      <c r="G1992" s="17" t="n">
        <f aca="false">G1990-G1991</f>
        <v>9.71942167249924</v>
      </c>
    </row>
    <row r="1993" customFormat="false" ht="15" hidden="false" customHeight="false" outlineLevel="0" collapsed="false">
      <c r="A1993" s="4" t="s">
        <v>482</v>
      </c>
      <c r="B1993" s="0" t="s">
        <v>90</v>
      </c>
      <c r="D1993" s="14" t="n">
        <f aca="false">D1992/D1984</f>
        <v>0.357238866484999</v>
      </c>
      <c r="E1993" s="14" t="n">
        <f aca="false">E1992/E1984</f>
        <v>0.368329421025395</v>
      </c>
      <c r="F1993" s="14" t="n">
        <f aca="false">F1992/F1984</f>
        <v>0.335985344860473</v>
      </c>
      <c r="G1993" s="14" t="n">
        <f aca="false">G1992/G1984</f>
        <v>0.348778678301144</v>
      </c>
    </row>
    <row r="1994" customFormat="false" ht="15" hidden="false" customHeight="false" outlineLevel="0" collapsed="false">
      <c r="A1994" s="4" t="s">
        <v>418</v>
      </c>
      <c r="B1994" s="0" t="s">
        <v>189</v>
      </c>
      <c r="C1994" s="17" t="n">
        <f aca="false">a25_ni</f>
        <v>3.18</v>
      </c>
      <c r="D1994" s="17" t="n">
        <f aca="false">a26_ni</f>
        <v>6.7316248085628</v>
      </c>
      <c r="E1994" s="17" t="n">
        <f aca="false">E1992*ni_oi_lo</f>
        <v>8.51179142349357</v>
      </c>
      <c r="F1994" s="17" t="n">
        <f aca="false">F1992*ni_oi_lo</f>
        <v>6.44425643358354</v>
      </c>
      <c r="G1994" s="17" t="n">
        <f aca="false">G1992*ni_oi_lo</f>
        <v>7.77553733799939</v>
      </c>
      <c r="H1994" s="30" t="n">
        <f aca="false">H1984*H1998</f>
        <v>8.23538174342748</v>
      </c>
      <c r="I1994" s="30" t="n">
        <f aca="false">I1984*I1998</f>
        <v>8.32811943727645</v>
      </c>
      <c r="J1994" s="30" t="n">
        <f aca="false">J1984*J1998</f>
        <v>8.02275505790965</v>
      </c>
    </row>
    <row r="1995" customFormat="false" ht="15" hidden="false" customHeight="false" outlineLevel="0" collapsed="false">
      <c r="A1995" s="4" t="s">
        <v>512</v>
      </c>
      <c r="B1995" s="4" t="s">
        <v>513</v>
      </c>
      <c r="C1995" s="19" t="n">
        <f aca="false">a25_sh</f>
        <v>94.9537175276202</v>
      </c>
      <c r="D1995" s="19" t="n">
        <f aca="false">a26_sh</f>
        <v>97.9860681630967</v>
      </c>
      <c r="E1995" s="19" t="n">
        <f aca="false">D1995*(1+sh_g)</f>
        <v>97.9860681630967</v>
      </c>
      <c r="F1995" s="19" t="n">
        <f aca="false">E1995*(1+sh_g)</f>
        <v>97.9860681630967</v>
      </c>
      <c r="G1995" s="19" t="n">
        <f aca="false">F1995*(1+sh_g)</f>
        <v>97.9860681630967</v>
      </c>
      <c r="H1995" s="25" t="n">
        <f aca="false">G1995*(1+sh_g)</f>
        <v>97.9860681630967</v>
      </c>
      <c r="I1995" s="25" t="n">
        <f aca="false">H1995*(1+sh_g)</f>
        <v>97.9860681630967</v>
      </c>
      <c r="J1995" s="25" t="n">
        <f aca="false">I1995*(1+sh_g)</f>
        <v>97.9860681630967</v>
      </c>
    </row>
    <row r="1996" customFormat="false" ht="15" hidden="false" customHeight="false" outlineLevel="0" collapsed="false">
      <c r="A1996" s="0" t="s">
        <v>423</v>
      </c>
      <c r="B1996" s="0" t="s">
        <v>256</v>
      </c>
      <c r="C1996" s="20" t="n">
        <f aca="false">a25_eps</f>
        <v>33.49</v>
      </c>
      <c r="D1996" s="20" t="n">
        <f aca="false">a26_eps</f>
        <v>68.6959552317267</v>
      </c>
      <c r="E1996" s="20" t="n">
        <f aca="false">E1994/E1995*1000</f>
        <v>86.8673637289516</v>
      </c>
      <c r="F1996" s="20" t="n">
        <f aca="false">F1994/F1995*1000</f>
        <v>65.7670682617569</v>
      </c>
      <c r="G1996" s="20" t="n">
        <f aca="false">G1994/G1995*1000</f>
        <v>79.35349875512</v>
      </c>
      <c r="H1996" s="28" t="n">
        <f aca="false">H1994/H1995*1000</f>
        <v>84.0464557647091</v>
      </c>
      <c r="I1996" s="28" t="n">
        <f aca="false">I1994/I1995*1000</f>
        <v>84.9928933102448</v>
      </c>
      <c r="J1996" s="28" t="n">
        <f aca="false">J1994/J1995*1000</f>
        <v>81.8764872222025</v>
      </c>
    </row>
    <row r="1997" customFormat="false" ht="17.15" hidden="false" customHeight="false" outlineLevel="0" collapsed="false">
      <c r="A1997" s="0" t="s">
        <v>514</v>
      </c>
      <c r="B1997" s="0" t="s">
        <v>90</v>
      </c>
      <c r="D1997" s="22" t="n">
        <f aca="false">D1996/C1996-1</f>
        <v>1.05123783910799</v>
      </c>
      <c r="E1997" s="22" t="n">
        <f aca="false">E1996/D1996-1</f>
        <v>0.264519336486824</v>
      </c>
      <c r="F1997" s="22" t="n">
        <f aca="false">F1996/E1996-1</f>
        <v>-0.24290244991241</v>
      </c>
      <c r="G1997" s="22" t="n">
        <f aca="false">G1996/F1996-1</f>
        <v>0.20658409827983</v>
      </c>
      <c r="H1997" s="26" t="n">
        <f aca="false">H1996/G1996-1</f>
        <v>0.0591398877580853</v>
      </c>
      <c r="I1997" s="26" t="n">
        <f aca="false">I1996/H1996-1</f>
        <v>0.0112608858627574</v>
      </c>
      <c r="J1997" s="26" t="n">
        <f aca="false">J1996/I1996-1</f>
        <v>-0.0366666666666665</v>
      </c>
    </row>
    <row r="1998" customFormat="false" ht="17.15" hidden="false" customHeight="false" outlineLevel="0" collapsed="false">
      <c r="A1998" s="4" t="s">
        <v>515</v>
      </c>
      <c r="B1998" s="0" t="s">
        <v>90</v>
      </c>
      <c r="C1998" s="14" t="n">
        <f aca="false">C1994/C1984</f>
        <v>0.237721462211258</v>
      </c>
      <c r="D1998" s="14" t="n">
        <f aca="false">D1994/D1984</f>
        <v>0.314376072488123</v>
      </c>
      <c r="E1998" s="14" t="n">
        <f aca="false">E1994/E1984</f>
        <v>0.294663536820316</v>
      </c>
      <c r="F1998" s="14" t="n">
        <f aca="false">F1994/F1984</f>
        <v>0.268788275888378</v>
      </c>
      <c r="G1998" s="14" t="n">
        <f aca="false">G1994/G1984</f>
        <v>0.279022942640915</v>
      </c>
      <c r="H1998" s="27" t="n">
        <f aca="false">$G1998+(fade_mC-$G1998)*1/3</f>
        <v>0.265071795508869</v>
      </c>
      <c r="I1998" s="27" t="n">
        <f aca="false">$G1998+(fade_mC-$G1998)*2/3</f>
        <v>0.251120648376823</v>
      </c>
      <c r="J1998" s="27" t="n">
        <f aca="false">$G1998+(fade_mC-$G1998)*3/3</f>
        <v>0.237169501244778</v>
      </c>
    </row>
    <row r="2001" customFormat="false" ht="17.15" hidden="false" customHeight="false" outlineLevel="0" collapsed="false">
      <c r="A2001" s="1" t="s">
        <v>862</v>
      </c>
    </row>
    <row r="2002" customFormat="false" ht="17.15" hidden="false" customHeight="false" outlineLevel="0" collapsed="false">
      <c r="A2002" s="5" t="s">
        <v>21</v>
      </c>
      <c r="B2002" s="5" t="s">
        <v>22</v>
      </c>
      <c r="C2002" s="15" t="s">
        <v>387</v>
      </c>
      <c r="D2002" s="15" t="s">
        <v>468</v>
      </c>
      <c r="E2002" s="15" t="s">
        <v>469</v>
      </c>
      <c r="F2002" s="15" t="s">
        <v>470</v>
      </c>
      <c r="G2002" s="15" t="s">
        <v>471</v>
      </c>
      <c r="H2002" s="15" t="s">
        <v>472</v>
      </c>
      <c r="I2002" s="15" t="s">
        <v>473</v>
      </c>
      <c r="J2002" s="15" t="s">
        <v>474</v>
      </c>
      <c r="K2002" s="5" t="s">
        <v>336</v>
      </c>
    </row>
    <row r="2003" customFormat="false" ht="17.15" hidden="false" customHeight="false" outlineLevel="0" collapsed="false">
      <c r="A2003" s="6" t="s">
        <v>492</v>
      </c>
    </row>
    <row r="2004" customFormat="false" ht="17.15" hidden="false" customHeight="false" outlineLevel="0" collapsed="false">
      <c r="A2004" s="0" t="s">
        <v>493</v>
      </c>
      <c r="B2004" s="4" t="s">
        <v>32</v>
      </c>
      <c r="D2004" s="20" t="n">
        <f aca="false">units_26</f>
        <v>15.2</v>
      </c>
      <c r="E2004" s="20" t="n">
        <f aca="false">units_27*1</f>
        <v>23.7</v>
      </c>
      <c r="F2004" s="20" t="n">
        <f aca="false">units_28*um28_A*1</f>
        <v>26.5</v>
      </c>
      <c r="G2004" s="20" t="n">
        <f aca="false">units_29*um29_A*1</f>
        <v>30.15</v>
      </c>
    </row>
    <row r="2005" customFormat="false" ht="17.15" hidden="false" customHeight="false" outlineLevel="0" collapsed="false">
      <c r="A2005" s="4" t="s">
        <v>494</v>
      </c>
      <c r="B2005" s="0" t="s">
        <v>45</v>
      </c>
      <c r="D2005" s="18" t="n">
        <f aca="false">ex_nv*nvtt_26+astt_26</f>
        <v>0.607994</v>
      </c>
      <c r="E2005" s="18" t="n">
        <f aca="false">ex_nv*nvtt_27+astt_27</f>
        <v>0.6560764</v>
      </c>
      <c r="F2005" s="18" t="n">
        <f aca="false">ex_nv*nvtt_28+astt_28</f>
        <v>0.6898114</v>
      </c>
      <c r="G2005" s="18" t="n">
        <f aca="false">ex_nv*nvtt_29+astt_29</f>
        <v>0.692935</v>
      </c>
      <c r="K2005" s="8" t="s">
        <v>495</v>
      </c>
    </row>
    <row r="2006" customFormat="false" ht="17.15" hidden="false" customHeight="false" outlineLevel="0" collapsed="false">
      <c r="A2006" s="4" t="s">
        <v>447</v>
      </c>
      <c r="B2006" s="0" t="s">
        <v>45</v>
      </c>
      <c r="D2006" s="18" t="n">
        <f aca="false">D2004*D2005/($D2004*$D2005)</f>
        <v>1</v>
      </c>
      <c r="E2006" s="18" t="n">
        <f aca="false">E2004*E2005/($D2004*$D2005)</f>
        <v>1.68251862509724</v>
      </c>
      <c r="F2006" s="18" t="n">
        <f aca="false">F2004*F2005/($D2004*$D2005)</f>
        <v>1.97803221266207</v>
      </c>
      <c r="G2006" s="18" t="n">
        <f aca="false">G2004*G2005/($D2004*$D2005)</f>
        <v>2.26066876114428</v>
      </c>
    </row>
    <row r="2007" customFormat="false" ht="17.15" hidden="false" customHeight="false" outlineLevel="0" collapsed="false">
      <c r="A2007" s="4" t="s">
        <v>496</v>
      </c>
      <c r="B2007" s="0" t="s">
        <v>45</v>
      </c>
      <c r="D2007" s="20" t="n">
        <f aca="false">1</f>
        <v>1</v>
      </c>
      <c r="E2007" s="20" t="n">
        <f aca="false">rel27_A</f>
        <v>1.05</v>
      </c>
      <c r="F2007" s="20" t="n">
        <f aca="false">rel28_A</f>
        <v>1.08</v>
      </c>
      <c r="G2007" s="20" t="n">
        <f aca="false">rel29_A</f>
        <v>1.1</v>
      </c>
    </row>
    <row r="2008" customFormat="false" ht="17.15" hidden="false" customHeight="false" outlineLevel="0" collapsed="false">
      <c r="A2008" s="4" t="s">
        <v>497</v>
      </c>
      <c r="B2008" s="0" t="s">
        <v>45</v>
      </c>
      <c r="D2008" s="18" t="n">
        <f aca="false">1</f>
        <v>1</v>
      </c>
      <c r="E2008" s="18" t="n">
        <f aca="false">(1+g_ct)^1</f>
        <v>1.05</v>
      </c>
      <c r="F2008" s="18" t="n">
        <f aca="false">(1+g_ct)^2</f>
        <v>1.1025</v>
      </c>
      <c r="G2008" s="18" t="n">
        <f aca="false">(1+g_ct)^3</f>
        <v>1.157625</v>
      </c>
    </row>
    <row r="2009" customFormat="false" ht="17.15" hidden="false" customHeight="false" outlineLevel="0" collapsed="false">
      <c r="A2009" s="6" t="s">
        <v>498</v>
      </c>
    </row>
    <row r="2010" customFormat="false" ht="17.15" hidden="false" customHeight="false" outlineLevel="0" collapsed="false">
      <c r="A2010" s="0" t="s">
        <v>401</v>
      </c>
      <c r="B2010" s="0" t="s">
        <v>189</v>
      </c>
      <c r="C2010" s="17" t="n">
        <f aca="false">a25_ai</f>
        <v>5.4297243</v>
      </c>
      <c r="D2010" s="17" t="n">
        <f aca="false">a26_ai</f>
        <v>9.5342409</v>
      </c>
      <c r="E2010" s="17" t="n">
        <f aca="false">$D2010*E2006*E2007*E2008</f>
        <v>17.6857955241812</v>
      </c>
      <c r="F2010" s="17" t="n">
        <f aca="false">$D2010*F2006*F2007*F2008</f>
        <v>22.4554537168779</v>
      </c>
      <c r="G2010" s="17" t="n">
        <f aca="false">$D2010*G2006*G2007*G2008</f>
        <v>27.4462892800048</v>
      </c>
      <c r="K2010" s="8" t="s">
        <v>499</v>
      </c>
    </row>
    <row r="2011" customFormat="false" ht="17.15" hidden="false" customHeight="false" outlineLevel="0" collapsed="false">
      <c r="A2011" s="4" t="s">
        <v>404</v>
      </c>
      <c r="B2011" s="0" t="s">
        <v>189</v>
      </c>
      <c r="C2011" s="17" t="n">
        <f aca="false">a25_npc</f>
        <v>4.4425017</v>
      </c>
      <c r="D2011" s="17" t="n">
        <f aca="false">a26_npc</f>
        <v>6.3561606</v>
      </c>
      <c r="E2011" s="17" t="n">
        <f aca="false">D2011*(1+g_nonai+d_npc)</f>
        <v>6.801091842</v>
      </c>
      <c r="F2011" s="17" t="n">
        <f aca="false">E2011*(1+g_nonai+d_npc)</f>
        <v>7.27716827094</v>
      </c>
      <c r="G2011" s="17" t="n">
        <f aca="false">F2011*(1+g_nonai+d_npc)</f>
        <v>7.7865700499058</v>
      </c>
      <c r="K2011" s="4" t="s">
        <v>500</v>
      </c>
    </row>
    <row r="2012" customFormat="false" ht="15" hidden="false" customHeight="false" outlineLevel="0" collapsed="false">
      <c r="A2012" s="4" t="s">
        <v>398</v>
      </c>
      <c r="B2012" s="0" t="s">
        <v>189</v>
      </c>
      <c r="C2012" s="17" t="n">
        <f aca="false">C2010+C2011</f>
        <v>9.872226</v>
      </c>
      <c r="D2012" s="17" t="n">
        <f aca="false">D2010+D2011</f>
        <v>15.8904015</v>
      </c>
      <c r="E2012" s="17" t="n">
        <f aca="false">E2010+E2011</f>
        <v>24.4868873661812</v>
      </c>
      <c r="F2012" s="17" t="n">
        <f aca="false">F2010+F2011</f>
        <v>29.7326219878179</v>
      </c>
      <c r="G2012" s="17" t="n">
        <f aca="false">G2010+G2011</f>
        <v>35.2328593299106</v>
      </c>
    </row>
    <row r="2013" customFormat="false" ht="17.15" hidden="false" customHeight="false" outlineLevel="0" collapsed="false">
      <c r="A2013" s="0" t="s">
        <v>501</v>
      </c>
      <c r="B2013" s="0" t="s">
        <v>189</v>
      </c>
      <c r="D2013" s="17" t="n">
        <f aca="false">k_cpo*cpo_A_26/cpo_A_27</f>
        <v>0.24</v>
      </c>
      <c r="E2013" s="17" t="n">
        <f aca="false">k_cpo*cpo_A_27/cpo_A_27</f>
        <v>1.2</v>
      </c>
      <c r="F2013" s="17" t="n">
        <f aca="false">k_cpo*cpo_A_28/cpo_A_27</f>
        <v>2.4</v>
      </c>
      <c r="G2013" s="17" t="n">
        <f aca="false">k_cpo*cpo_A_29/cpo_A_27</f>
        <v>3.84</v>
      </c>
      <c r="K2013" s="8" t="s">
        <v>502</v>
      </c>
    </row>
    <row r="2014" customFormat="false" ht="17.15" hidden="false" customHeight="false" outlineLevel="0" collapsed="false">
      <c r="A2014" s="4" t="s">
        <v>503</v>
      </c>
      <c r="B2014" s="0" t="s">
        <v>189</v>
      </c>
      <c r="C2014" s="17" t="n">
        <f aca="false">a25_eq</f>
        <v>3.290742</v>
      </c>
      <c r="D2014" s="17" t="n">
        <f aca="false">a26_eq-D2013</f>
        <v>4.8539955</v>
      </c>
      <c r="E2014" s="17" t="n">
        <f aca="false">D2014*semi_27</f>
        <v>5.659593717153</v>
      </c>
      <c r="F2014" s="17" t="n">
        <f aca="false">$E2014*eqk28_A</f>
        <v>6.59889384801401</v>
      </c>
      <c r="G2014" s="17" t="n">
        <f aca="false">$E2014*eqk29_A</f>
        <v>7.12680377116889</v>
      </c>
      <c r="K2014" s="8" t="s">
        <v>504</v>
      </c>
    </row>
    <row r="2015" customFormat="false" ht="15" hidden="false" customHeight="false" outlineLevel="0" collapsed="false">
      <c r="A2015" s="4" t="s">
        <v>405</v>
      </c>
      <c r="B2015" s="0" t="s">
        <v>189</v>
      </c>
      <c r="C2015" s="17" t="n">
        <f aca="false">a25_eq</f>
        <v>3.290742</v>
      </c>
      <c r="D2015" s="17" t="n">
        <f aca="false">D2013+D2014</f>
        <v>5.0939955</v>
      </c>
      <c r="E2015" s="17" t="n">
        <f aca="false">E2013+E2014</f>
        <v>6.859593717153</v>
      </c>
      <c r="F2015" s="17" t="n">
        <f aca="false">F2013+F2014</f>
        <v>8.99889384801401</v>
      </c>
      <c r="G2015" s="17" t="n">
        <f aca="false">G2013+G2014</f>
        <v>10.9668037711689</v>
      </c>
    </row>
    <row r="2016" customFormat="false" ht="15" hidden="false" customHeight="false" outlineLevel="0" collapsed="false">
      <c r="A2016" s="4" t="s">
        <v>407</v>
      </c>
      <c r="B2016" s="0" t="s">
        <v>189</v>
      </c>
      <c r="C2016" s="17" t="n">
        <f aca="false">a25_oth</f>
        <v>0.214032000000001</v>
      </c>
      <c r="D2016" s="17" t="n">
        <f aca="false">a26_oth</f>
        <v>0.428253</v>
      </c>
      <c r="E2016" s="17" t="n">
        <f aca="false">D2016*(1+g_oth)</f>
        <v>0.44966565</v>
      </c>
      <c r="F2016" s="17" t="n">
        <f aca="false">E2016*(1+g_oth)</f>
        <v>0.4721489325</v>
      </c>
      <c r="G2016" s="17" t="n">
        <f aca="false">F2016*(1+g_oth)</f>
        <v>0.495756379125</v>
      </c>
    </row>
    <row r="2017" customFormat="false" ht="17.15" hidden="false" customHeight="false" outlineLevel="0" collapsed="false">
      <c r="A2017" s="4" t="s">
        <v>394</v>
      </c>
      <c r="B2017" s="0" t="s">
        <v>189</v>
      </c>
      <c r="C2017" s="17" t="n">
        <f aca="false">C2012+C2015+C2016</f>
        <v>13.377</v>
      </c>
      <c r="D2017" s="17" t="n">
        <f aca="false">D2012+D2015+D2016</f>
        <v>21.41265</v>
      </c>
      <c r="E2017" s="17" t="n">
        <f aca="false">E2012+E2015+E2016</f>
        <v>31.7961467333342</v>
      </c>
      <c r="F2017" s="17" t="n">
        <f aca="false">F2012+F2015+F2016</f>
        <v>39.2036647683319</v>
      </c>
      <c r="G2017" s="17" t="n">
        <f aca="false">G2012+G2015+G2016</f>
        <v>46.6954194802045</v>
      </c>
      <c r="H2017" s="30" t="n">
        <f aca="false">G2017*(1+H2018)</f>
        <v>53.5782722007526</v>
      </c>
      <c r="I2017" s="30" t="n">
        <f aca="false">H2017*(1+I2018)</f>
        <v>59.1343091320141</v>
      </c>
      <c r="J2017" s="30" t="n">
        <f aca="false">I2017*(1+J2018)</f>
        <v>62.682367679935</v>
      </c>
      <c r="K2017" s="8" t="s">
        <v>505</v>
      </c>
    </row>
    <row r="2018" customFormat="false" ht="15" hidden="false" customHeight="false" outlineLevel="0" collapsed="false">
      <c r="A2018" s="4" t="s">
        <v>506</v>
      </c>
      <c r="B2018" s="0" t="s">
        <v>90</v>
      </c>
      <c r="D2018" s="22" t="n">
        <f aca="false">D2017/C2017-1</f>
        <v>0.600706436420722</v>
      </c>
      <c r="E2018" s="22" t="n">
        <f aca="false">E2017/D2017-1</f>
        <v>0.484923479033854</v>
      </c>
      <c r="F2018" s="22" t="n">
        <f aca="false">F2017/E2017-1</f>
        <v>0.232969048014608</v>
      </c>
      <c r="G2018" s="22" t="n">
        <f aca="false">G2017/F2017-1</f>
        <v>0.191098326040283</v>
      </c>
      <c r="H2018" s="26" t="n">
        <f aca="false">$G2018+(fade_gA-$G2018)*1/3</f>
        <v>0.147398884026855</v>
      </c>
      <c r="I2018" s="26" t="n">
        <f aca="false">$G2018+(fade_gA-$G2018)*2/3</f>
        <v>0.103699442013428</v>
      </c>
      <c r="J2018" s="26" t="n">
        <f aca="false">$G2018+(fade_gA-$G2018)*3/3</f>
        <v>0.06</v>
      </c>
    </row>
    <row r="2019" customFormat="false" ht="17.15" hidden="false" customHeight="false" outlineLevel="0" collapsed="false">
      <c r="A2019" s="0" t="s">
        <v>507</v>
      </c>
      <c r="B2019" s="0" t="s">
        <v>90</v>
      </c>
      <c r="C2019" s="22" t="n">
        <f aca="false">C2010/C2017</f>
        <v>0.4059</v>
      </c>
      <c r="D2019" s="22" t="n">
        <f aca="false">D2010/D2017</f>
        <v>0.445262071719287</v>
      </c>
      <c r="E2019" s="22" t="n">
        <f aca="false">E2010/E2017</f>
        <v>0.556224490738053</v>
      </c>
      <c r="F2019" s="22" t="n">
        <f aca="false">F2010/F2017</f>
        <v>0.572789657537758</v>
      </c>
      <c r="G2019" s="22" t="n">
        <f aca="false">G2010/G2017</f>
        <v>0.587772624928235</v>
      </c>
    </row>
    <row r="2020" customFormat="false" ht="17.15" hidden="false" customHeight="false" outlineLevel="0" collapsed="false">
      <c r="A2020" s="4" t="s">
        <v>508</v>
      </c>
      <c r="B2020" s="0" t="s">
        <v>90</v>
      </c>
      <c r="C2020" s="22" t="n">
        <f aca="false">C2012/C2017</f>
        <v>0.738</v>
      </c>
      <c r="D2020" s="22" t="n">
        <f aca="false">D2012/D2017</f>
        <v>0.742103452865479</v>
      </c>
      <c r="E2020" s="22" t="n">
        <f aca="false">E2012/E2017</f>
        <v>0.770121221654504</v>
      </c>
      <c r="F2020" s="22" t="n">
        <f aca="false">F2012/F2017</f>
        <v>0.758414351401031</v>
      </c>
      <c r="G2020" s="22" t="n">
        <f aca="false">G2012/G2017</f>
        <v>0.754524956025865</v>
      </c>
    </row>
    <row r="2021" customFormat="false" ht="17.15" hidden="false" customHeight="false" outlineLevel="0" collapsed="false">
      <c r="A2021" s="6" t="s">
        <v>509</v>
      </c>
    </row>
    <row r="2022" customFormat="false" ht="15" hidden="false" customHeight="false" outlineLevel="0" collapsed="false">
      <c r="A2022" s="4" t="s">
        <v>412</v>
      </c>
      <c r="B2022" s="0" t="s">
        <v>90</v>
      </c>
      <c r="C2022" s="14" t="n">
        <f aca="false">a25_gp/a25_rev</f>
        <v>0.574</v>
      </c>
      <c r="D2022" s="14" t="n">
        <f aca="false">a26_gp/a26_rev</f>
        <v>0.593344593032623</v>
      </c>
      <c r="E2022" s="14" t="n">
        <f aca="false">gm27_A+gm_adj</f>
        <v>0.6</v>
      </c>
      <c r="F2022" s="14" t="n">
        <f aca="false">gmL_A+gm_adj</f>
        <v>0.61</v>
      </c>
      <c r="G2022" s="14" t="n">
        <f aca="false">gmL_A+gm_adj</f>
        <v>0.61</v>
      </c>
    </row>
    <row r="2023" customFormat="false" ht="15" hidden="false" customHeight="false" outlineLevel="0" collapsed="false">
      <c r="A2023" s="4" t="s">
        <v>409</v>
      </c>
      <c r="B2023" s="0" t="s">
        <v>189</v>
      </c>
      <c r="C2023" s="17" t="n">
        <f aca="false">C2017*C2022</f>
        <v>7.678398</v>
      </c>
      <c r="D2023" s="17" t="n">
        <f aca="false">D2017*D2022</f>
        <v>12.7050801</v>
      </c>
      <c r="E2023" s="17" t="n">
        <f aca="false">E2017*E2022</f>
        <v>19.0776880400005</v>
      </c>
      <c r="F2023" s="17" t="n">
        <f aca="false">F2017*F2022</f>
        <v>23.9142355086825</v>
      </c>
      <c r="G2023" s="17" t="n">
        <f aca="false">G2017*G2022</f>
        <v>28.4842058829248</v>
      </c>
    </row>
    <row r="2024" customFormat="false" ht="17.15" hidden="false" customHeight="false" outlineLevel="0" collapsed="false">
      <c r="A2024" s="4" t="s">
        <v>510</v>
      </c>
      <c r="B2024" s="0" t="s">
        <v>189</v>
      </c>
      <c r="D2024" s="17" t="n">
        <f aca="false">a26_opx</f>
        <v>5.05564928556</v>
      </c>
      <c r="E2024" s="17" t="n">
        <f aca="false">D2024*(1+phi*E2018)</f>
        <v>6.52661110975726</v>
      </c>
      <c r="F2024" s="17" t="n">
        <f aca="false">E2024*(1+phi*F2018)</f>
        <v>7.43891013595829</v>
      </c>
      <c r="G2024" s="17" t="n">
        <f aca="false">F2024*(1+phi*G2018)</f>
        <v>8.29184810068572</v>
      </c>
      <c r="K2024" s="8" t="s">
        <v>511</v>
      </c>
    </row>
    <row r="2025" customFormat="false" ht="15" hidden="false" customHeight="false" outlineLevel="0" collapsed="false">
      <c r="A2025" s="4" t="s">
        <v>415</v>
      </c>
      <c r="B2025" s="0" t="s">
        <v>189</v>
      </c>
      <c r="D2025" s="17" t="n">
        <f aca="false">D2023-D2024</f>
        <v>7.64943081444</v>
      </c>
      <c r="E2025" s="17" t="n">
        <f aca="false">E2023-E2024</f>
        <v>12.5510769302433</v>
      </c>
      <c r="F2025" s="17" t="n">
        <f aca="false">F2023-F2024</f>
        <v>16.4753253727242</v>
      </c>
      <c r="G2025" s="17" t="n">
        <f aca="false">G2023-G2024</f>
        <v>20.192357782239</v>
      </c>
    </row>
    <row r="2026" customFormat="false" ht="15" hidden="false" customHeight="false" outlineLevel="0" collapsed="false">
      <c r="A2026" s="4" t="s">
        <v>482</v>
      </c>
      <c r="B2026" s="0" t="s">
        <v>90</v>
      </c>
      <c r="D2026" s="14" t="n">
        <f aca="false">D2025/D2017</f>
        <v>0.357238866484999</v>
      </c>
      <c r="E2026" s="14" t="n">
        <f aca="false">E2025/E2017</f>
        <v>0.394735784669312</v>
      </c>
      <c r="F2026" s="14" t="n">
        <f aca="false">F2025/F2017</f>
        <v>0.420249623857428</v>
      </c>
      <c r="G2026" s="14" t="n">
        <f aca="false">G2025/G2017</f>
        <v>0.432426949088639</v>
      </c>
    </row>
    <row r="2027" customFormat="false" ht="15" hidden="false" customHeight="false" outlineLevel="0" collapsed="false">
      <c r="A2027" s="4" t="s">
        <v>418</v>
      </c>
      <c r="B2027" s="0" t="s">
        <v>189</v>
      </c>
      <c r="C2027" s="17" t="n">
        <f aca="false">a25_ni</f>
        <v>3.18</v>
      </c>
      <c r="D2027" s="17" t="n">
        <f aca="false">a26_ni</f>
        <v>6.7316248085628</v>
      </c>
      <c r="E2027" s="17" t="n">
        <f aca="false">E2025*ni_oi_hi</f>
        <v>11.295969237219</v>
      </c>
      <c r="F2027" s="17" t="n">
        <f aca="false">F2025*ni_oi_hi</f>
        <v>14.8277928354517</v>
      </c>
      <c r="G2027" s="17" t="n">
        <f aca="false">G2025*ni_oi_hi</f>
        <v>18.1731220040151</v>
      </c>
      <c r="H2027" s="30" t="n">
        <f aca="false">H2017*H2031</f>
        <v>20.465675093604</v>
      </c>
      <c r="I2027" s="30" t="n">
        <f aca="false">I2017*I2031</f>
        <v>22.1617663664985</v>
      </c>
      <c r="J2027" s="30" t="n">
        <f aca="false">J2017*J2031</f>
        <v>23.0397132648636</v>
      </c>
    </row>
    <row r="2028" customFormat="false" ht="15" hidden="false" customHeight="false" outlineLevel="0" collapsed="false">
      <c r="A2028" s="4" t="s">
        <v>512</v>
      </c>
      <c r="B2028" s="4" t="s">
        <v>513</v>
      </c>
      <c r="C2028" s="19" t="n">
        <f aca="false">a25_sh</f>
        <v>94.9537175276202</v>
      </c>
      <c r="D2028" s="19" t="n">
        <f aca="false">a26_sh</f>
        <v>97.9860681630967</v>
      </c>
      <c r="E2028" s="19" t="n">
        <f aca="false">D2028*(1+sh_g)</f>
        <v>97.9860681630967</v>
      </c>
      <c r="F2028" s="19" t="n">
        <f aca="false">E2028*(1+sh_g)</f>
        <v>97.9860681630967</v>
      </c>
      <c r="G2028" s="19" t="n">
        <f aca="false">F2028*(1+sh_g)</f>
        <v>97.9860681630967</v>
      </c>
      <c r="H2028" s="25" t="n">
        <f aca="false">G2028*(1+sh_g)</f>
        <v>97.9860681630967</v>
      </c>
      <c r="I2028" s="25" t="n">
        <f aca="false">H2028*(1+sh_g)</f>
        <v>97.9860681630967</v>
      </c>
      <c r="J2028" s="25" t="n">
        <f aca="false">I2028*(1+sh_g)</f>
        <v>97.9860681630967</v>
      </c>
    </row>
    <row r="2029" customFormat="false" ht="15" hidden="false" customHeight="false" outlineLevel="0" collapsed="false">
      <c r="A2029" s="0" t="s">
        <v>423</v>
      </c>
      <c r="B2029" s="0" t="s">
        <v>256</v>
      </c>
      <c r="C2029" s="20" t="n">
        <f aca="false">a25_eps</f>
        <v>33.49</v>
      </c>
      <c r="D2029" s="20" t="n">
        <f aca="false">a26_eps</f>
        <v>68.6959552317267</v>
      </c>
      <c r="E2029" s="20" t="n">
        <f aca="false">E2027/E2028*1000</f>
        <v>115.281380802187</v>
      </c>
      <c r="F2029" s="20" t="n">
        <f aca="false">F2027/F2028*1000</f>
        <v>151.325521203393</v>
      </c>
      <c r="G2029" s="20" t="n">
        <f aca="false">G2027/G2028*1000</f>
        <v>185.466386647602</v>
      </c>
      <c r="H2029" s="28" t="n">
        <f aca="false">H2027/H2028*1000</f>
        <v>208.863111636841</v>
      </c>
      <c r="I2029" s="28" t="n">
        <f aca="false">I2027/I2028*1000</f>
        <v>226.172626190189</v>
      </c>
      <c r="J2029" s="28" t="n">
        <f aca="false">J2027/J2028*1000</f>
        <v>235.132541766185</v>
      </c>
    </row>
    <row r="2030" customFormat="false" ht="17.15" hidden="false" customHeight="false" outlineLevel="0" collapsed="false">
      <c r="A2030" s="0" t="s">
        <v>514</v>
      </c>
      <c r="B2030" s="0" t="s">
        <v>90</v>
      </c>
      <c r="D2030" s="22" t="n">
        <f aca="false">D2029/C2029-1</f>
        <v>1.05123783910799</v>
      </c>
      <c r="E2030" s="22" t="n">
        <f aca="false">E2029/D2029-1</f>
        <v>0.678139279282409</v>
      </c>
      <c r="F2030" s="22" t="n">
        <f aca="false">F2029/E2029-1</f>
        <v>0.312662289004456</v>
      </c>
      <c r="G2030" s="22" t="n">
        <f aca="false">G2029/F2029-1</f>
        <v>0.225612078998369</v>
      </c>
      <c r="H2030" s="26" t="n">
        <f aca="false">H2029/G2029-1</f>
        <v>0.126150756544877</v>
      </c>
      <c r="I2030" s="26" t="n">
        <f aca="false">I2029/H2029-1</f>
        <v>0.0828749242395896</v>
      </c>
      <c r="J2030" s="26" t="n">
        <f aca="false">J2029/I2029-1</f>
        <v>0.0396153846153846</v>
      </c>
    </row>
    <row r="2031" customFormat="false" ht="17.15" hidden="false" customHeight="false" outlineLevel="0" collapsed="false">
      <c r="A2031" s="4" t="s">
        <v>515</v>
      </c>
      <c r="B2031" s="0" t="s">
        <v>90</v>
      </c>
      <c r="C2031" s="14" t="n">
        <f aca="false">C2027/C2017</f>
        <v>0.237721462211258</v>
      </c>
      <c r="D2031" s="14" t="n">
        <f aca="false">D2027/D2017</f>
        <v>0.314376072488123</v>
      </c>
      <c r="E2031" s="14" t="n">
        <f aca="false">E2027/E2017</f>
        <v>0.355262206202381</v>
      </c>
      <c r="F2031" s="14" t="n">
        <f aca="false">F2027/F2017</f>
        <v>0.378224661471685</v>
      </c>
      <c r="G2031" s="14" t="n">
        <f aca="false">G2027/G2017</f>
        <v>0.389184254179775</v>
      </c>
      <c r="H2031" s="27" t="n">
        <f aca="false">$G2031+(fade_mA-$G2031)*1/3</f>
        <v>0.381977138361631</v>
      </c>
      <c r="I2031" s="27" t="n">
        <f aca="false">$G2031+(fade_mA-$G2031)*2/3</f>
        <v>0.374770022543487</v>
      </c>
      <c r="J2031" s="27" t="n">
        <f aca="false">$G2031+(fade_mA-$G2031)*3/3</f>
        <v>0.367562906725343</v>
      </c>
    </row>
    <row r="2034" customFormat="false" ht="17.15" hidden="false" customHeight="false" outlineLevel="0" collapsed="false">
      <c r="A2034" s="1" t="s">
        <v>863</v>
      </c>
    </row>
    <row r="2035" customFormat="false" ht="17.15" hidden="false" customHeight="false" outlineLevel="0" collapsed="false">
      <c r="A2035" s="5" t="s">
        <v>21</v>
      </c>
      <c r="B2035" s="5" t="s">
        <v>22</v>
      </c>
      <c r="C2035" s="15" t="s">
        <v>387</v>
      </c>
      <c r="D2035" s="15" t="s">
        <v>468</v>
      </c>
      <c r="E2035" s="15" t="s">
        <v>469</v>
      </c>
      <c r="F2035" s="15" t="s">
        <v>470</v>
      </c>
      <c r="G2035" s="15" t="s">
        <v>471</v>
      </c>
      <c r="H2035" s="15" t="s">
        <v>472</v>
      </c>
      <c r="I2035" s="15" t="s">
        <v>473</v>
      </c>
      <c r="J2035" s="15" t="s">
        <v>474</v>
      </c>
      <c r="K2035" s="5" t="s">
        <v>336</v>
      </c>
    </row>
    <row r="2036" customFormat="false" ht="17.15" hidden="false" customHeight="false" outlineLevel="0" collapsed="false">
      <c r="A2036" s="6" t="s">
        <v>492</v>
      </c>
    </row>
    <row r="2037" customFormat="false" ht="17.15" hidden="false" customHeight="false" outlineLevel="0" collapsed="false">
      <c r="A2037" s="0" t="s">
        <v>493</v>
      </c>
      <c r="B2037" s="4" t="s">
        <v>32</v>
      </c>
      <c r="D2037" s="20" t="n">
        <f aca="false">units_26</f>
        <v>15.2</v>
      </c>
      <c r="E2037" s="20" t="n">
        <f aca="false">units_27*1</f>
        <v>23.7</v>
      </c>
      <c r="F2037" s="20" t="n">
        <f aca="false">units_28*um28_B*1</f>
        <v>21.2</v>
      </c>
      <c r="G2037" s="20" t="n">
        <f aca="false">units_29*um29_B*1</f>
        <v>25.6275</v>
      </c>
    </row>
    <row r="2038" customFormat="false" ht="17.15" hidden="false" customHeight="false" outlineLevel="0" collapsed="false">
      <c r="A2038" s="4" t="s">
        <v>494</v>
      </c>
      <c r="B2038" s="0" t="s">
        <v>45</v>
      </c>
      <c r="D2038" s="18" t="n">
        <f aca="false">ex_nv*nvtt_26+astt_26</f>
        <v>0.607994</v>
      </c>
      <c r="E2038" s="18" t="n">
        <f aca="false">ex_nv*nvtt_27+astt_27</f>
        <v>0.6560764</v>
      </c>
      <c r="F2038" s="18" t="n">
        <f aca="false">ex_nv*nvtt_28+astt_28</f>
        <v>0.6898114</v>
      </c>
      <c r="G2038" s="18" t="n">
        <f aca="false">ex_nv*nvtt_29+astt_29</f>
        <v>0.692935</v>
      </c>
      <c r="K2038" s="8" t="s">
        <v>495</v>
      </c>
    </row>
    <row r="2039" customFormat="false" ht="17.15" hidden="false" customHeight="false" outlineLevel="0" collapsed="false">
      <c r="A2039" s="4" t="s">
        <v>447</v>
      </c>
      <c r="B2039" s="0" t="s">
        <v>45</v>
      </c>
      <c r="D2039" s="18" t="n">
        <f aca="false">D2037*D2038/($D2037*$D2038)</f>
        <v>1</v>
      </c>
      <c r="E2039" s="18" t="n">
        <f aca="false">E2037*E2038/($D2037*$D2038)</f>
        <v>1.68251862509724</v>
      </c>
      <c r="F2039" s="18" t="n">
        <f aca="false">F2037*F2038/($D2037*$D2038)</f>
        <v>1.58242577012966</v>
      </c>
      <c r="G2039" s="18" t="n">
        <f aca="false">G2037*G2038/($D2037*$D2038)</f>
        <v>1.92156844697264</v>
      </c>
    </row>
    <row r="2040" customFormat="false" ht="17.15" hidden="false" customHeight="false" outlineLevel="0" collapsed="false">
      <c r="A2040" s="4" t="s">
        <v>496</v>
      </c>
      <c r="B2040" s="0" t="s">
        <v>45</v>
      </c>
      <c r="D2040" s="20" t="n">
        <f aca="false">1</f>
        <v>1</v>
      </c>
      <c r="E2040" s="20" t="n">
        <f aca="false">rel27_B</f>
        <v>1</v>
      </c>
      <c r="F2040" s="20" t="n">
        <f aca="false">rel28_B</f>
        <v>1</v>
      </c>
      <c r="G2040" s="20" t="n">
        <f aca="false">rel29_B</f>
        <v>1</v>
      </c>
    </row>
    <row r="2041" customFormat="false" ht="17.15" hidden="false" customHeight="false" outlineLevel="0" collapsed="false">
      <c r="A2041" s="4" t="s">
        <v>497</v>
      </c>
      <c r="B2041" s="0" t="s">
        <v>45</v>
      </c>
      <c r="D2041" s="18" t="n">
        <f aca="false">1</f>
        <v>1</v>
      </c>
      <c r="E2041" s="18" t="n">
        <f aca="false">(1+g_ct)^1</f>
        <v>1.05</v>
      </c>
      <c r="F2041" s="18" t="n">
        <f aca="false">(1+g_ct)^2</f>
        <v>1.1025</v>
      </c>
      <c r="G2041" s="18" t="n">
        <f aca="false">(1+g_ct)^3</f>
        <v>1.157625</v>
      </c>
    </row>
    <row r="2042" customFormat="false" ht="17.15" hidden="false" customHeight="false" outlineLevel="0" collapsed="false">
      <c r="A2042" s="6" t="s">
        <v>498</v>
      </c>
    </row>
    <row r="2043" customFormat="false" ht="17.15" hidden="false" customHeight="false" outlineLevel="0" collapsed="false">
      <c r="A2043" s="0" t="s">
        <v>401</v>
      </c>
      <c r="B2043" s="0" t="s">
        <v>189</v>
      </c>
      <c r="C2043" s="17" t="n">
        <f aca="false">a25_ai</f>
        <v>5.4297243</v>
      </c>
      <c r="D2043" s="17" t="n">
        <f aca="false">a26_ai</f>
        <v>9.5342409</v>
      </c>
      <c r="E2043" s="17" t="n">
        <f aca="false">$D2043*E2039*E2040*E2041</f>
        <v>16.8436147849345</v>
      </c>
      <c r="F2043" s="17" t="n">
        <f aca="false">$D2043*F2039*F2040*F2041</f>
        <v>16.6336694199096</v>
      </c>
      <c r="G2043" s="17" t="n">
        <f aca="false">$D2043*G2039*G2040*G2041</f>
        <v>21.2084962618219</v>
      </c>
      <c r="K2043" s="8" t="s">
        <v>499</v>
      </c>
    </row>
    <row r="2044" customFormat="false" ht="17.15" hidden="false" customHeight="false" outlineLevel="0" collapsed="false">
      <c r="A2044" s="4" t="s">
        <v>404</v>
      </c>
      <c r="B2044" s="0" t="s">
        <v>189</v>
      </c>
      <c r="C2044" s="17" t="n">
        <f aca="false">a25_npc</f>
        <v>4.4425017</v>
      </c>
      <c r="D2044" s="17" t="n">
        <f aca="false">a26_npc</f>
        <v>6.3561606</v>
      </c>
      <c r="E2044" s="17" t="n">
        <f aca="false">D2044*(1+g_nonai+d_npc)</f>
        <v>6.801091842</v>
      </c>
      <c r="F2044" s="17" t="n">
        <f aca="false">E2044*(1+g_nonai+d_npc)</f>
        <v>7.27716827094</v>
      </c>
      <c r="G2044" s="17" t="n">
        <f aca="false">F2044*(1+g_nonai+d_npc)</f>
        <v>7.7865700499058</v>
      </c>
      <c r="K2044" s="4" t="s">
        <v>500</v>
      </c>
    </row>
    <row r="2045" customFormat="false" ht="15" hidden="false" customHeight="false" outlineLevel="0" collapsed="false">
      <c r="A2045" s="4" t="s">
        <v>398</v>
      </c>
      <c r="B2045" s="0" t="s">
        <v>189</v>
      </c>
      <c r="C2045" s="17" t="n">
        <f aca="false">C2043+C2044</f>
        <v>9.872226</v>
      </c>
      <c r="D2045" s="17" t="n">
        <f aca="false">D2043+D2044</f>
        <v>15.8904015</v>
      </c>
      <c r="E2045" s="17" t="n">
        <f aca="false">E2043+E2044</f>
        <v>23.6447066269345</v>
      </c>
      <c r="F2045" s="17" t="n">
        <f aca="false">F2043+F2044</f>
        <v>23.9108376908495</v>
      </c>
      <c r="G2045" s="17" t="n">
        <f aca="false">G2043+G2044</f>
        <v>28.9950663117277</v>
      </c>
    </row>
    <row r="2046" customFormat="false" ht="17.15" hidden="false" customHeight="false" outlineLevel="0" collapsed="false">
      <c r="A2046" s="0" t="s">
        <v>501</v>
      </c>
      <c r="B2046" s="0" t="s">
        <v>189</v>
      </c>
      <c r="D2046" s="17" t="n">
        <f aca="false">k_cpo*cpo_A_26/cpo_A_27</f>
        <v>0.24</v>
      </c>
      <c r="E2046" s="17" t="n">
        <f aca="false">k_cpo*cpo_B_27/cpo_A_27</f>
        <v>0.72</v>
      </c>
      <c r="F2046" s="17" t="n">
        <f aca="false">k_cpo*cpo_B_28/cpo_A_27</f>
        <v>1.2</v>
      </c>
      <c r="G2046" s="17" t="n">
        <f aca="false">k_cpo*cpo_B_29/cpo_A_27</f>
        <v>1.92</v>
      </c>
      <c r="K2046" s="8" t="s">
        <v>502</v>
      </c>
    </row>
    <row r="2047" customFormat="false" ht="17.15" hidden="false" customHeight="false" outlineLevel="0" collapsed="false">
      <c r="A2047" s="4" t="s">
        <v>503</v>
      </c>
      <c r="B2047" s="0" t="s">
        <v>189</v>
      </c>
      <c r="C2047" s="17" t="n">
        <f aca="false">a25_eq</f>
        <v>3.290742</v>
      </c>
      <c r="D2047" s="17" t="n">
        <f aca="false">a26_eq-D2046</f>
        <v>4.8539955</v>
      </c>
      <c r="E2047" s="17" t="n">
        <f aca="false">D2047*semi_27</f>
        <v>5.659593717153</v>
      </c>
      <c r="F2047" s="17" t="n">
        <f aca="false">$E2047*eqk28_B</f>
        <v>5.659593717153</v>
      </c>
      <c r="G2047" s="17" t="n">
        <f aca="false">$E2047*eqk29_B</f>
        <v>5.37661403129535</v>
      </c>
      <c r="K2047" s="8" t="s">
        <v>504</v>
      </c>
    </row>
    <row r="2048" customFormat="false" ht="15" hidden="false" customHeight="false" outlineLevel="0" collapsed="false">
      <c r="A2048" s="4" t="s">
        <v>405</v>
      </c>
      <c r="B2048" s="0" t="s">
        <v>189</v>
      </c>
      <c r="C2048" s="17" t="n">
        <f aca="false">a25_eq</f>
        <v>3.290742</v>
      </c>
      <c r="D2048" s="17" t="n">
        <f aca="false">D2046+D2047</f>
        <v>5.0939955</v>
      </c>
      <c r="E2048" s="17" t="n">
        <f aca="false">E2046+E2047</f>
        <v>6.379593717153</v>
      </c>
      <c r="F2048" s="17" t="n">
        <f aca="false">F2046+F2047</f>
        <v>6.859593717153</v>
      </c>
      <c r="G2048" s="17" t="n">
        <f aca="false">G2046+G2047</f>
        <v>7.29661403129535</v>
      </c>
    </row>
    <row r="2049" customFormat="false" ht="15" hidden="false" customHeight="false" outlineLevel="0" collapsed="false">
      <c r="A2049" s="4" t="s">
        <v>407</v>
      </c>
      <c r="B2049" s="0" t="s">
        <v>189</v>
      </c>
      <c r="C2049" s="17" t="n">
        <f aca="false">a25_oth</f>
        <v>0.214032000000001</v>
      </c>
      <c r="D2049" s="17" t="n">
        <f aca="false">a26_oth</f>
        <v>0.428253</v>
      </c>
      <c r="E2049" s="17" t="n">
        <f aca="false">D2049*(1+g_oth)</f>
        <v>0.44966565</v>
      </c>
      <c r="F2049" s="17" t="n">
        <f aca="false">E2049*(1+g_oth)</f>
        <v>0.4721489325</v>
      </c>
      <c r="G2049" s="17" t="n">
        <f aca="false">F2049*(1+g_oth)</f>
        <v>0.495756379125</v>
      </c>
    </row>
    <row r="2050" customFormat="false" ht="17.15" hidden="false" customHeight="false" outlineLevel="0" collapsed="false">
      <c r="A2050" s="4" t="s">
        <v>394</v>
      </c>
      <c r="B2050" s="0" t="s">
        <v>189</v>
      </c>
      <c r="C2050" s="17" t="n">
        <f aca="false">C2045+C2048+C2049</f>
        <v>13.377</v>
      </c>
      <c r="D2050" s="17" t="n">
        <f aca="false">D2045+D2048+D2049</f>
        <v>21.41265</v>
      </c>
      <c r="E2050" s="17" t="n">
        <f aca="false">E2045+E2048+E2049</f>
        <v>30.4739659940875</v>
      </c>
      <c r="F2050" s="17" t="n">
        <f aca="false">F2045+F2048+F2049</f>
        <v>31.2425803405026</v>
      </c>
      <c r="G2050" s="17" t="n">
        <f aca="false">G2045+G2048+G2049</f>
        <v>36.7874367221481</v>
      </c>
      <c r="H2050" s="30" t="n">
        <f aca="false">G2050*(1+H2051)</f>
        <v>41.6305651224657</v>
      </c>
      <c r="I2050" s="30" t="n">
        <f aca="false">H2050*(1+I2051)</f>
        <v>45.2035436566513</v>
      </c>
      <c r="J2050" s="30" t="n">
        <f aca="false">I2050*(1+J2051)</f>
        <v>47.0116854029173</v>
      </c>
      <c r="K2050" s="8" t="s">
        <v>505</v>
      </c>
    </row>
    <row r="2051" customFormat="false" ht="15" hidden="false" customHeight="false" outlineLevel="0" collapsed="false">
      <c r="A2051" s="4" t="s">
        <v>506</v>
      </c>
      <c r="B2051" s="0" t="s">
        <v>90</v>
      </c>
      <c r="D2051" s="22" t="n">
        <f aca="false">D2050/C2050-1</f>
        <v>0.600706436420722</v>
      </c>
      <c r="E2051" s="22" t="n">
        <f aca="false">E2050/D2050-1</f>
        <v>0.423175832701115</v>
      </c>
      <c r="F2051" s="22" t="n">
        <f aca="false">F2050/E2050-1</f>
        <v>0.0252219992161231</v>
      </c>
      <c r="G2051" s="22" t="n">
        <f aca="false">G2050/F2050-1</f>
        <v>0.177477542546549</v>
      </c>
      <c r="H2051" s="26" t="n">
        <f aca="false">$G2051+(fade_gB-$G2051)*1/3</f>
        <v>0.131651695031033</v>
      </c>
      <c r="I2051" s="26" t="n">
        <f aca="false">$G2051+(fade_gB-$G2051)*2/3</f>
        <v>0.0858258475155164</v>
      </c>
      <c r="J2051" s="26" t="n">
        <f aca="false">$G2051+(fade_gB-$G2051)*3/3</f>
        <v>0.04</v>
      </c>
    </row>
    <row r="2052" customFormat="false" ht="17.15" hidden="false" customHeight="false" outlineLevel="0" collapsed="false">
      <c r="A2052" s="0" t="s">
        <v>507</v>
      </c>
      <c r="B2052" s="0" t="s">
        <v>90</v>
      </c>
      <c r="C2052" s="22" t="n">
        <f aca="false">C2043/C2050</f>
        <v>0.4059</v>
      </c>
      <c r="D2052" s="22" t="n">
        <f aca="false">D2043/D2050</f>
        <v>0.445262071719287</v>
      </c>
      <c r="E2052" s="22" t="n">
        <f aca="false">E2043/E2050</f>
        <v>0.552721453722252</v>
      </c>
      <c r="F2052" s="22" t="n">
        <f aca="false">F2043/F2050</f>
        <v>0.532403829601291</v>
      </c>
      <c r="G2052" s="22" t="n">
        <f aca="false">G2043/G2050</f>
        <v>0.576514651510178</v>
      </c>
    </row>
    <row r="2053" customFormat="false" ht="17.15" hidden="false" customHeight="false" outlineLevel="0" collapsed="false">
      <c r="A2053" s="4" t="s">
        <v>508</v>
      </c>
      <c r="B2053" s="0" t="s">
        <v>90</v>
      </c>
      <c r="C2053" s="22" t="n">
        <f aca="false">C2045/C2050</f>
        <v>0.738</v>
      </c>
      <c r="D2053" s="22" t="n">
        <f aca="false">D2045/D2050</f>
        <v>0.742103452865479</v>
      </c>
      <c r="E2053" s="22" t="n">
        <f aca="false">E2045/E2050</f>
        <v>0.775898569668353</v>
      </c>
      <c r="F2053" s="22" t="n">
        <f aca="false">F2045/F2050</f>
        <v>0.765328517371268</v>
      </c>
      <c r="G2053" s="22" t="n">
        <f aca="false">G2045/G2050</f>
        <v>0.788178489594821</v>
      </c>
    </row>
    <row r="2054" customFormat="false" ht="17.15" hidden="false" customHeight="false" outlineLevel="0" collapsed="false">
      <c r="A2054" s="6" t="s">
        <v>509</v>
      </c>
    </row>
    <row r="2055" customFormat="false" ht="15" hidden="false" customHeight="false" outlineLevel="0" collapsed="false">
      <c r="A2055" s="4" t="s">
        <v>412</v>
      </c>
      <c r="B2055" s="0" t="s">
        <v>90</v>
      </c>
      <c r="C2055" s="14" t="n">
        <f aca="false">a25_gp/a25_rev</f>
        <v>0.574</v>
      </c>
      <c r="D2055" s="14" t="n">
        <f aca="false">a26_gp/a26_rev</f>
        <v>0.593344593032623</v>
      </c>
      <c r="E2055" s="14" t="n">
        <f aca="false">gm27_B+gm_adj</f>
        <v>0.595</v>
      </c>
      <c r="F2055" s="14" t="n">
        <f aca="false">gmL_B+gm_adj</f>
        <v>0.595</v>
      </c>
      <c r="G2055" s="14" t="n">
        <f aca="false">gmL_B+gm_adj</f>
        <v>0.595</v>
      </c>
    </row>
    <row r="2056" customFormat="false" ht="15" hidden="false" customHeight="false" outlineLevel="0" collapsed="false">
      <c r="A2056" s="4" t="s">
        <v>409</v>
      </c>
      <c r="B2056" s="0" t="s">
        <v>189</v>
      </c>
      <c r="C2056" s="17" t="n">
        <f aca="false">C2050*C2055</f>
        <v>7.678398</v>
      </c>
      <c r="D2056" s="17" t="n">
        <f aca="false">D2050*D2055</f>
        <v>12.7050801</v>
      </c>
      <c r="E2056" s="17" t="n">
        <f aca="false">E2050*E2055</f>
        <v>18.1320097664821</v>
      </c>
      <c r="F2056" s="17" t="n">
        <f aca="false">F2050*F2055</f>
        <v>18.589335302599</v>
      </c>
      <c r="G2056" s="17" t="n">
        <f aca="false">G2050*G2055</f>
        <v>21.8885248496781</v>
      </c>
    </row>
    <row r="2057" customFormat="false" ht="17.15" hidden="false" customHeight="false" outlineLevel="0" collapsed="false">
      <c r="A2057" s="4" t="s">
        <v>510</v>
      </c>
      <c r="B2057" s="0" t="s">
        <v>189</v>
      </c>
      <c r="D2057" s="17" t="n">
        <f aca="false">a26_opx</f>
        <v>5.05564928556</v>
      </c>
      <c r="E2057" s="17" t="n">
        <f aca="false">D2057*(1+phi*E2051)</f>
        <v>6.33930644331699</v>
      </c>
      <c r="F2057" s="17" t="n">
        <f aca="false">E2057*(1+phi*F2051)</f>
        <v>6.43524043260345</v>
      </c>
      <c r="G2057" s="17" t="n">
        <f aca="false">F2057*(1+phi*G2051)</f>
        <v>7.12050682720824</v>
      </c>
      <c r="K2057" s="8" t="s">
        <v>511</v>
      </c>
    </row>
    <row r="2058" customFormat="false" ht="15" hidden="false" customHeight="false" outlineLevel="0" collapsed="false">
      <c r="A2058" s="4" t="s">
        <v>415</v>
      </c>
      <c r="B2058" s="0" t="s">
        <v>189</v>
      </c>
      <c r="D2058" s="17" t="n">
        <f aca="false">D2056-D2057</f>
        <v>7.64943081444</v>
      </c>
      <c r="E2058" s="17" t="n">
        <f aca="false">E2056-E2057</f>
        <v>11.7927033231651</v>
      </c>
      <c r="F2058" s="17" t="n">
        <f aca="false">F2056-F2057</f>
        <v>12.1540948699956</v>
      </c>
      <c r="G2058" s="17" t="n">
        <f aca="false">G2056-G2057</f>
        <v>14.7680180224699</v>
      </c>
    </row>
    <row r="2059" customFormat="false" ht="15" hidden="false" customHeight="false" outlineLevel="0" collapsed="false">
      <c r="A2059" s="4" t="s">
        <v>482</v>
      </c>
      <c r="B2059" s="0" t="s">
        <v>90</v>
      </c>
      <c r="D2059" s="14" t="n">
        <f aca="false">D2058/D2050</f>
        <v>0.357238866484999</v>
      </c>
      <c r="E2059" s="14" t="n">
        <f aca="false">E2058/E2050</f>
        <v>0.386976323510142</v>
      </c>
      <c r="F2059" s="14" t="n">
        <f aca="false">F2058/F2050</f>
        <v>0.389023401317436</v>
      </c>
      <c r="G2059" s="14" t="n">
        <f aca="false">G2058/G2050</f>
        <v>0.401441887185869</v>
      </c>
    </row>
    <row r="2060" customFormat="false" ht="15" hidden="false" customHeight="false" outlineLevel="0" collapsed="false">
      <c r="A2060" s="4" t="s">
        <v>418</v>
      </c>
      <c r="B2060" s="0" t="s">
        <v>189</v>
      </c>
      <c r="C2060" s="17" t="n">
        <f aca="false">a25_ni</f>
        <v>3.18</v>
      </c>
      <c r="D2060" s="17" t="n">
        <f aca="false">a26_ni</f>
        <v>6.7316248085628</v>
      </c>
      <c r="E2060" s="17" t="n">
        <f aca="false">E2058*ni_oi_hi</f>
        <v>10.6134329908486</v>
      </c>
      <c r="F2060" s="17" t="n">
        <f aca="false">F2058*ni_oi_hi</f>
        <v>10.938685382996</v>
      </c>
      <c r="G2060" s="17" t="n">
        <f aca="false">G2058*ni_oi_hi</f>
        <v>13.2912162202229</v>
      </c>
      <c r="H2060" s="30" t="n">
        <f aca="false">H2050*H2064</f>
        <v>14.2889759964072</v>
      </c>
      <c r="I2060" s="30" t="n">
        <f aca="false">I2050*I2064</f>
        <v>14.6987426571421</v>
      </c>
      <c r="J2060" s="30" t="n">
        <f aca="false">J2050*J2064</f>
        <v>14.4374316765707</v>
      </c>
    </row>
    <row r="2061" customFormat="false" ht="15" hidden="false" customHeight="false" outlineLevel="0" collapsed="false">
      <c r="A2061" s="4" t="s">
        <v>512</v>
      </c>
      <c r="B2061" s="4" t="s">
        <v>513</v>
      </c>
      <c r="C2061" s="19" t="n">
        <f aca="false">a25_sh</f>
        <v>94.9537175276202</v>
      </c>
      <c r="D2061" s="19" t="n">
        <f aca="false">a26_sh</f>
        <v>97.9860681630967</v>
      </c>
      <c r="E2061" s="19" t="n">
        <f aca="false">D2061*(1+sh_g)</f>
        <v>97.9860681630967</v>
      </c>
      <c r="F2061" s="19" t="n">
        <f aca="false">E2061*(1+sh_g)</f>
        <v>97.9860681630967</v>
      </c>
      <c r="G2061" s="19" t="n">
        <f aca="false">F2061*(1+sh_g)</f>
        <v>97.9860681630967</v>
      </c>
      <c r="H2061" s="25" t="n">
        <f aca="false">G2061*(1+sh_g)</f>
        <v>97.9860681630967</v>
      </c>
      <c r="I2061" s="25" t="n">
        <f aca="false">H2061*(1+sh_g)</f>
        <v>97.9860681630967</v>
      </c>
      <c r="J2061" s="25" t="n">
        <f aca="false">I2061*(1+sh_g)</f>
        <v>97.9860681630967</v>
      </c>
    </row>
    <row r="2062" customFormat="false" ht="15" hidden="false" customHeight="false" outlineLevel="0" collapsed="false">
      <c r="A2062" s="0" t="s">
        <v>423</v>
      </c>
      <c r="B2062" s="0" t="s">
        <v>256</v>
      </c>
      <c r="C2062" s="20" t="n">
        <f aca="false">a25_eps</f>
        <v>33.49</v>
      </c>
      <c r="D2062" s="20" t="n">
        <f aca="false">a26_eps</f>
        <v>68.6959552317267</v>
      </c>
      <c r="E2062" s="20" t="n">
        <f aca="false">E2060/E2061*1000</f>
        <v>108.315734979616</v>
      </c>
      <c r="F2062" s="20" t="n">
        <f aca="false">F2060/F2061*1000</f>
        <v>111.635108827805</v>
      </c>
      <c r="G2062" s="20" t="n">
        <f aca="false">G2060/G2061*1000</f>
        <v>135.643938667891</v>
      </c>
      <c r="H2062" s="28" t="n">
        <f aca="false">H2060/H2061*1000</f>
        <v>145.826608458494</v>
      </c>
      <c r="I2062" s="28" t="n">
        <f aca="false">I2060/I2061*1000</f>
        <v>150.008495418718</v>
      </c>
      <c r="J2062" s="28" t="n">
        <f aca="false">J2060/J2061*1000</f>
        <v>147.341677722385</v>
      </c>
    </row>
    <row r="2063" customFormat="false" ht="17.15" hidden="false" customHeight="false" outlineLevel="0" collapsed="false">
      <c r="A2063" s="0" t="s">
        <v>514</v>
      </c>
      <c r="B2063" s="0" t="s">
        <v>90</v>
      </c>
      <c r="D2063" s="22" t="n">
        <f aca="false">D2062/C2062-1</f>
        <v>1.05123783910799</v>
      </c>
      <c r="E2063" s="22" t="n">
        <f aca="false">E2062/D2062-1</f>
        <v>0.576741084889831</v>
      </c>
      <c r="F2063" s="22" t="n">
        <f aca="false">F2062/E2062-1</f>
        <v>0.0306453522086472</v>
      </c>
      <c r="G2063" s="22" t="n">
        <f aca="false">G2062/F2062-1</f>
        <v>0.215065225377433</v>
      </c>
      <c r="H2063" s="26" t="n">
        <f aca="false">H2062/G2062-1</f>
        <v>0.0750691102794809</v>
      </c>
      <c r="I2063" s="26" t="n">
        <f aca="false">I2062/H2062-1</f>
        <v>0.0286771186989105</v>
      </c>
      <c r="J2063" s="26" t="n">
        <f aca="false">J2062/I2062-1</f>
        <v>-0.0177777777777778</v>
      </c>
    </row>
    <row r="2064" customFormat="false" ht="17.15" hidden="false" customHeight="false" outlineLevel="0" collapsed="false">
      <c r="A2064" s="4" t="s">
        <v>515</v>
      </c>
      <c r="B2064" s="0" t="s">
        <v>90</v>
      </c>
      <c r="C2064" s="14" t="n">
        <f aca="false">C2060/C2050</f>
        <v>0.237721462211258</v>
      </c>
      <c r="D2064" s="14" t="n">
        <f aca="false">D2060/D2050</f>
        <v>0.314376072488123</v>
      </c>
      <c r="E2064" s="14" t="n">
        <f aca="false">E2060/E2050</f>
        <v>0.348278691159128</v>
      </c>
      <c r="F2064" s="14" t="n">
        <f aca="false">F2060/F2050</f>
        <v>0.350121061185693</v>
      </c>
      <c r="G2064" s="14" t="n">
        <f aca="false">G2060/G2050</f>
        <v>0.361297698467282</v>
      </c>
      <c r="H2064" s="27" t="n">
        <f aca="false">$G2064+(fade_mB-$G2064)*1/3</f>
        <v>0.343232813543918</v>
      </c>
      <c r="I2064" s="27" t="n">
        <f aca="false">$G2064+(fade_mB-$G2064)*2/3</f>
        <v>0.325167928620554</v>
      </c>
      <c r="J2064" s="27" t="n">
        <f aca="false">$G2064+(fade_mB-$G2064)*3/3</f>
        <v>0.30710304369719</v>
      </c>
    </row>
    <row r="2067" customFormat="false" ht="17.15" hidden="false" customHeight="false" outlineLevel="0" collapsed="false">
      <c r="A2067" s="1" t="s">
        <v>864</v>
      </c>
    </row>
    <row r="2068" customFormat="false" ht="17.15" hidden="false" customHeight="false" outlineLevel="0" collapsed="false">
      <c r="A2068" s="5" t="s">
        <v>21</v>
      </c>
      <c r="B2068" s="5" t="s">
        <v>22</v>
      </c>
      <c r="C2068" s="15" t="s">
        <v>387</v>
      </c>
      <c r="D2068" s="15" t="s">
        <v>468</v>
      </c>
      <c r="E2068" s="15" t="s">
        <v>469</v>
      </c>
      <c r="F2068" s="15" t="s">
        <v>470</v>
      </c>
      <c r="G2068" s="15" t="s">
        <v>471</v>
      </c>
      <c r="H2068" s="15" t="s">
        <v>472</v>
      </c>
      <c r="I2068" s="15" t="s">
        <v>473</v>
      </c>
      <c r="J2068" s="15" t="s">
        <v>474</v>
      </c>
      <c r="K2068" s="5" t="s">
        <v>336</v>
      </c>
    </row>
    <row r="2069" customFormat="false" ht="17.15" hidden="false" customHeight="false" outlineLevel="0" collapsed="false">
      <c r="A2069" s="6" t="s">
        <v>492</v>
      </c>
    </row>
    <row r="2070" customFormat="false" ht="17.15" hidden="false" customHeight="false" outlineLevel="0" collapsed="false">
      <c r="A2070" s="0" t="s">
        <v>493</v>
      </c>
      <c r="B2070" s="4" t="s">
        <v>32</v>
      </c>
      <c r="D2070" s="20" t="n">
        <f aca="false">units_26</f>
        <v>15.2</v>
      </c>
      <c r="E2070" s="20" t="n">
        <f aca="false">units_27*1</f>
        <v>23.7</v>
      </c>
      <c r="F2070" s="20" t="n">
        <f aca="false">units_28*um28_C*1</f>
        <v>15.9</v>
      </c>
      <c r="G2070" s="20" t="n">
        <f aca="false">units_29*um29_C*1</f>
        <v>18.09</v>
      </c>
    </row>
    <row r="2071" customFormat="false" ht="17.15" hidden="false" customHeight="false" outlineLevel="0" collapsed="false">
      <c r="A2071" s="4" t="s">
        <v>494</v>
      </c>
      <c r="B2071" s="0" t="s">
        <v>45</v>
      </c>
      <c r="D2071" s="18" t="n">
        <f aca="false">ex_nv*nvtt_26+astt_26</f>
        <v>0.607994</v>
      </c>
      <c r="E2071" s="18" t="n">
        <f aca="false">ex_nv*nvtt_27+astt_27</f>
        <v>0.6560764</v>
      </c>
      <c r="F2071" s="18" t="n">
        <f aca="false">ex_nv*nvtt_28+astt_28</f>
        <v>0.6898114</v>
      </c>
      <c r="G2071" s="18" t="n">
        <f aca="false">ex_nv*nvtt_29+astt_29</f>
        <v>0.692935</v>
      </c>
      <c r="K2071" s="8" t="s">
        <v>495</v>
      </c>
    </row>
    <row r="2072" customFormat="false" ht="17.15" hidden="false" customHeight="false" outlineLevel="0" collapsed="false">
      <c r="A2072" s="4" t="s">
        <v>447</v>
      </c>
      <c r="B2072" s="0" t="s">
        <v>45</v>
      </c>
      <c r="D2072" s="18" t="n">
        <f aca="false">D2070*D2071/($D2070*$D2071)</f>
        <v>1</v>
      </c>
      <c r="E2072" s="18" t="n">
        <f aca="false">E2070*E2071/($D2070*$D2071)</f>
        <v>1.68251862509724</v>
      </c>
      <c r="F2072" s="18" t="n">
        <f aca="false">F2070*F2071/($D2070*$D2071)</f>
        <v>1.18681932759724</v>
      </c>
      <c r="G2072" s="18" t="n">
        <f aca="false">G2070*G2071/($D2070*$D2071)</f>
        <v>1.35640125668657</v>
      </c>
    </row>
    <row r="2073" customFormat="false" ht="17.15" hidden="false" customHeight="false" outlineLevel="0" collapsed="false">
      <c r="A2073" s="4" t="s">
        <v>496</v>
      </c>
      <c r="B2073" s="0" t="s">
        <v>45</v>
      </c>
      <c r="D2073" s="20" t="n">
        <f aca="false">1</f>
        <v>1</v>
      </c>
      <c r="E2073" s="20" t="n">
        <f aca="false">rel27_C</f>
        <v>0.92</v>
      </c>
      <c r="F2073" s="20" t="n">
        <f aca="false">rel28_C</f>
        <v>0.88</v>
      </c>
      <c r="G2073" s="20" t="n">
        <f aca="false">rel29_C</f>
        <v>0.85</v>
      </c>
    </row>
    <row r="2074" customFormat="false" ht="17.15" hidden="false" customHeight="false" outlineLevel="0" collapsed="false">
      <c r="A2074" s="4" t="s">
        <v>497</v>
      </c>
      <c r="B2074" s="0" t="s">
        <v>45</v>
      </c>
      <c r="D2074" s="18" t="n">
        <f aca="false">1</f>
        <v>1</v>
      </c>
      <c r="E2074" s="18" t="n">
        <f aca="false">(1+g_ct)^1</f>
        <v>1.05</v>
      </c>
      <c r="F2074" s="18" t="n">
        <f aca="false">(1+g_ct)^2</f>
        <v>1.1025</v>
      </c>
      <c r="G2074" s="18" t="n">
        <f aca="false">(1+g_ct)^3</f>
        <v>1.157625</v>
      </c>
    </row>
    <row r="2075" customFormat="false" ht="17.15" hidden="false" customHeight="false" outlineLevel="0" collapsed="false">
      <c r="A2075" s="6" t="s">
        <v>498</v>
      </c>
    </row>
    <row r="2076" customFormat="false" ht="17.15" hidden="false" customHeight="false" outlineLevel="0" collapsed="false">
      <c r="A2076" s="0" t="s">
        <v>401</v>
      </c>
      <c r="B2076" s="0" t="s">
        <v>189</v>
      </c>
      <c r="C2076" s="17" t="n">
        <f aca="false">a25_ai</f>
        <v>5.4297243</v>
      </c>
      <c r="D2076" s="17" t="n">
        <f aca="false">a26_ai</f>
        <v>9.5342409</v>
      </c>
      <c r="E2076" s="17" t="n">
        <f aca="false">$D2076*E2072*E2073*E2074</f>
        <v>15.4961256021398</v>
      </c>
      <c r="F2076" s="17" t="n">
        <f aca="false">$D2076*F2072*F2073*F2074</f>
        <v>10.9782218171403</v>
      </c>
      <c r="G2076" s="17" t="n">
        <f aca="false">$D2076*G2072*G2073*G2074</f>
        <v>12.7250977570932</v>
      </c>
      <c r="K2076" s="8" t="s">
        <v>499</v>
      </c>
    </row>
    <row r="2077" customFormat="false" ht="17.15" hidden="false" customHeight="false" outlineLevel="0" collapsed="false">
      <c r="A2077" s="4" t="s">
        <v>404</v>
      </c>
      <c r="B2077" s="0" t="s">
        <v>189</v>
      </c>
      <c r="C2077" s="17" t="n">
        <f aca="false">a25_npc</f>
        <v>4.4425017</v>
      </c>
      <c r="D2077" s="17" t="n">
        <f aca="false">a26_npc</f>
        <v>6.3561606</v>
      </c>
      <c r="E2077" s="17" t="n">
        <f aca="false">D2077*(1+g_nonai+d_npc)</f>
        <v>6.801091842</v>
      </c>
      <c r="F2077" s="17" t="n">
        <f aca="false">E2077*(1+g_nonai+d_npc)</f>
        <v>7.27716827094</v>
      </c>
      <c r="G2077" s="17" t="n">
        <f aca="false">F2077*(1+g_nonai+d_npc)</f>
        <v>7.7865700499058</v>
      </c>
      <c r="K2077" s="4" t="s">
        <v>500</v>
      </c>
    </row>
    <row r="2078" customFormat="false" ht="15" hidden="false" customHeight="false" outlineLevel="0" collapsed="false">
      <c r="A2078" s="4" t="s">
        <v>398</v>
      </c>
      <c r="B2078" s="0" t="s">
        <v>189</v>
      </c>
      <c r="C2078" s="17" t="n">
        <f aca="false">C2076+C2077</f>
        <v>9.872226</v>
      </c>
      <c r="D2078" s="17" t="n">
        <f aca="false">D2076+D2077</f>
        <v>15.8904015</v>
      </c>
      <c r="E2078" s="17" t="n">
        <f aca="false">E2076+E2077</f>
        <v>22.2972174441398</v>
      </c>
      <c r="F2078" s="17" t="n">
        <f aca="false">F2076+F2077</f>
        <v>18.2553900880803</v>
      </c>
      <c r="G2078" s="17" t="n">
        <f aca="false">G2076+G2077</f>
        <v>20.511667806999</v>
      </c>
    </row>
    <row r="2079" customFormat="false" ht="17.15" hidden="false" customHeight="false" outlineLevel="0" collapsed="false">
      <c r="A2079" s="0" t="s">
        <v>501</v>
      </c>
      <c r="B2079" s="0" t="s">
        <v>189</v>
      </c>
      <c r="D2079" s="17" t="n">
        <f aca="false">k_cpo*cpo_A_26/cpo_A_27</f>
        <v>0.24</v>
      </c>
      <c r="E2079" s="17" t="n">
        <f aca="false">k_cpo*cpo_C_27/cpo_A_27</f>
        <v>0.48</v>
      </c>
      <c r="F2079" s="17" t="n">
        <f aca="false">k_cpo*cpo_C_28/cpo_A_27</f>
        <v>0.72</v>
      </c>
      <c r="G2079" s="17" t="n">
        <f aca="false">k_cpo*cpo_C_29/cpo_A_27</f>
        <v>1.2</v>
      </c>
      <c r="K2079" s="8" t="s">
        <v>502</v>
      </c>
    </row>
    <row r="2080" customFormat="false" ht="17.15" hidden="false" customHeight="false" outlineLevel="0" collapsed="false">
      <c r="A2080" s="4" t="s">
        <v>503</v>
      </c>
      <c r="B2080" s="0" t="s">
        <v>189</v>
      </c>
      <c r="C2080" s="17" t="n">
        <f aca="false">a25_eq</f>
        <v>3.290742</v>
      </c>
      <c r="D2080" s="17" t="n">
        <f aca="false">a26_eq-D2079</f>
        <v>4.8539955</v>
      </c>
      <c r="E2080" s="17" t="n">
        <f aca="false">D2080*semi_27</f>
        <v>5.659593717153</v>
      </c>
      <c r="F2080" s="17" t="n">
        <f aca="false">$E2080*eqk28_C</f>
        <v>4.5276749737224</v>
      </c>
      <c r="G2080" s="17" t="n">
        <f aca="false">$E2080*eqk29_C</f>
        <v>5.659593717153</v>
      </c>
      <c r="K2080" s="8" t="s">
        <v>504</v>
      </c>
    </row>
    <row r="2081" customFormat="false" ht="15" hidden="false" customHeight="false" outlineLevel="0" collapsed="false">
      <c r="A2081" s="4" t="s">
        <v>405</v>
      </c>
      <c r="B2081" s="0" t="s">
        <v>189</v>
      </c>
      <c r="C2081" s="17" t="n">
        <f aca="false">a25_eq</f>
        <v>3.290742</v>
      </c>
      <c r="D2081" s="17" t="n">
        <f aca="false">D2079+D2080</f>
        <v>5.0939955</v>
      </c>
      <c r="E2081" s="17" t="n">
        <f aca="false">E2079+E2080</f>
        <v>6.139593717153</v>
      </c>
      <c r="F2081" s="17" t="n">
        <f aca="false">F2079+F2080</f>
        <v>5.2476749737224</v>
      </c>
      <c r="G2081" s="17" t="n">
        <f aca="false">G2079+G2080</f>
        <v>6.859593717153</v>
      </c>
    </row>
    <row r="2082" customFormat="false" ht="15" hidden="false" customHeight="false" outlineLevel="0" collapsed="false">
      <c r="A2082" s="4" t="s">
        <v>407</v>
      </c>
      <c r="B2082" s="0" t="s">
        <v>189</v>
      </c>
      <c r="C2082" s="17" t="n">
        <f aca="false">a25_oth</f>
        <v>0.214032000000001</v>
      </c>
      <c r="D2082" s="17" t="n">
        <f aca="false">a26_oth</f>
        <v>0.428253</v>
      </c>
      <c r="E2082" s="17" t="n">
        <f aca="false">D2082*(1+g_oth)</f>
        <v>0.44966565</v>
      </c>
      <c r="F2082" s="17" t="n">
        <f aca="false">E2082*(1+g_oth)</f>
        <v>0.4721489325</v>
      </c>
      <c r="G2082" s="17" t="n">
        <f aca="false">F2082*(1+g_oth)</f>
        <v>0.495756379125</v>
      </c>
    </row>
    <row r="2083" customFormat="false" ht="17.15" hidden="false" customHeight="false" outlineLevel="0" collapsed="false">
      <c r="A2083" s="4" t="s">
        <v>394</v>
      </c>
      <c r="B2083" s="0" t="s">
        <v>189</v>
      </c>
      <c r="C2083" s="17" t="n">
        <f aca="false">C2078+C2081+C2082</f>
        <v>13.377</v>
      </c>
      <c r="D2083" s="17" t="n">
        <f aca="false">D2078+D2081+D2082</f>
        <v>21.41265</v>
      </c>
      <c r="E2083" s="17" t="n">
        <f aca="false">E2078+E2081+E2082</f>
        <v>28.8864768112928</v>
      </c>
      <c r="F2083" s="17" t="n">
        <f aca="false">F2078+F2081+F2082</f>
        <v>23.9752139943027</v>
      </c>
      <c r="G2083" s="17" t="n">
        <f aca="false">G2078+G2081+G2082</f>
        <v>27.867017903277</v>
      </c>
      <c r="H2083" s="30" t="n">
        <f aca="false">G2083*(1+H2084)</f>
        <v>31.0684949623466</v>
      </c>
      <c r="I2083" s="30" t="n">
        <f aca="false">H2083*(1+I2084)</f>
        <v>33.1638178346034</v>
      </c>
      <c r="J2083" s="30" t="n">
        <f aca="false">I2083*(1+J2084)</f>
        <v>33.8270941912954</v>
      </c>
      <c r="K2083" s="8" t="s">
        <v>505</v>
      </c>
    </row>
    <row r="2084" customFormat="false" ht="15" hidden="false" customHeight="false" outlineLevel="0" collapsed="false">
      <c r="A2084" s="4" t="s">
        <v>506</v>
      </c>
      <c r="B2084" s="0" t="s">
        <v>90</v>
      </c>
      <c r="D2084" s="22" t="n">
        <f aca="false">D2083/C2083-1</f>
        <v>0.600706436420722</v>
      </c>
      <c r="E2084" s="22" t="n">
        <f aca="false">E2083/D2083-1</f>
        <v>0.349037919701333</v>
      </c>
      <c r="F2084" s="22" t="n">
        <f aca="false">F2083/E2083-1</f>
        <v>-0.170019447130017</v>
      </c>
      <c r="G2084" s="22" t="n">
        <f aca="false">G2083/F2083-1</f>
        <v>0.162326138565398</v>
      </c>
      <c r="H2084" s="26" t="n">
        <f aca="false">$G2084+(fade_gC-$G2084)*1/3</f>
        <v>0.114884092376932</v>
      </c>
      <c r="I2084" s="26" t="n">
        <f aca="false">$G2084+(fade_gC-$G2084)*2/3</f>
        <v>0.0674420461884661</v>
      </c>
      <c r="J2084" s="26" t="n">
        <f aca="false">$G2084+(fade_gC-$G2084)*3/3</f>
        <v>0.02</v>
      </c>
    </row>
    <row r="2085" customFormat="false" ht="17.15" hidden="false" customHeight="false" outlineLevel="0" collapsed="false">
      <c r="A2085" s="0" t="s">
        <v>507</v>
      </c>
      <c r="B2085" s="0" t="s">
        <v>90</v>
      </c>
      <c r="C2085" s="22" t="n">
        <f aca="false">C2076/C2083</f>
        <v>0.4059</v>
      </c>
      <c r="D2085" s="22" t="n">
        <f aca="false">D2076/D2083</f>
        <v>0.445262071719287</v>
      </c>
      <c r="E2085" s="22" t="n">
        <f aca="false">E2076/E2083</f>
        <v>0.536449138583829</v>
      </c>
      <c r="F2085" s="22" t="n">
        <f aca="false">F2076/F2083</f>
        <v>0.457898804146194</v>
      </c>
      <c r="G2085" s="22" t="n">
        <f aca="false">G2076/G2083</f>
        <v>0.456636508479681</v>
      </c>
    </row>
    <row r="2086" customFormat="false" ht="17.15" hidden="false" customHeight="false" outlineLevel="0" collapsed="false">
      <c r="A2086" s="4" t="s">
        <v>508</v>
      </c>
      <c r="B2086" s="0" t="s">
        <v>90</v>
      </c>
      <c r="C2086" s="22" t="n">
        <f aca="false">C2078/C2083</f>
        <v>0.738</v>
      </c>
      <c r="D2086" s="22" t="n">
        <f aca="false">D2078/D2083</f>
        <v>0.742103452865479</v>
      </c>
      <c r="E2086" s="22" t="n">
        <f aca="false">E2078/E2083</f>
        <v>0.771891206733214</v>
      </c>
      <c r="F2086" s="22" t="n">
        <f aca="false">F2078/F2083</f>
        <v>0.761427618223486</v>
      </c>
      <c r="G2086" s="22" t="n">
        <f aca="false">G2078/G2083</f>
        <v>0.736055356844872</v>
      </c>
    </row>
    <row r="2087" customFormat="false" ht="17.15" hidden="false" customHeight="false" outlineLevel="0" collapsed="false">
      <c r="A2087" s="6" t="s">
        <v>509</v>
      </c>
    </row>
    <row r="2088" customFormat="false" ht="15" hidden="false" customHeight="false" outlineLevel="0" collapsed="false">
      <c r="A2088" s="4" t="s">
        <v>412</v>
      </c>
      <c r="B2088" s="0" t="s">
        <v>90</v>
      </c>
      <c r="C2088" s="14" t="n">
        <f aca="false">a25_gp/a25_rev</f>
        <v>0.574</v>
      </c>
      <c r="D2088" s="14" t="n">
        <f aca="false">a26_gp/a26_rev</f>
        <v>0.593344593032623</v>
      </c>
      <c r="E2088" s="14" t="n">
        <f aca="false">gm27_C+gm_adj</f>
        <v>0.58</v>
      </c>
      <c r="F2088" s="14" t="n">
        <f aca="false">gmL_C+gm_adj</f>
        <v>0.565</v>
      </c>
      <c r="G2088" s="14" t="n">
        <f aca="false">gmL_C+gm_adj</f>
        <v>0.565</v>
      </c>
    </row>
    <row r="2089" customFormat="false" ht="15" hidden="false" customHeight="false" outlineLevel="0" collapsed="false">
      <c r="A2089" s="4" t="s">
        <v>409</v>
      </c>
      <c r="B2089" s="0" t="s">
        <v>189</v>
      </c>
      <c r="C2089" s="17" t="n">
        <f aca="false">C2083*C2088</f>
        <v>7.678398</v>
      </c>
      <c r="D2089" s="17" t="n">
        <f aca="false">D2083*D2088</f>
        <v>12.7050801</v>
      </c>
      <c r="E2089" s="17" t="n">
        <f aca="false">E2083*E2088</f>
        <v>16.7541565505498</v>
      </c>
      <c r="F2089" s="17" t="n">
        <f aca="false">F2083*F2088</f>
        <v>13.545995906781</v>
      </c>
      <c r="G2089" s="17" t="n">
        <f aca="false">G2083*G2088</f>
        <v>15.7448651153515</v>
      </c>
    </row>
    <row r="2090" customFormat="false" ht="17.15" hidden="false" customHeight="false" outlineLevel="0" collapsed="false">
      <c r="A2090" s="4" t="s">
        <v>510</v>
      </c>
      <c r="B2090" s="0" t="s">
        <v>189</v>
      </c>
      <c r="D2090" s="17" t="n">
        <f aca="false">a26_opx</f>
        <v>5.05564928556</v>
      </c>
      <c r="E2090" s="17" t="n">
        <f aca="false">D2090*(1+phi*E2084)</f>
        <v>6.11441727118284</v>
      </c>
      <c r="F2090" s="17" t="n">
        <f aca="false">E2090*(1+phi*F2084)</f>
        <v>5.4906753648016</v>
      </c>
      <c r="G2090" s="17" t="n">
        <f aca="false">F2090*(1+phi*G2084)</f>
        <v>6.02544344285224</v>
      </c>
      <c r="K2090" s="8" t="s">
        <v>511</v>
      </c>
    </row>
    <row r="2091" customFormat="false" ht="15" hidden="false" customHeight="false" outlineLevel="0" collapsed="false">
      <c r="A2091" s="4" t="s">
        <v>415</v>
      </c>
      <c r="B2091" s="0" t="s">
        <v>189</v>
      </c>
      <c r="D2091" s="17" t="n">
        <f aca="false">D2089-D2090</f>
        <v>7.64943081444</v>
      </c>
      <c r="E2091" s="17" t="n">
        <f aca="false">E2089-E2090</f>
        <v>10.639739279367</v>
      </c>
      <c r="F2091" s="17" t="n">
        <f aca="false">F2089-F2090</f>
        <v>8.05532054197943</v>
      </c>
      <c r="G2091" s="17" t="n">
        <f aca="false">G2089-G2090</f>
        <v>9.71942167249924</v>
      </c>
    </row>
    <row r="2092" customFormat="false" ht="15" hidden="false" customHeight="false" outlineLevel="0" collapsed="false">
      <c r="A2092" s="4" t="s">
        <v>482</v>
      </c>
      <c r="B2092" s="0" t="s">
        <v>90</v>
      </c>
      <c r="D2092" s="14" t="n">
        <f aca="false">D2091/D2083</f>
        <v>0.357238866484999</v>
      </c>
      <c r="E2092" s="14" t="n">
        <f aca="false">E2091/E2083</f>
        <v>0.368329421025395</v>
      </c>
      <c r="F2092" s="14" t="n">
        <f aca="false">F2091/F2083</f>
        <v>0.335985344860473</v>
      </c>
      <c r="G2092" s="14" t="n">
        <f aca="false">G2091/G2083</f>
        <v>0.348778678301144</v>
      </c>
    </row>
    <row r="2093" customFormat="false" ht="15" hidden="false" customHeight="false" outlineLevel="0" collapsed="false">
      <c r="A2093" s="4" t="s">
        <v>418</v>
      </c>
      <c r="B2093" s="0" t="s">
        <v>189</v>
      </c>
      <c r="C2093" s="17" t="n">
        <f aca="false">a25_ni</f>
        <v>3.18</v>
      </c>
      <c r="D2093" s="17" t="n">
        <f aca="false">a26_ni</f>
        <v>6.7316248085628</v>
      </c>
      <c r="E2093" s="17" t="n">
        <f aca="false">E2091*ni_oi_hi</f>
        <v>9.57576535143026</v>
      </c>
      <c r="F2093" s="17" t="n">
        <f aca="false">F2091*ni_oi_hi</f>
        <v>7.24978848778148</v>
      </c>
      <c r="G2093" s="17" t="n">
        <f aca="false">G2091*ni_oi_hi</f>
        <v>8.74747950524932</v>
      </c>
      <c r="H2093" s="30" t="n">
        <f aca="false">H2083*H2097</f>
        <v>8.95778365074568</v>
      </c>
      <c r="I2093" s="30" t="n">
        <f aca="false">I2083*I2097</f>
        <v>8.71368052233555</v>
      </c>
      <c r="J2093" s="30" t="n">
        <f aca="false">J2083*J2097</f>
        <v>8.02275505790965</v>
      </c>
    </row>
    <row r="2094" customFormat="false" ht="15" hidden="false" customHeight="false" outlineLevel="0" collapsed="false">
      <c r="A2094" s="4" t="s">
        <v>512</v>
      </c>
      <c r="B2094" s="4" t="s">
        <v>513</v>
      </c>
      <c r="C2094" s="19" t="n">
        <f aca="false">a25_sh</f>
        <v>94.9537175276202</v>
      </c>
      <c r="D2094" s="19" t="n">
        <f aca="false">a26_sh</f>
        <v>97.9860681630967</v>
      </c>
      <c r="E2094" s="19" t="n">
        <f aca="false">D2094*(1+sh_g)</f>
        <v>97.9860681630967</v>
      </c>
      <c r="F2094" s="19" t="n">
        <f aca="false">E2094*(1+sh_g)</f>
        <v>97.9860681630967</v>
      </c>
      <c r="G2094" s="19" t="n">
        <f aca="false">F2094*(1+sh_g)</f>
        <v>97.9860681630967</v>
      </c>
      <c r="H2094" s="25" t="n">
        <f aca="false">G2094*(1+sh_g)</f>
        <v>97.9860681630967</v>
      </c>
      <c r="I2094" s="25" t="n">
        <f aca="false">H2094*(1+sh_g)</f>
        <v>97.9860681630967</v>
      </c>
      <c r="J2094" s="25" t="n">
        <f aca="false">I2094*(1+sh_g)</f>
        <v>97.9860681630967</v>
      </c>
    </row>
    <row r="2095" customFormat="false" ht="15" hidden="false" customHeight="false" outlineLevel="0" collapsed="false">
      <c r="A2095" s="0" t="s">
        <v>423</v>
      </c>
      <c r="B2095" s="0" t="s">
        <v>256</v>
      </c>
      <c r="C2095" s="20" t="n">
        <f aca="false">a25_eps</f>
        <v>33.49</v>
      </c>
      <c r="D2095" s="20" t="n">
        <f aca="false">a26_eps</f>
        <v>68.6959552317267</v>
      </c>
      <c r="E2095" s="20" t="n">
        <f aca="false">E2093/E2094*1000</f>
        <v>97.7257841950706</v>
      </c>
      <c r="F2095" s="20" t="n">
        <f aca="false">F2093/F2094*1000</f>
        <v>73.9879517944765</v>
      </c>
      <c r="G2095" s="20" t="n">
        <f aca="false">G2093/G2094*1000</f>
        <v>89.27268609951</v>
      </c>
      <c r="H2095" s="28" t="n">
        <f aca="false">H2093/H2094*1000</f>
        <v>91.4189518844204</v>
      </c>
      <c r="I2095" s="28" t="n">
        <f aca="false">I2093/I2094*1000</f>
        <v>88.9277494820154</v>
      </c>
      <c r="J2095" s="28" t="n">
        <f aca="false">J2093/J2094*1000</f>
        <v>81.8764872222025</v>
      </c>
    </row>
    <row r="2096" customFormat="false" ht="17.15" hidden="false" customHeight="false" outlineLevel="0" collapsed="false">
      <c r="A2096" s="0" t="s">
        <v>514</v>
      </c>
      <c r="B2096" s="0" t="s">
        <v>90</v>
      </c>
      <c r="D2096" s="22" t="n">
        <f aca="false">D2095/C2095-1</f>
        <v>1.05123783910799</v>
      </c>
      <c r="E2096" s="22" t="n">
        <f aca="false">E2095/D2095-1</f>
        <v>0.422584253547677</v>
      </c>
      <c r="F2096" s="22" t="n">
        <f aca="false">F2095/E2095-1</f>
        <v>-0.24290244991241</v>
      </c>
      <c r="G2096" s="22" t="n">
        <f aca="false">G2095/F2095-1</f>
        <v>0.20658409827983</v>
      </c>
      <c r="H2096" s="26" t="n">
        <f aca="false">H2095/G2095-1</f>
        <v>0.0240416848499225</v>
      </c>
      <c r="I2096" s="26" t="n">
        <f aca="false">I2095/H2095-1</f>
        <v>-0.0272503933927686</v>
      </c>
      <c r="J2096" s="26" t="n">
        <f aca="false">J2095/I2095-1</f>
        <v>-0.07929203539823</v>
      </c>
    </row>
    <row r="2097" customFormat="false" ht="17.15" hidden="false" customHeight="false" outlineLevel="0" collapsed="false">
      <c r="A2097" s="4" t="s">
        <v>515</v>
      </c>
      <c r="B2097" s="0" t="s">
        <v>90</v>
      </c>
      <c r="C2097" s="14" t="n">
        <f aca="false">C2093/C2083</f>
        <v>0.237721462211258</v>
      </c>
      <c r="D2097" s="14" t="n">
        <f aca="false">D2093/D2083</f>
        <v>0.314376072488123</v>
      </c>
      <c r="E2097" s="14" t="n">
        <f aca="false">E2093/E2083</f>
        <v>0.331496478922856</v>
      </c>
      <c r="F2097" s="14" t="n">
        <f aca="false">F2093/F2083</f>
        <v>0.302386810374426</v>
      </c>
      <c r="G2097" s="14" t="n">
        <f aca="false">G2093/G2083</f>
        <v>0.313900810471029</v>
      </c>
      <c r="H2097" s="27" t="n">
        <f aca="false">$G2097+(fade_mC-$G2097)*1/3</f>
        <v>0.288323707395612</v>
      </c>
      <c r="I2097" s="27" t="n">
        <f aca="false">$G2097+(fade_mC-$G2097)*2/3</f>
        <v>0.262746604320195</v>
      </c>
      <c r="J2097" s="27" t="n">
        <f aca="false">$G2097+(fade_mC-$G2097)*3/3</f>
        <v>0.237169501244778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865</v>
      </c>
    </row>
    <row r="2" customFormat="false" ht="17.15" hidden="false" customHeight="false" outlineLevel="0" collapsed="false">
      <c r="A2" s="4" t="s">
        <v>866</v>
      </c>
      <c r="B2" s="0" t="s">
        <v>867</v>
      </c>
    </row>
    <row r="3" customFormat="false" ht="17.15" hidden="false" customHeight="false" outlineLevel="0" collapsed="false">
      <c r="A3" s="4" t="s">
        <v>868</v>
      </c>
      <c r="B3" s="0" t="s">
        <v>869</v>
      </c>
    </row>
    <row r="4" customFormat="false" ht="17.15" hidden="false" customHeight="false" outlineLevel="0" collapsed="false">
      <c r="A4" s="4" t="s">
        <v>870</v>
      </c>
      <c r="B4" s="0" t="s">
        <v>871</v>
      </c>
    </row>
    <row r="5" customFormat="false" ht="17.15" hidden="false" customHeight="false" outlineLevel="0" collapsed="false">
      <c r="A5" s="4" t="s">
        <v>872</v>
      </c>
      <c r="B5" s="0" t="s">
        <v>873</v>
      </c>
    </row>
    <row r="6" customFormat="false" ht="17.15" hidden="false" customHeight="false" outlineLevel="0" collapsed="false">
      <c r="A6" s="4" t="s">
        <v>874</v>
      </c>
      <c r="B6" s="0" t="s">
        <v>875</v>
      </c>
    </row>
    <row r="7" customFormat="false" ht="17.15" hidden="false" customHeight="false" outlineLevel="0" collapsed="false">
      <c r="A7" s="4" t="s">
        <v>876</v>
      </c>
      <c r="B7" s="0" t="s">
        <v>877</v>
      </c>
    </row>
    <row r="8" customFormat="false" ht="17.15" hidden="false" customHeight="false" outlineLevel="0" collapsed="false">
      <c r="A8" s="4" t="s">
        <v>878</v>
      </c>
      <c r="B8" s="0" t="s">
        <v>879</v>
      </c>
    </row>
    <row r="9" customFormat="false" ht="17.15" hidden="false" customHeight="false" outlineLevel="0" collapsed="false">
      <c r="A9" s="4" t="s">
        <v>880</v>
      </c>
      <c r="B9" s="0" t="s">
        <v>881</v>
      </c>
    </row>
    <row r="10" customFormat="false" ht="17.15" hidden="false" customHeight="false" outlineLevel="0" collapsed="false">
      <c r="A10" s="4" t="s">
        <v>882</v>
      </c>
      <c r="B10" s="0" t="s">
        <v>883</v>
      </c>
    </row>
    <row r="11" customFormat="false" ht="17.15" hidden="false" customHeight="false" outlineLevel="0" collapsed="false">
      <c r="A11" s="4" t="s">
        <v>884</v>
      </c>
      <c r="B11" s="0" t="s">
        <v>885</v>
      </c>
    </row>
    <row r="12" customFormat="false" ht="17.15" hidden="false" customHeight="false" outlineLevel="0" collapsed="false">
      <c r="A12" s="4" t="s">
        <v>886</v>
      </c>
      <c r="B12" s="4" t="s">
        <v>687</v>
      </c>
    </row>
    <row r="13" customFormat="false" ht="15" hidden="false" customHeight="false" outlineLevel="0" collapsed="false">
      <c r="A13" s="0" t="s">
        <v>887</v>
      </c>
      <c r="B13" s="4" t="s">
        <v>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2026-10-31T05:48:47Z</dcterms:created>
  <dc:creator>openpyxl</dc:creator>
  <dc:description/>
  <dc:language>en-US</dc:language>
  <cp:lastModifiedBy/>
  <dcterms:modified xsi:type="dcterms:W3CDTF">2026-10-31T05:48:48Z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