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Q!$B$17</definedName>
    <definedName function="false" hidden="false" name="a25_eps_in" vbProcedure="false">In!$E$67</definedName>
    <definedName function="false" hidden="false" name="a25_gp" vbProcedure="false">Q!$B$5</definedName>
    <definedName function="false" hidden="false" name="a25_gp_in" vbProcedure="false">In!$E$62</definedName>
    <definedName function="false" hidden="false" name="a25_ni" vbProcedure="false">Q!$B$14</definedName>
    <definedName function="false" hidden="false" name="a25_ninc" vbProcedure="false">Q!$B$10</definedName>
    <definedName function="false" hidden="false" name="a25_ninc_in" vbProcedure="false">In!$E$64</definedName>
    <definedName function="false" hidden="false" name="a25_ni_in" vbProcedure="false">In!$E$65</definedName>
    <definedName function="false" hidden="false" name="a25_opx" vbProcedure="false">Q!$B$7</definedName>
    <definedName function="false" hidden="false" name="a25_opx_in" vbProcedure="false">In!$E$63</definedName>
    <definedName function="false" hidden="false" name="a25_rev" vbProcedure="false">Q!$B$4</definedName>
    <definedName function="false" hidden="false" name="a25_rev_in" vbProcedure="false">In!$E$61</definedName>
    <definedName function="false" hidden="false" name="a25_sh" vbProcedure="false">Q!$B$16</definedName>
    <definedName function="false" hidden="false" name="a25_sh_in" vbProcedure="false">In!$E$66</definedName>
    <definedName function="false" hidden="false" name="a25_tx" vbProcedure="false">Q!$B$13</definedName>
    <definedName function="false" hidden="false" name="a26_aec" vbProcedure="false">Q!$C$20</definedName>
    <definedName function="false" hidden="false" name="a26_eps" vbProcedure="false">Q!$C$17</definedName>
    <definedName function="false" hidden="false" name="a26_eps_in" vbProcedure="false">In!$E$74</definedName>
    <definedName function="false" hidden="false" name="a26_gp" vbProcedure="false">Q!$C$5</definedName>
    <definedName function="false" hidden="false" name="a26_gp_in" vbProcedure="false">In!$E$69</definedName>
    <definedName function="false" hidden="false" name="a26_ic" vbProcedure="false">Q!$C$19</definedName>
    <definedName function="false" hidden="false" name="a26_ni" vbProcedure="false">Q!$C$14</definedName>
    <definedName function="false" hidden="false" name="a26_ninc" vbProcedure="false">Q!$C$10</definedName>
    <definedName function="false" hidden="false" name="a26_ninc_in" vbProcedure="false">In!$E$71</definedName>
    <definedName function="false" hidden="false" name="a26_ni_in" vbProcedure="false">In!$E$72</definedName>
    <definedName function="false" hidden="false" name="a26_opt" vbProcedure="false">Q!$C$18</definedName>
    <definedName function="false" hidden="false" name="a26_opx" vbProcedure="false">Q!$C$7</definedName>
    <definedName function="false" hidden="false" name="a26_opx_in" vbProcedure="false">In!$E$70</definedName>
    <definedName function="false" hidden="false" name="a26_rev" vbProcedure="false">Q!$C$4</definedName>
    <definedName function="false" hidden="false" name="a26_rev_in" vbProcedure="false">In!$E$68</definedName>
    <definedName function="false" hidden="false" name="a26_sh" vbProcedure="false">Q!$C$16</definedName>
    <definedName function="false" hidden="false" name="a26_sh_in" vbProcedure="false">In!$E$73</definedName>
    <definedName function="false" hidden="false" name="a26_tx" vbProcedure="false">Q!$C$13</definedName>
    <definedName function="false" hidden="false" name="a27_aec" vbProcedure="false">Q!$G$20</definedName>
    <definedName function="false" hidden="false" name="a27_eps" vbProcedure="false">Q!$G$17</definedName>
    <definedName function="false" hidden="false" name="a27_gp" vbProcedure="false">Q!$G$5</definedName>
    <definedName function="false" hidden="false" name="a27_ic" vbProcedure="false">Q!$G$19</definedName>
    <definedName function="false" hidden="false" name="a27_ni" vbProcedure="false">Q!$G$14</definedName>
    <definedName function="false" hidden="false" name="a27_ninc" vbProcedure="false">Q!$G$10</definedName>
    <definedName function="false" hidden="false" name="a27_opt" vbProcedure="false">Q!$G$18</definedName>
    <definedName function="false" hidden="false" name="a27_opx" vbProcedure="false">Q!$G$7</definedName>
    <definedName function="false" hidden="false" name="a27_rev" vbProcedure="false">Q!$G$4</definedName>
    <definedName function="false" hidden="false" name="a27_sh" vbProcedure="false">Q!$G$16</definedName>
    <definedName function="false" hidden="false" name="a27_tx" vbProcedure="false">Q!$G$13</definedName>
    <definedName function="false" hidden="false" name="cl_28" vbProcedure="false">In!$E$33</definedName>
    <definedName function="false" hidden="false" name="cl_29" vbProcedure="false">In!$E$34</definedName>
    <definedName function="false" hidden="false" name="cons_eps27" vbProcedure="false">In!$E$89</definedName>
    <definedName function="false" hidden="false" name="cons_eps28" vbProcedure="false">In!$E$91</definedName>
    <definedName function="false" hidden="false" name="cons_feps" vbProcedure="false">In!$E$115</definedName>
    <definedName function="false" hidden="false" name="cons_q2" vbProcedure="false">In!$E$87</definedName>
    <definedName function="false" hidden="false" name="cons_rev27" vbProcedure="false">In!$E$88</definedName>
    <definedName function="false" hidden="false" name="cons_rev28" vbProcedure="false">In!$E$90</definedName>
    <definedName function="false" hidden="false" name="cons_tp" vbProcedure="false">In!$E$114</definedName>
    <definedName function="false" hidden="false" name="cr_aec_sh" vbProcedure="false">In!$E$31</definedName>
    <definedName function="false" hidden="false" name="cr_aec_sh_hi" vbProcedure="false">In!$F$31</definedName>
    <definedName function="false" hidden="false" name="cr_aec_sh_lo" vbProcedure="false">In!$D$31</definedName>
    <definedName function="false" hidden="false" name="cust_top" vbProcedure="false">In!$E$32</definedName>
    <definedName function="false" hidden="false" name="fade_gA" vbProcedure="false">In!$E$108</definedName>
    <definedName function="false" hidden="false" name="fade_gB" vbProcedure="false">In!$E$109</definedName>
    <definedName function="false" hidden="false" name="fade_gC" vbProcedure="false">In!$E$110</definedName>
    <definedName function="false" hidden="false" name="fade_mA" vbProcedure="false">In!$E$111</definedName>
    <definedName function="false" hidden="false" name="fade_mB" vbProcedure="false">In!$E$112</definedName>
    <definedName function="false" hidden="false" name="fade_mC" vbProcedure="false">In!$E$113</definedName>
    <definedName function="false" hidden="false" name="g27" vbProcedure="false">In!$E$54</definedName>
    <definedName function="false" hidden="false" name="g27_hi" vbProcedure="false">In!$F$54</definedName>
    <definedName function="false" hidden="false" name="g27_lo" vbProcedure="false">In!$D$54</definedName>
    <definedName function="false" hidden="false" name="g2n" vbProcedure="false">In!$E$85</definedName>
    <definedName function="false" hidden="false" name="g2n_hi" vbProcedure="false">In!$F$85</definedName>
    <definedName function="false" hidden="false" name="g2n_lo" vbProcedure="false">In!$D$85</definedName>
    <definedName function="false" hidden="false" name="GMHI_28" vbProcedure="false">In!$F$78</definedName>
    <definedName function="false" hidden="false" name="GMHI_29" vbProcedure="false">In!$F$79</definedName>
    <definedName function="false" hidden="false" name="GMLO_28" vbProcedure="false">In!$D$78</definedName>
    <definedName function="false" hidden="false" name="GMLO_29" vbProcedure="false">In!$D$79</definedName>
    <definedName function="false" hidden="false" name="gm_28" vbProcedure="false">In!$E$78</definedName>
    <definedName function="false" hidden="false" name="gm_28_hi" vbProcedure="false">In!$F$78</definedName>
    <definedName function="false" hidden="false" name="gm_28_lo" vbProcedure="false">In!$D$78</definedName>
    <definedName function="false" hidden="false" name="gm_29" vbProcedure="false">In!$E$79</definedName>
    <definedName function="false" hidden="false" name="gm_29_hi" vbProcedure="false">In!$F$79</definedName>
    <definedName function="false" hidden="false" name="gm_29_lo" vbProcedure="false">In!$D$79</definedName>
    <definedName function="false" hidden="false" name="gm_h2" vbProcedure="false">In!$E$55</definedName>
    <definedName function="false" hidden="false" name="gm_h2_hi" vbProcedure="false">In!$F$55</definedName>
    <definedName function="false" hidden="false" name="gm_h2_lo" vbProcedure="false">In!$D$55</definedName>
    <definedName function="false" hidden="false" name="g_opx27" vbProcedure="false">In!$E$56</definedName>
    <definedName function="false" hidden="false" name="g_opx27_hi" vbProcedure="false">In!$F$56</definedName>
    <definedName function="false" hidden="false" name="g_opx27_lo" vbProcedure="false">In!$D$56</definedName>
    <definedName function="false" hidden="false" name="g_oth" vbProcedure="false">In!$E$42</definedName>
    <definedName function="false" hidden="false" name="g_oth_hi" vbProcedure="false">In!$F$42</definedName>
    <definedName function="false" hidden="false" name="g_oth_lo" vbProcedure="false">In!$D$42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jef_aec" vbProcedure="false">In!$E$92</definedName>
    <definedName function="false" hidden="false" name="jef_u26" vbProcedure="false">In!$E$93</definedName>
    <definedName function="false" hidden="false" name="jef_u27" vbProcedure="false">In!$E$94</definedName>
    <definedName function="false" hidden="false" name="mcu_26" vbProcedure="false">In!$E$5</definedName>
    <definedName function="false" hidden="false" name="mcu_27" vbProcedure="false">In!$E$6</definedName>
    <definedName function="false" hidden="false" name="mcu_28" vbProcedure="false">In!$E$7</definedName>
    <definedName function="false" hidden="false" name="mcu_29" vbProcedure="false">In!$E$8</definedName>
    <definedName function="false" hidden="false" name="mf" vbProcedure="false">In!$E$84</definedName>
    <definedName function="false" hidden="false" name="mf_hi" vbProcedure="false">In!$F$84</definedName>
    <definedName function="false" hidden="false" name="mf_lo" vbProcedure="false">In!$D$84</definedName>
    <definedName function="false" hidden="false" name="mplB_26" vbProcedure="false">In!$E$118</definedName>
    <definedName function="false" hidden="false" name="mplB_27" vbProcedure="false">In!$E$119</definedName>
    <definedName function="false" hidden="false" name="mplB_28" vbProcedure="false">In!$E$120</definedName>
    <definedName function="false" hidden="false" name="mplB_29" vbProcedure="false">In!$E$121</definedName>
    <definedName function="false" hidden="false" name="mplC_26" vbProcedure="false">In!$E$122</definedName>
    <definedName function="false" hidden="false" name="mplC_27" vbProcedure="false">In!$E$123</definedName>
    <definedName function="false" hidden="false" name="mplC_28" vbProcedure="false">In!$E$124</definedName>
    <definedName function="false" hidden="false" name="mplC_29" vbProcedure="false">In!$E$125</definedName>
    <definedName function="false" hidden="false" name="mpl_26" vbProcedure="false">In!$E$13</definedName>
    <definedName function="false" hidden="false" name="mpl_27" vbProcedure="false">In!$E$14</definedName>
    <definedName function="false" hidden="false" name="mpl_28" vbProcedure="false">In!$E$15</definedName>
    <definedName function="false" hidden="false" name="mpl_29" vbProcedure="false">In!$E$16</definedName>
    <definedName function="false" hidden="false" name="mso_26" vbProcedure="false">In!$E$9</definedName>
    <definedName function="false" hidden="false" name="mso_27" vbProcedure="false">In!$E$10</definedName>
    <definedName function="false" hidden="false" name="mso_28" vbProcedure="false">In!$E$11</definedName>
    <definedName function="false" hidden="false" name="mso_29" vbProcedure="false">In!$E$12</definedName>
    <definedName function="false" hidden="false" name="OHI_28" vbProcedure="false">In!$F$38</definedName>
    <definedName function="false" hidden="false" name="OHI_29" vbProcedure="false">In!$F$39</definedName>
    <definedName function="false" hidden="false" name="OLO_28" vbProcedure="false">In!$D$38</definedName>
    <definedName function="false" hidden="false" name="OLO_29" vbProcedure="false">In!$D$39</definedName>
    <definedName function="false" hidden="false" name="opt_26" vbProcedure="false">In!$E$36</definedName>
    <definedName function="false" hidden="false" name="opt_26_hi" vbProcedure="false">In!$F$36</definedName>
    <definedName function="false" hidden="false" name="opt_26_lo" vbProcedure="false">In!$D$36</definedName>
    <definedName function="false" hidden="false" name="opt_27" vbProcedure="false">In!$E$37</definedName>
    <definedName function="false" hidden="false" name="opt_27_hi" vbProcedure="false">In!$F$37</definedName>
    <definedName function="false" hidden="false" name="opt_27_lo" vbProcedure="false">In!$D$37</definedName>
    <definedName function="false" hidden="false" name="opx_adj" vbProcedure="false">In!$E$77</definedName>
    <definedName function="false" hidden="false" name="opx_adj_hi" vbProcedure="false">In!$F$77</definedName>
    <definedName function="false" hidden="false" name="opx_adj_lo" vbProcedure="false">In!$D$77</definedName>
    <definedName function="false" hidden="false" name="oth_f" vbProcedure="false">In!$E$80</definedName>
    <definedName function="false" hidden="false" name="oth_f_hi" vbProcedure="false">In!$F$80</definedName>
    <definedName function="false" hidden="false" name="oth_f_lo" vbProcedure="false">In!$D$80</definedName>
    <definedName function="false" hidden="false" name="oth_s" vbProcedure="false">In!$E$41</definedName>
    <definedName function="false" hidden="false" name="oth_s_hi" vbProcedure="false">In!$F$41</definedName>
    <definedName function="false" hidden="false" name="oth_s_lo" vbProcedure="false">In!$D$41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In!$E$76</definedName>
    <definedName function="false" hidden="false" name="phi_hi" vbProcedure="false">In!$F$76</definedName>
    <definedName function="false" hidden="false" name="phi_lo" vbProcedure="false">In!$D$76</definedName>
    <definedName function="false" hidden="false" name="px" vbProcedure="false">In!$E$100</definedName>
    <definedName function="false" hidden="false" name="px_hi" vbProcedure="false">In!$E$101</definedName>
    <definedName function="false" hidden="false" name="q1_eps" vbProcedure="false">In!$E$50</definedName>
    <definedName function="false" hidden="false" name="q1_gp" vbProcedure="false">In!$E$45</definedName>
    <definedName function="false" hidden="false" name="q1_ni" vbProcedure="false">In!$E$48</definedName>
    <definedName function="false" hidden="false" name="q1_ninc" vbProcedure="false">In!$E$47</definedName>
    <definedName function="false" hidden="false" name="q1_opx" vbProcedure="false">In!$E$46</definedName>
    <definedName function="false" hidden="false" name="q1_rev" vbProcedure="false">In!$E$44</definedName>
    <definedName function="false" hidden="false" name="q1_sh" vbProcedure="false">In!$E$49</definedName>
    <definedName function="false" hidden="false" name="q2_gm" vbProcedure="false">In!$E$52</definedName>
    <definedName function="false" hidden="false" name="q2_gm_hi" vbProcedure="false">In!$F$52</definedName>
    <definedName function="false" hidden="false" name="q2_gm_lo" vbProcedure="false">In!$D$52</definedName>
    <definedName function="false" hidden="false" name="q2_opx" vbProcedure="false">In!$E$53</definedName>
    <definedName function="false" hidden="false" name="q2_opx_hi" vbProcedure="false">In!$F$53</definedName>
    <definedName function="false" hidden="false" name="q2_opx_lo" vbProcedure="false">In!$D$53</definedName>
    <definedName function="false" hidden="false" name="q2_rev" vbProcedure="false">In!$E$51</definedName>
    <definedName function="false" hidden="false" name="q2_rev_hi" vbProcedure="false">In!$F$51</definedName>
    <definedName function="false" hidden="false" name="q2_rev_lo" vbProcedure="false">In!$D$51</definedName>
    <definedName function="false" hidden="false" name="q_oth" vbProcedure="false">In!$E$57</definedName>
    <definedName function="false" hidden="false" name="q_oth_hi" vbProcedure="false">In!$F$57</definedName>
    <definedName function="false" hidden="false" name="q_oth_lo" vbProcedure="false">In!$D$57</definedName>
    <definedName function="false" hidden="false" name="rel_a_28" vbProcedure="false">In!$E$29</definedName>
    <definedName function="false" hidden="false" name="rel_a_28_hi" vbProcedure="false">In!$F$29</definedName>
    <definedName function="false" hidden="false" name="rel_a_28_lo" vbProcedure="false">In!$D$29</definedName>
    <definedName function="false" hidden="false" name="rel_a_29" vbProcedure="false">In!$E$30</definedName>
    <definedName function="false" hidden="false" name="rel_a_29_hi" vbProcedure="false">In!$F$30</definedName>
    <definedName function="false" hidden="false" name="rel_a_29_lo" vbProcedure="false">In!$D$30</definedName>
    <definedName function="false" hidden="false" name="rel_o_28" vbProcedure="false">In!$E$38</definedName>
    <definedName function="false" hidden="false" name="rel_o_28_hi" vbProcedure="false">In!$F$38</definedName>
    <definedName function="false" hidden="false" name="rel_o_28_lo" vbProcedure="false">In!$D$38</definedName>
    <definedName function="false" hidden="false" name="rel_o_29" vbProcedure="false">In!$E$39</definedName>
    <definedName function="false" hidden="false" name="rel_o_29_hi" vbProcedure="false">In!$F$39</definedName>
    <definedName function="false" hidden="false" name="rel_o_29_lo" vbProcedure="false">In!$D$39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27" vbProcedure="false">In!$E$59</definedName>
    <definedName function="false" hidden="false" name="sh_27_hi" vbProcedure="false">In!$F$59</definedName>
    <definedName function="false" hidden="false" name="sh_27_lo" vbProcedure="false">In!$D$59</definedName>
    <definedName function="false" hidden="false" name="sh_g" vbProcedure="false">In!$E$83</definedName>
    <definedName function="false" hidden="false" name="sh_g_hi" vbProcedure="false">In!$F$83</definedName>
    <definedName function="false" hidden="false" name="sh_g_lo" vbProcedure="false">In!$D$83</definedName>
    <definedName function="false" hidden="false" name="sh_out" vbProcedure="false">In!$E$102</definedName>
    <definedName function="false" hidden="false" name="tp_g" vbProcedure="false">In!$E$105</definedName>
    <definedName function="false" hidden="false" name="tp_r" vbProcedure="false">In!$E$104</definedName>
    <definedName function="false" hidden="false" name="tp_roe" vbProcedure="false">In!$E$106</definedName>
    <definedName function="false" hidden="false" name="tp_street" vbProcedure="false">In!$E$95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In!$E$107</definedName>
    <definedName function="false" hidden="false" name="tx27" vbProcedure="false">In!$E$58</definedName>
    <definedName function="false" hidden="false" name="tx27_hi" vbProcedure="false">In!$F$58</definedName>
    <definedName function="false" hidden="false" name="tx27_lo" vbProcedure="false">In!$D$58</definedName>
    <definedName function="false" hidden="false" name="TXHI_28" vbProcedure="false">In!$F$81</definedName>
    <definedName function="false" hidden="false" name="TXHI_29" vbProcedure="false">In!$F$82</definedName>
    <definedName function="false" hidden="false" name="TXLO_28" vbProcedure="false">In!$D$81</definedName>
    <definedName function="false" hidden="false" name="TXLO_29" vbProcedure="false">In!$D$82</definedName>
    <definedName function="false" hidden="false" name="tx_28" vbProcedure="false">In!$E$81</definedName>
    <definedName function="false" hidden="false" name="tx_28_hi" vbProcedure="false">In!$F$81</definedName>
    <definedName function="false" hidden="false" name="tx_28_lo" vbProcedure="false">In!$D$81</definedName>
    <definedName function="false" hidden="false" name="tx_29" vbProcedure="false">In!$E$82</definedName>
    <definedName function="false" hidden="false" name="tx_29_hi" vbProcedure="false">In!$F$82</definedName>
    <definedName function="false" hidden="false" name="tx_29_lo" vbProcedure="false">In!$D$82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8" vbProcedure="false">In!$E$27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<sst xmlns="http://schemas.openxmlformats.org/spreadsheetml/2006/main" count="2389" uniqueCount="846">
  <si>
    <r>
      <rPr>
        <b val="true"/>
        <sz val="11"/>
        <rFont val="Cambria"/>
        <family val="0"/>
        <charset val="1"/>
      </rPr>
      <t xml:space="preserve">Credo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CRDO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：網通次產業內複製——主動電纜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SerDes</t>
    </r>
    <r>
      <rPr>
        <b val="true"/>
        <sz val="11"/>
        <rFont val="Noto Sans CJK SC"/>
        <family val="2"/>
      </rPr>
      <t xml:space="preserve">、光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</si>
  <si>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）與光學的份額在本模型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</si>
  <si>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銅纜市場（本專案網通模型：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滲透率 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）；光學（光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、矽光 </t>
    </r>
    <r>
      <rPr>
        <sz val="11"/>
        <rFont val="Cambria"/>
        <family val="0"/>
        <charset val="1"/>
      </rPr>
      <t xml:space="preserve">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ZeroFlap </t>
    </r>
    <r>
      <rPr>
        <sz val="11"/>
        <rFont val="Noto Sans CJK SC"/>
        <family val="2"/>
      </rPr>
      <t xml:space="preserve">光學）＝可插拔光模組市場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光學份額；線卡 </t>
    </r>
    <r>
      <rPr>
        <sz val="11"/>
        <rFont val="Cambria"/>
        <family val="0"/>
        <charset val="1"/>
      </rPr>
      <t xml:space="preserve">PHY</t>
    </r>
    <r>
      <rPr>
        <sz val="11"/>
        <rFont val="Noto Sans CJK SC"/>
        <family val="2"/>
      </rPr>
      <t xml:space="preserve">、重定時器與 </t>
    </r>
    <r>
      <rPr>
        <sz val="11"/>
        <rFont val="Cambria"/>
        <family val="0"/>
        <charset val="1"/>
      </rPr>
      <t xml:space="preserve">SerDes IP </t>
    </r>
    <r>
      <rPr>
        <sz val="11"/>
        <rFont val="Noto Sans CJK SC"/>
        <family val="2"/>
      </rPr>
      <t xml:space="preserve">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週高點跌約 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、只約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成長在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前後見頂。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</si>
  <si>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是否低於模型——要成立，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份額（競爭、主動光纜自我替代）、客戶集中（前四大終端客戶占 </t>
    </r>
    <r>
      <rPr>
        <sz val="11"/>
        <rFont val="Cambria"/>
        <family val="0"/>
        <charset val="1"/>
      </rPr>
      <t xml:space="preserve">84%</t>
    </r>
    <r>
      <rPr>
        <sz val="11"/>
        <rFont val="Noto Sans CJK SC"/>
        <family val="2"/>
      </rPr>
      <t xml:space="preserve">）、銅轉光（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銅纜市場）三條路徑各要不利到什麼程度？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</si>
  <si>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月初結束（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2026-05-03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2027-05-01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個月落在日曆年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8/12 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4/12 × 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FY2028–FY2029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為錨點）。口徑：公司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</si>
  <si>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</si>
  <si>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</t>
    </r>
    <r>
      <rPr>
        <sz val="11"/>
        <rFont val="Cambria"/>
        <family val="0"/>
        <charset val="1"/>
      </rPr>
      <t xml:space="preserve">FY </t>
    </r>
    <r>
      <rPr>
        <sz val="11"/>
        <rFont val="Noto Sans CJK SC"/>
        <family val="2"/>
      </rPr>
      <t xml:space="preserve">加權）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Credo AEC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）。光學：可插拔光模組市場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以公司目標逾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</si>
  <si>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IP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7%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13–14%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OECD </t>
    </r>
    <r>
      <rPr>
        <sz val="11"/>
        <rFont val="Noto Sans CJK SC"/>
        <family val="2"/>
      </rPr>
      <t xml:space="preserve">最低稅）。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</si>
  <si>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1Q27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4.79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non-GAAP EPS 1.20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2Q27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5.30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2H27</t>
    </r>
    <r>
      <rPr>
        <sz val="11"/>
        <rFont val="Noto Sans CJK SC"/>
        <family val="2"/>
      </rPr>
      <t xml:space="preserve">（全年年增 </t>
    </r>
    <r>
      <rPr>
        <sz val="11"/>
        <rFont val="Cambria"/>
        <family val="0"/>
        <charset val="1"/>
      </rPr>
      <t xml:space="preserve">85% </t>
    </r>
    <r>
      <rPr>
        <sz val="11"/>
        <rFont val="Noto Sans CJK SC"/>
        <family val="2"/>
      </rPr>
      <t xml:space="preserve">下緣減 </t>
    </r>
    <r>
      <rPr>
        <sz val="11"/>
        <rFont val="Cambria"/>
        <family val="0"/>
        <charset val="1"/>
      </rPr>
      <t xml:space="preserve">1H</t>
    </r>
    <r>
      <rPr>
        <sz val="11"/>
        <rFont val="Noto Sans CJK SC"/>
        <family val="2"/>
      </rPr>
      <t xml:space="preserve">）。產品線拆分公司未揭露：光學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為假設、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用公司目標，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</si>
  <si>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2027 </t>
    </r>
    <r>
      <rPr>
        <sz val="11"/>
        <rFont val="Noto Sans CJK SC"/>
        <family val="2"/>
      </rPr>
      <t xml:space="preserve">年底近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</si>
  <si>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未使用。客戶名稱（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xAI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）只有券商與媒體來源；公司 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只揭露未具名的客戶占比。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</si>
  <si>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AEC </t>
    </r>
    <r>
      <rPr>
        <sz val="11"/>
        <rFont val="Noto Sans CJK SC"/>
        <family val="2"/>
      </rPr>
      <t xml:space="preserve">與光學份額相對值、毛利率路徑、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起稅率皆為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網通模型的銅纜市場以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平台為主，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客戶以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與超大規模業者為主，份額校準吸收了這個口徑差；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年一個觀測值、含高成長期溢價，規則值與目標價明顯偏高；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會計年度與日曆年以月數加權近似；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</si>
  <si>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</si>
  <si>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</si>
  <si>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289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32.1%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+96.1%</t>
    </r>
    <r>
      <rPr>
        <sz val="11"/>
        <color theme="1"/>
        <rFont val="Noto Sans CJK SC"/>
        <family val="2"/>
      </rPr>
      <t xml:space="preserve">。上檔全部來自倍數：本模型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8.37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9.69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，但現價只隱含 </t>
    </r>
    <r>
      <rPr>
        <sz val="11"/>
        <color theme="1"/>
        <rFont val="Calibri"/>
        <family val="2"/>
        <charset val="1"/>
      </rPr>
      <t xml:space="preserve">15.2 </t>
    </r>
    <r>
      <rPr>
        <sz val="11"/>
        <color theme="1"/>
        <rFont val="Noto Sans CJK SC"/>
        <family val="2"/>
      </rPr>
      <t xml:space="preserve">倍共識前瞻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34.5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279.09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28.8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100 </t>
    </r>
    <r>
      <rPr>
        <sz val="11"/>
        <color theme="1"/>
        <rFont val="Noto Sans CJK SC"/>
        <family val="2"/>
      </rPr>
      <t xml:space="preserve">反而比現價低 </t>
    </r>
    <r>
      <rPr>
        <sz val="11"/>
        <color theme="1"/>
        <rFont val="Calibri"/>
        <family val="2"/>
        <charset val="1"/>
      </rPr>
      <t xml:space="preserve">32.0%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下滑（</t>
    </r>
    <r>
      <rPr>
        <sz val="11"/>
        <color theme="1"/>
        <rFont val="Calibri"/>
        <family val="2"/>
        <charset val="1"/>
      </rPr>
      <t xml:space="preserve">FY2032 B 7.64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3.74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無同口徑資料、取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</si>
  <si>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：目標價對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權重最敏感：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232.2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156.8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±19.4%</t>
    </r>
    <r>
      <rPr>
        <sz val="11"/>
        <color theme="1"/>
        <rFont val="Noto Sans CJK SC"/>
        <family val="2"/>
      </rPr>
      <t xml:space="preserve">），權重 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時上檔空間只剩 </t>
    </r>
    <r>
      <rPr>
        <sz val="11"/>
        <color theme="1"/>
        <rFont val="Calibri"/>
        <family val="2"/>
        <charset val="1"/>
      </rPr>
      <t xml:space="preserve">+6.4%</t>
    </r>
    <r>
      <rPr>
        <sz val="11"/>
        <color theme="1"/>
        <rFont val="Noto Sans CJK SC"/>
        <family val="2"/>
      </rPr>
      <t xml:space="preserve">、落入中立。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</si>
  <si>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：最大客戶流失時 −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 −</t>
    </r>
    <r>
      <rPr>
        <sz val="11"/>
        <color theme="1"/>
        <rFont val="Calibri"/>
        <family val="2"/>
        <charset val="1"/>
      </rPr>
      <t xml:space="preserve">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頁）。光學的可插拔市場改讀同字母網通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），情境 </t>
    </r>
    <r>
      <rPr>
        <sz val="11"/>
        <color theme="1"/>
        <rFont val="Calibri"/>
        <family val="2"/>
        <charset val="1"/>
      </rPr>
      <t xml:space="preserve">A FY2028 EPS 9.20 → 9.11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7.81 → 7.84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+0.4%</t>
    </r>
    <r>
      <rPr>
        <sz val="11"/>
        <color theme="1"/>
        <rFont val="Noto Sans CJK SC"/>
        <family val="2"/>
      </rPr>
      <t xml:space="preserve">）。下一個檢驗點是 </t>
    </r>
    <r>
      <rPr>
        <sz val="11"/>
        <color theme="1"/>
        <rFont val="Calibri"/>
        <family val="2"/>
        <charset val="1"/>
      </rPr>
      <t xml:space="preserve">2Q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初）的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營收與最大客戶占比。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</si>
  <si>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</si>
  <si>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＝慢），本模型光學的可插拔市場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）。光學有效份額以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市場校準（三情境同一份額；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路徑＝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，故情境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數值不變），所以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 → 光學營收較少。銅纜（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）市場不受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影響。其他輸入不變。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</si>
  <si>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</si>
  <si>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）與客戶名稱；客戶名稱只有券商與媒體來源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</si>
  <si>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</si>
  <si>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</si>
  <si>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</si>
  <si>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</si>
  <si>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</si>
  <si>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</si>
  <si>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</si>
  <si>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</si>
  <si>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</si>
  <si>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銅纜與光模組市場（讀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</si>
  <si>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mcu_26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</si>
  <si>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</si>
  <si>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</si>
  <si>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</si>
  <si>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Mkt!C21:F21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</si>
  <si>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每顆銅內容；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銅＝互連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銅占比、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（網通模型）</t>
    </r>
  </si>
  <si>
    <t xml:space="preserve">mcu_27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</si>
  <si>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</si>
  <si>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</si>
  <si>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mcu_28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</si>
  <si>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</si>
  <si>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mcu_29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</si>
  <si>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</si>
  <si>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mso_26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</si>
  <si>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</si>
  <si>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Mkt!C9:F9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</si>
  <si>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用（只作拆分參考）</t>
    </r>
  </si>
  <si>
    <t xml:space="preserve">mso_27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</si>
  <si>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</si>
  <si>
    <t xml:space="preserve">mso_28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</si>
  <si>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</si>
  <si>
    <t xml:space="preserve">mso_29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</si>
  <si>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</si>
  <si>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</si>
  <si>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</si>
  <si>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</si>
  <si>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光學的市場基底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</si>
  <si>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</si>
  <si>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</si>
  <si>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</si>
  <si>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</si>
  <si>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</si>
  <si>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</si>
  <si>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</si>
  <si>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</si>
  <si>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</si>
  <si>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</si>
  <si>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</si>
  <si>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</si>
  <si>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</si>
  <si>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</si>
  <si>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</si>
  <si>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</si>
  <si>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</si>
  <si>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</si>
  <si>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</si>
  <si>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</si>
  <si>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</si>
  <si>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</si>
  <si>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</si>
  <si>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</si>
  <si>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</si>
  <si>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</si>
  <si>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</si>
  <si>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</si>
  <si>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</si>
  <si>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</si>
  <si>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</si>
  <si>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</si>
  <si>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</si>
  <si>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</si>
  <si>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</si>
  <si>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</si>
  <si>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</si>
  <si>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w8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</si>
  <si>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的比重（</t>
    </r>
    <r>
      <rPr>
        <sz val="11"/>
        <color theme="1"/>
        <rFont val="Calibri"/>
        <family val="2"/>
        <charset val="1"/>
      </rPr>
      <t xml:space="preserve">5–12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</si>
  <si>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2026-05-02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 </t>
    </r>
    <r>
      <rPr>
        <sz val="11"/>
        <color theme="1"/>
        <rFont val="Noto Sans CJK SC"/>
        <family val="2"/>
      </rPr>
      <t xml:space="preserve">週）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</si>
  <si>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w8 × CY(t−1)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CY(t)</t>
    </r>
  </si>
  <si>
    <r>
      <rPr>
        <b val="true"/>
        <sz val="11"/>
        <rFont val="Cambria"/>
        <family val="0"/>
        <charset val="1"/>
      </rPr>
      <t xml:space="preserve">B. AEC </t>
    </r>
    <r>
      <rPr>
        <b val="true"/>
        <sz val="11"/>
        <rFont val="Noto Sans CJK SC"/>
        <family val="2"/>
      </rPr>
      <t xml:space="preserve">份額（本專案為權威：</t>
    </r>
    <r>
      <rPr>
        <b val="true"/>
        <sz val="11"/>
        <rFont val="Cambria"/>
        <family val="0"/>
        <charset val="1"/>
      </rPr>
      <t xml:space="preserve">Credo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條）與客戶集中</t>
    </r>
  </si>
  <si>
    <t xml:space="preserve">rel_a_28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</si>
  <si>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（相對值；＝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滲透率變化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份額變化）</t>
    </r>
  </si>
  <si>
    <r>
      <rPr>
        <sz val="11"/>
        <color theme="1"/>
        <rFont val="Calibri"/>
        <family val="2"/>
        <charset val="1"/>
      </rPr>
      <t xml:space="preserve">https://invezz.com/en-ae/news/2026/04/13/credo-jumps-11percent-as-jefferies-backs-copper-tech-in-ai-boom-debate/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AEC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860 </t>
    </r>
    <r>
      <rPr>
        <sz val="11"/>
        <color theme="1"/>
        <rFont val="Noto Sans CJK SC"/>
        <family val="2"/>
      </rPr>
      <t xml:space="preserve">萬條、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1,230 </t>
    </r>
    <r>
      <rPr>
        <sz val="11"/>
        <color theme="1"/>
        <rFont val="Noto Sans CJK SC"/>
        <family val="2"/>
      </rPr>
      <t xml:space="preserve">萬條；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份額樂觀情境約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</si>
  <si>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使被動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距離更短（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滲透率上推）</t>
    </r>
    <r>
      <rPr>
        <sz val="11"/>
        <color theme="1"/>
        <rFont val="Calibri"/>
        <family val="2"/>
        <charset val="1"/>
      </rPr>
      <t xml:space="preserve">vs 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與線纜廠競爭（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</si>
  <si>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rel_a_29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</si>
  <si>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</si>
  <si>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主動光纜（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年出貨）可能部分自我替代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</si>
  <si>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ALC 50 </t>
    </r>
    <r>
      <rPr>
        <sz val="11"/>
        <color theme="1"/>
        <rFont val="Noto Sans CJK SC"/>
        <family val="2"/>
      </rPr>
      <t xml:space="preserve">公尺、每端約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瓦（公司在 </t>
    </r>
    <r>
      <rPr>
        <sz val="11"/>
        <color theme="1"/>
        <rFont val="Calibri"/>
        <family val="2"/>
        <charset val="1"/>
      </rPr>
      <t xml:space="preserve">OCP 2026-10 </t>
    </r>
    <r>
      <rPr>
        <sz val="11"/>
        <color theme="1"/>
        <rFont val="Noto Sans CJK SC"/>
        <family val="2"/>
      </rPr>
      <t xml:space="preserve">發表）</t>
    </r>
  </si>
  <si>
    <t xml:space="preserve">cr_aec_sh</t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</si>
  <si>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拆分用；不進損益）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</si>
  <si>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</si>
  <si>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）：樂觀情境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</si>
  <si>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第一手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市場份額：未找到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</si>
  <si>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</si>
  <si>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「最大客戶流失」用）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</si>
  <si>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</si>
  <si>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</si>
  <si>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終端客戶 </t>
    </r>
    <r>
      <rPr>
        <sz val="11"/>
        <color theme="1"/>
        <rFont val="Calibri"/>
        <family val="2"/>
        <charset val="1"/>
      </rPr>
      <t xml:space="preserve">D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63%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19%</t>
    </r>
    <r>
      <rPr>
        <sz val="11"/>
        <color theme="1"/>
        <rFont val="Noto Sans CJK SC"/>
        <family val="2"/>
      </rPr>
      <t xml:space="preserve">（公司，未具名）</t>
    </r>
  </si>
  <si>
    <t xml:space="preserve">cl_28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</si>
  <si>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</si>
  <si>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最大客戶占比）；假設流失的客戶全是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</si>
  <si>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Noto Sans CJK SC"/>
        <family val="2"/>
      </rPr>
      <t xml:space="preserve">客戶名稱：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等券商，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）；公司未具名</t>
    </r>
  </si>
  <si>
    <t xml:space="preserve">cl_29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</si>
  <si>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</si>
  <si>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https://www.benzinga.com/25/03/44149586/credo-expands-hyperscaler-partnerships-with-amazon-microsoft-xai-amid-nvidia-powered-ai-boom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曾占單季營收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Q3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</si>
  <si>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〔</t>
    </r>
    <r>
      <rPr>
        <b val="true"/>
        <sz val="11"/>
        <rFont val="Cambria"/>
        <family val="0"/>
        <charset val="1"/>
      </rPr>
      <t xml:space="preserve">DustPhotonics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光學；讀可插拔光模組市場）</t>
    </r>
  </si>
  <si>
    <t xml:space="preserve">opt_26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</si>
  <si>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光學營收（未揭露）</t>
    </r>
  </si>
  <si>
    <t xml:space="preserve">公司不揭露產品線營收：未找到</t>
  </si>
  <si>
    <r>
      <rPr>
        <sz val="11"/>
        <color theme="1"/>
        <rFont val="Calibri"/>
        <family val="2"/>
        <charset val="1"/>
      </rPr>
      <t xml:space="preserve">Let's Data Science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光學三條產品線各逾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億美元、合計逾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</si>
  <si>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opt_27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</si>
  <si>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光學營收（公司目標「逾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億美元」）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</si>
  <si>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法說重申）</t>
    </r>
  </si>
  <si>
    <r>
      <rPr>
        <sz val="11"/>
        <color theme="1"/>
        <rFont val="Calibri"/>
        <family val="2"/>
        <charset val="1"/>
      </rPr>
      <t xml:space="preserve">https://finance.yahoo.com/markets/stocks/articles/credo-makes-875-million-move-013700129.html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宣布併購時為「逾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億美元」</t>
    </r>
  </si>
  <si>
    <t xml:space="preserve">rel_o_28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</si>
  <si>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FY2028 ÷ FY2027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</si>
  <si>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：兩個次世代大型設計案預計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量產；</t>
    </r>
    <r>
      <rPr>
        <sz val="11"/>
        <color theme="1"/>
        <rFont val="Calibri"/>
        <family val="2"/>
        <charset val="1"/>
      </rPr>
      <t xml:space="preserve">1.6T DSP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後段開始貢獻（公司）</t>
    </r>
  </si>
  <si>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為主要供應商（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</si>
  <si>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rel_o_29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</si>
  <si>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</si>
  <si>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</si>
  <si>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其他營收（線卡 </t>
    </r>
    <r>
      <rPr>
        <b val="true"/>
        <sz val="11"/>
        <rFont val="Cambria"/>
        <family val="0"/>
        <charset val="1"/>
      </rPr>
      <t xml:space="preserve">PHY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SerDes IP </t>
    </r>
    <r>
      <rPr>
        <b val="true"/>
        <sz val="11"/>
        <rFont val="Noto Sans CJK SC"/>
        <family val="2"/>
      </rPr>
      <t xml:space="preserve">授權與小晶片；網通模型未涵蓋）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</si>
  <si>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</si>
  <si>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</si>
  <si>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公司不揭露產品與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授權拆分：未找到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</si>
  <si>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）：未滿足履約義務約 </t>
    </r>
    <r>
      <rPr>
        <sz val="11"/>
        <color theme="1"/>
        <rFont val="Calibri"/>
        <family val="2"/>
        <charset val="1"/>
      </rPr>
      <t xml:space="preserve">3,190 </t>
    </r>
    <r>
      <rPr>
        <sz val="11"/>
        <color theme="1"/>
        <rFont val="Noto Sans CJK SC"/>
        <family val="2"/>
      </rPr>
      <t xml:space="preserve">萬美元，預計下一會計年度認列（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授權）</t>
    </r>
  </si>
  <si>
    <t xml:space="preserve">g_oth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</si>
  <si>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</si>
  <si>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</si>
  <si>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r>
      <rPr>
        <b val="true"/>
        <sz val="11"/>
        <rFont val="Cambria"/>
        <family val="0"/>
        <charset val="1"/>
      </rPr>
      <t xml:space="preserve">E.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1Q27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2Q27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依全年指引推導）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</si>
  <si>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</si>
  <si>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2026-08-01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</si>
  <si>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</si>
  <si>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479,003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114.7%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</si>
  <si>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https://pulse2.com/credo-reports-q1-fiscal-2027-revenue-of-479-million-up-115-year-over-year/</t>
    </r>
    <r>
      <rPr>
        <sz val="11"/>
        <color theme="1"/>
        <rFont val="Noto Sans CJK SC"/>
        <family val="2"/>
      </rPr>
      <t xml:space="preserve">：同值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</si>
  <si>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</si>
  <si>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</si>
  <si>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230,641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95,154 </t>
    </r>
    <r>
      <rPr>
        <sz val="11"/>
        <color theme="1"/>
        <rFont val="Noto Sans CJK SC"/>
        <family val="2"/>
      </rPr>
      <t xml:space="preserve">千美元；毛利率 </t>
    </r>
    <r>
      <rPr>
        <sz val="11"/>
        <color theme="1"/>
        <rFont val="Calibri"/>
        <family val="2"/>
        <charset val="1"/>
      </rPr>
      <t xml:space="preserve">68.0%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</si>
  <si>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（併購攤銷）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</si>
  <si>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</si>
  <si>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營業費用</t>
    </r>
  </si>
  <si>
    <t xml:space="preserve">https://www.sec.gov/Archives/edgar/data/0001807794/000162828026059795/credoq12027ex-991.htm</t>
  </si>
  <si>
    <r>
      <rPr>
        <sz val="11"/>
        <color theme="1"/>
        <rFont val="Calibri"/>
        <family val="2"/>
        <charset val="1"/>
      </rPr>
      <t xml:space="preserve">GAAP 188.4</t>
    </r>
    <r>
      <rPr>
        <sz val="11"/>
        <color theme="1"/>
        <rFont val="Noto Sans CJK SC"/>
        <family val="2"/>
      </rPr>
      <t xml:space="preserve">（含股票薪酬 </t>
    </r>
    <r>
      <rPr>
        <sz val="11"/>
        <color theme="1"/>
        <rFont val="Calibri"/>
        <family val="2"/>
        <charset val="1"/>
      </rPr>
      <t xml:space="preserve">82.3</t>
    </r>
    <r>
      <rPr>
        <sz val="11"/>
        <color theme="1"/>
        <rFont val="Noto Sans CJK SC"/>
        <family val="2"/>
      </rPr>
      <t xml:space="preserve">）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</si>
  <si>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</si>
  <si>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其他收益（淨）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</si>
  <si>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8,140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</si>
  <si>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現金對價後）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</si>
  <si>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</si>
  <si>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</si>
  <si>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236,262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</si>
  <si>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：同值（淨利率 </t>
    </r>
    <r>
      <rPr>
        <sz val="11"/>
        <color theme="1"/>
        <rFont val="Calibri"/>
        <family val="2"/>
        <charset val="1"/>
      </rPr>
      <t xml:space="preserve">49.3%</t>
    </r>
    <r>
      <rPr>
        <sz val="11"/>
        <color theme="1"/>
        <rFont val="Noto Sans CJK SC"/>
        <family val="2"/>
      </rPr>
      <t xml:space="preserve">）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</si>
  <si>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</si>
  <si>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</si>
  <si>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</si>
  <si>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197,505 </t>
    </r>
    <r>
      <rPr>
        <sz val="11"/>
        <color theme="1"/>
        <rFont val="Noto Sans CJK SC"/>
        <family val="2"/>
      </rPr>
      <t xml:space="preserve">千股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</si>
  <si>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194,378 </t>
    </r>
    <r>
      <rPr>
        <sz val="11"/>
        <color theme="1"/>
        <rFont val="Noto Sans CJK SC"/>
        <family val="2"/>
      </rPr>
      <t xml:space="preserve">千股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</si>
  <si>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</si>
  <si>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</si>
  <si>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</si>
  <si>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0.67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</si>
  <si>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：同值；共識 </t>
    </r>
    <r>
      <rPr>
        <sz val="11"/>
        <color theme="1"/>
        <rFont val="Calibri"/>
        <family val="2"/>
        <charset val="1"/>
      </rPr>
      <t xml:space="preserve">1.17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</si>
  <si>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</si>
  <si>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</si>
  <si>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5.25–5.35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</si>
  <si>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</t>
    </r>
  </si>
  <si>
    <t xml:space="preserve">q2_gm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</si>
  <si>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</si>
  <si>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67.0–69.0%</t>
    </r>
  </si>
  <si>
    <t xml:space="preserve">GAAP 62.9–64.9%</t>
  </si>
  <si>
    <t xml:space="preserve">q2_opx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</si>
  <si>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</si>
  <si>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1.00–1.05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</si>
  <si>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GAAP 1.99–2.04 </t>
    </r>
    <r>
      <rPr>
        <sz val="11"/>
        <color theme="1"/>
        <rFont val="Noto Sans CJK SC"/>
        <family val="2"/>
      </rPr>
      <t xml:space="preserve">億美元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</si>
  <si>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</si>
  <si>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營收年增（公司「逾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」；取下緣）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</si>
  <si>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法說：全年年增逾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法說時為逾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</si>
  <si>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https://www.trefis.com/articles/618478/does-the-drop-in-credo-stock-change-anything/2026-10-13</t>
    </r>
    <r>
      <rPr>
        <sz val="11"/>
        <color theme="1"/>
        <rFont val="Noto Sans CJK SC"/>
        <family val="2"/>
      </rPr>
      <t xml:space="preserve">：同（逾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</si>
  <si>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</si>
  <si>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</si>
  <si>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老虎證券新聞（網址見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毛利率約與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）（公司）</t>
    </r>
  </si>
  <si>
    <t xml:space="preserve">光學占比上升可能下壓：未找到量化</t>
  </si>
  <si>
    <t xml:space="preserve">g_opx27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</si>
  <si>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營業費用年增（公司「約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</si>
  <si>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</si>
  <si>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：同（約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</si>
  <si>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</si>
  <si>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起每季其他收益</t>
    </r>
  </si>
  <si>
    <r>
      <rPr>
        <sz val="11"/>
        <color theme="1"/>
        <rFont val="Calibri"/>
        <family val="2"/>
        <charset val="1"/>
      </rPr>
      <t xml:space="preserve">1Q27 0.0081</t>
    </r>
    <r>
      <rPr>
        <sz val="11"/>
        <color theme="1"/>
        <rFont val="Noto Sans CJK SC"/>
        <family val="2"/>
      </rPr>
      <t xml:space="preserve">；現金自 </t>
    </r>
    <r>
      <rPr>
        <sz val="11"/>
        <color theme="1"/>
        <rFont val="Calibri"/>
        <family val="2"/>
        <charset val="1"/>
      </rPr>
      <t xml:space="preserve">14.4 </t>
    </r>
    <r>
      <rPr>
        <sz val="11"/>
        <color theme="1"/>
        <rFont val="Noto Sans CJK SC"/>
        <family val="2"/>
      </rPr>
      <t xml:space="preserve">億降至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）</t>
    </r>
  </si>
  <si>
    <t xml:space="preserve">tx27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</si>
  <si>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</si>
  <si>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1Q27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1 − 236.262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230.641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8.140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1.05%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1.15%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</si>
  <si>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：開曼群島法定稅率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1%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</si>
  <si>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</si>
  <si>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稀釋股數（全年平均）</t>
    </r>
  </si>
  <si>
    <r>
      <rPr>
        <sz val="11"/>
        <color theme="1"/>
        <rFont val="Calibri"/>
        <family val="2"/>
        <charset val="1"/>
      </rPr>
      <t xml:space="preserve">1Q27 197.5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4Q26→1Q27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百萬股（含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</si>
  <si>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或有對價最多約 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萬股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</si>
  <si>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</si>
  <si>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</si>
  <si>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</si>
  <si>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https://www.sec.gov/Archives/edgar/data/0001807794/000162828026039474/credoq42026ex-991.htm</t>
  </si>
  <si>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（三年損益表）：營收 </t>
    </r>
    <r>
      <rPr>
        <sz val="11"/>
        <color theme="1"/>
        <rFont val="Calibri"/>
        <family val="2"/>
        <charset val="1"/>
      </rPr>
      <t xml:space="preserve">436,775 </t>
    </r>
    <r>
      <rPr>
        <sz val="11"/>
        <color theme="1"/>
        <rFont val="Noto Sans CJK SC"/>
        <family val="2"/>
      </rPr>
      <t xml:space="preserve">千美元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</si>
  <si>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</si>
  <si>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</si>
  <si>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65.0%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</si>
  <si>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</si>
  <si>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</si>
  <si>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</si>
  <si>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其他收益（淨）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</si>
  <si>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</si>
  <si>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</si>
  <si>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https://letsdatascience.com/news/credo-raises-guidance-as-optical-ramp-accelerates-30d77185—</t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</si>
  <si>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</si>
  <si>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</si>
  <si>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</si>
  <si>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</si>
  <si>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0.29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</si>
  <si>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</si>
  <si>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</si>
  <si>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1,335,116 </t>
    </r>
    <r>
      <rPr>
        <sz val="11"/>
        <color theme="1"/>
        <rFont val="Noto Sans CJK SC"/>
        <family val="2"/>
      </rPr>
      <t xml:space="preserve">千美元、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472,279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</si>
  <si>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</si>
  <si>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</si>
  <si>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68.1%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</si>
  <si>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</si>
  <si>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</t>
    </r>
  </si>
  <si>
    <t xml:space="preserve">a26_ninc_in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</si>
  <si>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其他收益（淨）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</si>
  <si>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</si>
  <si>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</si>
  <si>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6.62 </t>
    </r>
    <r>
      <rPr>
        <sz val="11"/>
        <color theme="1"/>
        <rFont val="Noto Sans CJK SC"/>
        <family val="2"/>
      </rPr>
      <t xml:space="preserve">億美元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</si>
  <si>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</si>
  <si>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</si>
  <si>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</si>
  <si>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</si>
  <si>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2.51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</si>
  <si>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營業費用、稅率、股數（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</si>
  <si>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</si>
  <si>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</si>
  <si>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</si>
  <si>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60.6% ÷ 205.7%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0.29</t>
    </r>
    <r>
      <rPr>
        <sz val="11"/>
        <color theme="1"/>
        <rFont val="Noto Sans CJK SC"/>
        <family val="2"/>
      </rPr>
      <t xml:space="preserve">（推導；費用落後營收）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</si>
  <si>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</si>
  <si>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</si>
  <si>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</si>
  <si>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</si>
  <si>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</si>
  <si>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</si>
  <si>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FY2025 65.0%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68.0%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</si>
  <si>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光學）毛利率可能低於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：未找到量化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</si>
  <si>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</si>
  <si>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</si>
  <si>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競爭者增加時價格下壓</t>
    </r>
  </si>
  <si>
    <t xml:space="preserve">oth_f</t>
  </si>
  <si>
    <r>
      <rPr>
        <sz val="11"/>
        <color theme="1"/>
        <rFont val="Noto Sans CJK SC"/>
        <family val="2"/>
      </rPr>
      <t xml:space="preserve">其他收益（每年，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</si>
  <si>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</si>
  <si>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</si>
  <si>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</si>
  <si>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）：預期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起適用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全球最低稅（公司）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</si>
  <si>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；共識是否已含：未找到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</si>
  <si>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</si>
  <si>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</si>
  <si>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</si>
  <si>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</si>
  <si>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non-GAAP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+3.6%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1.83 </t>
    </r>
    <r>
      <rPr>
        <sz val="11"/>
        <color theme="1"/>
        <rFont val="Noto Sans CJK SC"/>
        <family val="2"/>
      </rPr>
      <t xml:space="preserve">億美元</t>
    </r>
  </si>
  <si>
    <t xml:space="preserve">無買回計畫：未找到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</si>
  <si>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</si>
  <si>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</si>
  <si>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銅 </t>
    </r>
    <r>
      <rPr>
        <sz val="11"/>
        <color theme="1"/>
        <rFont val="Calibri"/>
        <family val="2"/>
        <charset val="1"/>
      </rPr>
      <t xml:space="preserve">+97%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+16%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+2.5%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</si>
  <si>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（銅轉光提前、或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</si>
  <si>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</si>
  <si>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</si>
  <si>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GAAP 2.51 ÷ non-GAAP 3.46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1Q27 0.67 ÷ 1.20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攤銷與整合費用）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</si>
  <si>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4.40 ÷ </t>
    </r>
    <r>
      <rPr>
        <sz val="11"/>
        <color theme="1"/>
        <rFont val="Noto Sans CJK SC"/>
        <family val="2"/>
      </rPr>
      <t xml:space="preserve">調整後約 </t>
    </r>
    <r>
      <rPr>
        <sz val="11"/>
        <color theme="1"/>
        <rFont val="Calibri"/>
        <family val="2"/>
        <charset val="1"/>
      </rPr>
      <t xml:space="preserve">6.30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</si>
  <si>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</si>
  <si>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cons_q2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</si>
  <si>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</si>
  <si>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收盤時）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</si>
  <si>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</si>
  <si>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</si>
  <si>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</si>
  <si>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</si>
  <si>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</si>
  <si>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</si>
  <si>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</si>
  <si>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</si>
  <si>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</si>
  <si>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</si>
  <si>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</si>
  <si>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</si>
  <si>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</si>
  <si>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</si>
  <si>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</si>
  <si>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</si>
  <si>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jef_aec</t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</si>
  <si>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營收共識（期間未明示）</t>
    </r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</si>
  <si>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）：共識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樂觀情境約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</si>
  <si>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期間：未找到（推測為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</si>
  <si>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jef_u26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</si>
  <si>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年（條）</t>
    </r>
  </si>
  <si>
    <t xml:space="preserve">百萬條</t>
  </si>
  <si>
    <t xml:space="preserve">https://invezz.com/en-ae/news/2026/04/13/credo-jumps-11percent-as-jefferies-backs-copper-tech-in-ai-boom-debate/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</si>
  <si>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9.5</t>
    </r>
  </si>
  <si>
    <t xml:space="preserve">jef_u27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</si>
  <si>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年（條）</t>
    </r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</si>
  <si>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14.6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</si>
  <si>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</si>
  <si>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</si>
  <si>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185–315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</si>
  <si>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279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</si>
  <si>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</si>
  <si>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</si>
  <si>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</si>
  <si>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</si>
  <si>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</si>
  <si>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</si>
  <si>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</si>
  <si>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</si>
  <si>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</si>
  <si>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</si>
  <si>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</si>
  <si>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</si>
  <si>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（前收 </t>
    </r>
    <r>
      <rPr>
        <sz val="11"/>
        <color theme="1"/>
        <rFont val="Calibri"/>
        <family val="2"/>
        <charset val="1"/>
      </rPr>
      <t xml:space="preserve">162.77</t>
    </r>
    <r>
      <rPr>
        <sz val="11"/>
        <color theme="1"/>
        <rFont val="Noto Sans CJK SC"/>
        <family val="2"/>
      </rPr>
      <t xml:space="preserve">；盤後 </t>
    </r>
    <r>
      <rPr>
        <sz val="11"/>
        <color theme="1"/>
        <rFont val="Calibri"/>
        <family val="2"/>
        <charset val="1"/>
      </rPr>
      <t xml:space="preserve">148.75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</si>
  <si>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https://companiesmarketcap.com/credo-technology/pe-ratio/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276.8 </t>
    </r>
    <r>
      <rPr>
        <sz val="11"/>
        <color theme="1"/>
        <rFont val="Noto Sans CJK SC"/>
        <family val="2"/>
      </rPr>
      <t xml:space="preserve">億美元）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</si>
  <si>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</si>
  <si>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</si>
  <si>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86.49–308.67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</si>
  <si>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302.52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</si>
  <si>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</si>
  <si>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</si>
  <si>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187.95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</si>
  <si>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186,477,898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</si>
  <si>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</si>
  <si>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</si>
  <si>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</si>
  <si>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</si>
  <si>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</si>
  <si>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</si>
  <si>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</si>
  <si>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</si>
  <si>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</si>
  <si>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</si>
  <si>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</si>
  <si>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FY2024 −6.39%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34.41%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</si>
  <si>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</si>
  <si>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</si>
  <si>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</si>
  <si>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</si>
  <si>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</si>
  <si>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</si>
  <si>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</si>
  <si>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</si>
  <si>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</si>
  <si>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</si>
  <si>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</si>
  <si>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</si>
  <si>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</si>
  <si>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</si>
  <si>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</si>
  <si>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</si>
  <si>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</si>
  <si>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</si>
  <si>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</si>
  <si>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</si>
  <si>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</si>
  <si>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</si>
  <si>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20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</si>
  <si>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284.05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</si>
  <si>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</si>
  <si>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</si>
  <si>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Yahoo FY2028 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9.69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</si>
  <si>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</si>
  <si>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</si>
  <si>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</si>
  <si>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</si>
  <si>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</si>
  <si>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</si>
  <si>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</si>
  <si>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</si>
  <si>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</si>
  <si>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</si>
  <si>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</si>
  <si>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</si>
  <si>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</si>
  <si>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</si>
  <si>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</si>
  <si>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</si>
  <si>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</si>
  <si>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</si>
  <si>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</si>
  <si>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</si>
  <si>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</si>
  <si>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</si>
  <si>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2027-05-01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</si>
  <si>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（全年營收＝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）。產品線拆分（光學、其他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為殘差。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初）公布後以實績取代 </t>
    </r>
    <r>
      <rPr>
        <sz val="11"/>
        <color theme="1"/>
        <rFont val="Calibri"/>
        <family val="2"/>
        <charset val="1"/>
      </rPr>
      <t xml:space="preserve">2Q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</si>
  <si>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</si>
  <si>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</si>
  <si>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1Q27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</si>
  <si>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2Q27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</si>
  <si>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2H27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</si>
  <si>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</si>
  <si>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</si>
  <si>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</si>
  <si>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</si>
  <si>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1Q27 − 2Q27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</si>
  <si>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</si>
  <si>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</si>
  <si>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</si>
  <si>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</si>
  <si>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＝全年（年增約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1H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</si>
  <si>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</si>
  <si>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</si>
  <si>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其他收益（淨）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</si>
  <si>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</si>
  <si>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</si>
  <si>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</si>
  <si>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</si>
  <si>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</si>
  <si>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</si>
  <si>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</si>
  <si>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淨利率目標約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</si>
  <si>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</si>
  <si>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</si>
  <si>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FY2025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1.20</t>
    </r>
  </si>
  <si>
    <r>
      <rPr>
        <sz val="11"/>
        <color theme="1"/>
        <rFont val="Noto Sans CJK SC"/>
        <family val="2"/>
      </rPr>
      <t xml:space="preserve">光學營收（光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</si>
  <si>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</si>
  <si>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oth_s × </t>
    </r>
    <r>
      <rPr>
        <sz val="11"/>
        <color theme="1"/>
        <rFont val="Noto Sans CJK SC"/>
        <family val="2"/>
      </rPr>
      <t xml:space="preserve">成長）</t>
    </r>
  </si>
  <si>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（＝營收 − 光學 − 其他；殘差）</t>
    </r>
  </si>
  <si>
    <r>
      <rPr>
        <sz val="11"/>
        <color theme="1"/>
        <rFont val="Calibri"/>
        <family val="2"/>
        <charset val="1"/>
      </rPr>
      <t xml:space="preserve">AEC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</si>
  <si>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仍是最大業務；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營收年增額逾九成來自 </t>
    </r>
    <r>
      <rPr>
        <sz val="11"/>
        <color theme="1"/>
        <rFont val="Calibri"/>
        <family val="2"/>
        <charset val="1"/>
      </rPr>
      <t xml:space="preserve">AEC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</si>
  <si>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</si>
  <si>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</si>
  <si>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</si>
  <si>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</si>
  <si>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</si>
  <si>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</si>
  <si>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1Q27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1.20</t>
    </r>
  </si>
  <si>
    <r>
      <rPr>
        <sz val="11"/>
        <color theme="1"/>
        <rFont val="Calibri"/>
        <family val="2"/>
        <charset val="1"/>
      </rPr>
      <t xml:space="preserve">FY2027 AEC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</si>
  <si>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每季平均營收 </t>
    </r>
    <r>
      <rPr>
        <sz val="11"/>
        <color theme="1"/>
        <rFont val="Calibri"/>
        <family val="2"/>
        <charset val="1"/>
      </rPr>
      <t xml:space="preserve">÷ 2Q27 − 1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</si>
  <si>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</si>
  <si>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</si>
  <si>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Credo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）與光學的份額（本專案權威，規則第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 → 會計年度月數加權）</t>
    </r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</si>
  <si>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</si>
  <si>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</si>
  <si>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</si>
  <si>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</si>
  <si>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頁「銅」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</si>
  <si>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</si>
  <si>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</si>
  <si>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</si>
  <si>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</si>
  <si>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</si>
  <si>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</si>
  <si>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Credo AEC ÷ scale-out </t>
    </r>
    <r>
      <rPr>
        <sz val="11"/>
        <color theme="1"/>
        <rFont val="Noto Sans CJK SC"/>
        <family val="2"/>
      </rPr>
      <t xml:space="preserve">銅纜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</si>
  <si>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全在 </t>
    </r>
    <r>
      <rPr>
        <sz val="11"/>
        <color theme="1"/>
        <rFont val="Calibri"/>
        <family val="2"/>
        <charset val="1"/>
      </rPr>
      <t xml:space="preserve">scale-out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</si>
  <si>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滲透率（＝有效份額 </t>
    </r>
    <r>
      <rPr>
        <sz val="11"/>
        <color theme="1"/>
        <rFont val="Calibri"/>
        <family val="2"/>
        <charset val="1"/>
      </rPr>
      <t xml:space="preserve">÷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</si>
  <si>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</si>
  <si>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</si>
  <si>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頁「其中可插拔」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</si>
  <si>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</si>
  <si>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</si>
  <si>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約占模組成本兩成（次級來源），換算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份額約為本列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</si>
  <si>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</si>
  <si>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</si>
  <si>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讀法：有效份額＝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滲透率 </t>
    </r>
    <r>
      <rPr>
        <b val="true"/>
        <sz val="11"/>
        <rFont val="Cambria"/>
        <family val="0"/>
        <charset val="1"/>
      </rPr>
      <t xml:space="preserve">× Credo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；兩者都沒有第一手資料，只校準乘積（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錨點）。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份額相對值、光學份額相對值是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</si>
  <si>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Credo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依全年指引），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起光學可插拔市場讀同字母網通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，顆數情境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</si>
  <si>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</si>
  <si>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</si>
  <si>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</si>
  <si>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</si>
  <si>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</si>
  <si>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</si>
  <si>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</si>
  <si>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AEC </t>
    </r>
    <r>
      <rPr>
        <sz val="11"/>
        <color theme="1"/>
        <rFont val="Noto Sans CJK SC"/>
        <family val="2"/>
      </rPr>
      <t xml:space="preserve">營收</t>
    </r>
  </si>
  <si>
    <t xml:space="preserve">  光學營收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</si>
  <si>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</si>
  <si>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</si>
  <si>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</si>
  <si>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</si>
  <si>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</si>
  <si>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</si>
  <si>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</si>
  <si>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</si>
  <si>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− 銅纜市場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</si>
  <si>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</si>
  <si>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</si>
  <si>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FY2028–FY2029</t>
    </r>
    <r>
      <rPr>
        <b val="true"/>
        <sz val="11"/>
        <rFont val="Noto Sans CJK SC"/>
        <family val="2"/>
      </rPr>
      <t xml:space="preserve">；市場為日曆年月數加權）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</si>
  <si>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</si>
  <si>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8/12 ×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4/12 × CY(t)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</si>
  <si>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</si>
  <si>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（拆分見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</si>
  <si>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</si>
  <si>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</si>
  <si>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</si>
  <si>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</si>
  <si>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</si>
  <si>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光學營收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</si>
  <si>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Noto Sans CJK SC"/>
        <family val="2"/>
      </rPr>
      <t xml:space="preserve">光學有效份額相對值（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</si>
  <si>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t xml:space="preserve">光學營收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</si>
  <si>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其他營收與合計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</si>
  <si>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（線卡 </t>
    </r>
    <r>
      <rPr>
        <sz val="11"/>
        <color theme="1"/>
        <rFont val="Calibri"/>
        <family val="2"/>
        <charset val="1"/>
      </rPr>
      <t xml:space="preserve">PHY</t>
    </r>
    <r>
      <rPr>
        <sz val="11"/>
        <color theme="1"/>
        <rFont val="Noto Sans CJK SC"/>
        <family val="2"/>
      </rPr>
      <t xml:space="preserve">、重定時器、</t>
    </r>
    <r>
      <rPr>
        <sz val="11"/>
        <color theme="1"/>
        <rFont val="Calibri"/>
        <family val="2"/>
        <charset val="1"/>
      </rPr>
      <t xml:space="preserve">SerDes </t>
    </r>
    <r>
      <rPr>
        <sz val="11"/>
        <color theme="1"/>
        <rFont val="Noto Sans CJK SC"/>
        <family val="2"/>
      </rPr>
      <t xml:space="preserve">授權）</t>
    </r>
  </si>
  <si>
    <t xml:space="preserve">營收年增</t>
  </si>
  <si>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</si>
  <si>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</si>
  <si>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起為輸入路徑（光學占比上升、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</si>
  <si>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</si>
  <si>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</si>
  <si>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</si>
  <si>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</si>
  <si>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</si>
  <si>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</si>
  <si>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</si>
  <si>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</si>
  <si>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</si>
  <si>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Credo 2022-01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</si>
  <si>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</si>
  <si>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</si>
  <si>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</si>
  <si>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</si>
  <si>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</si>
  <si>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</si>
  <si>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</si>
  <si>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</si>
  <si>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</si>
  <si>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</si>
  <si>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</si>
  <si>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</si>
  <si>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</si>
  <si>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</si>
  <si>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</si>
  <si>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</si>
  <si>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</si>
  <si>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</si>
  <si>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</si>
  <si>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</si>
  <si>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</si>
  <si>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</si>
  <si>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</si>
  <si>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</si>
  <si>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</si>
  <si>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</si>
  <si>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</si>
  <si>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</si>
  <si>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Astera Labs</t>
  </si>
  <si>
    <t xml:space="preserve">ALAB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</si>
  <si>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</si>
  <si>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</si>
  <si>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</si>
  <si>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</si>
  <si>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</si>
  <si>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</si>
  <si>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</si>
  <si>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</si>
  <si>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</si>
  <si>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</si>
  <si>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</si>
  <si>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</si>
  <si>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</si>
  <si>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</si>
  <si>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</si>
  <si>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</si>
  <si>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</si>
  <si>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</si>
  <si>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</si>
  <si>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</si>
  <si>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284.05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</si>
  <si>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</si>
  <si>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</si>
  <si>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</si>
  <si>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</si>
  <si>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</si>
  <si>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</si>
  <si>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</si>
  <si>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</si>
  <si>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</si>
  <si>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</si>
  <si>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</si>
  <si>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規模與業務組合不同，拉低中位數。會計年度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為錨點年（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，偏高估。十年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</si>
  <si>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</si>
  <si>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</si>
  <si>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</si>
  <si>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</si>
  <si>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</si>
  <si>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</si>
  <si>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</si>
  <si>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</si>
  <si>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</si>
  <si>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</si>
  <si>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 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Credo 2022 </t>
    </r>
    <r>
      <rPr>
        <sz val="11"/>
        <color theme="1"/>
        <rFont val="Noto Sans CJK SC"/>
        <family val="2"/>
      </rPr>
      <t xml:space="preserve">年上市，十年倍數只有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206%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年底價格、未折現。對照：現價只約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</si>
  <si>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</si>
  <si>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</si>
  <si>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</si>
  <si>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</si>
  <si>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</si>
  <si>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</si>
  <si>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</si>
  <si>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</si>
  <si>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</si>
  <si>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</si>
  <si>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</si>
  <si>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</si>
  <si>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</si>
  <si>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</si>
  <si>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</si>
  <si>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</si>
  <si>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</si>
  <si>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</si>
  <si>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</si>
  <si>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</si>
  <si>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</si>
  <si>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</si>
  <si>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</si>
  <si>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</si>
  <si>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</si>
  <si>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</si>
  <si>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</si>
  <si>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</si>
  <si>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</si>
  <si>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</si>
  <si>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3Q27–2Q28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</si>
  <si>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</si>
  <si>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</si>
  <si>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</si>
  <si>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</si>
  <si>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</si>
  <si>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</si>
  <si>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</si>
  <si>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倍計（約等於現價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），現價隱含的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與模型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相近；以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倍計約等於情境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倍（高成長股常見）計約為模型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的一半，需要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份額流失、最大客戶流失、銅纜市場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其中兩到三項同時發生（見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</si>
  <si>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</si>
  <si>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</si>
  <si>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，營收年增約兩倍的高成長期），三個分位相同；歷史倍數為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只有會計年度末，列為參考）；前瞻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</si>
  <si>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</si>
  <si>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</si>
  <si>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</si>
  <si>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</si>
  <si>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</si>
  <si>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</si>
  <si>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2023 −92.7x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2024 −456x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2026-05-02 72.0x</t>
    </r>
    <r>
      <rPr>
        <sz val="11"/>
        <color theme="1"/>
        <rFont val="Noto Sans CJK SC"/>
        <family val="2"/>
      </rPr>
      <t xml:space="preserve">；日期口徑不同，只作參考、不採用）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</si>
  <si>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</si>
  <si>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</si>
  <si>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</si>
  <si>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</si>
  <si>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</si>
  <si>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</si>
  <si>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</si>
  <si>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</si>
  <si>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</si>
  <si>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</si>
  <si>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</si>
  <si>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</si>
  <si>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</si>
  <si>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</si>
  <si>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</si>
  <si>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</si>
  <si>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</si>
  <si>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</si>
  <si>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</si>
  <si>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</si>
  <si>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</si>
  <si>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</si>
  <si>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</si>
  <si>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</si>
  <si>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</si>
  <si>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</si>
  <si>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</si>
  <si>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</si>
  <si>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</si>
  <si>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</si>
  <si>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</si>
  <si>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</si>
  <si>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</si>
  <si>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</si>
  <si>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</si>
  <si>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</si>
  <si>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</si>
  <si>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8.69–11.31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</si>
  <si>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</si>
  <si>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</si>
  <si>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</si>
  <si>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</si>
  <si>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</si>
  <si>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</si>
  <si>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</si>
  <si>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</si>
  <si>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</si>
  <si>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</si>
  <si>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</si>
  <si>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5.25–5.35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</si>
  <si>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</si>
  <si>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</si>
  <si>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錨點＝公司「年增逾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」下緣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</si>
  <si>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</si>
  <si>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</si>
  <si>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</si>
  <si>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</si>
  <si>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</si>
  <si>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</si>
  <si>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</si>
  <si>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</si>
  <si>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最低稅）；共識是否已含：未找到</t>
    </r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</si>
  <si>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Jefferies </t>
    </r>
    <r>
      <rPr>
        <sz val="11"/>
        <color theme="1"/>
        <rFont val="Noto Sans CJK SC"/>
        <family val="2"/>
      </rPr>
      <t xml:space="preserve">引述共識</t>
    </r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</si>
  <si>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</si>
  <si>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共識期間未明示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</si>
  <si>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</si>
  <si>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單價（＝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〕；美元／條）</t>
    </r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</si>
  <si>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</si>
  <si>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800G AEC </t>
    </r>
    <r>
      <rPr>
        <sz val="11"/>
        <color theme="1"/>
        <rFont val="Noto Sans CJK SC"/>
        <family val="2"/>
      </rPr>
      <t xml:space="preserve">單價一般認知為數百美元（第一手：未找到）</t>
    </r>
  </si>
  <si>
    <r>
      <rPr>
        <sz val="11"/>
        <color theme="1"/>
        <rFont val="Calibri"/>
        <family val="2"/>
        <charset val="1"/>
      </rPr>
      <t xml:space="preserve">FY2027 Credo AEC ÷ scale-out </t>
    </r>
    <r>
      <rPr>
        <sz val="11"/>
        <color theme="1"/>
        <rFont val="Noto Sans CJK SC"/>
        <family val="2"/>
      </rPr>
      <t xml:space="preserve">銅纜（網通模型）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</si>
  <si>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</si>
  <si>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</si>
  <si>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FY2028 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</si>
  <si>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</si>
  <si>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</si>
  <si>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</si>
  <si>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</si>
  <si>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3.46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</si>
  <si>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</si>
  <si>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</si>
  <si>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</si>
  <si>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</si>
  <si>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</si>
  <si>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指引，並更新全年指引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</si>
  <si>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</si>
  <si>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</si>
  <si>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</si>
  <si>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</si>
  <si>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</si>
  <si>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</si>
  <si>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</si>
  <si>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</si>
  <si>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</si>
  <si>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</si>
  <si>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</si>
  <si>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</si>
  <si>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</si>
  <si>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</si>
  <si>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份額流失（低）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</si>
  <si>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Astera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與線纜廠搶份額；或 </t>
    </r>
    <r>
      <rPr>
        <sz val="11"/>
        <color theme="1"/>
        <rFont val="Calibri"/>
        <family val="2"/>
        <charset val="1"/>
      </rPr>
      <t xml:space="preserve">ALC </t>
    </r>
    <r>
      <rPr>
        <sz val="11"/>
        <color theme="1"/>
        <rFont val="Noto Sans CJK SC"/>
        <family val="2"/>
      </rPr>
      <t xml:space="preserve">自我替代）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</si>
  <si>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份額上升（高）</t>
    </r>
  </si>
  <si>
    <r>
      <rPr>
        <sz val="11"/>
        <color theme="1"/>
        <rFont val="Calibri"/>
        <family val="2"/>
        <charset val="1"/>
      </rPr>
      <t xml:space="preserve">FY2028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退場，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滲透率上升）</t>
    </r>
  </si>
  <si>
    <t xml:space="preserve">最大客戶流失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</si>
  <si>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AEC × (1 − 33%)</t>
    </r>
    <r>
      <rPr>
        <sz val="11"/>
        <color theme="1"/>
        <rFont val="Noto Sans CJK SC"/>
        <family val="2"/>
      </rPr>
      <t xml:space="preserve">（最大終端客戶轉用其他供應商或光學）</t>
    </r>
  </si>
  <si>
    <t xml:space="preserve">光學份額 低</t>
  </si>
  <si>
    <r>
      <rPr>
        <sz val="11"/>
        <color theme="1"/>
        <rFont val="Noto Sans CJK SC"/>
        <family val="2"/>
      </rPr>
      <t xml:space="preserve">光學有效份額相對值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（設計案延後）</t>
    </r>
  </si>
  <si>
    <t xml:space="preserve">光學份額 高</t>
  </si>
  <si>
    <r>
      <rPr>
        <sz val="11"/>
        <color theme="1"/>
        <rFont val="Calibri"/>
        <family val="2"/>
        <charset val="1"/>
      </rPr>
      <t xml:space="preserve">FY2028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</si>
  <si>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</si>
  <si>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60%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</si>
  <si>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</si>
  <si>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69%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</si>
  <si>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</si>
  <si>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</si>
  <si>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5%</t>
    </r>
  </si>
  <si>
    <t xml:space="preserve">全球最低稅延後或抵減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</si>
  <si>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</si>
  <si>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（銅轉光提前）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</si>
  <si>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</si>
  <si>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</si>
  <si>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</si>
  <si>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</si>
  <si>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</si>
  <si>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</si>
  <si>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</si>
  <si>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</si>
  <si>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</si>
  <si>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</si>
  <si>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為錨點、各案例相同；顆數情境只影響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），差異主要在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份額流失」「最大客戶流失」「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最大的三條不利路徑；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起稅率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最低稅）影響較小；顆數情境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。光學在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前仍小於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</si>
  <si>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</si>
  <si>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</si>
  <si>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</si>
  <si>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</si>
  <si>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</si>
  <si>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</si>
  <si>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</si>
  <si>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</si>
  <si>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</si>
  <si>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</si>
  <si>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</si>
  <si>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</si>
  <si>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</si>
  <si>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</si>
  <si>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</si>
  <si>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</si>
  <si>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</si>
  <si>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</si>
  <si>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</si>
  <si>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</si>
  <si>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</si>
  <si>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</si>
  <si>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</si>
  <si>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</si>
  <si>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</si>
  <si>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</si>
  <si>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</si>
  <si>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</si>
  <si>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</si>
  <si>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</si>
  <si>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</si>
  <si>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</si>
  <si>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</si>
  <si>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</si>
  <si>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（客戶集中、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最低稅、股數、地區營收）</t>
    </r>
  </si>
  <si>
    <t xml:space="preserve">https://www.sec.gov/Archives/edgar/data/0001807794/000162828026043303/crdo-20260502.htm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</si>
  <si>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億美元、營業費用約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</si>
  <si>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https://letsdatascience.com/news/credo-raises-guidance-as-optical-ramp-accelerates-30d77185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</si>
  <si>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摘要（年增逾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、淨利率約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占營收年增九成以上）</t>
    </r>
  </si>
  <si>
    <t xml:space="preserve">https://www.itiger.com/news/1122940235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</si>
  <si>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；五家超大規模客戶）</t>
    </r>
  </si>
  <si>
    <t xml:space="preserve">https://www.yourwyominglink.com/credo-q1-earnings-call-highlights-optics-as-the-next-growth-engine/article_d01cfee6-9667-5ab6-8b08-fcf8fffa13d0.html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</si>
  <si>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Jefferies AEC </t>
    </r>
    <r>
      <rPr>
        <sz val="11"/>
        <color theme="1"/>
        <rFont val="Noto Sans CJK SC"/>
        <family val="2"/>
      </rPr>
      <t xml:space="preserve">條數與份額（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</si>
  <si>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等（客戶名稱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）</t>
    </r>
  </si>
  <si>
    <t xml:space="preserve">https://www.benzinga.com/25/03/44149586/credo-expands-hyperscaler-partnerships-with-amazon-microsoft-xai-amid-nvidia-powered-ai-boom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</si>
  <si>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</si>
  <si>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https://finance.yahoo.com/quote/CRDO/analysis/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</si>
  <si>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</si>
  <si>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https://stockanalysis.com/stocks/crdo/forecast/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</si>
  <si>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週區間、股數）</t>
    </r>
  </si>
  <si>
    <t xml:space="preserve">https://stockanalysis.com/stocks/crdo/</t>
  </si>
  <si>
    <r>
      <rPr>
        <sz val="11"/>
        <color theme="1"/>
        <rFont val="Noto Sans CJK SC"/>
        <family val="2"/>
      </rPr>
      <t xml:space="preserve">價格與評論：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月跌幅、</t>
    </r>
    <r>
      <rPr>
        <sz val="11"/>
        <color theme="1"/>
        <rFont val="Calibri"/>
        <family val="2"/>
        <charset val="1"/>
      </rPr>
      <t xml:space="preserve">OCP </t>
    </r>
    <r>
      <rPr>
        <sz val="11"/>
        <color theme="1"/>
        <rFont val="Noto Sans CJK SC"/>
        <family val="2"/>
      </rPr>
      <t xml:space="preserve">發表 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</si>
  <si>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https://www.tikr.com/blog/credo-stock-fell-22-last-week-as-it-launched-a-new-optical-cable-heres-where-it-could-go-by-2031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</si>
  <si>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</si>
  <si>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https://companiesmarketcap.com/credo-technology/pe-ratio/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</si>
  <si>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</si>
  <si>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https://stockanalysis.com/stocks/crdo/financials/ratios/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</si>
  <si>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</si>
  <si>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）；客戶名稱第一手出處；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市場份額第一手來源；共識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</si>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</sst>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00"/>
    <numFmt numFmtId="168" formatCode="0.0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"投資建議："&amp;Val!B130&amp;"（依上檔空間固定規則）"</f>
        <v>投資建議：買進（依上檔空間固定規則）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7.15" hidden="false" customHeight="false" outlineLevel="0" collapsed="false">
      <c r="A23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25.97546</v>
      </c>
      <c r="G5" s="8" t="s">
        <v>34</v>
      </c>
      <c r="H5" s="8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51.06612</v>
      </c>
      <c r="G6" s="8" t="s">
        <v>34</v>
      </c>
      <c r="H6" s="8" t="s">
        <v>35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59.4676</v>
      </c>
      <c r="G7" s="8" t="s">
        <v>34</v>
      </c>
      <c r="H7" s="8" t="s">
        <v>35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60.951534</v>
      </c>
      <c r="G8" s="8" t="s">
        <v>34</v>
      </c>
      <c r="H8" s="8" t="s">
        <v>35</v>
      </c>
      <c r="I8" s="5" t="s">
        <v>39</v>
      </c>
    </row>
    <row r="9" customFormat="false" ht="17.15" hidden="false" customHeight="false" outlineLevel="0" collapsed="false">
      <c r="A9" s="0" t="s">
        <v>44</v>
      </c>
      <c r="B9" s="5" t="s">
        <v>45</v>
      </c>
      <c r="C9" s="0" t="s">
        <v>33</v>
      </c>
      <c r="E9" s="7" t="n">
        <v>13.8758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5" t="s">
        <v>49</v>
      </c>
      <c r="C10" s="0" t="s">
        <v>33</v>
      </c>
      <c r="E10" s="7" t="n">
        <v>26.4567</v>
      </c>
      <c r="G10" s="8" t="s">
        <v>34</v>
      </c>
      <c r="H10" s="8" t="s">
        <v>46</v>
      </c>
      <c r="I10" s="5" t="s">
        <v>39</v>
      </c>
    </row>
    <row r="11" customFormat="false" ht="17.15" hidden="false" customHeight="false" outlineLevel="0" collapsed="false">
      <c r="A11" s="0" t="s">
        <v>50</v>
      </c>
      <c r="B11" s="5" t="s">
        <v>51</v>
      </c>
      <c r="C11" s="0" t="s">
        <v>33</v>
      </c>
      <c r="E11" s="7" t="n">
        <v>29.8375</v>
      </c>
      <c r="G11" s="8" t="s">
        <v>34</v>
      </c>
      <c r="H11" s="8" t="s">
        <v>46</v>
      </c>
      <c r="I11" s="5" t="s">
        <v>39</v>
      </c>
    </row>
    <row r="12" customFormat="false" ht="17.15" hidden="false" customHeight="false" outlineLevel="0" collapsed="false">
      <c r="A12" s="0" t="s">
        <v>52</v>
      </c>
      <c r="B12" s="5" t="s">
        <v>53</v>
      </c>
      <c r="C12" s="0" t="s">
        <v>33</v>
      </c>
      <c r="E12" s="7" t="n">
        <v>33.92475</v>
      </c>
      <c r="G12" s="8" t="s">
        <v>34</v>
      </c>
      <c r="H12" s="8" t="s">
        <v>46</v>
      </c>
      <c r="I12" s="5" t="s">
        <v>39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0" t="s">
        <v>33</v>
      </c>
      <c r="E13" s="7" t="n">
        <v>29.753262</v>
      </c>
      <c r="G13" s="8" t="s">
        <v>34</v>
      </c>
      <c r="H13" s="8" t="s">
        <v>56</v>
      </c>
      <c r="I13" s="5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0" t="s">
        <v>33</v>
      </c>
      <c r="E14" s="7" t="n">
        <v>53.560715</v>
      </c>
      <c r="G14" s="8" t="s">
        <v>34</v>
      </c>
      <c r="H14" s="8" t="s">
        <v>56</v>
      </c>
      <c r="I14" s="5" t="s">
        <v>39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0" t="s">
        <v>33</v>
      </c>
      <c r="E15" s="7" t="n">
        <v>57.9915</v>
      </c>
      <c r="G15" s="8" t="s">
        <v>34</v>
      </c>
      <c r="H15" s="8" t="s">
        <v>56</v>
      </c>
      <c r="I15" s="5" t="s">
        <v>39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33</v>
      </c>
      <c r="E16" s="7" t="n">
        <v>72.9348</v>
      </c>
      <c r="G16" s="8" t="s">
        <v>34</v>
      </c>
      <c r="H16" s="8" t="s">
        <v>56</v>
      </c>
      <c r="I16" s="5" t="s">
        <v>39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33</v>
      </c>
      <c r="E17" s="7" t="n">
        <v>781.872916666666</v>
      </c>
      <c r="G17" s="8" t="s">
        <v>34</v>
      </c>
      <c r="H17" s="8" t="s">
        <v>66</v>
      </c>
      <c r="I17" s="8" t="s">
        <v>67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0" t="s">
        <v>33</v>
      </c>
      <c r="E18" s="7" t="n">
        <v>1565.35</v>
      </c>
      <c r="G18" s="8" t="s">
        <v>34</v>
      </c>
      <c r="H18" s="8" t="s">
        <v>66</v>
      </c>
      <c r="I18" s="5" t="s">
        <v>39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0" t="s">
        <v>33</v>
      </c>
      <c r="E19" s="7" t="n">
        <v>1984.26388888889</v>
      </c>
      <c r="G19" s="8" t="s">
        <v>34</v>
      </c>
      <c r="H19" s="8" t="s">
        <v>66</v>
      </c>
      <c r="I19" s="5" t="s">
        <v>39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33</v>
      </c>
      <c r="E20" s="7" t="n">
        <v>2260.39027777778</v>
      </c>
      <c r="G20" s="8" t="s">
        <v>34</v>
      </c>
      <c r="H20" s="8" t="s">
        <v>66</v>
      </c>
      <c r="I20" s="5" t="s">
        <v>39</v>
      </c>
    </row>
    <row r="21" customFormat="false" ht="17.15" hidden="false" customHeight="false" outlineLevel="0" collapsed="false">
      <c r="A21" s="0" t="s">
        <v>74</v>
      </c>
      <c r="B21" s="5" t="s">
        <v>75</v>
      </c>
      <c r="C21" s="0" t="s">
        <v>76</v>
      </c>
      <c r="E21" s="7" t="n">
        <v>1</v>
      </c>
      <c r="G21" s="8" t="s">
        <v>77</v>
      </c>
      <c r="H21" s="8" t="s">
        <v>78</v>
      </c>
      <c r="I21" s="8" t="s">
        <v>79</v>
      </c>
    </row>
    <row r="22" customFormat="false" ht="17.15" hidden="false" customHeight="false" outlineLevel="0" collapsed="false">
      <c r="A22" s="0" t="s">
        <v>80</v>
      </c>
      <c r="B22" s="5" t="s">
        <v>81</v>
      </c>
      <c r="C22" s="0" t="s">
        <v>76</v>
      </c>
      <c r="E22" s="7" t="n">
        <v>1</v>
      </c>
      <c r="G22" s="8" t="s">
        <v>77</v>
      </c>
      <c r="H22" s="8" t="s">
        <v>82</v>
      </c>
      <c r="I22" s="5" t="s">
        <v>39</v>
      </c>
    </row>
    <row r="23" customFormat="false" ht="17.15" hidden="false" customHeight="false" outlineLevel="0" collapsed="false">
      <c r="A23" s="0" t="s">
        <v>83</v>
      </c>
      <c r="B23" s="5" t="s">
        <v>84</v>
      </c>
      <c r="C23" s="0" t="s">
        <v>76</v>
      </c>
      <c r="E23" s="7" t="n">
        <v>0.8</v>
      </c>
      <c r="G23" s="8" t="s">
        <v>77</v>
      </c>
      <c r="H23" s="8" t="s">
        <v>85</v>
      </c>
      <c r="I23" s="8" t="s">
        <v>79</v>
      </c>
    </row>
    <row r="24" customFormat="false" ht="17.15" hidden="false" customHeight="false" outlineLevel="0" collapsed="false">
      <c r="A24" s="0" t="s">
        <v>86</v>
      </c>
      <c r="B24" s="5" t="s">
        <v>87</v>
      </c>
      <c r="C24" s="0" t="s">
        <v>76</v>
      </c>
      <c r="E24" s="7" t="n">
        <v>0.85</v>
      </c>
      <c r="G24" s="8" t="s">
        <v>77</v>
      </c>
      <c r="H24" s="8" t="s">
        <v>88</v>
      </c>
      <c r="I24" s="5" t="s">
        <v>39</v>
      </c>
    </row>
    <row r="25" customFormat="false" ht="17.15" hidden="false" customHeight="false" outlineLevel="0" collapsed="false">
      <c r="A25" s="0" t="s">
        <v>89</v>
      </c>
      <c r="B25" s="5" t="s">
        <v>90</v>
      </c>
      <c r="C25" s="0" t="s">
        <v>76</v>
      </c>
      <c r="E25" s="7" t="n">
        <v>0.6</v>
      </c>
      <c r="G25" s="8" t="s">
        <v>77</v>
      </c>
      <c r="H25" s="8" t="s">
        <v>91</v>
      </c>
      <c r="I25" s="8" t="s">
        <v>79</v>
      </c>
    </row>
    <row r="26" customFormat="false" ht="17.15" hidden="false" customHeight="false" outlineLevel="0" collapsed="false">
      <c r="A26" s="0" t="s">
        <v>92</v>
      </c>
      <c r="B26" s="5" t="s">
        <v>93</v>
      </c>
      <c r="C26" s="0" t="s">
        <v>76</v>
      </c>
      <c r="E26" s="7" t="n">
        <v>0.6</v>
      </c>
      <c r="G26" s="8" t="s">
        <v>77</v>
      </c>
      <c r="H26" s="8" t="s">
        <v>94</v>
      </c>
      <c r="I26" s="5" t="s">
        <v>39</v>
      </c>
    </row>
    <row r="27" customFormat="false" ht="17.15" hidden="false" customHeight="false" outlineLevel="0" collapsed="false">
      <c r="A27" s="0" t="s">
        <v>95</v>
      </c>
      <c r="B27" s="0" t="s">
        <v>96</v>
      </c>
      <c r="C27" s="0" t="s">
        <v>76</v>
      </c>
      <c r="E27" s="0" t="n">
        <f aca="false">8/12</f>
        <v>0.666666666666667</v>
      </c>
      <c r="G27" s="0" t="s">
        <v>34</v>
      </c>
      <c r="H27" s="0" t="s">
        <v>97</v>
      </c>
      <c r="I27" s="0" t="s">
        <v>98</v>
      </c>
    </row>
    <row r="28" customFormat="false" ht="17.15" hidden="false" customHeight="false" outlineLevel="0" collapsed="false">
      <c r="A28" s="1" t="s">
        <v>99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0" t="s">
        <v>76</v>
      </c>
      <c r="D29" s="7" t="n">
        <v>0.75</v>
      </c>
      <c r="E29" s="7" t="n">
        <v>1</v>
      </c>
      <c r="F29" s="7" t="n">
        <v>1.15</v>
      </c>
      <c r="G29" s="8" t="s">
        <v>77</v>
      </c>
      <c r="H29" s="8" t="s">
        <v>102</v>
      </c>
      <c r="I29" s="8" t="s">
        <v>103</v>
      </c>
    </row>
    <row r="30" customFormat="false" ht="17.15" hidden="false" customHeight="false" outlineLevel="0" collapsed="false">
      <c r="A30" s="0" t="s">
        <v>104</v>
      </c>
      <c r="B30" s="0" t="s">
        <v>105</v>
      </c>
      <c r="C30" s="0" t="s">
        <v>76</v>
      </c>
      <c r="D30" s="7" t="n">
        <v>0.6</v>
      </c>
      <c r="E30" s="7" t="n">
        <v>0.95</v>
      </c>
      <c r="F30" s="7" t="n">
        <v>1.2</v>
      </c>
      <c r="G30" s="8" t="s">
        <v>77</v>
      </c>
      <c r="H30" s="5" t="s">
        <v>106</v>
      </c>
      <c r="I30" s="8" t="s">
        <v>107</v>
      </c>
    </row>
    <row r="31" customFormat="false" ht="17.15" hidden="false" customHeight="false" outlineLevel="0" collapsed="false">
      <c r="A31" s="0" t="s">
        <v>108</v>
      </c>
      <c r="B31" s="0" t="s">
        <v>109</v>
      </c>
      <c r="C31" s="0" t="s">
        <v>110</v>
      </c>
      <c r="D31" s="7" t="n">
        <v>0.6</v>
      </c>
      <c r="E31" s="7" t="n">
        <v>0.75</v>
      </c>
      <c r="F31" s="7" t="n">
        <v>0.9</v>
      </c>
      <c r="G31" s="8" t="s">
        <v>77</v>
      </c>
      <c r="H31" s="8" t="s">
        <v>111</v>
      </c>
      <c r="I31" s="5" t="s">
        <v>112</v>
      </c>
    </row>
    <row r="32" customFormat="false" ht="17.15" hidden="false" customHeight="false" outlineLevel="0" collapsed="false">
      <c r="A32" s="0" t="s">
        <v>113</v>
      </c>
      <c r="B32" s="5" t="s">
        <v>114</v>
      </c>
      <c r="C32" s="0" t="s">
        <v>110</v>
      </c>
      <c r="E32" s="7" t="n">
        <v>0.33</v>
      </c>
      <c r="G32" s="8" t="s">
        <v>115</v>
      </c>
      <c r="H32" s="8" t="s">
        <v>116</v>
      </c>
      <c r="I32" s="8" t="s">
        <v>117</v>
      </c>
    </row>
    <row r="33" customFormat="false" ht="17.15" hidden="false" customHeight="false" outlineLevel="0" collapsed="false">
      <c r="A33" s="0" t="s">
        <v>118</v>
      </c>
      <c r="B33" s="5" t="s">
        <v>119</v>
      </c>
      <c r="C33" s="0" t="s">
        <v>76</v>
      </c>
      <c r="E33" s="0" t="n">
        <f aca="false">rel_a_28*(1-cust_top)</f>
        <v>0.67</v>
      </c>
      <c r="G33" s="0" t="s">
        <v>34</v>
      </c>
      <c r="H33" s="0" t="s">
        <v>120</v>
      </c>
      <c r="I33" s="5" t="s">
        <v>121</v>
      </c>
    </row>
    <row r="34" customFormat="false" ht="17.15" hidden="false" customHeight="false" outlineLevel="0" collapsed="false">
      <c r="A34" s="0" t="s">
        <v>122</v>
      </c>
      <c r="B34" s="5" t="s">
        <v>123</v>
      </c>
      <c r="C34" s="0" t="s">
        <v>76</v>
      </c>
      <c r="E34" s="0" t="n">
        <f aca="false">rel_a_29*(1-cust_top)</f>
        <v>0.6365</v>
      </c>
      <c r="G34" s="0" t="s">
        <v>34</v>
      </c>
      <c r="H34" s="5" t="s">
        <v>39</v>
      </c>
      <c r="I34" s="0" t="s">
        <v>124</v>
      </c>
    </row>
    <row r="35" customFormat="false" ht="17.15" hidden="false" customHeight="false" outlineLevel="0" collapsed="false">
      <c r="A35" s="1" t="s">
        <v>125</v>
      </c>
    </row>
    <row r="36" customFormat="false" ht="17.15" hidden="false" customHeight="false" outlineLevel="0" collapsed="false">
      <c r="A36" s="0" t="s">
        <v>126</v>
      </c>
      <c r="B36" s="0" t="s">
        <v>127</v>
      </c>
      <c r="C36" s="0" t="s">
        <v>33</v>
      </c>
      <c r="D36" s="7" t="n">
        <v>0.08</v>
      </c>
      <c r="E36" s="7" t="n">
        <v>0.15</v>
      </c>
      <c r="F36" s="7" t="n">
        <v>0.25</v>
      </c>
      <c r="G36" s="8" t="s">
        <v>77</v>
      </c>
      <c r="H36" s="5" t="s">
        <v>128</v>
      </c>
      <c r="I36" s="8" t="s">
        <v>129</v>
      </c>
    </row>
    <row r="37" customFormat="false" ht="17.15" hidden="false" customHeight="false" outlineLevel="0" collapsed="false">
      <c r="A37" s="0" t="s">
        <v>130</v>
      </c>
      <c r="B37" s="0" t="s">
        <v>131</v>
      </c>
      <c r="C37" s="0" t="s">
        <v>33</v>
      </c>
      <c r="D37" s="7" t="n">
        <v>0.5</v>
      </c>
      <c r="E37" s="7" t="n">
        <v>0.6</v>
      </c>
      <c r="F37" s="7" t="n">
        <v>0.7</v>
      </c>
      <c r="G37" s="8" t="s">
        <v>115</v>
      </c>
      <c r="H37" s="8" t="s">
        <v>132</v>
      </c>
      <c r="I37" s="8" t="s">
        <v>133</v>
      </c>
    </row>
    <row r="38" customFormat="false" ht="17.15" hidden="false" customHeight="false" outlineLevel="0" collapsed="false">
      <c r="A38" s="0" t="s">
        <v>134</v>
      </c>
      <c r="B38" s="5" t="s">
        <v>135</v>
      </c>
      <c r="C38" s="0" t="s">
        <v>76</v>
      </c>
      <c r="D38" s="7" t="n">
        <v>0.9</v>
      </c>
      <c r="E38" s="7" t="n">
        <v>1.2</v>
      </c>
      <c r="F38" s="7" t="n">
        <v>1.6</v>
      </c>
      <c r="G38" s="8" t="s">
        <v>77</v>
      </c>
      <c r="H38" s="8" t="s">
        <v>136</v>
      </c>
      <c r="I38" s="8" t="s">
        <v>137</v>
      </c>
    </row>
    <row r="39" customFormat="false" ht="17.15" hidden="false" customHeight="false" outlineLevel="0" collapsed="false">
      <c r="A39" s="0" t="s">
        <v>138</v>
      </c>
      <c r="B39" s="5" t="s">
        <v>139</v>
      </c>
      <c r="C39" s="0" t="s">
        <v>76</v>
      </c>
      <c r="D39" s="7" t="n">
        <v>0.9</v>
      </c>
      <c r="E39" s="7" t="n">
        <v>1.35</v>
      </c>
      <c r="F39" s="7" t="n">
        <v>2</v>
      </c>
      <c r="G39" s="8" t="s">
        <v>77</v>
      </c>
      <c r="H39" s="5" t="s">
        <v>39</v>
      </c>
      <c r="I39" s="8" t="s">
        <v>140</v>
      </c>
    </row>
    <row r="40" customFormat="false" ht="17.15" hidden="false" customHeight="false" outlineLevel="0" collapsed="false">
      <c r="A40" s="1" t="s">
        <v>141</v>
      </c>
    </row>
    <row r="41" customFormat="false" ht="17.15" hidden="false" customHeight="false" outlineLevel="0" collapsed="false">
      <c r="A41" s="0" t="s">
        <v>142</v>
      </c>
      <c r="B41" s="5" t="s">
        <v>143</v>
      </c>
      <c r="C41" s="0" t="s">
        <v>110</v>
      </c>
      <c r="D41" s="7" t="n">
        <v>0.04</v>
      </c>
      <c r="E41" s="7" t="n">
        <v>0.07</v>
      </c>
      <c r="F41" s="7" t="n">
        <v>0.1</v>
      </c>
      <c r="G41" s="8" t="s">
        <v>77</v>
      </c>
      <c r="H41" s="5" t="s">
        <v>144</v>
      </c>
      <c r="I41" s="5" t="s">
        <v>145</v>
      </c>
    </row>
    <row r="42" customFormat="false" ht="17.15" hidden="false" customHeight="false" outlineLevel="0" collapsed="false">
      <c r="A42" s="0" t="s">
        <v>146</v>
      </c>
      <c r="B42" s="5" t="s">
        <v>147</v>
      </c>
      <c r="C42" s="0" t="s">
        <v>110</v>
      </c>
      <c r="D42" s="7" t="n">
        <v>0</v>
      </c>
      <c r="E42" s="7" t="n">
        <v>0.15</v>
      </c>
      <c r="F42" s="7" t="n">
        <v>0.3</v>
      </c>
      <c r="G42" s="8" t="s">
        <v>77</v>
      </c>
      <c r="H42" s="5" t="s">
        <v>148</v>
      </c>
      <c r="I42" s="8" t="s">
        <v>140</v>
      </c>
    </row>
    <row r="43" customFormat="false" ht="17.15" hidden="false" customHeight="false" outlineLevel="0" collapsed="false">
      <c r="A43" s="1" t="s">
        <v>149</v>
      </c>
    </row>
    <row r="44" customFormat="false" ht="17.15" hidden="false" customHeight="false" outlineLevel="0" collapsed="false">
      <c r="A44" s="0" t="s">
        <v>150</v>
      </c>
      <c r="B44" s="0" t="s">
        <v>151</v>
      </c>
      <c r="C44" s="0" t="s">
        <v>33</v>
      </c>
      <c r="E44" s="7" t="n">
        <v>0.479003</v>
      </c>
      <c r="G44" s="8" t="s">
        <v>152</v>
      </c>
      <c r="H44" s="8" t="s">
        <v>153</v>
      </c>
      <c r="I44" s="8" t="s">
        <v>154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33</v>
      </c>
      <c r="E45" s="0" t="n">
        <f aca="false">0.230641+0.095154</f>
        <v>0.325795</v>
      </c>
      <c r="G45" s="0" t="s">
        <v>152</v>
      </c>
      <c r="H45" s="0" t="s">
        <v>157</v>
      </c>
      <c r="I45" s="0" t="s">
        <v>158</v>
      </c>
    </row>
    <row r="46" customFormat="false" ht="17.15" hidden="false" customHeight="false" outlineLevel="0" collapsed="false">
      <c r="A46" s="0" t="s">
        <v>159</v>
      </c>
      <c r="B46" s="0" t="s">
        <v>160</v>
      </c>
      <c r="C46" s="0" t="s">
        <v>33</v>
      </c>
      <c r="E46" s="7" t="n">
        <v>0.095154</v>
      </c>
      <c r="G46" s="8" t="s">
        <v>152</v>
      </c>
      <c r="H46" s="8" t="s">
        <v>161</v>
      </c>
      <c r="I46" s="8" t="s">
        <v>162</v>
      </c>
    </row>
    <row r="47" customFormat="false" ht="17.15" hidden="false" customHeight="false" outlineLevel="0" collapsed="false">
      <c r="A47" s="0" t="s">
        <v>163</v>
      </c>
      <c r="B47" s="0" t="s">
        <v>164</v>
      </c>
      <c r="C47" s="0" t="s">
        <v>33</v>
      </c>
      <c r="E47" s="7" t="n">
        <v>0.00814</v>
      </c>
      <c r="G47" s="8" t="s">
        <v>152</v>
      </c>
      <c r="H47" s="8" t="s">
        <v>165</v>
      </c>
      <c r="I47" s="5" t="s">
        <v>166</v>
      </c>
    </row>
    <row r="48" customFormat="false" ht="17.15" hidden="false" customHeight="false" outlineLevel="0" collapsed="false">
      <c r="A48" s="0" t="s">
        <v>167</v>
      </c>
      <c r="B48" s="0" t="s">
        <v>168</v>
      </c>
      <c r="C48" s="0" t="s">
        <v>33</v>
      </c>
      <c r="E48" s="7" t="n">
        <v>0.236262</v>
      </c>
      <c r="G48" s="8" t="s">
        <v>152</v>
      </c>
      <c r="H48" s="8" t="s">
        <v>169</v>
      </c>
      <c r="I48" s="8" t="s">
        <v>170</v>
      </c>
    </row>
    <row r="49" customFormat="false" ht="17.15" hidden="false" customHeight="false" outlineLevel="0" collapsed="false">
      <c r="A49" s="0" t="s">
        <v>171</v>
      </c>
      <c r="B49" s="0" t="s">
        <v>172</v>
      </c>
      <c r="C49" s="5" t="s">
        <v>173</v>
      </c>
      <c r="E49" s="7" t="n">
        <v>0.197505</v>
      </c>
      <c r="G49" s="8" t="s">
        <v>152</v>
      </c>
      <c r="H49" s="8" t="s">
        <v>174</v>
      </c>
      <c r="I49" s="8" t="s">
        <v>175</v>
      </c>
    </row>
    <row r="50" customFormat="false" ht="17.15" hidden="false" customHeight="false" outlineLevel="0" collapsed="false">
      <c r="A50" s="0" t="s">
        <v>176</v>
      </c>
      <c r="B50" s="0" t="s">
        <v>177</v>
      </c>
      <c r="C50" s="0" t="s">
        <v>178</v>
      </c>
      <c r="E50" s="7" t="n">
        <v>1.2</v>
      </c>
      <c r="G50" s="8" t="s">
        <v>152</v>
      </c>
      <c r="H50" s="8" t="s">
        <v>179</v>
      </c>
      <c r="I50" s="8" t="s">
        <v>180</v>
      </c>
    </row>
    <row r="51" customFormat="false" ht="17.15" hidden="false" customHeight="false" outlineLevel="0" collapsed="false">
      <c r="A51" s="0" t="s">
        <v>181</v>
      </c>
      <c r="B51" s="0" t="s">
        <v>182</v>
      </c>
      <c r="C51" s="0" t="s">
        <v>33</v>
      </c>
      <c r="D51" s="7" t="n">
        <v>0.525</v>
      </c>
      <c r="E51" s="7" t="n">
        <v>0.53</v>
      </c>
      <c r="F51" s="7" t="n">
        <v>0.535</v>
      </c>
      <c r="G51" s="8" t="s">
        <v>115</v>
      </c>
      <c r="H51" s="8" t="s">
        <v>183</v>
      </c>
      <c r="I51" s="8" t="s">
        <v>184</v>
      </c>
    </row>
    <row r="52" customFormat="false" ht="17.15" hidden="false" customHeight="false" outlineLevel="0" collapsed="false">
      <c r="A52" s="0" t="s">
        <v>185</v>
      </c>
      <c r="B52" s="0" t="s">
        <v>186</v>
      </c>
      <c r="C52" s="0" t="s">
        <v>110</v>
      </c>
      <c r="D52" s="7" t="n">
        <v>0.67</v>
      </c>
      <c r="E52" s="7" t="n">
        <v>0.68</v>
      </c>
      <c r="F52" s="7" t="n">
        <v>0.69</v>
      </c>
      <c r="G52" s="8" t="s">
        <v>115</v>
      </c>
      <c r="H52" s="8" t="s">
        <v>187</v>
      </c>
      <c r="I52" s="8" t="s">
        <v>188</v>
      </c>
    </row>
    <row r="53" customFormat="false" ht="17.15" hidden="false" customHeight="false" outlineLevel="0" collapsed="false">
      <c r="A53" s="0" t="s">
        <v>189</v>
      </c>
      <c r="B53" s="0" t="s">
        <v>190</v>
      </c>
      <c r="C53" s="0" t="s">
        <v>33</v>
      </c>
      <c r="D53" s="7" t="n">
        <v>0.1</v>
      </c>
      <c r="E53" s="7" t="n">
        <v>0.1025</v>
      </c>
      <c r="F53" s="7" t="n">
        <v>0.105</v>
      </c>
      <c r="G53" s="8" t="s">
        <v>115</v>
      </c>
      <c r="H53" s="8" t="s">
        <v>191</v>
      </c>
      <c r="I53" s="8" t="s">
        <v>192</v>
      </c>
    </row>
    <row r="54" customFormat="false" ht="17.15" hidden="false" customHeight="false" outlineLevel="0" collapsed="false">
      <c r="A54" s="0" t="s">
        <v>193</v>
      </c>
      <c r="B54" s="0" t="s">
        <v>194</v>
      </c>
      <c r="C54" s="0" t="s">
        <v>110</v>
      </c>
      <c r="D54" s="7" t="n">
        <v>0.85</v>
      </c>
      <c r="E54" s="7" t="n">
        <v>0.85</v>
      </c>
      <c r="F54" s="7" t="n">
        <v>0.95</v>
      </c>
      <c r="G54" s="8" t="s">
        <v>115</v>
      </c>
      <c r="H54" s="8" t="s">
        <v>195</v>
      </c>
      <c r="I54" s="8" t="s">
        <v>196</v>
      </c>
    </row>
    <row r="55" customFormat="false" ht="17.15" hidden="false" customHeight="false" outlineLevel="0" collapsed="false">
      <c r="A55" s="0" t="s">
        <v>197</v>
      </c>
      <c r="B55" s="0" t="s">
        <v>198</v>
      </c>
      <c r="C55" s="0" t="s">
        <v>110</v>
      </c>
      <c r="D55" s="7" t="n">
        <v>0.66</v>
      </c>
      <c r="E55" s="7" t="n">
        <v>0.68</v>
      </c>
      <c r="F55" s="7" t="n">
        <v>0.69</v>
      </c>
      <c r="G55" s="8" t="s">
        <v>77</v>
      </c>
      <c r="H55" s="5" t="s">
        <v>199</v>
      </c>
      <c r="I55" s="5" t="s">
        <v>200</v>
      </c>
    </row>
    <row r="56" customFormat="false" ht="17.15" hidden="false" customHeight="false" outlineLevel="0" collapsed="false">
      <c r="A56" s="0" t="s">
        <v>201</v>
      </c>
      <c r="B56" s="0" t="s">
        <v>202</v>
      </c>
      <c r="C56" s="0" t="s">
        <v>110</v>
      </c>
      <c r="D56" s="7" t="n">
        <v>0.45</v>
      </c>
      <c r="E56" s="7" t="n">
        <v>0.5</v>
      </c>
      <c r="F56" s="7" t="n">
        <v>0.6</v>
      </c>
      <c r="G56" s="8" t="s">
        <v>115</v>
      </c>
      <c r="H56" s="8" t="s">
        <v>203</v>
      </c>
      <c r="I56" s="8" t="s">
        <v>204</v>
      </c>
    </row>
    <row r="57" customFormat="false" ht="17.15" hidden="false" customHeight="false" outlineLevel="0" collapsed="false">
      <c r="A57" s="0" t="s">
        <v>205</v>
      </c>
      <c r="B57" s="0" t="s">
        <v>206</v>
      </c>
      <c r="C57" s="0" t="s">
        <v>33</v>
      </c>
      <c r="D57" s="7" t="n">
        <v>0.005</v>
      </c>
      <c r="E57" s="7" t="n">
        <v>0.007</v>
      </c>
      <c r="F57" s="7" t="n">
        <v>0.009</v>
      </c>
      <c r="G57" s="8" t="s">
        <v>77</v>
      </c>
      <c r="H57" s="8" t="s">
        <v>207</v>
      </c>
      <c r="I57" s="8" t="s">
        <v>140</v>
      </c>
    </row>
    <row r="58" customFormat="false" ht="17.15" hidden="false" customHeight="false" outlineLevel="0" collapsed="false">
      <c r="A58" s="0" t="s">
        <v>208</v>
      </c>
      <c r="B58" s="0" t="s">
        <v>209</v>
      </c>
      <c r="C58" s="0" t="s">
        <v>110</v>
      </c>
      <c r="D58" s="7" t="n">
        <v>0.01</v>
      </c>
      <c r="E58" s="7" t="n">
        <v>0.015</v>
      </c>
      <c r="F58" s="7" t="n">
        <v>0.04</v>
      </c>
      <c r="G58" s="8" t="s">
        <v>77</v>
      </c>
      <c r="H58" s="8" t="s">
        <v>210</v>
      </c>
      <c r="I58" s="8" t="s">
        <v>211</v>
      </c>
    </row>
    <row r="59" customFormat="false" ht="17.15" hidden="false" customHeight="false" outlineLevel="0" collapsed="false">
      <c r="A59" s="0" t="s">
        <v>212</v>
      </c>
      <c r="B59" s="0" t="s">
        <v>213</v>
      </c>
      <c r="C59" s="5" t="s">
        <v>173</v>
      </c>
      <c r="D59" s="7" t="n">
        <v>0.198</v>
      </c>
      <c r="E59" s="7" t="n">
        <v>0.199</v>
      </c>
      <c r="F59" s="7" t="n">
        <v>0.201</v>
      </c>
      <c r="G59" s="8" t="s">
        <v>77</v>
      </c>
      <c r="H59" s="8" t="s">
        <v>214</v>
      </c>
      <c r="I59" s="8" t="s">
        <v>215</v>
      </c>
    </row>
    <row r="60" customFormat="false" ht="17.15" hidden="false" customHeight="false" outlineLevel="0" collapsed="false">
      <c r="A60" s="1" t="s">
        <v>216</v>
      </c>
    </row>
    <row r="61" customFormat="false" ht="17.15" hidden="false" customHeight="false" outlineLevel="0" collapsed="false">
      <c r="A61" s="0" t="s">
        <v>217</v>
      </c>
      <c r="B61" s="0" t="s">
        <v>218</v>
      </c>
      <c r="C61" s="0" t="s">
        <v>33</v>
      </c>
      <c r="E61" s="7" t="n">
        <v>0.436775</v>
      </c>
      <c r="G61" s="8" t="s">
        <v>152</v>
      </c>
      <c r="H61" s="8" t="s">
        <v>219</v>
      </c>
      <c r="I61" s="8" t="s">
        <v>220</v>
      </c>
    </row>
    <row r="62" customFormat="false" ht="17.15" hidden="false" customHeight="false" outlineLevel="0" collapsed="false">
      <c r="A62" s="0" t="s">
        <v>221</v>
      </c>
      <c r="B62" s="0" t="s">
        <v>222</v>
      </c>
      <c r="C62" s="0" t="s">
        <v>33</v>
      </c>
      <c r="E62" s="0" t="n">
        <f aca="false">0.115352+0.168751</f>
        <v>0.284103</v>
      </c>
      <c r="G62" s="0" t="s">
        <v>152</v>
      </c>
      <c r="H62" s="0" t="s">
        <v>223</v>
      </c>
      <c r="I62" s="0" t="s">
        <v>140</v>
      </c>
    </row>
    <row r="63" customFormat="false" ht="17.15" hidden="false" customHeight="false" outlineLevel="0" collapsed="false">
      <c r="A63" s="0" t="s">
        <v>224</v>
      </c>
      <c r="B63" s="0" t="s">
        <v>225</v>
      </c>
      <c r="C63" s="0" t="s">
        <v>33</v>
      </c>
      <c r="E63" s="7" t="n">
        <v>0.168751</v>
      </c>
      <c r="G63" s="8" t="s">
        <v>152</v>
      </c>
      <c r="H63" s="8" t="s">
        <v>219</v>
      </c>
      <c r="I63" s="8" t="s">
        <v>140</v>
      </c>
    </row>
    <row r="64" customFormat="false" ht="17.15" hidden="false" customHeight="false" outlineLevel="0" collapsed="false">
      <c r="A64" s="0" t="s">
        <v>226</v>
      </c>
      <c r="B64" s="0" t="s">
        <v>227</v>
      </c>
      <c r="C64" s="0" t="s">
        <v>33</v>
      </c>
      <c r="E64" s="7" t="n">
        <v>0.017746</v>
      </c>
      <c r="G64" s="8" t="s">
        <v>152</v>
      </c>
      <c r="H64" s="8" t="s">
        <v>219</v>
      </c>
      <c r="I64" s="8" t="s">
        <v>140</v>
      </c>
    </row>
    <row r="65" customFormat="false" ht="17.15" hidden="false" customHeight="false" outlineLevel="0" collapsed="false">
      <c r="A65" s="0" t="s">
        <v>228</v>
      </c>
      <c r="B65" s="0" t="s">
        <v>229</v>
      </c>
      <c r="C65" s="0" t="s">
        <v>33</v>
      </c>
      <c r="E65" s="7" t="n">
        <v>0.129926</v>
      </c>
      <c r="G65" s="8" t="s">
        <v>152</v>
      </c>
      <c r="H65" s="8" t="s">
        <v>219</v>
      </c>
      <c r="I65" s="8" t="s">
        <v>230</v>
      </c>
    </row>
    <row r="66" customFormat="false" ht="17.15" hidden="false" customHeight="false" outlineLevel="0" collapsed="false">
      <c r="A66" s="0" t="s">
        <v>231</v>
      </c>
      <c r="B66" s="0" t="s">
        <v>232</v>
      </c>
      <c r="C66" s="5" t="s">
        <v>173</v>
      </c>
      <c r="E66" s="7" t="n">
        <v>0.184644</v>
      </c>
      <c r="G66" s="8" t="s">
        <v>152</v>
      </c>
      <c r="H66" s="8" t="s">
        <v>219</v>
      </c>
      <c r="I66" s="8" t="s">
        <v>140</v>
      </c>
    </row>
    <row r="67" customFormat="false" ht="17.15" hidden="false" customHeight="false" outlineLevel="0" collapsed="false">
      <c r="A67" s="0" t="s">
        <v>233</v>
      </c>
      <c r="B67" s="0" t="s">
        <v>234</v>
      </c>
      <c r="C67" s="0" t="s">
        <v>178</v>
      </c>
      <c r="E67" s="7" t="n">
        <v>0.7</v>
      </c>
      <c r="G67" s="8" t="s">
        <v>152</v>
      </c>
      <c r="H67" s="8" t="s">
        <v>235</v>
      </c>
      <c r="I67" s="8" t="s">
        <v>140</v>
      </c>
    </row>
    <row r="68" customFormat="false" ht="17.15" hidden="false" customHeight="false" outlineLevel="0" collapsed="false">
      <c r="A68" s="0" t="s">
        <v>236</v>
      </c>
      <c r="B68" s="0" t="s">
        <v>237</v>
      </c>
      <c r="C68" s="0" t="s">
        <v>33</v>
      </c>
      <c r="E68" s="7" t="n">
        <v>1.335116</v>
      </c>
      <c r="G68" s="8" t="s">
        <v>152</v>
      </c>
      <c r="H68" s="8" t="s">
        <v>219</v>
      </c>
      <c r="I68" s="8" t="s">
        <v>238</v>
      </c>
    </row>
    <row r="69" customFormat="false" ht="17.15" hidden="false" customHeight="false" outlineLevel="0" collapsed="false">
      <c r="A69" s="0" t="s">
        <v>239</v>
      </c>
      <c r="B69" s="0" t="s">
        <v>240</v>
      </c>
      <c r="C69" s="0" t="s">
        <v>33</v>
      </c>
      <c r="E69" s="0" t="n">
        <f aca="false">0.638822+0.270945</f>
        <v>0.909767</v>
      </c>
      <c r="G69" s="0" t="s">
        <v>152</v>
      </c>
      <c r="H69" s="0" t="s">
        <v>241</v>
      </c>
      <c r="I69" s="0" t="s">
        <v>140</v>
      </c>
    </row>
    <row r="70" customFormat="false" ht="17.15" hidden="false" customHeight="false" outlineLevel="0" collapsed="false">
      <c r="A70" s="0" t="s">
        <v>242</v>
      </c>
      <c r="B70" s="0" t="s">
        <v>243</v>
      </c>
      <c r="C70" s="0" t="s">
        <v>33</v>
      </c>
      <c r="E70" s="7" t="n">
        <v>0.270945</v>
      </c>
      <c r="G70" s="8" t="s">
        <v>152</v>
      </c>
      <c r="H70" s="8" t="s">
        <v>219</v>
      </c>
      <c r="I70" s="8" t="s">
        <v>140</v>
      </c>
    </row>
    <row r="71" customFormat="false" ht="17.15" hidden="false" customHeight="false" outlineLevel="0" collapsed="false">
      <c r="A71" s="0" t="s">
        <v>244</v>
      </c>
      <c r="B71" s="0" t="s">
        <v>245</v>
      </c>
      <c r="C71" s="0" t="s">
        <v>33</v>
      </c>
      <c r="E71" s="7" t="n">
        <v>0.03043</v>
      </c>
      <c r="G71" s="8" t="s">
        <v>152</v>
      </c>
      <c r="H71" s="8" t="s">
        <v>219</v>
      </c>
      <c r="I71" s="8" t="s">
        <v>140</v>
      </c>
    </row>
    <row r="72" customFormat="false" ht="17.15" hidden="false" customHeight="false" outlineLevel="0" collapsed="false">
      <c r="A72" s="0" t="s">
        <v>246</v>
      </c>
      <c r="B72" s="0" t="s">
        <v>247</v>
      </c>
      <c r="C72" s="0" t="s">
        <v>33</v>
      </c>
      <c r="E72" s="7" t="n">
        <v>0.661543</v>
      </c>
      <c r="G72" s="8" t="s">
        <v>152</v>
      </c>
      <c r="H72" s="8" t="s">
        <v>219</v>
      </c>
      <c r="I72" s="8" t="s">
        <v>248</v>
      </c>
    </row>
    <row r="73" customFormat="false" ht="17.15" hidden="false" customHeight="false" outlineLevel="0" collapsed="false">
      <c r="A73" s="0" t="s">
        <v>249</v>
      </c>
      <c r="B73" s="0" t="s">
        <v>250</v>
      </c>
      <c r="C73" s="5" t="s">
        <v>173</v>
      </c>
      <c r="E73" s="7" t="n">
        <v>0.191256</v>
      </c>
      <c r="G73" s="8" t="s">
        <v>152</v>
      </c>
      <c r="H73" s="8" t="s">
        <v>219</v>
      </c>
      <c r="I73" s="8" t="s">
        <v>140</v>
      </c>
    </row>
    <row r="74" customFormat="false" ht="17.15" hidden="false" customHeight="false" outlineLevel="0" collapsed="false">
      <c r="A74" s="0" t="s">
        <v>251</v>
      </c>
      <c r="B74" s="0" t="s">
        <v>252</v>
      </c>
      <c r="C74" s="0" t="s">
        <v>178</v>
      </c>
      <c r="E74" s="7" t="n">
        <v>3.46</v>
      </c>
      <c r="G74" s="8" t="s">
        <v>152</v>
      </c>
      <c r="H74" s="8" t="s">
        <v>253</v>
      </c>
      <c r="I74" s="8" t="s">
        <v>140</v>
      </c>
    </row>
    <row r="75" customFormat="false" ht="17.15" hidden="false" customHeight="false" outlineLevel="0" collapsed="false">
      <c r="A75" s="1" t="s">
        <v>254</v>
      </c>
    </row>
    <row r="76" customFormat="false" ht="17.15" hidden="false" customHeight="false" outlineLevel="0" collapsed="false">
      <c r="A76" s="0" t="s">
        <v>255</v>
      </c>
      <c r="B76" s="5" t="s">
        <v>256</v>
      </c>
      <c r="C76" s="0" t="s">
        <v>76</v>
      </c>
      <c r="D76" s="7" t="n">
        <v>0.3</v>
      </c>
      <c r="E76" s="9" t="n">
        <f aca="false">Q!B28</f>
        <v>0.588235294117647</v>
      </c>
      <c r="F76" s="7" t="n">
        <v>0.9</v>
      </c>
      <c r="G76" s="8" t="s">
        <v>34</v>
      </c>
      <c r="H76" s="8" t="s">
        <v>257</v>
      </c>
      <c r="I76" s="8" t="s">
        <v>258</v>
      </c>
    </row>
    <row r="77" customFormat="false" ht="17.15" hidden="false" customHeight="false" outlineLevel="0" collapsed="false">
      <c r="A77" s="0" t="s">
        <v>259</v>
      </c>
      <c r="B77" s="5" t="s">
        <v>260</v>
      </c>
      <c r="C77" s="0" t="s">
        <v>261</v>
      </c>
      <c r="D77" s="7" t="n">
        <v>-0.01</v>
      </c>
      <c r="E77" s="7" t="n">
        <v>0</v>
      </c>
      <c r="F77" s="7" t="n">
        <v>0.02</v>
      </c>
      <c r="G77" s="8" t="s">
        <v>77</v>
      </c>
      <c r="H77" s="5" t="s">
        <v>148</v>
      </c>
      <c r="I77" s="8" t="s">
        <v>262</v>
      </c>
    </row>
    <row r="78" customFormat="false" ht="17.15" hidden="false" customHeight="false" outlineLevel="0" collapsed="false">
      <c r="A78" s="0" t="s">
        <v>263</v>
      </c>
      <c r="B78" s="0" t="s">
        <v>264</v>
      </c>
      <c r="C78" s="0" t="s">
        <v>110</v>
      </c>
      <c r="D78" s="7" t="n">
        <v>0.63</v>
      </c>
      <c r="E78" s="7" t="n">
        <v>0.67</v>
      </c>
      <c r="F78" s="7" t="n">
        <v>0.69</v>
      </c>
      <c r="G78" s="8" t="s">
        <v>77</v>
      </c>
      <c r="H78" s="8" t="s">
        <v>265</v>
      </c>
      <c r="I78" s="5" t="s">
        <v>266</v>
      </c>
    </row>
    <row r="79" customFormat="false" ht="17.15" hidden="false" customHeight="false" outlineLevel="0" collapsed="false">
      <c r="A79" s="0" t="s">
        <v>267</v>
      </c>
      <c r="B79" s="0" t="s">
        <v>268</v>
      </c>
      <c r="C79" s="0" t="s">
        <v>110</v>
      </c>
      <c r="D79" s="7" t="n">
        <v>0.6</v>
      </c>
      <c r="E79" s="7" t="n">
        <v>0.66</v>
      </c>
      <c r="F79" s="7" t="n">
        <v>0.69</v>
      </c>
      <c r="G79" s="8" t="s">
        <v>77</v>
      </c>
      <c r="H79" s="5" t="s">
        <v>269</v>
      </c>
      <c r="I79" s="8" t="s">
        <v>140</v>
      </c>
    </row>
    <row r="80" customFormat="false" ht="17.15" hidden="false" customHeight="false" outlineLevel="0" collapsed="false">
      <c r="A80" s="0" t="s">
        <v>270</v>
      </c>
      <c r="B80" s="5" t="s">
        <v>271</v>
      </c>
      <c r="C80" s="0" t="s">
        <v>33</v>
      </c>
      <c r="D80" s="7" t="n">
        <v>0.02</v>
      </c>
      <c r="E80" s="7" t="n">
        <v>0.03</v>
      </c>
      <c r="F80" s="7" t="n">
        <v>0.06</v>
      </c>
      <c r="G80" s="8" t="s">
        <v>77</v>
      </c>
      <c r="H80" s="5" t="s">
        <v>272</v>
      </c>
      <c r="I80" s="8" t="s">
        <v>140</v>
      </c>
    </row>
    <row r="81" customFormat="false" ht="17.15" hidden="false" customHeight="false" outlineLevel="0" collapsed="false">
      <c r="A81" s="0" t="s">
        <v>273</v>
      </c>
      <c r="B81" s="0" t="s">
        <v>274</v>
      </c>
      <c r="C81" s="0" t="s">
        <v>110</v>
      </c>
      <c r="D81" s="7" t="n">
        <v>0.05</v>
      </c>
      <c r="E81" s="7" t="n">
        <v>0.13</v>
      </c>
      <c r="F81" s="7" t="n">
        <v>0.17</v>
      </c>
      <c r="G81" s="8" t="s">
        <v>77</v>
      </c>
      <c r="H81" s="5" t="s">
        <v>275</v>
      </c>
      <c r="I81" s="8" t="s">
        <v>276</v>
      </c>
    </row>
    <row r="82" customFormat="false" ht="17.15" hidden="false" customHeight="false" outlineLevel="0" collapsed="false">
      <c r="A82" s="0" t="s">
        <v>277</v>
      </c>
      <c r="B82" s="0" t="s">
        <v>278</v>
      </c>
      <c r="C82" s="0" t="s">
        <v>110</v>
      </c>
      <c r="D82" s="7" t="n">
        <v>0.05</v>
      </c>
      <c r="E82" s="7" t="n">
        <v>0.14</v>
      </c>
      <c r="F82" s="7" t="n">
        <v>0.17</v>
      </c>
      <c r="G82" s="8" t="s">
        <v>77</v>
      </c>
      <c r="H82" s="5" t="s">
        <v>39</v>
      </c>
      <c r="I82" s="8" t="s">
        <v>140</v>
      </c>
    </row>
    <row r="83" customFormat="false" ht="17.15" hidden="false" customHeight="false" outlineLevel="0" collapsed="false">
      <c r="A83" s="0" t="s">
        <v>279</v>
      </c>
      <c r="B83" s="5" t="s">
        <v>280</v>
      </c>
      <c r="C83" s="0" t="s">
        <v>110</v>
      </c>
      <c r="D83" s="7" t="n">
        <v>0.005</v>
      </c>
      <c r="E83" s="7" t="n">
        <v>0.015</v>
      </c>
      <c r="F83" s="7" t="n">
        <v>0.03</v>
      </c>
      <c r="G83" s="8" t="s">
        <v>77</v>
      </c>
      <c r="H83" s="8" t="s">
        <v>281</v>
      </c>
      <c r="I83" s="5" t="s">
        <v>282</v>
      </c>
    </row>
    <row r="84" customFormat="false" ht="17.15" hidden="false" customHeight="false" outlineLevel="0" collapsed="false">
      <c r="A84" s="0" t="s">
        <v>283</v>
      </c>
      <c r="B84" s="0" t="s">
        <v>284</v>
      </c>
      <c r="C84" s="0" t="s">
        <v>76</v>
      </c>
      <c r="D84" s="7" t="n">
        <v>0.8</v>
      </c>
      <c r="E84" s="7" t="n">
        <v>1</v>
      </c>
      <c r="F84" s="7" t="n">
        <v>1.2</v>
      </c>
      <c r="G84" s="8" t="s">
        <v>77</v>
      </c>
      <c r="H84" s="5" t="s">
        <v>285</v>
      </c>
      <c r="I84" s="8" t="s">
        <v>286</v>
      </c>
    </row>
    <row r="85" customFormat="false" ht="17.15" hidden="false" customHeight="false" outlineLevel="0" collapsed="false">
      <c r="A85" s="0" t="s">
        <v>287</v>
      </c>
      <c r="B85" s="0" t="s">
        <v>288</v>
      </c>
      <c r="C85" s="0" t="s">
        <v>76</v>
      </c>
      <c r="D85" s="7" t="n">
        <v>0.56</v>
      </c>
      <c r="E85" s="7" t="n">
        <v>0.7</v>
      </c>
      <c r="F85" s="7" t="n">
        <v>0.75</v>
      </c>
      <c r="G85" s="8" t="s">
        <v>77</v>
      </c>
      <c r="H85" s="8" t="s">
        <v>289</v>
      </c>
      <c r="I85" s="8" t="s">
        <v>290</v>
      </c>
    </row>
    <row r="86" customFormat="false" ht="17.15" hidden="false" customHeight="false" outlineLevel="0" collapsed="false">
      <c r="A86" s="1" t="s">
        <v>291</v>
      </c>
    </row>
    <row r="87" customFormat="false" ht="17.15" hidden="false" customHeight="false" outlineLevel="0" collapsed="false">
      <c r="A87" s="0" t="s">
        <v>292</v>
      </c>
      <c r="B87" s="5" t="s">
        <v>293</v>
      </c>
      <c r="C87" s="0" t="s">
        <v>33</v>
      </c>
      <c r="E87" s="7" t="n">
        <v>0.53165</v>
      </c>
      <c r="G87" s="8" t="s">
        <v>115</v>
      </c>
      <c r="H87" s="8" t="s">
        <v>294</v>
      </c>
      <c r="I87" s="8" t="s">
        <v>140</v>
      </c>
    </row>
    <row r="88" customFormat="false" ht="17.15" hidden="false" customHeight="false" outlineLevel="0" collapsed="false">
      <c r="A88" s="0" t="s">
        <v>295</v>
      </c>
      <c r="B88" s="5" t="s">
        <v>296</v>
      </c>
      <c r="C88" s="0" t="s">
        <v>33</v>
      </c>
      <c r="E88" s="7" t="n">
        <v>2.5</v>
      </c>
      <c r="G88" s="8" t="s">
        <v>115</v>
      </c>
      <c r="H88" s="8" t="s">
        <v>297</v>
      </c>
      <c r="I88" s="8" t="s">
        <v>298</v>
      </c>
    </row>
    <row r="89" customFormat="false" ht="17.15" hidden="false" customHeight="false" outlineLevel="0" collapsed="false">
      <c r="A89" s="0" t="s">
        <v>299</v>
      </c>
      <c r="B89" s="5" t="s">
        <v>300</v>
      </c>
      <c r="C89" s="0" t="s">
        <v>178</v>
      </c>
      <c r="E89" s="7" t="n">
        <v>6.31</v>
      </c>
      <c r="G89" s="8" t="s">
        <v>115</v>
      </c>
      <c r="H89" s="8" t="s">
        <v>301</v>
      </c>
      <c r="I89" s="8" t="s">
        <v>302</v>
      </c>
    </row>
    <row r="90" customFormat="false" ht="17.15" hidden="false" customHeight="false" outlineLevel="0" collapsed="false">
      <c r="A90" s="0" t="s">
        <v>303</v>
      </c>
      <c r="B90" s="5" t="s">
        <v>304</v>
      </c>
      <c r="C90" s="0" t="s">
        <v>33</v>
      </c>
      <c r="E90" s="7" t="n">
        <v>3.87</v>
      </c>
      <c r="G90" s="8" t="s">
        <v>115</v>
      </c>
      <c r="H90" s="8" t="s">
        <v>305</v>
      </c>
      <c r="I90" s="5" t="s">
        <v>306</v>
      </c>
    </row>
    <row r="91" customFormat="false" ht="17.15" hidden="false" customHeight="false" outlineLevel="0" collapsed="false">
      <c r="A91" s="0" t="s">
        <v>307</v>
      </c>
      <c r="B91" s="5" t="s">
        <v>308</v>
      </c>
      <c r="C91" s="0" t="s">
        <v>178</v>
      </c>
      <c r="E91" s="7" t="n">
        <v>9.69</v>
      </c>
      <c r="G91" s="8" t="s">
        <v>115</v>
      </c>
      <c r="H91" s="8" t="s">
        <v>309</v>
      </c>
      <c r="I91" s="5" t="s">
        <v>310</v>
      </c>
    </row>
    <row r="92" customFormat="false" ht="17.15" hidden="false" customHeight="false" outlineLevel="0" collapsed="false">
      <c r="A92" s="0" t="s">
        <v>311</v>
      </c>
      <c r="B92" s="0" t="s">
        <v>312</v>
      </c>
      <c r="C92" s="0" t="s">
        <v>33</v>
      </c>
      <c r="E92" s="7" t="n">
        <v>2.3</v>
      </c>
      <c r="G92" s="8" t="s">
        <v>115</v>
      </c>
      <c r="H92" s="8" t="s">
        <v>313</v>
      </c>
      <c r="I92" s="5" t="s">
        <v>314</v>
      </c>
    </row>
    <row r="93" customFormat="false" ht="17.15" hidden="false" customHeight="false" outlineLevel="0" collapsed="false">
      <c r="A93" s="0" t="s">
        <v>315</v>
      </c>
      <c r="B93" s="0" t="s">
        <v>316</v>
      </c>
      <c r="C93" s="5" t="s">
        <v>317</v>
      </c>
      <c r="E93" s="7" t="n">
        <v>8.6</v>
      </c>
      <c r="G93" s="8" t="s">
        <v>115</v>
      </c>
      <c r="H93" s="8" t="s">
        <v>318</v>
      </c>
      <c r="I93" s="5" t="s">
        <v>319</v>
      </c>
    </row>
    <row r="94" customFormat="false" ht="17.15" hidden="false" customHeight="false" outlineLevel="0" collapsed="false">
      <c r="A94" s="0" t="s">
        <v>320</v>
      </c>
      <c r="B94" s="0" t="s">
        <v>321</v>
      </c>
      <c r="C94" s="5" t="s">
        <v>317</v>
      </c>
      <c r="E94" s="7" t="n">
        <v>12.3</v>
      </c>
      <c r="G94" s="8" t="s">
        <v>115</v>
      </c>
      <c r="H94" s="8" t="s">
        <v>318</v>
      </c>
      <c r="I94" s="5" t="s">
        <v>322</v>
      </c>
    </row>
    <row r="95" customFormat="false" ht="17.15" hidden="false" customHeight="false" outlineLevel="0" collapsed="false">
      <c r="A95" s="10" t="s">
        <v>323</v>
      </c>
      <c r="B95" s="11" t="s">
        <v>324</v>
      </c>
      <c r="C95" s="10" t="s">
        <v>178</v>
      </c>
      <c r="D95" s="10"/>
      <c r="E95" s="12" t="n">
        <v>279.09</v>
      </c>
      <c r="F95" s="10"/>
      <c r="G95" s="10" t="s">
        <v>115</v>
      </c>
      <c r="H95" s="10" t="s">
        <v>325</v>
      </c>
      <c r="I95" s="10" t="s">
        <v>326</v>
      </c>
    </row>
    <row r="96" customFormat="false" ht="17.15" hidden="false" customHeight="false" outlineLevel="0" collapsed="false">
      <c r="A96" s="10" t="s">
        <v>327</v>
      </c>
      <c r="B96" s="11" t="s">
        <v>328</v>
      </c>
      <c r="C96" s="10" t="s">
        <v>110</v>
      </c>
      <c r="D96" s="10"/>
      <c r="E96" s="12" t="n">
        <v>0.3</v>
      </c>
      <c r="F96" s="10"/>
      <c r="G96" s="10" t="s">
        <v>77</v>
      </c>
      <c r="H96" s="10" t="s">
        <v>329</v>
      </c>
      <c r="I96" s="11" t="s">
        <v>330</v>
      </c>
    </row>
    <row r="97" customFormat="false" ht="17.15" hidden="false" customHeight="false" outlineLevel="0" collapsed="false">
      <c r="A97" s="10" t="s">
        <v>331</v>
      </c>
      <c r="B97" s="11" t="s">
        <v>332</v>
      </c>
      <c r="C97" s="10" t="s">
        <v>110</v>
      </c>
      <c r="D97" s="10"/>
      <c r="E97" s="12" t="n">
        <v>0.5</v>
      </c>
      <c r="F97" s="10"/>
      <c r="G97" s="10" t="s">
        <v>77</v>
      </c>
      <c r="H97" s="10" t="s">
        <v>333</v>
      </c>
      <c r="I97" s="10" t="s">
        <v>140</v>
      </c>
    </row>
    <row r="98" customFormat="false" ht="17.15" hidden="false" customHeight="false" outlineLevel="0" collapsed="false">
      <c r="A98" s="10" t="s">
        <v>334</v>
      </c>
      <c r="B98" s="11" t="s">
        <v>335</v>
      </c>
      <c r="C98" s="10" t="s">
        <v>110</v>
      </c>
      <c r="D98" s="10"/>
      <c r="E98" s="12" t="n">
        <v>0.2</v>
      </c>
      <c r="F98" s="10"/>
      <c r="G98" s="10" t="s">
        <v>77</v>
      </c>
      <c r="H98" s="10" t="s">
        <v>333</v>
      </c>
      <c r="I98" s="10" t="s">
        <v>140</v>
      </c>
    </row>
    <row r="99" customFormat="false" ht="17.15" hidden="false" customHeight="false" outlineLevel="0" collapsed="false">
      <c r="A99" s="1" t="s">
        <v>336</v>
      </c>
    </row>
    <row r="100" customFormat="false" ht="17.15" hidden="false" customHeight="false" outlineLevel="0" collapsed="false">
      <c r="A100" s="0" t="s">
        <v>337</v>
      </c>
      <c r="B100" s="5" t="s">
        <v>338</v>
      </c>
      <c r="C100" s="0" t="s">
        <v>178</v>
      </c>
      <c r="E100" s="7" t="n">
        <v>147.29</v>
      </c>
      <c r="G100" s="8" t="s">
        <v>115</v>
      </c>
      <c r="H100" s="8" t="s">
        <v>339</v>
      </c>
      <c r="I100" s="8" t="s">
        <v>340</v>
      </c>
    </row>
    <row r="101" customFormat="false" ht="17.15" hidden="false" customHeight="false" outlineLevel="0" collapsed="false">
      <c r="A101" s="0" t="s">
        <v>341</v>
      </c>
      <c r="B101" s="0" t="s">
        <v>342</v>
      </c>
      <c r="C101" s="0" t="s">
        <v>178</v>
      </c>
      <c r="E101" s="7" t="n">
        <v>308.67</v>
      </c>
      <c r="G101" s="8" t="s">
        <v>115</v>
      </c>
      <c r="H101" s="8" t="s">
        <v>343</v>
      </c>
      <c r="I101" s="8" t="s">
        <v>344</v>
      </c>
    </row>
    <row r="102" customFormat="false" ht="17.15" hidden="false" customHeight="false" outlineLevel="0" collapsed="false">
      <c r="A102" s="0" t="s">
        <v>345</v>
      </c>
      <c r="B102" s="5" t="s">
        <v>346</v>
      </c>
      <c r="C102" s="5" t="s">
        <v>173</v>
      </c>
      <c r="E102" s="7" t="n">
        <v>0.18795</v>
      </c>
      <c r="G102" s="8" t="s">
        <v>115</v>
      </c>
      <c r="H102" s="8" t="s">
        <v>347</v>
      </c>
      <c r="I102" s="8" t="s">
        <v>348</v>
      </c>
    </row>
    <row r="103" customFormat="false" ht="17.15" hidden="false" customHeight="false" outlineLevel="0" collapsed="false">
      <c r="A103" s="1" t="s">
        <v>349</v>
      </c>
    </row>
    <row r="104" customFormat="false" ht="17.15" hidden="false" customHeight="false" outlineLevel="0" collapsed="false">
      <c r="A104" s="10" t="s">
        <v>350</v>
      </c>
      <c r="B104" s="11" t="s">
        <v>351</v>
      </c>
      <c r="C104" s="10" t="s">
        <v>110</v>
      </c>
      <c r="D104" s="10"/>
      <c r="E104" s="12" t="n">
        <v>0.1</v>
      </c>
      <c r="F104" s="10"/>
      <c r="G104" s="10" t="s">
        <v>77</v>
      </c>
      <c r="H104" s="10" t="s">
        <v>352</v>
      </c>
      <c r="I104" s="10" t="s">
        <v>353</v>
      </c>
    </row>
    <row r="105" customFormat="false" ht="17.15" hidden="false" customHeight="false" outlineLevel="0" collapsed="false">
      <c r="A105" s="10" t="s">
        <v>354</v>
      </c>
      <c r="B105" s="11" t="s">
        <v>355</v>
      </c>
      <c r="C105" s="10" t="s">
        <v>110</v>
      </c>
      <c r="D105" s="10"/>
      <c r="E105" s="12" t="n">
        <v>0.04</v>
      </c>
      <c r="F105" s="10"/>
      <c r="G105" s="10" t="s">
        <v>77</v>
      </c>
      <c r="H105" s="10" t="s">
        <v>356</v>
      </c>
      <c r="I105" s="10" t="s">
        <v>140</v>
      </c>
    </row>
    <row r="106" customFormat="false" ht="17.15" hidden="false" customHeight="false" outlineLevel="0" collapsed="false">
      <c r="A106" s="10" t="s">
        <v>357</v>
      </c>
      <c r="B106" s="10" t="s">
        <v>358</v>
      </c>
      <c r="C106" s="10" t="s">
        <v>110</v>
      </c>
      <c r="D106" s="10"/>
      <c r="E106" s="12" t="n">
        <v>0.2</v>
      </c>
      <c r="F106" s="10"/>
      <c r="G106" s="10" t="s">
        <v>77</v>
      </c>
      <c r="H106" s="11" t="s">
        <v>359</v>
      </c>
      <c r="I106" s="11" t="s">
        <v>360</v>
      </c>
    </row>
    <row r="107" customFormat="false" ht="17.15" hidden="false" customHeight="false" outlineLevel="0" collapsed="false">
      <c r="A107" s="10" t="s">
        <v>361</v>
      </c>
      <c r="B107" s="11" t="s">
        <v>362</v>
      </c>
      <c r="C107" s="10" t="s">
        <v>110</v>
      </c>
      <c r="D107" s="10"/>
      <c r="E107" s="12" t="n">
        <v>0.5</v>
      </c>
      <c r="F107" s="10"/>
      <c r="G107" s="10" t="s">
        <v>77</v>
      </c>
      <c r="H107" s="10" t="s">
        <v>363</v>
      </c>
      <c r="I107" s="10" t="s">
        <v>140</v>
      </c>
    </row>
    <row r="108" customFormat="false" ht="17.15" hidden="false" customHeight="false" outlineLevel="0" collapsed="false">
      <c r="A108" s="10" t="s">
        <v>364</v>
      </c>
      <c r="B108" s="11" t="s">
        <v>365</v>
      </c>
      <c r="C108" s="10" t="s">
        <v>110</v>
      </c>
      <c r="D108" s="10"/>
      <c r="E108" s="10" t="n">
        <f aca="false">tp_g+0.02</f>
        <v>0.06</v>
      </c>
      <c r="F108" s="10"/>
      <c r="G108" s="10" t="s">
        <v>77</v>
      </c>
      <c r="H108" s="11" t="s">
        <v>366</v>
      </c>
      <c r="I108" s="10" t="s">
        <v>367</v>
      </c>
    </row>
    <row r="109" customFormat="false" ht="17.15" hidden="false" customHeight="false" outlineLevel="0" collapsed="false">
      <c r="A109" s="10" t="s">
        <v>368</v>
      </c>
      <c r="B109" s="11" t="s">
        <v>369</v>
      </c>
      <c r="C109" s="10" t="s">
        <v>110</v>
      </c>
      <c r="D109" s="10"/>
      <c r="E109" s="10" t="n">
        <f aca="false">tp_g</f>
        <v>0.04</v>
      </c>
      <c r="F109" s="10"/>
      <c r="G109" s="10" t="s">
        <v>77</v>
      </c>
      <c r="H109" s="11" t="s">
        <v>39</v>
      </c>
      <c r="I109" s="10" t="s">
        <v>140</v>
      </c>
    </row>
    <row r="110" customFormat="false" ht="17.15" hidden="false" customHeight="false" outlineLevel="0" collapsed="false">
      <c r="A110" s="10" t="s">
        <v>370</v>
      </c>
      <c r="B110" s="11" t="s">
        <v>371</v>
      </c>
      <c r="C110" s="10" t="s">
        <v>110</v>
      </c>
      <c r="D110" s="10"/>
      <c r="E110" s="10" t="n">
        <f aca="false">tp_g-0.02</f>
        <v>0.02</v>
      </c>
      <c r="F110" s="10"/>
      <c r="G110" s="10" t="s">
        <v>77</v>
      </c>
      <c r="H110" s="11" t="s">
        <v>39</v>
      </c>
      <c r="I110" s="10" t="s">
        <v>140</v>
      </c>
    </row>
    <row r="111" customFormat="false" ht="17.15" hidden="false" customHeight="false" outlineLevel="0" collapsed="false">
      <c r="A111" s="10" t="s">
        <v>372</v>
      </c>
      <c r="B111" s="11" t="s">
        <v>373</v>
      </c>
      <c r="C111" s="10" t="s">
        <v>110</v>
      </c>
      <c r="D111" s="10"/>
      <c r="E111" s="13" t="n">
        <f aca="false">PL!$G$89</f>
        <v>0.458927584753364</v>
      </c>
      <c r="F111" s="10"/>
      <c r="G111" s="10" t="s">
        <v>34</v>
      </c>
      <c r="H111" s="10" t="s">
        <v>374</v>
      </c>
      <c r="I111" s="10" t="s">
        <v>140</v>
      </c>
    </row>
    <row r="112" customFormat="false" ht="17.15" hidden="false" customHeight="false" outlineLevel="0" collapsed="false">
      <c r="A112" s="10" t="s">
        <v>375</v>
      </c>
      <c r="B112" s="11" t="s">
        <v>376</v>
      </c>
      <c r="C112" s="10" t="s">
        <v>110</v>
      </c>
      <c r="D112" s="10"/>
      <c r="E112" s="10" t="n">
        <f aca="false">(PL!$G$124+PL!$G$124*0.8)/2</f>
        <v>0.407243880887559</v>
      </c>
      <c r="F112" s="10"/>
      <c r="G112" s="10" t="s">
        <v>77</v>
      </c>
      <c r="H112" s="11" t="s">
        <v>377</v>
      </c>
      <c r="I112" s="10" t="s">
        <v>333</v>
      </c>
    </row>
    <row r="113" customFormat="false" ht="17.15" hidden="false" customHeight="false" outlineLevel="0" collapsed="false">
      <c r="A113" s="10" t="s">
        <v>378</v>
      </c>
      <c r="B113" s="11" t="s">
        <v>379</v>
      </c>
      <c r="C113" s="10" t="s">
        <v>110</v>
      </c>
      <c r="D113" s="10"/>
      <c r="E113" s="10" t="n">
        <f aca="false">PL!$G$159*0.8</f>
        <v>0.338010908748175</v>
      </c>
      <c r="F113" s="10"/>
      <c r="G113" s="10" t="s">
        <v>77</v>
      </c>
      <c r="H113" s="11" t="s">
        <v>380</v>
      </c>
      <c r="I113" s="10" t="s">
        <v>333</v>
      </c>
    </row>
    <row r="114" customFormat="false" ht="17.15" hidden="false" customHeight="false" outlineLevel="0" collapsed="false">
      <c r="A114" s="10" t="s">
        <v>381</v>
      </c>
      <c r="B114" s="11" t="s">
        <v>382</v>
      </c>
      <c r="C114" s="10" t="s">
        <v>178</v>
      </c>
      <c r="D114" s="10"/>
      <c r="E114" s="10" t="n">
        <f aca="false">tp_street</f>
        <v>279.09</v>
      </c>
      <c r="F114" s="10"/>
      <c r="G114" s="10" t="s">
        <v>115</v>
      </c>
      <c r="H114" s="11" t="s">
        <v>383</v>
      </c>
      <c r="I114" s="10" t="s">
        <v>384</v>
      </c>
    </row>
    <row r="115" customFormat="false" ht="17.15" hidden="false" customHeight="false" outlineLevel="0" collapsed="false">
      <c r="A115" s="10" t="s">
        <v>385</v>
      </c>
      <c r="B115" s="11" t="s">
        <v>386</v>
      </c>
      <c r="C115" s="10" t="s">
        <v>178</v>
      </c>
      <c r="D115" s="10"/>
      <c r="E115" s="10" t="n">
        <f aca="false">cons_eps28</f>
        <v>9.69</v>
      </c>
      <c r="F115" s="10"/>
      <c r="G115" s="10" t="s">
        <v>34</v>
      </c>
      <c r="H115" s="10" t="s">
        <v>387</v>
      </c>
      <c r="I115" s="11" t="s">
        <v>388</v>
      </c>
    </row>
    <row r="117" customFormat="false" ht="17.15" hidden="false" customHeight="false" outlineLevel="0" collapsed="false">
      <c r="A117" s="3" t="s">
        <v>389</v>
      </c>
    </row>
    <row r="118" customFormat="false" ht="17.15" hidden="false" customHeight="false" outlineLevel="0" collapsed="false">
      <c r="A118" s="0" t="s">
        <v>390</v>
      </c>
      <c r="B118" s="5" t="s">
        <v>391</v>
      </c>
      <c r="C118" s="0" t="s">
        <v>33</v>
      </c>
      <c r="E118" s="7" t="n">
        <v>29.753262</v>
      </c>
      <c r="G118" s="8" t="s">
        <v>34</v>
      </c>
      <c r="H118" s="8" t="s">
        <v>392</v>
      </c>
      <c r="I118" s="5" t="s">
        <v>393</v>
      </c>
    </row>
    <row r="119" customFormat="false" ht="17.15" hidden="false" customHeight="false" outlineLevel="0" collapsed="false">
      <c r="A119" s="0" t="s">
        <v>394</v>
      </c>
      <c r="B119" s="5" t="s">
        <v>395</v>
      </c>
      <c r="C119" s="0" t="s">
        <v>33</v>
      </c>
      <c r="E119" s="7" t="n">
        <v>54.688309</v>
      </c>
      <c r="G119" s="8" t="s">
        <v>34</v>
      </c>
      <c r="H119" s="8" t="s">
        <v>392</v>
      </c>
      <c r="I119" s="5" t="s">
        <v>39</v>
      </c>
    </row>
    <row r="120" customFormat="false" ht="17.15" hidden="false" customHeight="false" outlineLevel="0" collapsed="false">
      <c r="A120" s="0" t="s">
        <v>396</v>
      </c>
      <c r="B120" s="5" t="s">
        <v>397</v>
      </c>
      <c r="C120" s="0" t="s">
        <v>33</v>
      </c>
      <c r="E120" s="7" t="n">
        <v>61.21325</v>
      </c>
      <c r="G120" s="8" t="s">
        <v>34</v>
      </c>
      <c r="H120" s="8" t="s">
        <v>392</v>
      </c>
      <c r="I120" s="5" t="s">
        <v>39</v>
      </c>
    </row>
    <row r="121" customFormat="false" ht="17.15" hidden="false" customHeight="false" outlineLevel="0" collapsed="false">
      <c r="A121" s="0" t="s">
        <v>398</v>
      </c>
      <c r="B121" s="5" t="s">
        <v>399</v>
      </c>
      <c r="C121" s="0" t="s">
        <v>33</v>
      </c>
      <c r="E121" s="7" t="n">
        <v>78.80848</v>
      </c>
      <c r="G121" s="8" t="s">
        <v>34</v>
      </c>
      <c r="H121" s="8" t="s">
        <v>392</v>
      </c>
      <c r="I121" s="5" t="s">
        <v>39</v>
      </c>
    </row>
    <row r="122" customFormat="false" ht="17.15" hidden="false" customHeight="false" outlineLevel="0" collapsed="false">
      <c r="A122" s="0" t="s">
        <v>400</v>
      </c>
      <c r="B122" s="5" t="s">
        <v>401</v>
      </c>
      <c r="C122" s="0" t="s">
        <v>33</v>
      </c>
      <c r="E122" s="7" t="n">
        <v>29.753262</v>
      </c>
      <c r="G122" s="8" t="s">
        <v>34</v>
      </c>
      <c r="H122" s="8" t="s">
        <v>402</v>
      </c>
      <c r="I122" s="5" t="s">
        <v>403</v>
      </c>
    </row>
    <row r="123" customFormat="false" ht="17.15" hidden="false" customHeight="false" outlineLevel="0" collapsed="false">
      <c r="A123" s="0" t="s">
        <v>404</v>
      </c>
      <c r="B123" s="5" t="s">
        <v>405</v>
      </c>
      <c r="C123" s="0" t="s">
        <v>33</v>
      </c>
      <c r="E123" s="7" t="n">
        <v>55.252106</v>
      </c>
      <c r="G123" s="8" t="s">
        <v>34</v>
      </c>
      <c r="H123" s="8" t="s">
        <v>402</v>
      </c>
      <c r="I123" s="5" t="s">
        <v>39</v>
      </c>
    </row>
    <row r="124" customFormat="false" ht="17.15" hidden="false" customHeight="false" outlineLevel="0" collapsed="false">
      <c r="A124" s="0" t="s">
        <v>406</v>
      </c>
      <c r="B124" s="5" t="s">
        <v>407</v>
      </c>
      <c r="C124" s="0" t="s">
        <v>33</v>
      </c>
      <c r="E124" s="7" t="n">
        <v>62.50195</v>
      </c>
      <c r="G124" s="8" t="s">
        <v>34</v>
      </c>
      <c r="H124" s="8" t="s">
        <v>402</v>
      </c>
      <c r="I124" s="5" t="s">
        <v>39</v>
      </c>
    </row>
    <row r="125" customFormat="false" ht="17.15" hidden="false" customHeight="false" outlineLevel="0" collapsed="false">
      <c r="A125" s="0" t="s">
        <v>408</v>
      </c>
      <c r="B125" s="5" t="s">
        <v>409</v>
      </c>
      <c r="C125" s="0" t="s">
        <v>33</v>
      </c>
      <c r="E125" s="7" t="n">
        <v>81.01111</v>
      </c>
      <c r="G125" s="8" t="s">
        <v>34</v>
      </c>
      <c r="H125" s="8" t="s">
        <v>402</v>
      </c>
      <c r="I125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3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410</v>
      </c>
    </row>
    <row r="2" customFormat="false" ht="17.15" hidden="false" customHeight="false" outlineLevel="0" collapsed="false">
      <c r="A2" s="0" t="s">
        <v>411</v>
      </c>
    </row>
    <row r="3" customFormat="false" ht="17.15" hidden="false" customHeight="false" outlineLevel="0" collapsed="false">
      <c r="A3" s="6" t="s">
        <v>22</v>
      </c>
      <c r="B3" s="14" t="s">
        <v>412</v>
      </c>
      <c r="C3" s="14" t="s">
        <v>413</v>
      </c>
      <c r="D3" s="14" t="s">
        <v>414</v>
      </c>
      <c r="E3" s="14" t="s">
        <v>415</v>
      </c>
      <c r="F3" s="14" t="s">
        <v>416</v>
      </c>
      <c r="G3" s="14" t="s">
        <v>417</v>
      </c>
      <c r="H3" s="6" t="s">
        <v>27</v>
      </c>
      <c r="I3" s="6" t="s">
        <v>418</v>
      </c>
    </row>
    <row r="4" customFormat="false" ht="17.15" hidden="false" customHeight="false" outlineLevel="0" collapsed="false">
      <c r="A4" s="5" t="s">
        <v>419</v>
      </c>
      <c r="B4" s="15" t="n">
        <f aca="false">a25_rev_in</f>
        <v>0.436775</v>
      </c>
      <c r="C4" s="15" t="n">
        <f aca="false">a26_rev_in</f>
        <v>1.335116</v>
      </c>
      <c r="D4" s="15" t="n">
        <f aca="false">q1_rev</f>
        <v>0.479003</v>
      </c>
      <c r="E4" s="15" t="n">
        <f aca="false">q2_rev</f>
        <v>0.53</v>
      </c>
      <c r="F4" s="15" t="n">
        <f aca="false">G4-D4-E4</f>
        <v>1.4609616</v>
      </c>
      <c r="G4" s="15" t="n">
        <f aca="false">C4*(1+g27)</f>
        <v>2.4699646</v>
      </c>
      <c r="H4" s="8" t="s">
        <v>420</v>
      </c>
      <c r="I4" s="8" t="s">
        <v>421</v>
      </c>
    </row>
    <row r="5" customFormat="false" ht="17.15" hidden="false" customHeight="false" outlineLevel="0" collapsed="false">
      <c r="A5" s="5" t="s">
        <v>422</v>
      </c>
      <c r="B5" s="15" t="n">
        <f aca="false">a25_gp_in</f>
        <v>0.284103</v>
      </c>
      <c r="C5" s="15" t="n">
        <f aca="false">a26_gp_in</f>
        <v>0.909767</v>
      </c>
      <c r="D5" s="15" t="n">
        <f aca="false">q1_gp</f>
        <v>0.325795</v>
      </c>
      <c r="E5" s="15" t="n">
        <f aca="false">E4*q2_gm</f>
        <v>0.3604</v>
      </c>
      <c r="F5" s="15" t="n">
        <f aca="false">F4*gm_h2</f>
        <v>0.993453888</v>
      </c>
      <c r="G5" s="15" t="n">
        <f aca="false">D5+E5+F5</f>
        <v>1.679648888</v>
      </c>
      <c r="H5" s="8" t="s">
        <v>423</v>
      </c>
    </row>
    <row r="6" customFormat="false" ht="15" hidden="false" customHeight="false" outlineLevel="0" collapsed="false">
      <c r="A6" s="5" t="s">
        <v>424</v>
      </c>
      <c r="B6" s="16" t="n">
        <f aca="false">B5/B4</f>
        <v>0.650456184534371</v>
      </c>
      <c r="C6" s="16" t="n">
        <f aca="false">C5/C4</f>
        <v>0.681414199215649</v>
      </c>
      <c r="D6" s="16" t="n">
        <f aca="false">D5/D4</f>
        <v>0.680152316373801</v>
      </c>
      <c r="E6" s="16" t="n">
        <f aca="false">E5/E4</f>
        <v>0.68</v>
      </c>
      <c r="F6" s="16" t="n">
        <f aca="false">F5/F4</f>
        <v>0.68</v>
      </c>
      <c r="G6" s="16" t="n">
        <f aca="false">G5/G4</f>
        <v>0.680029538884889</v>
      </c>
      <c r="H6" s="8" t="s">
        <v>34</v>
      </c>
    </row>
    <row r="7" customFormat="false" ht="17.15" hidden="false" customHeight="false" outlineLevel="0" collapsed="false">
      <c r="A7" s="5" t="s">
        <v>425</v>
      </c>
      <c r="B7" s="15" t="n">
        <f aca="false">a25_opx_in</f>
        <v>0.168751</v>
      </c>
      <c r="C7" s="15" t="n">
        <f aca="false">a26_opx_in</f>
        <v>0.270945</v>
      </c>
      <c r="D7" s="15" t="n">
        <f aca="false">q1_opx</f>
        <v>0.095154</v>
      </c>
      <c r="E7" s="15" t="n">
        <f aca="false">q2_opx</f>
        <v>0.1025</v>
      </c>
      <c r="F7" s="15" t="n">
        <f aca="false">G7-D7-E7</f>
        <v>0.2087635</v>
      </c>
      <c r="G7" s="15" t="n">
        <f aca="false">C7*(1+g_opx27)</f>
        <v>0.4064175</v>
      </c>
      <c r="H7" s="8" t="s">
        <v>420</v>
      </c>
      <c r="I7" s="8" t="s">
        <v>426</v>
      </c>
    </row>
    <row r="8" customFormat="false" ht="15" hidden="false" customHeight="false" outlineLevel="0" collapsed="false">
      <c r="A8" s="5" t="s">
        <v>427</v>
      </c>
      <c r="B8" s="16" t="n">
        <f aca="false">B7/B4</f>
        <v>0.386356819872932</v>
      </c>
      <c r="C8" s="16" t="n">
        <f aca="false">C7/C4</f>
        <v>0.202937422665896</v>
      </c>
      <c r="D8" s="16" t="n">
        <f aca="false">D7/D4</f>
        <v>0.198650112838542</v>
      </c>
      <c r="E8" s="16" t="n">
        <f aca="false">E7/E4</f>
        <v>0.193396226415094</v>
      </c>
      <c r="F8" s="16" t="n">
        <f aca="false">F7/F4</f>
        <v>0.142894583950735</v>
      </c>
      <c r="G8" s="16" t="n">
        <f aca="false">G7/G4</f>
        <v>0.164543856215591</v>
      </c>
      <c r="H8" s="8" t="s">
        <v>34</v>
      </c>
    </row>
    <row r="9" customFormat="false" ht="17.15" hidden="false" customHeight="false" outlineLevel="0" collapsed="false">
      <c r="A9" s="5" t="s">
        <v>428</v>
      </c>
      <c r="B9" s="15" t="n">
        <f aca="false">B5-B7</f>
        <v>0.115352</v>
      </c>
      <c r="C9" s="15" t="n">
        <f aca="false">C5-C7</f>
        <v>0.638822</v>
      </c>
      <c r="D9" s="15" t="n">
        <f aca="false">D5-D7</f>
        <v>0.230641</v>
      </c>
      <c r="E9" s="15" t="n">
        <f aca="false">E5-E7</f>
        <v>0.2579</v>
      </c>
      <c r="F9" s="15" t="n">
        <f aca="false">F5-F7</f>
        <v>0.784690388</v>
      </c>
      <c r="G9" s="15" t="n">
        <f aca="false">G5-G7</f>
        <v>1.273231388</v>
      </c>
      <c r="H9" s="8" t="s">
        <v>34</v>
      </c>
    </row>
    <row r="10" customFormat="false" ht="17.15" hidden="false" customHeight="false" outlineLevel="0" collapsed="false">
      <c r="A10" s="5" t="s">
        <v>429</v>
      </c>
      <c r="B10" s="15" t="n">
        <f aca="false">a25_ninc_in</f>
        <v>0.017746</v>
      </c>
      <c r="C10" s="15" t="n">
        <f aca="false">a26_ninc_in</f>
        <v>0.03043</v>
      </c>
      <c r="D10" s="15" t="n">
        <f aca="false">q1_ninc</f>
        <v>0.00814</v>
      </c>
      <c r="E10" s="15" t="n">
        <f aca="false">q_oth</f>
        <v>0.007</v>
      </c>
      <c r="F10" s="15" t="n">
        <f aca="false">2*q_oth</f>
        <v>0.014</v>
      </c>
      <c r="G10" s="15" t="n">
        <f aca="false">D10+E10+F10</f>
        <v>0.02914</v>
      </c>
      <c r="H10" s="8" t="s">
        <v>430</v>
      </c>
    </row>
    <row r="11" customFormat="false" ht="15" hidden="false" customHeight="false" outlineLevel="0" collapsed="false">
      <c r="A11" s="5" t="s">
        <v>431</v>
      </c>
      <c r="B11" s="15" t="n">
        <f aca="false">B9+B10</f>
        <v>0.133098</v>
      </c>
      <c r="C11" s="15" t="n">
        <f aca="false">C9+C10</f>
        <v>0.669252</v>
      </c>
      <c r="D11" s="15" t="n">
        <f aca="false">D9+D10</f>
        <v>0.238781</v>
      </c>
      <c r="E11" s="15" t="n">
        <f aca="false">E9+E10</f>
        <v>0.2649</v>
      </c>
      <c r="F11" s="15" t="n">
        <f aca="false">F9+F10</f>
        <v>0.798690388</v>
      </c>
      <c r="G11" s="15" t="n">
        <f aca="false">G9+G10</f>
        <v>1.302371388</v>
      </c>
      <c r="H11" s="8" t="s">
        <v>34</v>
      </c>
    </row>
    <row r="12" customFormat="false" ht="17.15" hidden="false" customHeight="false" outlineLevel="0" collapsed="false">
      <c r="A12" s="5" t="s">
        <v>432</v>
      </c>
      <c r="B12" s="15" t="n">
        <f aca="false">B11-a25_ni_in</f>
        <v>0.00317199999999998</v>
      </c>
      <c r="C12" s="15" t="n">
        <f aca="false">C11-a26_ni_in</f>
        <v>0.00770899999999997</v>
      </c>
      <c r="D12" s="15" t="n">
        <f aca="false">D11-q1_ni</f>
        <v>0.00251899999999999</v>
      </c>
      <c r="E12" s="15" t="n">
        <f aca="false">E11*tx27</f>
        <v>0.0039735</v>
      </c>
      <c r="F12" s="15" t="n">
        <f aca="false">F11*tx27</f>
        <v>0.01198035582</v>
      </c>
      <c r="G12" s="15" t="n">
        <f aca="false">D12+E12+F12</f>
        <v>0.01847285582</v>
      </c>
      <c r="H12" s="8" t="s">
        <v>34</v>
      </c>
      <c r="I12" s="5" t="s">
        <v>433</v>
      </c>
    </row>
    <row r="13" customFormat="false" ht="15" hidden="false" customHeight="false" outlineLevel="0" collapsed="false">
      <c r="A13" s="5" t="s">
        <v>434</v>
      </c>
      <c r="B13" s="16" t="n">
        <f aca="false">B12/B11</f>
        <v>0.0238320635922402</v>
      </c>
      <c r="C13" s="16" t="n">
        <f aca="false">C12/C11</f>
        <v>0.0115188299773478</v>
      </c>
      <c r="D13" s="16" t="n">
        <f aca="false">D12/D11</f>
        <v>0.0105494155732659</v>
      </c>
      <c r="E13" s="16" t="n">
        <f aca="false">E12/E11</f>
        <v>0.015</v>
      </c>
      <c r="F13" s="16" t="n">
        <f aca="false">F12/F11</f>
        <v>0.015</v>
      </c>
      <c r="G13" s="16" t="n">
        <f aca="false">G12/G11</f>
        <v>0.0141840153969967</v>
      </c>
      <c r="H13" s="8" t="s">
        <v>34</v>
      </c>
    </row>
    <row r="14" customFormat="false" ht="17.15" hidden="false" customHeight="false" outlineLevel="0" collapsed="false">
      <c r="A14" s="5" t="s">
        <v>435</v>
      </c>
      <c r="B14" s="15" t="n">
        <f aca="false">a25_ni_in</f>
        <v>0.129926</v>
      </c>
      <c r="C14" s="15" t="n">
        <f aca="false">a26_ni_in</f>
        <v>0.661543</v>
      </c>
      <c r="D14" s="15" t="n">
        <f aca="false">q1_ni</f>
        <v>0.236262</v>
      </c>
      <c r="E14" s="15" t="n">
        <f aca="false">E11-E12</f>
        <v>0.2609265</v>
      </c>
      <c r="F14" s="15" t="n">
        <f aca="false">F11-F12</f>
        <v>0.78671003218</v>
      </c>
      <c r="G14" s="15" t="n">
        <f aca="false">D14+E14+F14</f>
        <v>1.28389853218</v>
      </c>
      <c r="H14" s="8" t="s">
        <v>423</v>
      </c>
    </row>
    <row r="15" customFormat="false" ht="17.15" hidden="false" customHeight="false" outlineLevel="0" collapsed="false">
      <c r="A15" s="5" t="s">
        <v>436</v>
      </c>
      <c r="B15" s="16" t="n">
        <f aca="false">B14/B4</f>
        <v>0.297466659034972</v>
      </c>
      <c r="C15" s="16" t="n">
        <f aca="false">C14/C4</f>
        <v>0.495494773487847</v>
      </c>
      <c r="D15" s="16" t="n">
        <f aca="false">D14/D4</f>
        <v>0.493236994340328</v>
      </c>
      <c r="E15" s="16" t="n">
        <f aca="false">E14/E4</f>
        <v>0.492314150943396</v>
      </c>
      <c r="F15" s="16" t="n">
        <f aca="false">F14/F4</f>
        <v>0.538487823485573</v>
      </c>
      <c r="G15" s="16" t="n">
        <f aca="false">G14/G4</f>
        <v>0.519804426419715</v>
      </c>
      <c r="H15" s="8" t="s">
        <v>34</v>
      </c>
      <c r="I15" s="5" t="s">
        <v>437</v>
      </c>
    </row>
    <row r="16" customFormat="false" ht="17.15" hidden="false" customHeight="false" outlineLevel="0" collapsed="false">
      <c r="A16" s="5" t="s">
        <v>438</v>
      </c>
      <c r="B16" s="15" t="n">
        <f aca="false">a25_sh_in</f>
        <v>0.184644</v>
      </c>
      <c r="C16" s="15" t="n">
        <f aca="false">a26_sh_in</f>
        <v>0.191256</v>
      </c>
      <c r="D16" s="15" t="n">
        <f aca="false">q1_sh</f>
        <v>0.197505</v>
      </c>
      <c r="G16" s="15" t="n">
        <f aca="false">sh_27</f>
        <v>0.199</v>
      </c>
      <c r="H16" s="8" t="s">
        <v>430</v>
      </c>
    </row>
    <row r="17" customFormat="false" ht="17.15" hidden="false" customHeight="false" outlineLevel="0" collapsed="false">
      <c r="A17" s="0" t="s">
        <v>439</v>
      </c>
      <c r="B17" s="9" t="n">
        <f aca="false">B14/B16</f>
        <v>0.703656766534521</v>
      </c>
      <c r="C17" s="9" t="n">
        <f aca="false">C14/C16</f>
        <v>3.45893985025306</v>
      </c>
      <c r="D17" s="9" t="n">
        <f aca="false">D14/D16</f>
        <v>1.19623300675932</v>
      </c>
      <c r="G17" s="9" t="n">
        <f aca="false">G14/G16</f>
        <v>6.45175141798995</v>
      </c>
      <c r="H17" s="8" t="s">
        <v>34</v>
      </c>
      <c r="I17" s="5" t="s">
        <v>440</v>
      </c>
    </row>
    <row r="18" customFormat="false" ht="17.15" hidden="false" customHeight="false" outlineLevel="0" collapsed="false">
      <c r="A18" s="5" t="s">
        <v>441</v>
      </c>
      <c r="C18" s="15" t="n">
        <f aca="false">opt_26</f>
        <v>0.15</v>
      </c>
      <c r="G18" s="15" t="n">
        <f aca="false">opt_27</f>
        <v>0.6</v>
      </c>
      <c r="H18" s="8" t="s">
        <v>442</v>
      </c>
    </row>
    <row r="19" customFormat="false" ht="17.15" hidden="false" customHeight="false" outlineLevel="0" collapsed="false">
      <c r="A19" s="5" t="s">
        <v>443</v>
      </c>
      <c r="C19" s="15" t="n">
        <f aca="false">C4*oth_s</f>
        <v>0.09345812</v>
      </c>
      <c r="G19" s="15" t="n">
        <f aca="false">C19*(1+g_oth)</f>
        <v>0.107476838</v>
      </c>
      <c r="H19" s="8" t="s">
        <v>77</v>
      </c>
    </row>
    <row r="20" customFormat="false" ht="17.15" hidden="false" customHeight="false" outlineLevel="0" collapsed="false">
      <c r="A20" s="0" t="s">
        <v>444</v>
      </c>
      <c r="C20" s="15" t="n">
        <f aca="false">C4-C18-C19</f>
        <v>1.09165788</v>
      </c>
      <c r="G20" s="15" t="n">
        <f aca="false">G4-G18-G19</f>
        <v>1.762487762</v>
      </c>
      <c r="H20" s="8" t="s">
        <v>34</v>
      </c>
    </row>
    <row r="21" customFormat="false" ht="17.15" hidden="false" customHeight="false" outlineLevel="0" collapsed="false">
      <c r="A21" s="0" t="s">
        <v>445</v>
      </c>
      <c r="C21" s="16" t="n">
        <f aca="false">C20/C4</f>
        <v>0.817650211667001</v>
      </c>
      <c r="G21" s="16" t="n">
        <f aca="false">G20/G4</f>
        <v>0.713568025225949</v>
      </c>
      <c r="H21" s="8" t="s">
        <v>34</v>
      </c>
      <c r="I21" s="5" t="s">
        <v>446</v>
      </c>
    </row>
    <row r="23" customFormat="false" ht="17.15" hidden="false" customHeight="false" outlineLevel="0" collapsed="false">
      <c r="A23" s="1" t="s">
        <v>447</v>
      </c>
    </row>
    <row r="24" customFormat="false" ht="17.15" hidden="false" customHeight="false" outlineLevel="0" collapsed="false">
      <c r="A24" s="0" t="s">
        <v>448</v>
      </c>
      <c r="B24" s="16" t="n">
        <f aca="false">G4/cons_rev27-1</f>
        <v>-0.01201416</v>
      </c>
    </row>
    <row r="25" customFormat="false" ht="17.15" hidden="false" customHeight="false" outlineLevel="0" collapsed="false">
      <c r="A25" s="0" t="s">
        <v>449</v>
      </c>
      <c r="B25" s="16" t="n">
        <f aca="false">G17/cons_eps27-1</f>
        <v>0.0224645670348573</v>
      </c>
    </row>
    <row r="26" customFormat="false" ht="17.15" hidden="false" customHeight="false" outlineLevel="0" collapsed="false">
      <c r="A26" s="0" t="s">
        <v>450</v>
      </c>
      <c r="B26" s="16" t="n">
        <f aca="false">G4/C4-1</f>
        <v>0.85</v>
      </c>
    </row>
    <row r="27" customFormat="false" ht="17.15" hidden="false" customHeight="false" outlineLevel="0" collapsed="false">
      <c r="A27" s="0" t="s">
        <v>451</v>
      </c>
      <c r="B27" s="16" t="n">
        <f aca="false">G7/C7-1</f>
        <v>0.5</v>
      </c>
    </row>
    <row r="28" customFormat="false" ht="17.15" hidden="false" customHeight="false" outlineLevel="0" collapsed="false">
      <c r="A28" s="5" t="s">
        <v>452</v>
      </c>
      <c r="B28" s="9" t="n">
        <f aca="false">B27/B26</f>
        <v>0.588235294117647</v>
      </c>
    </row>
    <row r="29" customFormat="false" ht="17.15" hidden="false" customHeight="false" outlineLevel="0" collapsed="false">
      <c r="A29" s="0" t="s">
        <v>453</v>
      </c>
      <c r="B29" s="16" t="n">
        <f aca="false">D17/q1_eps-1</f>
        <v>-0.00313916103389789</v>
      </c>
    </row>
    <row r="30" customFormat="false" ht="17.15" hidden="false" customHeight="false" outlineLevel="0" collapsed="false">
      <c r="A30" s="0" t="s">
        <v>454</v>
      </c>
      <c r="B30" s="16" t="n">
        <f aca="false">G20/C20-1</f>
        <v>0.614505601333634</v>
      </c>
    </row>
    <row r="31" customFormat="false" ht="17.15" hidden="false" customHeight="false" outlineLevel="0" collapsed="false">
      <c r="A31" s="0" t="s">
        <v>455</v>
      </c>
      <c r="B31" s="16" t="n">
        <f aca="false">F4/2/E4-1</f>
        <v>0.378265660377358</v>
      </c>
    </row>
    <row r="33" customFormat="false" ht="15" hidden="false" customHeight="false" outlineLevel="0" collapsed="false">
      <c r="A33" s="3" t="s">
        <v>456</v>
      </c>
      <c r="C33" s="17" t="n">
        <f aca="false">ROUND(C18+C19+C20-C4,6)</f>
        <v>0</v>
      </c>
    </row>
    <row r="34" customFormat="false" ht="17.15" hidden="false" customHeight="false" outlineLevel="0" collapsed="false">
      <c r="A34" s="5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0" t="s">
        <v>458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14" t="s">
        <v>459</v>
      </c>
      <c r="D3" s="14" t="s">
        <v>460</v>
      </c>
      <c r="E3" s="14" t="s">
        <v>461</v>
      </c>
      <c r="F3" s="6" t="s">
        <v>418</v>
      </c>
    </row>
    <row r="4" customFormat="false" ht="17.15" hidden="false" customHeight="false" outlineLevel="0" collapsed="false">
      <c r="A4" s="0" t="s">
        <v>462</v>
      </c>
      <c r="B4" s="0" t="s">
        <v>33</v>
      </c>
      <c r="C4" s="18" t="n">
        <f aca="false">PL!E63</f>
        <v>34.3390133333333</v>
      </c>
      <c r="D4" s="18" t="n">
        <f aca="false">PL!F63</f>
        <v>53.8666133333333</v>
      </c>
      <c r="E4" s="18" t="n">
        <f aca="false">PL!G63</f>
        <v>59.9622446666667</v>
      </c>
      <c r="F4" s="8" t="s">
        <v>463</v>
      </c>
    </row>
    <row r="5" customFormat="false" ht="17.15" hidden="false" customHeight="false" outlineLevel="0" collapsed="false">
      <c r="A5" s="5" t="s">
        <v>464</v>
      </c>
      <c r="B5" s="0" t="s">
        <v>33</v>
      </c>
      <c r="C5" s="18" t="n">
        <f aca="false">w8*mso_26+(1-w8)*mso_27</f>
        <v>18.0694333333333</v>
      </c>
      <c r="D5" s="18" t="n">
        <f aca="false">w8*mso_27+(1-w8)*mso_28</f>
        <v>27.5836333333333</v>
      </c>
      <c r="E5" s="18" t="n">
        <f aca="false">w8*mso_28+(1-w8)*mso_29</f>
        <v>31.1999166666667</v>
      </c>
      <c r="F5" s="5" t="s">
        <v>465</v>
      </c>
    </row>
    <row r="6" customFormat="false" ht="17.15" hidden="false" customHeight="false" outlineLevel="0" collapsed="false">
      <c r="A6" s="0" t="s">
        <v>466</v>
      </c>
      <c r="B6" s="0" t="s">
        <v>33</v>
      </c>
      <c r="C6" s="19" t="n">
        <f aca="false">PL!E67</f>
        <v>1.762487762</v>
      </c>
      <c r="D6" s="19" t="n">
        <f aca="false">PL!F67</f>
        <v>2.7647633861462</v>
      </c>
      <c r="E6" s="19" t="n">
        <f aca="false">PL!G67</f>
        <v>2.92374697292887</v>
      </c>
      <c r="F6" s="8" t="s">
        <v>467</v>
      </c>
    </row>
    <row r="7" customFormat="false" ht="17.15" hidden="false" customHeight="false" outlineLevel="0" collapsed="false">
      <c r="A7" s="0" t="s">
        <v>468</v>
      </c>
      <c r="B7" s="0" t="s">
        <v>110</v>
      </c>
      <c r="C7" s="20" t="n">
        <f aca="false">PL!E66</f>
        <v>0.0513261037785594</v>
      </c>
      <c r="D7" s="20" t="n">
        <f aca="false">PL!F66</f>
        <v>0.0513261037785594</v>
      </c>
      <c r="E7" s="20" t="n">
        <f aca="false">PL!G66</f>
        <v>0.0487597985896314</v>
      </c>
      <c r="F7" s="8" t="s">
        <v>469</v>
      </c>
    </row>
    <row r="8" customFormat="false" ht="17.15" hidden="false" customHeight="false" outlineLevel="0" collapsed="false">
      <c r="A8" s="0" t="s">
        <v>470</v>
      </c>
      <c r="B8" s="0" t="s">
        <v>110</v>
      </c>
      <c r="C8" s="16" t="n">
        <f aca="false">PL!E67/C5</f>
        <v>0.097539736276548</v>
      </c>
      <c r="D8" s="16" t="n">
        <f aca="false">PL!F67/D5</f>
        <v>0.100232023560331</v>
      </c>
      <c r="E8" s="16" t="n">
        <f aca="false">PL!G67/E5</f>
        <v>0.0937100891699668</v>
      </c>
      <c r="F8" s="5" t="s">
        <v>471</v>
      </c>
    </row>
    <row r="9" customFormat="false" ht="17.15" hidden="false" customHeight="false" outlineLevel="0" collapsed="false">
      <c r="A9" s="5" t="s">
        <v>472</v>
      </c>
      <c r="B9" s="0" t="s">
        <v>110</v>
      </c>
      <c r="C9" s="16" t="n">
        <f aca="false">PL!E66/cr_aec_sh</f>
        <v>0.0684348050380791</v>
      </c>
      <c r="D9" s="16" t="n">
        <f aca="false">PL!F66/cr_aec_sh</f>
        <v>0.0684348050380791</v>
      </c>
      <c r="E9" s="16" t="n">
        <f aca="false">PL!G66/cr_aec_sh</f>
        <v>0.0650130647861752</v>
      </c>
      <c r="F9" s="8" t="s">
        <v>473</v>
      </c>
    </row>
    <row r="10" customFormat="false" ht="17.15" hidden="false" customHeight="false" outlineLevel="0" collapsed="false">
      <c r="A10" s="0" t="s">
        <v>474</v>
      </c>
      <c r="B10" s="0" t="s">
        <v>33</v>
      </c>
      <c r="C10" s="18" t="n">
        <f aca="false">PL!E69</f>
        <v>37.6890796666667</v>
      </c>
      <c r="D10" s="18" t="n">
        <f aca="false">PL!F69</f>
        <v>55.0376433333333</v>
      </c>
      <c r="E10" s="18" t="n">
        <f aca="false">PL!G69</f>
        <v>62.9726</v>
      </c>
      <c r="F10" s="8" t="s">
        <v>475</v>
      </c>
    </row>
    <row r="11" customFormat="false" ht="17.15" hidden="false" customHeight="false" outlineLevel="0" collapsed="false">
      <c r="A11" s="0" t="s">
        <v>476</v>
      </c>
      <c r="B11" s="0" t="s">
        <v>33</v>
      </c>
      <c r="C11" s="19" t="n">
        <f aca="false">PL!E72</f>
        <v>0.6</v>
      </c>
      <c r="D11" s="19" t="n">
        <f aca="false">PL!F72</f>
        <v>1.04103930516716</v>
      </c>
      <c r="E11" s="19" t="n">
        <f aca="false">PL!G72</f>
        <v>1.3400205068823</v>
      </c>
    </row>
    <row r="12" customFormat="false" ht="17.15" hidden="false" customHeight="false" outlineLevel="0" collapsed="false">
      <c r="A12" s="0" t="s">
        <v>477</v>
      </c>
      <c r="B12" s="0" t="s">
        <v>110</v>
      </c>
      <c r="C12" s="20" t="n">
        <f aca="false">PL!E72/PL!E69</f>
        <v>0.0159197307365045</v>
      </c>
      <c r="D12" s="20" t="n">
        <f aca="false">PL!F72/PL!F69</f>
        <v>0.0189150414537582</v>
      </c>
      <c r="E12" s="20" t="n">
        <f aca="false">PL!G72/PL!G69</f>
        <v>0.021279421635478</v>
      </c>
      <c r="F12" s="5" t="s">
        <v>478</v>
      </c>
    </row>
    <row r="13" customFormat="false" ht="17.15" hidden="false" customHeight="false" outlineLevel="0" collapsed="false">
      <c r="A13" s="0" t="s">
        <v>479</v>
      </c>
      <c r="B13" s="0" t="s">
        <v>110</v>
      </c>
      <c r="C13" s="20" t="n">
        <f aca="false">PL!E75/(w8*itc_26+(1-w8)*itc_27)</f>
        <v>0.00236806227571064</v>
      </c>
      <c r="D13" s="20" t="n">
        <f aca="false">PL!F75/(w8*itc_27+(1-w8)*itc_28)</f>
        <v>0.00230465032033702</v>
      </c>
      <c r="E13" s="20" t="n">
        <f aca="false">PL!G75/(w8*itc_28+(1-w8)*itc_29)</f>
        <v>0.00212199240322477</v>
      </c>
      <c r="F13" s="8" t="s">
        <v>480</v>
      </c>
    </row>
    <row r="15" customFormat="false" ht="17.15" hidden="false" customHeight="false" outlineLevel="0" collapsed="false">
      <c r="A15" s="3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482</v>
      </c>
    </row>
    <row r="2" customFormat="false" ht="17.15" hidden="false" customHeight="false" outlineLevel="0" collapsed="false">
      <c r="A2" s="5" t="s">
        <v>483</v>
      </c>
    </row>
    <row r="3" customFormat="false" ht="17.15" hidden="false" customHeight="false" outlineLevel="0" collapsed="false">
      <c r="A3" s="6" t="s">
        <v>484</v>
      </c>
      <c r="B3" s="6" t="s">
        <v>23</v>
      </c>
      <c r="C3" s="14" t="s">
        <v>412</v>
      </c>
      <c r="D3" s="14" t="s">
        <v>413</v>
      </c>
      <c r="E3" s="14" t="s">
        <v>459</v>
      </c>
      <c r="F3" s="14" t="s">
        <v>460</v>
      </c>
      <c r="G3" s="14" t="s">
        <v>461</v>
      </c>
      <c r="H3" s="14" t="s">
        <v>485</v>
      </c>
      <c r="I3" s="14" t="s">
        <v>486</v>
      </c>
      <c r="J3" s="14" t="s">
        <v>487</v>
      </c>
      <c r="K3" s="6" t="s">
        <v>418</v>
      </c>
    </row>
    <row r="4" customFormat="false" ht="17.15" hidden="false" customHeight="false" outlineLevel="0" collapsed="false">
      <c r="A4" s="3" t="s">
        <v>488</v>
      </c>
    </row>
    <row r="5" customFormat="false" ht="15" hidden="false" customHeight="false" outlineLevel="0" collapsed="false">
      <c r="A5" s="5" t="s">
        <v>419</v>
      </c>
      <c r="B5" s="0" t="s">
        <v>33</v>
      </c>
      <c r="C5" s="19" t="n">
        <f aca="false">C75</f>
        <v>0.436775</v>
      </c>
      <c r="D5" s="19" t="n">
        <f aca="false">D75</f>
        <v>1.335116</v>
      </c>
      <c r="E5" s="19" t="n">
        <f aca="false">E75</f>
        <v>2.4699646</v>
      </c>
      <c r="F5" s="19" t="n">
        <f aca="false">F75</f>
        <v>3.92940105501336</v>
      </c>
      <c r="G5" s="19" t="n">
        <f aca="false">G75</f>
        <v>4.40590559806617</v>
      </c>
      <c r="H5" s="21" t="n">
        <f aca="false">H75</f>
        <v>4.85021608376713</v>
      </c>
      <c r="I5" s="21" t="n">
        <f aca="false">I75</f>
        <v>5.24028090008546</v>
      </c>
      <c r="J5" s="21" t="n">
        <f aca="false">J75</f>
        <v>5.55469775409058</v>
      </c>
    </row>
    <row r="6" customFormat="false" ht="15" hidden="false" customHeight="false" outlineLevel="0" collapsed="false">
      <c r="A6" s="5" t="s">
        <v>489</v>
      </c>
      <c r="B6" s="0" t="s">
        <v>110</v>
      </c>
      <c r="D6" s="16" t="n">
        <f aca="false">D76</f>
        <v>2.05675920096159</v>
      </c>
      <c r="E6" s="16" t="n">
        <f aca="false">E76</f>
        <v>0.85</v>
      </c>
      <c r="F6" s="16" t="n">
        <f aca="false">F76</f>
        <v>0.590873429932298</v>
      </c>
      <c r="G6" s="16" t="n">
        <f aca="false">G76</f>
        <v>0.121266456740235</v>
      </c>
      <c r="H6" s="22" t="n">
        <f aca="false">H76</f>
        <v>0.10084430449349</v>
      </c>
      <c r="I6" s="22" t="n">
        <f aca="false">I76</f>
        <v>0.080422152246745</v>
      </c>
      <c r="J6" s="22" t="n">
        <f aca="false">J76</f>
        <v>0.06</v>
      </c>
    </row>
    <row r="7" customFormat="false" ht="17.15" hidden="false" customHeight="false" outlineLevel="0" collapsed="false">
      <c r="A7" s="0" t="s">
        <v>490</v>
      </c>
      <c r="B7" s="0" t="s">
        <v>33</v>
      </c>
      <c r="D7" s="19" t="n">
        <f aca="false">D67</f>
        <v>1.09165788</v>
      </c>
      <c r="E7" s="19" t="n">
        <f aca="false">E67</f>
        <v>1.762487762</v>
      </c>
      <c r="F7" s="19" t="n">
        <f aca="false">F67</f>
        <v>2.7647633861462</v>
      </c>
      <c r="G7" s="19" t="n">
        <f aca="false">G67</f>
        <v>2.92374697292887</v>
      </c>
    </row>
    <row r="8" customFormat="false" ht="15" hidden="false" customHeight="false" outlineLevel="0" collapsed="false">
      <c r="A8" s="5" t="s">
        <v>491</v>
      </c>
      <c r="B8" s="0" t="s">
        <v>33</v>
      </c>
      <c r="D8" s="19" t="n">
        <f aca="false">D72</f>
        <v>0.15</v>
      </c>
      <c r="E8" s="19" t="n">
        <f aca="false">E72</f>
        <v>0.6</v>
      </c>
      <c r="F8" s="19" t="n">
        <f aca="false">F72</f>
        <v>1.04103930516716</v>
      </c>
      <c r="G8" s="19" t="n">
        <f aca="false">G72</f>
        <v>1.3400205068823</v>
      </c>
    </row>
    <row r="9" customFormat="false" ht="17.15" hidden="false" customHeight="false" outlineLevel="0" collapsed="false">
      <c r="A9" s="5" t="s">
        <v>492</v>
      </c>
      <c r="B9" s="0" t="s">
        <v>33</v>
      </c>
      <c r="D9" s="19" t="n">
        <f aca="false">D74</f>
        <v>0.09345812</v>
      </c>
      <c r="E9" s="19" t="n">
        <f aca="false">E74</f>
        <v>0.107476838</v>
      </c>
      <c r="F9" s="19" t="n">
        <f aca="false">F74</f>
        <v>0.1235983637</v>
      </c>
      <c r="G9" s="19" t="n">
        <f aca="false">G74</f>
        <v>0.142138118255</v>
      </c>
    </row>
    <row r="10" customFormat="false" ht="15" hidden="false" customHeight="false" outlineLevel="0" collapsed="false">
      <c r="A10" s="5" t="s">
        <v>424</v>
      </c>
      <c r="B10" s="0" t="s">
        <v>110</v>
      </c>
      <c r="C10" s="16" t="n">
        <f aca="false">C80</f>
        <v>0.650456184534371</v>
      </c>
      <c r="D10" s="16" t="n">
        <f aca="false">D80</f>
        <v>0.681414199215649</v>
      </c>
      <c r="E10" s="16" t="n">
        <f aca="false">E80</f>
        <v>0.680029538884889</v>
      </c>
      <c r="F10" s="16" t="n">
        <f aca="false">F80</f>
        <v>0.67</v>
      </c>
      <c r="G10" s="16" t="n">
        <f aca="false">G80</f>
        <v>0.66</v>
      </c>
    </row>
    <row r="11" customFormat="false" ht="15" hidden="false" customHeight="false" outlineLevel="0" collapsed="false">
      <c r="A11" s="5" t="s">
        <v>493</v>
      </c>
      <c r="B11" s="0" t="s">
        <v>110</v>
      </c>
      <c r="C11" s="16" t="n">
        <f aca="false">C85</f>
        <v>0.264099364661439</v>
      </c>
      <c r="D11" s="16" t="n">
        <f aca="false">D85</f>
        <v>0.478476776549753</v>
      </c>
      <c r="E11" s="16" t="n">
        <f aca="false">E85</f>
        <v>0.515485682669298</v>
      </c>
      <c r="F11" s="16" t="n">
        <f aca="false">F85</f>
        <v>0.530620720087544</v>
      </c>
      <c r="G11" s="16" t="n">
        <f aca="false">G85</f>
        <v>0.526827683609735</v>
      </c>
    </row>
    <row r="12" customFormat="false" ht="15" hidden="false" customHeight="false" outlineLevel="0" collapsed="false">
      <c r="A12" s="5" t="s">
        <v>436</v>
      </c>
      <c r="B12" s="0" t="s">
        <v>110</v>
      </c>
      <c r="C12" s="16" t="n">
        <f aca="false">C89</f>
        <v>0.297466659034972</v>
      </c>
      <c r="D12" s="16" t="n">
        <f aca="false">D89</f>
        <v>0.495494773487847</v>
      </c>
      <c r="E12" s="16" t="n">
        <f aca="false">E89</f>
        <v>0.519804426419715</v>
      </c>
      <c r="F12" s="16" t="n">
        <f aca="false">F89</f>
        <v>0.46828226014857</v>
      </c>
      <c r="G12" s="16" t="n">
        <f aca="false">G89</f>
        <v>0.458927584753364</v>
      </c>
      <c r="H12" s="22" t="n">
        <f aca="false">H89</f>
        <v>0.458927584753364</v>
      </c>
      <c r="I12" s="22" t="n">
        <f aca="false">I89</f>
        <v>0.458927584753364</v>
      </c>
      <c r="J12" s="22" t="n">
        <f aca="false">J89</f>
        <v>0.458927584753364</v>
      </c>
    </row>
    <row r="13" customFormat="false" ht="15" hidden="false" customHeight="false" outlineLevel="0" collapsed="false">
      <c r="A13" s="5" t="s">
        <v>494</v>
      </c>
      <c r="B13" s="0" t="s">
        <v>33</v>
      </c>
      <c r="C13" s="19" t="n">
        <f aca="false">C88</f>
        <v>0.129926</v>
      </c>
      <c r="D13" s="19" t="n">
        <f aca="false">D88</f>
        <v>0.661543</v>
      </c>
      <c r="E13" s="19" t="n">
        <f aca="false">E88</f>
        <v>1.28389853218</v>
      </c>
      <c r="F13" s="19" t="n">
        <f aca="false">F88</f>
        <v>1.84006880707183</v>
      </c>
      <c r="G13" s="19" t="n">
        <f aca="false">G88</f>
        <v>2.02199161477183</v>
      </c>
      <c r="H13" s="21" t="n">
        <f aca="false">H88</f>
        <v>2.22589795285517</v>
      </c>
      <c r="I13" s="21" t="n">
        <f aca="false">I88</f>
        <v>2.4049094569054</v>
      </c>
      <c r="J13" s="21" t="n">
        <f aca="false">J88</f>
        <v>2.54920402431973</v>
      </c>
    </row>
    <row r="14" customFormat="false" ht="17.15" hidden="false" customHeight="false" outlineLevel="0" collapsed="false">
      <c r="A14" s="0" t="s">
        <v>439</v>
      </c>
      <c r="B14" s="0" t="s">
        <v>178</v>
      </c>
      <c r="C14" s="9" t="n">
        <f aca="false">C91</f>
        <v>0.703656766534521</v>
      </c>
      <c r="D14" s="9" t="n">
        <f aca="false">D91</f>
        <v>3.45893985025306</v>
      </c>
      <c r="E14" s="9" t="n">
        <f aca="false">E91</f>
        <v>6.45175141798995</v>
      </c>
      <c r="F14" s="9" t="n">
        <f aca="false">F91</f>
        <v>9.10992799995955</v>
      </c>
      <c r="G14" s="9" t="n">
        <f aca="false">G91</f>
        <v>9.86266289720744</v>
      </c>
      <c r="H14" s="23" t="n">
        <f aca="false">H91</f>
        <v>10.6968042143153</v>
      </c>
      <c r="I14" s="23" t="n">
        <f aca="false">I91</f>
        <v>11.386270178712</v>
      </c>
      <c r="J14" s="23" t="n">
        <f aca="false">J91</f>
        <v>11.8910801866352</v>
      </c>
    </row>
    <row r="15" customFormat="false" ht="17.15" hidden="false" customHeight="false" outlineLevel="0" collapsed="false">
      <c r="A15" s="0" t="s">
        <v>495</v>
      </c>
      <c r="B15" s="0" t="s">
        <v>110</v>
      </c>
      <c r="D15" s="16" t="n">
        <f aca="false">D92</f>
        <v>3.91566345235077</v>
      </c>
      <c r="E15" s="16" t="n">
        <f aca="false">E92</f>
        <v>0.865239552378433</v>
      </c>
      <c r="F15" s="16" t="n">
        <f aca="false">F92</f>
        <v>0.412008524469432</v>
      </c>
      <c r="G15" s="16" t="n">
        <f aca="false">G92</f>
        <v>0.0826279743650253</v>
      </c>
      <c r="H15" s="22" t="n">
        <f aca="false">H92</f>
        <v>0.0845756694517146</v>
      </c>
      <c r="I15" s="22" t="n">
        <f aca="false">I92</f>
        <v>0.0644553224105859</v>
      </c>
      <c r="J15" s="22" t="n">
        <f aca="false">J92</f>
        <v>0.0443349753694584</v>
      </c>
    </row>
    <row r="17" customFormat="false" ht="17.15" hidden="false" customHeight="false" outlineLevel="0" collapsed="false">
      <c r="A17" s="3" t="s">
        <v>496</v>
      </c>
    </row>
    <row r="18" customFormat="false" ht="15" hidden="false" customHeight="false" outlineLevel="0" collapsed="false">
      <c r="A18" s="5" t="s">
        <v>419</v>
      </c>
      <c r="B18" s="0" t="s">
        <v>33</v>
      </c>
      <c r="C18" s="19" t="n">
        <f aca="false">C110</f>
        <v>0.436775</v>
      </c>
      <c r="D18" s="19" t="n">
        <f aca="false">D110</f>
        <v>1.335116</v>
      </c>
      <c r="E18" s="19" t="n">
        <f aca="false">E110</f>
        <v>2.4699646</v>
      </c>
      <c r="F18" s="19" t="n">
        <f aca="false">F110</f>
        <v>3.68326046676117</v>
      </c>
      <c r="G18" s="19" t="n">
        <f aca="false">G110</f>
        <v>3.70052914979096</v>
      </c>
      <c r="H18" s="21" t="n">
        <f aca="false">H110</f>
        <v>3.76143596906832</v>
      </c>
      <c r="I18" s="21" t="n">
        <f aca="false">I110</f>
        <v>3.86761932919401</v>
      </c>
      <c r="J18" s="21" t="n">
        <f aca="false">J110</f>
        <v>4.02232410236177</v>
      </c>
    </row>
    <row r="19" customFormat="false" ht="15" hidden="false" customHeight="false" outlineLevel="0" collapsed="false">
      <c r="A19" s="5" t="s">
        <v>489</v>
      </c>
      <c r="B19" s="0" t="s">
        <v>110</v>
      </c>
      <c r="D19" s="16" t="n">
        <f aca="false">D111</f>
        <v>2.05675920096159</v>
      </c>
      <c r="E19" s="16" t="n">
        <f aca="false">E111</f>
        <v>0.85</v>
      </c>
      <c r="F19" s="16" t="n">
        <f aca="false">F111</f>
        <v>0.49121994167899</v>
      </c>
      <c r="G19" s="16" t="n">
        <f aca="false">G111</f>
        <v>0.00468842298437155</v>
      </c>
      <c r="H19" s="22" t="n">
        <f aca="false">H111</f>
        <v>0.0164589486562477</v>
      </c>
      <c r="I19" s="22" t="n">
        <f aca="false">I111</f>
        <v>0.0282294743281239</v>
      </c>
      <c r="J19" s="22" t="n">
        <f aca="false">J111</f>
        <v>0.04</v>
      </c>
    </row>
    <row r="20" customFormat="false" ht="17.15" hidden="false" customHeight="false" outlineLevel="0" collapsed="false">
      <c r="A20" s="0" t="s">
        <v>490</v>
      </c>
      <c r="B20" s="0" t="s">
        <v>33</v>
      </c>
      <c r="D20" s="19" t="n">
        <f aca="false">D102</f>
        <v>1.09165788</v>
      </c>
      <c r="E20" s="19" t="n">
        <f aca="false">E102</f>
        <v>1.762487762</v>
      </c>
      <c r="F20" s="19" t="n">
        <f aca="false">F102</f>
        <v>2.56128070554207</v>
      </c>
      <c r="G20" s="19" t="n">
        <f aca="false">G102</f>
        <v>2.38853065370258</v>
      </c>
    </row>
    <row r="21" customFormat="false" ht="15" hidden="false" customHeight="false" outlineLevel="0" collapsed="false">
      <c r="A21" s="5" t="s">
        <v>491</v>
      </c>
      <c r="B21" s="0" t="s">
        <v>33</v>
      </c>
      <c r="D21" s="19" t="n">
        <f aca="false">D107</f>
        <v>0.15</v>
      </c>
      <c r="E21" s="19" t="n">
        <f aca="false">E107</f>
        <v>0.6</v>
      </c>
      <c r="F21" s="19" t="n">
        <f aca="false">F107</f>
        <v>0.998381397519098</v>
      </c>
      <c r="G21" s="19" t="n">
        <f aca="false">G107</f>
        <v>1.16986037783338</v>
      </c>
    </row>
    <row r="22" customFormat="false" ht="17.15" hidden="false" customHeight="false" outlineLevel="0" collapsed="false">
      <c r="A22" s="5" t="s">
        <v>492</v>
      </c>
      <c r="B22" s="0" t="s">
        <v>33</v>
      </c>
      <c r="D22" s="19" t="n">
        <f aca="false">D109</f>
        <v>0.09345812</v>
      </c>
      <c r="E22" s="19" t="n">
        <f aca="false">E109</f>
        <v>0.107476838</v>
      </c>
      <c r="F22" s="19" t="n">
        <f aca="false">F109</f>
        <v>0.1235983637</v>
      </c>
      <c r="G22" s="19" t="n">
        <f aca="false">G109</f>
        <v>0.142138118255</v>
      </c>
    </row>
    <row r="23" customFormat="false" ht="15" hidden="false" customHeight="false" outlineLevel="0" collapsed="false">
      <c r="A23" s="5" t="s">
        <v>424</v>
      </c>
      <c r="B23" s="0" t="s">
        <v>110</v>
      </c>
      <c r="C23" s="16" t="n">
        <f aca="false">C115</f>
        <v>0.650456184534371</v>
      </c>
      <c r="D23" s="16" t="n">
        <f aca="false">D115</f>
        <v>0.681414199215649</v>
      </c>
      <c r="E23" s="16" t="n">
        <f aca="false">E115</f>
        <v>0.680029538884889</v>
      </c>
      <c r="F23" s="16" t="n">
        <f aca="false">F115</f>
        <v>0.67</v>
      </c>
      <c r="G23" s="16" t="n">
        <f aca="false">G115</f>
        <v>0.66</v>
      </c>
    </row>
    <row r="24" customFormat="false" ht="15" hidden="false" customHeight="false" outlineLevel="0" collapsed="false">
      <c r="A24" s="5" t="s">
        <v>493</v>
      </c>
      <c r="B24" s="0" t="s">
        <v>110</v>
      </c>
      <c r="C24" s="16" t="n">
        <f aca="false">C120</f>
        <v>0.264099364661439</v>
      </c>
      <c r="D24" s="16" t="n">
        <f aca="false">D120</f>
        <v>0.478476776549753</v>
      </c>
      <c r="E24" s="16" t="n">
        <f aca="false">E120</f>
        <v>0.515485682669298</v>
      </c>
      <c r="F24" s="16" t="n">
        <f aca="false">F120</f>
        <v>0.527774647556088</v>
      </c>
      <c r="G24" s="16" t="n">
        <f aca="false">G120</f>
        <v>0.5180479361623</v>
      </c>
    </row>
    <row r="25" customFormat="false" ht="15" hidden="false" customHeight="false" outlineLevel="0" collapsed="false">
      <c r="A25" s="5" t="s">
        <v>436</v>
      </c>
      <c r="B25" s="0" t="s">
        <v>110</v>
      </c>
      <c r="C25" s="16" t="n">
        <f aca="false">C124</f>
        <v>0.297466659034972</v>
      </c>
      <c r="D25" s="16" t="n">
        <f aca="false">D124</f>
        <v>0.495494773487847</v>
      </c>
      <c r="E25" s="16" t="n">
        <f aca="false">E124</f>
        <v>0.519804426419715</v>
      </c>
      <c r="F25" s="16" t="n">
        <f aca="false">F124</f>
        <v>0.466250056407489</v>
      </c>
      <c r="G25" s="16" t="n">
        <f aca="false">G124</f>
        <v>0.452493200986177</v>
      </c>
      <c r="H25" s="22" t="n">
        <f aca="false">H124</f>
        <v>0.437410094286638</v>
      </c>
      <c r="I25" s="22" t="n">
        <f aca="false">I124</f>
        <v>0.422326987587099</v>
      </c>
      <c r="J25" s="22" t="n">
        <f aca="false">J124</f>
        <v>0.407243880887559</v>
      </c>
    </row>
    <row r="26" customFormat="false" ht="15" hidden="false" customHeight="false" outlineLevel="0" collapsed="false">
      <c r="A26" s="5" t="s">
        <v>494</v>
      </c>
      <c r="B26" s="0" t="s">
        <v>33</v>
      </c>
      <c r="C26" s="19" t="n">
        <f aca="false">C123</f>
        <v>0.129926</v>
      </c>
      <c r="D26" s="19" t="n">
        <f aca="false">D123</f>
        <v>0.661543</v>
      </c>
      <c r="E26" s="19" t="n">
        <f aca="false">E123</f>
        <v>1.28389853218</v>
      </c>
      <c r="F26" s="19" t="n">
        <f aca="false">F123</f>
        <v>1.71732040039087</v>
      </c>
      <c r="G26" s="19" t="n">
        <f aca="false">G123</f>
        <v>1.67446428033157</v>
      </c>
      <c r="H26" s="21" t="n">
        <f aca="false">H123</f>
        <v>1.64529006188332</v>
      </c>
      <c r="I26" s="21" t="n">
        <f aca="false">I123</f>
        <v>1.63340002043214</v>
      </c>
      <c r="J26" s="21" t="n">
        <f aca="false">J123</f>
        <v>1.63806687763338</v>
      </c>
    </row>
    <row r="27" customFormat="false" ht="17.15" hidden="false" customHeight="false" outlineLevel="0" collapsed="false">
      <c r="A27" s="0" t="s">
        <v>439</v>
      </c>
      <c r="B27" s="0" t="s">
        <v>178</v>
      </c>
      <c r="C27" s="9" t="n">
        <f aca="false">C126</f>
        <v>0.703656766534521</v>
      </c>
      <c r="D27" s="9" t="n">
        <f aca="false">D126</f>
        <v>3.45893985025306</v>
      </c>
      <c r="E27" s="9" t="n">
        <f aca="false">E126</f>
        <v>6.45175141798995</v>
      </c>
      <c r="F27" s="9" t="n">
        <f aca="false">F126</f>
        <v>8.50221749333301</v>
      </c>
      <c r="G27" s="9" t="n">
        <f aca="false">G126</f>
        <v>8.16752978087344</v>
      </c>
      <c r="H27" s="23" t="n">
        <f aca="false">H126</f>
        <v>7.90662736589068</v>
      </c>
      <c r="I27" s="23" t="n">
        <f aca="false">I126</f>
        <v>7.73348613568431</v>
      </c>
      <c r="J27" s="23" t="n">
        <f aca="false">J126</f>
        <v>7.64096730084502</v>
      </c>
    </row>
    <row r="28" customFormat="false" ht="17.15" hidden="false" customHeight="false" outlineLevel="0" collapsed="false">
      <c r="A28" s="0" t="s">
        <v>495</v>
      </c>
      <c r="B28" s="0" t="s">
        <v>110</v>
      </c>
      <c r="D28" s="16" t="n">
        <f aca="false">D127</f>
        <v>3.91566345235077</v>
      </c>
      <c r="E28" s="16" t="n">
        <f aca="false">E127</f>
        <v>0.865239552378433</v>
      </c>
      <c r="F28" s="16" t="n">
        <f aca="false">F127</f>
        <v>0.317815418248381</v>
      </c>
      <c r="G28" s="16" t="n">
        <f aca="false">G127</f>
        <v>-0.0393647554560935</v>
      </c>
      <c r="H28" s="22" t="n">
        <f aca="false">H127</f>
        <v>-0.0319438584226212</v>
      </c>
      <c r="I28" s="22" t="n">
        <f aca="false">I127</f>
        <v>-0.0218982408293708</v>
      </c>
      <c r="J28" s="22" t="n">
        <f aca="false">J127</f>
        <v>-0.0119634060520758</v>
      </c>
    </row>
    <row r="30" customFormat="false" ht="17.15" hidden="false" customHeight="false" outlineLevel="0" collapsed="false">
      <c r="A30" s="3" t="s">
        <v>497</v>
      </c>
    </row>
    <row r="31" customFormat="false" ht="15" hidden="false" customHeight="false" outlineLevel="0" collapsed="false">
      <c r="A31" s="5" t="s">
        <v>419</v>
      </c>
      <c r="B31" s="0" t="s">
        <v>33</v>
      </c>
      <c r="C31" s="19" t="n">
        <f aca="false">C145</f>
        <v>0.436775</v>
      </c>
      <c r="D31" s="19" t="n">
        <f aca="false">D145</f>
        <v>1.335116</v>
      </c>
      <c r="E31" s="19" t="n">
        <f aca="false">E145</f>
        <v>2.4699646</v>
      </c>
      <c r="F31" s="19" t="n">
        <f aca="false">F145</f>
        <v>3.41457236727439</v>
      </c>
      <c r="G31" s="19" t="n">
        <f aca="false">G145</f>
        <v>2.77316235421776</v>
      </c>
      <c r="H31" s="21" t="n">
        <f aca="false">H145</f>
        <v>2.44436716207399</v>
      </c>
      <c r="I31" s="21" t="n">
        <f aca="false">I145</f>
        <v>2.32390475390794</v>
      </c>
      <c r="J31" s="21" t="n">
        <f aca="false">J145</f>
        <v>2.3703828489861</v>
      </c>
    </row>
    <row r="32" customFormat="false" ht="15" hidden="false" customHeight="false" outlineLevel="0" collapsed="false">
      <c r="A32" s="5" t="s">
        <v>489</v>
      </c>
      <c r="B32" s="0" t="s">
        <v>110</v>
      </c>
      <c r="D32" s="16" t="n">
        <f aca="false">D146</f>
        <v>2.05675920096159</v>
      </c>
      <c r="E32" s="16" t="n">
        <f aca="false">E146</f>
        <v>0.85</v>
      </c>
      <c r="F32" s="16" t="n">
        <f aca="false">F146</f>
        <v>0.382437775535078</v>
      </c>
      <c r="G32" s="16" t="n">
        <f aca="false">G146</f>
        <v>-0.187844902396553</v>
      </c>
      <c r="H32" s="22" t="n">
        <f aca="false">H146</f>
        <v>-0.118563268264369</v>
      </c>
      <c r="I32" s="22" t="n">
        <f aca="false">I146</f>
        <v>-0.0492816341321845</v>
      </c>
      <c r="J32" s="22" t="n">
        <f aca="false">J146</f>
        <v>0.02</v>
      </c>
    </row>
    <row r="33" customFormat="false" ht="17.15" hidden="false" customHeight="false" outlineLevel="0" collapsed="false">
      <c r="A33" s="0" t="s">
        <v>490</v>
      </c>
      <c r="B33" s="0" t="s">
        <v>33</v>
      </c>
      <c r="D33" s="19" t="n">
        <f aca="false">D137</f>
        <v>1.09165788</v>
      </c>
      <c r="E33" s="19" t="n">
        <f aca="false">E137</f>
        <v>1.762487762</v>
      </c>
      <c r="F33" s="19" t="n">
        <f aca="false">F137</f>
        <v>2.35779802493795</v>
      </c>
      <c r="G33" s="19" t="n">
        <f aca="false">G137</f>
        <v>1.75424818375732</v>
      </c>
    </row>
    <row r="34" customFormat="false" ht="15" hidden="false" customHeight="false" outlineLevel="0" collapsed="false">
      <c r="A34" s="5" t="s">
        <v>491</v>
      </c>
      <c r="B34" s="0" t="s">
        <v>33</v>
      </c>
      <c r="D34" s="19" t="n">
        <f aca="false">D142</f>
        <v>0.15</v>
      </c>
      <c r="E34" s="19" t="n">
        <f aca="false">E142</f>
        <v>0.6</v>
      </c>
      <c r="F34" s="19" t="n">
        <f aca="false">F142</f>
        <v>0.933175978636442</v>
      </c>
      <c r="G34" s="19" t="n">
        <f aca="false">G142</f>
        <v>0.876776052205444</v>
      </c>
    </row>
    <row r="35" customFormat="false" ht="17.15" hidden="false" customHeight="false" outlineLevel="0" collapsed="false">
      <c r="A35" s="5" t="s">
        <v>492</v>
      </c>
      <c r="B35" s="0" t="s">
        <v>33</v>
      </c>
      <c r="D35" s="19" t="n">
        <f aca="false">D144</f>
        <v>0.09345812</v>
      </c>
      <c r="E35" s="19" t="n">
        <f aca="false">E144</f>
        <v>0.107476838</v>
      </c>
      <c r="F35" s="19" t="n">
        <f aca="false">F144</f>
        <v>0.1235983637</v>
      </c>
      <c r="G35" s="19" t="n">
        <f aca="false">G144</f>
        <v>0.142138118255</v>
      </c>
    </row>
    <row r="36" customFormat="false" ht="15" hidden="false" customHeight="false" outlineLevel="0" collapsed="false">
      <c r="A36" s="5" t="s">
        <v>424</v>
      </c>
      <c r="B36" s="0" t="s">
        <v>110</v>
      </c>
      <c r="C36" s="16" t="n">
        <f aca="false">C150</f>
        <v>0.650456184534371</v>
      </c>
      <c r="D36" s="16" t="n">
        <f aca="false">D150</f>
        <v>0.681414199215649</v>
      </c>
      <c r="E36" s="16" t="n">
        <f aca="false">E150</f>
        <v>0.680029538884889</v>
      </c>
      <c r="F36" s="16" t="n">
        <f aca="false">F150</f>
        <v>0.67</v>
      </c>
      <c r="G36" s="16" t="n">
        <f aca="false">G150</f>
        <v>0.66</v>
      </c>
    </row>
    <row r="37" customFormat="false" ht="15" hidden="false" customHeight="false" outlineLevel="0" collapsed="false">
      <c r="A37" s="5" t="s">
        <v>493</v>
      </c>
      <c r="B37" s="0" t="s">
        <v>110</v>
      </c>
      <c r="C37" s="16" t="n">
        <f aca="false">C155</f>
        <v>0.264099364661439</v>
      </c>
      <c r="D37" s="16" t="n">
        <f aca="false">D155</f>
        <v>0.478476776549753</v>
      </c>
      <c r="E37" s="16" t="n">
        <f aca="false">E155</f>
        <v>0.515485682669298</v>
      </c>
      <c r="F37" s="16" t="n">
        <f aca="false">F155</f>
        <v>0.524199440514576</v>
      </c>
      <c r="G37" s="16" t="n">
        <f aca="false">G155</f>
        <v>0.480476950873472</v>
      </c>
    </row>
    <row r="38" customFormat="false" ht="15" hidden="false" customHeight="false" outlineLevel="0" collapsed="false">
      <c r="A38" s="5" t="s">
        <v>436</v>
      </c>
      <c r="B38" s="0" t="s">
        <v>110</v>
      </c>
      <c r="C38" s="16" t="n">
        <f aca="false">C159</f>
        <v>0.297466659034972</v>
      </c>
      <c r="D38" s="16" t="n">
        <f aca="false">D159</f>
        <v>0.495494773487847</v>
      </c>
      <c r="E38" s="16" t="n">
        <f aca="false">E159</f>
        <v>0.519804426419715</v>
      </c>
      <c r="F38" s="16" t="n">
        <f aca="false">F159</f>
        <v>0.46369722296962</v>
      </c>
      <c r="G38" s="16" t="n">
        <f aca="false">G159</f>
        <v>0.422513635935219</v>
      </c>
      <c r="H38" s="22" t="n">
        <f aca="false">H159</f>
        <v>0.394346060206204</v>
      </c>
      <c r="I38" s="22" t="n">
        <f aca="false">I159</f>
        <v>0.36617848447719</v>
      </c>
      <c r="J38" s="22" t="n">
        <f aca="false">J159</f>
        <v>0.338010908748175</v>
      </c>
    </row>
    <row r="39" customFormat="false" ht="15" hidden="false" customHeight="false" outlineLevel="0" collapsed="false">
      <c r="A39" s="5" t="s">
        <v>494</v>
      </c>
      <c r="B39" s="0" t="s">
        <v>33</v>
      </c>
      <c r="C39" s="19" t="n">
        <f aca="false">C158</f>
        <v>0.129926</v>
      </c>
      <c r="D39" s="19" t="n">
        <f aca="false">D158</f>
        <v>0.661543</v>
      </c>
      <c r="E39" s="19" t="n">
        <f aca="false">E158</f>
        <v>1.28389853218</v>
      </c>
      <c r="F39" s="19" t="n">
        <f aca="false">F158</f>
        <v>1.58332772433394</v>
      </c>
      <c r="G39" s="19" t="n">
        <f aca="false">G158</f>
        <v>1.17169890931922</v>
      </c>
      <c r="H39" s="21" t="n">
        <f aca="false">H158</f>
        <v>0.963926560061299</v>
      </c>
      <c r="I39" s="21" t="n">
        <f aca="false">I158</f>
        <v>0.850963920855344</v>
      </c>
      <c r="J39" s="21" t="n">
        <f aca="false">J158</f>
        <v>0.801215260866878</v>
      </c>
    </row>
    <row r="40" customFormat="false" ht="17.15" hidden="false" customHeight="false" outlineLevel="0" collapsed="false">
      <c r="A40" s="0" t="s">
        <v>439</v>
      </c>
      <c r="B40" s="0" t="s">
        <v>178</v>
      </c>
      <c r="C40" s="9" t="n">
        <f aca="false">C161</f>
        <v>0.703656766534521</v>
      </c>
      <c r="D40" s="9" t="n">
        <f aca="false">D161</f>
        <v>3.45893985025306</v>
      </c>
      <c r="E40" s="9" t="n">
        <f aca="false">E161</f>
        <v>6.45175141798995</v>
      </c>
      <c r="F40" s="9" t="n">
        <f aca="false">F161</f>
        <v>7.83883815300115</v>
      </c>
      <c r="G40" s="9" t="n">
        <f aca="false">G161</f>
        <v>5.71519252365698</v>
      </c>
      <c r="H40" s="23" t="n">
        <f aca="false">H161</f>
        <v>4.63225804072839</v>
      </c>
      <c r="I40" s="23" t="n">
        <f aca="false">I161</f>
        <v>4.02896877775309</v>
      </c>
      <c r="J40" s="23" t="n">
        <f aca="false">J161</f>
        <v>3.73736853654398</v>
      </c>
    </row>
    <row r="41" customFormat="false" ht="17.15" hidden="false" customHeight="false" outlineLevel="0" collapsed="false">
      <c r="A41" s="0" t="s">
        <v>495</v>
      </c>
      <c r="B41" s="0" t="s">
        <v>110</v>
      </c>
      <c r="D41" s="16" t="n">
        <f aca="false">D162</f>
        <v>3.91566345235077</v>
      </c>
      <c r="E41" s="16" t="n">
        <f aca="false">E162</f>
        <v>0.865239552378433</v>
      </c>
      <c r="F41" s="16" t="n">
        <f aca="false">F162</f>
        <v>0.214993828054731</v>
      </c>
      <c r="G41" s="16" t="n">
        <f aca="false">G162</f>
        <v>-0.270913314944654</v>
      </c>
      <c r="H41" s="22" t="n">
        <f aca="false">H162</f>
        <v>-0.189483465070684</v>
      </c>
      <c r="I41" s="22" t="n">
        <f aca="false">I162</f>
        <v>-0.130236540726136</v>
      </c>
      <c r="J41" s="22" t="n">
        <f aca="false">J162</f>
        <v>-0.0723758999621068</v>
      </c>
    </row>
    <row r="43" customFormat="false" ht="17.15" hidden="false" customHeight="false" outlineLevel="0" collapsed="false">
      <c r="A43" s="3" t="s">
        <v>498</v>
      </c>
    </row>
    <row r="44" customFormat="false" ht="17.15" hidden="false" customHeight="false" outlineLevel="0" collapsed="false">
      <c r="A44" s="5" t="s">
        <v>499</v>
      </c>
      <c r="E44" s="24" t="n">
        <f aca="false">E75-a27_rev</f>
        <v>0</v>
      </c>
    </row>
    <row r="45" customFormat="false" ht="17.15" hidden="false" customHeight="false" outlineLevel="0" collapsed="false">
      <c r="A45" s="5" t="s">
        <v>500</v>
      </c>
      <c r="E45" s="24" t="n">
        <f aca="false">E67-E63*E66</f>
        <v>0</v>
      </c>
    </row>
    <row r="46" customFormat="false" ht="17.15" hidden="false" customHeight="false" outlineLevel="0" collapsed="false">
      <c r="A46" s="5" t="s">
        <v>501</v>
      </c>
      <c r="E46" s="24" t="n">
        <f aca="false">(E84+E86)*(1-E87)-a27_ni</f>
        <v>0</v>
      </c>
    </row>
    <row r="60" customFormat="false" ht="17.15" hidden="false" customHeight="false" outlineLevel="0" collapsed="false">
      <c r="A60" s="3" t="s">
        <v>502</v>
      </c>
    </row>
    <row r="61" customFormat="false" ht="17.15" hidden="false" customHeight="false" outlineLevel="0" collapsed="false">
      <c r="A61" s="6" t="s">
        <v>22</v>
      </c>
      <c r="B61" s="6" t="s">
        <v>23</v>
      </c>
      <c r="C61" s="14" t="s">
        <v>412</v>
      </c>
      <c r="D61" s="14" t="s">
        <v>413</v>
      </c>
      <c r="E61" s="14" t="s">
        <v>459</v>
      </c>
      <c r="F61" s="14" t="s">
        <v>460</v>
      </c>
      <c r="G61" s="14" t="s">
        <v>461</v>
      </c>
      <c r="H61" s="14" t="s">
        <v>485</v>
      </c>
      <c r="I61" s="14" t="s">
        <v>486</v>
      </c>
      <c r="J61" s="14" t="s">
        <v>487</v>
      </c>
      <c r="K61" s="6" t="s">
        <v>418</v>
      </c>
    </row>
    <row r="62" customFormat="false" ht="17.15" hidden="false" customHeight="false" outlineLevel="0" collapsed="false">
      <c r="A62" s="1" t="s">
        <v>503</v>
      </c>
    </row>
    <row r="63" customFormat="false" ht="17.15" hidden="false" customHeight="false" outlineLevel="0" collapsed="false">
      <c r="A63" s="0" t="s">
        <v>504</v>
      </c>
      <c r="B63" s="0" t="s">
        <v>33</v>
      </c>
      <c r="E63" s="19" t="n">
        <f aca="false">(w8*mcu_26*1+(1-w8)*mcu_27*1)</f>
        <v>34.3390133333333</v>
      </c>
      <c r="F63" s="19" t="n">
        <f aca="false">(w8*mcu_27*1+(1-w8)*mcu_28*um28_A)</f>
        <v>53.8666133333333</v>
      </c>
      <c r="G63" s="19" t="n">
        <f aca="false">(w8*mcu_28*um28_A+(1-w8)*mcu_29*um29_A)</f>
        <v>59.9622446666667</v>
      </c>
      <c r="H63" s="2"/>
      <c r="K63" s="8" t="s">
        <v>505</v>
      </c>
    </row>
    <row r="64" customFormat="false" ht="17.15" hidden="false" customHeight="false" outlineLevel="0" collapsed="false">
      <c r="A64" s="0" t="s">
        <v>506</v>
      </c>
      <c r="B64" s="0" t="s">
        <v>110</v>
      </c>
      <c r="E64" s="20" t="n">
        <f aca="false">a27_aec/E63</f>
        <v>0.0513261037785594</v>
      </c>
      <c r="H64" s="2"/>
      <c r="K64" s="8" t="s">
        <v>507</v>
      </c>
    </row>
    <row r="65" customFormat="false" ht="17.15" hidden="false" customHeight="false" outlineLevel="0" collapsed="false">
      <c r="A65" s="0" t="s">
        <v>508</v>
      </c>
      <c r="B65" s="0" t="s">
        <v>76</v>
      </c>
      <c r="E65" s="9" t="n">
        <f aca="false">1</f>
        <v>1</v>
      </c>
      <c r="F65" s="9" t="n">
        <f aca="false">rel_a_28</f>
        <v>1</v>
      </c>
      <c r="G65" s="9" t="n">
        <f aca="false">rel_a_29</f>
        <v>0.95</v>
      </c>
      <c r="H65" s="2"/>
    </row>
    <row r="66" customFormat="false" ht="17.15" hidden="false" customHeight="false" outlineLevel="0" collapsed="false">
      <c r="A66" s="0" t="s">
        <v>509</v>
      </c>
      <c r="B66" s="0" t="s">
        <v>110</v>
      </c>
      <c r="E66" s="20" t="n">
        <f aca="false">$E$64*E65</f>
        <v>0.0513261037785594</v>
      </c>
      <c r="F66" s="20" t="n">
        <f aca="false">$E$64*F65</f>
        <v>0.0513261037785594</v>
      </c>
      <c r="G66" s="20" t="n">
        <f aca="false">$E$64*G65</f>
        <v>0.0487597985896314</v>
      </c>
      <c r="H66" s="2"/>
    </row>
    <row r="67" customFormat="false" ht="17.15" hidden="false" customHeight="false" outlineLevel="0" collapsed="false">
      <c r="A67" s="0" t="s">
        <v>510</v>
      </c>
      <c r="B67" s="0" t="s">
        <v>33</v>
      </c>
      <c r="D67" s="15" t="n">
        <f aca="false">a26_aec</f>
        <v>1.09165788</v>
      </c>
      <c r="E67" s="15" t="n">
        <f aca="false">a27_aec</f>
        <v>1.762487762</v>
      </c>
      <c r="F67" s="15" t="n">
        <f aca="false">F63*F66</f>
        <v>2.7647633861462</v>
      </c>
      <c r="G67" s="15" t="n">
        <f aca="false">G63*G66</f>
        <v>2.92374697292887</v>
      </c>
      <c r="H67" s="2"/>
    </row>
    <row r="68" customFormat="false" ht="17.15" hidden="false" customHeight="false" outlineLevel="0" collapsed="false">
      <c r="A68" s="1" t="s">
        <v>511</v>
      </c>
    </row>
    <row r="69" customFormat="false" ht="17.15" hidden="false" customHeight="false" outlineLevel="0" collapsed="false">
      <c r="A69" s="0" t="s">
        <v>512</v>
      </c>
      <c r="B69" s="0" t="s">
        <v>33</v>
      </c>
      <c r="E69" s="19" t="n">
        <f aca="false">(w8*mpl_26*1+(1-w8)*mpl_27*1)</f>
        <v>37.6890796666667</v>
      </c>
      <c r="F69" s="19" t="n">
        <f aca="false">(w8*mpl_27*1+(1-w8)*mpl_28*um28_A)</f>
        <v>55.0376433333333</v>
      </c>
      <c r="G69" s="19" t="n">
        <f aca="false">(w8*mpl_28*um28_A+(1-w8)*mpl_29*um29_A)</f>
        <v>62.9726</v>
      </c>
      <c r="H69" s="2"/>
    </row>
    <row r="70" customFormat="false" ht="17.15" hidden="false" customHeight="false" outlineLevel="0" collapsed="false">
      <c r="A70" s="0" t="s">
        <v>513</v>
      </c>
      <c r="B70" s="0" t="s">
        <v>110</v>
      </c>
      <c r="E70" s="20" t="n">
        <f aca="false">a27_opt/(w8*mplB_26*1+(1-w8)*mplB_27*1)</f>
        <v>0.0157625345447985</v>
      </c>
      <c r="H70" s="2"/>
    </row>
    <row r="71" customFormat="false" ht="17.15" hidden="false" customHeight="false" outlineLevel="0" collapsed="false">
      <c r="A71" s="5" t="s">
        <v>514</v>
      </c>
      <c r="B71" s="0" t="s">
        <v>76</v>
      </c>
      <c r="E71" s="9" t="n">
        <f aca="false">1</f>
        <v>1</v>
      </c>
      <c r="F71" s="9" t="n">
        <f aca="false">rel_o_28</f>
        <v>1.2</v>
      </c>
      <c r="G71" s="9" t="n">
        <f aca="false">rel_o_29</f>
        <v>1.35</v>
      </c>
      <c r="H71" s="2"/>
    </row>
    <row r="72" customFormat="false" ht="15" hidden="false" customHeight="false" outlineLevel="0" collapsed="false">
      <c r="A72" s="5" t="s">
        <v>515</v>
      </c>
      <c r="B72" s="0" t="s">
        <v>33</v>
      </c>
      <c r="D72" s="15" t="n">
        <f aca="false">a26_opt</f>
        <v>0.15</v>
      </c>
      <c r="E72" s="15" t="n">
        <f aca="false">a27_opt</f>
        <v>0.6</v>
      </c>
      <c r="F72" s="15" t="n">
        <f aca="false">F69*$E$70*F71</f>
        <v>1.04103930516716</v>
      </c>
      <c r="G72" s="15" t="n">
        <f aca="false">G69*$E$70*G71</f>
        <v>1.3400205068823</v>
      </c>
      <c r="H72" s="2"/>
    </row>
    <row r="73" customFormat="false" ht="17.15" hidden="false" customHeight="false" outlineLevel="0" collapsed="false">
      <c r="A73" s="1" t="s">
        <v>516</v>
      </c>
    </row>
    <row r="74" customFormat="false" ht="17.15" hidden="false" customHeight="false" outlineLevel="0" collapsed="false">
      <c r="A74" s="5" t="s">
        <v>517</v>
      </c>
      <c r="B74" s="0" t="s">
        <v>33</v>
      </c>
      <c r="D74" s="15" t="n">
        <f aca="false">a26_ic</f>
        <v>0.09345812</v>
      </c>
      <c r="E74" s="15" t="n">
        <f aca="false">a27_ic</f>
        <v>0.107476838</v>
      </c>
      <c r="F74" s="15" t="n">
        <f aca="false">E74*(1+g_oth)</f>
        <v>0.1235983637</v>
      </c>
      <c r="G74" s="15" t="n">
        <f aca="false">F74*(1+g_oth)</f>
        <v>0.142138118255</v>
      </c>
      <c r="H74" s="2"/>
    </row>
    <row r="75" customFormat="false" ht="15" hidden="false" customHeight="false" outlineLevel="0" collapsed="false">
      <c r="A75" s="5" t="s">
        <v>419</v>
      </c>
      <c r="B75" s="0" t="s">
        <v>33</v>
      </c>
      <c r="C75" s="15" t="n">
        <f aca="false">a25_rev</f>
        <v>0.436775</v>
      </c>
      <c r="D75" s="15" t="n">
        <f aca="false">a26_rev</f>
        <v>1.335116</v>
      </c>
      <c r="E75" s="15" t="n">
        <f aca="false">E67+E72+E74</f>
        <v>2.4699646</v>
      </c>
      <c r="F75" s="15" t="n">
        <f aca="false">F67+F72+F74</f>
        <v>3.92940105501336</v>
      </c>
      <c r="G75" s="15" t="n">
        <f aca="false">G67+G72+G74</f>
        <v>4.40590559806617</v>
      </c>
      <c r="H75" s="25" t="n">
        <f aca="false">G75*(1+H76)</f>
        <v>4.85021608376713</v>
      </c>
      <c r="I75" s="26" t="n">
        <f aca="false">H75*(1+I76)</f>
        <v>5.24028090008546</v>
      </c>
      <c r="J75" s="26" t="n">
        <f aca="false">I75*(1+J76)</f>
        <v>5.55469775409058</v>
      </c>
    </row>
    <row r="76" customFormat="false" ht="15" hidden="false" customHeight="false" outlineLevel="0" collapsed="false">
      <c r="A76" s="5" t="s">
        <v>518</v>
      </c>
      <c r="B76" s="0" t="s">
        <v>110</v>
      </c>
      <c r="D76" s="16" t="n">
        <f aca="false">D75/C75-1</f>
        <v>2.05675920096159</v>
      </c>
      <c r="E76" s="16" t="n">
        <f aca="false">E75/D75-1</f>
        <v>0.85</v>
      </c>
      <c r="F76" s="16" t="n">
        <f aca="false">F75/E75-1</f>
        <v>0.590873429932298</v>
      </c>
      <c r="G76" s="16" t="n">
        <f aca="false">G75/F75-1</f>
        <v>0.121266456740235</v>
      </c>
      <c r="H76" s="27" t="n">
        <f aca="false">$G76+(fade_gA-$G76)*1/3</f>
        <v>0.10084430449349</v>
      </c>
      <c r="I76" s="22" t="n">
        <f aca="false">$G76+(fade_gA-$G76)*2/3</f>
        <v>0.080422152246745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445</v>
      </c>
      <c r="B77" s="0" t="s">
        <v>110</v>
      </c>
      <c r="D77" s="16" t="n">
        <f aca="false">D67/D75</f>
        <v>0.817650211667001</v>
      </c>
      <c r="E77" s="16" t="n">
        <f aca="false">E67/E75</f>
        <v>0.713568025225949</v>
      </c>
      <c r="F77" s="16" t="n">
        <f aca="false">F67/F75</f>
        <v>0.703609366271929</v>
      </c>
      <c r="G77" s="16" t="n">
        <f aca="false">G67/G75</f>
        <v>0.663597280480124</v>
      </c>
      <c r="H77" s="2"/>
    </row>
    <row r="78" customFormat="false" ht="17.15" hidden="false" customHeight="false" outlineLevel="0" collapsed="false">
      <c r="A78" s="5" t="s">
        <v>519</v>
      </c>
      <c r="B78" s="0" t="s">
        <v>110</v>
      </c>
      <c r="D78" s="16" t="n">
        <f aca="false">D72/D75</f>
        <v>0.112349788332999</v>
      </c>
      <c r="E78" s="16" t="n">
        <f aca="false">E72/E75</f>
        <v>0.242918461260538</v>
      </c>
      <c r="F78" s="16" t="n">
        <f aca="false">F72/F75</f>
        <v>0.264935874600772</v>
      </c>
      <c r="G78" s="16" t="n">
        <f aca="false">G72/G75</f>
        <v>0.304141901603716</v>
      </c>
      <c r="H78" s="2"/>
    </row>
    <row r="79" customFormat="false" ht="17.15" hidden="false" customHeight="false" outlineLevel="0" collapsed="false">
      <c r="A79" s="1" t="s">
        <v>520</v>
      </c>
    </row>
    <row r="80" customFormat="false" ht="17.15" hidden="false" customHeight="false" outlineLevel="0" collapsed="false">
      <c r="A80" s="5" t="s">
        <v>424</v>
      </c>
      <c r="B80" s="0" t="s">
        <v>110</v>
      </c>
      <c r="C80" s="16" t="n">
        <f aca="false">a25_gp/a25_rev</f>
        <v>0.650456184534371</v>
      </c>
      <c r="D80" s="16" t="n">
        <f aca="false">a26_gp/a26_rev</f>
        <v>0.681414199215649</v>
      </c>
      <c r="E80" s="16" t="n">
        <f aca="false">a27_gp/a27_rev</f>
        <v>0.680029538884889</v>
      </c>
      <c r="F80" s="16" t="n">
        <f aca="false">gm_28</f>
        <v>0.67</v>
      </c>
      <c r="G80" s="16" t="n">
        <f aca="false">gm_29</f>
        <v>0.66</v>
      </c>
      <c r="H80" s="2"/>
      <c r="K80" s="8" t="s">
        <v>521</v>
      </c>
    </row>
    <row r="81" customFormat="false" ht="15" hidden="false" customHeight="false" outlineLevel="0" collapsed="false">
      <c r="A81" s="5" t="s">
        <v>522</v>
      </c>
      <c r="B81" s="0" t="s">
        <v>33</v>
      </c>
      <c r="C81" s="15" t="n">
        <f aca="false">C75*C80</f>
        <v>0.284103</v>
      </c>
      <c r="D81" s="15" t="n">
        <f aca="false">D75*D80</f>
        <v>0.909767</v>
      </c>
      <c r="E81" s="15" t="n">
        <f aca="false">E75*E80</f>
        <v>1.679648888</v>
      </c>
      <c r="F81" s="15" t="n">
        <f aca="false">F75*F80</f>
        <v>2.63269870685895</v>
      </c>
      <c r="G81" s="15" t="n">
        <f aca="false">G75*G80</f>
        <v>2.90789769472367</v>
      </c>
      <c r="H81" s="2"/>
    </row>
    <row r="82" customFormat="false" ht="15" hidden="false" customHeight="false" outlineLevel="0" collapsed="false">
      <c r="A82" s="5" t="s">
        <v>523</v>
      </c>
      <c r="B82" s="0" t="s">
        <v>33</v>
      </c>
      <c r="C82" s="15" t="n">
        <f aca="false">a25_opx</f>
        <v>0.168751</v>
      </c>
      <c r="D82" s="15" t="n">
        <f aca="false">a26_opx</f>
        <v>0.270945</v>
      </c>
      <c r="E82" s="15" t="n">
        <f aca="false">a27_opx</f>
        <v>0.4064175</v>
      </c>
      <c r="F82" s="15" t="n">
        <f aca="false">E82*(1+MAX(0,phi*F76))</f>
        <v>0.547677089535006</v>
      </c>
      <c r="G82" s="15" t="n">
        <f aca="false">F82*(1+MAX(0,phi*G76))</f>
        <v>0.586744654291308</v>
      </c>
      <c r="H82" s="2"/>
    </row>
    <row r="83" customFormat="false" ht="15" hidden="false" customHeight="false" outlineLevel="0" collapsed="false">
      <c r="A83" s="5" t="s">
        <v>524</v>
      </c>
      <c r="B83" s="0" t="s">
        <v>33</v>
      </c>
      <c r="C83" s="15" t="n">
        <f aca="false">C82</f>
        <v>0.168751</v>
      </c>
      <c r="D83" s="15" t="n">
        <f aca="false">D82</f>
        <v>0.270945</v>
      </c>
      <c r="E83" s="15" t="n">
        <f aca="false">E82</f>
        <v>0.4064175</v>
      </c>
      <c r="F83" s="15" t="n">
        <f aca="false">F82+0*F75</f>
        <v>0.547677089535006</v>
      </c>
      <c r="G83" s="15" t="n">
        <f aca="false">G82+0*G75</f>
        <v>0.586744654291308</v>
      </c>
      <c r="H83" s="2"/>
    </row>
    <row r="84" customFormat="false" ht="15" hidden="false" customHeight="false" outlineLevel="0" collapsed="false">
      <c r="A84" s="5" t="s">
        <v>525</v>
      </c>
      <c r="B84" s="0" t="s">
        <v>33</v>
      </c>
      <c r="C84" s="15" t="n">
        <f aca="false">C81-C83</f>
        <v>0.115352</v>
      </c>
      <c r="D84" s="15" t="n">
        <f aca="false">D81-D83</f>
        <v>0.638822</v>
      </c>
      <c r="E84" s="15" t="n">
        <f aca="false">E81-E83</f>
        <v>1.273231388</v>
      </c>
      <c r="F84" s="15" t="n">
        <f aca="false">F81-F83</f>
        <v>2.08502161732394</v>
      </c>
      <c r="G84" s="15" t="n">
        <f aca="false">G81-G83</f>
        <v>2.32115304043236</v>
      </c>
      <c r="H84" s="2"/>
    </row>
    <row r="85" customFormat="false" ht="15" hidden="false" customHeight="false" outlineLevel="0" collapsed="false">
      <c r="A85" s="5" t="s">
        <v>493</v>
      </c>
      <c r="B85" s="0" t="s">
        <v>110</v>
      </c>
      <c r="C85" s="16" t="n">
        <f aca="false">C84/C75</f>
        <v>0.264099364661439</v>
      </c>
      <c r="D85" s="16" t="n">
        <f aca="false">D84/D75</f>
        <v>0.478476776549753</v>
      </c>
      <c r="E85" s="16" t="n">
        <f aca="false">E84/E75</f>
        <v>0.515485682669298</v>
      </c>
      <c r="F85" s="16" t="n">
        <f aca="false">F84/F75</f>
        <v>0.530620720087544</v>
      </c>
      <c r="G85" s="16" t="n">
        <f aca="false">G84/G75</f>
        <v>0.526827683609735</v>
      </c>
      <c r="H85" s="2"/>
    </row>
    <row r="86" customFormat="false" ht="15" hidden="false" customHeight="false" outlineLevel="0" collapsed="false">
      <c r="A86" s="5" t="s">
        <v>429</v>
      </c>
      <c r="B86" s="0" t="s">
        <v>33</v>
      </c>
      <c r="C86" s="15" t="n">
        <f aca="false">a25_ninc</f>
        <v>0.017746</v>
      </c>
      <c r="D86" s="15" t="n">
        <f aca="false">a26_ninc</f>
        <v>0.03043</v>
      </c>
      <c r="E86" s="15" t="n">
        <f aca="false">a27_ninc</f>
        <v>0.02914</v>
      </c>
      <c r="F86" s="15" t="n">
        <f aca="false">oth_f</f>
        <v>0.03</v>
      </c>
      <c r="G86" s="15" t="n">
        <f aca="false">oth_f</f>
        <v>0.03</v>
      </c>
      <c r="H86" s="2"/>
    </row>
    <row r="87" customFormat="false" ht="17.15" hidden="false" customHeight="false" outlineLevel="0" collapsed="false">
      <c r="A87" s="5" t="s">
        <v>434</v>
      </c>
      <c r="B87" s="0" t="s">
        <v>110</v>
      </c>
      <c r="C87" s="16" t="n">
        <f aca="false">a25_tx</f>
        <v>0.0238320635922402</v>
      </c>
      <c r="D87" s="16" t="n">
        <f aca="false">a26_tx</f>
        <v>0.0115188299773478</v>
      </c>
      <c r="E87" s="16" t="n">
        <f aca="false">a27_tx</f>
        <v>0.0141840153969967</v>
      </c>
      <c r="F87" s="16" t="n">
        <f aca="false">tx_28</f>
        <v>0.13</v>
      </c>
      <c r="G87" s="16" t="n">
        <f aca="false">tx_29</f>
        <v>0.14</v>
      </c>
      <c r="H87" s="2"/>
      <c r="K87" s="8" t="s">
        <v>526</v>
      </c>
    </row>
    <row r="88" customFormat="false" ht="15" hidden="false" customHeight="false" outlineLevel="0" collapsed="false">
      <c r="A88" s="5" t="s">
        <v>494</v>
      </c>
      <c r="B88" s="0" t="s">
        <v>33</v>
      </c>
      <c r="C88" s="15" t="n">
        <f aca="false">a25_ni</f>
        <v>0.129926</v>
      </c>
      <c r="D88" s="15" t="n">
        <f aca="false">a26_ni</f>
        <v>0.661543</v>
      </c>
      <c r="E88" s="15" t="n">
        <f aca="false">a27_ni</f>
        <v>1.28389853218</v>
      </c>
      <c r="F88" s="15" t="n">
        <f aca="false">(F84+F86)*(1-F87)</f>
        <v>1.84006880707183</v>
      </c>
      <c r="G88" s="15" t="n">
        <f aca="false">(G84+G86)*(1-G87)</f>
        <v>2.02199161477183</v>
      </c>
      <c r="H88" s="25" t="n">
        <f aca="false">H75*H89</f>
        <v>2.22589795285517</v>
      </c>
      <c r="I88" s="26" t="n">
        <f aca="false">I75*I89</f>
        <v>2.4049094569054</v>
      </c>
      <c r="J88" s="26" t="n">
        <f aca="false">J75*J89</f>
        <v>2.54920402431973</v>
      </c>
    </row>
    <row r="89" customFormat="false" ht="15" hidden="false" customHeight="false" outlineLevel="0" collapsed="false">
      <c r="A89" s="5" t="s">
        <v>436</v>
      </c>
      <c r="B89" s="0" t="s">
        <v>110</v>
      </c>
      <c r="C89" s="16" t="n">
        <f aca="false">C88/C75</f>
        <v>0.297466659034972</v>
      </c>
      <c r="D89" s="16" t="n">
        <f aca="false">D88/D75</f>
        <v>0.495494773487847</v>
      </c>
      <c r="E89" s="16" t="n">
        <f aca="false">E88/E75</f>
        <v>0.519804426419715</v>
      </c>
      <c r="F89" s="16" t="n">
        <f aca="false">F88/F75</f>
        <v>0.46828226014857</v>
      </c>
      <c r="G89" s="16" t="n">
        <f aca="false">G88/G75</f>
        <v>0.458927584753364</v>
      </c>
      <c r="H89" s="27" t="n">
        <f aca="false">$G89+(fade_mA-$G89)*1/3</f>
        <v>0.458927584753364</v>
      </c>
      <c r="I89" s="22" t="n">
        <f aca="false">$G89+(fade_mA-$G89)*2/3</f>
        <v>0.458927584753364</v>
      </c>
      <c r="J89" s="22" t="n">
        <f aca="false">$G89+(fade_mA-$G89)*3/3</f>
        <v>0.458927584753364</v>
      </c>
    </row>
    <row r="90" customFormat="false" ht="15" hidden="false" customHeight="false" outlineLevel="0" collapsed="false">
      <c r="A90" s="5" t="s">
        <v>527</v>
      </c>
      <c r="B90" s="5" t="s">
        <v>173</v>
      </c>
      <c r="C90" s="24" t="n">
        <f aca="false">a25_sh</f>
        <v>0.184644</v>
      </c>
      <c r="D90" s="24" t="n">
        <f aca="false">a26_sh</f>
        <v>0.191256</v>
      </c>
      <c r="E90" s="24" t="n">
        <f aca="false">a27_sh</f>
        <v>0.199</v>
      </c>
      <c r="F90" s="24" t="n">
        <f aca="false">E90*(1+sh_g)</f>
        <v>0.201985</v>
      </c>
      <c r="G90" s="24" t="n">
        <f aca="false">F90*(1+sh_g)</f>
        <v>0.205014775</v>
      </c>
      <c r="H90" s="28" t="n">
        <f aca="false">G90*(1+sh_g)</f>
        <v>0.208089996625</v>
      </c>
      <c r="I90" s="29" t="n">
        <f aca="false">H90*(1+sh_g)</f>
        <v>0.211211346574375</v>
      </c>
      <c r="J90" s="29" t="n">
        <f aca="false">I90*(1+sh_g)</f>
        <v>0.214379516772991</v>
      </c>
    </row>
    <row r="91" customFormat="false" ht="17.15" hidden="false" customHeight="false" outlineLevel="0" collapsed="false">
      <c r="A91" s="0" t="s">
        <v>439</v>
      </c>
      <c r="B91" s="0" t="s">
        <v>178</v>
      </c>
      <c r="C91" s="9" t="n">
        <f aca="false">C88/C90</f>
        <v>0.703656766534521</v>
      </c>
      <c r="D91" s="9" t="n">
        <f aca="false">D88/D90</f>
        <v>3.45893985025306</v>
      </c>
      <c r="E91" s="9" t="n">
        <f aca="false">E88/E90</f>
        <v>6.45175141798995</v>
      </c>
      <c r="F91" s="9" t="n">
        <f aca="false">F88/F90</f>
        <v>9.10992799995955</v>
      </c>
      <c r="G91" s="9" t="n">
        <f aca="false">G88/G90</f>
        <v>9.86266289720744</v>
      </c>
      <c r="H91" s="30" t="n">
        <f aca="false">H88/H90</f>
        <v>10.6968042143153</v>
      </c>
      <c r="I91" s="23" t="n">
        <f aca="false">I88/I90</f>
        <v>11.386270178712</v>
      </c>
      <c r="J91" s="23" t="n">
        <f aca="false">J88/J90</f>
        <v>11.8910801866352</v>
      </c>
    </row>
    <row r="92" customFormat="false" ht="17.15" hidden="false" customHeight="false" outlineLevel="0" collapsed="false">
      <c r="A92" s="0" t="s">
        <v>528</v>
      </c>
      <c r="B92" s="0" t="s">
        <v>110</v>
      </c>
      <c r="D92" s="16" t="n">
        <f aca="false">D91/C91-1</f>
        <v>3.91566345235077</v>
      </c>
      <c r="E92" s="16" t="n">
        <f aca="false">E91/D91-1</f>
        <v>0.865239552378433</v>
      </c>
      <c r="F92" s="16" t="n">
        <f aca="false">F91/E91-1</f>
        <v>0.412008524469432</v>
      </c>
      <c r="G92" s="16" t="n">
        <f aca="false">G91/F91-1</f>
        <v>0.0826279743650253</v>
      </c>
      <c r="H92" s="27" t="n">
        <f aca="false">H91/G91-1</f>
        <v>0.0845756694517146</v>
      </c>
      <c r="I92" s="22" t="n">
        <f aca="false">I91/H91-1</f>
        <v>0.0644553224105859</v>
      </c>
      <c r="J92" s="22" t="n">
        <f aca="false">J91/I91-1</f>
        <v>0.0443349753694584</v>
      </c>
    </row>
    <row r="95" customFormat="false" ht="17.15" hidden="false" customHeight="false" outlineLevel="0" collapsed="false">
      <c r="A95" s="3" t="s">
        <v>529</v>
      </c>
    </row>
    <row r="96" customFormat="false" ht="17.15" hidden="false" customHeight="false" outlineLevel="0" collapsed="false">
      <c r="A96" s="6" t="s">
        <v>22</v>
      </c>
      <c r="B96" s="6" t="s">
        <v>23</v>
      </c>
      <c r="C96" s="14" t="s">
        <v>412</v>
      </c>
      <c r="D96" s="14" t="s">
        <v>413</v>
      </c>
      <c r="E96" s="14" t="s">
        <v>459</v>
      </c>
      <c r="F96" s="14" t="s">
        <v>460</v>
      </c>
      <c r="G96" s="14" t="s">
        <v>461</v>
      </c>
      <c r="H96" s="14" t="s">
        <v>485</v>
      </c>
      <c r="I96" s="14" t="s">
        <v>486</v>
      </c>
      <c r="J96" s="14" t="s">
        <v>487</v>
      </c>
      <c r="K96" s="6" t="s">
        <v>418</v>
      </c>
    </row>
    <row r="97" customFormat="false" ht="17.15" hidden="false" customHeight="false" outlineLevel="0" collapsed="false">
      <c r="A97" s="1" t="s">
        <v>503</v>
      </c>
    </row>
    <row r="98" customFormat="false" ht="17.15" hidden="false" customHeight="false" outlineLevel="0" collapsed="false">
      <c r="A98" s="0" t="s">
        <v>504</v>
      </c>
      <c r="B98" s="0" t="s">
        <v>33</v>
      </c>
      <c r="E98" s="19" t="n">
        <f aca="false">(w8*mcu_26*1+(1-w8)*mcu_27*1)</f>
        <v>34.3390133333333</v>
      </c>
      <c r="F98" s="19" t="n">
        <f aca="false">(w8*mcu_27*1+(1-w8)*mcu_28*um28_B)</f>
        <v>49.9021066666667</v>
      </c>
      <c r="G98" s="19" t="n">
        <f aca="false">(w8*mcu_28*um28_B+(1-w8)*mcu_29*um29_B)</f>
        <v>48.9856546333333</v>
      </c>
      <c r="H98" s="2"/>
      <c r="K98" s="8" t="s">
        <v>505</v>
      </c>
    </row>
    <row r="99" customFormat="false" ht="17.15" hidden="false" customHeight="false" outlineLevel="0" collapsed="false">
      <c r="A99" s="0" t="s">
        <v>506</v>
      </c>
      <c r="B99" s="0" t="s">
        <v>110</v>
      </c>
      <c r="E99" s="20" t="n">
        <f aca="false">a27_aec/E98</f>
        <v>0.0513261037785594</v>
      </c>
      <c r="H99" s="2"/>
      <c r="K99" s="8" t="s">
        <v>507</v>
      </c>
    </row>
    <row r="100" customFormat="false" ht="17.15" hidden="false" customHeight="false" outlineLevel="0" collapsed="false">
      <c r="A100" s="0" t="s">
        <v>508</v>
      </c>
      <c r="B100" s="0" t="s">
        <v>76</v>
      </c>
      <c r="E100" s="9" t="n">
        <f aca="false">1</f>
        <v>1</v>
      </c>
      <c r="F100" s="9" t="n">
        <f aca="false">rel_a_28</f>
        <v>1</v>
      </c>
      <c r="G100" s="9" t="n">
        <f aca="false">rel_a_29</f>
        <v>0.95</v>
      </c>
      <c r="H100" s="2"/>
    </row>
    <row r="101" customFormat="false" ht="17.15" hidden="false" customHeight="false" outlineLevel="0" collapsed="false">
      <c r="A101" s="0" t="s">
        <v>509</v>
      </c>
      <c r="B101" s="0" t="s">
        <v>110</v>
      </c>
      <c r="E101" s="20" t="n">
        <f aca="false">$E$99*E100</f>
        <v>0.0513261037785594</v>
      </c>
      <c r="F101" s="20" t="n">
        <f aca="false">$E$99*F100</f>
        <v>0.0513261037785594</v>
      </c>
      <c r="G101" s="20" t="n">
        <f aca="false">$E$99*G100</f>
        <v>0.0487597985896314</v>
      </c>
      <c r="H101" s="2"/>
    </row>
    <row r="102" customFormat="false" ht="17.15" hidden="false" customHeight="false" outlineLevel="0" collapsed="false">
      <c r="A102" s="0" t="s">
        <v>510</v>
      </c>
      <c r="B102" s="0" t="s">
        <v>33</v>
      </c>
      <c r="D102" s="15" t="n">
        <f aca="false">a26_aec</f>
        <v>1.09165788</v>
      </c>
      <c r="E102" s="15" t="n">
        <f aca="false">a27_aec</f>
        <v>1.762487762</v>
      </c>
      <c r="F102" s="15" t="n">
        <f aca="false">F98*F101</f>
        <v>2.56128070554207</v>
      </c>
      <c r="G102" s="15" t="n">
        <f aca="false">G98*G101</f>
        <v>2.38853065370258</v>
      </c>
      <c r="H102" s="2"/>
    </row>
    <row r="103" customFormat="false" ht="17.15" hidden="false" customHeight="false" outlineLevel="0" collapsed="false">
      <c r="A103" s="1" t="s">
        <v>511</v>
      </c>
    </row>
    <row r="104" customFormat="false" ht="17.15" hidden="false" customHeight="false" outlineLevel="0" collapsed="false">
      <c r="A104" s="0" t="s">
        <v>512</v>
      </c>
      <c r="B104" s="0" t="s">
        <v>33</v>
      </c>
      <c r="E104" s="19" t="n">
        <f aca="false">(w8*mplB_26*1+(1-w8)*mplB_27*1)</f>
        <v>38.0649443333333</v>
      </c>
      <c r="F104" s="19" t="n">
        <f aca="false">(w8*mplB_27*1+(1-w8)*mplB_28*um28_B)</f>
        <v>52.782406</v>
      </c>
      <c r="G104" s="19" t="n">
        <f aca="false">(w8*mplB_28*um28_B+(1-w8)*mplB_29*um29_B)</f>
        <v>54.976136</v>
      </c>
      <c r="H104" s="2"/>
    </row>
    <row r="105" customFormat="false" ht="17.15" hidden="false" customHeight="false" outlineLevel="0" collapsed="false">
      <c r="A105" s="0" t="s">
        <v>513</v>
      </c>
      <c r="B105" s="0" t="s">
        <v>110</v>
      </c>
      <c r="E105" s="20" t="n">
        <f aca="false">a27_opt/(w8*mplB_26*1+(1-w8)*mplB_27*1)</f>
        <v>0.0157625345447985</v>
      </c>
      <c r="H105" s="2"/>
    </row>
    <row r="106" customFormat="false" ht="17.15" hidden="false" customHeight="false" outlineLevel="0" collapsed="false">
      <c r="A106" s="5" t="s">
        <v>514</v>
      </c>
      <c r="B106" s="0" t="s">
        <v>76</v>
      </c>
      <c r="E106" s="9" t="n">
        <f aca="false">1</f>
        <v>1</v>
      </c>
      <c r="F106" s="9" t="n">
        <f aca="false">rel_o_28</f>
        <v>1.2</v>
      </c>
      <c r="G106" s="9" t="n">
        <f aca="false">rel_o_29</f>
        <v>1.35</v>
      </c>
      <c r="H106" s="2"/>
    </row>
    <row r="107" customFormat="false" ht="15" hidden="false" customHeight="false" outlineLevel="0" collapsed="false">
      <c r="A107" s="5" t="s">
        <v>515</v>
      </c>
      <c r="B107" s="0" t="s">
        <v>33</v>
      </c>
      <c r="D107" s="15" t="n">
        <f aca="false">a26_opt</f>
        <v>0.15</v>
      </c>
      <c r="E107" s="15" t="n">
        <f aca="false">a27_opt</f>
        <v>0.6</v>
      </c>
      <c r="F107" s="15" t="n">
        <f aca="false">F104*$E$105*F106</f>
        <v>0.998381397519098</v>
      </c>
      <c r="G107" s="15" t="n">
        <f aca="false">G104*$E$105*G106</f>
        <v>1.16986037783338</v>
      </c>
      <c r="H107" s="2"/>
    </row>
    <row r="108" customFormat="false" ht="17.15" hidden="false" customHeight="false" outlineLevel="0" collapsed="false">
      <c r="A108" s="1" t="s">
        <v>516</v>
      </c>
    </row>
    <row r="109" customFormat="false" ht="17.15" hidden="false" customHeight="false" outlineLevel="0" collapsed="false">
      <c r="A109" s="5" t="s">
        <v>517</v>
      </c>
      <c r="B109" s="0" t="s">
        <v>33</v>
      </c>
      <c r="D109" s="15" t="n">
        <f aca="false">a26_ic</f>
        <v>0.09345812</v>
      </c>
      <c r="E109" s="15" t="n">
        <f aca="false">a27_ic</f>
        <v>0.107476838</v>
      </c>
      <c r="F109" s="15" t="n">
        <f aca="false">E109*(1+g_oth)</f>
        <v>0.1235983637</v>
      </c>
      <c r="G109" s="15" t="n">
        <f aca="false">F109*(1+g_oth)</f>
        <v>0.142138118255</v>
      </c>
      <c r="H109" s="2"/>
    </row>
    <row r="110" customFormat="false" ht="15" hidden="false" customHeight="false" outlineLevel="0" collapsed="false">
      <c r="A110" s="5" t="s">
        <v>419</v>
      </c>
      <c r="B110" s="0" t="s">
        <v>33</v>
      </c>
      <c r="C110" s="15" t="n">
        <f aca="false">a25_rev</f>
        <v>0.436775</v>
      </c>
      <c r="D110" s="15" t="n">
        <f aca="false">a26_rev</f>
        <v>1.335116</v>
      </c>
      <c r="E110" s="15" t="n">
        <f aca="false">E102+E107+E109</f>
        <v>2.4699646</v>
      </c>
      <c r="F110" s="15" t="n">
        <f aca="false">F102+F107+F109</f>
        <v>3.68326046676117</v>
      </c>
      <c r="G110" s="15" t="n">
        <f aca="false">G102+G107+G109</f>
        <v>3.70052914979096</v>
      </c>
      <c r="H110" s="25" t="n">
        <f aca="false">G110*(1+H111)</f>
        <v>3.76143596906832</v>
      </c>
      <c r="I110" s="26" t="n">
        <f aca="false">H110*(1+I111)</f>
        <v>3.86761932919401</v>
      </c>
      <c r="J110" s="26" t="n">
        <f aca="false">I110*(1+J111)</f>
        <v>4.02232410236177</v>
      </c>
    </row>
    <row r="111" customFormat="false" ht="15" hidden="false" customHeight="false" outlineLevel="0" collapsed="false">
      <c r="A111" s="5" t="s">
        <v>518</v>
      </c>
      <c r="B111" s="0" t="s">
        <v>110</v>
      </c>
      <c r="D111" s="16" t="n">
        <f aca="false">D110/C110-1</f>
        <v>2.05675920096159</v>
      </c>
      <c r="E111" s="16" t="n">
        <f aca="false">E110/D110-1</f>
        <v>0.85</v>
      </c>
      <c r="F111" s="16" t="n">
        <f aca="false">F110/E110-1</f>
        <v>0.49121994167899</v>
      </c>
      <c r="G111" s="16" t="n">
        <f aca="false">G110/F110-1</f>
        <v>0.00468842298437155</v>
      </c>
      <c r="H111" s="27" t="n">
        <f aca="false">$G111+(fade_gB-$G111)*1/3</f>
        <v>0.0164589486562477</v>
      </c>
      <c r="I111" s="22" t="n">
        <f aca="false">$G111+(fade_gB-$G111)*2/3</f>
        <v>0.0282294743281239</v>
      </c>
      <c r="J111" s="22" t="n">
        <f aca="false">$G111+(fade_gB-$G111)*3/3</f>
        <v>0.04</v>
      </c>
    </row>
    <row r="112" customFormat="false" ht="17.15" hidden="false" customHeight="false" outlineLevel="0" collapsed="false">
      <c r="A112" s="0" t="s">
        <v>445</v>
      </c>
      <c r="B112" s="0" t="s">
        <v>110</v>
      </c>
      <c r="D112" s="16" t="n">
        <f aca="false">D102/D110</f>
        <v>0.817650211667001</v>
      </c>
      <c r="E112" s="16" t="n">
        <f aca="false">E102/E110</f>
        <v>0.713568025225949</v>
      </c>
      <c r="F112" s="16" t="n">
        <f aca="false">F102/F110</f>
        <v>0.69538408392668</v>
      </c>
      <c r="G112" s="16" t="n">
        <f aca="false">G102/G110</f>
        <v>0.645456516357263</v>
      </c>
      <c r="H112" s="2"/>
    </row>
    <row r="113" customFormat="false" ht="17.15" hidden="false" customHeight="false" outlineLevel="0" collapsed="false">
      <c r="A113" s="5" t="s">
        <v>519</v>
      </c>
      <c r="B113" s="0" t="s">
        <v>110</v>
      </c>
      <c r="D113" s="16" t="n">
        <f aca="false">D107/D110</f>
        <v>0.112349788332999</v>
      </c>
      <c r="E113" s="16" t="n">
        <f aca="false">E107/E110</f>
        <v>0.242918461260538</v>
      </c>
      <c r="F113" s="16" t="n">
        <f aca="false">F107/F110</f>
        <v>0.271059135385289</v>
      </c>
      <c r="G113" s="16" t="n">
        <f aca="false">G107/G110</f>
        <v>0.316133269183805</v>
      </c>
      <c r="H113" s="2"/>
    </row>
    <row r="114" customFormat="false" ht="17.15" hidden="false" customHeight="false" outlineLevel="0" collapsed="false">
      <c r="A114" s="1" t="s">
        <v>520</v>
      </c>
    </row>
    <row r="115" customFormat="false" ht="17.15" hidden="false" customHeight="false" outlineLevel="0" collapsed="false">
      <c r="A115" s="5" t="s">
        <v>424</v>
      </c>
      <c r="B115" s="0" t="s">
        <v>110</v>
      </c>
      <c r="C115" s="16" t="n">
        <f aca="false">a25_gp/a25_rev</f>
        <v>0.650456184534371</v>
      </c>
      <c r="D115" s="16" t="n">
        <f aca="false">a26_gp/a26_rev</f>
        <v>0.681414199215649</v>
      </c>
      <c r="E115" s="16" t="n">
        <f aca="false">a27_gp/a27_rev</f>
        <v>0.680029538884889</v>
      </c>
      <c r="F115" s="16" t="n">
        <f aca="false">gm_28</f>
        <v>0.67</v>
      </c>
      <c r="G115" s="16" t="n">
        <f aca="false">gm_29</f>
        <v>0.66</v>
      </c>
      <c r="H115" s="2"/>
      <c r="K115" s="8" t="s">
        <v>521</v>
      </c>
    </row>
    <row r="116" customFormat="false" ht="15" hidden="false" customHeight="false" outlineLevel="0" collapsed="false">
      <c r="A116" s="5" t="s">
        <v>522</v>
      </c>
      <c r="B116" s="0" t="s">
        <v>33</v>
      </c>
      <c r="C116" s="15" t="n">
        <f aca="false">C110*C115</f>
        <v>0.284103</v>
      </c>
      <c r="D116" s="15" t="n">
        <f aca="false">D110*D115</f>
        <v>0.909767</v>
      </c>
      <c r="E116" s="15" t="n">
        <f aca="false">E110*E115</f>
        <v>1.679648888</v>
      </c>
      <c r="F116" s="15" t="n">
        <f aca="false">F110*F115</f>
        <v>2.46778451272998</v>
      </c>
      <c r="G116" s="15" t="n">
        <f aca="false">G110*G115</f>
        <v>2.44234923886203</v>
      </c>
      <c r="H116" s="2"/>
    </row>
    <row r="117" customFormat="false" ht="15" hidden="false" customHeight="false" outlineLevel="0" collapsed="false">
      <c r="A117" s="5" t="s">
        <v>523</v>
      </c>
      <c r="B117" s="0" t="s">
        <v>33</v>
      </c>
      <c r="C117" s="15" t="n">
        <f aca="false">a25_opx</f>
        <v>0.168751</v>
      </c>
      <c r="D117" s="15" t="n">
        <f aca="false">a26_opx</f>
        <v>0.270945</v>
      </c>
      <c r="E117" s="15" t="n">
        <f aca="false">a27_opx</f>
        <v>0.4064175</v>
      </c>
      <c r="F117" s="15" t="n">
        <f aca="false">E117*(1+MAX(0,phi*F111))</f>
        <v>0.523853018027836</v>
      </c>
      <c r="G117" s="15" t="n">
        <f aca="false">F117*(1+MAX(0,phi*G111))</f>
        <v>0.525297750104397</v>
      </c>
      <c r="H117" s="2"/>
    </row>
    <row r="118" customFormat="false" ht="15" hidden="false" customHeight="false" outlineLevel="0" collapsed="false">
      <c r="A118" s="5" t="s">
        <v>524</v>
      </c>
      <c r="B118" s="0" t="s">
        <v>33</v>
      </c>
      <c r="C118" s="15" t="n">
        <f aca="false">C117</f>
        <v>0.168751</v>
      </c>
      <c r="D118" s="15" t="n">
        <f aca="false">D117</f>
        <v>0.270945</v>
      </c>
      <c r="E118" s="15" t="n">
        <f aca="false">E117</f>
        <v>0.4064175</v>
      </c>
      <c r="F118" s="15" t="n">
        <f aca="false">F117+0*F110</f>
        <v>0.523853018027836</v>
      </c>
      <c r="G118" s="15" t="n">
        <f aca="false">G117+0*G110</f>
        <v>0.525297750104397</v>
      </c>
      <c r="H118" s="2"/>
    </row>
    <row r="119" customFormat="false" ht="15" hidden="false" customHeight="false" outlineLevel="0" collapsed="false">
      <c r="A119" s="5" t="s">
        <v>525</v>
      </c>
      <c r="B119" s="0" t="s">
        <v>33</v>
      </c>
      <c r="C119" s="15" t="n">
        <f aca="false">C116-C118</f>
        <v>0.115352</v>
      </c>
      <c r="D119" s="15" t="n">
        <f aca="false">D116-D118</f>
        <v>0.638822</v>
      </c>
      <c r="E119" s="15" t="n">
        <f aca="false">E116-E118</f>
        <v>1.273231388</v>
      </c>
      <c r="F119" s="15" t="n">
        <f aca="false">F116-F118</f>
        <v>1.94393149470215</v>
      </c>
      <c r="G119" s="15" t="n">
        <f aca="false">G116-G118</f>
        <v>1.91705148875764</v>
      </c>
      <c r="H119" s="2"/>
    </row>
    <row r="120" customFormat="false" ht="15" hidden="false" customHeight="false" outlineLevel="0" collapsed="false">
      <c r="A120" s="5" t="s">
        <v>493</v>
      </c>
      <c r="B120" s="0" t="s">
        <v>110</v>
      </c>
      <c r="C120" s="16" t="n">
        <f aca="false">C119/C110</f>
        <v>0.264099364661439</v>
      </c>
      <c r="D120" s="16" t="n">
        <f aca="false">D119/D110</f>
        <v>0.478476776549753</v>
      </c>
      <c r="E120" s="16" t="n">
        <f aca="false">E119/E110</f>
        <v>0.515485682669298</v>
      </c>
      <c r="F120" s="16" t="n">
        <f aca="false">F119/F110</f>
        <v>0.527774647556088</v>
      </c>
      <c r="G120" s="16" t="n">
        <f aca="false">G119/G110</f>
        <v>0.5180479361623</v>
      </c>
      <c r="H120" s="2"/>
    </row>
    <row r="121" customFormat="false" ht="15" hidden="false" customHeight="false" outlineLevel="0" collapsed="false">
      <c r="A121" s="5" t="s">
        <v>429</v>
      </c>
      <c r="B121" s="0" t="s">
        <v>33</v>
      </c>
      <c r="C121" s="15" t="n">
        <f aca="false">a25_ninc</f>
        <v>0.017746</v>
      </c>
      <c r="D121" s="15" t="n">
        <f aca="false">a26_ninc</f>
        <v>0.03043</v>
      </c>
      <c r="E121" s="15" t="n">
        <f aca="false">a27_ninc</f>
        <v>0.02914</v>
      </c>
      <c r="F121" s="15" t="n">
        <f aca="false">oth_f</f>
        <v>0.03</v>
      </c>
      <c r="G121" s="15" t="n">
        <f aca="false">oth_f</f>
        <v>0.03</v>
      </c>
      <c r="H121" s="2"/>
    </row>
    <row r="122" customFormat="false" ht="17.15" hidden="false" customHeight="false" outlineLevel="0" collapsed="false">
      <c r="A122" s="5" t="s">
        <v>434</v>
      </c>
      <c r="B122" s="0" t="s">
        <v>110</v>
      </c>
      <c r="C122" s="16" t="n">
        <f aca="false">a25_tx</f>
        <v>0.0238320635922402</v>
      </c>
      <c r="D122" s="16" t="n">
        <f aca="false">a26_tx</f>
        <v>0.0115188299773478</v>
      </c>
      <c r="E122" s="16" t="n">
        <f aca="false">a27_tx</f>
        <v>0.0141840153969967</v>
      </c>
      <c r="F122" s="16" t="n">
        <f aca="false">tx_28</f>
        <v>0.13</v>
      </c>
      <c r="G122" s="16" t="n">
        <f aca="false">tx_29</f>
        <v>0.14</v>
      </c>
      <c r="H122" s="2"/>
      <c r="K122" s="8" t="s">
        <v>526</v>
      </c>
    </row>
    <row r="123" customFormat="false" ht="15" hidden="false" customHeight="false" outlineLevel="0" collapsed="false">
      <c r="A123" s="5" t="s">
        <v>494</v>
      </c>
      <c r="B123" s="0" t="s">
        <v>33</v>
      </c>
      <c r="C123" s="15" t="n">
        <f aca="false">a25_ni</f>
        <v>0.129926</v>
      </c>
      <c r="D123" s="15" t="n">
        <f aca="false">a26_ni</f>
        <v>0.661543</v>
      </c>
      <c r="E123" s="15" t="n">
        <f aca="false">a27_ni</f>
        <v>1.28389853218</v>
      </c>
      <c r="F123" s="15" t="n">
        <f aca="false">(F119+F121)*(1-F122)</f>
        <v>1.71732040039087</v>
      </c>
      <c r="G123" s="15" t="n">
        <f aca="false">(G119+G121)*(1-G122)</f>
        <v>1.67446428033157</v>
      </c>
      <c r="H123" s="25" t="n">
        <f aca="false">H110*H124</f>
        <v>1.64529006188332</v>
      </c>
      <c r="I123" s="26" t="n">
        <f aca="false">I110*I124</f>
        <v>1.63340002043214</v>
      </c>
      <c r="J123" s="26" t="n">
        <f aca="false">J110*J124</f>
        <v>1.63806687763338</v>
      </c>
    </row>
    <row r="124" customFormat="false" ht="15" hidden="false" customHeight="false" outlineLevel="0" collapsed="false">
      <c r="A124" s="5" t="s">
        <v>436</v>
      </c>
      <c r="B124" s="0" t="s">
        <v>110</v>
      </c>
      <c r="C124" s="16" t="n">
        <f aca="false">C123/C110</f>
        <v>0.297466659034972</v>
      </c>
      <c r="D124" s="16" t="n">
        <f aca="false">D123/D110</f>
        <v>0.495494773487847</v>
      </c>
      <c r="E124" s="16" t="n">
        <f aca="false">E123/E110</f>
        <v>0.519804426419715</v>
      </c>
      <c r="F124" s="16" t="n">
        <f aca="false">F123/F110</f>
        <v>0.466250056407489</v>
      </c>
      <c r="G124" s="16" t="n">
        <f aca="false">G123/G110</f>
        <v>0.452493200986177</v>
      </c>
      <c r="H124" s="27" t="n">
        <f aca="false">$G124+(fade_mB-$G124)*1/3</f>
        <v>0.437410094286638</v>
      </c>
      <c r="I124" s="22" t="n">
        <f aca="false">$G124+(fade_mB-$G124)*2/3</f>
        <v>0.422326987587099</v>
      </c>
      <c r="J124" s="22" t="n">
        <f aca="false">$G124+(fade_mB-$G124)*3/3</f>
        <v>0.407243880887559</v>
      </c>
    </row>
    <row r="125" customFormat="false" ht="15" hidden="false" customHeight="false" outlineLevel="0" collapsed="false">
      <c r="A125" s="5" t="s">
        <v>527</v>
      </c>
      <c r="B125" s="5" t="s">
        <v>173</v>
      </c>
      <c r="C125" s="24" t="n">
        <f aca="false">a25_sh</f>
        <v>0.184644</v>
      </c>
      <c r="D125" s="24" t="n">
        <f aca="false">a26_sh</f>
        <v>0.191256</v>
      </c>
      <c r="E125" s="24" t="n">
        <f aca="false">a27_sh</f>
        <v>0.199</v>
      </c>
      <c r="F125" s="24" t="n">
        <f aca="false">E125*(1+sh_g)</f>
        <v>0.201985</v>
      </c>
      <c r="G125" s="24" t="n">
        <f aca="false">F125*(1+sh_g)</f>
        <v>0.205014775</v>
      </c>
      <c r="H125" s="28" t="n">
        <f aca="false">G125*(1+sh_g)</f>
        <v>0.208089996625</v>
      </c>
      <c r="I125" s="29" t="n">
        <f aca="false">H125*(1+sh_g)</f>
        <v>0.211211346574375</v>
      </c>
      <c r="J125" s="29" t="n">
        <f aca="false">I125*(1+sh_g)</f>
        <v>0.214379516772991</v>
      </c>
    </row>
    <row r="126" customFormat="false" ht="17.15" hidden="false" customHeight="false" outlineLevel="0" collapsed="false">
      <c r="A126" s="0" t="s">
        <v>439</v>
      </c>
      <c r="B126" s="0" t="s">
        <v>178</v>
      </c>
      <c r="C126" s="9" t="n">
        <f aca="false">C123/C125</f>
        <v>0.703656766534521</v>
      </c>
      <c r="D126" s="9" t="n">
        <f aca="false">D123/D125</f>
        <v>3.45893985025306</v>
      </c>
      <c r="E126" s="9" t="n">
        <f aca="false">E123/E125</f>
        <v>6.45175141798995</v>
      </c>
      <c r="F126" s="9" t="n">
        <f aca="false">F123/F125</f>
        <v>8.50221749333301</v>
      </c>
      <c r="G126" s="9" t="n">
        <f aca="false">G123/G125</f>
        <v>8.16752978087344</v>
      </c>
      <c r="H126" s="30" t="n">
        <f aca="false">H123/H125</f>
        <v>7.90662736589068</v>
      </c>
      <c r="I126" s="23" t="n">
        <f aca="false">I123/I125</f>
        <v>7.73348613568431</v>
      </c>
      <c r="J126" s="23" t="n">
        <f aca="false">J123/J125</f>
        <v>7.64096730084502</v>
      </c>
    </row>
    <row r="127" customFormat="false" ht="17.15" hidden="false" customHeight="false" outlineLevel="0" collapsed="false">
      <c r="A127" s="0" t="s">
        <v>528</v>
      </c>
      <c r="B127" s="0" t="s">
        <v>110</v>
      </c>
      <c r="D127" s="16" t="n">
        <f aca="false">D126/C126-1</f>
        <v>3.91566345235077</v>
      </c>
      <c r="E127" s="16" t="n">
        <f aca="false">E126/D126-1</f>
        <v>0.865239552378433</v>
      </c>
      <c r="F127" s="16" t="n">
        <f aca="false">F126/E126-1</f>
        <v>0.317815418248381</v>
      </c>
      <c r="G127" s="16" t="n">
        <f aca="false">G126/F126-1</f>
        <v>-0.0393647554560935</v>
      </c>
      <c r="H127" s="27" t="n">
        <f aca="false">H126/G126-1</f>
        <v>-0.0319438584226212</v>
      </c>
      <c r="I127" s="22" t="n">
        <f aca="false">I126/H126-1</f>
        <v>-0.0218982408293708</v>
      </c>
      <c r="J127" s="22" t="n">
        <f aca="false">J126/I126-1</f>
        <v>-0.0119634060520758</v>
      </c>
    </row>
    <row r="130" customFormat="false" ht="17.15" hidden="false" customHeight="false" outlineLevel="0" collapsed="false">
      <c r="A130" s="3" t="s">
        <v>530</v>
      </c>
    </row>
    <row r="131" customFormat="false" ht="17.15" hidden="false" customHeight="false" outlineLevel="0" collapsed="false">
      <c r="A131" s="6" t="s">
        <v>22</v>
      </c>
      <c r="B131" s="6" t="s">
        <v>23</v>
      </c>
      <c r="C131" s="14" t="s">
        <v>412</v>
      </c>
      <c r="D131" s="14" t="s">
        <v>413</v>
      </c>
      <c r="E131" s="14" t="s">
        <v>459</v>
      </c>
      <c r="F131" s="14" t="s">
        <v>460</v>
      </c>
      <c r="G131" s="14" t="s">
        <v>461</v>
      </c>
      <c r="H131" s="14" t="s">
        <v>485</v>
      </c>
      <c r="I131" s="14" t="s">
        <v>486</v>
      </c>
      <c r="J131" s="14" t="s">
        <v>487</v>
      </c>
      <c r="K131" s="6" t="s">
        <v>418</v>
      </c>
    </row>
    <row r="132" customFormat="false" ht="17.15" hidden="false" customHeight="false" outlineLevel="0" collapsed="false">
      <c r="A132" s="1" t="s">
        <v>503</v>
      </c>
    </row>
    <row r="133" customFormat="false" ht="17.15" hidden="false" customHeight="false" outlineLevel="0" collapsed="false">
      <c r="A133" s="0" t="s">
        <v>504</v>
      </c>
      <c r="B133" s="0" t="s">
        <v>33</v>
      </c>
      <c r="E133" s="19" t="n">
        <f aca="false">(w8*mcu_26*1+(1-w8)*mcu_27*1)</f>
        <v>34.3390133333333</v>
      </c>
      <c r="F133" s="19" t="n">
        <f aca="false">(w8*mcu_27*1+(1-w8)*mcu_28*um28_C)</f>
        <v>45.9376</v>
      </c>
      <c r="G133" s="19" t="n">
        <f aca="false">(w8*mcu_28*um28_C+(1-w8)*mcu_29*um29_C)</f>
        <v>35.9773468</v>
      </c>
      <c r="H133" s="2"/>
      <c r="K133" s="8" t="s">
        <v>505</v>
      </c>
    </row>
    <row r="134" customFormat="false" ht="17.15" hidden="false" customHeight="false" outlineLevel="0" collapsed="false">
      <c r="A134" s="0" t="s">
        <v>506</v>
      </c>
      <c r="B134" s="0" t="s">
        <v>110</v>
      </c>
      <c r="E134" s="20" t="n">
        <f aca="false">a27_aec/E133</f>
        <v>0.0513261037785594</v>
      </c>
      <c r="H134" s="2"/>
      <c r="K134" s="8" t="s">
        <v>507</v>
      </c>
    </row>
    <row r="135" customFormat="false" ht="17.15" hidden="false" customHeight="false" outlineLevel="0" collapsed="false">
      <c r="A135" s="0" t="s">
        <v>508</v>
      </c>
      <c r="B135" s="0" t="s">
        <v>76</v>
      </c>
      <c r="E135" s="9" t="n">
        <f aca="false">1</f>
        <v>1</v>
      </c>
      <c r="F135" s="9" t="n">
        <f aca="false">rel_a_28</f>
        <v>1</v>
      </c>
      <c r="G135" s="9" t="n">
        <f aca="false">rel_a_29</f>
        <v>0.95</v>
      </c>
      <c r="H135" s="2"/>
    </row>
    <row r="136" customFormat="false" ht="17.15" hidden="false" customHeight="false" outlineLevel="0" collapsed="false">
      <c r="A136" s="0" t="s">
        <v>509</v>
      </c>
      <c r="B136" s="0" t="s">
        <v>110</v>
      </c>
      <c r="E136" s="20" t="n">
        <f aca="false">$E$134*E135</f>
        <v>0.0513261037785594</v>
      </c>
      <c r="F136" s="20" t="n">
        <f aca="false">$E$134*F135</f>
        <v>0.0513261037785594</v>
      </c>
      <c r="G136" s="20" t="n">
        <f aca="false">$E$134*G135</f>
        <v>0.0487597985896314</v>
      </c>
      <c r="H136" s="2"/>
    </row>
    <row r="137" customFormat="false" ht="17.15" hidden="false" customHeight="false" outlineLevel="0" collapsed="false">
      <c r="A137" s="0" t="s">
        <v>510</v>
      </c>
      <c r="B137" s="0" t="s">
        <v>33</v>
      </c>
      <c r="D137" s="15" t="n">
        <f aca="false">a26_aec</f>
        <v>1.09165788</v>
      </c>
      <c r="E137" s="15" t="n">
        <f aca="false">a27_aec</f>
        <v>1.762487762</v>
      </c>
      <c r="F137" s="15" t="n">
        <f aca="false">F133*F136</f>
        <v>2.35779802493795</v>
      </c>
      <c r="G137" s="15" t="n">
        <f aca="false">G133*G136</f>
        <v>1.75424818375732</v>
      </c>
      <c r="H137" s="2"/>
    </row>
    <row r="138" customFormat="false" ht="17.15" hidden="false" customHeight="false" outlineLevel="0" collapsed="false">
      <c r="A138" s="1" t="s">
        <v>511</v>
      </c>
    </row>
    <row r="139" customFormat="false" ht="17.15" hidden="false" customHeight="false" outlineLevel="0" collapsed="false">
      <c r="A139" s="0" t="s">
        <v>512</v>
      </c>
      <c r="B139" s="0" t="s">
        <v>33</v>
      </c>
      <c r="E139" s="19" t="n">
        <f aca="false">(w8*mplC_26*1+(1-w8)*mplC_27*1)</f>
        <v>38.2528766666667</v>
      </c>
      <c r="F139" s="19" t="n">
        <f aca="false">(w8*mplC_27*1+(1-w8)*mplC_28*um28_C)</f>
        <v>49.3351273333333</v>
      </c>
      <c r="G139" s="19" t="n">
        <f aca="false">(w8*mplC_28*um28_C+(1-w8)*mplC_29*um29_C)</f>
        <v>41.203002</v>
      </c>
      <c r="H139" s="2"/>
    </row>
    <row r="140" customFormat="false" ht="17.15" hidden="false" customHeight="false" outlineLevel="0" collapsed="false">
      <c r="A140" s="0" t="s">
        <v>513</v>
      </c>
      <c r="B140" s="0" t="s">
        <v>110</v>
      </c>
      <c r="E140" s="20" t="n">
        <f aca="false">a27_opt/(w8*mplB_26*1+(1-w8)*mplB_27*1)</f>
        <v>0.0157625345447985</v>
      </c>
      <c r="H140" s="2"/>
    </row>
    <row r="141" customFormat="false" ht="17.15" hidden="false" customHeight="false" outlineLevel="0" collapsed="false">
      <c r="A141" s="5" t="s">
        <v>514</v>
      </c>
      <c r="B141" s="0" t="s">
        <v>76</v>
      </c>
      <c r="E141" s="9" t="n">
        <f aca="false">1</f>
        <v>1</v>
      </c>
      <c r="F141" s="9" t="n">
        <f aca="false">rel_o_28</f>
        <v>1.2</v>
      </c>
      <c r="G141" s="9" t="n">
        <f aca="false">rel_o_29</f>
        <v>1.35</v>
      </c>
      <c r="H141" s="2"/>
    </row>
    <row r="142" customFormat="false" ht="15" hidden="false" customHeight="false" outlineLevel="0" collapsed="false">
      <c r="A142" s="5" t="s">
        <v>515</v>
      </c>
      <c r="B142" s="0" t="s">
        <v>33</v>
      </c>
      <c r="D142" s="15" t="n">
        <f aca="false">a26_opt</f>
        <v>0.15</v>
      </c>
      <c r="E142" s="15" t="n">
        <f aca="false">a27_opt</f>
        <v>0.6</v>
      </c>
      <c r="F142" s="15" t="n">
        <f aca="false">F139*$E$140*F141</f>
        <v>0.933175978636442</v>
      </c>
      <c r="G142" s="15" t="n">
        <f aca="false">G139*$E$140*G141</f>
        <v>0.876776052205444</v>
      </c>
      <c r="H142" s="2"/>
    </row>
    <row r="143" customFormat="false" ht="17.15" hidden="false" customHeight="false" outlineLevel="0" collapsed="false">
      <c r="A143" s="1" t="s">
        <v>516</v>
      </c>
    </row>
    <row r="144" customFormat="false" ht="17.15" hidden="false" customHeight="false" outlineLevel="0" collapsed="false">
      <c r="A144" s="5" t="s">
        <v>517</v>
      </c>
      <c r="B144" s="0" t="s">
        <v>33</v>
      </c>
      <c r="D144" s="15" t="n">
        <f aca="false">a26_ic</f>
        <v>0.09345812</v>
      </c>
      <c r="E144" s="15" t="n">
        <f aca="false">a27_ic</f>
        <v>0.107476838</v>
      </c>
      <c r="F144" s="15" t="n">
        <f aca="false">E144*(1+g_oth)</f>
        <v>0.1235983637</v>
      </c>
      <c r="G144" s="15" t="n">
        <f aca="false">F144*(1+g_oth)</f>
        <v>0.142138118255</v>
      </c>
      <c r="H144" s="2"/>
    </row>
    <row r="145" customFormat="false" ht="15" hidden="false" customHeight="false" outlineLevel="0" collapsed="false">
      <c r="A145" s="5" t="s">
        <v>419</v>
      </c>
      <c r="B145" s="0" t="s">
        <v>33</v>
      </c>
      <c r="C145" s="15" t="n">
        <f aca="false">a25_rev</f>
        <v>0.436775</v>
      </c>
      <c r="D145" s="15" t="n">
        <f aca="false">a26_rev</f>
        <v>1.335116</v>
      </c>
      <c r="E145" s="15" t="n">
        <f aca="false">E137+E142+E144</f>
        <v>2.4699646</v>
      </c>
      <c r="F145" s="15" t="n">
        <f aca="false">F137+F142+F144</f>
        <v>3.41457236727439</v>
      </c>
      <c r="G145" s="15" t="n">
        <f aca="false">G137+G142+G144</f>
        <v>2.77316235421776</v>
      </c>
      <c r="H145" s="25" t="n">
        <f aca="false">G145*(1+H146)</f>
        <v>2.44436716207399</v>
      </c>
      <c r="I145" s="26" t="n">
        <f aca="false">H145*(1+I146)</f>
        <v>2.32390475390794</v>
      </c>
      <c r="J145" s="26" t="n">
        <f aca="false">I145*(1+J146)</f>
        <v>2.3703828489861</v>
      </c>
    </row>
    <row r="146" customFormat="false" ht="15" hidden="false" customHeight="false" outlineLevel="0" collapsed="false">
      <c r="A146" s="5" t="s">
        <v>518</v>
      </c>
      <c r="B146" s="0" t="s">
        <v>110</v>
      </c>
      <c r="D146" s="16" t="n">
        <f aca="false">D145/C145-1</f>
        <v>2.05675920096159</v>
      </c>
      <c r="E146" s="16" t="n">
        <f aca="false">E145/D145-1</f>
        <v>0.85</v>
      </c>
      <c r="F146" s="16" t="n">
        <f aca="false">F145/E145-1</f>
        <v>0.382437775535078</v>
      </c>
      <c r="G146" s="16" t="n">
        <f aca="false">G145/F145-1</f>
        <v>-0.187844902396553</v>
      </c>
      <c r="H146" s="27" t="n">
        <f aca="false">$G146+(fade_gC-$G146)*1/3</f>
        <v>-0.118563268264369</v>
      </c>
      <c r="I146" s="22" t="n">
        <f aca="false">$G146+(fade_gC-$G146)*2/3</f>
        <v>-0.0492816341321845</v>
      </c>
      <c r="J146" s="22" t="n">
        <f aca="false">$G146+(fade_gC-$G146)*3/3</f>
        <v>0.02</v>
      </c>
    </row>
    <row r="147" customFormat="false" ht="17.15" hidden="false" customHeight="false" outlineLevel="0" collapsed="false">
      <c r="A147" s="0" t="s">
        <v>445</v>
      </c>
      <c r="B147" s="0" t="s">
        <v>110</v>
      </c>
      <c r="D147" s="16" t="n">
        <f aca="false">D137/D145</f>
        <v>0.817650211667001</v>
      </c>
      <c r="E147" s="16" t="n">
        <f aca="false">E137/E145</f>
        <v>0.713568025225949</v>
      </c>
      <c r="F147" s="16" t="n">
        <f aca="false">F137/F145</f>
        <v>0.69051048603782</v>
      </c>
      <c r="G147" s="16" t="n">
        <f aca="false">G137/G145</f>
        <v>0.632580411705519</v>
      </c>
      <c r="H147" s="2"/>
    </row>
    <row r="148" customFormat="false" ht="17.15" hidden="false" customHeight="false" outlineLevel="0" collapsed="false">
      <c r="A148" s="5" t="s">
        <v>519</v>
      </c>
      <c r="B148" s="0" t="s">
        <v>110</v>
      </c>
      <c r="D148" s="16" t="n">
        <f aca="false">D142/D145</f>
        <v>0.112349788332999</v>
      </c>
      <c r="E148" s="16" t="n">
        <f aca="false">E142/E145</f>
        <v>0.242918461260538</v>
      </c>
      <c r="F148" s="16" t="n">
        <f aca="false">F142/F145</f>
        <v>0.273292195409327</v>
      </c>
      <c r="G148" s="16" t="n">
        <f aca="false">G142/G145</f>
        <v>0.316164703040894</v>
      </c>
      <c r="H148" s="2"/>
    </row>
    <row r="149" customFormat="false" ht="17.15" hidden="false" customHeight="false" outlineLevel="0" collapsed="false">
      <c r="A149" s="1" t="s">
        <v>520</v>
      </c>
    </row>
    <row r="150" customFormat="false" ht="17.15" hidden="false" customHeight="false" outlineLevel="0" collapsed="false">
      <c r="A150" s="5" t="s">
        <v>424</v>
      </c>
      <c r="B150" s="0" t="s">
        <v>110</v>
      </c>
      <c r="C150" s="16" t="n">
        <f aca="false">a25_gp/a25_rev</f>
        <v>0.650456184534371</v>
      </c>
      <c r="D150" s="16" t="n">
        <f aca="false">a26_gp/a26_rev</f>
        <v>0.681414199215649</v>
      </c>
      <c r="E150" s="16" t="n">
        <f aca="false">a27_gp/a27_rev</f>
        <v>0.680029538884889</v>
      </c>
      <c r="F150" s="16" t="n">
        <f aca="false">gm_28</f>
        <v>0.67</v>
      </c>
      <c r="G150" s="16" t="n">
        <f aca="false">gm_29</f>
        <v>0.66</v>
      </c>
      <c r="H150" s="2"/>
      <c r="K150" s="8" t="s">
        <v>521</v>
      </c>
    </row>
    <row r="151" customFormat="false" ht="15" hidden="false" customHeight="false" outlineLevel="0" collapsed="false">
      <c r="A151" s="5" t="s">
        <v>522</v>
      </c>
      <c r="B151" s="0" t="s">
        <v>33</v>
      </c>
      <c r="C151" s="15" t="n">
        <f aca="false">C145*C150</f>
        <v>0.284103</v>
      </c>
      <c r="D151" s="15" t="n">
        <f aca="false">D145*D150</f>
        <v>0.909767</v>
      </c>
      <c r="E151" s="15" t="n">
        <f aca="false">E145*E150</f>
        <v>1.679648888</v>
      </c>
      <c r="F151" s="15" t="n">
        <f aca="false">F145*F150</f>
        <v>2.28776348607384</v>
      </c>
      <c r="G151" s="15" t="n">
        <f aca="false">G145*G150</f>
        <v>1.83028715378372</v>
      </c>
      <c r="H151" s="2"/>
    </row>
    <row r="152" customFormat="false" ht="15" hidden="false" customHeight="false" outlineLevel="0" collapsed="false">
      <c r="A152" s="5" t="s">
        <v>523</v>
      </c>
      <c r="B152" s="0" t="s">
        <v>33</v>
      </c>
      <c r="C152" s="15" t="n">
        <f aca="false">a25_opx</f>
        <v>0.168751</v>
      </c>
      <c r="D152" s="15" t="n">
        <f aca="false">a26_opx</f>
        <v>0.270945</v>
      </c>
      <c r="E152" s="15" t="n">
        <f aca="false">a27_opx</f>
        <v>0.4064175</v>
      </c>
      <c r="F152" s="15" t="n">
        <f aca="false">E152*(1+MAX(0,phi*F146))</f>
        <v>0.497846561552075</v>
      </c>
      <c r="G152" s="15" t="n">
        <f aca="false">F152*(1+MAX(0,phi*G146))</f>
        <v>0.497846561552075</v>
      </c>
      <c r="H152" s="2"/>
    </row>
    <row r="153" customFormat="false" ht="15" hidden="false" customHeight="false" outlineLevel="0" collapsed="false">
      <c r="A153" s="5" t="s">
        <v>524</v>
      </c>
      <c r="B153" s="0" t="s">
        <v>33</v>
      </c>
      <c r="C153" s="15" t="n">
        <f aca="false">C152</f>
        <v>0.168751</v>
      </c>
      <c r="D153" s="15" t="n">
        <f aca="false">D152</f>
        <v>0.270945</v>
      </c>
      <c r="E153" s="15" t="n">
        <f aca="false">E152</f>
        <v>0.4064175</v>
      </c>
      <c r="F153" s="15" t="n">
        <f aca="false">F152+0*F145</f>
        <v>0.497846561552075</v>
      </c>
      <c r="G153" s="15" t="n">
        <f aca="false">G152+0*G145</f>
        <v>0.497846561552075</v>
      </c>
      <c r="H153" s="2"/>
    </row>
    <row r="154" customFormat="false" ht="15" hidden="false" customHeight="false" outlineLevel="0" collapsed="false">
      <c r="A154" s="5" t="s">
        <v>525</v>
      </c>
      <c r="B154" s="0" t="s">
        <v>33</v>
      </c>
      <c r="C154" s="15" t="n">
        <f aca="false">C151-C153</f>
        <v>0.115352</v>
      </c>
      <c r="D154" s="15" t="n">
        <f aca="false">D151-D153</f>
        <v>0.638822</v>
      </c>
      <c r="E154" s="15" t="n">
        <f aca="false">E151-E153</f>
        <v>1.273231388</v>
      </c>
      <c r="F154" s="15" t="n">
        <f aca="false">F151-F153</f>
        <v>1.78991692452177</v>
      </c>
      <c r="G154" s="15" t="n">
        <f aca="false">G151-G153</f>
        <v>1.33244059223165</v>
      </c>
      <c r="H154" s="2"/>
    </row>
    <row r="155" customFormat="false" ht="15" hidden="false" customHeight="false" outlineLevel="0" collapsed="false">
      <c r="A155" s="5" t="s">
        <v>493</v>
      </c>
      <c r="B155" s="0" t="s">
        <v>110</v>
      </c>
      <c r="C155" s="16" t="n">
        <f aca="false">C154/C145</f>
        <v>0.264099364661439</v>
      </c>
      <c r="D155" s="16" t="n">
        <f aca="false">D154/D145</f>
        <v>0.478476776549753</v>
      </c>
      <c r="E155" s="16" t="n">
        <f aca="false">E154/E145</f>
        <v>0.515485682669298</v>
      </c>
      <c r="F155" s="16" t="n">
        <f aca="false">F154/F145</f>
        <v>0.524199440514576</v>
      </c>
      <c r="G155" s="16" t="n">
        <f aca="false">G154/G145</f>
        <v>0.480476950873472</v>
      </c>
      <c r="H155" s="2"/>
    </row>
    <row r="156" customFormat="false" ht="15" hidden="false" customHeight="false" outlineLevel="0" collapsed="false">
      <c r="A156" s="5" t="s">
        <v>429</v>
      </c>
      <c r="B156" s="0" t="s">
        <v>33</v>
      </c>
      <c r="C156" s="15" t="n">
        <f aca="false">a25_ninc</f>
        <v>0.017746</v>
      </c>
      <c r="D156" s="15" t="n">
        <f aca="false">a26_ninc</f>
        <v>0.03043</v>
      </c>
      <c r="E156" s="15" t="n">
        <f aca="false">a27_ninc</f>
        <v>0.02914</v>
      </c>
      <c r="F156" s="15" t="n">
        <f aca="false">oth_f</f>
        <v>0.03</v>
      </c>
      <c r="G156" s="15" t="n">
        <f aca="false">oth_f</f>
        <v>0.03</v>
      </c>
      <c r="H156" s="2"/>
    </row>
    <row r="157" customFormat="false" ht="17.15" hidden="false" customHeight="false" outlineLevel="0" collapsed="false">
      <c r="A157" s="5" t="s">
        <v>434</v>
      </c>
      <c r="B157" s="0" t="s">
        <v>110</v>
      </c>
      <c r="C157" s="16" t="n">
        <f aca="false">a25_tx</f>
        <v>0.0238320635922402</v>
      </c>
      <c r="D157" s="16" t="n">
        <f aca="false">a26_tx</f>
        <v>0.0115188299773478</v>
      </c>
      <c r="E157" s="16" t="n">
        <f aca="false">a27_tx</f>
        <v>0.0141840153969967</v>
      </c>
      <c r="F157" s="16" t="n">
        <f aca="false">tx_28</f>
        <v>0.13</v>
      </c>
      <c r="G157" s="16" t="n">
        <f aca="false">tx_29</f>
        <v>0.14</v>
      </c>
      <c r="H157" s="2"/>
      <c r="K157" s="8" t="s">
        <v>526</v>
      </c>
    </row>
    <row r="158" customFormat="false" ht="15" hidden="false" customHeight="false" outlineLevel="0" collapsed="false">
      <c r="A158" s="5" t="s">
        <v>494</v>
      </c>
      <c r="B158" s="0" t="s">
        <v>33</v>
      </c>
      <c r="C158" s="15" t="n">
        <f aca="false">a25_ni</f>
        <v>0.129926</v>
      </c>
      <c r="D158" s="15" t="n">
        <f aca="false">a26_ni</f>
        <v>0.661543</v>
      </c>
      <c r="E158" s="15" t="n">
        <f aca="false">a27_ni</f>
        <v>1.28389853218</v>
      </c>
      <c r="F158" s="15" t="n">
        <f aca="false">(F154+F156)*(1-F157)</f>
        <v>1.58332772433394</v>
      </c>
      <c r="G158" s="15" t="n">
        <f aca="false">(G154+G156)*(1-G157)</f>
        <v>1.17169890931922</v>
      </c>
      <c r="H158" s="25" t="n">
        <f aca="false">H145*H159</f>
        <v>0.963926560061299</v>
      </c>
      <c r="I158" s="26" t="n">
        <f aca="false">I145*I159</f>
        <v>0.850963920855344</v>
      </c>
      <c r="J158" s="26" t="n">
        <f aca="false">J145*J159</f>
        <v>0.801215260866878</v>
      </c>
    </row>
    <row r="159" customFormat="false" ht="15" hidden="false" customHeight="false" outlineLevel="0" collapsed="false">
      <c r="A159" s="5" t="s">
        <v>436</v>
      </c>
      <c r="B159" s="0" t="s">
        <v>110</v>
      </c>
      <c r="C159" s="16" t="n">
        <f aca="false">C158/C145</f>
        <v>0.297466659034972</v>
      </c>
      <c r="D159" s="16" t="n">
        <f aca="false">D158/D145</f>
        <v>0.495494773487847</v>
      </c>
      <c r="E159" s="16" t="n">
        <f aca="false">E158/E145</f>
        <v>0.519804426419715</v>
      </c>
      <c r="F159" s="16" t="n">
        <f aca="false">F158/F145</f>
        <v>0.46369722296962</v>
      </c>
      <c r="G159" s="16" t="n">
        <f aca="false">G158/G145</f>
        <v>0.422513635935219</v>
      </c>
      <c r="H159" s="27" t="n">
        <f aca="false">$G159+(fade_mC-$G159)*1/3</f>
        <v>0.394346060206204</v>
      </c>
      <c r="I159" s="22" t="n">
        <f aca="false">$G159+(fade_mC-$G159)*2/3</f>
        <v>0.36617848447719</v>
      </c>
      <c r="J159" s="22" t="n">
        <f aca="false">$G159+(fade_mC-$G159)*3/3</f>
        <v>0.338010908748175</v>
      </c>
    </row>
    <row r="160" customFormat="false" ht="15" hidden="false" customHeight="false" outlineLevel="0" collapsed="false">
      <c r="A160" s="5" t="s">
        <v>527</v>
      </c>
      <c r="B160" s="5" t="s">
        <v>173</v>
      </c>
      <c r="C160" s="24" t="n">
        <f aca="false">a25_sh</f>
        <v>0.184644</v>
      </c>
      <c r="D160" s="24" t="n">
        <f aca="false">a26_sh</f>
        <v>0.191256</v>
      </c>
      <c r="E160" s="24" t="n">
        <f aca="false">a27_sh</f>
        <v>0.199</v>
      </c>
      <c r="F160" s="24" t="n">
        <f aca="false">E160*(1+sh_g)</f>
        <v>0.201985</v>
      </c>
      <c r="G160" s="24" t="n">
        <f aca="false">F160*(1+sh_g)</f>
        <v>0.205014775</v>
      </c>
      <c r="H160" s="28" t="n">
        <f aca="false">G160*(1+sh_g)</f>
        <v>0.208089996625</v>
      </c>
      <c r="I160" s="29" t="n">
        <f aca="false">H160*(1+sh_g)</f>
        <v>0.211211346574375</v>
      </c>
      <c r="J160" s="29" t="n">
        <f aca="false">I160*(1+sh_g)</f>
        <v>0.214379516772991</v>
      </c>
    </row>
    <row r="161" customFormat="false" ht="17.15" hidden="false" customHeight="false" outlineLevel="0" collapsed="false">
      <c r="A161" s="0" t="s">
        <v>439</v>
      </c>
      <c r="B161" s="0" t="s">
        <v>178</v>
      </c>
      <c r="C161" s="9" t="n">
        <f aca="false">C158/C160</f>
        <v>0.703656766534521</v>
      </c>
      <c r="D161" s="9" t="n">
        <f aca="false">D158/D160</f>
        <v>3.45893985025306</v>
      </c>
      <c r="E161" s="9" t="n">
        <f aca="false">E158/E160</f>
        <v>6.45175141798995</v>
      </c>
      <c r="F161" s="9" t="n">
        <f aca="false">F158/F160</f>
        <v>7.83883815300115</v>
      </c>
      <c r="G161" s="9" t="n">
        <f aca="false">G158/G160</f>
        <v>5.71519252365698</v>
      </c>
      <c r="H161" s="30" t="n">
        <f aca="false">H158/H160</f>
        <v>4.63225804072839</v>
      </c>
      <c r="I161" s="23" t="n">
        <f aca="false">I158/I160</f>
        <v>4.02896877775309</v>
      </c>
      <c r="J161" s="23" t="n">
        <f aca="false">J158/J160</f>
        <v>3.73736853654398</v>
      </c>
    </row>
    <row r="162" customFormat="false" ht="17.15" hidden="false" customHeight="false" outlineLevel="0" collapsed="false">
      <c r="A162" s="0" t="s">
        <v>528</v>
      </c>
      <c r="B162" s="0" t="s">
        <v>110</v>
      </c>
      <c r="D162" s="16" t="n">
        <f aca="false">D161/C161-1</f>
        <v>3.91566345235077</v>
      </c>
      <c r="E162" s="16" t="n">
        <f aca="false">E161/D161-1</f>
        <v>0.865239552378433</v>
      </c>
      <c r="F162" s="16" t="n">
        <f aca="false">F161/E161-1</f>
        <v>0.214993828054731</v>
      </c>
      <c r="G162" s="16" t="n">
        <f aca="false">G161/F161-1</f>
        <v>-0.270913314944654</v>
      </c>
      <c r="H162" s="27" t="n">
        <f aca="false">H161/G161-1</f>
        <v>-0.189483465070684</v>
      </c>
      <c r="I162" s="22" t="n">
        <f aca="false">I161/H161-1</f>
        <v>-0.130236540726136</v>
      </c>
      <c r="J162" s="22" t="n">
        <f aca="false">J161/I161-1</f>
        <v>-0.0723758999621068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531</v>
      </c>
    </row>
    <row r="2" customFormat="false" ht="17.15" hidden="false" customHeight="false" outlineLevel="0" collapsed="false">
      <c r="A2" s="5" t="s">
        <v>532</v>
      </c>
    </row>
    <row r="4" customFormat="false" ht="17.15" hidden="false" customHeight="false" outlineLevel="0" collapsed="false">
      <c r="A4" s="1" t="s">
        <v>533</v>
      </c>
    </row>
    <row r="5" customFormat="false" ht="17.15" hidden="false" customHeight="false" outlineLevel="0" collapsed="false">
      <c r="A5" s="1" t="s">
        <v>534</v>
      </c>
    </row>
    <row r="6" customFormat="false" ht="17.15" hidden="false" customHeight="false" outlineLevel="0" collapsed="false">
      <c r="A6" s="6" t="s">
        <v>22</v>
      </c>
      <c r="B6" s="14" t="s">
        <v>535</v>
      </c>
      <c r="C6" s="14" t="s">
        <v>536</v>
      </c>
      <c r="D6" s="14" t="s">
        <v>537</v>
      </c>
      <c r="E6" s="6" t="s">
        <v>418</v>
      </c>
    </row>
    <row r="7" customFormat="false" ht="17.15" hidden="false" customHeight="false" outlineLevel="0" collapsed="false">
      <c r="A7" s="5" t="s">
        <v>538</v>
      </c>
      <c r="E7" s="0" t="s">
        <v>539</v>
      </c>
    </row>
    <row r="8" customFormat="false" ht="15" hidden="false" customHeight="false" outlineLevel="0" collapsed="false">
      <c r="A8" s="0" t="s">
        <v>540</v>
      </c>
      <c r="B8" s="9" t="n">
        <f aca="false">PL!E14</f>
        <v>6.45175141798995</v>
      </c>
      <c r="C8" s="9" t="n">
        <f aca="false">PL!E27</f>
        <v>6.45175141798995</v>
      </c>
      <c r="D8" s="9" t="n">
        <f aca="false">PL!E40</f>
        <v>6.45175141798995</v>
      </c>
    </row>
    <row r="9" customFormat="false" ht="15" hidden="false" customHeight="false" outlineLevel="0" collapsed="false">
      <c r="A9" s="0" t="s">
        <v>541</v>
      </c>
      <c r="B9" s="9" t="n">
        <f aca="false">PL!F14</f>
        <v>9.10992799995955</v>
      </c>
      <c r="C9" s="9" t="n">
        <f aca="false">PL!F27</f>
        <v>8.50221749333301</v>
      </c>
      <c r="D9" s="9" t="n">
        <f aca="false">PL!F40</f>
        <v>7.83883815300115</v>
      </c>
    </row>
    <row r="10" customFormat="false" ht="15" hidden="false" customHeight="false" outlineLevel="0" collapsed="false">
      <c r="A10" s="0" t="s">
        <v>542</v>
      </c>
      <c r="B10" s="9" t="n">
        <f aca="false">PL!G14</f>
        <v>9.86266289720744</v>
      </c>
      <c r="C10" s="9" t="n">
        <f aca="false">PL!G27</f>
        <v>8.16752978087344</v>
      </c>
      <c r="D10" s="9" t="n">
        <f aca="false">PL!G40</f>
        <v>5.71519252365698</v>
      </c>
    </row>
    <row r="11" customFormat="false" ht="15" hidden="false" customHeight="false" outlineLevel="0" collapsed="false">
      <c r="A11" s="0" t="s">
        <v>543</v>
      </c>
      <c r="B11" s="9" t="n">
        <f aca="false">PL!H14</f>
        <v>10.6968042143153</v>
      </c>
      <c r="C11" s="9" t="n">
        <f aca="false">PL!H27</f>
        <v>7.90662736589068</v>
      </c>
      <c r="D11" s="9" t="n">
        <f aca="false">PL!H40</f>
        <v>4.63225804072839</v>
      </c>
    </row>
    <row r="12" customFormat="false" ht="15" hidden="false" customHeight="false" outlineLevel="0" collapsed="false">
      <c r="A12" s="0" t="s">
        <v>544</v>
      </c>
      <c r="B12" s="9" t="n">
        <f aca="false">PL!I14</f>
        <v>11.386270178712</v>
      </c>
      <c r="C12" s="9" t="n">
        <f aca="false">PL!I27</f>
        <v>7.73348613568431</v>
      </c>
      <c r="D12" s="9" t="n">
        <f aca="false">PL!I40</f>
        <v>4.02896877775309</v>
      </c>
    </row>
    <row r="13" customFormat="false" ht="15" hidden="false" customHeight="false" outlineLevel="0" collapsed="false">
      <c r="A13" s="0" t="s">
        <v>545</v>
      </c>
      <c r="B13" s="9" t="n">
        <f aca="false">PL!J14</f>
        <v>11.8910801866352</v>
      </c>
      <c r="C13" s="9" t="n">
        <f aca="false">PL!J27</f>
        <v>7.64096730084502</v>
      </c>
      <c r="D13" s="9" t="n">
        <f aca="false">PL!J40</f>
        <v>3.73736853654398</v>
      </c>
    </row>
    <row r="14" customFormat="false" ht="17.15" hidden="false" customHeight="false" outlineLevel="0" collapsed="false">
      <c r="A14" s="5" t="s">
        <v>546</v>
      </c>
    </row>
    <row r="15" customFormat="false" ht="17.15" hidden="false" customHeight="false" outlineLevel="0" collapsed="false">
      <c r="A15" s="5" t="s">
        <v>547</v>
      </c>
      <c r="B15" s="16" t="n">
        <f aca="false">IF(tp_roe&lt;=tp_g,0.8,MIN(tp_g/tp_roe,0.8))</f>
        <v>0.2</v>
      </c>
      <c r="E15" s="8" t="s">
        <v>548</v>
      </c>
    </row>
    <row r="16" customFormat="false" ht="15" hidden="false" customHeight="false" outlineLevel="0" collapsed="false">
      <c r="A16" s="0" t="s">
        <v>540</v>
      </c>
      <c r="B16" s="9" t="n">
        <f aca="false">B8*(1-$B$15)</f>
        <v>5.16140113439196</v>
      </c>
      <c r="C16" s="9" t="n">
        <f aca="false">C8*(1-$B$15)</f>
        <v>5.16140113439196</v>
      </c>
      <c r="D16" s="9" t="n">
        <f aca="false">D8*(1-$B$15)</f>
        <v>5.16140113439196</v>
      </c>
    </row>
    <row r="17" customFormat="false" ht="15" hidden="false" customHeight="false" outlineLevel="0" collapsed="false">
      <c r="A17" s="0" t="s">
        <v>541</v>
      </c>
      <c r="B17" s="9" t="n">
        <f aca="false">B9*(1-$B$15)</f>
        <v>7.28794239996764</v>
      </c>
      <c r="C17" s="9" t="n">
        <f aca="false">C9*(1-$B$15)</f>
        <v>6.80177399466641</v>
      </c>
      <c r="D17" s="9" t="n">
        <f aca="false">D9*(1-$B$15)</f>
        <v>6.27107052240092</v>
      </c>
    </row>
    <row r="18" customFormat="false" ht="15" hidden="false" customHeight="false" outlineLevel="0" collapsed="false">
      <c r="A18" s="0" t="s">
        <v>542</v>
      </c>
      <c r="B18" s="9" t="n">
        <f aca="false">B10*(1-$B$15)</f>
        <v>7.89013031776595</v>
      </c>
      <c r="C18" s="9" t="n">
        <f aca="false">C10*(1-$B$15)</f>
        <v>6.53402382469875</v>
      </c>
      <c r="D18" s="9" t="n">
        <f aca="false">D10*(1-$B$15)</f>
        <v>4.57215401892558</v>
      </c>
    </row>
    <row r="19" customFormat="false" ht="15" hidden="false" customHeight="false" outlineLevel="0" collapsed="false">
      <c r="A19" s="0" t="s">
        <v>543</v>
      </c>
      <c r="B19" s="9" t="n">
        <f aca="false">B11*(1-$B$15)</f>
        <v>8.55744337145228</v>
      </c>
      <c r="C19" s="9" t="n">
        <f aca="false">C11*(1-$B$15)</f>
        <v>6.32530189271254</v>
      </c>
      <c r="D19" s="9" t="n">
        <f aca="false">D11*(1-$B$15)</f>
        <v>3.70580643258271</v>
      </c>
    </row>
    <row r="20" customFormat="false" ht="15" hidden="false" customHeight="false" outlineLevel="0" collapsed="false">
      <c r="A20" s="0" t="s">
        <v>544</v>
      </c>
      <c r="B20" s="9" t="n">
        <f aca="false">B12*(1-$B$15)</f>
        <v>9.10901614296957</v>
      </c>
      <c r="C20" s="9" t="n">
        <f aca="false">C12*(1-$B$15)</f>
        <v>6.18678890854745</v>
      </c>
      <c r="D20" s="9" t="n">
        <f aca="false">D12*(1-$B$15)</f>
        <v>3.22317502220247</v>
      </c>
    </row>
    <row r="21" customFormat="false" ht="15" hidden="false" customHeight="false" outlineLevel="0" collapsed="false">
      <c r="A21" s="0" t="s">
        <v>545</v>
      </c>
      <c r="B21" s="9" t="n">
        <f aca="false">B13*(1-$B$15)</f>
        <v>9.51286414930812</v>
      </c>
      <c r="C21" s="9" t="n">
        <f aca="false">C13*(1-$B$15)</f>
        <v>6.11277384067602</v>
      </c>
      <c r="D21" s="9" t="n">
        <f aca="false">D13*(1-$B$15)</f>
        <v>2.98989482923519</v>
      </c>
    </row>
    <row r="22" customFormat="false" ht="17.15" hidden="false" customHeight="false" outlineLevel="0" collapsed="false">
      <c r="A22" s="0" t="s">
        <v>549</v>
      </c>
      <c r="B22" s="19" t="n">
        <f aca="false">SUMPRODUCT(B16:B21,1/(1+tp_r)^{1;2;3;4;5;6})+B21*(1+tp_g)/(tp_r-tp_g)/(1+tp_r)^6</f>
        <v>126.589748646755</v>
      </c>
      <c r="C22" s="19" t="n">
        <f aca="false">SUMPRODUCT(C16:C21,1/(1+tp_r)^{1;2;3;4;5;6})+C21*(1+tp_g)/(tp_r-tp_g)/(1+tp_r)^6</f>
        <v>86.6435616155428</v>
      </c>
      <c r="D22" s="19" t="n">
        <f aca="false">SUMPRODUCT(D16:D21,1/(1+tp_r)^{1;2;3;4;5;6})+D21*(1+tp_g)/(tp_r-tp_g)/(1+tp_r)^6</f>
        <v>48.7839573888864</v>
      </c>
      <c r="E22" s="8" t="s">
        <v>550</v>
      </c>
    </row>
    <row r="23" customFormat="false" ht="17.15" hidden="false" customHeight="false" outlineLevel="0" collapsed="false">
      <c r="A23" s="0" t="s">
        <v>551</v>
      </c>
      <c r="B23" s="19" t="n">
        <f aca="false">B22*(1+tp_r)</f>
        <v>139.248723511431</v>
      </c>
      <c r="C23" s="19" t="n">
        <f aca="false">C22*(1+tp_r)</f>
        <v>95.3079177770971</v>
      </c>
      <c r="D23" s="19" t="n">
        <f aca="false">D22*(1+tp_r)</f>
        <v>53.662353127775</v>
      </c>
    </row>
    <row r="24" customFormat="false" ht="17.15" hidden="false" customHeight="false" outlineLevel="0" collapsed="false">
      <c r="A24" s="0" t="s">
        <v>552</v>
      </c>
      <c r="B24" s="31" t="n">
        <f aca="false">tp_wA*B23+tp_wB*C23+tp_wC*D23</f>
        <v>100.161046567533</v>
      </c>
      <c r="E24" s="8" t="s">
        <v>553</v>
      </c>
    </row>
    <row r="26" customFormat="false" ht="17.15" hidden="false" customHeight="false" outlineLevel="0" collapsed="false">
      <c r="A26" s="1" t="s">
        <v>554</v>
      </c>
    </row>
    <row r="27" customFormat="false" ht="17.15" hidden="false" customHeight="false" outlineLevel="0" collapsed="false">
      <c r="A27" s="6" t="s">
        <v>555</v>
      </c>
      <c r="B27" s="6" t="s">
        <v>556</v>
      </c>
      <c r="C27" s="6" t="s">
        <v>557</v>
      </c>
      <c r="D27" s="6" t="s">
        <v>558</v>
      </c>
      <c r="E27" s="6" t="s">
        <v>559</v>
      </c>
      <c r="F27" s="6" t="s">
        <v>27</v>
      </c>
    </row>
    <row r="28" customFormat="false" ht="17.15" hidden="false" customHeight="false" outlineLevel="0" collapsed="false">
      <c r="A28" s="0" t="s">
        <v>560</v>
      </c>
      <c r="B28" s="0" t="s">
        <v>561</v>
      </c>
      <c r="C28" s="32" t="n">
        <v>45.77</v>
      </c>
      <c r="D28" s="8" t="s">
        <v>562</v>
      </c>
      <c r="E28" s="8" t="s">
        <v>563</v>
      </c>
      <c r="F28" s="8" t="s">
        <v>115</v>
      </c>
    </row>
    <row r="29" customFormat="false" ht="17.15" hidden="false" customHeight="false" outlineLevel="0" collapsed="false">
      <c r="A29" s="0" t="s">
        <v>564</v>
      </c>
      <c r="B29" s="0" t="s">
        <v>565</v>
      </c>
      <c r="C29" s="32" t="n">
        <v>40.44</v>
      </c>
      <c r="D29" s="8" t="s">
        <v>562</v>
      </c>
      <c r="E29" s="8" t="s">
        <v>563</v>
      </c>
      <c r="F29" s="8" t="s">
        <v>115</v>
      </c>
    </row>
    <row r="30" customFormat="false" ht="17.15" hidden="false" customHeight="false" outlineLevel="0" collapsed="false">
      <c r="A30" s="0" t="s">
        <v>566</v>
      </c>
      <c r="B30" s="0" t="s">
        <v>567</v>
      </c>
      <c r="C30" s="32" t="n">
        <v>18.52</v>
      </c>
      <c r="D30" s="8" t="s">
        <v>562</v>
      </c>
      <c r="E30" s="8" t="s">
        <v>563</v>
      </c>
      <c r="F30" s="8" t="s">
        <v>115</v>
      </c>
    </row>
    <row r="31" customFormat="false" ht="17.15" hidden="false" customHeight="false" outlineLevel="0" collapsed="false">
      <c r="A31" s="0" t="s">
        <v>568</v>
      </c>
      <c r="B31" s="0" t="s">
        <v>569</v>
      </c>
      <c r="C31" s="32" t="n">
        <v>28.59</v>
      </c>
      <c r="D31" s="8" t="s">
        <v>562</v>
      </c>
      <c r="E31" s="8" t="s">
        <v>563</v>
      </c>
      <c r="F31" s="8" t="s">
        <v>115</v>
      </c>
    </row>
    <row r="33" customFormat="false" ht="17.15" hidden="false" customHeight="false" outlineLevel="0" collapsed="false">
      <c r="A33" s="5" t="s">
        <v>570</v>
      </c>
      <c r="B33" s="33" t="n">
        <f aca="false">MEDIAN(C28:C31)</f>
        <v>34.515</v>
      </c>
      <c r="E33" s="5" t="s">
        <v>571</v>
      </c>
    </row>
    <row r="34" customFormat="false" ht="17.15" hidden="false" customHeight="false" outlineLevel="0" collapsed="false">
      <c r="A34" s="0" t="s">
        <v>572</v>
      </c>
      <c r="B34" s="9" t="n">
        <f aca="false">tp_wA*(6/12*B9+6/12*B10)+tp_wB*(6/12*C9+6/12*C10)+tp_wC*(6/12*D9+6/12*D10)</f>
        <v>8.36872852079248</v>
      </c>
      <c r="E34" s="5" t="s">
        <v>573</v>
      </c>
    </row>
    <row r="35" customFormat="false" ht="17.15" hidden="false" customHeight="false" outlineLevel="0" collapsed="false">
      <c r="A35" s="0" t="s">
        <v>574</v>
      </c>
      <c r="B35" s="31" t="n">
        <f aca="false">B33*B34</f>
        <v>288.846664895152</v>
      </c>
      <c r="E35" s="5" t="s">
        <v>575</v>
      </c>
    </row>
    <row r="37" customFormat="false" ht="17.15" hidden="false" customHeight="false" outlineLevel="0" collapsed="false">
      <c r="A37" s="1" t="s">
        <v>576</v>
      </c>
    </row>
    <row r="38" customFormat="false" ht="15" hidden="false" customHeight="false" outlineLevel="0" collapsed="false">
      <c r="A38" s="6" t="s">
        <v>22</v>
      </c>
      <c r="B38" s="6" t="s">
        <v>577</v>
      </c>
      <c r="C38" s="14"/>
      <c r="D38" s="14"/>
      <c r="E38" s="6" t="s">
        <v>418</v>
      </c>
    </row>
    <row r="39" customFormat="false" ht="17.15" hidden="false" customHeight="false" outlineLevel="0" collapsed="false">
      <c r="A39" s="5" t="s">
        <v>578</v>
      </c>
      <c r="B39" s="31" t="n">
        <f aca="false">tp_w_dcf*B24+(1-tp_w_dcf)*B35</f>
        <v>194.503855731343</v>
      </c>
      <c r="E39" s="8" t="s">
        <v>579</v>
      </c>
    </row>
    <row r="40" customFormat="false" ht="17.15" hidden="false" customHeight="false" outlineLevel="0" collapsed="false">
      <c r="A40" s="0" t="s">
        <v>580</v>
      </c>
      <c r="B40" s="19" t="n">
        <f aca="false">B35</f>
        <v>288.846664895152</v>
      </c>
    </row>
    <row r="41" customFormat="false" ht="17.15" hidden="false" customHeight="false" outlineLevel="0" collapsed="false">
      <c r="A41" s="5" t="s">
        <v>581</v>
      </c>
      <c r="B41" s="19" t="n">
        <f aca="false">cons_tp</f>
        <v>279.09</v>
      </c>
      <c r="E41" s="8" t="s">
        <v>582</v>
      </c>
    </row>
    <row r="42" customFormat="false" ht="17.15" hidden="false" customHeight="false" outlineLevel="0" collapsed="false">
      <c r="A42" s="5" t="s">
        <v>583</v>
      </c>
      <c r="B42" s="16" t="n">
        <f aca="false">B39/px-1</f>
        <v>0.320550313879711</v>
      </c>
      <c r="E42" s="5" t="s">
        <v>584</v>
      </c>
    </row>
    <row r="43" customFormat="false" ht="17.15" hidden="false" customHeight="false" outlineLevel="0" collapsed="false">
      <c r="A43" s="5" t="s">
        <v>585</v>
      </c>
      <c r="B43" s="16" t="n">
        <f aca="false">B40/px-1</f>
        <v>0.96107451215393</v>
      </c>
    </row>
    <row r="44" customFormat="false" ht="17.15" hidden="false" customHeight="false" outlineLevel="0" collapsed="false">
      <c r="A44" s="5" t="s">
        <v>586</v>
      </c>
      <c r="B44" s="16" t="n">
        <f aca="false">B34/cons_feps-1</f>
        <v>-0.13635412582121</v>
      </c>
      <c r="E44" s="5" t="s">
        <v>587</v>
      </c>
    </row>
    <row r="45" customFormat="false" ht="17.15" hidden="false" customHeight="false" outlineLevel="0" collapsed="false">
      <c r="A45" s="5" t="s">
        <v>588</v>
      </c>
      <c r="B45" s="16" t="n">
        <f aca="false">(cons_tp/cons_feps)/B33-1</f>
        <v>-0.165526362881665</v>
      </c>
      <c r="E45" s="0" t="str">
        <f aca="false">"共識目標價隱含 "&amp;TEXT(cons_tp/cons_feps,"0.0")&amp;"x，同業中位數 "&amp;TEXT(B33,"0.0")&amp;"x"</f>
        <v>共識目標價隱含 28.8x，同業中位數 34.5x</v>
      </c>
    </row>
    <row r="46" customFormat="false" ht="17.15" hidden="false" customHeight="false" outlineLevel="0" collapsed="false">
      <c r="A46" s="5" t="s">
        <v>589</v>
      </c>
      <c r="B46" s="34" t="str">
        <f aca="false">TEXT(D23,"#,##0.00")&amp;"～"&amp;TEXT(B23,"#,##0.00")</f>
        <v>53.66～139.25</v>
      </c>
      <c r="E46" s="8" t="s">
        <v>590</v>
      </c>
    </row>
    <row r="47" customFormat="false" ht="17.15" hidden="false" customHeight="false" outlineLevel="0" collapsed="false">
      <c r="A47" s="5" t="s">
        <v>591</v>
      </c>
      <c r="B47" s="35" t="n">
        <f aca="false">IF(px/B9&gt;MAX($B$102:$B$111),1,IF(px/B9&lt;MIN($B$102:$B$111),0,PERCENTRANK($B$102:$B$111,px/B9)))</f>
        <v>0</v>
      </c>
      <c r="C47" s="35" t="n">
        <f aca="false">IF(px/C9&gt;MAX($B$102:$B$111),1,IF(px/C9&lt;MIN($B$102:$B$111),0,PERCENTRANK($B$102:$B$111,px/C9)))</f>
        <v>0</v>
      </c>
      <c r="D47" s="35" t="n">
        <f aca="false">IF(px/D9&gt;MAX($B$102:$B$111),1,IF(px/D9&lt;MIN($B$102:$B$111),0,PERCENTRANK($B$102:$B$111,px/D9)))</f>
        <v>0</v>
      </c>
      <c r="E47" s="5" t="s">
        <v>592</v>
      </c>
    </row>
    <row r="48" customFormat="false" ht="17.15" hidden="false" customHeight="false" outlineLevel="0" collapsed="false">
      <c r="A48" s="5" t="s">
        <v>593</v>
      </c>
      <c r="B48" s="0" t="s">
        <v>594</v>
      </c>
    </row>
    <row r="51" customFormat="false" ht="15" hidden="false" customHeight="false" outlineLevel="0" collapsed="false">
      <c r="A51" s="3" t="s">
        <v>595</v>
      </c>
    </row>
    <row r="52" customFormat="false" ht="15" hidden="false" customHeight="false" outlineLevel="0" collapsed="false">
      <c r="A52" s="6" t="s">
        <v>22</v>
      </c>
      <c r="B52" s="6" t="s">
        <v>577</v>
      </c>
      <c r="C52" s="14"/>
      <c r="D52" s="14"/>
      <c r="E52" s="6" t="s">
        <v>418</v>
      </c>
    </row>
    <row r="53" customFormat="false" ht="17.15" hidden="false" customHeight="false" outlineLevel="0" collapsed="false">
      <c r="A53" s="5" t="s">
        <v>596</v>
      </c>
      <c r="B53" s="36" t="n">
        <f aca="false">tp_wA*F81+tp_wB*F82+tp_wC*F83</f>
        <v>619.6489358636</v>
      </c>
      <c r="E53" s="5" t="s">
        <v>597</v>
      </c>
    </row>
    <row r="54" customFormat="false" ht="17.15" hidden="false" customHeight="false" outlineLevel="0" collapsed="false">
      <c r="A54" s="5" t="s">
        <v>598</v>
      </c>
      <c r="B54" s="16" t="n">
        <f aca="false">B53/px-1</f>
        <v>3.20699936087718</v>
      </c>
      <c r="E54" s="5" t="s">
        <v>599</v>
      </c>
    </row>
    <row r="55" customFormat="false" ht="17.15" hidden="false" customHeight="false" outlineLevel="0" collapsed="false">
      <c r="A55" s="5" t="s">
        <v>600</v>
      </c>
      <c r="B55" s="36" t="n">
        <f aca="false">F81</f>
        <v>642.697359961315</v>
      </c>
      <c r="E55" s="0" t="str">
        <f aca="false">"近 12 月 GAAP 換算 EPS "&amp;TEXT(D81,"0.00")&amp;" × "&amp;TEXT(E81,"0.0")&amp;" 倍（第 3 節）"</f>
        <v>近 12 月 GAAP 換算 EPS 5.45 × 118.0 倍（第 3 節）</v>
      </c>
    </row>
    <row r="56" customFormat="false" ht="17.15" hidden="false" customHeight="false" outlineLevel="0" collapsed="false">
      <c r="A56" s="5" t="s">
        <v>601</v>
      </c>
      <c r="B56" s="36" t="n">
        <f aca="false">F82</f>
        <v>617.598916037638</v>
      </c>
      <c r="E56" s="0" t="str">
        <f aca="false">"近 12 月 GAAP 換算 EPS "&amp;TEXT(D82,"0.00")&amp;" × "&amp;TEXT(E82,"0.0")&amp;" 倍（第 3 節）"</f>
        <v>近 12 月 GAAP 換算 EPS 5.23 × 118.0 倍（第 3 節）</v>
      </c>
    </row>
    <row r="57" customFormat="false" ht="17.15" hidden="false" customHeight="false" outlineLevel="0" collapsed="false">
      <c r="A57" s="5" t="s">
        <v>602</v>
      </c>
      <c r="B57" s="36" t="n">
        <f aca="false">F83</f>
        <v>590.201349281932</v>
      </c>
      <c r="E57" s="0" t="str">
        <f aca="false">"近 12 月 GAAP 換算 EPS "&amp;TEXT(D83,"0.00")&amp;" × "&amp;TEXT(E83,"0.0")&amp;" 倍（第 3 節）"</f>
        <v>近 12 月 GAAP 換算 EPS 5.00 × 118.0 倍（第 3 節）</v>
      </c>
    </row>
    <row r="58" customFormat="false" ht="17.15" hidden="false" customHeight="false" outlineLevel="0" collapsed="false">
      <c r="A58" s="5" t="s">
        <v>603</v>
      </c>
      <c r="B58" s="35" t="n">
        <f aca="false">tp_wA</f>
        <v>0.3</v>
      </c>
      <c r="C58" s="35" t="n">
        <f aca="false">tp_wB</f>
        <v>0.5</v>
      </c>
      <c r="D58" s="35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604</v>
      </c>
      <c r="B59" s="0" t="s">
        <v>605</v>
      </c>
    </row>
    <row r="61" customFormat="false" ht="17.15" hidden="false" customHeight="false" outlineLevel="0" collapsed="false">
      <c r="A61" s="1" t="s">
        <v>606</v>
      </c>
    </row>
    <row r="62" customFormat="false" ht="15" hidden="false" customHeight="false" outlineLevel="0" collapsed="false">
      <c r="A62" s="6" t="s">
        <v>22</v>
      </c>
      <c r="B62" s="14" t="s">
        <v>607</v>
      </c>
      <c r="C62" s="14" t="s">
        <v>608</v>
      </c>
      <c r="D62" s="14" t="s">
        <v>609</v>
      </c>
      <c r="E62" s="6" t="s">
        <v>418</v>
      </c>
    </row>
    <row r="63" customFormat="false" ht="17.15" hidden="false" customHeight="false" outlineLevel="0" collapsed="false">
      <c r="A63" s="5" t="s">
        <v>610</v>
      </c>
      <c r="B63" s="9" t="n">
        <f aca="false">px</f>
        <v>147.29</v>
      </c>
    </row>
    <row r="64" customFormat="false" ht="17.15" hidden="false" customHeight="false" outlineLevel="0" collapsed="false">
      <c r="A64" s="5" t="s">
        <v>611</v>
      </c>
      <c r="B64" s="33" t="n">
        <f aca="false">px/PL!D14</f>
        <v>42.5824114834561</v>
      </c>
      <c r="C64" s="33" t="n">
        <f aca="false">px/PL!D27</f>
        <v>42.5824114834561</v>
      </c>
      <c r="D64" s="33" t="n">
        <f aca="false">px/PL!D40</f>
        <v>42.5824114834561</v>
      </c>
    </row>
    <row r="65" customFormat="false" ht="17.15" hidden="false" customHeight="false" outlineLevel="0" collapsed="false">
      <c r="A65" s="5" t="s">
        <v>612</v>
      </c>
      <c r="B65" s="33" t="n">
        <f aca="false">px/PL!E14</f>
        <v>22.8294598563266</v>
      </c>
      <c r="C65" s="33" t="n">
        <f aca="false">px/PL!E27</f>
        <v>22.8294598563266</v>
      </c>
      <c r="D65" s="33" t="n">
        <f aca="false">px/PL!E40</f>
        <v>22.8294598563266</v>
      </c>
      <c r="E65" s="8" t="s">
        <v>613</v>
      </c>
    </row>
    <row r="66" customFormat="false" ht="17.15" hidden="false" customHeight="false" outlineLevel="0" collapsed="false">
      <c r="A66" s="5" t="s">
        <v>614</v>
      </c>
      <c r="B66" s="33" t="n">
        <f aca="false">px/PL!F14</f>
        <v>16.1680750935303</v>
      </c>
      <c r="C66" s="33" t="n">
        <f aca="false">px/PL!F27</f>
        <v>17.3237158559513</v>
      </c>
      <c r="D66" s="33" t="n">
        <f aca="false">px/PL!F40</f>
        <v>18.7897743422103</v>
      </c>
      <c r="E66" s="8" t="s">
        <v>615</v>
      </c>
    </row>
    <row r="67" customFormat="false" ht="17.15" hidden="false" customHeight="false" outlineLevel="0" collapsed="false">
      <c r="A67" s="5" t="s">
        <v>616</v>
      </c>
      <c r="B67" s="33" t="n">
        <f aca="false">px/PL!G14</f>
        <v>14.9341006110737</v>
      </c>
      <c r="C67" s="33" t="n">
        <f aca="false">px/PL!G27</f>
        <v>18.033604278361</v>
      </c>
      <c r="D67" s="33" t="n">
        <f aca="false">px/PL!G40</f>
        <v>25.7716602529697</v>
      </c>
    </row>
    <row r="68" customFormat="false" ht="17.15" hidden="false" customHeight="false" outlineLevel="0" collapsed="false">
      <c r="A68" s="5" t="s">
        <v>617</v>
      </c>
      <c r="B68" s="33" t="n">
        <f aca="false">px/cons_eps27</f>
        <v>23.3423137876387</v>
      </c>
    </row>
    <row r="69" customFormat="false" ht="17.15" hidden="false" customHeight="false" outlineLevel="0" collapsed="false">
      <c r="A69" s="5" t="s">
        <v>618</v>
      </c>
      <c r="B69" s="33" t="n">
        <f aca="false">px/cons_eps28</f>
        <v>15.2002063983488</v>
      </c>
    </row>
    <row r="70" customFormat="false" ht="17.15" hidden="false" customHeight="false" outlineLevel="0" collapsed="false">
      <c r="A70" s="5" t="s">
        <v>619</v>
      </c>
      <c r="B70" s="35" t="n">
        <f aca="false">px/px_hi-1</f>
        <v>-0.522823727605533</v>
      </c>
    </row>
    <row r="71" customFormat="false" ht="17.15" hidden="false" customHeight="false" outlineLevel="0" collapsed="false">
      <c r="A71" s="5" t="s">
        <v>620</v>
      </c>
      <c r="B71" s="35" t="n">
        <f aca="false">px/tp_street-1</f>
        <v>-0.472249095273926</v>
      </c>
    </row>
    <row r="73" customFormat="false" ht="17.15" hidden="false" customHeight="false" outlineLevel="0" collapsed="false">
      <c r="A73" s="1" t="s">
        <v>621</v>
      </c>
    </row>
    <row r="74" customFormat="false" ht="17.15" hidden="false" customHeight="false" outlineLevel="0" collapsed="false">
      <c r="A74" s="6" t="s">
        <v>622</v>
      </c>
      <c r="B74" s="6" t="s">
        <v>623</v>
      </c>
      <c r="C74" s="14" t="s">
        <v>624</v>
      </c>
      <c r="D74" s="6" t="s">
        <v>625</v>
      </c>
      <c r="E74" s="6" t="s">
        <v>626</v>
      </c>
      <c r="F74" s="6" t="s">
        <v>418</v>
      </c>
    </row>
    <row r="75" customFormat="false" ht="17.15" hidden="false" customHeight="false" outlineLevel="0" collapsed="false">
      <c r="A75" s="0" t="s">
        <v>607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3" t="n">
        <f aca="false">IF(C75="見頂",pe_peak,IF(C75="谷底",pe_trough,pe_mid))</f>
        <v>118</v>
      </c>
      <c r="E75" s="0" t="str">
        <f aca="false">IF(B75=2029,"是：營收到觀測期末仍在增加","否")</f>
        <v>是：營收到觀測期末仍在增加</v>
      </c>
      <c r="F75" s="8" t="s">
        <v>627</v>
      </c>
    </row>
    <row r="76" customFormat="false" ht="15" hidden="false" customHeight="false" outlineLevel="0" collapsed="false">
      <c r="A76" s="0" t="s">
        <v>608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3" t="n">
        <f aca="false">IF(C76="見頂",pe_peak,IF(C76="谷底",pe_trough,pe_mid))</f>
        <v>118</v>
      </c>
      <c r="E76" s="0" t="str">
        <f aca="false">IF(B76=2029,"是：營收到觀測期末仍在增加","否")</f>
        <v>是：營收到觀測期末仍在增加</v>
      </c>
      <c r="F76" s="5" t="s">
        <v>39</v>
      </c>
    </row>
    <row r="77" customFormat="false" ht="15" hidden="false" customHeight="false" outlineLevel="0" collapsed="false">
      <c r="A77" s="0" t="s">
        <v>609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3" t="n">
        <f aca="false">IF(C77="見頂",pe_peak,IF(C77="谷底",pe_trough,pe_mid))</f>
        <v>118</v>
      </c>
      <c r="E77" s="0" t="str">
        <f aca="false">IF(B77=2029,"是：營收到觀測期末仍在增加","否")</f>
        <v>否</v>
      </c>
      <c r="F77" s="5" t="s">
        <v>39</v>
      </c>
    </row>
    <row r="79" customFormat="false" ht="17.15" hidden="false" customHeight="false" outlineLevel="0" collapsed="false">
      <c r="A79" s="1" t="s">
        <v>628</v>
      </c>
    </row>
    <row r="80" customFormat="false" ht="17.15" hidden="false" customHeight="false" outlineLevel="0" collapsed="false">
      <c r="A80" s="6" t="s">
        <v>622</v>
      </c>
      <c r="B80" s="14" t="s">
        <v>629</v>
      </c>
      <c r="C80" s="14" t="s">
        <v>630</v>
      </c>
      <c r="D80" s="14" t="s">
        <v>631</v>
      </c>
      <c r="E80" s="6" t="s">
        <v>632</v>
      </c>
      <c r="F80" s="6" t="s">
        <v>633</v>
      </c>
      <c r="G80" s="6" t="s">
        <v>634</v>
      </c>
      <c r="H80" s="6" t="s">
        <v>635</v>
      </c>
    </row>
    <row r="81" customFormat="false" ht="15" hidden="false" customHeight="false" outlineLevel="0" collapsed="false">
      <c r="A81" s="10" t="s">
        <v>607</v>
      </c>
      <c r="B81" s="37" t="n">
        <f aca="false">PL!E14</f>
        <v>6.45175141798995</v>
      </c>
      <c r="C81" s="37" t="n">
        <f aca="false">PL!F14</f>
        <v>9.10992799995955</v>
      </c>
      <c r="D81" s="37" t="n">
        <f aca="false">(B81+C81)/2*g2n</f>
        <v>5.44658779628233</v>
      </c>
      <c r="E81" s="38" t="n">
        <f aca="false">D75</f>
        <v>118</v>
      </c>
      <c r="F81" s="39" t="n">
        <f aca="false">D81*E81</f>
        <v>642.697359961315</v>
      </c>
      <c r="G81" s="40" t="n">
        <f aca="false">F81/px-1</f>
        <v>3.36348265300641</v>
      </c>
      <c r="H81" s="38" t="n">
        <f aca="false">px/B81</f>
        <v>22.8294598563266</v>
      </c>
    </row>
    <row r="82" customFormat="false" ht="15" hidden="false" customHeight="false" outlineLevel="0" collapsed="false">
      <c r="A82" s="10" t="s">
        <v>608</v>
      </c>
      <c r="B82" s="37" t="n">
        <f aca="false">PL!E27</f>
        <v>6.45175141798995</v>
      </c>
      <c r="C82" s="37" t="n">
        <f aca="false">PL!F27</f>
        <v>8.50221749333301</v>
      </c>
      <c r="D82" s="37" t="n">
        <f aca="false">(B82+C82)/2*g2n</f>
        <v>5.23388911896304</v>
      </c>
      <c r="E82" s="38" t="n">
        <f aca="false">D76</f>
        <v>118</v>
      </c>
      <c r="F82" s="39" t="n">
        <f aca="false">D82*E82</f>
        <v>617.598916037638</v>
      </c>
      <c r="G82" s="40" t="n">
        <f aca="false">F82/px-1</f>
        <v>3.193081105558</v>
      </c>
      <c r="H82" s="38" t="n">
        <f aca="false">px/B82</f>
        <v>22.8294598563266</v>
      </c>
    </row>
    <row r="83" customFormat="false" ht="15" hidden="false" customHeight="false" outlineLevel="0" collapsed="false">
      <c r="A83" s="10" t="s">
        <v>609</v>
      </c>
      <c r="B83" s="37" t="n">
        <f aca="false">PL!E40</f>
        <v>6.45175141798995</v>
      </c>
      <c r="C83" s="37" t="n">
        <f aca="false">PL!F40</f>
        <v>7.83883815300115</v>
      </c>
      <c r="D83" s="37" t="n">
        <f aca="false">(B83+C83)/2*g2n</f>
        <v>5.00170634984688</v>
      </c>
      <c r="E83" s="38" t="n">
        <f aca="false">D77</f>
        <v>118</v>
      </c>
      <c r="F83" s="39" t="n">
        <f aca="false">D83*E83</f>
        <v>590.201349281932</v>
      </c>
      <c r="G83" s="40" t="n">
        <f aca="false">F83/px-1</f>
        <v>3.00707006098128</v>
      </c>
      <c r="H83" s="38" t="n">
        <f aca="false">px/B83</f>
        <v>22.8294598563266</v>
      </c>
    </row>
    <row r="84" customFormat="false" ht="17.15" hidden="false" customHeight="false" outlineLevel="0" collapsed="false">
      <c r="A84" s="5" t="s">
        <v>636</v>
      </c>
    </row>
    <row r="86" customFormat="false" ht="17.15" hidden="false" customHeight="false" outlineLevel="0" collapsed="false">
      <c r="A86" s="1" t="s">
        <v>637</v>
      </c>
    </row>
    <row r="87" customFormat="false" ht="17.15" hidden="false" customHeight="false" outlineLevel="0" collapsed="false">
      <c r="A87" s="6" t="s">
        <v>638</v>
      </c>
      <c r="B87" s="6" t="s">
        <v>639</v>
      </c>
      <c r="C87" s="6" t="s">
        <v>640</v>
      </c>
      <c r="D87" s="6" t="s">
        <v>641</v>
      </c>
      <c r="E87" s="6" t="s">
        <v>642</v>
      </c>
      <c r="F87" s="6" t="s">
        <v>643</v>
      </c>
    </row>
    <row r="88" customFormat="false" ht="15" hidden="false" customHeight="false" outlineLevel="0" collapsed="false">
      <c r="A88" s="32" t="n">
        <v>10</v>
      </c>
      <c r="B88" s="9" t="n">
        <f aca="false">px/A88</f>
        <v>14.729</v>
      </c>
      <c r="C88" s="9" t="n">
        <f aca="false">PL!F14</f>
        <v>9.10992799995955</v>
      </c>
      <c r="D88" s="35" t="n">
        <f aca="false">B88/C88-1</f>
        <v>0.616807509353026</v>
      </c>
      <c r="E88" s="9" t="n">
        <f aca="false">PL!F40</f>
        <v>7.83883815300115</v>
      </c>
      <c r="F88" s="35" t="n">
        <f aca="false">B88/E88-1</f>
        <v>0.878977434221029</v>
      </c>
    </row>
    <row r="89" customFormat="false" ht="15" hidden="false" customHeight="false" outlineLevel="0" collapsed="false">
      <c r="A89" s="32" t="n">
        <v>15</v>
      </c>
      <c r="B89" s="9" t="n">
        <f aca="false">px/A89</f>
        <v>9.81933333333333</v>
      </c>
      <c r="C89" s="9" t="n">
        <f aca="false">PL!F14</f>
        <v>9.10992799995955</v>
      </c>
      <c r="D89" s="35" t="n">
        <f aca="false">B89/C89-1</f>
        <v>0.0778716729020172</v>
      </c>
      <c r="E89" s="9" t="n">
        <f aca="false">PL!F40</f>
        <v>7.83883815300115</v>
      </c>
      <c r="F89" s="35" t="n">
        <f aca="false">B89/E89-1</f>
        <v>0.252651622814019</v>
      </c>
    </row>
    <row r="90" customFormat="false" ht="15" hidden="false" customHeight="false" outlineLevel="0" collapsed="false">
      <c r="A90" s="32" t="n">
        <v>20</v>
      </c>
      <c r="B90" s="9" t="n">
        <f aca="false">px/A90</f>
        <v>7.3645</v>
      </c>
      <c r="C90" s="9" t="n">
        <f aca="false">PL!F14</f>
        <v>9.10992799995955</v>
      </c>
      <c r="D90" s="35" t="n">
        <f aca="false">B90/C90-1</f>
        <v>-0.191596245323487</v>
      </c>
      <c r="E90" s="9" t="n">
        <f aca="false">PL!F40</f>
        <v>7.83883815300115</v>
      </c>
      <c r="F90" s="35" t="n">
        <f aca="false">B90/E90-1</f>
        <v>-0.0605112828894857</v>
      </c>
    </row>
    <row r="91" customFormat="false" ht="15" hidden="false" customHeight="false" outlineLevel="0" collapsed="false">
      <c r="A91" s="32" t="n">
        <v>30</v>
      </c>
      <c r="B91" s="9" t="n">
        <f aca="false">px/A91</f>
        <v>4.90966666666667</v>
      </c>
      <c r="C91" s="9" t="n">
        <f aca="false">PL!F14</f>
        <v>9.10992799995955</v>
      </c>
      <c r="D91" s="35" t="n">
        <f aca="false">B91/C91-1</f>
        <v>-0.461064163548991</v>
      </c>
      <c r="E91" s="9" t="n">
        <f aca="false">PL!F40</f>
        <v>7.83883815300115</v>
      </c>
      <c r="F91" s="35" t="n">
        <f aca="false">B91/E91-1</f>
        <v>-0.373674188592991</v>
      </c>
    </row>
    <row r="92" customFormat="false" ht="17.15" hidden="false" customHeight="false" outlineLevel="0" collapsed="false">
      <c r="A92" s="5" t="s">
        <v>644</v>
      </c>
    </row>
    <row r="93" customFormat="false" ht="17.15" hidden="false" customHeight="false" outlineLevel="0" collapsed="false">
      <c r="A93" s="5" t="s">
        <v>645</v>
      </c>
    </row>
    <row r="97" customFormat="false" ht="17.15" hidden="false" customHeight="false" outlineLevel="0" collapsed="false">
      <c r="A97" s="1" t="s">
        <v>646</v>
      </c>
    </row>
    <row r="98" customFormat="false" ht="17.15" hidden="false" customHeight="false" outlineLevel="0" collapsed="false">
      <c r="A98" s="5" t="s">
        <v>647</v>
      </c>
    </row>
    <row r="100" customFormat="false" ht="17.15" hidden="false" customHeight="false" outlineLevel="0" collapsed="false">
      <c r="A100" s="1" t="s">
        <v>648</v>
      </c>
    </row>
    <row r="101" customFormat="false" ht="17.15" hidden="false" customHeight="false" outlineLevel="0" collapsed="false">
      <c r="A101" s="6" t="s">
        <v>649</v>
      </c>
      <c r="B101" s="14" t="s">
        <v>650</v>
      </c>
      <c r="C101" s="14" t="s">
        <v>651</v>
      </c>
      <c r="D101" s="6" t="s">
        <v>652</v>
      </c>
    </row>
    <row r="102" customFormat="false" ht="17.15" hidden="false" customHeight="false" outlineLevel="0" collapsed="false">
      <c r="A102" s="0" t="s">
        <v>653</v>
      </c>
      <c r="D102" s="0" t="s">
        <v>654</v>
      </c>
    </row>
    <row r="103" customFormat="false" ht="15" hidden="false" customHeight="false" outlineLevel="0" collapsed="false">
      <c r="A103" s="0" t="s">
        <v>655</v>
      </c>
    </row>
    <row r="104" customFormat="false" ht="15" hidden="false" customHeight="false" outlineLevel="0" collapsed="false">
      <c r="A104" s="0" t="s">
        <v>656</v>
      </c>
    </row>
    <row r="105" customFormat="false" ht="15" hidden="false" customHeight="false" outlineLevel="0" collapsed="false">
      <c r="A105" s="0" t="s">
        <v>657</v>
      </c>
    </row>
    <row r="106" customFormat="false" ht="15" hidden="false" customHeight="false" outlineLevel="0" collapsed="false">
      <c r="A106" s="0" t="s">
        <v>658</v>
      </c>
    </row>
    <row r="107" customFormat="false" ht="15" hidden="false" customHeight="false" outlineLevel="0" collapsed="false">
      <c r="A107" s="0" t="s">
        <v>659</v>
      </c>
    </row>
    <row r="108" customFormat="false" ht="15" hidden="false" customHeight="false" outlineLevel="0" collapsed="false">
      <c r="A108" s="0" t="s">
        <v>660</v>
      </c>
    </row>
    <row r="109" customFormat="false" ht="15" hidden="false" customHeight="false" outlineLevel="0" collapsed="false">
      <c r="A109" s="0" t="s">
        <v>661</v>
      </c>
    </row>
    <row r="110" customFormat="false" ht="15" hidden="false" customHeight="false" outlineLevel="0" collapsed="false">
      <c r="A110" s="0" t="s">
        <v>662</v>
      </c>
    </row>
    <row r="111" customFormat="false" ht="15" hidden="false" customHeight="false" outlineLevel="0" collapsed="false">
      <c r="A111" s="0" t="s">
        <v>663</v>
      </c>
      <c r="B111" s="41" t="n">
        <v>118</v>
      </c>
      <c r="C111" s="41" t="n">
        <v>157.04</v>
      </c>
    </row>
    <row r="112" customFormat="false" ht="17.15" hidden="false" customHeight="false" outlineLevel="0" collapsed="false">
      <c r="A112" s="0" t="s">
        <v>664</v>
      </c>
      <c r="B112" s="9" t="n">
        <f aca="false">PERCENTILE(B102:B111,0.25)</f>
        <v>118</v>
      </c>
      <c r="C112" s="9" t="n">
        <f aca="false">PERCENTILE(C102:C111,0.25)</f>
        <v>157.04</v>
      </c>
    </row>
    <row r="113" customFormat="false" ht="15" hidden="false" customHeight="false" outlineLevel="0" collapsed="false">
      <c r="A113" s="5" t="s">
        <v>665</v>
      </c>
      <c r="B113" s="9" t="n">
        <f aca="false">MEDIAN(B102:B111)</f>
        <v>118</v>
      </c>
      <c r="C113" s="9" t="n">
        <f aca="false">MEDIAN(C102:C111)</f>
        <v>157.04</v>
      </c>
    </row>
    <row r="114" customFormat="false" ht="17.15" hidden="false" customHeight="false" outlineLevel="0" collapsed="false">
      <c r="A114" s="0" t="s">
        <v>666</v>
      </c>
      <c r="B114" s="9" t="n">
        <f aca="false">PERCENTILE(B102:B111,0.75)</f>
        <v>118</v>
      </c>
      <c r="C114" s="9" t="n">
        <f aca="false">PERCENTILE(C102:C111,0.75)</f>
        <v>157.04</v>
      </c>
    </row>
    <row r="115" customFormat="false" ht="15" hidden="false" customHeight="false" outlineLevel="0" collapsed="false">
      <c r="A115" s="5" t="s">
        <v>667</v>
      </c>
      <c r="B115" s="9" t="n">
        <f aca="false">MIN(B102:B111)</f>
        <v>118</v>
      </c>
      <c r="C115" s="9" t="n">
        <f aca="false">MIN(C102:C111)</f>
        <v>157.04</v>
      </c>
    </row>
    <row r="116" customFormat="false" ht="15" hidden="false" customHeight="false" outlineLevel="0" collapsed="false">
      <c r="A116" s="5" t="s">
        <v>668</v>
      </c>
      <c r="B116" s="9" t="n">
        <f aca="false">MAX(B102:B111)</f>
        <v>118</v>
      </c>
      <c r="C116" s="9" t="n">
        <f aca="false">MAX(C102:C111)</f>
        <v>157.04</v>
      </c>
    </row>
    <row r="117" customFormat="false" ht="17.15" hidden="false" customHeight="false" outlineLevel="0" collapsed="false">
      <c r="A117" s="3" t="s">
        <v>669</v>
      </c>
      <c r="B117" s="9" t="n">
        <f aca="false">ROUND(AVERAGE(B112),2)</f>
        <v>118</v>
      </c>
    </row>
    <row r="118" customFormat="false" ht="17.15" hidden="false" customHeight="false" outlineLevel="0" collapsed="false">
      <c r="A118" s="3" t="s">
        <v>670</v>
      </c>
      <c r="B118" s="9" t="n">
        <f aca="false">ROUND(AVERAGE(B113),2)</f>
        <v>118</v>
      </c>
    </row>
    <row r="119" customFormat="false" ht="17.15" hidden="false" customHeight="false" outlineLevel="0" collapsed="false">
      <c r="A119" s="3" t="s">
        <v>671</v>
      </c>
      <c r="B119" s="9" t="n">
        <f aca="false">ROUND(AVERAGE(B114),2)</f>
        <v>118</v>
      </c>
    </row>
    <row r="120" customFormat="false" ht="17.15" hidden="false" customHeight="false" outlineLevel="0" collapsed="false">
      <c r="A120" s="3" t="s">
        <v>672</v>
      </c>
      <c r="B120" s="9" t="n">
        <f aca="false">ROUND(MIN(B115),2)</f>
        <v>118</v>
      </c>
    </row>
    <row r="121" customFormat="false" ht="17.15" hidden="false" customHeight="false" outlineLevel="0" collapsed="false">
      <c r="A121" s="3" t="s">
        <v>673</v>
      </c>
      <c r="B121" s="9" t="n">
        <f aca="false">ROUND(MAX(B116),2)</f>
        <v>118</v>
      </c>
    </row>
    <row r="123" customFormat="false" ht="17.15" hidden="false" customHeight="false" outlineLevel="0" collapsed="false">
      <c r="A123" s="1" t="s">
        <v>674</v>
      </c>
    </row>
    <row r="124" customFormat="false" ht="17.15" hidden="false" customHeight="false" outlineLevel="0" collapsed="false">
      <c r="A124" s="6" t="s">
        <v>675</v>
      </c>
      <c r="B124" s="6" t="s">
        <v>676</v>
      </c>
      <c r="C124" s="6" t="s">
        <v>677</v>
      </c>
      <c r="D124" s="6" t="s">
        <v>25</v>
      </c>
      <c r="E124" s="6" t="s">
        <v>678</v>
      </c>
      <c r="F124" s="6" t="s">
        <v>633</v>
      </c>
      <c r="G124" s="6" t="s">
        <v>679</v>
      </c>
      <c r="H124" s="6" t="s">
        <v>680</v>
      </c>
    </row>
    <row r="125" customFormat="false" ht="17.15" hidden="false" customHeight="false" outlineLevel="0" collapsed="false">
      <c r="A125" s="5" t="s">
        <v>681</v>
      </c>
      <c r="B125" s="0" t="s">
        <v>682</v>
      </c>
      <c r="C125" s="9" t="n">
        <f aca="false">B117</f>
        <v>118</v>
      </c>
      <c r="D125" s="8" t="s">
        <v>683</v>
      </c>
      <c r="E125" s="19" t="n">
        <f aca="false">D81</f>
        <v>5.44658779628233</v>
      </c>
      <c r="F125" s="18" t="n">
        <f aca="false">C125*E125</f>
        <v>642.697359961315</v>
      </c>
      <c r="G125" s="16" t="n">
        <f aca="false">F125/px-1</f>
        <v>3.36348265300641</v>
      </c>
      <c r="H125" s="9" t="n">
        <f aca="false">px/E125</f>
        <v>27.0426192524677</v>
      </c>
    </row>
    <row r="126" customFormat="false" ht="17.15" hidden="false" customHeight="false" outlineLevel="0" collapsed="false">
      <c r="A126" s="5" t="s">
        <v>684</v>
      </c>
      <c r="B126" s="5" t="s">
        <v>685</v>
      </c>
      <c r="C126" s="9" t="n">
        <f aca="false">B118</f>
        <v>118</v>
      </c>
      <c r="D126" s="8" t="s">
        <v>683</v>
      </c>
      <c r="E126" s="19" t="n">
        <f aca="false">D81</f>
        <v>5.44658779628233</v>
      </c>
      <c r="F126" s="18" t="n">
        <f aca="false">C126*E126</f>
        <v>642.697359961315</v>
      </c>
      <c r="G126" s="16" t="n">
        <f aca="false">F126/px-1</f>
        <v>3.36348265300641</v>
      </c>
      <c r="H126" s="9" t="n">
        <f aca="false">px/E126</f>
        <v>27.0426192524677</v>
      </c>
    </row>
    <row r="127" customFormat="false" ht="17.15" hidden="false" customHeight="false" outlineLevel="0" collapsed="false">
      <c r="A127" s="5" t="s">
        <v>686</v>
      </c>
      <c r="B127" s="0" t="s">
        <v>687</v>
      </c>
      <c r="C127" s="9" t="n">
        <f aca="false">B119</f>
        <v>118</v>
      </c>
      <c r="D127" s="8" t="s">
        <v>683</v>
      </c>
      <c r="E127" s="19" t="n">
        <f aca="false">D81</f>
        <v>5.44658779628233</v>
      </c>
      <c r="F127" s="18" t="n">
        <f aca="false">C127*E127</f>
        <v>642.697359961315</v>
      </c>
      <c r="G127" s="16" t="n">
        <f aca="false">F127/px-1</f>
        <v>3.36348265300641</v>
      </c>
      <c r="H127" s="9" t="n">
        <f aca="false">px/E127</f>
        <v>27.0426192524677</v>
      </c>
    </row>
    <row r="129" customFormat="false" ht="17.15" hidden="false" customHeight="false" outlineLevel="0" collapsed="false">
      <c r="A129" s="5" t="s">
        <v>688</v>
      </c>
      <c r="B129" s="0" t="str">
        <f aca="false">IF(B42&gt;0.5,"大於 50%",IF(B42&gt;0.25,"25%–50%",IF(B42&gt;=0,"0%–25%",IF(B42&gt;=-0.25,"0%～−25%",IF(B42&gt;=-0.5,"−25%～−50%","小於 −50%")))))</f>
        <v>25%–50%</v>
      </c>
      <c r="E129" s="5" t="s">
        <v>689</v>
      </c>
    </row>
    <row r="130" customFormat="false" ht="17.15" hidden="false" customHeight="false" outlineLevel="0" collapsed="false">
      <c r="A130" s="5" t="s">
        <v>690</v>
      </c>
      <c r="B130" s="0" t="str">
        <f aca="false">IF(B42&gt;0.5,"強力買進",IF(B42&gt;0.25,"買進",IF(B42&gt;=-0.25,"中立",IF(B42&gt;=-0.5,"放空","強力放空"))))</f>
        <v>買進</v>
      </c>
      <c r="E130" s="5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692</v>
      </c>
    </row>
    <row r="3" customFormat="false" ht="17.15" hidden="false" customHeight="false" outlineLevel="0" collapsed="false">
      <c r="A3" s="6" t="s">
        <v>22</v>
      </c>
      <c r="B3" s="6" t="s">
        <v>693</v>
      </c>
      <c r="C3" s="6" t="s">
        <v>694</v>
      </c>
      <c r="D3" s="6" t="s">
        <v>695</v>
      </c>
      <c r="E3" s="6" t="s">
        <v>696</v>
      </c>
      <c r="F3" s="6" t="s">
        <v>697</v>
      </c>
      <c r="G3" s="6" t="s">
        <v>698</v>
      </c>
      <c r="H3" s="6" t="s">
        <v>699</v>
      </c>
      <c r="I3" s="6" t="s">
        <v>700</v>
      </c>
      <c r="J3" s="6" t="s">
        <v>418</v>
      </c>
    </row>
    <row r="4" customFormat="false" ht="17.15" hidden="false" customHeight="false" outlineLevel="0" collapsed="false">
      <c r="A4" s="1" t="s">
        <v>701</v>
      </c>
    </row>
    <row r="5" customFormat="false" ht="17.15" hidden="false" customHeight="false" outlineLevel="0" collapsed="false">
      <c r="A5" s="0" t="s">
        <v>702</v>
      </c>
      <c r="B5" s="19" t="n">
        <f aca="false">cons_q2</f>
        <v>0.53165</v>
      </c>
      <c r="C5" s="19" t="n">
        <f aca="false">Q!E4</f>
        <v>0.53</v>
      </c>
      <c r="D5" s="16" t="n">
        <f aca="false">C5/B5-1</f>
        <v>-0.00310354556569159</v>
      </c>
      <c r="E5" s="19" t="n">
        <f aca="false">Q!E4</f>
        <v>0.53</v>
      </c>
      <c r="F5" s="16" t="n">
        <f aca="false">E5/B5-1</f>
        <v>-0.00310354556569159</v>
      </c>
      <c r="G5" s="19" t="n">
        <f aca="false">Q!E4</f>
        <v>0.53</v>
      </c>
      <c r="H5" s="16" t="n">
        <f aca="false">G5/B5-1</f>
        <v>-0.00310354556569159</v>
      </c>
      <c r="I5" s="8" t="s">
        <v>703</v>
      </c>
      <c r="J5" s="5" t="s">
        <v>704</v>
      </c>
    </row>
    <row r="6" customFormat="false" ht="17.15" hidden="false" customHeight="false" outlineLevel="0" collapsed="false">
      <c r="A6" s="0" t="s">
        <v>705</v>
      </c>
      <c r="B6" s="19" t="n">
        <f aca="false">cons_rev27</f>
        <v>2.5</v>
      </c>
      <c r="C6" s="19" t="n">
        <f aca="false">PL!E75</f>
        <v>2.4699646</v>
      </c>
      <c r="D6" s="16" t="n">
        <f aca="false">C6/B6-1</f>
        <v>-0.01201416</v>
      </c>
      <c r="E6" s="19" t="n">
        <f aca="false">PL!E110</f>
        <v>2.4699646</v>
      </c>
      <c r="F6" s="16" t="n">
        <f aca="false">E6/B6-1</f>
        <v>-0.01201416</v>
      </c>
      <c r="G6" s="19" t="n">
        <f aca="false">PL!E145</f>
        <v>2.4699646</v>
      </c>
      <c r="H6" s="16" t="n">
        <f aca="false">G6/B6-1</f>
        <v>-0.01201416</v>
      </c>
      <c r="I6" s="8" t="s">
        <v>706</v>
      </c>
      <c r="J6" s="5" t="s">
        <v>707</v>
      </c>
    </row>
    <row r="7" customFormat="false" ht="17.15" hidden="false" customHeight="false" outlineLevel="0" collapsed="false">
      <c r="A7" s="0" t="s">
        <v>708</v>
      </c>
      <c r="B7" s="19" t="n">
        <f aca="false">cons_eps27</f>
        <v>6.31</v>
      </c>
      <c r="C7" s="19" t="n">
        <f aca="false">PL!E91</f>
        <v>6.45175141798995</v>
      </c>
      <c r="D7" s="16" t="n">
        <f aca="false">C7/B7-1</f>
        <v>0.0224645670348573</v>
      </c>
      <c r="E7" s="19" t="n">
        <f aca="false">PL!E126</f>
        <v>6.45175141798995</v>
      </c>
      <c r="F7" s="16" t="n">
        <f aca="false">E7/B7-1</f>
        <v>0.0224645670348573</v>
      </c>
      <c r="G7" s="19" t="n">
        <f aca="false">PL!E161</f>
        <v>6.45175141798995</v>
      </c>
      <c r="H7" s="16" t="n">
        <f aca="false">G7/B7-1</f>
        <v>0.0224645670348573</v>
      </c>
      <c r="I7" s="8" t="s">
        <v>709</v>
      </c>
    </row>
    <row r="8" customFormat="false" ht="17.15" hidden="false" customHeight="false" outlineLevel="0" collapsed="false">
      <c r="A8" s="0" t="s">
        <v>710</v>
      </c>
      <c r="B8" s="16" t="n">
        <v>0.5</v>
      </c>
      <c r="C8" s="16" t="n">
        <f aca="false">PL!E89</f>
        <v>0.519804426419715</v>
      </c>
      <c r="D8" s="16" t="n">
        <f aca="false">C8-B8</f>
        <v>0.0198044264197147</v>
      </c>
      <c r="E8" s="16" t="n">
        <f aca="false">PL!E124</f>
        <v>0.519804426419715</v>
      </c>
      <c r="F8" s="16" t="n">
        <f aca="false">E8-B8</f>
        <v>0.0198044264197147</v>
      </c>
      <c r="G8" s="16" t="n">
        <f aca="false">PL!E159</f>
        <v>0.519804426419715</v>
      </c>
      <c r="H8" s="16" t="n">
        <f aca="false">G8-B8</f>
        <v>0.0198044264197147</v>
      </c>
      <c r="I8" s="5" t="s">
        <v>711</v>
      </c>
    </row>
    <row r="9" customFormat="false" ht="17.15" hidden="false" customHeight="false" outlineLevel="0" collapsed="false">
      <c r="A9" s="0" t="s">
        <v>712</v>
      </c>
      <c r="B9" s="19" t="n">
        <f aca="false">cons_rev28</f>
        <v>3.87</v>
      </c>
      <c r="C9" s="19" t="n">
        <f aca="false">PL!F75</f>
        <v>3.92940105501336</v>
      </c>
      <c r="D9" s="16" t="n">
        <f aca="false">C9/B9-1</f>
        <v>0.0153491098225729</v>
      </c>
      <c r="E9" s="19" t="n">
        <f aca="false">PL!F110</f>
        <v>3.68326046676117</v>
      </c>
      <c r="F9" s="16" t="n">
        <f aca="false">E9/B9-1</f>
        <v>-0.048253109364039</v>
      </c>
      <c r="G9" s="19" t="n">
        <f aca="false">PL!F145</f>
        <v>3.41457236727439</v>
      </c>
      <c r="H9" s="16" t="n">
        <f aca="false">G9/B9-1</f>
        <v>-0.117681558843827</v>
      </c>
      <c r="I9" s="8" t="s">
        <v>713</v>
      </c>
    </row>
    <row r="10" customFormat="false" ht="17.15" hidden="false" customHeight="false" outlineLevel="0" collapsed="false">
      <c r="A10" s="0" t="s">
        <v>714</v>
      </c>
      <c r="B10" s="19" t="n">
        <f aca="false">cons_eps28</f>
        <v>9.69</v>
      </c>
      <c r="C10" s="19" t="n">
        <f aca="false">PL!F91</f>
        <v>9.10992799995955</v>
      </c>
      <c r="D10" s="16" t="n">
        <f aca="false">C10/B10-1</f>
        <v>-0.059862951500562</v>
      </c>
      <c r="E10" s="19" t="n">
        <f aca="false">PL!F126</f>
        <v>8.50221749333301</v>
      </c>
      <c r="F10" s="16" t="n">
        <f aca="false">E10/B10-1</f>
        <v>-0.12257817406264</v>
      </c>
      <c r="G10" s="19" t="n">
        <f aca="false">PL!F161</f>
        <v>7.83883815300115</v>
      </c>
      <c r="H10" s="16" t="n">
        <f aca="false">G10/B10-1</f>
        <v>-0.191038374303287</v>
      </c>
      <c r="I10" s="8" t="s">
        <v>715</v>
      </c>
      <c r="J10" s="5" t="s">
        <v>716</v>
      </c>
    </row>
    <row r="11" customFormat="false" ht="17.15" hidden="false" customHeight="false" outlineLevel="0" collapsed="false">
      <c r="A11" s="0" t="s">
        <v>717</v>
      </c>
      <c r="B11" s="19" t="n">
        <f aca="false">jef_aec</f>
        <v>2.3</v>
      </c>
      <c r="C11" s="19" t="n">
        <f aca="false">PL!F67</f>
        <v>2.7647633861462</v>
      </c>
      <c r="D11" s="16" t="n">
        <f aca="false">C11/B11-1</f>
        <v>0.202071037454868</v>
      </c>
      <c r="E11" s="19" t="n">
        <f aca="false">PL!F102</f>
        <v>2.56128070554207</v>
      </c>
      <c r="F11" s="16" t="n">
        <f aca="false">E11/B11-1</f>
        <v>0.113600306757423</v>
      </c>
      <c r="G11" s="19" t="n">
        <f aca="false">PL!F137</f>
        <v>2.35779802493795</v>
      </c>
      <c r="H11" s="16" t="n">
        <f aca="false">G11/B11-1</f>
        <v>0.0251295760599772</v>
      </c>
      <c r="I11" s="8" t="s">
        <v>718</v>
      </c>
      <c r="J11" s="5" t="s">
        <v>719</v>
      </c>
    </row>
    <row r="12" customFormat="false" ht="17.15" hidden="false" customHeight="false" outlineLevel="0" collapsed="false">
      <c r="A12" s="1" t="s">
        <v>720</v>
      </c>
    </row>
    <row r="13" customFormat="false" ht="17.15" hidden="false" customHeight="false" outlineLevel="0" collapsed="false">
      <c r="A13" s="0" t="s">
        <v>721</v>
      </c>
      <c r="C13" s="36" t="n">
        <f aca="false">PL!E67*1000/((w8*jef_u26+(1-w8)*jef_u27)*cr_aec_sh)</f>
        <v>238.981391457627</v>
      </c>
      <c r="E13" s="36" t="n">
        <f aca="false">PL!E102*1000/((w8*jef_u26+(1-w8)*jef_u27)*cr_aec_sh)</f>
        <v>238.981391457627</v>
      </c>
      <c r="G13" s="36" t="n">
        <f aca="false">PL!E137*1000/((w8*jef_u26+(1-w8)*jef_u27)*cr_aec_sh)</f>
        <v>238.981391457627</v>
      </c>
      <c r="I13" s="8" t="s">
        <v>722</v>
      </c>
      <c r="J13" s="8" t="s">
        <v>723</v>
      </c>
    </row>
    <row r="14" customFormat="false" ht="17.15" hidden="false" customHeight="false" outlineLevel="0" collapsed="false">
      <c r="A14" s="0" t="s">
        <v>724</v>
      </c>
      <c r="C14" s="16" t="n">
        <f aca="false">Units!C8</f>
        <v>0.097539736276548</v>
      </c>
      <c r="E14" s="16" t="n">
        <f aca="false">Units!C8</f>
        <v>0.097539736276548</v>
      </c>
      <c r="G14" s="16" t="n">
        <f aca="false">Units!C8</f>
        <v>0.097539736276548</v>
      </c>
      <c r="I14" s="8" t="s">
        <v>725</v>
      </c>
    </row>
    <row r="15" customFormat="false" ht="17.15" hidden="false" customHeight="false" outlineLevel="0" collapsed="false">
      <c r="A15" s="0" t="s">
        <v>726</v>
      </c>
      <c r="C15" s="20" t="n">
        <f aca="false">PL!F66</f>
        <v>0.0513261037785594</v>
      </c>
      <c r="E15" s="20" t="n">
        <f aca="false">PL!F101</f>
        <v>0.0513261037785594</v>
      </c>
      <c r="G15" s="20" t="n">
        <f aca="false">PL!F136</f>
        <v>0.0513261037785594</v>
      </c>
      <c r="I15" s="8" t="s">
        <v>140</v>
      </c>
    </row>
    <row r="16" customFormat="false" ht="17.15" hidden="false" customHeight="false" outlineLevel="0" collapsed="false">
      <c r="A16" s="0" t="s">
        <v>727</v>
      </c>
      <c r="C16" s="20" t="n">
        <f aca="false">PL!F75/(w8*itc_27+(1-w8)*itc_28)</f>
        <v>0.00230465032033702</v>
      </c>
      <c r="E16" s="20" t="n">
        <f aca="false">PL!F110/(w8*itc_27+(1-w8)*itc_28)</f>
        <v>0.0021602853197628</v>
      </c>
      <c r="G16" s="20" t="n">
        <f aca="false">PL!F145/(w8*itc_27+(1-w8)*itc_28)</f>
        <v>0.00200269587906091</v>
      </c>
      <c r="I16" s="8" t="s">
        <v>725</v>
      </c>
      <c r="J16" s="5" t="s">
        <v>728</v>
      </c>
    </row>
    <row r="17" customFormat="false" ht="17.15" hidden="false" customHeight="false" outlineLevel="0" collapsed="false">
      <c r="A17" s="1" t="s">
        <v>729</v>
      </c>
    </row>
    <row r="18" customFormat="false" ht="17.15" hidden="false" customHeight="false" outlineLevel="0" collapsed="false">
      <c r="A18" s="0" t="s">
        <v>453</v>
      </c>
      <c r="B18" s="9" t="n">
        <f aca="false">q1_eps</f>
        <v>1.2</v>
      </c>
      <c r="C18" s="9" t="n">
        <f aca="false">Q!D17</f>
        <v>1.19623300675932</v>
      </c>
      <c r="D18" s="16" t="n">
        <f aca="false">C18/B18-1</f>
        <v>-0.00313916103389789</v>
      </c>
      <c r="E18" s="9" t="n">
        <f aca="false">Q!D17</f>
        <v>1.19623300675932</v>
      </c>
      <c r="F18" s="16" t="n">
        <f aca="false">E18/B18-1</f>
        <v>-0.00313916103389789</v>
      </c>
      <c r="G18" s="9" t="n">
        <f aca="false">Q!D17</f>
        <v>1.19623300675932</v>
      </c>
      <c r="H18" s="16" t="n">
        <f aca="false">G18/B18-1</f>
        <v>-0.00313916103389789</v>
      </c>
      <c r="I18" s="5" t="s">
        <v>730</v>
      </c>
      <c r="J18" s="5" t="s">
        <v>731</v>
      </c>
    </row>
    <row r="19" customFormat="false" ht="17.15" hidden="false" customHeight="false" outlineLevel="0" collapsed="false">
      <c r="A19" s="0" t="s">
        <v>732</v>
      </c>
      <c r="B19" s="9" t="n">
        <f aca="false">a26_eps_in</f>
        <v>3.46</v>
      </c>
      <c r="C19" s="9" t="n">
        <f aca="false">PL!D91</f>
        <v>3.45893985025306</v>
      </c>
      <c r="D19" s="16" t="n">
        <f aca="false">C19/B19-1</f>
        <v>-0.000306401660964184</v>
      </c>
      <c r="E19" s="9" t="n">
        <f aca="false">PL!D126</f>
        <v>3.45893985025306</v>
      </c>
      <c r="F19" s="16" t="n">
        <f aca="false">E19/B19-1</f>
        <v>-0.000306401660964184</v>
      </c>
      <c r="G19" s="9" t="n">
        <f aca="false">PL!D161</f>
        <v>3.45893985025306</v>
      </c>
      <c r="H19" s="16" t="n">
        <f aca="false">G19/B19-1</f>
        <v>-0.000306401660964184</v>
      </c>
      <c r="I19" s="5" t="s">
        <v>730</v>
      </c>
    </row>
    <row r="20" customFormat="false" ht="17.15" hidden="false" customHeight="false" outlineLevel="0" collapsed="false">
      <c r="A20" s="0" t="s">
        <v>733</v>
      </c>
      <c r="C20" s="9" t="n">
        <f aca="false">Q!B28</f>
        <v>0.588235294117647</v>
      </c>
      <c r="E20" s="9" t="n">
        <f aca="false">Q!B28</f>
        <v>0.588235294117647</v>
      </c>
      <c r="G20" s="9" t="n">
        <f aca="false">Q!B28</f>
        <v>0.588235294117647</v>
      </c>
      <c r="I20" s="8" t="s">
        <v>734</v>
      </c>
    </row>
    <row r="21" customFormat="false" ht="17.15" hidden="false" customHeight="false" outlineLevel="0" collapsed="false">
      <c r="A21" s="1" t="s">
        <v>735</v>
      </c>
    </row>
    <row r="22" customFormat="false" ht="17.15" hidden="false" customHeight="false" outlineLevel="0" collapsed="false">
      <c r="A22" s="0" t="s">
        <v>736</v>
      </c>
      <c r="J22" s="5" t="s">
        <v>737</v>
      </c>
    </row>
    <row r="23" customFormat="false" ht="17.15" hidden="false" customHeight="false" outlineLevel="0" collapsed="false">
      <c r="A23" s="0" t="s">
        <v>738</v>
      </c>
      <c r="J23" s="5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739</v>
      </c>
    </row>
    <row r="3" customFormat="false" ht="17.15" hidden="false" customHeight="false" outlineLevel="0" collapsed="false">
      <c r="A3" s="6" t="s">
        <v>740</v>
      </c>
      <c r="B3" s="6" t="s">
        <v>741</v>
      </c>
      <c r="C3" s="14" t="s">
        <v>742</v>
      </c>
      <c r="D3" s="14" t="s">
        <v>743</v>
      </c>
      <c r="E3" s="14" t="s">
        <v>744</v>
      </c>
      <c r="F3" s="14" t="s">
        <v>630</v>
      </c>
      <c r="G3" s="14" t="s">
        <v>745</v>
      </c>
      <c r="H3" s="14" t="s">
        <v>746</v>
      </c>
      <c r="I3" s="14" t="s">
        <v>747</v>
      </c>
      <c r="J3" s="14" t="s">
        <v>748</v>
      </c>
      <c r="K3" s="14" t="s">
        <v>749</v>
      </c>
      <c r="L3" s="14" t="s">
        <v>750</v>
      </c>
    </row>
    <row r="4" customFormat="false" ht="17.15" hidden="false" customHeight="false" outlineLevel="0" collapsed="false">
      <c r="A4" s="5" t="s">
        <v>751</v>
      </c>
      <c r="B4" s="0" t="s">
        <v>752</v>
      </c>
      <c r="C4" s="19" t="n">
        <f aca="false">PL!F75</f>
        <v>3.92940105501336</v>
      </c>
      <c r="D4" s="19" t="n">
        <f aca="false">PL!F67</f>
        <v>2.7647633861462</v>
      </c>
      <c r="E4" s="16" t="n">
        <f aca="false">PL!F80</f>
        <v>0.67</v>
      </c>
      <c r="F4" s="9" t="n">
        <f aca="false">PL!F91</f>
        <v>9.10992799995955</v>
      </c>
      <c r="G4" s="16" t="n">
        <f aca="false">F4/F$4-1</f>
        <v>0</v>
      </c>
      <c r="H4" s="19" t="n">
        <f aca="false">PL!G75</f>
        <v>4.40590559806617</v>
      </c>
      <c r="I4" s="19" t="n">
        <f aca="false">PL!G67</f>
        <v>2.92374697292887</v>
      </c>
      <c r="J4" s="16" t="n">
        <f aca="false">PL!G80</f>
        <v>0.66</v>
      </c>
      <c r="K4" s="9" t="n">
        <f aca="false">PL!G91</f>
        <v>9.86266289720744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753</v>
      </c>
      <c r="B5" s="0" t="s">
        <v>754</v>
      </c>
      <c r="C5" s="19" t="n">
        <f aca="false">F55</f>
        <v>3.23821020847681</v>
      </c>
      <c r="D5" s="19" t="n">
        <f aca="false">F47</f>
        <v>2.07357253960965</v>
      </c>
      <c r="E5" s="16" t="n">
        <f aca="false">F60</f>
        <v>0.67</v>
      </c>
      <c r="F5" s="9" t="n">
        <f aca="false">F71</f>
        <v>7.40340758206736</v>
      </c>
      <c r="G5" s="16" t="n">
        <f aca="false">F5/F$4-1</f>
        <v>-0.187325346358366</v>
      </c>
      <c r="H5" s="19" t="n">
        <f aca="false">G55</f>
        <v>3.32873566067132</v>
      </c>
      <c r="I5" s="19" t="n">
        <f aca="false">G47</f>
        <v>1.84657703553402</v>
      </c>
      <c r="J5" s="16" t="n">
        <f aca="false">G60</f>
        <v>0.66</v>
      </c>
      <c r="K5" s="9" t="n">
        <f aca="false">G71</f>
        <v>7.29178405254914</v>
      </c>
      <c r="L5" s="16" t="n">
        <f aca="false">K5/K$4-1</f>
        <v>-0.260667820795764</v>
      </c>
    </row>
    <row r="6" customFormat="false" ht="17.15" hidden="false" customHeight="false" outlineLevel="0" collapsed="false">
      <c r="A6" s="0" t="s">
        <v>755</v>
      </c>
      <c r="B6" s="0" t="s">
        <v>756</v>
      </c>
      <c r="C6" s="19" t="n">
        <f aca="false">F90</f>
        <v>4.34411556293529</v>
      </c>
      <c r="D6" s="19" t="n">
        <f aca="false">F82</f>
        <v>3.17947789406812</v>
      </c>
      <c r="E6" s="16" t="n">
        <f aca="false">F95</f>
        <v>0.67</v>
      </c>
      <c r="F6" s="9" t="n">
        <f aca="false">F106</f>
        <v>10.1338402506949</v>
      </c>
      <c r="G6" s="16" t="n">
        <f aca="false">F6/F$4-1</f>
        <v>0.11239520781502</v>
      </c>
      <c r="H6" s="19" t="n">
        <f aca="false">G90</f>
        <v>5.17531269620534</v>
      </c>
      <c r="I6" s="19" t="n">
        <f aca="false">G82</f>
        <v>3.69315407106804</v>
      </c>
      <c r="J6" s="16" t="n">
        <f aca="false">G95</f>
        <v>0.66</v>
      </c>
      <c r="K6" s="9" t="n">
        <f aca="false">G106</f>
        <v>11.7107985110364</v>
      </c>
      <c r="L6" s="16" t="n">
        <f aca="false">K6/K$4-1</f>
        <v>0.187387081267094</v>
      </c>
    </row>
    <row r="7" customFormat="false" ht="17.15" hidden="false" customHeight="false" outlineLevel="0" collapsed="false">
      <c r="A7" s="5" t="s">
        <v>757</v>
      </c>
      <c r="B7" s="0" t="s">
        <v>758</v>
      </c>
      <c r="C7" s="19" t="n">
        <f aca="false">F125</f>
        <v>3.01702913758511</v>
      </c>
      <c r="D7" s="19" t="n">
        <f aca="false">F117</f>
        <v>1.85239146871795</v>
      </c>
      <c r="E7" s="16" t="n">
        <f aca="false">F130</f>
        <v>0.67</v>
      </c>
      <c r="F7" s="9" t="n">
        <f aca="false">F141</f>
        <v>6.85732104834185</v>
      </c>
      <c r="G7" s="16" t="n">
        <f aca="false">F7/F$4-1</f>
        <v>-0.247269457193043</v>
      </c>
      <c r="H7" s="19" t="n">
        <f aca="false">G125</f>
        <v>3.44106909699964</v>
      </c>
      <c r="I7" s="19" t="n">
        <f aca="false">G117</f>
        <v>1.95891047186234</v>
      </c>
      <c r="J7" s="16" t="n">
        <f aca="false">G130</f>
        <v>0.66</v>
      </c>
      <c r="K7" s="9" t="n">
        <f aca="false">G141</f>
        <v>7.56644291057708</v>
      </c>
      <c r="L7" s="16" t="n">
        <f aca="false">K7/K$4-1</f>
        <v>-0.232819473864459</v>
      </c>
    </row>
    <row r="8" customFormat="false" ht="17.15" hidden="false" customHeight="false" outlineLevel="0" collapsed="false">
      <c r="A8" s="5" t="s">
        <v>759</v>
      </c>
      <c r="B8" s="5" t="s">
        <v>760</v>
      </c>
      <c r="C8" s="19" t="n">
        <f aca="false">F160</f>
        <v>3.66914122872157</v>
      </c>
      <c r="D8" s="19" t="n">
        <f aca="false">F152</f>
        <v>2.7647633861462</v>
      </c>
      <c r="E8" s="16" t="n">
        <f aca="false">F165</f>
        <v>0.67</v>
      </c>
      <c r="F8" s="9" t="n">
        <f aca="false">F176</f>
        <v>8.46735770298654</v>
      </c>
      <c r="G8" s="16" t="n">
        <f aca="false">F8/F$4-1</f>
        <v>-0.0705351674542174</v>
      </c>
      <c r="H8" s="19" t="n">
        <f aca="false">G160</f>
        <v>3.95923209577207</v>
      </c>
      <c r="I8" s="19" t="n">
        <f aca="false">G152</f>
        <v>2.92374697292887</v>
      </c>
      <c r="J8" s="16" t="n">
        <f aca="false">G165</f>
        <v>0.66</v>
      </c>
      <c r="K8" s="9" t="n">
        <f aca="false">G176</f>
        <v>8.79363125719116</v>
      </c>
      <c r="L8" s="16" t="n">
        <f aca="false">K8/K$4-1</f>
        <v>-0.10839178537867</v>
      </c>
    </row>
    <row r="9" customFormat="false" ht="17.15" hidden="false" customHeight="false" outlineLevel="0" collapsed="false">
      <c r="A9" s="5" t="s">
        <v>761</v>
      </c>
      <c r="B9" s="0" t="s">
        <v>762</v>
      </c>
      <c r="C9" s="19" t="n">
        <f aca="false">F195</f>
        <v>4.27641415673574</v>
      </c>
      <c r="D9" s="19" t="n">
        <f aca="false">F187</f>
        <v>2.7647633861462</v>
      </c>
      <c r="E9" s="16" t="n">
        <f aca="false">F200</f>
        <v>0.67</v>
      </c>
      <c r="F9" s="9" t="n">
        <f aca="false">F211</f>
        <v>9.96668839592357</v>
      </c>
      <c r="G9" s="16" t="n">
        <f aca="false">F9/F$4-1</f>
        <v>0.0940468899389568</v>
      </c>
      <c r="H9" s="19" t="n">
        <f aca="false">G195</f>
        <v>5.05110065693543</v>
      </c>
      <c r="I9" s="19" t="n">
        <f aca="false">G187</f>
        <v>2.92374697292887</v>
      </c>
      <c r="J9" s="16" t="n">
        <f aca="false">G200</f>
        <v>0.66</v>
      </c>
      <c r="K9" s="9" t="n">
        <f aca="false">G211</f>
        <v>11.4120980780142</v>
      </c>
      <c r="L9" s="16" t="n">
        <f aca="false">K9/K$4-1</f>
        <v>0.15710109905971</v>
      </c>
    </row>
    <row r="10" customFormat="false" ht="17.15" hidden="false" customHeight="false" outlineLevel="0" collapsed="false">
      <c r="A10" s="5" t="s">
        <v>763</v>
      </c>
      <c r="B10" s="5" t="s">
        <v>764</v>
      </c>
      <c r="C10" s="19" t="n">
        <f aca="false">F230</f>
        <v>3.92940105501336</v>
      </c>
      <c r="D10" s="19" t="n">
        <f aca="false">F222</f>
        <v>2.7647633861462</v>
      </c>
      <c r="E10" s="16" t="n">
        <f aca="false">F235</f>
        <v>0.63</v>
      </c>
      <c r="F10" s="9" t="n">
        <f aca="false">F246</f>
        <v>8.43293140756673</v>
      </c>
      <c r="G10" s="16" t="n">
        <f aca="false">F10/F$4-1</f>
        <v>-0.0743141540082239</v>
      </c>
      <c r="H10" s="19" t="n">
        <f aca="false">G230</f>
        <v>4.40590559806617</v>
      </c>
      <c r="I10" s="19" t="n">
        <f aca="false">G222</f>
        <v>2.92374697292887</v>
      </c>
      <c r="J10" s="16" t="n">
        <f aca="false">G235</f>
        <v>0.6</v>
      </c>
      <c r="K10" s="9" t="n">
        <f aca="false">G246</f>
        <v>8.75374414313123</v>
      </c>
      <c r="L10" s="16" t="n">
        <f aca="false">K10/K$4-1</f>
        <v>-0.112436039397655</v>
      </c>
    </row>
    <row r="11" customFormat="false" ht="17.15" hidden="false" customHeight="false" outlineLevel="0" collapsed="false">
      <c r="A11" s="5" t="s">
        <v>765</v>
      </c>
      <c r="B11" s="5" t="s">
        <v>766</v>
      </c>
      <c r="C11" s="19" t="n">
        <f aca="false">F265</f>
        <v>3.92940105501336</v>
      </c>
      <c r="D11" s="19" t="n">
        <f aca="false">F257</f>
        <v>2.7647633861462</v>
      </c>
      <c r="E11" s="16" t="n">
        <f aca="false">F270</f>
        <v>0.69</v>
      </c>
      <c r="F11" s="9" t="n">
        <f aca="false">F281</f>
        <v>9.44842629615597</v>
      </c>
      <c r="G11" s="16" t="n">
        <f aca="false">F11/F$4-1</f>
        <v>0.0371570770041119</v>
      </c>
      <c r="H11" s="19" t="n">
        <f aca="false">G265</f>
        <v>4.40590559806617</v>
      </c>
      <c r="I11" s="19" t="n">
        <f aca="false">G257</f>
        <v>2.92374697292887</v>
      </c>
      <c r="J11" s="16" t="n">
        <f aca="false">G270</f>
        <v>0.69</v>
      </c>
      <c r="K11" s="9" t="n">
        <f aca="false">G281</f>
        <v>10.4171222742455</v>
      </c>
      <c r="L11" s="16" t="n">
        <f aca="false">K11/K$4-1</f>
        <v>0.056218019698828</v>
      </c>
    </row>
    <row r="12" customFormat="false" ht="17.15" hidden="false" customHeight="false" outlineLevel="0" collapsed="false">
      <c r="A12" s="5" t="s">
        <v>767</v>
      </c>
      <c r="B12" s="0" t="s">
        <v>768</v>
      </c>
      <c r="C12" s="19" t="n">
        <f aca="false">F300</f>
        <v>3.92940105501336</v>
      </c>
      <c r="D12" s="19" t="n">
        <f aca="false">F292</f>
        <v>2.7647633861462</v>
      </c>
      <c r="E12" s="16" t="n">
        <f aca="false">F305</f>
        <v>0.67</v>
      </c>
      <c r="F12" s="9" t="n">
        <f aca="false">F316</f>
        <v>8.6910807355936</v>
      </c>
      <c r="G12" s="16" t="n">
        <f aca="false">F12/F$4-1</f>
        <v>-0.045977011494253</v>
      </c>
      <c r="H12" s="19" t="n">
        <f aca="false">G300</f>
        <v>4.40590559806617</v>
      </c>
      <c r="I12" s="19" t="n">
        <f aca="false">G292</f>
        <v>2.92374697292887</v>
      </c>
      <c r="J12" s="16" t="n">
        <f aca="false">G305</f>
        <v>0.66</v>
      </c>
      <c r="K12" s="9" t="n">
        <f aca="false">G316</f>
        <v>9.5186165170723</v>
      </c>
      <c r="L12" s="16" t="n">
        <f aca="false">K12/K$4-1</f>
        <v>-0.0348837209302324</v>
      </c>
    </row>
    <row r="13" customFormat="false" ht="17.15" hidden="false" customHeight="false" outlineLevel="0" collapsed="false">
      <c r="A13" s="5" t="s">
        <v>769</v>
      </c>
      <c r="B13" s="5" t="s">
        <v>770</v>
      </c>
      <c r="C13" s="19" t="n">
        <f aca="false">F335</f>
        <v>3.92940105501336</v>
      </c>
      <c r="D13" s="19" t="n">
        <f aca="false">F327</f>
        <v>2.7647633861462</v>
      </c>
      <c r="E13" s="16" t="n">
        <f aca="false">F340</f>
        <v>0.67</v>
      </c>
      <c r="F13" s="9" t="n">
        <f aca="false">F351</f>
        <v>9.94762252869147</v>
      </c>
      <c r="G13" s="16" t="n">
        <f aca="false">F13/F$4-1</f>
        <v>0.0919540229885054</v>
      </c>
      <c r="H13" s="19" t="n">
        <f aca="false">G335</f>
        <v>4.40590559806617</v>
      </c>
      <c r="I13" s="19" t="n">
        <f aca="false">G327</f>
        <v>2.92374697292887</v>
      </c>
      <c r="J13" s="16" t="n">
        <f aca="false">G340</f>
        <v>0.66</v>
      </c>
      <c r="K13" s="9" t="n">
        <f aca="false">G351</f>
        <v>10.8948020376129</v>
      </c>
      <c r="L13" s="16" t="n">
        <f aca="false">K13/K$4-1</f>
        <v>0.104651162790698</v>
      </c>
    </row>
    <row r="14" customFormat="false" ht="17.15" hidden="false" customHeight="false" outlineLevel="0" collapsed="false">
      <c r="A14" s="0" t="s">
        <v>771</v>
      </c>
      <c r="B14" s="0" t="s">
        <v>772</v>
      </c>
      <c r="C14" s="19" t="n">
        <f aca="false">F370</f>
        <v>3.37644837778412</v>
      </c>
      <c r="D14" s="19" t="n">
        <f aca="false">F362</f>
        <v>2.21181070891696</v>
      </c>
      <c r="E14" s="16" t="n">
        <f aca="false">F375</f>
        <v>0.67</v>
      </c>
      <c r="F14" s="9" t="n">
        <f aca="false">F386</f>
        <v>7.7447116656458</v>
      </c>
      <c r="G14" s="16" t="n">
        <f aca="false">F14/F$4-1</f>
        <v>-0.149860277086693</v>
      </c>
      <c r="H14" s="19" t="n">
        <f aca="false">G370</f>
        <v>3.8211562034804</v>
      </c>
      <c r="I14" s="19" t="n">
        <f aca="false">G362</f>
        <v>2.33899757834309</v>
      </c>
      <c r="J14" s="16" t="n">
        <f aca="false">G375</f>
        <v>0.66</v>
      </c>
      <c r="K14" s="9" t="n">
        <f aca="false">G386</f>
        <v>8.47152811383742</v>
      </c>
      <c r="L14" s="16" t="n">
        <f aca="false">K14/K$4-1</f>
        <v>-0.141050626779904</v>
      </c>
    </row>
    <row r="15" customFormat="false" ht="17.15" hidden="false" customHeight="false" outlineLevel="0" collapsed="false">
      <c r="A15" s="0" t="s">
        <v>773</v>
      </c>
      <c r="B15" s="0" t="s">
        <v>774</v>
      </c>
      <c r="C15" s="19" t="n">
        <f aca="false">F405</f>
        <v>4.4823537322426</v>
      </c>
      <c r="D15" s="19" t="n">
        <f aca="false">F397</f>
        <v>3.31771606337543</v>
      </c>
      <c r="E15" s="16" t="n">
        <f aca="false">F410</f>
        <v>0.67</v>
      </c>
      <c r="F15" s="9" t="n">
        <f aca="false">F421</f>
        <v>10.4751443342733</v>
      </c>
      <c r="G15" s="16" t="n">
        <f aca="false">F15/F$4-1</f>
        <v>0.149860277086693</v>
      </c>
      <c r="H15" s="19" t="n">
        <f aca="false">G405</f>
        <v>4.99065499265194</v>
      </c>
      <c r="I15" s="19" t="n">
        <f aca="false">G397</f>
        <v>3.50849636751464</v>
      </c>
      <c r="J15" s="16" t="n">
        <f aca="false">G410</f>
        <v>0.66</v>
      </c>
      <c r="K15" s="9" t="n">
        <f aca="false">G421</f>
        <v>11.2527337973008</v>
      </c>
      <c r="L15" s="16" t="n">
        <f aca="false">K15/K$4-1</f>
        <v>0.140942756999932</v>
      </c>
    </row>
    <row r="16" customFormat="false" ht="17.15" hidden="false" customHeight="false" outlineLevel="0" collapsed="false">
      <c r="A16" s="5" t="s">
        <v>775</v>
      </c>
      <c r="B16" s="5" t="s">
        <v>776</v>
      </c>
      <c r="C16" s="19" t="n">
        <f aca="false">F440</f>
        <v>3.92940105501336</v>
      </c>
      <c r="D16" s="19" t="n">
        <f aca="false">F432</f>
        <v>2.7647633861462</v>
      </c>
      <c r="E16" s="16" t="n">
        <f aca="false">F445</f>
        <v>0.67</v>
      </c>
      <c r="F16" s="9" t="n">
        <f aca="false">F456</f>
        <v>8.78745456512731</v>
      </c>
      <c r="G16" s="16" t="n">
        <f aca="false">F16/F$4-1</f>
        <v>-0.0353980223371334</v>
      </c>
      <c r="H16" s="19" t="n">
        <f aca="false">G440</f>
        <v>4.40590559806617</v>
      </c>
      <c r="I16" s="19" t="n">
        <f aca="false">G432</f>
        <v>2.92374697292887</v>
      </c>
      <c r="J16" s="16" t="n">
        <f aca="false">G445</f>
        <v>0.66</v>
      </c>
      <c r="K16" s="9" t="n">
        <f aca="false">G456</f>
        <v>9.42747374560904</v>
      </c>
      <c r="L16" s="16" t="n">
        <f aca="false">K16/K$4-1</f>
        <v>-0.0441249139440451</v>
      </c>
    </row>
    <row r="17" customFormat="false" ht="17.15" hidden="false" customHeight="false" outlineLevel="0" collapsed="false">
      <c r="A17" s="5" t="s">
        <v>777</v>
      </c>
      <c r="B17" s="5" t="s">
        <v>778</v>
      </c>
      <c r="C17" s="19" t="n">
        <f aca="false">F475</f>
        <v>3.92940105501336</v>
      </c>
      <c r="D17" s="19" t="n">
        <f aca="false">F467</f>
        <v>2.7647633861462</v>
      </c>
      <c r="E17" s="16" t="n">
        <f aca="false">F480</f>
        <v>0.67</v>
      </c>
      <c r="F17" s="9" t="n">
        <f aca="false">F491</f>
        <v>8.77142970376314</v>
      </c>
      <c r="G17" s="16" t="n">
        <f aca="false">F17/F$4-1</f>
        <v>-0.037157077004112</v>
      </c>
      <c r="H17" s="19" t="n">
        <f aca="false">G475</f>
        <v>4.40590559806617</v>
      </c>
      <c r="I17" s="19" t="n">
        <f aca="false">G467</f>
        <v>2.92374697292887</v>
      </c>
      <c r="J17" s="16" t="n">
        <f aca="false">G480</f>
        <v>0.66</v>
      </c>
      <c r="K17" s="9" t="n">
        <f aca="false">G491</f>
        <v>9.49302331251537</v>
      </c>
      <c r="L17" s="16" t="n">
        <f aca="false">K17/K$4-1</f>
        <v>-0.0374786797992182</v>
      </c>
    </row>
    <row r="18" customFormat="false" ht="17.15" hidden="false" customHeight="false" outlineLevel="0" collapsed="false">
      <c r="A18" s="5" t="s">
        <v>779</v>
      </c>
      <c r="B18" s="0" t="s">
        <v>780</v>
      </c>
      <c r="C18" s="19" t="n">
        <f aca="false">PL!F110</f>
        <v>3.68326046676117</v>
      </c>
      <c r="D18" s="19" t="n">
        <f aca="false">PL!F102</f>
        <v>2.56128070554207</v>
      </c>
      <c r="E18" s="16" t="n">
        <f aca="false">PL!F115</f>
        <v>0.67</v>
      </c>
      <c r="F18" s="9" t="n">
        <f aca="false">PL!F126</f>
        <v>8.50221749333301</v>
      </c>
      <c r="G18" s="16" t="n">
        <f aca="false">F18/F$4-1</f>
        <v>-0.0667085960096764</v>
      </c>
      <c r="H18" s="19" t="n">
        <f aca="false">PL!G110</f>
        <v>3.70052914979096</v>
      </c>
      <c r="I18" s="19" t="n">
        <f aca="false">PL!G102</f>
        <v>2.38853065370258</v>
      </c>
      <c r="J18" s="16" t="n">
        <f aca="false">PL!G115</f>
        <v>0.66</v>
      </c>
      <c r="K18" s="9" t="n">
        <f aca="false">PL!G126</f>
        <v>8.16752978087344</v>
      </c>
      <c r="L18" s="16" t="n">
        <f aca="false">K18/K$4-1</f>
        <v>-0.171873776281451</v>
      </c>
    </row>
    <row r="19" customFormat="false" ht="17.15" hidden="false" customHeight="false" outlineLevel="0" collapsed="false">
      <c r="A19" s="5" t="s">
        <v>781</v>
      </c>
      <c r="B19" s="0" t="s">
        <v>782</v>
      </c>
      <c r="C19" s="19" t="n">
        <f aca="false">PL!F145</f>
        <v>3.41457236727439</v>
      </c>
      <c r="D19" s="19" t="n">
        <f aca="false">PL!F137</f>
        <v>2.35779802493795</v>
      </c>
      <c r="E19" s="16" t="n">
        <f aca="false">PL!F150</f>
        <v>0.67</v>
      </c>
      <c r="F19" s="9" t="n">
        <f aca="false">PL!F161</f>
        <v>7.83883815300115</v>
      </c>
      <c r="G19" s="16" t="n">
        <f aca="false">F19/F$4-1</f>
        <v>-0.139527979470754</v>
      </c>
      <c r="H19" s="19" t="n">
        <f aca="false">PL!G145</f>
        <v>2.77316235421776</v>
      </c>
      <c r="I19" s="19" t="n">
        <f aca="false">PL!G137</f>
        <v>1.75424818375732</v>
      </c>
      <c r="J19" s="16" t="n">
        <f aca="false">PL!G150</f>
        <v>0.66</v>
      </c>
      <c r="K19" s="9" t="n">
        <f aca="false">PL!G161</f>
        <v>5.71519252365698</v>
      </c>
      <c r="L19" s="16" t="n">
        <f aca="false">K19/K$4-1</f>
        <v>-0.420522369747099</v>
      </c>
    </row>
    <row r="21" customFormat="false" ht="17.15" hidden="false" customHeight="false" outlineLevel="0" collapsed="false">
      <c r="A21" s="5" t="s">
        <v>783</v>
      </c>
    </row>
    <row r="23" customFormat="false" ht="17.15" hidden="false" customHeight="false" outlineLevel="0" collapsed="false">
      <c r="A23" s="3" t="s">
        <v>784</v>
      </c>
    </row>
    <row r="24" customFormat="false" ht="17.15" hidden="false" customHeight="false" outlineLevel="0" collapsed="false">
      <c r="A24" s="6" t="s">
        <v>740</v>
      </c>
      <c r="B24" s="6" t="s">
        <v>741</v>
      </c>
      <c r="C24" s="14" t="s">
        <v>785</v>
      </c>
      <c r="D24" s="14" t="s">
        <v>786</v>
      </c>
      <c r="E24" s="6" t="s">
        <v>787</v>
      </c>
      <c r="F24" s="6" t="s">
        <v>788</v>
      </c>
    </row>
    <row r="25" customFormat="false" ht="17.15" hidden="false" customHeight="false" outlineLevel="0" collapsed="false">
      <c r="A25" s="5" t="s">
        <v>25</v>
      </c>
      <c r="B25" s="0" t="s">
        <v>789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25" s="9" t="n">
        <f aca="false">Val!B35</f>
        <v>288.846664895152</v>
      </c>
      <c r="E25" s="9" t="n">
        <f aca="false">tp_w_dcf*C25+(1-tp_w_dcf)*D25</f>
        <v>194.503855731343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790</v>
      </c>
      <c r="B26" s="0" t="s">
        <v>791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86.8791187280308</v>
      </c>
      <c r="D26" s="9" t="n">
        <f aca="false">Val!B35</f>
        <v>288.846664895152</v>
      </c>
      <c r="E26" s="9" t="n">
        <f aca="false">tp_w_dcf*C26+(1-tp_w_dcf)*D26</f>
        <v>187.862891811592</v>
      </c>
      <c r="F26" s="16" t="n">
        <f aca="false">E26/E$25-1</f>
        <v>-0.0341430965200187</v>
      </c>
    </row>
    <row r="27" customFormat="false" ht="17.15" hidden="false" customHeight="false" outlineLevel="0" collapsed="false">
      <c r="A27" s="5" t="s">
        <v>792</v>
      </c>
      <c r="B27" s="0" t="s">
        <v>793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118.742398714771</v>
      </c>
      <c r="D27" s="9" t="n">
        <f aca="false">Val!B35</f>
        <v>288.846664895152</v>
      </c>
      <c r="E27" s="9" t="n">
        <f aca="false">tp_w_dcf*C27+(1-tp_w_dcf)*D27</f>
        <v>203.794531804962</v>
      </c>
      <c r="F27" s="16" t="n">
        <f aca="false">E27/E$25-1</f>
        <v>0.0477660251961896</v>
      </c>
    </row>
    <row r="28" customFormat="false" ht="17.15" hidden="false" customHeight="false" outlineLevel="0" collapsed="false">
      <c r="A28" s="5" t="s">
        <v>794</v>
      </c>
      <c r="B28" s="0" t="s">
        <v>795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107.792247828946</v>
      </c>
      <c r="D28" s="9" t="n">
        <f aca="false">Val!B35</f>
        <v>288.846664895152</v>
      </c>
      <c r="E28" s="9" t="n">
        <f aca="false">tp_w_dcf*C28+(1-tp_w_dcf)*D28</f>
        <v>198.319456362049</v>
      </c>
      <c r="F28" s="16" t="n">
        <f aca="false">E28/E$25-1</f>
        <v>0.019617095076905</v>
      </c>
    </row>
    <row r="29" customFormat="false" ht="17.15" hidden="false" customHeight="false" outlineLevel="0" collapsed="false">
      <c r="A29" s="5" t="s">
        <v>796</v>
      </c>
      <c r="B29" s="0" t="s">
        <v>797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95.1758008626694</v>
      </c>
      <c r="D29" s="9" t="n">
        <f aca="false">Val!B35</f>
        <v>288.846664895152</v>
      </c>
      <c r="E29" s="9" t="n">
        <f aca="false">tp_w_dcf*C29+(1-tp_w_dcf)*D29</f>
        <v>192.011232878911</v>
      </c>
      <c r="F29" s="16" t="n">
        <f aca="false">E29/E$25-1</f>
        <v>-0.0128152876099005</v>
      </c>
    </row>
    <row r="30" customFormat="false" ht="17.15" hidden="false" customHeight="false" outlineLevel="0" collapsed="false">
      <c r="A30" s="0" t="s">
        <v>798</v>
      </c>
      <c r="B30" s="0" t="s">
        <v>799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30" s="9" t="n">
        <f aca="false">Val!B35</f>
        <v>288.846664895152</v>
      </c>
      <c r="E30" s="9" t="n">
        <f aca="false">0.3*C30+(1-0.3)*D30</f>
        <v>232.240979396866</v>
      </c>
      <c r="F30" s="16" t="n">
        <f aca="false">E30/E$25-1</f>
        <v>0.194017355201678</v>
      </c>
    </row>
    <row r="31" customFormat="false" ht="17.15" hidden="false" customHeight="false" outlineLevel="0" collapsed="false">
      <c r="A31" s="0" t="s">
        <v>800</v>
      </c>
      <c r="B31" s="0" t="s">
        <v>801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31" s="9" t="n">
        <f aca="false">Val!B35</f>
        <v>288.846664895152</v>
      </c>
      <c r="E31" s="9" t="n">
        <f aca="false">0.7*C31+(1-0.7)*D31</f>
        <v>156.766732065819</v>
      </c>
      <c r="F31" s="16" t="n">
        <f aca="false">E31/E$25-1</f>
        <v>-0.194017355201678</v>
      </c>
    </row>
    <row r="40" customFormat="false" ht="17.15" hidden="false" customHeight="false" outlineLevel="0" collapsed="false">
      <c r="A40" s="3" t="s">
        <v>802</v>
      </c>
    </row>
    <row r="41" customFormat="false" ht="17.15" hidden="false" customHeight="false" outlineLevel="0" collapsed="false">
      <c r="A41" s="6" t="s">
        <v>22</v>
      </c>
      <c r="B41" s="6" t="s">
        <v>23</v>
      </c>
      <c r="C41" s="14" t="s">
        <v>412</v>
      </c>
      <c r="D41" s="14" t="s">
        <v>413</v>
      </c>
      <c r="E41" s="14" t="s">
        <v>459</v>
      </c>
      <c r="F41" s="14" t="s">
        <v>460</v>
      </c>
      <c r="G41" s="14" t="s">
        <v>461</v>
      </c>
      <c r="H41" s="6" t="s">
        <v>418</v>
      </c>
    </row>
    <row r="42" customFormat="false" ht="17.15" hidden="false" customHeight="false" outlineLevel="0" collapsed="false">
      <c r="A42" s="1" t="s">
        <v>503</v>
      </c>
    </row>
    <row r="43" customFormat="false" ht="17.15" hidden="false" customHeight="false" outlineLevel="0" collapsed="false">
      <c r="A43" s="0" t="s">
        <v>504</v>
      </c>
      <c r="B43" s="0" t="s">
        <v>33</v>
      </c>
      <c r="E43" s="19" t="n">
        <f aca="false">(w8*mcu_26*1+(1-w8)*mcu_27*1)</f>
        <v>34.3390133333333</v>
      </c>
      <c r="F43" s="19" t="n">
        <f aca="false">(w8*mcu_27*1+(1-w8)*mcu_28*um28_A)</f>
        <v>53.8666133333333</v>
      </c>
      <c r="G43" s="19" t="n">
        <f aca="false">(w8*mcu_28*um28_A+(1-w8)*mcu_29*um29_A)</f>
        <v>59.9622446666667</v>
      </c>
      <c r="H43" s="8" t="s">
        <v>505</v>
      </c>
    </row>
    <row r="44" customFormat="false" ht="17.15" hidden="false" customHeight="false" outlineLevel="0" collapsed="false">
      <c r="A44" s="0" t="s">
        <v>506</v>
      </c>
      <c r="B44" s="0" t="s">
        <v>110</v>
      </c>
      <c r="E44" s="20" t="n">
        <f aca="false">a27_aec/E43</f>
        <v>0.0513261037785594</v>
      </c>
      <c r="H44" s="8" t="s">
        <v>507</v>
      </c>
    </row>
    <row r="45" customFormat="false" ht="17.15" hidden="false" customHeight="false" outlineLevel="0" collapsed="false">
      <c r="A45" s="0" t="s">
        <v>508</v>
      </c>
      <c r="B45" s="0" t="s">
        <v>76</v>
      </c>
      <c r="E45" s="9" t="n">
        <f aca="false">1</f>
        <v>1</v>
      </c>
      <c r="F45" s="9" t="n">
        <f aca="false">RLO_28</f>
        <v>0.75</v>
      </c>
      <c r="G45" s="9" t="n">
        <f aca="false">RLO_29</f>
        <v>0.6</v>
      </c>
    </row>
    <row r="46" customFormat="false" ht="17.15" hidden="false" customHeight="false" outlineLevel="0" collapsed="false">
      <c r="A46" s="0" t="s">
        <v>509</v>
      </c>
      <c r="B46" s="0" t="s">
        <v>110</v>
      </c>
      <c r="E46" s="20" t="n">
        <f aca="false">$E$44*E45</f>
        <v>0.0513261037785594</v>
      </c>
      <c r="F46" s="20" t="n">
        <f aca="false">$E$44*F45</f>
        <v>0.0384945778339195</v>
      </c>
      <c r="G46" s="20" t="n">
        <f aca="false">$E$44*G45</f>
        <v>0.0307956622671356</v>
      </c>
    </row>
    <row r="47" customFormat="false" ht="17.15" hidden="false" customHeight="false" outlineLevel="0" collapsed="false">
      <c r="A47" s="0" t="s">
        <v>510</v>
      </c>
      <c r="B47" s="0" t="s">
        <v>33</v>
      </c>
      <c r="D47" s="15" t="n">
        <f aca="false">a26_aec</f>
        <v>1.09165788</v>
      </c>
      <c r="E47" s="15" t="n">
        <f aca="false">a27_aec</f>
        <v>1.762487762</v>
      </c>
      <c r="F47" s="15" t="n">
        <f aca="false">F43*F46</f>
        <v>2.07357253960965</v>
      </c>
      <c r="G47" s="15" t="n">
        <f aca="false">G43*G46</f>
        <v>1.84657703553402</v>
      </c>
    </row>
    <row r="48" customFormat="false" ht="17.15" hidden="false" customHeight="false" outlineLevel="0" collapsed="false">
      <c r="A48" s="1" t="s">
        <v>511</v>
      </c>
    </row>
    <row r="49" customFormat="false" ht="17.15" hidden="false" customHeight="false" outlineLevel="0" collapsed="false">
      <c r="A49" s="0" t="s">
        <v>512</v>
      </c>
      <c r="B49" s="0" t="s">
        <v>33</v>
      </c>
      <c r="E49" s="19" t="n">
        <f aca="false">(w8*mpl_26*1+(1-w8)*mpl_27*1)</f>
        <v>37.6890796666667</v>
      </c>
      <c r="F49" s="19" t="n">
        <f aca="false">(w8*mpl_27*1+(1-w8)*mpl_28*um28_A)</f>
        <v>55.0376433333333</v>
      </c>
      <c r="G49" s="19" t="n">
        <f aca="false">(w8*mpl_28*um28_A+(1-w8)*mpl_29*um29_A)</f>
        <v>62.9726</v>
      </c>
    </row>
    <row r="50" customFormat="false" ht="17.15" hidden="false" customHeight="false" outlineLevel="0" collapsed="false">
      <c r="A50" s="0" t="s">
        <v>513</v>
      </c>
      <c r="B50" s="0" t="s">
        <v>110</v>
      </c>
      <c r="E50" s="20" t="n">
        <f aca="false">a27_opt/(w8*mplB_26*1+(1-w8)*mplB_27*1)</f>
        <v>0.0157625345447985</v>
      </c>
    </row>
    <row r="51" customFormat="false" ht="17.15" hidden="false" customHeight="false" outlineLevel="0" collapsed="false">
      <c r="A51" s="5" t="s">
        <v>514</v>
      </c>
      <c r="B51" s="0" t="s">
        <v>76</v>
      </c>
      <c r="E51" s="9" t="n">
        <f aca="false">1</f>
        <v>1</v>
      </c>
      <c r="F51" s="9" t="n">
        <f aca="false">rel_o_28</f>
        <v>1.2</v>
      </c>
      <c r="G51" s="9" t="n">
        <f aca="false">rel_o_29</f>
        <v>1.35</v>
      </c>
    </row>
    <row r="52" customFormat="false" ht="15" hidden="false" customHeight="false" outlineLevel="0" collapsed="false">
      <c r="A52" s="5" t="s">
        <v>515</v>
      </c>
      <c r="B52" s="0" t="s">
        <v>33</v>
      </c>
      <c r="D52" s="15" t="n">
        <f aca="false">a26_opt</f>
        <v>0.15</v>
      </c>
      <c r="E52" s="15" t="n">
        <f aca="false">a27_opt</f>
        <v>0.6</v>
      </c>
      <c r="F52" s="15" t="n">
        <f aca="false">F49*$E$50*F51</f>
        <v>1.04103930516716</v>
      </c>
      <c r="G52" s="15" t="n">
        <f aca="false">G49*$E$50*G51</f>
        <v>1.3400205068823</v>
      </c>
    </row>
    <row r="53" customFormat="false" ht="17.15" hidden="false" customHeight="false" outlineLevel="0" collapsed="false">
      <c r="A53" s="1" t="s">
        <v>516</v>
      </c>
    </row>
    <row r="54" customFormat="false" ht="17.15" hidden="false" customHeight="false" outlineLevel="0" collapsed="false">
      <c r="A54" s="5" t="s">
        <v>517</v>
      </c>
      <c r="B54" s="0" t="s">
        <v>33</v>
      </c>
      <c r="D54" s="15" t="n">
        <f aca="false">a26_ic</f>
        <v>0.09345812</v>
      </c>
      <c r="E54" s="15" t="n">
        <f aca="false">a27_ic</f>
        <v>0.107476838</v>
      </c>
      <c r="F54" s="15" t="n">
        <f aca="false">E54*(1+g_oth)</f>
        <v>0.1235983637</v>
      </c>
      <c r="G54" s="15" t="n">
        <f aca="false">F54*(1+g_oth)</f>
        <v>0.142138118255</v>
      </c>
    </row>
    <row r="55" customFormat="false" ht="15" hidden="false" customHeight="false" outlineLevel="0" collapsed="false">
      <c r="A55" s="5" t="s">
        <v>419</v>
      </c>
      <c r="B55" s="0" t="s">
        <v>33</v>
      </c>
      <c r="C55" s="15" t="n">
        <f aca="false">a25_rev</f>
        <v>0.436775</v>
      </c>
      <c r="D55" s="15" t="n">
        <f aca="false">a26_rev</f>
        <v>1.335116</v>
      </c>
      <c r="E55" s="15" t="n">
        <f aca="false">E47+E52+E54</f>
        <v>2.4699646</v>
      </c>
      <c r="F55" s="15" t="n">
        <f aca="false">F47+F52+F54</f>
        <v>3.23821020847681</v>
      </c>
      <c r="G55" s="15" t="n">
        <f aca="false">G47+G52+G54</f>
        <v>3.32873566067132</v>
      </c>
    </row>
    <row r="56" customFormat="false" ht="15" hidden="false" customHeight="false" outlineLevel="0" collapsed="false">
      <c r="A56" s="5" t="s">
        <v>518</v>
      </c>
      <c r="B56" s="0" t="s">
        <v>110</v>
      </c>
      <c r="D56" s="16" t="n">
        <f aca="false">D55/C55-1</f>
        <v>2.05675920096159</v>
      </c>
      <c r="E56" s="16" t="n">
        <f aca="false">E55/D55-1</f>
        <v>0.85</v>
      </c>
      <c r="F56" s="16" t="n">
        <f aca="false">F55/E55-1</f>
        <v>0.31103506846892</v>
      </c>
      <c r="G56" s="16" t="n">
        <f aca="false">G55/F55-1</f>
        <v>0.0279553970763056</v>
      </c>
    </row>
    <row r="57" customFormat="false" ht="17.15" hidden="false" customHeight="false" outlineLevel="0" collapsed="false">
      <c r="A57" s="0" t="s">
        <v>445</v>
      </c>
      <c r="B57" s="0" t="s">
        <v>110</v>
      </c>
      <c r="D57" s="16" t="n">
        <f aca="false">D47/D55</f>
        <v>0.817650211667001</v>
      </c>
      <c r="E57" s="16" t="n">
        <f aca="false">E47/E55</f>
        <v>0.713568025225949</v>
      </c>
      <c r="F57" s="16" t="n">
        <f aca="false">F47/F55</f>
        <v>0.640345254357349</v>
      </c>
      <c r="G57" s="16" t="n">
        <f aca="false">G47/G55</f>
        <v>0.554738262142934</v>
      </c>
    </row>
    <row r="58" customFormat="false" ht="17.15" hidden="false" customHeight="false" outlineLevel="0" collapsed="false">
      <c r="A58" s="5" t="s">
        <v>519</v>
      </c>
      <c r="B58" s="0" t="s">
        <v>110</v>
      </c>
      <c r="D58" s="16" t="n">
        <f aca="false">D52/D55</f>
        <v>0.112349788332999</v>
      </c>
      <c r="E58" s="16" t="n">
        <f aca="false">E52/E55</f>
        <v>0.242918461260538</v>
      </c>
      <c r="F58" s="16" t="n">
        <f aca="false">F52/F55</f>
        <v>0.321486017937312</v>
      </c>
      <c r="G58" s="16" t="n">
        <f aca="false">G52/G55</f>
        <v>0.40256140573567</v>
      </c>
    </row>
    <row r="59" customFormat="false" ht="17.15" hidden="false" customHeight="false" outlineLevel="0" collapsed="false">
      <c r="A59" s="1" t="s">
        <v>520</v>
      </c>
    </row>
    <row r="60" customFormat="false" ht="17.15" hidden="false" customHeight="false" outlineLevel="0" collapsed="false">
      <c r="A60" s="5" t="s">
        <v>424</v>
      </c>
      <c r="B60" s="0" t="s">
        <v>110</v>
      </c>
      <c r="C60" s="16" t="n">
        <f aca="false">a25_gp/a25_rev</f>
        <v>0.650456184534371</v>
      </c>
      <c r="D60" s="16" t="n">
        <f aca="false">a26_gp/a26_rev</f>
        <v>0.681414199215649</v>
      </c>
      <c r="E60" s="16" t="n">
        <f aca="false">a27_gp/a27_rev</f>
        <v>0.680029538884889</v>
      </c>
      <c r="F60" s="16" t="n">
        <f aca="false">gm_28</f>
        <v>0.67</v>
      </c>
      <c r="G60" s="16" t="n">
        <f aca="false">gm_29</f>
        <v>0.66</v>
      </c>
      <c r="H60" s="8" t="s">
        <v>521</v>
      </c>
    </row>
    <row r="61" customFormat="false" ht="15" hidden="false" customHeight="false" outlineLevel="0" collapsed="false">
      <c r="A61" s="5" t="s">
        <v>522</v>
      </c>
      <c r="B61" s="0" t="s">
        <v>33</v>
      </c>
      <c r="C61" s="15" t="n">
        <f aca="false">C55*C60</f>
        <v>0.284103</v>
      </c>
      <c r="D61" s="15" t="n">
        <f aca="false">D55*D60</f>
        <v>0.909767</v>
      </c>
      <c r="E61" s="15" t="n">
        <f aca="false">E55*E60</f>
        <v>1.679648888</v>
      </c>
      <c r="F61" s="15" t="n">
        <f aca="false">F55*F60</f>
        <v>2.16960083967946</v>
      </c>
      <c r="G61" s="15" t="n">
        <f aca="false">G55*G60</f>
        <v>2.19696553604307</v>
      </c>
    </row>
    <row r="62" customFormat="false" ht="15" hidden="false" customHeight="false" outlineLevel="0" collapsed="false">
      <c r="A62" s="5" t="s">
        <v>523</v>
      </c>
      <c r="B62" s="0" t="s">
        <v>33</v>
      </c>
      <c r="C62" s="15" t="n">
        <f aca="false">a25_opx</f>
        <v>0.168751</v>
      </c>
      <c r="D62" s="15" t="n">
        <f aca="false">a26_opx</f>
        <v>0.270945</v>
      </c>
      <c r="E62" s="15" t="n">
        <f aca="false">a27_opx</f>
        <v>0.4064175</v>
      </c>
      <c r="F62" s="15" t="n">
        <f aca="false">E62*(1+MAX(0,phi*F56))</f>
        <v>0.480776379376157</v>
      </c>
      <c r="G62" s="15" t="n">
        <f aca="false">F62*(1+MAX(0,phi*G56))</f>
        <v>0.488682435017551</v>
      </c>
    </row>
    <row r="63" customFormat="false" ht="15" hidden="false" customHeight="false" outlineLevel="0" collapsed="false">
      <c r="A63" s="5" t="s">
        <v>524</v>
      </c>
      <c r="B63" s="0" t="s">
        <v>33</v>
      </c>
      <c r="C63" s="15" t="n">
        <f aca="false">C62</f>
        <v>0.168751</v>
      </c>
      <c r="D63" s="15" t="n">
        <f aca="false">D62</f>
        <v>0.270945</v>
      </c>
      <c r="E63" s="15" t="n">
        <f aca="false">E62</f>
        <v>0.4064175</v>
      </c>
      <c r="F63" s="15" t="n">
        <f aca="false">F62+0*F55</f>
        <v>0.480776379376157</v>
      </c>
      <c r="G63" s="15" t="n">
        <f aca="false">G62+0*G55</f>
        <v>0.488682435017551</v>
      </c>
    </row>
    <row r="64" customFormat="false" ht="15" hidden="false" customHeight="false" outlineLevel="0" collapsed="false">
      <c r="A64" s="5" t="s">
        <v>525</v>
      </c>
      <c r="B64" s="0" t="s">
        <v>33</v>
      </c>
      <c r="C64" s="15" t="n">
        <f aca="false">C61-C63</f>
        <v>0.115352</v>
      </c>
      <c r="D64" s="15" t="n">
        <f aca="false">D61-D63</f>
        <v>0.638822</v>
      </c>
      <c r="E64" s="15" t="n">
        <f aca="false">E61-E63</f>
        <v>1.273231388</v>
      </c>
      <c r="F64" s="15" t="n">
        <f aca="false">F61-F63</f>
        <v>1.6888244603033</v>
      </c>
      <c r="G64" s="15" t="n">
        <f aca="false">G61-G63</f>
        <v>1.70828310102552</v>
      </c>
    </row>
    <row r="65" customFormat="false" ht="15" hidden="false" customHeight="false" outlineLevel="0" collapsed="false">
      <c r="A65" s="5" t="s">
        <v>493</v>
      </c>
      <c r="B65" s="0" t="s">
        <v>110</v>
      </c>
      <c r="C65" s="16" t="n">
        <f aca="false">C64/C55</f>
        <v>0.264099364661439</v>
      </c>
      <c r="D65" s="16" t="n">
        <f aca="false">D64/D55</f>
        <v>0.478476776549753</v>
      </c>
      <c r="E65" s="16" t="n">
        <f aca="false">E64/E55</f>
        <v>0.515485682669298</v>
      </c>
      <c r="F65" s="16" t="n">
        <f aca="false">F64/F55</f>
        <v>0.521530213166024</v>
      </c>
      <c r="G65" s="16" t="n">
        <f aca="false">G64/G55</f>
        <v>0.513192778029423</v>
      </c>
    </row>
    <row r="66" customFormat="false" ht="15" hidden="false" customHeight="false" outlineLevel="0" collapsed="false">
      <c r="A66" s="5" t="s">
        <v>429</v>
      </c>
      <c r="B66" s="0" t="s">
        <v>33</v>
      </c>
      <c r="C66" s="15" t="n">
        <f aca="false">a25_ninc</f>
        <v>0.017746</v>
      </c>
      <c r="D66" s="15" t="n">
        <f aca="false">a26_ninc</f>
        <v>0.03043</v>
      </c>
      <c r="E66" s="15" t="n">
        <f aca="false">a27_ninc</f>
        <v>0.02914</v>
      </c>
      <c r="F66" s="15" t="n">
        <f aca="false">oth_f</f>
        <v>0.03</v>
      </c>
      <c r="G66" s="15" t="n">
        <f aca="false">oth_f</f>
        <v>0.03</v>
      </c>
    </row>
    <row r="67" customFormat="false" ht="17.15" hidden="false" customHeight="false" outlineLevel="0" collapsed="false">
      <c r="A67" s="5" t="s">
        <v>434</v>
      </c>
      <c r="B67" s="0" t="s">
        <v>110</v>
      </c>
      <c r="C67" s="16" t="n">
        <f aca="false">a25_tx</f>
        <v>0.0238320635922402</v>
      </c>
      <c r="D67" s="16" t="n">
        <f aca="false">a26_tx</f>
        <v>0.0115188299773478</v>
      </c>
      <c r="E67" s="16" t="n">
        <f aca="false">a27_tx</f>
        <v>0.0141840153969967</v>
      </c>
      <c r="F67" s="16" t="n">
        <f aca="false">tx_28</f>
        <v>0.13</v>
      </c>
      <c r="G67" s="16" t="n">
        <f aca="false">tx_29</f>
        <v>0.14</v>
      </c>
      <c r="H67" s="8" t="s">
        <v>526</v>
      </c>
    </row>
    <row r="68" customFormat="false" ht="15" hidden="false" customHeight="false" outlineLevel="0" collapsed="false">
      <c r="A68" s="5" t="s">
        <v>494</v>
      </c>
      <c r="B68" s="0" t="s">
        <v>33</v>
      </c>
      <c r="C68" s="15" t="n">
        <f aca="false">a25_ni</f>
        <v>0.129926</v>
      </c>
      <c r="D68" s="15" t="n">
        <f aca="false">a26_ni</f>
        <v>0.661543</v>
      </c>
      <c r="E68" s="15" t="n">
        <f aca="false">a27_ni</f>
        <v>1.28389853218</v>
      </c>
      <c r="F68" s="15" t="n">
        <f aca="false">(F64+F66)*(1-F67)</f>
        <v>1.49537728046387</v>
      </c>
      <c r="G68" s="15" t="n">
        <f aca="false">(G64+G66)*(1-G67)</f>
        <v>1.49492346688195</v>
      </c>
    </row>
    <row r="69" customFormat="false" ht="15" hidden="false" customHeight="false" outlineLevel="0" collapsed="false">
      <c r="A69" s="5" t="s">
        <v>436</v>
      </c>
      <c r="B69" s="0" t="s">
        <v>110</v>
      </c>
      <c r="C69" s="16" t="n">
        <f aca="false">C68/C55</f>
        <v>0.297466659034972</v>
      </c>
      <c r="D69" s="16" t="n">
        <f aca="false">D68/D55</f>
        <v>0.495494773487847</v>
      </c>
      <c r="E69" s="16" t="n">
        <f aca="false">E68/E55</f>
        <v>0.519804426419715</v>
      </c>
      <c r="F69" s="16" t="n">
        <f aca="false">F68/F55</f>
        <v>0.461791293397</v>
      </c>
      <c r="G69" s="16" t="n">
        <f aca="false">G68/G55</f>
        <v>0.449096479646708</v>
      </c>
    </row>
    <row r="70" customFormat="false" ht="15" hidden="false" customHeight="false" outlineLevel="0" collapsed="false">
      <c r="A70" s="5" t="s">
        <v>527</v>
      </c>
      <c r="B70" s="5" t="s">
        <v>173</v>
      </c>
      <c r="C70" s="24" t="n">
        <f aca="false">a25_sh</f>
        <v>0.184644</v>
      </c>
      <c r="D70" s="24" t="n">
        <f aca="false">a26_sh</f>
        <v>0.191256</v>
      </c>
      <c r="E70" s="24" t="n">
        <f aca="false">a27_sh</f>
        <v>0.199</v>
      </c>
      <c r="F70" s="24" t="n">
        <f aca="false">E70*(1+sh_g)</f>
        <v>0.201985</v>
      </c>
      <c r="G70" s="24" t="n">
        <f aca="false">F70*(1+sh_g)</f>
        <v>0.205014775</v>
      </c>
    </row>
    <row r="71" customFormat="false" ht="17.15" hidden="false" customHeight="false" outlineLevel="0" collapsed="false">
      <c r="A71" s="0" t="s">
        <v>439</v>
      </c>
      <c r="B71" s="0" t="s">
        <v>178</v>
      </c>
      <c r="C71" s="9" t="n">
        <f aca="false">C68/C70</f>
        <v>0.703656766534521</v>
      </c>
      <c r="D71" s="9" t="n">
        <f aca="false">D68/D70</f>
        <v>3.45893985025306</v>
      </c>
      <c r="E71" s="9" t="n">
        <f aca="false">E68/E70</f>
        <v>6.45175141798995</v>
      </c>
      <c r="F71" s="9" t="n">
        <f aca="false">F68/F70</f>
        <v>7.40340758206736</v>
      </c>
      <c r="G71" s="9" t="n">
        <f aca="false">G68/G70</f>
        <v>7.29178405254914</v>
      </c>
    </row>
    <row r="72" customFormat="false" ht="17.15" hidden="false" customHeight="false" outlineLevel="0" collapsed="false">
      <c r="A72" s="0" t="s">
        <v>528</v>
      </c>
      <c r="B72" s="0" t="s">
        <v>110</v>
      </c>
      <c r="D72" s="16" t="n">
        <f aca="false">D71/C71-1</f>
        <v>3.91566345235077</v>
      </c>
      <c r="E72" s="16" t="n">
        <f aca="false">E71/D71-1</f>
        <v>0.865239552378433</v>
      </c>
      <c r="F72" s="16" t="n">
        <f aca="false">F71/E71-1</f>
        <v>0.147503538562231</v>
      </c>
      <c r="G72" s="16" t="n">
        <f aca="false">G71/F71-1</f>
        <v>-0.0150773178811057</v>
      </c>
    </row>
    <row r="75" customFormat="false" ht="17.15" hidden="false" customHeight="false" outlineLevel="0" collapsed="false">
      <c r="A75" s="3" t="s">
        <v>803</v>
      </c>
    </row>
    <row r="76" customFormat="false" ht="17.15" hidden="false" customHeight="false" outlineLevel="0" collapsed="false">
      <c r="A76" s="6" t="s">
        <v>22</v>
      </c>
      <c r="B76" s="6" t="s">
        <v>23</v>
      </c>
      <c r="C76" s="14" t="s">
        <v>412</v>
      </c>
      <c r="D76" s="14" t="s">
        <v>413</v>
      </c>
      <c r="E76" s="14" t="s">
        <v>459</v>
      </c>
      <c r="F76" s="14" t="s">
        <v>460</v>
      </c>
      <c r="G76" s="14" t="s">
        <v>461</v>
      </c>
      <c r="H76" s="6" t="s">
        <v>418</v>
      </c>
    </row>
    <row r="77" customFormat="false" ht="17.15" hidden="false" customHeight="false" outlineLevel="0" collapsed="false">
      <c r="A77" s="1" t="s">
        <v>503</v>
      </c>
    </row>
    <row r="78" customFormat="false" ht="17.15" hidden="false" customHeight="false" outlineLevel="0" collapsed="false">
      <c r="A78" s="0" t="s">
        <v>504</v>
      </c>
      <c r="B78" s="0" t="s">
        <v>33</v>
      </c>
      <c r="E78" s="19" t="n">
        <f aca="false">(w8*mcu_26*1+(1-w8)*mcu_27*1)</f>
        <v>34.3390133333333</v>
      </c>
      <c r="F78" s="19" t="n">
        <f aca="false">(w8*mcu_27*1+(1-w8)*mcu_28*um28_A)</f>
        <v>53.8666133333333</v>
      </c>
      <c r="G78" s="19" t="n">
        <f aca="false">(w8*mcu_28*um28_A+(1-w8)*mcu_29*um29_A)</f>
        <v>59.9622446666667</v>
      </c>
      <c r="H78" s="8" t="s">
        <v>505</v>
      </c>
    </row>
    <row r="79" customFormat="false" ht="17.15" hidden="false" customHeight="false" outlineLevel="0" collapsed="false">
      <c r="A79" s="0" t="s">
        <v>506</v>
      </c>
      <c r="B79" s="0" t="s">
        <v>110</v>
      </c>
      <c r="E79" s="20" t="n">
        <f aca="false">a27_aec/E78</f>
        <v>0.0513261037785594</v>
      </c>
      <c r="H79" s="8" t="s">
        <v>507</v>
      </c>
    </row>
    <row r="80" customFormat="false" ht="17.15" hidden="false" customHeight="false" outlineLevel="0" collapsed="false">
      <c r="A80" s="0" t="s">
        <v>508</v>
      </c>
      <c r="B80" s="0" t="s">
        <v>76</v>
      </c>
      <c r="E80" s="9" t="n">
        <f aca="false">1</f>
        <v>1</v>
      </c>
      <c r="F80" s="9" t="n">
        <f aca="false">RHI_28</f>
        <v>1.15</v>
      </c>
      <c r="G80" s="9" t="n">
        <f aca="false">RHI_29</f>
        <v>1.2</v>
      </c>
    </row>
    <row r="81" customFormat="false" ht="17.15" hidden="false" customHeight="false" outlineLevel="0" collapsed="false">
      <c r="A81" s="0" t="s">
        <v>509</v>
      </c>
      <c r="B81" s="0" t="s">
        <v>110</v>
      </c>
      <c r="E81" s="20" t="n">
        <f aca="false">$E$79*E80</f>
        <v>0.0513261037785594</v>
      </c>
      <c r="F81" s="20" t="n">
        <f aca="false">$E$79*F80</f>
        <v>0.0590250193453432</v>
      </c>
      <c r="G81" s="20" t="n">
        <f aca="false">$E$79*G80</f>
        <v>0.0615913245342712</v>
      </c>
    </row>
    <row r="82" customFormat="false" ht="17.15" hidden="false" customHeight="false" outlineLevel="0" collapsed="false">
      <c r="A82" s="0" t="s">
        <v>510</v>
      </c>
      <c r="B82" s="0" t="s">
        <v>33</v>
      </c>
      <c r="D82" s="15" t="n">
        <f aca="false">a26_aec</f>
        <v>1.09165788</v>
      </c>
      <c r="E82" s="15" t="n">
        <f aca="false">a27_aec</f>
        <v>1.762487762</v>
      </c>
      <c r="F82" s="15" t="n">
        <f aca="false">F78*F81</f>
        <v>3.17947789406812</v>
      </c>
      <c r="G82" s="15" t="n">
        <f aca="false">G78*G81</f>
        <v>3.69315407106804</v>
      </c>
    </row>
    <row r="83" customFormat="false" ht="17.15" hidden="false" customHeight="false" outlineLevel="0" collapsed="false">
      <c r="A83" s="1" t="s">
        <v>511</v>
      </c>
    </row>
    <row r="84" customFormat="false" ht="17.15" hidden="false" customHeight="false" outlineLevel="0" collapsed="false">
      <c r="A84" s="0" t="s">
        <v>512</v>
      </c>
      <c r="B84" s="0" t="s">
        <v>33</v>
      </c>
      <c r="E84" s="19" t="n">
        <f aca="false">(w8*mpl_26*1+(1-w8)*mpl_27*1)</f>
        <v>37.6890796666667</v>
      </c>
      <c r="F84" s="19" t="n">
        <f aca="false">(w8*mpl_27*1+(1-w8)*mpl_28*um28_A)</f>
        <v>55.0376433333333</v>
      </c>
      <c r="G84" s="19" t="n">
        <f aca="false">(w8*mpl_28*um28_A+(1-w8)*mpl_29*um29_A)</f>
        <v>62.9726</v>
      </c>
    </row>
    <row r="85" customFormat="false" ht="17.15" hidden="false" customHeight="false" outlineLevel="0" collapsed="false">
      <c r="A85" s="0" t="s">
        <v>513</v>
      </c>
      <c r="B85" s="0" t="s">
        <v>110</v>
      </c>
      <c r="E85" s="20" t="n">
        <f aca="false">a27_opt/(w8*mplB_26*1+(1-w8)*mplB_27*1)</f>
        <v>0.0157625345447985</v>
      </c>
    </row>
    <row r="86" customFormat="false" ht="17.15" hidden="false" customHeight="false" outlineLevel="0" collapsed="false">
      <c r="A86" s="5" t="s">
        <v>514</v>
      </c>
      <c r="B86" s="0" t="s">
        <v>76</v>
      </c>
      <c r="E86" s="9" t="n">
        <f aca="false">1</f>
        <v>1</v>
      </c>
      <c r="F86" s="9" t="n">
        <f aca="false">rel_o_28</f>
        <v>1.2</v>
      </c>
      <c r="G86" s="9" t="n">
        <f aca="false">rel_o_29</f>
        <v>1.35</v>
      </c>
    </row>
    <row r="87" customFormat="false" ht="15" hidden="false" customHeight="false" outlineLevel="0" collapsed="false">
      <c r="A87" s="5" t="s">
        <v>515</v>
      </c>
      <c r="B87" s="0" t="s">
        <v>33</v>
      </c>
      <c r="D87" s="15" t="n">
        <f aca="false">a26_opt</f>
        <v>0.15</v>
      </c>
      <c r="E87" s="15" t="n">
        <f aca="false">a27_opt</f>
        <v>0.6</v>
      </c>
      <c r="F87" s="15" t="n">
        <f aca="false">F84*$E$85*F86</f>
        <v>1.04103930516716</v>
      </c>
      <c r="G87" s="15" t="n">
        <f aca="false">G84*$E$85*G86</f>
        <v>1.3400205068823</v>
      </c>
    </row>
    <row r="88" customFormat="false" ht="17.15" hidden="false" customHeight="false" outlineLevel="0" collapsed="false">
      <c r="A88" s="1" t="s">
        <v>516</v>
      </c>
    </row>
    <row r="89" customFormat="false" ht="17.15" hidden="false" customHeight="false" outlineLevel="0" collapsed="false">
      <c r="A89" s="5" t="s">
        <v>517</v>
      </c>
      <c r="B89" s="0" t="s">
        <v>33</v>
      </c>
      <c r="D89" s="15" t="n">
        <f aca="false">a26_ic</f>
        <v>0.09345812</v>
      </c>
      <c r="E89" s="15" t="n">
        <f aca="false">a27_ic</f>
        <v>0.107476838</v>
      </c>
      <c r="F89" s="15" t="n">
        <f aca="false">E89*(1+g_oth)</f>
        <v>0.1235983637</v>
      </c>
      <c r="G89" s="15" t="n">
        <f aca="false">F89*(1+g_oth)</f>
        <v>0.142138118255</v>
      </c>
    </row>
    <row r="90" customFormat="false" ht="15" hidden="false" customHeight="false" outlineLevel="0" collapsed="false">
      <c r="A90" s="5" t="s">
        <v>419</v>
      </c>
      <c r="B90" s="0" t="s">
        <v>33</v>
      </c>
      <c r="C90" s="15" t="n">
        <f aca="false">a25_rev</f>
        <v>0.436775</v>
      </c>
      <c r="D90" s="15" t="n">
        <f aca="false">a26_rev</f>
        <v>1.335116</v>
      </c>
      <c r="E90" s="15" t="n">
        <f aca="false">E82+E87+E89</f>
        <v>2.4699646</v>
      </c>
      <c r="F90" s="15" t="n">
        <f aca="false">F82+F87+F89</f>
        <v>4.34411556293529</v>
      </c>
      <c r="G90" s="15" t="n">
        <f aca="false">G82+G87+G89</f>
        <v>5.17531269620534</v>
      </c>
    </row>
    <row r="91" customFormat="false" ht="15" hidden="false" customHeight="false" outlineLevel="0" collapsed="false">
      <c r="A91" s="5" t="s">
        <v>518</v>
      </c>
      <c r="B91" s="0" t="s">
        <v>110</v>
      </c>
      <c r="D91" s="16" t="n">
        <f aca="false">D90/C90-1</f>
        <v>2.05675920096159</v>
      </c>
      <c r="E91" s="16" t="n">
        <f aca="false">E90/D90-1</f>
        <v>0.85</v>
      </c>
      <c r="F91" s="16" t="n">
        <f aca="false">F90/E90-1</f>
        <v>0.758776446810325</v>
      </c>
      <c r="G91" s="16" t="n">
        <f aca="false">G90/F90-1</f>
        <v>0.191338632968692</v>
      </c>
    </row>
    <row r="92" customFormat="false" ht="17.15" hidden="false" customHeight="false" outlineLevel="0" collapsed="false">
      <c r="A92" s="0" t="s">
        <v>445</v>
      </c>
      <c r="B92" s="0" t="s">
        <v>110</v>
      </c>
      <c r="D92" s="16" t="n">
        <f aca="false">D82/D90</f>
        <v>0.817650211667001</v>
      </c>
      <c r="E92" s="16" t="n">
        <f aca="false">E82/E90</f>
        <v>0.713568025225949</v>
      </c>
      <c r="F92" s="16" t="n">
        <f aca="false">F82/F90</f>
        <v>0.731904537990646</v>
      </c>
      <c r="G92" s="16" t="n">
        <f aca="false">G82/G90</f>
        <v>0.713609841155288</v>
      </c>
    </row>
    <row r="93" customFormat="false" ht="17.15" hidden="false" customHeight="false" outlineLevel="0" collapsed="false">
      <c r="A93" s="5" t="s">
        <v>519</v>
      </c>
      <c r="B93" s="0" t="s">
        <v>110</v>
      </c>
      <c r="D93" s="16" t="n">
        <f aca="false">D87/D90</f>
        <v>0.112349788332999</v>
      </c>
      <c r="E93" s="16" t="n">
        <f aca="false">E87/E90</f>
        <v>0.242918461260538</v>
      </c>
      <c r="F93" s="16" t="n">
        <f aca="false">F87/F90</f>
        <v>0.239643556918578</v>
      </c>
      <c r="G93" s="16" t="n">
        <f aca="false">G87/G90</f>
        <v>0.25892551533453</v>
      </c>
    </row>
    <row r="94" customFormat="false" ht="17.15" hidden="false" customHeight="false" outlineLevel="0" collapsed="false">
      <c r="A94" s="1" t="s">
        <v>520</v>
      </c>
    </row>
    <row r="95" customFormat="false" ht="17.15" hidden="false" customHeight="false" outlineLevel="0" collapsed="false">
      <c r="A95" s="5" t="s">
        <v>424</v>
      </c>
      <c r="B95" s="0" t="s">
        <v>110</v>
      </c>
      <c r="C95" s="16" t="n">
        <f aca="false">a25_gp/a25_rev</f>
        <v>0.650456184534371</v>
      </c>
      <c r="D95" s="16" t="n">
        <f aca="false">a26_gp/a26_rev</f>
        <v>0.681414199215649</v>
      </c>
      <c r="E95" s="16" t="n">
        <f aca="false">a27_gp/a27_rev</f>
        <v>0.680029538884889</v>
      </c>
      <c r="F95" s="16" t="n">
        <f aca="false">gm_28</f>
        <v>0.67</v>
      </c>
      <c r="G95" s="16" t="n">
        <f aca="false">gm_29</f>
        <v>0.66</v>
      </c>
      <c r="H95" s="8" t="s">
        <v>521</v>
      </c>
    </row>
    <row r="96" customFormat="false" ht="15" hidden="false" customHeight="false" outlineLevel="0" collapsed="false">
      <c r="A96" s="5" t="s">
        <v>522</v>
      </c>
      <c r="B96" s="0" t="s">
        <v>33</v>
      </c>
      <c r="C96" s="15" t="n">
        <f aca="false">C90*C95</f>
        <v>0.284103</v>
      </c>
      <c r="D96" s="15" t="n">
        <f aca="false">D90*D95</f>
        <v>0.909767</v>
      </c>
      <c r="E96" s="15" t="n">
        <f aca="false">E90*E95</f>
        <v>1.679648888</v>
      </c>
      <c r="F96" s="15" t="n">
        <f aca="false">F90*F95</f>
        <v>2.91055742716664</v>
      </c>
      <c r="G96" s="15" t="n">
        <f aca="false">G90*G95</f>
        <v>3.41570637949553</v>
      </c>
    </row>
    <row r="97" customFormat="false" ht="15" hidden="false" customHeight="false" outlineLevel="0" collapsed="false">
      <c r="A97" s="5" t="s">
        <v>523</v>
      </c>
      <c r="B97" s="0" t="s">
        <v>33</v>
      </c>
      <c r="C97" s="15" t="n">
        <f aca="false">a25_opx</f>
        <v>0.168751</v>
      </c>
      <c r="D97" s="15" t="n">
        <f aca="false">a26_opx</f>
        <v>0.270945</v>
      </c>
      <c r="E97" s="15" t="n">
        <f aca="false">a27_opx</f>
        <v>0.4064175</v>
      </c>
      <c r="F97" s="15" t="n">
        <f aca="false">E97*(1+MAX(0,phi*F91))</f>
        <v>0.587817515630315</v>
      </c>
      <c r="G97" s="15" t="n">
        <f aca="false">F97*(1+MAX(0,phi*G91))</f>
        <v>0.65397763320429</v>
      </c>
    </row>
    <row r="98" customFormat="false" ht="15" hidden="false" customHeight="false" outlineLevel="0" collapsed="false">
      <c r="A98" s="5" t="s">
        <v>524</v>
      </c>
      <c r="B98" s="0" t="s">
        <v>33</v>
      </c>
      <c r="C98" s="15" t="n">
        <f aca="false">C97</f>
        <v>0.168751</v>
      </c>
      <c r="D98" s="15" t="n">
        <f aca="false">D97</f>
        <v>0.270945</v>
      </c>
      <c r="E98" s="15" t="n">
        <f aca="false">E97</f>
        <v>0.4064175</v>
      </c>
      <c r="F98" s="15" t="n">
        <f aca="false">F97+0*F90</f>
        <v>0.587817515630315</v>
      </c>
      <c r="G98" s="15" t="n">
        <f aca="false">G97+0*G90</f>
        <v>0.65397763320429</v>
      </c>
    </row>
    <row r="99" customFormat="false" ht="15" hidden="false" customHeight="false" outlineLevel="0" collapsed="false">
      <c r="A99" s="5" t="s">
        <v>525</v>
      </c>
      <c r="B99" s="0" t="s">
        <v>33</v>
      </c>
      <c r="C99" s="15" t="n">
        <f aca="false">C96-C98</f>
        <v>0.115352</v>
      </c>
      <c r="D99" s="15" t="n">
        <f aca="false">D96-D98</f>
        <v>0.638822</v>
      </c>
      <c r="E99" s="15" t="n">
        <f aca="false">E96-E98</f>
        <v>1.273231388</v>
      </c>
      <c r="F99" s="15" t="n">
        <f aca="false">F96-F98</f>
        <v>2.32273991153633</v>
      </c>
      <c r="G99" s="15" t="n">
        <f aca="false">G96-G98</f>
        <v>2.76172874629124</v>
      </c>
    </row>
    <row r="100" customFormat="false" ht="15" hidden="false" customHeight="false" outlineLevel="0" collapsed="false">
      <c r="A100" s="5" t="s">
        <v>493</v>
      </c>
      <c r="B100" s="0" t="s">
        <v>110</v>
      </c>
      <c r="C100" s="16" t="n">
        <f aca="false">C99/C90</f>
        <v>0.264099364661439</v>
      </c>
      <c r="D100" s="16" t="n">
        <f aca="false">D99/D90</f>
        <v>0.478476776549753</v>
      </c>
      <c r="E100" s="16" t="n">
        <f aca="false">E99/E90</f>
        <v>0.515485682669298</v>
      </c>
      <c r="F100" s="16" t="n">
        <f aca="false">F99/F90</f>
        <v>0.534686492080075</v>
      </c>
      <c r="G100" s="16" t="n">
        <f aca="false">G99/G90</f>
        <v>0.533635146010829</v>
      </c>
    </row>
    <row r="101" customFormat="false" ht="15" hidden="false" customHeight="false" outlineLevel="0" collapsed="false">
      <c r="A101" s="5" t="s">
        <v>429</v>
      </c>
      <c r="B101" s="0" t="s">
        <v>33</v>
      </c>
      <c r="C101" s="15" t="n">
        <f aca="false">a25_ninc</f>
        <v>0.017746</v>
      </c>
      <c r="D101" s="15" t="n">
        <f aca="false">a26_ninc</f>
        <v>0.03043</v>
      </c>
      <c r="E101" s="15" t="n">
        <f aca="false">a27_ninc</f>
        <v>0.02914</v>
      </c>
      <c r="F101" s="15" t="n">
        <f aca="false">oth_f</f>
        <v>0.03</v>
      </c>
      <c r="G101" s="15" t="n">
        <f aca="false">oth_f</f>
        <v>0.03</v>
      </c>
    </row>
    <row r="102" customFormat="false" ht="17.15" hidden="false" customHeight="false" outlineLevel="0" collapsed="false">
      <c r="A102" s="5" t="s">
        <v>434</v>
      </c>
      <c r="B102" s="0" t="s">
        <v>110</v>
      </c>
      <c r="C102" s="16" t="n">
        <f aca="false">a25_tx</f>
        <v>0.0238320635922402</v>
      </c>
      <c r="D102" s="16" t="n">
        <f aca="false">a26_tx</f>
        <v>0.0115188299773478</v>
      </c>
      <c r="E102" s="16" t="n">
        <f aca="false">a27_tx</f>
        <v>0.0141840153969967</v>
      </c>
      <c r="F102" s="16" t="n">
        <f aca="false">tx_28</f>
        <v>0.13</v>
      </c>
      <c r="G102" s="16" t="n">
        <f aca="false">tx_29</f>
        <v>0.14</v>
      </c>
      <c r="H102" s="8" t="s">
        <v>526</v>
      </c>
    </row>
    <row r="103" customFormat="false" ht="15" hidden="false" customHeight="false" outlineLevel="0" collapsed="false">
      <c r="A103" s="5" t="s">
        <v>494</v>
      </c>
      <c r="B103" s="0" t="s">
        <v>33</v>
      </c>
      <c r="C103" s="15" t="n">
        <f aca="false">a25_ni</f>
        <v>0.129926</v>
      </c>
      <c r="D103" s="15" t="n">
        <f aca="false">a26_ni</f>
        <v>0.661543</v>
      </c>
      <c r="E103" s="15" t="n">
        <f aca="false">a27_ni</f>
        <v>1.28389853218</v>
      </c>
      <c r="F103" s="15" t="n">
        <f aca="false">(F99+F101)*(1-F102)</f>
        <v>2.0468837230366</v>
      </c>
      <c r="G103" s="15" t="n">
        <f aca="false">(G99+G101)*(1-G102)</f>
        <v>2.40088672181046</v>
      </c>
    </row>
    <row r="104" customFormat="false" ht="15" hidden="false" customHeight="false" outlineLevel="0" collapsed="false">
      <c r="A104" s="5" t="s">
        <v>436</v>
      </c>
      <c r="B104" s="0" t="s">
        <v>110</v>
      </c>
      <c r="C104" s="16" t="n">
        <f aca="false">C103/C90</f>
        <v>0.297466659034972</v>
      </c>
      <c r="D104" s="16" t="n">
        <f aca="false">D103/D90</f>
        <v>0.495494773487847</v>
      </c>
      <c r="E104" s="16" t="n">
        <f aca="false">E103/E90</f>
        <v>0.519804426419715</v>
      </c>
      <c r="F104" s="16" t="n">
        <f aca="false">F103/F90</f>
        <v>0.471185375568955</v>
      </c>
      <c r="G104" s="16" t="n">
        <f aca="false">G103/G90</f>
        <v>0.46391143158767</v>
      </c>
    </row>
    <row r="105" customFormat="false" ht="15" hidden="false" customHeight="false" outlineLevel="0" collapsed="false">
      <c r="A105" s="5" t="s">
        <v>527</v>
      </c>
      <c r="B105" s="5" t="s">
        <v>173</v>
      </c>
      <c r="C105" s="24" t="n">
        <f aca="false">a25_sh</f>
        <v>0.184644</v>
      </c>
      <c r="D105" s="24" t="n">
        <f aca="false">a26_sh</f>
        <v>0.191256</v>
      </c>
      <c r="E105" s="24" t="n">
        <f aca="false">a27_sh</f>
        <v>0.199</v>
      </c>
      <c r="F105" s="24" t="n">
        <f aca="false">E105*(1+sh_g)</f>
        <v>0.201985</v>
      </c>
      <c r="G105" s="24" t="n">
        <f aca="false">F105*(1+sh_g)</f>
        <v>0.205014775</v>
      </c>
    </row>
    <row r="106" customFormat="false" ht="17.15" hidden="false" customHeight="false" outlineLevel="0" collapsed="false">
      <c r="A106" s="0" t="s">
        <v>439</v>
      </c>
      <c r="B106" s="0" t="s">
        <v>178</v>
      </c>
      <c r="C106" s="9" t="n">
        <f aca="false">C103/C105</f>
        <v>0.703656766534521</v>
      </c>
      <c r="D106" s="9" t="n">
        <f aca="false">D103/D105</f>
        <v>3.45893985025306</v>
      </c>
      <c r="E106" s="9" t="n">
        <f aca="false">E103/E105</f>
        <v>6.45175141798995</v>
      </c>
      <c r="F106" s="9" t="n">
        <f aca="false">F103/F105</f>
        <v>10.1338402506949</v>
      </c>
      <c r="G106" s="9" t="n">
        <f aca="false">G103/G105</f>
        <v>11.7107985110364</v>
      </c>
    </row>
    <row r="107" customFormat="false" ht="17.15" hidden="false" customHeight="false" outlineLevel="0" collapsed="false">
      <c r="A107" s="0" t="s">
        <v>528</v>
      </c>
      <c r="B107" s="0" t="s">
        <v>110</v>
      </c>
      <c r="D107" s="16" t="n">
        <f aca="false">D106/C106-1</f>
        <v>3.91566345235077</v>
      </c>
      <c r="E107" s="16" t="n">
        <f aca="false">E106/D106-1</f>
        <v>0.865239552378433</v>
      </c>
      <c r="F107" s="16" t="n">
        <f aca="false">F106/E106-1</f>
        <v>0.570711516013753</v>
      </c>
      <c r="G107" s="16" t="n">
        <f aca="false">G106/F106-1</f>
        <v>0.155613096450124</v>
      </c>
    </row>
    <row r="110" customFormat="false" ht="17.15" hidden="false" customHeight="false" outlineLevel="0" collapsed="false">
      <c r="A110" s="3" t="s">
        <v>804</v>
      </c>
    </row>
    <row r="111" customFormat="false" ht="17.15" hidden="false" customHeight="false" outlineLevel="0" collapsed="false">
      <c r="A111" s="6" t="s">
        <v>22</v>
      </c>
      <c r="B111" s="6" t="s">
        <v>23</v>
      </c>
      <c r="C111" s="14" t="s">
        <v>412</v>
      </c>
      <c r="D111" s="14" t="s">
        <v>413</v>
      </c>
      <c r="E111" s="14" t="s">
        <v>459</v>
      </c>
      <c r="F111" s="14" t="s">
        <v>460</v>
      </c>
      <c r="G111" s="14" t="s">
        <v>461</v>
      </c>
      <c r="H111" s="6" t="s">
        <v>418</v>
      </c>
    </row>
    <row r="112" customFormat="false" ht="17.15" hidden="false" customHeight="false" outlineLevel="0" collapsed="false">
      <c r="A112" s="1" t="s">
        <v>503</v>
      </c>
    </row>
    <row r="113" customFormat="false" ht="17.15" hidden="false" customHeight="false" outlineLevel="0" collapsed="false">
      <c r="A113" s="0" t="s">
        <v>504</v>
      </c>
      <c r="B113" s="0" t="s">
        <v>33</v>
      </c>
      <c r="E113" s="19" t="n">
        <f aca="false">(w8*mcu_26*1+(1-w8)*mcu_27*1)</f>
        <v>34.3390133333333</v>
      </c>
      <c r="F113" s="19" t="n">
        <f aca="false">(w8*mcu_27*1+(1-w8)*mcu_28*um28_A)</f>
        <v>53.8666133333333</v>
      </c>
      <c r="G113" s="19" t="n">
        <f aca="false">(w8*mcu_28*um28_A+(1-w8)*mcu_29*um29_A)</f>
        <v>59.9622446666667</v>
      </c>
      <c r="H113" s="8" t="s">
        <v>505</v>
      </c>
    </row>
    <row r="114" customFormat="false" ht="17.15" hidden="false" customHeight="false" outlineLevel="0" collapsed="false">
      <c r="A114" s="0" t="s">
        <v>506</v>
      </c>
      <c r="B114" s="0" t="s">
        <v>110</v>
      </c>
      <c r="E114" s="20" t="n">
        <f aca="false">a27_aec/E113</f>
        <v>0.0513261037785594</v>
      </c>
      <c r="H114" s="8" t="s">
        <v>507</v>
      </c>
    </row>
    <row r="115" customFormat="false" ht="17.15" hidden="false" customHeight="false" outlineLevel="0" collapsed="false">
      <c r="A115" s="0" t="s">
        <v>508</v>
      </c>
      <c r="B115" s="0" t="s">
        <v>76</v>
      </c>
      <c r="E115" s="9" t="n">
        <f aca="false">1</f>
        <v>1</v>
      </c>
      <c r="F115" s="9" t="n">
        <f aca="false">cl_28</f>
        <v>0.67</v>
      </c>
      <c r="G115" s="9" t="n">
        <f aca="false">cl_29</f>
        <v>0.6365</v>
      </c>
    </row>
    <row r="116" customFormat="false" ht="17.15" hidden="false" customHeight="false" outlineLevel="0" collapsed="false">
      <c r="A116" s="0" t="s">
        <v>509</v>
      </c>
      <c r="B116" s="0" t="s">
        <v>110</v>
      </c>
      <c r="E116" s="20" t="n">
        <f aca="false">$E$114*E115</f>
        <v>0.0513261037785594</v>
      </c>
      <c r="F116" s="20" t="n">
        <f aca="false">$E$114*F115</f>
        <v>0.0343884895316348</v>
      </c>
      <c r="G116" s="20" t="n">
        <f aca="false">$E$114*G115</f>
        <v>0.032669065055053</v>
      </c>
    </row>
    <row r="117" customFormat="false" ht="17.15" hidden="false" customHeight="false" outlineLevel="0" collapsed="false">
      <c r="A117" s="0" t="s">
        <v>510</v>
      </c>
      <c r="B117" s="0" t="s">
        <v>33</v>
      </c>
      <c r="D117" s="15" t="n">
        <f aca="false">a26_aec</f>
        <v>1.09165788</v>
      </c>
      <c r="E117" s="15" t="n">
        <f aca="false">a27_aec</f>
        <v>1.762487762</v>
      </c>
      <c r="F117" s="15" t="n">
        <f aca="false">F113*F116</f>
        <v>1.85239146871795</v>
      </c>
      <c r="G117" s="15" t="n">
        <f aca="false">G113*G116</f>
        <v>1.95891047186234</v>
      </c>
    </row>
    <row r="118" customFormat="false" ht="17.15" hidden="false" customHeight="false" outlineLevel="0" collapsed="false">
      <c r="A118" s="1" t="s">
        <v>511</v>
      </c>
    </row>
    <row r="119" customFormat="false" ht="17.15" hidden="false" customHeight="false" outlineLevel="0" collapsed="false">
      <c r="A119" s="0" t="s">
        <v>512</v>
      </c>
      <c r="B119" s="0" t="s">
        <v>33</v>
      </c>
      <c r="E119" s="19" t="n">
        <f aca="false">(w8*mpl_26*1+(1-w8)*mpl_27*1)</f>
        <v>37.6890796666667</v>
      </c>
      <c r="F119" s="19" t="n">
        <f aca="false">(w8*mpl_27*1+(1-w8)*mpl_28*um28_A)</f>
        <v>55.0376433333333</v>
      </c>
      <c r="G119" s="19" t="n">
        <f aca="false">(w8*mpl_28*um28_A+(1-w8)*mpl_29*um29_A)</f>
        <v>62.9726</v>
      </c>
    </row>
    <row r="120" customFormat="false" ht="17.15" hidden="false" customHeight="false" outlineLevel="0" collapsed="false">
      <c r="A120" s="0" t="s">
        <v>513</v>
      </c>
      <c r="B120" s="0" t="s">
        <v>110</v>
      </c>
      <c r="E120" s="20" t="n">
        <f aca="false">a27_opt/(w8*mplB_26*1+(1-w8)*mplB_27*1)</f>
        <v>0.0157625345447985</v>
      </c>
    </row>
    <row r="121" customFormat="false" ht="17.15" hidden="false" customHeight="false" outlineLevel="0" collapsed="false">
      <c r="A121" s="5" t="s">
        <v>514</v>
      </c>
      <c r="B121" s="0" t="s">
        <v>76</v>
      </c>
      <c r="E121" s="9" t="n">
        <f aca="false">1</f>
        <v>1</v>
      </c>
      <c r="F121" s="9" t="n">
        <f aca="false">rel_o_28</f>
        <v>1.2</v>
      </c>
      <c r="G121" s="9" t="n">
        <f aca="false">rel_o_29</f>
        <v>1.35</v>
      </c>
    </row>
    <row r="122" customFormat="false" ht="15" hidden="false" customHeight="false" outlineLevel="0" collapsed="false">
      <c r="A122" s="5" t="s">
        <v>515</v>
      </c>
      <c r="B122" s="0" t="s">
        <v>33</v>
      </c>
      <c r="D122" s="15" t="n">
        <f aca="false">a26_opt</f>
        <v>0.15</v>
      </c>
      <c r="E122" s="15" t="n">
        <f aca="false">a27_opt</f>
        <v>0.6</v>
      </c>
      <c r="F122" s="15" t="n">
        <f aca="false">F119*$E$120*F121</f>
        <v>1.04103930516716</v>
      </c>
      <c r="G122" s="15" t="n">
        <f aca="false">G119*$E$120*G121</f>
        <v>1.3400205068823</v>
      </c>
    </row>
    <row r="123" customFormat="false" ht="17.15" hidden="false" customHeight="false" outlineLevel="0" collapsed="false">
      <c r="A123" s="1" t="s">
        <v>516</v>
      </c>
    </row>
    <row r="124" customFormat="false" ht="17.15" hidden="false" customHeight="false" outlineLevel="0" collapsed="false">
      <c r="A124" s="5" t="s">
        <v>517</v>
      </c>
      <c r="B124" s="0" t="s">
        <v>33</v>
      </c>
      <c r="D124" s="15" t="n">
        <f aca="false">a26_ic</f>
        <v>0.09345812</v>
      </c>
      <c r="E124" s="15" t="n">
        <f aca="false">a27_ic</f>
        <v>0.107476838</v>
      </c>
      <c r="F124" s="15" t="n">
        <f aca="false">E124*(1+g_oth)</f>
        <v>0.1235983637</v>
      </c>
      <c r="G124" s="15" t="n">
        <f aca="false">F124*(1+g_oth)</f>
        <v>0.142138118255</v>
      </c>
    </row>
    <row r="125" customFormat="false" ht="15" hidden="false" customHeight="false" outlineLevel="0" collapsed="false">
      <c r="A125" s="5" t="s">
        <v>419</v>
      </c>
      <c r="B125" s="0" t="s">
        <v>33</v>
      </c>
      <c r="C125" s="15" t="n">
        <f aca="false">a25_rev</f>
        <v>0.436775</v>
      </c>
      <c r="D125" s="15" t="n">
        <f aca="false">a26_rev</f>
        <v>1.335116</v>
      </c>
      <c r="E125" s="15" t="n">
        <f aca="false">E117+E122+E124</f>
        <v>2.4699646</v>
      </c>
      <c r="F125" s="15" t="n">
        <f aca="false">F117+F122+F124</f>
        <v>3.01702913758511</v>
      </c>
      <c r="G125" s="15" t="n">
        <f aca="false">G117+G122+G124</f>
        <v>3.44106909699964</v>
      </c>
    </row>
    <row r="126" customFormat="false" ht="15" hidden="false" customHeight="false" outlineLevel="0" collapsed="false">
      <c r="A126" s="5" t="s">
        <v>518</v>
      </c>
      <c r="B126" s="0" t="s">
        <v>110</v>
      </c>
      <c r="D126" s="16" t="n">
        <f aca="false">D125/C125-1</f>
        <v>2.05675920096159</v>
      </c>
      <c r="E126" s="16" t="n">
        <f aca="false">E125/D125-1</f>
        <v>0.85</v>
      </c>
      <c r="F126" s="16" t="n">
        <f aca="false">F125/E125-1</f>
        <v>0.221486792800639</v>
      </c>
      <c r="G126" s="16" t="n">
        <f aca="false">G125/F125-1</f>
        <v>0.140548844600799</v>
      </c>
    </row>
    <row r="127" customFormat="false" ht="17.15" hidden="false" customHeight="false" outlineLevel="0" collapsed="false">
      <c r="A127" s="0" t="s">
        <v>445</v>
      </c>
      <c r="B127" s="0" t="s">
        <v>110</v>
      </c>
      <c r="D127" s="16" t="n">
        <f aca="false">D117/D125</f>
        <v>0.817650211667001</v>
      </c>
      <c r="E127" s="16" t="n">
        <f aca="false">E117/E125</f>
        <v>0.713568025225949</v>
      </c>
      <c r="F127" s="16" t="n">
        <f aca="false">F117/F125</f>
        <v>0.61397864728633</v>
      </c>
      <c r="G127" s="16" t="n">
        <f aca="false">G117/G125</f>
        <v>0.569273797370231</v>
      </c>
    </row>
    <row r="128" customFormat="false" ht="17.15" hidden="false" customHeight="false" outlineLevel="0" collapsed="false">
      <c r="A128" s="5" t="s">
        <v>519</v>
      </c>
      <c r="B128" s="0" t="s">
        <v>110</v>
      </c>
      <c r="D128" s="16" t="n">
        <f aca="false">D122/D125</f>
        <v>0.112349788332999</v>
      </c>
      <c r="E128" s="16" t="n">
        <f aca="false">E122/E125</f>
        <v>0.242918461260538</v>
      </c>
      <c r="F128" s="16" t="n">
        <f aca="false">F122/F125</f>
        <v>0.345054441867416</v>
      </c>
      <c r="G128" s="16" t="n">
        <f aca="false">G122/G125</f>
        <v>0.389419819570232</v>
      </c>
    </row>
    <row r="129" customFormat="false" ht="17.15" hidden="false" customHeight="false" outlineLevel="0" collapsed="false">
      <c r="A129" s="1" t="s">
        <v>520</v>
      </c>
    </row>
    <row r="130" customFormat="false" ht="17.15" hidden="false" customHeight="false" outlineLevel="0" collapsed="false">
      <c r="A130" s="5" t="s">
        <v>424</v>
      </c>
      <c r="B130" s="0" t="s">
        <v>110</v>
      </c>
      <c r="C130" s="16" t="n">
        <f aca="false">a25_gp/a25_rev</f>
        <v>0.650456184534371</v>
      </c>
      <c r="D130" s="16" t="n">
        <f aca="false">a26_gp/a26_rev</f>
        <v>0.681414199215649</v>
      </c>
      <c r="E130" s="16" t="n">
        <f aca="false">a27_gp/a27_rev</f>
        <v>0.680029538884889</v>
      </c>
      <c r="F130" s="16" t="n">
        <f aca="false">gm_28</f>
        <v>0.67</v>
      </c>
      <c r="G130" s="16" t="n">
        <f aca="false">gm_29</f>
        <v>0.66</v>
      </c>
      <c r="H130" s="8" t="s">
        <v>521</v>
      </c>
    </row>
    <row r="131" customFormat="false" ht="15" hidden="false" customHeight="false" outlineLevel="0" collapsed="false">
      <c r="A131" s="5" t="s">
        <v>522</v>
      </c>
      <c r="B131" s="0" t="s">
        <v>33</v>
      </c>
      <c r="C131" s="15" t="n">
        <f aca="false">C125*C130</f>
        <v>0.284103</v>
      </c>
      <c r="D131" s="15" t="n">
        <f aca="false">D125*D130</f>
        <v>0.909767</v>
      </c>
      <c r="E131" s="15" t="n">
        <f aca="false">E125*E130</f>
        <v>1.679648888</v>
      </c>
      <c r="F131" s="15" t="n">
        <f aca="false">F125*F130</f>
        <v>2.02140952218203</v>
      </c>
      <c r="G131" s="15" t="n">
        <f aca="false">G125*G130</f>
        <v>2.27110560401977</v>
      </c>
    </row>
    <row r="132" customFormat="false" ht="15" hidden="false" customHeight="false" outlineLevel="0" collapsed="false">
      <c r="A132" s="5" t="s">
        <v>523</v>
      </c>
      <c r="B132" s="0" t="s">
        <v>33</v>
      </c>
      <c r="C132" s="15" t="n">
        <f aca="false">a25_opx</f>
        <v>0.168751</v>
      </c>
      <c r="D132" s="15" t="n">
        <f aca="false">a26_opx</f>
        <v>0.270945</v>
      </c>
      <c r="E132" s="15" t="n">
        <f aca="false">a27_opx</f>
        <v>0.4064175</v>
      </c>
      <c r="F132" s="15" t="n">
        <f aca="false">E132*(1+MAX(0,phi*F126))</f>
        <v>0.459368152125326</v>
      </c>
      <c r="G132" s="15" t="n">
        <f aca="false">F132*(1+MAX(0,phi*G126))</f>
        <v>0.497346777435689</v>
      </c>
    </row>
    <row r="133" customFormat="false" ht="15" hidden="false" customHeight="false" outlineLevel="0" collapsed="false">
      <c r="A133" s="5" t="s">
        <v>524</v>
      </c>
      <c r="B133" s="0" t="s">
        <v>33</v>
      </c>
      <c r="C133" s="15" t="n">
        <f aca="false">C132</f>
        <v>0.168751</v>
      </c>
      <c r="D133" s="15" t="n">
        <f aca="false">D132</f>
        <v>0.270945</v>
      </c>
      <c r="E133" s="15" t="n">
        <f aca="false">E132</f>
        <v>0.4064175</v>
      </c>
      <c r="F133" s="15" t="n">
        <f aca="false">F132+0*F125</f>
        <v>0.459368152125326</v>
      </c>
      <c r="G133" s="15" t="n">
        <f aca="false">G132+0*G125</f>
        <v>0.497346777435689</v>
      </c>
    </row>
    <row r="134" customFormat="false" ht="15" hidden="false" customHeight="false" outlineLevel="0" collapsed="false">
      <c r="A134" s="5" t="s">
        <v>525</v>
      </c>
      <c r="B134" s="0" t="s">
        <v>33</v>
      </c>
      <c r="C134" s="15" t="n">
        <f aca="false">C131-C133</f>
        <v>0.115352</v>
      </c>
      <c r="D134" s="15" t="n">
        <f aca="false">D131-D133</f>
        <v>0.638822</v>
      </c>
      <c r="E134" s="15" t="n">
        <f aca="false">E131-E133</f>
        <v>1.273231388</v>
      </c>
      <c r="F134" s="15" t="n">
        <f aca="false">F131-F133</f>
        <v>1.5620413700567</v>
      </c>
      <c r="G134" s="15" t="n">
        <f aca="false">G131-G133</f>
        <v>1.77375882658408</v>
      </c>
    </row>
    <row r="135" customFormat="false" ht="15" hidden="false" customHeight="false" outlineLevel="0" collapsed="false">
      <c r="A135" s="5" t="s">
        <v>493</v>
      </c>
      <c r="B135" s="0" t="s">
        <v>110</v>
      </c>
      <c r="C135" s="16" t="n">
        <f aca="false">C134/C125</f>
        <v>0.264099364661439</v>
      </c>
      <c r="D135" s="16" t="n">
        <f aca="false">D134/D125</f>
        <v>0.478476776549753</v>
      </c>
      <c r="E135" s="16" t="n">
        <f aca="false">E134/E125</f>
        <v>0.515485682669298</v>
      </c>
      <c r="F135" s="16" t="n">
        <f aca="false">F134/F125</f>
        <v>0.517741559270119</v>
      </c>
      <c r="G135" s="16" t="n">
        <f aca="false">G134/G125</f>
        <v>0.515467366851384</v>
      </c>
    </row>
    <row r="136" customFormat="false" ht="15" hidden="false" customHeight="false" outlineLevel="0" collapsed="false">
      <c r="A136" s="5" t="s">
        <v>429</v>
      </c>
      <c r="B136" s="0" t="s">
        <v>33</v>
      </c>
      <c r="C136" s="15" t="n">
        <f aca="false">a25_ninc</f>
        <v>0.017746</v>
      </c>
      <c r="D136" s="15" t="n">
        <f aca="false">a26_ninc</f>
        <v>0.03043</v>
      </c>
      <c r="E136" s="15" t="n">
        <f aca="false">a27_ninc</f>
        <v>0.02914</v>
      </c>
      <c r="F136" s="15" t="n">
        <f aca="false">oth_f</f>
        <v>0.03</v>
      </c>
      <c r="G136" s="15" t="n">
        <f aca="false">oth_f</f>
        <v>0.03</v>
      </c>
    </row>
    <row r="137" customFormat="false" ht="17.15" hidden="false" customHeight="false" outlineLevel="0" collapsed="false">
      <c r="A137" s="5" t="s">
        <v>434</v>
      </c>
      <c r="B137" s="0" t="s">
        <v>110</v>
      </c>
      <c r="C137" s="16" t="n">
        <f aca="false">a25_tx</f>
        <v>0.0238320635922402</v>
      </c>
      <c r="D137" s="16" t="n">
        <f aca="false">a26_tx</f>
        <v>0.0115188299773478</v>
      </c>
      <c r="E137" s="16" t="n">
        <f aca="false">a27_tx</f>
        <v>0.0141840153969967</v>
      </c>
      <c r="F137" s="16" t="n">
        <f aca="false">tx_28</f>
        <v>0.13</v>
      </c>
      <c r="G137" s="16" t="n">
        <f aca="false">tx_29</f>
        <v>0.14</v>
      </c>
      <c r="H137" s="8" t="s">
        <v>526</v>
      </c>
    </row>
    <row r="138" customFormat="false" ht="15" hidden="false" customHeight="false" outlineLevel="0" collapsed="false">
      <c r="A138" s="5" t="s">
        <v>494</v>
      </c>
      <c r="B138" s="0" t="s">
        <v>33</v>
      </c>
      <c r="C138" s="15" t="n">
        <f aca="false">a25_ni</f>
        <v>0.129926</v>
      </c>
      <c r="D138" s="15" t="n">
        <f aca="false">a26_ni</f>
        <v>0.661543</v>
      </c>
      <c r="E138" s="15" t="n">
        <f aca="false">a27_ni</f>
        <v>1.28389853218</v>
      </c>
      <c r="F138" s="15" t="n">
        <f aca="false">(F134+F136)*(1-F137)</f>
        <v>1.38507599194933</v>
      </c>
      <c r="G138" s="15" t="n">
        <f aca="false">(G134+G136)*(1-G137)</f>
        <v>1.5512325908623</v>
      </c>
    </row>
    <row r="139" customFormat="false" ht="15" hidden="false" customHeight="false" outlineLevel="0" collapsed="false">
      <c r="A139" s="5" t="s">
        <v>436</v>
      </c>
      <c r="B139" s="0" t="s">
        <v>110</v>
      </c>
      <c r="C139" s="16" t="n">
        <f aca="false">C138/C125</f>
        <v>0.297466659034972</v>
      </c>
      <c r="D139" s="16" t="n">
        <f aca="false">D138/D125</f>
        <v>0.495494773487847</v>
      </c>
      <c r="E139" s="16" t="n">
        <f aca="false">E138/E125</f>
        <v>0.519804426419715</v>
      </c>
      <c r="F139" s="16" t="n">
        <f aca="false">F138/F125</f>
        <v>0.459086050808899</v>
      </c>
      <c r="G139" s="16" t="n">
        <f aca="false">G138/G125</f>
        <v>0.450799605336279</v>
      </c>
    </row>
    <row r="140" customFormat="false" ht="15" hidden="false" customHeight="false" outlineLevel="0" collapsed="false">
      <c r="A140" s="5" t="s">
        <v>527</v>
      </c>
      <c r="B140" s="5" t="s">
        <v>173</v>
      </c>
      <c r="C140" s="24" t="n">
        <f aca="false">a25_sh</f>
        <v>0.184644</v>
      </c>
      <c r="D140" s="24" t="n">
        <f aca="false">a26_sh</f>
        <v>0.191256</v>
      </c>
      <c r="E140" s="24" t="n">
        <f aca="false">a27_sh</f>
        <v>0.199</v>
      </c>
      <c r="F140" s="24" t="n">
        <f aca="false">E140*(1+sh_g)</f>
        <v>0.201985</v>
      </c>
      <c r="G140" s="24" t="n">
        <f aca="false">F140*(1+sh_g)</f>
        <v>0.205014775</v>
      </c>
    </row>
    <row r="141" customFormat="false" ht="17.15" hidden="false" customHeight="false" outlineLevel="0" collapsed="false">
      <c r="A141" s="0" t="s">
        <v>439</v>
      </c>
      <c r="B141" s="0" t="s">
        <v>178</v>
      </c>
      <c r="C141" s="9" t="n">
        <f aca="false">C138/C140</f>
        <v>0.703656766534521</v>
      </c>
      <c r="D141" s="9" t="n">
        <f aca="false">D138/D140</f>
        <v>3.45893985025306</v>
      </c>
      <c r="E141" s="9" t="n">
        <f aca="false">E138/E140</f>
        <v>6.45175141798995</v>
      </c>
      <c r="F141" s="9" t="n">
        <f aca="false">F138/F140</f>
        <v>6.85732104834185</v>
      </c>
      <c r="G141" s="9" t="n">
        <f aca="false">G138/G140</f>
        <v>7.56644291057708</v>
      </c>
    </row>
    <row r="142" customFormat="false" ht="17.15" hidden="false" customHeight="false" outlineLevel="0" collapsed="false">
      <c r="A142" s="0" t="s">
        <v>528</v>
      </c>
      <c r="B142" s="0" t="s">
        <v>110</v>
      </c>
      <c r="D142" s="16" t="n">
        <f aca="false">D141/C141-1</f>
        <v>3.91566345235077</v>
      </c>
      <c r="E142" s="16" t="n">
        <f aca="false">E141/D141-1</f>
        <v>0.865239552378433</v>
      </c>
      <c r="F142" s="16" t="n">
        <f aca="false">F141/E141-1</f>
        <v>0.0628619430719259</v>
      </c>
      <c r="G142" s="16" t="n">
        <f aca="false">G141/F141-1</f>
        <v>0.103410917650807</v>
      </c>
    </row>
    <row r="145" customFormat="false" ht="17.15" hidden="false" customHeight="false" outlineLevel="0" collapsed="false">
      <c r="A145" s="3" t="s">
        <v>805</v>
      </c>
    </row>
    <row r="146" customFormat="false" ht="17.15" hidden="false" customHeight="false" outlineLevel="0" collapsed="false">
      <c r="A146" s="6" t="s">
        <v>22</v>
      </c>
      <c r="B146" s="6" t="s">
        <v>23</v>
      </c>
      <c r="C146" s="14" t="s">
        <v>412</v>
      </c>
      <c r="D146" s="14" t="s">
        <v>413</v>
      </c>
      <c r="E146" s="14" t="s">
        <v>459</v>
      </c>
      <c r="F146" s="14" t="s">
        <v>460</v>
      </c>
      <c r="G146" s="14" t="s">
        <v>461</v>
      </c>
      <c r="H146" s="6" t="s">
        <v>418</v>
      </c>
    </row>
    <row r="147" customFormat="false" ht="17.15" hidden="false" customHeight="false" outlineLevel="0" collapsed="false">
      <c r="A147" s="1" t="s">
        <v>503</v>
      </c>
    </row>
    <row r="148" customFormat="false" ht="17.15" hidden="false" customHeight="false" outlineLevel="0" collapsed="false">
      <c r="A148" s="0" t="s">
        <v>504</v>
      </c>
      <c r="B148" s="0" t="s">
        <v>33</v>
      </c>
      <c r="E148" s="19" t="n">
        <f aca="false">(w8*mcu_26*1+(1-w8)*mcu_27*1)</f>
        <v>34.3390133333333</v>
      </c>
      <c r="F148" s="19" t="n">
        <f aca="false">(w8*mcu_27*1+(1-w8)*mcu_28*um28_A)</f>
        <v>53.8666133333333</v>
      </c>
      <c r="G148" s="19" t="n">
        <f aca="false">(w8*mcu_28*um28_A+(1-w8)*mcu_29*um29_A)</f>
        <v>59.9622446666667</v>
      </c>
      <c r="H148" s="8" t="s">
        <v>505</v>
      </c>
    </row>
    <row r="149" customFormat="false" ht="17.15" hidden="false" customHeight="false" outlineLevel="0" collapsed="false">
      <c r="A149" s="0" t="s">
        <v>506</v>
      </c>
      <c r="B149" s="0" t="s">
        <v>110</v>
      </c>
      <c r="E149" s="20" t="n">
        <f aca="false">a27_aec/E148</f>
        <v>0.0513261037785594</v>
      </c>
      <c r="H149" s="8" t="s">
        <v>507</v>
      </c>
    </row>
    <row r="150" customFormat="false" ht="17.15" hidden="false" customHeight="false" outlineLevel="0" collapsed="false">
      <c r="A150" s="0" t="s">
        <v>508</v>
      </c>
      <c r="B150" s="0" t="s">
        <v>76</v>
      </c>
      <c r="E150" s="9" t="n">
        <f aca="false">1</f>
        <v>1</v>
      </c>
      <c r="F150" s="9" t="n">
        <f aca="false">rel_a_28</f>
        <v>1</v>
      </c>
      <c r="G150" s="9" t="n">
        <f aca="false">rel_a_29</f>
        <v>0.95</v>
      </c>
    </row>
    <row r="151" customFormat="false" ht="17.15" hidden="false" customHeight="false" outlineLevel="0" collapsed="false">
      <c r="A151" s="0" t="s">
        <v>509</v>
      </c>
      <c r="B151" s="0" t="s">
        <v>110</v>
      </c>
      <c r="E151" s="20" t="n">
        <f aca="false">$E$149*E150</f>
        <v>0.0513261037785594</v>
      </c>
      <c r="F151" s="20" t="n">
        <f aca="false">$E$149*F150</f>
        <v>0.0513261037785594</v>
      </c>
      <c r="G151" s="20" t="n">
        <f aca="false">$E$149*G150</f>
        <v>0.0487597985896314</v>
      </c>
    </row>
    <row r="152" customFormat="false" ht="17.15" hidden="false" customHeight="false" outlineLevel="0" collapsed="false">
      <c r="A152" s="0" t="s">
        <v>510</v>
      </c>
      <c r="B152" s="0" t="s">
        <v>33</v>
      </c>
      <c r="D152" s="15" t="n">
        <f aca="false">a26_aec</f>
        <v>1.09165788</v>
      </c>
      <c r="E152" s="15" t="n">
        <f aca="false">a27_aec</f>
        <v>1.762487762</v>
      </c>
      <c r="F152" s="15" t="n">
        <f aca="false">F148*F151</f>
        <v>2.7647633861462</v>
      </c>
      <c r="G152" s="15" t="n">
        <f aca="false">G148*G151</f>
        <v>2.92374697292887</v>
      </c>
    </row>
    <row r="153" customFormat="false" ht="17.15" hidden="false" customHeight="false" outlineLevel="0" collapsed="false">
      <c r="A153" s="1" t="s">
        <v>511</v>
      </c>
    </row>
    <row r="154" customFormat="false" ht="17.15" hidden="false" customHeight="false" outlineLevel="0" collapsed="false">
      <c r="A154" s="0" t="s">
        <v>512</v>
      </c>
      <c r="B154" s="0" t="s">
        <v>33</v>
      </c>
      <c r="E154" s="19" t="n">
        <f aca="false">(w8*mpl_26*1+(1-w8)*mpl_27*1)</f>
        <v>37.6890796666667</v>
      </c>
      <c r="F154" s="19" t="n">
        <f aca="false">(w8*mpl_27*1+(1-w8)*mpl_28*um28_A)</f>
        <v>55.0376433333333</v>
      </c>
      <c r="G154" s="19" t="n">
        <f aca="false">(w8*mpl_28*um28_A+(1-w8)*mpl_29*um29_A)</f>
        <v>62.9726</v>
      </c>
    </row>
    <row r="155" customFormat="false" ht="17.15" hidden="false" customHeight="false" outlineLevel="0" collapsed="false">
      <c r="A155" s="0" t="s">
        <v>513</v>
      </c>
      <c r="B155" s="0" t="s">
        <v>110</v>
      </c>
      <c r="E155" s="20" t="n">
        <f aca="false">a27_opt/(w8*mplB_26*1+(1-w8)*mplB_27*1)</f>
        <v>0.0157625345447985</v>
      </c>
    </row>
    <row r="156" customFormat="false" ht="17.15" hidden="false" customHeight="false" outlineLevel="0" collapsed="false">
      <c r="A156" s="5" t="s">
        <v>514</v>
      </c>
      <c r="B156" s="0" t="s">
        <v>76</v>
      </c>
      <c r="E156" s="9" t="n">
        <f aca="false">1</f>
        <v>1</v>
      </c>
      <c r="F156" s="9" t="n">
        <f aca="false">OLO_28</f>
        <v>0.9</v>
      </c>
      <c r="G156" s="9" t="n">
        <f aca="false">OLO_29</f>
        <v>0.9</v>
      </c>
    </row>
    <row r="157" customFormat="false" ht="15" hidden="false" customHeight="false" outlineLevel="0" collapsed="false">
      <c r="A157" s="5" t="s">
        <v>515</v>
      </c>
      <c r="B157" s="0" t="s">
        <v>33</v>
      </c>
      <c r="D157" s="15" t="n">
        <f aca="false">a26_opt</f>
        <v>0.15</v>
      </c>
      <c r="E157" s="15" t="n">
        <f aca="false">a27_opt</f>
        <v>0.6</v>
      </c>
      <c r="F157" s="15" t="n">
        <f aca="false">F154*$E$155*F156</f>
        <v>0.780779478875371</v>
      </c>
      <c r="G157" s="15" t="n">
        <f aca="false">G154*$E$155*G156</f>
        <v>0.893347004588202</v>
      </c>
    </row>
    <row r="158" customFormat="false" ht="17.15" hidden="false" customHeight="false" outlineLevel="0" collapsed="false">
      <c r="A158" s="1" t="s">
        <v>516</v>
      </c>
    </row>
    <row r="159" customFormat="false" ht="17.15" hidden="false" customHeight="false" outlineLevel="0" collapsed="false">
      <c r="A159" s="5" t="s">
        <v>517</v>
      </c>
      <c r="B159" s="0" t="s">
        <v>33</v>
      </c>
      <c r="D159" s="15" t="n">
        <f aca="false">a26_ic</f>
        <v>0.09345812</v>
      </c>
      <c r="E159" s="15" t="n">
        <f aca="false">a27_ic</f>
        <v>0.107476838</v>
      </c>
      <c r="F159" s="15" t="n">
        <f aca="false">E159*(1+g_oth)</f>
        <v>0.1235983637</v>
      </c>
      <c r="G159" s="15" t="n">
        <f aca="false">F159*(1+g_oth)</f>
        <v>0.142138118255</v>
      </c>
    </row>
    <row r="160" customFormat="false" ht="15" hidden="false" customHeight="false" outlineLevel="0" collapsed="false">
      <c r="A160" s="5" t="s">
        <v>419</v>
      </c>
      <c r="B160" s="0" t="s">
        <v>33</v>
      </c>
      <c r="C160" s="15" t="n">
        <f aca="false">a25_rev</f>
        <v>0.436775</v>
      </c>
      <c r="D160" s="15" t="n">
        <f aca="false">a26_rev</f>
        <v>1.335116</v>
      </c>
      <c r="E160" s="15" t="n">
        <f aca="false">E152+E157+E159</f>
        <v>2.4699646</v>
      </c>
      <c r="F160" s="15" t="n">
        <f aca="false">F152+F157+F159</f>
        <v>3.66914122872157</v>
      </c>
      <c r="G160" s="15" t="n">
        <f aca="false">G152+G157+G159</f>
        <v>3.95923209577207</v>
      </c>
    </row>
    <row r="161" customFormat="false" ht="15" hidden="false" customHeight="false" outlineLevel="0" collapsed="false">
      <c r="A161" s="5" t="s">
        <v>518</v>
      </c>
      <c r="B161" s="0" t="s">
        <v>110</v>
      </c>
      <c r="D161" s="16" t="n">
        <f aca="false">D160/C160-1</f>
        <v>2.05675920096159</v>
      </c>
      <c r="E161" s="16" t="n">
        <f aca="false">E160/D160-1</f>
        <v>0.85</v>
      </c>
      <c r="F161" s="16" t="n">
        <f aca="false">F160/E160-1</f>
        <v>0.485503569047737</v>
      </c>
      <c r="G161" s="16" t="n">
        <f aca="false">G160/F160-1</f>
        <v>0.0790623333819116</v>
      </c>
    </row>
    <row r="162" customFormat="false" ht="17.15" hidden="false" customHeight="false" outlineLevel="0" collapsed="false">
      <c r="A162" s="0" t="s">
        <v>445</v>
      </c>
      <c r="B162" s="0" t="s">
        <v>110</v>
      </c>
      <c r="D162" s="16" t="n">
        <f aca="false">D152/D160</f>
        <v>0.817650211667001</v>
      </c>
      <c r="E162" s="16" t="n">
        <f aca="false">E152/E160</f>
        <v>0.713568025225949</v>
      </c>
      <c r="F162" s="16" t="n">
        <f aca="false">F152/F160</f>
        <v>0.753517843495362</v>
      </c>
      <c r="G162" s="16" t="n">
        <f aca="false">G152/G160</f>
        <v>0.738463141893358</v>
      </c>
    </row>
    <row r="163" customFormat="false" ht="17.15" hidden="false" customHeight="false" outlineLevel="0" collapsed="false">
      <c r="A163" s="5" t="s">
        <v>519</v>
      </c>
      <c r="B163" s="0" t="s">
        <v>110</v>
      </c>
      <c r="D163" s="16" t="n">
        <f aca="false">D157/D160</f>
        <v>0.112349788332999</v>
      </c>
      <c r="E163" s="16" t="n">
        <f aca="false">E157/E160</f>
        <v>0.242918461260538</v>
      </c>
      <c r="F163" s="16" t="n">
        <f aca="false">F157/F160</f>
        <v>0.212796245825462</v>
      </c>
      <c r="G163" s="16" t="n">
        <f aca="false">G157/G160</f>
        <v>0.225636432262251</v>
      </c>
    </row>
    <row r="164" customFormat="false" ht="17.15" hidden="false" customHeight="false" outlineLevel="0" collapsed="false">
      <c r="A164" s="1" t="s">
        <v>520</v>
      </c>
    </row>
    <row r="165" customFormat="false" ht="17.15" hidden="false" customHeight="false" outlineLevel="0" collapsed="false">
      <c r="A165" s="5" t="s">
        <v>424</v>
      </c>
      <c r="B165" s="0" t="s">
        <v>110</v>
      </c>
      <c r="C165" s="16" t="n">
        <f aca="false">a25_gp/a25_rev</f>
        <v>0.650456184534371</v>
      </c>
      <c r="D165" s="16" t="n">
        <f aca="false">a26_gp/a26_rev</f>
        <v>0.681414199215649</v>
      </c>
      <c r="E165" s="16" t="n">
        <f aca="false">a27_gp/a27_rev</f>
        <v>0.680029538884889</v>
      </c>
      <c r="F165" s="16" t="n">
        <f aca="false">gm_28</f>
        <v>0.67</v>
      </c>
      <c r="G165" s="16" t="n">
        <f aca="false">gm_29</f>
        <v>0.66</v>
      </c>
      <c r="H165" s="8" t="s">
        <v>521</v>
      </c>
    </row>
    <row r="166" customFormat="false" ht="15" hidden="false" customHeight="false" outlineLevel="0" collapsed="false">
      <c r="A166" s="5" t="s">
        <v>522</v>
      </c>
      <c r="B166" s="0" t="s">
        <v>33</v>
      </c>
      <c r="C166" s="15" t="n">
        <f aca="false">C160*C165</f>
        <v>0.284103</v>
      </c>
      <c r="D166" s="15" t="n">
        <f aca="false">D160*D165</f>
        <v>0.909767</v>
      </c>
      <c r="E166" s="15" t="n">
        <f aca="false">E160*E165</f>
        <v>1.679648888</v>
      </c>
      <c r="F166" s="15" t="n">
        <f aca="false">F160*F165</f>
        <v>2.45832462324345</v>
      </c>
      <c r="G166" s="15" t="n">
        <f aca="false">G160*G165</f>
        <v>2.61309318320956</v>
      </c>
    </row>
    <row r="167" customFormat="false" ht="15" hidden="false" customHeight="false" outlineLevel="0" collapsed="false">
      <c r="A167" s="5" t="s">
        <v>523</v>
      </c>
      <c r="B167" s="0" t="s">
        <v>33</v>
      </c>
      <c r="C167" s="15" t="n">
        <f aca="false">a25_opx</f>
        <v>0.168751</v>
      </c>
      <c r="D167" s="15" t="n">
        <f aca="false">a26_opx</f>
        <v>0.270945</v>
      </c>
      <c r="E167" s="15" t="n">
        <f aca="false">a27_opx</f>
        <v>0.4064175</v>
      </c>
      <c r="F167" s="15" t="n">
        <f aca="false">E167*(1+MAX(0,phi*F161))</f>
        <v>0.52248640986674</v>
      </c>
      <c r="G167" s="15" t="n">
        <f aca="false">F167*(1+MAX(0,phi*G161))</f>
        <v>0.546785818528154</v>
      </c>
    </row>
    <row r="168" customFormat="false" ht="15" hidden="false" customHeight="false" outlineLevel="0" collapsed="false">
      <c r="A168" s="5" t="s">
        <v>524</v>
      </c>
      <c r="B168" s="0" t="s">
        <v>33</v>
      </c>
      <c r="C168" s="15" t="n">
        <f aca="false">C167</f>
        <v>0.168751</v>
      </c>
      <c r="D168" s="15" t="n">
        <f aca="false">D167</f>
        <v>0.270945</v>
      </c>
      <c r="E168" s="15" t="n">
        <f aca="false">E167</f>
        <v>0.4064175</v>
      </c>
      <c r="F168" s="15" t="n">
        <f aca="false">F167+0*F160</f>
        <v>0.52248640986674</v>
      </c>
      <c r="G168" s="15" t="n">
        <f aca="false">G167+0*G160</f>
        <v>0.546785818528154</v>
      </c>
    </row>
    <row r="169" customFormat="false" ht="15" hidden="false" customHeight="false" outlineLevel="0" collapsed="false">
      <c r="A169" s="5" t="s">
        <v>525</v>
      </c>
      <c r="B169" s="0" t="s">
        <v>33</v>
      </c>
      <c r="C169" s="15" t="n">
        <f aca="false">C166-C168</f>
        <v>0.115352</v>
      </c>
      <c r="D169" s="15" t="n">
        <f aca="false">D166-D168</f>
        <v>0.638822</v>
      </c>
      <c r="E169" s="15" t="n">
        <f aca="false">E166-E168</f>
        <v>1.273231388</v>
      </c>
      <c r="F169" s="15" t="n">
        <f aca="false">F166-F168</f>
        <v>1.93583821337671</v>
      </c>
      <c r="G169" s="15" t="n">
        <f aca="false">G166-G168</f>
        <v>2.06630736468141</v>
      </c>
    </row>
    <row r="170" customFormat="false" ht="15" hidden="false" customHeight="false" outlineLevel="0" collapsed="false">
      <c r="A170" s="5" t="s">
        <v>493</v>
      </c>
      <c r="B170" s="0" t="s">
        <v>110</v>
      </c>
      <c r="C170" s="16" t="n">
        <f aca="false">C169/C160</f>
        <v>0.264099364661439</v>
      </c>
      <c r="D170" s="16" t="n">
        <f aca="false">D169/D160</f>
        <v>0.478476776549753</v>
      </c>
      <c r="E170" s="16" t="n">
        <f aca="false">E169/E160</f>
        <v>0.515485682669298</v>
      </c>
      <c r="F170" s="16" t="n">
        <f aca="false">F169/F160</f>
        <v>0.527599809520336</v>
      </c>
      <c r="G170" s="16" t="n">
        <f aca="false">G169/G160</f>
        <v>0.521895992631488</v>
      </c>
    </row>
    <row r="171" customFormat="false" ht="15" hidden="false" customHeight="false" outlineLevel="0" collapsed="false">
      <c r="A171" s="5" t="s">
        <v>429</v>
      </c>
      <c r="B171" s="0" t="s">
        <v>33</v>
      </c>
      <c r="C171" s="15" t="n">
        <f aca="false">a25_ninc</f>
        <v>0.017746</v>
      </c>
      <c r="D171" s="15" t="n">
        <f aca="false">a26_ninc</f>
        <v>0.03043</v>
      </c>
      <c r="E171" s="15" t="n">
        <f aca="false">a27_ninc</f>
        <v>0.02914</v>
      </c>
      <c r="F171" s="15" t="n">
        <f aca="false">oth_f</f>
        <v>0.03</v>
      </c>
      <c r="G171" s="15" t="n">
        <f aca="false">oth_f</f>
        <v>0.03</v>
      </c>
    </row>
    <row r="172" customFormat="false" ht="17.15" hidden="false" customHeight="false" outlineLevel="0" collapsed="false">
      <c r="A172" s="5" t="s">
        <v>434</v>
      </c>
      <c r="B172" s="0" t="s">
        <v>110</v>
      </c>
      <c r="C172" s="16" t="n">
        <f aca="false">a25_tx</f>
        <v>0.0238320635922402</v>
      </c>
      <c r="D172" s="16" t="n">
        <f aca="false">a26_tx</f>
        <v>0.0115188299773478</v>
      </c>
      <c r="E172" s="16" t="n">
        <f aca="false">a27_tx</f>
        <v>0.0141840153969967</v>
      </c>
      <c r="F172" s="16" t="n">
        <f aca="false">tx_28</f>
        <v>0.13</v>
      </c>
      <c r="G172" s="16" t="n">
        <f aca="false">tx_29</f>
        <v>0.14</v>
      </c>
      <c r="H172" s="8" t="s">
        <v>526</v>
      </c>
    </row>
    <row r="173" customFormat="false" ht="15" hidden="false" customHeight="false" outlineLevel="0" collapsed="false">
      <c r="A173" s="5" t="s">
        <v>494</v>
      </c>
      <c r="B173" s="0" t="s">
        <v>33</v>
      </c>
      <c r="C173" s="15" t="n">
        <f aca="false">a25_ni</f>
        <v>0.129926</v>
      </c>
      <c r="D173" s="15" t="n">
        <f aca="false">a26_ni</f>
        <v>0.661543</v>
      </c>
      <c r="E173" s="15" t="n">
        <f aca="false">a27_ni</f>
        <v>1.28389853218</v>
      </c>
      <c r="F173" s="15" t="n">
        <f aca="false">(F169+F171)*(1-F172)</f>
        <v>1.71027924563774</v>
      </c>
      <c r="G173" s="15" t="n">
        <f aca="false">(G169+G171)*(1-G172)</f>
        <v>1.80282433362601</v>
      </c>
    </row>
    <row r="174" customFormat="false" ht="15" hidden="false" customHeight="false" outlineLevel="0" collapsed="false">
      <c r="A174" s="5" t="s">
        <v>436</v>
      </c>
      <c r="B174" s="0" t="s">
        <v>110</v>
      </c>
      <c r="C174" s="16" t="n">
        <f aca="false">C173/C160</f>
        <v>0.297466659034972</v>
      </c>
      <c r="D174" s="16" t="n">
        <f aca="false">D173/D160</f>
        <v>0.495494773487847</v>
      </c>
      <c r="E174" s="16" t="n">
        <f aca="false">E173/E160</f>
        <v>0.519804426419715</v>
      </c>
      <c r="F174" s="16" t="n">
        <f aca="false">F173/F160</f>
        <v>0.466125215418227</v>
      </c>
      <c r="G174" s="16" t="n">
        <f aca="false">G173/G160</f>
        <v>0.455346968810237</v>
      </c>
    </row>
    <row r="175" customFormat="false" ht="15" hidden="false" customHeight="false" outlineLevel="0" collapsed="false">
      <c r="A175" s="5" t="s">
        <v>527</v>
      </c>
      <c r="B175" s="5" t="s">
        <v>173</v>
      </c>
      <c r="C175" s="24" t="n">
        <f aca="false">a25_sh</f>
        <v>0.184644</v>
      </c>
      <c r="D175" s="24" t="n">
        <f aca="false">a26_sh</f>
        <v>0.191256</v>
      </c>
      <c r="E175" s="24" t="n">
        <f aca="false">a27_sh</f>
        <v>0.199</v>
      </c>
      <c r="F175" s="24" t="n">
        <f aca="false">E175*(1+sh_g)</f>
        <v>0.201985</v>
      </c>
      <c r="G175" s="24" t="n">
        <f aca="false">F175*(1+sh_g)</f>
        <v>0.205014775</v>
      </c>
    </row>
    <row r="176" customFormat="false" ht="17.15" hidden="false" customHeight="false" outlineLevel="0" collapsed="false">
      <c r="A176" s="0" t="s">
        <v>439</v>
      </c>
      <c r="B176" s="0" t="s">
        <v>178</v>
      </c>
      <c r="C176" s="9" t="n">
        <f aca="false">C173/C175</f>
        <v>0.703656766534521</v>
      </c>
      <c r="D176" s="9" t="n">
        <f aca="false">D173/D175</f>
        <v>3.45893985025306</v>
      </c>
      <c r="E176" s="9" t="n">
        <f aca="false">E173/E175</f>
        <v>6.45175141798995</v>
      </c>
      <c r="F176" s="9" t="n">
        <f aca="false">F173/F175</f>
        <v>8.46735770298654</v>
      </c>
      <c r="G176" s="9" t="n">
        <f aca="false">G173/G175</f>
        <v>8.79363125719116</v>
      </c>
    </row>
    <row r="177" customFormat="false" ht="17.15" hidden="false" customHeight="false" outlineLevel="0" collapsed="false">
      <c r="A177" s="0" t="s">
        <v>528</v>
      </c>
      <c r="B177" s="0" t="s">
        <v>110</v>
      </c>
      <c r="D177" s="16" t="n">
        <f aca="false">D176/C176-1</f>
        <v>3.91566345235077</v>
      </c>
      <c r="E177" s="16" t="n">
        <f aca="false">E176/D176-1</f>
        <v>0.865239552378433</v>
      </c>
      <c r="F177" s="16" t="n">
        <f aca="false">F176/E176-1</f>
        <v>0.312412266749198</v>
      </c>
      <c r="G177" s="16" t="n">
        <f aca="false">G176/F176-1</f>
        <v>0.0385331015470787</v>
      </c>
    </row>
    <row r="180" customFormat="false" ht="17.15" hidden="false" customHeight="false" outlineLevel="0" collapsed="false">
      <c r="A180" s="3" t="s">
        <v>806</v>
      </c>
    </row>
    <row r="181" customFormat="false" ht="17.15" hidden="false" customHeight="false" outlineLevel="0" collapsed="false">
      <c r="A181" s="6" t="s">
        <v>22</v>
      </c>
      <c r="B181" s="6" t="s">
        <v>23</v>
      </c>
      <c r="C181" s="14" t="s">
        <v>412</v>
      </c>
      <c r="D181" s="14" t="s">
        <v>413</v>
      </c>
      <c r="E181" s="14" t="s">
        <v>459</v>
      </c>
      <c r="F181" s="14" t="s">
        <v>460</v>
      </c>
      <c r="G181" s="14" t="s">
        <v>461</v>
      </c>
      <c r="H181" s="6" t="s">
        <v>418</v>
      </c>
    </row>
    <row r="182" customFormat="false" ht="17.15" hidden="false" customHeight="false" outlineLevel="0" collapsed="false">
      <c r="A182" s="1" t="s">
        <v>503</v>
      </c>
    </row>
    <row r="183" customFormat="false" ht="17.15" hidden="false" customHeight="false" outlineLevel="0" collapsed="false">
      <c r="A183" s="0" t="s">
        <v>504</v>
      </c>
      <c r="B183" s="0" t="s">
        <v>33</v>
      </c>
      <c r="E183" s="19" t="n">
        <f aca="false">(w8*mcu_26*1+(1-w8)*mcu_27*1)</f>
        <v>34.3390133333333</v>
      </c>
      <c r="F183" s="19" t="n">
        <f aca="false">(w8*mcu_27*1+(1-w8)*mcu_28*um28_A)</f>
        <v>53.8666133333333</v>
      </c>
      <c r="G183" s="19" t="n">
        <f aca="false">(w8*mcu_28*um28_A+(1-w8)*mcu_29*um29_A)</f>
        <v>59.9622446666667</v>
      </c>
      <c r="H183" s="8" t="s">
        <v>505</v>
      </c>
    </row>
    <row r="184" customFormat="false" ht="17.15" hidden="false" customHeight="false" outlineLevel="0" collapsed="false">
      <c r="A184" s="0" t="s">
        <v>506</v>
      </c>
      <c r="B184" s="0" t="s">
        <v>110</v>
      </c>
      <c r="E184" s="20" t="n">
        <f aca="false">a27_aec/E183</f>
        <v>0.0513261037785594</v>
      </c>
      <c r="H184" s="8" t="s">
        <v>507</v>
      </c>
    </row>
    <row r="185" customFormat="false" ht="17.15" hidden="false" customHeight="false" outlineLevel="0" collapsed="false">
      <c r="A185" s="0" t="s">
        <v>508</v>
      </c>
      <c r="B185" s="0" t="s">
        <v>76</v>
      </c>
      <c r="E185" s="9" t="n">
        <f aca="false">1</f>
        <v>1</v>
      </c>
      <c r="F185" s="9" t="n">
        <f aca="false">rel_a_28</f>
        <v>1</v>
      </c>
      <c r="G185" s="9" t="n">
        <f aca="false">rel_a_29</f>
        <v>0.95</v>
      </c>
    </row>
    <row r="186" customFormat="false" ht="17.15" hidden="false" customHeight="false" outlineLevel="0" collapsed="false">
      <c r="A186" s="0" t="s">
        <v>509</v>
      </c>
      <c r="B186" s="0" t="s">
        <v>110</v>
      </c>
      <c r="E186" s="20" t="n">
        <f aca="false">$E$184*E185</f>
        <v>0.0513261037785594</v>
      </c>
      <c r="F186" s="20" t="n">
        <f aca="false">$E$184*F185</f>
        <v>0.0513261037785594</v>
      </c>
      <c r="G186" s="20" t="n">
        <f aca="false">$E$184*G185</f>
        <v>0.0487597985896314</v>
      </c>
    </row>
    <row r="187" customFormat="false" ht="17.15" hidden="false" customHeight="false" outlineLevel="0" collapsed="false">
      <c r="A187" s="0" t="s">
        <v>510</v>
      </c>
      <c r="B187" s="0" t="s">
        <v>33</v>
      </c>
      <c r="D187" s="15" t="n">
        <f aca="false">a26_aec</f>
        <v>1.09165788</v>
      </c>
      <c r="E187" s="15" t="n">
        <f aca="false">a27_aec</f>
        <v>1.762487762</v>
      </c>
      <c r="F187" s="15" t="n">
        <f aca="false">F183*F186</f>
        <v>2.7647633861462</v>
      </c>
      <c r="G187" s="15" t="n">
        <f aca="false">G183*G186</f>
        <v>2.92374697292887</v>
      </c>
    </row>
    <row r="188" customFormat="false" ht="17.15" hidden="false" customHeight="false" outlineLevel="0" collapsed="false">
      <c r="A188" s="1" t="s">
        <v>511</v>
      </c>
    </row>
    <row r="189" customFormat="false" ht="17.15" hidden="false" customHeight="false" outlineLevel="0" collapsed="false">
      <c r="A189" s="0" t="s">
        <v>512</v>
      </c>
      <c r="B189" s="0" t="s">
        <v>33</v>
      </c>
      <c r="E189" s="19" t="n">
        <f aca="false">(w8*mpl_26*1+(1-w8)*mpl_27*1)</f>
        <v>37.6890796666667</v>
      </c>
      <c r="F189" s="19" t="n">
        <f aca="false">(w8*mpl_27*1+(1-w8)*mpl_28*um28_A)</f>
        <v>55.0376433333333</v>
      </c>
      <c r="G189" s="19" t="n">
        <f aca="false">(w8*mpl_28*um28_A+(1-w8)*mpl_29*um29_A)</f>
        <v>62.9726</v>
      </c>
    </row>
    <row r="190" customFormat="false" ht="17.15" hidden="false" customHeight="false" outlineLevel="0" collapsed="false">
      <c r="A190" s="0" t="s">
        <v>513</v>
      </c>
      <c r="B190" s="0" t="s">
        <v>110</v>
      </c>
      <c r="E190" s="20" t="n">
        <f aca="false">a27_opt/(w8*mplB_26*1+(1-w8)*mplB_27*1)</f>
        <v>0.0157625345447985</v>
      </c>
    </row>
    <row r="191" customFormat="false" ht="17.15" hidden="false" customHeight="false" outlineLevel="0" collapsed="false">
      <c r="A191" s="5" t="s">
        <v>514</v>
      </c>
      <c r="B191" s="0" t="s">
        <v>76</v>
      </c>
      <c r="E191" s="9" t="n">
        <f aca="false">1</f>
        <v>1</v>
      </c>
      <c r="F191" s="9" t="n">
        <f aca="false">OHI_28</f>
        <v>1.6</v>
      </c>
      <c r="G191" s="9" t="n">
        <f aca="false">OHI_29</f>
        <v>2</v>
      </c>
    </row>
    <row r="192" customFormat="false" ht="15" hidden="false" customHeight="false" outlineLevel="0" collapsed="false">
      <c r="A192" s="5" t="s">
        <v>515</v>
      </c>
      <c r="B192" s="0" t="s">
        <v>33</v>
      </c>
      <c r="D192" s="15" t="n">
        <f aca="false">a26_opt</f>
        <v>0.15</v>
      </c>
      <c r="E192" s="15" t="n">
        <f aca="false">a27_opt</f>
        <v>0.6</v>
      </c>
      <c r="F192" s="15" t="n">
        <f aca="false">F189*$E$190*F191</f>
        <v>1.38805240688955</v>
      </c>
      <c r="G192" s="15" t="n">
        <f aca="false">G189*$E$190*G191</f>
        <v>1.98521556575156</v>
      </c>
    </row>
    <row r="193" customFormat="false" ht="17.15" hidden="false" customHeight="false" outlineLevel="0" collapsed="false">
      <c r="A193" s="1" t="s">
        <v>516</v>
      </c>
    </row>
    <row r="194" customFormat="false" ht="17.15" hidden="false" customHeight="false" outlineLevel="0" collapsed="false">
      <c r="A194" s="5" t="s">
        <v>517</v>
      </c>
      <c r="B194" s="0" t="s">
        <v>33</v>
      </c>
      <c r="D194" s="15" t="n">
        <f aca="false">a26_ic</f>
        <v>0.09345812</v>
      </c>
      <c r="E194" s="15" t="n">
        <f aca="false">a27_ic</f>
        <v>0.107476838</v>
      </c>
      <c r="F194" s="15" t="n">
        <f aca="false">E194*(1+g_oth)</f>
        <v>0.1235983637</v>
      </c>
      <c r="G194" s="15" t="n">
        <f aca="false">F194*(1+g_oth)</f>
        <v>0.142138118255</v>
      </c>
    </row>
    <row r="195" customFormat="false" ht="15" hidden="false" customHeight="false" outlineLevel="0" collapsed="false">
      <c r="A195" s="5" t="s">
        <v>419</v>
      </c>
      <c r="B195" s="0" t="s">
        <v>33</v>
      </c>
      <c r="C195" s="15" t="n">
        <f aca="false">a25_rev</f>
        <v>0.436775</v>
      </c>
      <c r="D195" s="15" t="n">
        <f aca="false">a26_rev</f>
        <v>1.335116</v>
      </c>
      <c r="E195" s="15" t="n">
        <f aca="false">E187+E192+E194</f>
        <v>2.4699646</v>
      </c>
      <c r="F195" s="15" t="n">
        <f aca="false">F187+F192+F194</f>
        <v>4.27641415673574</v>
      </c>
      <c r="G195" s="15" t="n">
        <f aca="false">G187+G192+G194</f>
        <v>5.05110065693543</v>
      </c>
    </row>
    <row r="196" customFormat="false" ht="15" hidden="false" customHeight="false" outlineLevel="0" collapsed="false">
      <c r="A196" s="5" t="s">
        <v>518</v>
      </c>
      <c r="B196" s="0" t="s">
        <v>110</v>
      </c>
      <c r="D196" s="16" t="n">
        <f aca="false">D195/C195-1</f>
        <v>2.05675920096159</v>
      </c>
      <c r="E196" s="16" t="n">
        <f aca="false">E195/D195-1</f>
        <v>0.85</v>
      </c>
      <c r="F196" s="16" t="n">
        <f aca="false">F195/E195-1</f>
        <v>0.73136657777838</v>
      </c>
      <c r="G196" s="16" t="n">
        <f aca="false">G195/F195-1</f>
        <v>0.181153291474232</v>
      </c>
    </row>
    <row r="197" customFormat="false" ht="17.15" hidden="false" customHeight="false" outlineLevel="0" collapsed="false">
      <c r="A197" s="0" t="s">
        <v>445</v>
      </c>
      <c r="B197" s="0" t="s">
        <v>110</v>
      </c>
      <c r="D197" s="16" t="n">
        <f aca="false">D187/D195</f>
        <v>0.817650211667001</v>
      </c>
      <c r="E197" s="16" t="n">
        <f aca="false">E187/E195</f>
        <v>0.713568025225949</v>
      </c>
      <c r="F197" s="16" t="n">
        <f aca="false">F187/F195</f>
        <v>0.646514412499416</v>
      </c>
      <c r="G197" s="16" t="n">
        <f aca="false">G187/G195</f>
        <v>0.578833638746519</v>
      </c>
    </row>
    <row r="198" customFormat="false" ht="17.15" hidden="false" customHeight="false" outlineLevel="0" collapsed="false">
      <c r="A198" s="5" t="s">
        <v>519</v>
      </c>
      <c r="B198" s="0" t="s">
        <v>110</v>
      </c>
      <c r="D198" s="16" t="n">
        <f aca="false">D192/D195</f>
        <v>0.112349788332999</v>
      </c>
      <c r="E198" s="16" t="n">
        <f aca="false">E192/E195</f>
        <v>0.242918461260538</v>
      </c>
      <c r="F198" s="16" t="n">
        <f aca="false">F192/F195</f>
        <v>0.324583250362512</v>
      </c>
      <c r="G198" s="16" t="n">
        <f aca="false">G192/G195</f>
        <v>0.393026332394655</v>
      </c>
    </row>
    <row r="199" customFormat="false" ht="17.15" hidden="false" customHeight="false" outlineLevel="0" collapsed="false">
      <c r="A199" s="1" t="s">
        <v>520</v>
      </c>
    </row>
    <row r="200" customFormat="false" ht="17.15" hidden="false" customHeight="false" outlineLevel="0" collapsed="false">
      <c r="A200" s="5" t="s">
        <v>424</v>
      </c>
      <c r="B200" s="0" t="s">
        <v>110</v>
      </c>
      <c r="C200" s="16" t="n">
        <f aca="false">a25_gp/a25_rev</f>
        <v>0.650456184534371</v>
      </c>
      <c r="D200" s="16" t="n">
        <f aca="false">a26_gp/a26_rev</f>
        <v>0.681414199215649</v>
      </c>
      <c r="E200" s="16" t="n">
        <f aca="false">a27_gp/a27_rev</f>
        <v>0.680029538884889</v>
      </c>
      <c r="F200" s="16" t="n">
        <f aca="false">gm_28</f>
        <v>0.67</v>
      </c>
      <c r="G200" s="16" t="n">
        <f aca="false">gm_29</f>
        <v>0.66</v>
      </c>
      <c r="H200" s="8" t="s">
        <v>521</v>
      </c>
    </row>
    <row r="201" customFormat="false" ht="15" hidden="false" customHeight="false" outlineLevel="0" collapsed="false">
      <c r="A201" s="5" t="s">
        <v>522</v>
      </c>
      <c r="B201" s="0" t="s">
        <v>33</v>
      </c>
      <c r="C201" s="15" t="n">
        <f aca="false">C195*C200</f>
        <v>0.284103</v>
      </c>
      <c r="D201" s="15" t="n">
        <f aca="false">D195*D200</f>
        <v>0.909767</v>
      </c>
      <c r="E201" s="15" t="n">
        <f aca="false">E195*E200</f>
        <v>1.679648888</v>
      </c>
      <c r="F201" s="15" t="n">
        <f aca="false">F195*F200</f>
        <v>2.86519748501295</v>
      </c>
      <c r="G201" s="15" t="n">
        <f aca="false">G195*G200</f>
        <v>3.33372643357738</v>
      </c>
    </row>
    <row r="202" customFormat="false" ht="15" hidden="false" customHeight="false" outlineLevel="0" collapsed="false">
      <c r="A202" s="5" t="s">
        <v>523</v>
      </c>
      <c r="B202" s="0" t="s">
        <v>33</v>
      </c>
      <c r="C202" s="15" t="n">
        <f aca="false">a25_opx</f>
        <v>0.168751</v>
      </c>
      <c r="D202" s="15" t="n">
        <f aca="false">a26_opx</f>
        <v>0.270945</v>
      </c>
      <c r="E202" s="15" t="n">
        <f aca="false">a27_opx</f>
        <v>0.4064175</v>
      </c>
      <c r="F202" s="15" t="n">
        <f aca="false">E202*(1+MAX(0,phi*F196))</f>
        <v>0.581264662426026</v>
      </c>
      <c r="G202" s="15" t="n">
        <f aca="false">F202*(1+MAX(0,phi*G196))</f>
        <v>0.643204666435516</v>
      </c>
    </row>
    <row r="203" customFormat="false" ht="15" hidden="false" customHeight="false" outlineLevel="0" collapsed="false">
      <c r="A203" s="5" t="s">
        <v>524</v>
      </c>
      <c r="B203" s="0" t="s">
        <v>33</v>
      </c>
      <c r="C203" s="15" t="n">
        <f aca="false">C202</f>
        <v>0.168751</v>
      </c>
      <c r="D203" s="15" t="n">
        <f aca="false">D202</f>
        <v>0.270945</v>
      </c>
      <c r="E203" s="15" t="n">
        <f aca="false">E202</f>
        <v>0.4064175</v>
      </c>
      <c r="F203" s="15" t="n">
        <f aca="false">F202+0*F195</f>
        <v>0.581264662426026</v>
      </c>
      <c r="G203" s="15" t="n">
        <f aca="false">G202+0*G195</f>
        <v>0.643204666435516</v>
      </c>
    </row>
    <row r="204" customFormat="false" ht="15" hidden="false" customHeight="false" outlineLevel="0" collapsed="false">
      <c r="A204" s="5" t="s">
        <v>525</v>
      </c>
      <c r="B204" s="0" t="s">
        <v>33</v>
      </c>
      <c r="C204" s="15" t="n">
        <f aca="false">C201-C203</f>
        <v>0.115352</v>
      </c>
      <c r="D204" s="15" t="n">
        <f aca="false">D201-D203</f>
        <v>0.638822</v>
      </c>
      <c r="E204" s="15" t="n">
        <f aca="false">E201-E203</f>
        <v>1.273231388</v>
      </c>
      <c r="F204" s="15" t="n">
        <f aca="false">F201-F203</f>
        <v>2.28393282258692</v>
      </c>
      <c r="G204" s="15" t="n">
        <f aca="false">G201-G203</f>
        <v>2.69052176714186</v>
      </c>
    </row>
    <row r="205" customFormat="false" ht="15" hidden="false" customHeight="false" outlineLevel="0" collapsed="false">
      <c r="A205" s="5" t="s">
        <v>493</v>
      </c>
      <c r="B205" s="0" t="s">
        <v>110</v>
      </c>
      <c r="C205" s="16" t="n">
        <f aca="false">C204/C195</f>
        <v>0.264099364661439</v>
      </c>
      <c r="D205" s="16" t="n">
        <f aca="false">D204/D195</f>
        <v>0.478476776549753</v>
      </c>
      <c r="E205" s="16" t="n">
        <f aca="false">E204/E195</f>
        <v>0.515485682669298</v>
      </c>
      <c r="F205" s="16" t="n">
        <f aca="false">F204/F195</f>
        <v>0.534076620944096</v>
      </c>
      <c r="G205" s="16" t="n">
        <f aca="false">G204/G195</f>
        <v>0.532660493203128</v>
      </c>
    </row>
    <row r="206" customFormat="false" ht="15" hidden="false" customHeight="false" outlineLevel="0" collapsed="false">
      <c r="A206" s="5" t="s">
        <v>429</v>
      </c>
      <c r="B206" s="0" t="s">
        <v>33</v>
      </c>
      <c r="C206" s="15" t="n">
        <f aca="false">a25_ninc</f>
        <v>0.017746</v>
      </c>
      <c r="D206" s="15" t="n">
        <f aca="false">a26_ninc</f>
        <v>0.03043</v>
      </c>
      <c r="E206" s="15" t="n">
        <f aca="false">a27_ninc</f>
        <v>0.02914</v>
      </c>
      <c r="F206" s="15" t="n">
        <f aca="false">oth_f</f>
        <v>0.03</v>
      </c>
      <c r="G206" s="15" t="n">
        <f aca="false">oth_f</f>
        <v>0.03</v>
      </c>
    </row>
    <row r="207" customFormat="false" ht="17.15" hidden="false" customHeight="false" outlineLevel="0" collapsed="false">
      <c r="A207" s="5" t="s">
        <v>434</v>
      </c>
      <c r="B207" s="0" t="s">
        <v>110</v>
      </c>
      <c r="C207" s="16" t="n">
        <f aca="false">a25_tx</f>
        <v>0.0238320635922402</v>
      </c>
      <c r="D207" s="16" t="n">
        <f aca="false">a26_tx</f>
        <v>0.0115188299773478</v>
      </c>
      <c r="E207" s="16" t="n">
        <f aca="false">a27_tx</f>
        <v>0.0141840153969967</v>
      </c>
      <c r="F207" s="16" t="n">
        <f aca="false">tx_28</f>
        <v>0.13</v>
      </c>
      <c r="G207" s="16" t="n">
        <f aca="false">tx_29</f>
        <v>0.14</v>
      </c>
      <c r="H207" s="8" t="s">
        <v>526</v>
      </c>
    </row>
    <row r="208" customFormat="false" ht="15" hidden="false" customHeight="false" outlineLevel="0" collapsed="false">
      <c r="A208" s="5" t="s">
        <v>494</v>
      </c>
      <c r="B208" s="0" t="s">
        <v>33</v>
      </c>
      <c r="C208" s="15" t="n">
        <f aca="false">a25_ni</f>
        <v>0.129926</v>
      </c>
      <c r="D208" s="15" t="n">
        <f aca="false">a26_ni</f>
        <v>0.661543</v>
      </c>
      <c r="E208" s="15" t="n">
        <f aca="false">a27_ni</f>
        <v>1.28389853218</v>
      </c>
      <c r="F208" s="15" t="n">
        <f aca="false">(F204+F206)*(1-F207)</f>
        <v>2.01312155565062</v>
      </c>
      <c r="G208" s="15" t="n">
        <f aca="false">(G204+G206)*(1-G207)</f>
        <v>2.339648719742</v>
      </c>
    </row>
    <row r="209" customFormat="false" ht="15" hidden="false" customHeight="false" outlineLevel="0" collapsed="false">
      <c r="A209" s="5" t="s">
        <v>436</v>
      </c>
      <c r="B209" s="0" t="s">
        <v>110</v>
      </c>
      <c r="C209" s="16" t="n">
        <f aca="false">C208/C195</f>
        <v>0.297466659034972</v>
      </c>
      <c r="D209" s="16" t="n">
        <f aca="false">D208/D195</f>
        <v>0.495494773487847</v>
      </c>
      <c r="E209" s="16" t="n">
        <f aca="false">E208/E195</f>
        <v>0.519804426419715</v>
      </c>
      <c r="F209" s="16" t="n">
        <f aca="false">F208/F195</f>
        <v>0.470749904445006</v>
      </c>
      <c r="G209" s="16" t="n">
        <f aca="false">G208/G195</f>
        <v>0.46319582179174</v>
      </c>
    </row>
    <row r="210" customFormat="false" ht="15" hidden="false" customHeight="false" outlineLevel="0" collapsed="false">
      <c r="A210" s="5" t="s">
        <v>527</v>
      </c>
      <c r="B210" s="5" t="s">
        <v>173</v>
      </c>
      <c r="C210" s="24" t="n">
        <f aca="false">a25_sh</f>
        <v>0.184644</v>
      </c>
      <c r="D210" s="24" t="n">
        <f aca="false">a26_sh</f>
        <v>0.191256</v>
      </c>
      <c r="E210" s="24" t="n">
        <f aca="false">a27_sh</f>
        <v>0.199</v>
      </c>
      <c r="F210" s="24" t="n">
        <f aca="false">E210*(1+sh_g)</f>
        <v>0.201985</v>
      </c>
      <c r="G210" s="24" t="n">
        <f aca="false">F210*(1+sh_g)</f>
        <v>0.205014775</v>
      </c>
    </row>
    <row r="211" customFormat="false" ht="17.15" hidden="false" customHeight="false" outlineLevel="0" collapsed="false">
      <c r="A211" s="0" t="s">
        <v>439</v>
      </c>
      <c r="B211" s="0" t="s">
        <v>178</v>
      </c>
      <c r="C211" s="9" t="n">
        <f aca="false">C208/C210</f>
        <v>0.703656766534521</v>
      </c>
      <c r="D211" s="9" t="n">
        <f aca="false">D208/D210</f>
        <v>3.45893985025306</v>
      </c>
      <c r="E211" s="9" t="n">
        <f aca="false">E208/E210</f>
        <v>6.45175141798995</v>
      </c>
      <c r="F211" s="9" t="n">
        <f aca="false">F208/F210</f>
        <v>9.96668839592357</v>
      </c>
      <c r="G211" s="9" t="n">
        <f aca="false">G208/G210</f>
        <v>11.4120980780142</v>
      </c>
    </row>
    <row r="212" customFormat="false" ht="17.15" hidden="false" customHeight="false" outlineLevel="0" collapsed="false">
      <c r="A212" s="0" t="s">
        <v>528</v>
      </c>
      <c r="B212" s="0" t="s">
        <v>110</v>
      </c>
      <c r="D212" s="16" t="n">
        <f aca="false">D211/C211-1</f>
        <v>3.91566345235077</v>
      </c>
      <c r="E212" s="16" t="n">
        <f aca="false">E211/D211-1</f>
        <v>0.865239552378433</v>
      </c>
      <c r="F212" s="16" t="n">
        <f aca="false">F211/E211-1</f>
        <v>0.544803534763077</v>
      </c>
      <c r="G212" s="16" t="n">
        <f aca="false">G211/F211-1</f>
        <v>0.145024066637998</v>
      </c>
    </row>
    <row r="215" customFormat="false" ht="17.15" hidden="false" customHeight="false" outlineLevel="0" collapsed="false">
      <c r="A215" s="3" t="s">
        <v>807</v>
      </c>
    </row>
    <row r="216" customFormat="false" ht="17.15" hidden="false" customHeight="false" outlineLevel="0" collapsed="false">
      <c r="A216" s="6" t="s">
        <v>22</v>
      </c>
      <c r="B216" s="6" t="s">
        <v>23</v>
      </c>
      <c r="C216" s="14" t="s">
        <v>412</v>
      </c>
      <c r="D216" s="14" t="s">
        <v>413</v>
      </c>
      <c r="E216" s="14" t="s">
        <v>459</v>
      </c>
      <c r="F216" s="14" t="s">
        <v>460</v>
      </c>
      <c r="G216" s="14" t="s">
        <v>461</v>
      </c>
      <c r="H216" s="6" t="s">
        <v>418</v>
      </c>
    </row>
    <row r="217" customFormat="false" ht="17.15" hidden="false" customHeight="false" outlineLevel="0" collapsed="false">
      <c r="A217" s="1" t="s">
        <v>503</v>
      </c>
    </row>
    <row r="218" customFormat="false" ht="17.15" hidden="false" customHeight="false" outlineLevel="0" collapsed="false">
      <c r="A218" s="0" t="s">
        <v>504</v>
      </c>
      <c r="B218" s="0" t="s">
        <v>33</v>
      </c>
      <c r="E218" s="19" t="n">
        <f aca="false">(w8*mcu_26*1+(1-w8)*mcu_27*1)</f>
        <v>34.3390133333333</v>
      </c>
      <c r="F218" s="19" t="n">
        <f aca="false">(w8*mcu_27*1+(1-w8)*mcu_28*um28_A)</f>
        <v>53.8666133333333</v>
      </c>
      <c r="G218" s="19" t="n">
        <f aca="false">(w8*mcu_28*um28_A+(1-w8)*mcu_29*um29_A)</f>
        <v>59.9622446666667</v>
      </c>
      <c r="H218" s="8" t="s">
        <v>505</v>
      </c>
    </row>
    <row r="219" customFormat="false" ht="17.15" hidden="false" customHeight="false" outlineLevel="0" collapsed="false">
      <c r="A219" s="0" t="s">
        <v>506</v>
      </c>
      <c r="B219" s="0" t="s">
        <v>110</v>
      </c>
      <c r="E219" s="20" t="n">
        <f aca="false">a27_aec/E218</f>
        <v>0.0513261037785594</v>
      </c>
      <c r="H219" s="8" t="s">
        <v>507</v>
      </c>
    </row>
    <row r="220" customFormat="false" ht="17.15" hidden="false" customHeight="false" outlineLevel="0" collapsed="false">
      <c r="A220" s="0" t="s">
        <v>508</v>
      </c>
      <c r="B220" s="0" t="s">
        <v>76</v>
      </c>
      <c r="E220" s="9" t="n">
        <f aca="false">1</f>
        <v>1</v>
      </c>
      <c r="F220" s="9" t="n">
        <f aca="false">rel_a_28</f>
        <v>1</v>
      </c>
      <c r="G220" s="9" t="n">
        <f aca="false">rel_a_29</f>
        <v>0.95</v>
      </c>
    </row>
    <row r="221" customFormat="false" ht="17.15" hidden="false" customHeight="false" outlineLevel="0" collapsed="false">
      <c r="A221" s="0" t="s">
        <v>509</v>
      </c>
      <c r="B221" s="0" t="s">
        <v>110</v>
      </c>
      <c r="E221" s="20" t="n">
        <f aca="false">$E$219*E220</f>
        <v>0.0513261037785594</v>
      </c>
      <c r="F221" s="20" t="n">
        <f aca="false">$E$219*F220</f>
        <v>0.0513261037785594</v>
      </c>
      <c r="G221" s="20" t="n">
        <f aca="false">$E$219*G220</f>
        <v>0.0487597985896314</v>
      </c>
    </row>
    <row r="222" customFormat="false" ht="17.15" hidden="false" customHeight="false" outlineLevel="0" collapsed="false">
      <c r="A222" s="0" t="s">
        <v>510</v>
      </c>
      <c r="B222" s="0" t="s">
        <v>33</v>
      </c>
      <c r="D222" s="15" t="n">
        <f aca="false">a26_aec</f>
        <v>1.09165788</v>
      </c>
      <c r="E222" s="15" t="n">
        <f aca="false">a27_aec</f>
        <v>1.762487762</v>
      </c>
      <c r="F222" s="15" t="n">
        <f aca="false">F218*F221</f>
        <v>2.7647633861462</v>
      </c>
      <c r="G222" s="15" t="n">
        <f aca="false">G218*G221</f>
        <v>2.92374697292887</v>
      </c>
    </row>
    <row r="223" customFormat="false" ht="17.15" hidden="false" customHeight="false" outlineLevel="0" collapsed="false">
      <c r="A223" s="1" t="s">
        <v>511</v>
      </c>
    </row>
    <row r="224" customFormat="false" ht="17.15" hidden="false" customHeight="false" outlineLevel="0" collapsed="false">
      <c r="A224" s="0" t="s">
        <v>512</v>
      </c>
      <c r="B224" s="0" t="s">
        <v>33</v>
      </c>
      <c r="E224" s="19" t="n">
        <f aca="false">(w8*mpl_26*1+(1-w8)*mpl_27*1)</f>
        <v>37.6890796666667</v>
      </c>
      <c r="F224" s="19" t="n">
        <f aca="false">(w8*mpl_27*1+(1-w8)*mpl_28*um28_A)</f>
        <v>55.0376433333333</v>
      </c>
      <c r="G224" s="19" t="n">
        <f aca="false">(w8*mpl_28*um28_A+(1-w8)*mpl_29*um29_A)</f>
        <v>62.9726</v>
      </c>
    </row>
    <row r="225" customFormat="false" ht="17.15" hidden="false" customHeight="false" outlineLevel="0" collapsed="false">
      <c r="A225" s="0" t="s">
        <v>513</v>
      </c>
      <c r="B225" s="0" t="s">
        <v>110</v>
      </c>
      <c r="E225" s="20" t="n">
        <f aca="false">a27_opt/(w8*mplB_26*1+(1-w8)*mplB_27*1)</f>
        <v>0.0157625345447985</v>
      </c>
    </row>
    <row r="226" customFormat="false" ht="17.15" hidden="false" customHeight="false" outlineLevel="0" collapsed="false">
      <c r="A226" s="5" t="s">
        <v>514</v>
      </c>
      <c r="B226" s="0" t="s">
        <v>76</v>
      </c>
      <c r="E226" s="9" t="n">
        <f aca="false">1</f>
        <v>1</v>
      </c>
      <c r="F226" s="9" t="n">
        <f aca="false">rel_o_28</f>
        <v>1.2</v>
      </c>
      <c r="G226" s="9" t="n">
        <f aca="false">rel_o_29</f>
        <v>1.35</v>
      </c>
    </row>
    <row r="227" customFormat="false" ht="15" hidden="false" customHeight="false" outlineLevel="0" collapsed="false">
      <c r="A227" s="5" t="s">
        <v>515</v>
      </c>
      <c r="B227" s="0" t="s">
        <v>33</v>
      </c>
      <c r="D227" s="15" t="n">
        <f aca="false">a26_opt</f>
        <v>0.15</v>
      </c>
      <c r="E227" s="15" t="n">
        <f aca="false">a27_opt</f>
        <v>0.6</v>
      </c>
      <c r="F227" s="15" t="n">
        <f aca="false">F224*$E$225*F226</f>
        <v>1.04103930516716</v>
      </c>
      <c r="G227" s="15" t="n">
        <f aca="false">G224*$E$225*G226</f>
        <v>1.3400205068823</v>
      </c>
    </row>
    <row r="228" customFormat="false" ht="17.15" hidden="false" customHeight="false" outlineLevel="0" collapsed="false">
      <c r="A228" s="1" t="s">
        <v>516</v>
      </c>
    </row>
    <row r="229" customFormat="false" ht="17.15" hidden="false" customHeight="false" outlineLevel="0" collapsed="false">
      <c r="A229" s="5" t="s">
        <v>517</v>
      </c>
      <c r="B229" s="0" t="s">
        <v>33</v>
      </c>
      <c r="D229" s="15" t="n">
        <f aca="false">a26_ic</f>
        <v>0.09345812</v>
      </c>
      <c r="E229" s="15" t="n">
        <f aca="false">a27_ic</f>
        <v>0.107476838</v>
      </c>
      <c r="F229" s="15" t="n">
        <f aca="false">E229*(1+g_oth)</f>
        <v>0.1235983637</v>
      </c>
      <c r="G229" s="15" t="n">
        <f aca="false">F229*(1+g_oth)</f>
        <v>0.142138118255</v>
      </c>
    </row>
    <row r="230" customFormat="false" ht="15" hidden="false" customHeight="false" outlineLevel="0" collapsed="false">
      <c r="A230" s="5" t="s">
        <v>419</v>
      </c>
      <c r="B230" s="0" t="s">
        <v>33</v>
      </c>
      <c r="C230" s="15" t="n">
        <f aca="false">a25_rev</f>
        <v>0.436775</v>
      </c>
      <c r="D230" s="15" t="n">
        <f aca="false">a26_rev</f>
        <v>1.335116</v>
      </c>
      <c r="E230" s="15" t="n">
        <f aca="false">E222+E227+E229</f>
        <v>2.4699646</v>
      </c>
      <c r="F230" s="15" t="n">
        <f aca="false">F222+F227+F229</f>
        <v>3.92940105501336</v>
      </c>
      <c r="G230" s="15" t="n">
        <f aca="false">G222+G227+G229</f>
        <v>4.40590559806617</v>
      </c>
    </row>
    <row r="231" customFormat="false" ht="15" hidden="false" customHeight="false" outlineLevel="0" collapsed="false">
      <c r="A231" s="5" t="s">
        <v>518</v>
      </c>
      <c r="B231" s="0" t="s">
        <v>110</v>
      </c>
      <c r="D231" s="16" t="n">
        <f aca="false">D230/C230-1</f>
        <v>2.05675920096159</v>
      </c>
      <c r="E231" s="16" t="n">
        <f aca="false">E230/D230-1</f>
        <v>0.85</v>
      </c>
      <c r="F231" s="16" t="n">
        <f aca="false">F230/E230-1</f>
        <v>0.590873429932298</v>
      </c>
      <c r="G231" s="16" t="n">
        <f aca="false">G230/F230-1</f>
        <v>0.121266456740235</v>
      </c>
    </row>
    <row r="232" customFormat="false" ht="17.15" hidden="false" customHeight="false" outlineLevel="0" collapsed="false">
      <c r="A232" s="0" t="s">
        <v>445</v>
      </c>
      <c r="B232" s="0" t="s">
        <v>110</v>
      </c>
      <c r="D232" s="16" t="n">
        <f aca="false">D222/D230</f>
        <v>0.817650211667001</v>
      </c>
      <c r="E232" s="16" t="n">
        <f aca="false">E222/E230</f>
        <v>0.713568025225949</v>
      </c>
      <c r="F232" s="16" t="n">
        <f aca="false">F222/F230</f>
        <v>0.703609366271929</v>
      </c>
      <c r="G232" s="16" t="n">
        <f aca="false">G222/G230</f>
        <v>0.663597280480124</v>
      </c>
    </row>
    <row r="233" customFormat="false" ht="17.15" hidden="false" customHeight="false" outlineLevel="0" collapsed="false">
      <c r="A233" s="5" t="s">
        <v>519</v>
      </c>
      <c r="B233" s="0" t="s">
        <v>110</v>
      </c>
      <c r="D233" s="16" t="n">
        <f aca="false">D227/D230</f>
        <v>0.112349788332999</v>
      </c>
      <c r="E233" s="16" t="n">
        <f aca="false">E227/E230</f>
        <v>0.242918461260538</v>
      </c>
      <c r="F233" s="16" t="n">
        <f aca="false">F227/F230</f>
        <v>0.264935874600772</v>
      </c>
      <c r="G233" s="16" t="n">
        <f aca="false">G227/G230</f>
        <v>0.304141901603716</v>
      </c>
    </row>
    <row r="234" customFormat="false" ht="17.15" hidden="false" customHeight="false" outlineLevel="0" collapsed="false">
      <c r="A234" s="1" t="s">
        <v>520</v>
      </c>
    </row>
    <row r="235" customFormat="false" ht="17.15" hidden="false" customHeight="false" outlineLevel="0" collapsed="false">
      <c r="A235" s="5" t="s">
        <v>424</v>
      </c>
      <c r="B235" s="0" t="s">
        <v>110</v>
      </c>
      <c r="C235" s="16" t="n">
        <f aca="false">a25_gp/a25_rev</f>
        <v>0.650456184534371</v>
      </c>
      <c r="D235" s="16" t="n">
        <f aca="false">a26_gp/a26_rev</f>
        <v>0.681414199215649</v>
      </c>
      <c r="E235" s="16" t="n">
        <f aca="false">a27_gp/a27_rev</f>
        <v>0.680029538884889</v>
      </c>
      <c r="F235" s="16" t="n">
        <f aca="false">GMLO_28</f>
        <v>0.63</v>
      </c>
      <c r="G235" s="16" t="n">
        <f aca="false">GMLO_29</f>
        <v>0.6</v>
      </c>
      <c r="H235" s="8" t="s">
        <v>521</v>
      </c>
    </row>
    <row r="236" customFormat="false" ht="15" hidden="false" customHeight="false" outlineLevel="0" collapsed="false">
      <c r="A236" s="5" t="s">
        <v>522</v>
      </c>
      <c r="B236" s="0" t="s">
        <v>33</v>
      </c>
      <c r="C236" s="15" t="n">
        <f aca="false">C230*C235</f>
        <v>0.284103</v>
      </c>
      <c r="D236" s="15" t="n">
        <f aca="false">D230*D235</f>
        <v>0.909767</v>
      </c>
      <c r="E236" s="15" t="n">
        <f aca="false">E230*E235</f>
        <v>1.679648888</v>
      </c>
      <c r="F236" s="15" t="n">
        <f aca="false">F230*F235</f>
        <v>2.47552266465841</v>
      </c>
      <c r="G236" s="15" t="n">
        <f aca="false">G230*G235</f>
        <v>2.6435433588397</v>
      </c>
    </row>
    <row r="237" customFormat="false" ht="15" hidden="false" customHeight="false" outlineLevel="0" collapsed="false">
      <c r="A237" s="5" t="s">
        <v>523</v>
      </c>
      <c r="B237" s="0" t="s">
        <v>33</v>
      </c>
      <c r="C237" s="15" t="n">
        <f aca="false">a25_opx</f>
        <v>0.168751</v>
      </c>
      <c r="D237" s="15" t="n">
        <f aca="false">a26_opx</f>
        <v>0.270945</v>
      </c>
      <c r="E237" s="15" t="n">
        <f aca="false">a27_opx</f>
        <v>0.4064175</v>
      </c>
      <c r="F237" s="15" t="n">
        <f aca="false">E237*(1+MAX(0,phi*F231))</f>
        <v>0.547677089535006</v>
      </c>
      <c r="G237" s="15" t="n">
        <f aca="false">F237*(1+MAX(0,phi*G231))</f>
        <v>0.586744654291308</v>
      </c>
    </row>
    <row r="238" customFormat="false" ht="15" hidden="false" customHeight="false" outlineLevel="0" collapsed="false">
      <c r="A238" s="5" t="s">
        <v>524</v>
      </c>
      <c r="B238" s="0" t="s">
        <v>33</v>
      </c>
      <c r="C238" s="15" t="n">
        <f aca="false">C237</f>
        <v>0.168751</v>
      </c>
      <c r="D238" s="15" t="n">
        <f aca="false">D237</f>
        <v>0.270945</v>
      </c>
      <c r="E238" s="15" t="n">
        <f aca="false">E237</f>
        <v>0.4064175</v>
      </c>
      <c r="F238" s="15" t="n">
        <f aca="false">F237+0*F230</f>
        <v>0.547677089535006</v>
      </c>
      <c r="G238" s="15" t="n">
        <f aca="false">G237+0*G230</f>
        <v>0.586744654291308</v>
      </c>
    </row>
    <row r="239" customFormat="false" ht="15" hidden="false" customHeight="false" outlineLevel="0" collapsed="false">
      <c r="A239" s="5" t="s">
        <v>525</v>
      </c>
      <c r="B239" s="0" t="s">
        <v>33</v>
      </c>
      <c r="C239" s="15" t="n">
        <f aca="false">C236-C238</f>
        <v>0.115352</v>
      </c>
      <c r="D239" s="15" t="n">
        <f aca="false">D236-D238</f>
        <v>0.638822</v>
      </c>
      <c r="E239" s="15" t="n">
        <f aca="false">E236-E238</f>
        <v>1.273231388</v>
      </c>
      <c r="F239" s="15" t="n">
        <f aca="false">F236-F238</f>
        <v>1.92784557512341</v>
      </c>
      <c r="G239" s="15" t="n">
        <f aca="false">G236-G238</f>
        <v>2.05679870454839</v>
      </c>
    </row>
    <row r="240" customFormat="false" ht="15" hidden="false" customHeight="false" outlineLevel="0" collapsed="false">
      <c r="A240" s="5" t="s">
        <v>493</v>
      </c>
      <c r="B240" s="0" t="s">
        <v>110</v>
      </c>
      <c r="C240" s="16" t="n">
        <f aca="false">C239/C230</f>
        <v>0.264099364661439</v>
      </c>
      <c r="D240" s="16" t="n">
        <f aca="false">D239/D230</f>
        <v>0.478476776549753</v>
      </c>
      <c r="E240" s="16" t="n">
        <f aca="false">E239/E230</f>
        <v>0.515485682669298</v>
      </c>
      <c r="F240" s="16" t="n">
        <f aca="false">F239/F230</f>
        <v>0.490620720087544</v>
      </c>
      <c r="G240" s="16" t="n">
        <f aca="false">G239/G230</f>
        <v>0.466827683609735</v>
      </c>
    </row>
    <row r="241" customFormat="false" ht="15" hidden="false" customHeight="false" outlineLevel="0" collapsed="false">
      <c r="A241" s="5" t="s">
        <v>429</v>
      </c>
      <c r="B241" s="0" t="s">
        <v>33</v>
      </c>
      <c r="C241" s="15" t="n">
        <f aca="false">a25_ninc</f>
        <v>0.017746</v>
      </c>
      <c r="D241" s="15" t="n">
        <f aca="false">a26_ninc</f>
        <v>0.03043</v>
      </c>
      <c r="E241" s="15" t="n">
        <f aca="false">a27_ninc</f>
        <v>0.02914</v>
      </c>
      <c r="F241" s="15" t="n">
        <f aca="false">oth_f</f>
        <v>0.03</v>
      </c>
      <c r="G241" s="15" t="n">
        <f aca="false">oth_f</f>
        <v>0.03</v>
      </c>
    </row>
    <row r="242" customFormat="false" ht="17.15" hidden="false" customHeight="false" outlineLevel="0" collapsed="false">
      <c r="A242" s="5" t="s">
        <v>434</v>
      </c>
      <c r="B242" s="0" t="s">
        <v>110</v>
      </c>
      <c r="C242" s="16" t="n">
        <f aca="false">a25_tx</f>
        <v>0.0238320635922402</v>
      </c>
      <c r="D242" s="16" t="n">
        <f aca="false">a26_tx</f>
        <v>0.0115188299773478</v>
      </c>
      <c r="E242" s="16" t="n">
        <f aca="false">a27_tx</f>
        <v>0.0141840153969967</v>
      </c>
      <c r="F242" s="16" t="n">
        <f aca="false">tx_28</f>
        <v>0.13</v>
      </c>
      <c r="G242" s="16" t="n">
        <f aca="false">tx_29</f>
        <v>0.14</v>
      </c>
      <c r="H242" s="8" t="s">
        <v>526</v>
      </c>
    </row>
    <row r="243" customFormat="false" ht="15" hidden="false" customHeight="false" outlineLevel="0" collapsed="false">
      <c r="A243" s="5" t="s">
        <v>494</v>
      </c>
      <c r="B243" s="0" t="s">
        <v>33</v>
      </c>
      <c r="C243" s="15" t="n">
        <f aca="false">a25_ni</f>
        <v>0.129926</v>
      </c>
      <c r="D243" s="15" t="n">
        <f aca="false">a26_ni</f>
        <v>0.661543</v>
      </c>
      <c r="E243" s="15" t="n">
        <f aca="false">a27_ni</f>
        <v>1.28389853218</v>
      </c>
      <c r="F243" s="15" t="n">
        <f aca="false">(F239+F241)*(1-F242)</f>
        <v>1.70332565035737</v>
      </c>
      <c r="G243" s="15" t="n">
        <f aca="false">(G239+G241)*(1-G242)</f>
        <v>1.79464688591162</v>
      </c>
    </row>
    <row r="244" customFormat="false" ht="15" hidden="false" customHeight="false" outlineLevel="0" collapsed="false">
      <c r="A244" s="5" t="s">
        <v>436</v>
      </c>
      <c r="B244" s="0" t="s">
        <v>110</v>
      </c>
      <c r="C244" s="16" t="n">
        <f aca="false">C243/C230</f>
        <v>0.297466659034972</v>
      </c>
      <c r="D244" s="16" t="n">
        <f aca="false">D243/D230</f>
        <v>0.495494773487847</v>
      </c>
      <c r="E244" s="16" t="n">
        <f aca="false">E243/E230</f>
        <v>0.519804426419715</v>
      </c>
      <c r="F244" s="16" t="n">
        <f aca="false">F243/F230</f>
        <v>0.43348226014857</v>
      </c>
      <c r="G244" s="16" t="n">
        <f aca="false">G243/G230</f>
        <v>0.407327584753364</v>
      </c>
    </row>
    <row r="245" customFormat="false" ht="15" hidden="false" customHeight="false" outlineLevel="0" collapsed="false">
      <c r="A245" s="5" t="s">
        <v>527</v>
      </c>
      <c r="B245" s="5" t="s">
        <v>173</v>
      </c>
      <c r="C245" s="24" t="n">
        <f aca="false">a25_sh</f>
        <v>0.184644</v>
      </c>
      <c r="D245" s="24" t="n">
        <f aca="false">a26_sh</f>
        <v>0.191256</v>
      </c>
      <c r="E245" s="24" t="n">
        <f aca="false">a27_sh</f>
        <v>0.199</v>
      </c>
      <c r="F245" s="24" t="n">
        <f aca="false">E245*(1+sh_g)</f>
        <v>0.201985</v>
      </c>
      <c r="G245" s="24" t="n">
        <f aca="false">F245*(1+sh_g)</f>
        <v>0.205014775</v>
      </c>
    </row>
    <row r="246" customFormat="false" ht="17.15" hidden="false" customHeight="false" outlineLevel="0" collapsed="false">
      <c r="A246" s="0" t="s">
        <v>439</v>
      </c>
      <c r="B246" s="0" t="s">
        <v>178</v>
      </c>
      <c r="C246" s="9" t="n">
        <f aca="false">C243/C245</f>
        <v>0.703656766534521</v>
      </c>
      <c r="D246" s="9" t="n">
        <f aca="false">D243/D245</f>
        <v>3.45893985025306</v>
      </c>
      <c r="E246" s="9" t="n">
        <f aca="false">E243/E245</f>
        <v>6.45175141798995</v>
      </c>
      <c r="F246" s="9" t="n">
        <f aca="false">F243/F245</f>
        <v>8.43293140756673</v>
      </c>
      <c r="G246" s="9" t="n">
        <f aca="false">G243/G245</f>
        <v>8.75374414313123</v>
      </c>
    </row>
    <row r="247" customFormat="false" ht="17.15" hidden="false" customHeight="false" outlineLevel="0" collapsed="false">
      <c r="A247" s="0" t="s">
        <v>528</v>
      </c>
      <c r="B247" s="0" t="s">
        <v>110</v>
      </c>
      <c r="D247" s="16" t="n">
        <f aca="false">D246/C246-1</f>
        <v>3.91566345235077</v>
      </c>
      <c r="E247" s="16" t="n">
        <f aca="false">E246/D246-1</f>
        <v>0.865239552378433</v>
      </c>
      <c r="F247" s="16" t="n">
        <f aca="false">F246/E246-1</f>
        <v>0.307076305521085</v>
      </c>
      <c r="G247" s="16" t="n">
        <f aca="false">G246/F246-1</f>
        <v>0.0380428489287421</v>
      </c>
    </row>
    <row r="250" customFormat="false" ht="17.15" hidden="false" customHeight="false" outlineLevel="0" collapsed="false">
      <c r="A250" s="3" t="s">
        <v>808</v>
      </c>
    </row>
    <row r="251" customFormat="false" ht="17.15" hidden="false" customHeight="false" outlineLevel="0" collapsed="false">
      <c r="A251" s="6" t="s">
        <v>22</v>
      </c>
      <c r="B251" s="6" t="s">
        <v>23</v>
      </c>
      <c r="C251" s="14" t="s">
        <v>412</v>
      </c>
      <c r="D251" s="14" t="s">
        <v>413</v>
      </c>
      <c r="E251" s="14" t="s">
        <v>459</v>
      </c>
      <c r="F251" s="14" t="s">
        <v>460</v>
      </c>
      <c r="G251" s="14" t="s">
        <v>461</v>
      </c>
      <c r="H251" s="6" t="s">
        <v>418</v>
      </c>
    </row>
    <row r="252" customFormat="false" ht="17.15" hidden="false" customHeight="false" outlineLevel="0" collapsed="false">
      <c r="A252" s="1" t="s">
        <v>503</v>
      </c>
    </row>
    <row r="253" customFormat="false" ht="17.15" hidden="false" customHeight="false" outlineLevel="0" collapsed="false">
      <c r="A253" s="0" t="s">
        <v>504</v>
      </c>
      <c r="B253" s="0" t="s">
        <v>33</v>
      </c>
      <c r="E253" s="19" t="n">
        <f aca="false">(w8*mcu_26*1+(1-w8)*mcu_27*1)</f>
        <v>34.3390133333333</v>
      </c>
      <c r="F253" s="19" t="n">
        <f aca="false">(w8*mcu_27*1+(1-w8)*mcu_28*um28_A)</f>
        <v>53.8666133333333</v>
      </c>
      <c r="G253" s="19" t="n">
        <f aca="false">(w8*mcu_28*um28_A+(1-w8)*mcu_29*um29_A)</f>
        <v>59.9622446666667</v>
      </c>
      <c r="H253" s="8" t="s">
        <v>505</v>
      </c>
    </row>
    <row r="254" customFormat="false" ht="17.15" hidden="false" customHeight="false" outlineLevel="0" collapsed="false">
      <c r="A254" s="0" t="s">
        <v>506</v>
      </c>
      <c r="B254" s="0" t="s">
        <v>110</v>
      </c>
      <c r="E254" s="20" t="n">
        <f aca="false">a27_aec/E253</f>
        <v>0.0513261037785594</v>
      </c>
      <c r="H254" s="8" t="s">
        <v>507</v>
      </c>
    </row>
    <row r="255" customFormat="false" ht="17.15" hidden="false" customHeight="false" outlineLevel="0" collapsed="false">
      <c r="A255" s="0" t="s">
        <v>508</v>
      </c>
      <c r="B255" s="0" t="s">
        <v>76</v>
      </c>
      <c r="E255" s="9" t="n">
        <f aca="false">1</f>
        <v>1</v>
      </c>
      <c r="F255" s="9" t="n">
        <f aca="false">rel_a_28</f>
        <v>1</v>
      </c>
      <c r="G255" s="9" t="n">
        <f aca="false">rel_a_29</f>
        <v>0.95</v>
      </c>
    </row>
    <row r="256" customFormat="false" ht="17.15" hidden="false" customHeight="false" outlineLevel="0" collapsed="false">
      <c r="A256" s="0" t="s">
        <v>509</v>
      </c>
      <c r="B256" s="0" t="s">
        <v>110</v>
      </c>
      <c r="E256" s="20" t="n">
        <f aca="false">$E$254*E255</f>
        <v>0.0513261037785594</v>
      </c>
      <c r="F256" s="20" t="n">
        <f aca="false">$E$254*F255</f>
        <v>0.0513261037785594</v>
      </c>
      <c r="G256" s="20" t="n">
        <f aca="false">$E$254*G255</f>
        <v>0.0487597985896314</v>
      </c>
    </row>
    <row r="257" customFormat="false" ht="17.15" hidden="false" customHeight="false" outlineLevel="0" collapsed="false">
      <c r="A257" s="0" t="s">
        <v>510</v>
      </c>
      <c r="B257" s="0" t="s">
        <v>33</v>
      </c>
      <c r="D257" s="15" t="n">
        <f aca="false">a26_aec</f>
        <v>1.09165788</v>
      </c>
      <c r="E257" s="15" t="n">
        <f aca="false">a27_aec</f>
        <v>1.762487762</v>
      </c>
      <c r="F257" s="15" t="n">
        <f aca="false">F253*F256</f>
        <v>2.7647633861462</v>
      </c>
      <c r="G257" s="15" t="n">
        <f aca="false">G253*G256</f>
        <v>2.92374697292887</v>
      </c>
    </row>
    <row r="258" customFormat="false" ht="17.15" hidden="false" customHeight="false" outlineLevel="0" collapsed="false">
      <c r="A258" s="1" t="s">
        <v>511</v>
      </c>
    </row>
    <row r="259" customFormat="false" ht="17.15" hidden="false" customHeight="false" outlineLevel="0" collapsed="false">
      <c r="A259" s="0" t="s">
        <v>512</v>
      </c>
      <c r="B259" s="0" t="s">
        <v>33</v>
      </c>
      <c r="E259" s="19" t="n">
        <f aca="false">(w8*mpl_26*1+(1-w8)*mpl_27*1)</f>
        <v>37.6890796666667</v>
      </c>
      <c r="F259" s="19" t="n">
        <f aca="false">(w8*mpl_27*1+(1-w8)*mpl_28*um28_A)</f>
        <v>55.0376433333333</v>
      </c>
      <c r="G259" s="19" t="n">
        <f aca="false">(w8*mpl_28*um28_A+(1-w8)*mpl_29*um29_A)</f>
        <v>62.9726</v>
      </c>
    </row>
    <row r="260" customFormat="false" ht="17.15" hidden="false" customHeight="false" outlineLevel="0" collapsed="false">
      <c r="A260" s="0" t="s">
        <v>513</v>
      </c>
      <c r="B260" s="0" t="s">
        <v>110</v>
      </c>
      <c r="E260" s="20" t="n">
        <f aca="false">a27_opt/(w8*mplB_26*1+(1-w8)*mplB_27*1)</f>
        <v>0.0157625345447985</v>
      </c>
    </row>
    <row r="261" customFormat="false" ht="17.15" hidden="false" customHeight="false" outlineLevel="0" collapsed="false">
      <c r="A261" s="5" t="s">
        <v>514</v>
      </c>
      <c r="B261" s="0" t="s">
        <v>76</v>
      </c>
      <c r="E261" s="9" t="n">
        <f aca="false">1</f>
        <v>1</v>
      </c>
      <c r="F261" s="9" t="n">
        <f aca="false">rel_o_28</f>
        <v>1.2</v>
      </c>
      <c r="G261" s="9" t="n">
        <f aca="false">rel_o_29</f>
        <v>1.35</v>
      </c>
    </row>
    <row r="262" customFormat="false" ht="15" hidden="false" customHeight="false" outlineLevel="0" collapsed="false">
      <c r="A262" s="5" t="s">
        <v>515</v>
      </c>
      <c r="B262" s="0" t="s">
        <v>33</v>
      </c>
      <c r="D262" s="15" t="n">
        <f aca="false">a26_opt</f>
        <v>0.15</v>
      </c>
      <c r="E262" s="15" t="n">
        <f aca="false">a27_opt</f>
        <v>0.6</v>
      </c>
      <c r="F262" s="15" t="n">
        <f aca="false">F259*$E$260*F261</f>
        <v>1.04103930516716</v>
      </c>
      <c r="G262" s="15" t="n">
        <f aca="false">G259*$E$260*G261</f>
        <v>1.3400205068823</v>
      </c>
    </row>
    <row r="263" customFormat="false" ht="17.15" hidden="false" customHeight="false" outlineLevel="0" collapsed="false">
      <c r="A263" s="1" t="s">
        <v>516</v>
      </c>
    </row>
    <row r="264" customFormat="false" ht="17.15" hidden="false" customHeight="false" outlineLevel="0" collapsed="false">
      <c r="A264" s="5" t="s">
        <v>517</v>
      </c>
      <c r="B264" s="0" t="s">
        <v>33</v>
      </c>
      <c r="D264" s="15" t="n">
        <f aca="false">a26_ic</f>
        <v>0.09345812</v>
      </c>
      <c r="E264" s="15" t="n">
        <f aca="false">a27_ic</f>
        <v>0.107476838</v>
      </c>
      <c r="F264" s="15" t="n">
        <f aca="false">E264*(1+g_oth)</f>
        <v>0.1235983637</v>
      </c>
      <c r="G264" s="15" t="n">
        <f aca="false">F264*(1+g_oth)</f>
        <v>0.142138118255</v>
      </c>
    </row>
    <row r="265" customFormat="false" ht="15" hidden="false" customHeight="false" outlineLevel="0" collapsed="false">
      <c r="A265" s="5" t="s">
        <v>419</v>
      </c>
      <c r="B265" s="0" t="s">
        <v>33</v>
      </c>
      <c r="C265" s="15" t="n">
        <f aca="false">a25_rev</f>
        <v>0.436775</v>
      </c>
      <c r="D265" s="15" t="n">
        <f aca="false">a26_rev</f>
        <v>1.335116</v>
      </c>
      <c r="E265" s="15" t="n">
        <f aca="false">E257+E262+E264</f>
        <v>2.4699646</v>
      </c>
      <c r="F265" s="15" t="n">
        <f aca="false">F257+F262+F264</f>
        <v>3.92940105501336</v>
      </c>
      <c r="G265" s="15" t="n">
        <f aca="false">G257+G262+G264</f>
        <v>4.40590559806617</v>
      </c>
    </row>
    <row r="266" customFormat="false" ht="15" hidden="false" customHeight="false" outlineLevel="0" collapsed="false">
      <c r="A266" s="5" t="s">
        <v>518</v>
      </c>
      <c r="B266" s="0" t="s">
        <v>110</v>
      </c>
      <c r="D266" s="16" t="n">
        <f aca="false">D265/C265-1</f>
        <v>2.05675920096159</v>
      </c>
      <c r="E266" s="16" t="n">
        <f aca="false">E265/D265-1</f>
        <v>0.85</v>
      </c>
      <c r="F266" s="16" t="n">
        <f aca="false">F265/E265-1</f>
        <v>0.590873429932298</v>
      </c>
      <c r="G266" s="16" t="n">
        <f aca="false">G265/F265-1</f>
        <v>0.121266456740235</v>
      </c>
    </row>
    <row r="267" customFormat="false" ht="17.15" hidden="false" customHeight="false" outlineLevel="0" collapsed="false">
      <c r="A267" s="0" t="s">
        <v>445</v>
      </c>
      <c r="B267" s="0" t="s">
        <v>110</v>
      </c>
      <c r="D267" s="16" t="n">
        <f aca="false">D257/D265</f>
        <v>0.817650211667001</v>
      </c>
      <c r="E267" s="16" t="n">
        <f aca="false">E257/E265</f>
        <v>0.713568025225949</v>
      </c>
      <c r="F267" s="16" t="n">
        <f aca="false">F257/F265</f>
        <v>0.703609366271929</v>
      </c>
      <c r="G267" s="16" t="n">
        <f aca="false">G257/G265</f>
        <v>0.663597280480124</v>
      </c>
    </row>
    <row r="268" customFormat="false" ht="17.15" hidden="false" customHeight="false" outlineLevel="0" collapsed="false">
      <c r="A268" s="5" t="s">
        <v>519</v>
      </c>
      <c r="B268" s="0" t="s">
        <v>110</v>
      </c>
      <c r="D268" s="16" t="n">
        <f aca="false">D262/D265</f>
        <v>0.112349788332999</v>
      </c>
      <c r="E268" s="16" t="n">
        <f aca="false">E262/E265</f>
        <v>0.242918461260538</v>
      </c>
      <c r="F268" s="16" t="n">
        <f aca="false">F262/F265</f>
        <v>0.264935874600772</v>
      </c>
      <c r="G268" s="16" t="n">
        <f aca="false">G262/G265</f>
        <v>0.304141901603716</v>
      </c>
    </row>
    <row r="269" customFormat="false" ht="17.15" hidden="false" customHeight="false" outlineLevel="0" collapsed="false">
      <c r="A269" s="1" t="s">
        <v>520</v>
      </c>
    </row>
    <row r="270" customFormat="false" ht="17.15" hidden="false" customHeight="false" outlineLevel="0" collapsed="false">
      <c r="A270" s="5" t="s">
        <v>424</v>
      </c>
      <c r="B270" s="0" t="s">
        <v>110</v>
      </c>
      <c r="C270" s="16" t="n">
        <f aca="false">a25_gp/a25_rev</f>
        <v>0.650456184534371</v>
      </c>
      <c r="D270" s="16" t="n">
        <f aca="false">a26_gp/a26_rev</f>
        <v>0.681414199215649</v>
      </c>
      <c r="E270" s="16" t="n">
        <f aca="false">a27_gp/a27_rev</f>
        <v>0.680029538884889</v>
      </c>
      <c r="F270" s="16" t="n">
        <f aca="false">GMHI_28</f>
        <v>0.69</v>
      </c>
      <c r="G270" s="16" t="n">
        <f aca="false">GMHI_29</f>
        <v>0.69</v>
      </c>
      <c r="H270" s="8" t="s">
        <v>521</v>
      </c>
    </row>
    <row r="271" customFormat="false" ht="15" hidden="false" customHeight="false" outlineLevel="0" collapsed="false">
      <c r="A271" s="5" t="s">
        <v>522</v>
      </c>
      <c r="B271" s="0" t="s">
        <v>33</v>
      </c>
      <c r="C271" s="15" t="n">
        <f aca="false">C265*C270</f>
        <v>0.284103</v>
      </c>
      <c r="D271" s="15" t="n">
        <f aca="false">D265*D270</f>
        <v>0.909767</v>
      </c>
      <c r="E271" s="15" t="n">
        <f aca="false">E265*E270</f>
        <v>1.679648888</v>
      </c>
      <c r="F271" s="15" t="n">
        <f aca="false">F265*F270</f>
        <v>2.71128672795922</v>
      </c>
      <c r="G271" s="15" t="n">
        <f aca="false">G265*G270</f>
        <v>3.04007486266566</v>
      </c>
    </row>
    <row r="272" customFormat="false" ht="15" hidden="false" customHeight="false" outlineLevel="0" collapsed="false">
      <c r="A272" s="5" t="s">
        <v>523</v>
      </c>
      <c r="B272" s="0" t="s">
        <v>33</v>
      </c>
      <c r="C272" s="15" t="n">
        <f aca="false">a25_opx</f>
        <v>0.168751</v>
      </c>
      <c r="D272" s="15" t="n">
        <f aca="false">a26_opx</f>
        <v>0.270945</v>
      </c>
      <c r="E272" s="15" t="n">
        <f aca="false">a27_opx</f>
        <v>0.4064175</v>
      </c>
      <c r="F272" s="15" t="n">
        <f aca="false">E272*(1+MAX(0,phi*F266))</f>
        <v>0.547677089535006</v>
      </c>
      <c r="G272" s="15" t="n">
        <f aca="false">F272*(1+MAX(0,phi*G266))</f>
        <v>0.586744654291308</v>
      </c>
    </row>
    <row r="273" customFormat="false" ht="15" hidden="false" customHeight="false" outlineLevel="0" collapsed="false">
      <c r="A273" s="5" t="s">
        <v>524</v>
      </c>
      <c r="B273" s="0" t="s">
        <v>33</v>
      </c>
      <c r="C273" s="15" t="n">
        <f aca="false">C272</f>
        <v>0.168751</v>
      </c>
      <c r="D273" s="15" t="n">
        <f aca="false">D272</f>
        <v>0.270945</v>
      </c>
      <c r="E273" s="15" t="n">
        <f aca="false">E272</f>
        <v>0.4064175</v>
      </c>
      <c r="F273" s="15" t="n">
        <f aca="false">F272+0*F265</f>
        <v>0.547677089535006</v>
      </c>
      <c r="G273" s="15" t="n">
        <f aca="false">G272+0*G265</f>
        <v>0.586744654291308</v>
      </c>
    </row>
    <row r="274" customFormat="false" ht="15" hidden="false" customHeight="false" outlineLevel="0" collapsed="false">
      <c r="A274" s="5" t="s">
        <v>525</v>
      </c>
      <c r="B274" s="0" t="s">
        <v>33</v>
      </c>
      <c r="C274" s="15" t="n">
        <f aca="false">C271-C273</f>
        <v>0.115352</v>
      </c>
      <c r="D274" s="15" t="n">
        <f aca="false">D271-D273</f>
        <v>0.638822</v>
      </c>
      <c r="E274" s="15" t="n">
        <f aca="false">E271-E273</f>
        <v>1.273231388</v>
      </c>
      <c r="F274" s="15" t="n">
        <f aca="false">F271-F273</f>
        <v>2.16360963842421</v>
      </c>
      <c r="G274" s="15" t="n">
        <f aca="false">G271-G273</f>
        <v>2.45333020837435</v>
      </c>
    </row>
    <row r="275" customFormat="false" ht="15" hidden="false" customHeight="false" outlineLevel="0" collapsed="false">
      <c r="A275" s="5" t="s">
        <v>493</v>
      </c>
      <c r="B275" s="0" t="s">
        <v>110</v>
      </c>
      <c r="C275" s="16" t="n">
        <f aca="false">C274/C265</f>
        <v>0.264099364661439</v>
      </c>
      <c r="D275" s="16" t="n">
        <f aca="false">D274/D265</f>
        <v>0.478476776549753</v>
      </c>
      <c r="E275" s="16" t="n">
        <f aca="false">E274/E265</f>
        <v>0.515485682669298</v>
      </c>
      <c r="F275" s="16" t="n">
        <f aca="false">F274/F265</f>
        <v>0.550620720087544</v>
      </c>
      <c r="G275" s="16" t="n">
        <f aca="false">G274/G265</f>
        <v>0.556827683609735</v>
      </c>
    </row>
    <row r="276" customFormat="false" ht="15" hidden="false" customHeight="false" outlineLevel="0" collapsed="false">
      <c r="A276" s="5" t="s">
        <v>429</v>
      </c>
      <c r="B276" s="0" t="s">
        <v>33</v>
      </c>
      <c r="C276" s="15" t="n">
        <f aca="false">a25_ninc</f>
        <v>0.017746</v>
      </c>
      <c r="D276" s="15" t="n">
        <f aca="false">a26_ninc</f>
        <v>0.03043</v>
      </c>
      <c r="E276" s="15" t="n">
        <f aca="false">a27_ninc</f>
        <v>0.02914</v>
      </c>
      <c r="F276" s="15" t="n">
        <f aca="false">oth_f</f>
        <v>0.03</v>
      </c>
      <c r="G276" s="15" t="n">
        <f aca="false">oth_f</f>
        <v>0.03</v>
      </c>
    </row>
    <row r="277" customFormat="false" ht="17.15" hidden="false" customHeight="false" outlineLevel="0" collapsed="false">
      <c r="A277" s="5" t="s">
        <v>434</v>
      </c>
      <c r="B277" s="0" t="s">
        <v>110</v>
      </c>
      <c r="C277" s="16" t="n">
        <f aca="false">a25_tx</f>
        <v>0.0238320635922402</v>
      </c>
      <c r="D277" s="16" t="n">
        <f aca="false">a26_tx</f>
        <v>0.0115188299773478</v>
      </c>
      <c r="E277" s="16" t="n">
        <f aca="false">a27_tx</f>
        <v>0.0141840153969967</v>
      </c>
      <c r="F277" s="16" t="n">
        <f aca="false">tx_28</f>
        <v>0.13</v>
      </c>
      <c r="G277" s="16" t="n">
        <f aca="false">tx_29</f>
        <v>0.14</v>
      </c>
      <c r="H277" s="8" t="s">
        <v>526</v>
      </c>
    </row>
    <row r="278" customFormat="false" ht="15" hidden="false" customHeight="false" outlineLevel="0" collapsed="false">
      <c r="A278" s="5" t="s">
        <v>494</v>
      </c>
      <c r="B278" s="0" t="s">
        <v>33</v>
      </c>
      <c r="C278" s="15" t="n">
        <f aca="false">a25_ni</f>
        <v>0.129926</v>
      </c>
      <c r="D278" s="15" t="n">
        <f aca="false">a26_ni</f>
        <v>0.661543</v>
      </c>
      <c r="E278" s="15" t="n">
        <f aca="false">a27_ni</f>
        <v>1.28389853218</v>
      </c>
      <c r="F278" s="15" t="n">
        <f aca="false">(F274+F276)*(1-F277)</f>
        <v>1.90844038542906</v>
      </c>
      <c r="G278" s="15" t="n">
        <f aca="false">(G274+G276)*(1-G277)</f>
        <v>2.13566397920194</v>
      </c>
    </row>
    <row r="279" customFormat="false" ht="15" hidden="false" customHeight="false" outlineLevel="0" collapsed="false">
      <c r="A279" s="5" t="s">
        <v>436</v>
      </c>
      <c r="B279" s="0" t="s">
        <v>110</v>
      </c>
      <c r="C279" s="16" t="n">
        <f aca="false">C278/C265</f>
        <v>0.297466659034972</v>
      </c>
      <c r="D279" s="16" t="n">
        <f aca="false">D278/D265</f>
        <v>0.495494773487847</v>
      </c>
      <c r="E279" s="16" t="n">
        <f aca="false">E278/E265</f>
        <v>0.519804426419715</v>
      </c>
      <c r="F279" s="16" t="n">
        <f aca="false">F278/F265</f>
        <v>0.48568226014857</v>
      </c>
      <c r="G279" s="16" t="n">
        <f aca="false">G278/G265</f>
        <v>0.484727584753364</v>
      </c>
    </row>
    <row r="280" customFormat="false" ht="15" hidden="false" customHeight="false" outlineLevel="0" collapsed="false">
      <c r="A280" s="5" t="s">
        <v>527</v>
      </c>
      <c r="B280" s="5" t="s">
        <v>173</v>
      </c>
      <c r="C280" s="24" t="n">
        <f aca="false">a25_sh</f>
        <v>0.184644</v>
      </c>
      <c r="D280" s="24" t="n">
        <f aca="false">a26_sh</f>
        <v>0.191256</v>
      </c>
      <c r="E280" s="24" t="n">
        <f aca="false">a27_sh</f>
        <v>0.199</v>
      </c>
      <c r="F280" s="24" t="n">
        <f aca="false">E280*(1+sh_g)</f>
        <v>0.201985</v>
      </c>
      <c r="G280" s="24" t="n">
        <f aca="false">F280*(1+sh_g)</f>
        <v>0.205014775</v>
      </c>
    </row>
    <row r="281" customFormat="false" ht="17.15" hidden="false" customHeight="false" outlineLevel="0" collapsed="false">
      <c r="A281" s="0" t="s">
        <v>439</v>
      </c>
      <c r="B281" s="0" t="s">
        <v>178</v>
      </c>
      <c r="C281" s="9" t="n">
        <f aca="false">C278/C280</f>
        <v>0.703656766534521</v>
      </c>
      <c r="D281" s="9" t="n">
        <f aca="false">D278/D280</f>
        <v>3.45893985025306</v>
      </c>
      <c r="E281" s="9" t="n">
        <f aca="false">E278/E280</f>
        <v>6.45175141798995</v>
      </c>
      <c r="F281" s="9" t="n">
        <f aca="false">F278/F280</f>
        <v>9.44842629615597</v>
      </c>
      <c r="G281" s="9" t="n">
        <f aca="false">G278/G280</f>
        <v>10.4171222742455</v>
      </c>
    </row>
    <row r="282" customFormat="false" ht="17.15" hidden="false" customHeight="false" outlineLevel="0" collapsed="false">
      <c r="A282" s="0" t="s">
        <v>528</v>
      </c>
      <c r="B282" s="0" t="s">
        <v>110</v>
      </c>
      <c r="D282" s="16" t="n">
        <f aca="false">D281/C281-1</f>
        <v>3.91566345235077</v>
      </c>
      <c r="E282" s="16" t="n">
        <f aca="false">E281/D281-1</f>
        <v>0.865239552378433</v>
      </c>
      <c r="F282" s="16" t="n">
        <f aca="false">F281/E281-1</f>
        <v>0.464474633943605</v>
      </c>
      <c r="G282" s="16" t="n">
        <f aca="false">G281/F281-1</f>
        <v>0.102524584277457</v>
      </c>
    </row>
    <row r="285" customFormat="false" ht="17.15" hidden="false" customHeight="false" outlineLevel="0" collapsed="false">
      <c r="A285" s="3" t="s">
        <v>809</v>
      </c>
    </row>
    <row r="286" customFormat="false" ht="17.15" hidden="false" customHeight="false" outlineLevel="0" collapsed="false">
      <c r="A286" s="6" t="s">
        <v>22</v>
      </c>
      <c r="B286" s="6" t="s">
        <v>23</v>
      </c>
      <c r="C286" s="14" t="s">
        <v>412</v>
      </c>
      <c r="D286" s="14" t="s">
        <v>413</v>
      </c>
      <c r="E286" s="14" t="s">
        <v>459</v>
      </c>
      <c r="F286" s="14" t="s">
        <v>460</v>
      </c>
      <c r="G286" s="14" t="s">
        <v>461</v>
      </c>
      <c r="H286" s="6" t="s">
        <v>418</v>
      </c>
    </row>
    <row r="287" customFormat="false" ht="17.15" hidden="false" customHeight="false" outlineLevel="0" collapsed="false">
      <c r="A287" s="1" t="s">
        <v>503</v>
      </c>
    </row>
    <row r="288" customFormat="false" ht="17.15" hidden="false" customHeight="false" outlineLevel="0" collapsed="false">
      <c r="A288" s="0" t="s">
        <v>504</v>
      </c>
      <c r="B288" s="0" t="s">
        <v>33</v>
      </c>
      <c r="E288" s="19" t="n">
        <f aca="false">(w8*mcu_26*1+(1-w8)*mcu_27*1)</f>
        <v>34.3390133333333</v>
      </c>
      <c r="F288" s="19" t="n">
        <f aca="false">(w8*mcu_27*1+(1-w8)*mcu_28*um28_A)</f>
        <v>53.8666133333333</v>
      </c>
      <c r="G288" s="19" t="n">
        <f aca="false">(w8*mcu_28*um28_A+(1-w8)*mcu_29*um29_A)</f>
        <v>59.9622446666667</v>
      </c>
      <c r="H288" s="8" t="s">
        <v>505</v>
      </c>
    </row>
    <row r="289" customFormat="false" ht="17.15" hidden="false" customHeight="false" outlineLevel="0" collapsed="false">
      <c r="A289" s="0" t="s">
        <v>506</v>
      </c>
      <c r="B289" s="0" t="s">
        <v>110</v>
      </c>
      <c r="E289" s="20" t="n">
        <f aca="false">a27_aec/E288</f>
        <v>0.0513261037785594</v>
      </c>
      <c r="H289" s="8" t="s">
        <v>507</v>
      </c>
    </row>
    <row r="290" customFormat="false" ht="17.15" hidden="false" customHeight="false" outlineLevel="0" collapsed="false">
      <c r="A290" s="0" t="s">
        <v>508</v>
      </c>
      <c r="B290" s="0" t="s">
        <v>76</v>
      </c>
      <c r="E290" s="9" t="n">
        <f aca="false">1</f>
        <v>1</v>
      </c>
      <c r="F290" s="9" t="n">
        <f aca="false">rel_a_28</f>
        <v>1</v>
      </c>
      <c r="G290" s="9" t="n">
        <f aca="false">rel_a_29</f>
        <v>0.95</v>
      </c>
    </row>
    <row r="291" customFormat="false" ht="17.15" hidden="false" customHeight="false" outlineLevel="0" collapsed="false">
      <c r="A291" s="0" t="s">
        <v>509</v>
      </c>
      <c r="B291" s="0" t="s">
        <v>110</v>
      </c>
      <c r="E291" s="20" t="n">
        <f aca="false">$E$289*E290</f>
        <v>0.0513261037785594</v>
      </c>
      <c r="F291" s="20" t="n">
        <f aca="false">$E$289*F290</f>
        <v>0.0513261037785594</v>
      </c>
      <c r="G291" s="20" t="n">
        <f aca="false">$E$289*G290</f>
        <v>0.0487597985896314</v>
      </c>
    </row>
    <row r="292" customFormat="false" ht="17.15" hidden="false" customHeight="false" outlineLevel="0" collapsed="false">
      <c r="A292" s="0" t="s">
        <v>510</v>
      </c>
      <c r="B292" s="0" t="s">
        <v>33</v>
      </c>
      <c r="D292" s="15" t="n">
        <f aca="false">a26_aec</f>
        <v>1.09165788</v>
      </c>
      <c r="E292" s="15" t="n">
        <f aca="false">a27_aec</f>
        <v>1.762487762</v>
      </c>
      <c r="F292" s="15" t="n">
        <f aca="false">F288*F291</f>
        <v>2.7647633861462</v>
      </c>
      <c r="G292" s="15" t="n">
        <f aca="false">G288*G291</f>
        <v>2.92374697292887</v>
      </c>
    </row>
    <row r="293" customFormat="false" ht="17.15" hidden="false" customHeight="false" outlineLevel="0" collapsed="false">
      <c r="A293" s="1" t="s">
        <v>511</v>
      </c>
    </row>
    <row r="294" customFormat="false" ht="17.15" hidden="false" customHeight="false" outlineLevel="0" collapsed="false">
      <c r="A294" s="0" t="s">
        <v>512</v>
      </c>
      <c r="B294" s="0" t="s">
        <v>33</v>
      </c>
      <c r="E294" s="19" t="n">
        <f aca="false">(w8*mpl_26*1+(1-w8)*mpl_27*1)</f>
        <v>37.6890796666667</v>
      </c>
      <c r="F294" s="19" t="n">
        <f aca="false">(w8*mpl_27*1+(1-w8)*mpl_28*um28_A)</f>
        <v>55.0376433333333</v>
      </c>
      <c r="G294" s="19" t="n">
        <f aca="false">(w8*mpl_28*um28_A+(1-w8)*mpl_29*um29_A)</f>
        <v>62.9726</v>
      </c>
    </row>
    <row r="295" customFormat="false" ht="17.15" hidden="false" customHeight="false" outlineLevel="0" collapsed="false">
      <c r="A295" s="0" t="s">
        <v>513</v>
      </c>
      <c r="B295" s="0" t="s">
        <v>110</v>
      </c>
      <c r="E295" s="20" t="n">
        <f aca="false">a27_opt/(w8*mplB_26*1+(1-w8)*mplB_27*1)</f>
        <v>0.0157625345447985</v>
      </c>
    </row>
    <row r="296" customFormat="false" ht="17.15" hidden="false" customHeight="false" outlineLevel="0" collapsed="false">
      <c r="A296" s="5" t="s">
        <v>514</v>
      </c>
      <c r="B296" s="0" t="s">
        <v>76</v>
      </c>
      <c r="E296" s="9" t="n">
        <f aca="false">1</f>
        <v>1</v>
      </c>
      <c r="F296" s="9" t="n">
        <f aca="false">rel_o_28</f>
        <v>1.2</v>
      </c>
      <c r="G296" s="9" t="n">
        <f aca="false">rel_o_29</f>
        <v>1.35</v>
      </c>
    </row>
    <row r="297" customFormat="false" ht="15" hidden="false" customHeight="false" outlineLevel="0" collapsed="false">
      <c r="A297" s="5" t="s">
        <v>515</v>
      </c>
      <c r="B297" s="0" t="s">
        <v>33</v>
      </c>
      <c r="D297" s="15" t="n">
        <f aca="false">a26_opt</f>
        <v>0.15</v>
      </c>
      <c r="E297" s="15" t="n">
        <f aca="false">a27_opt</f>
        <v>0.6</v>
      </c>
      <c r="F297" s="15" t="n">
        <f aca="false">F294*$E$295*F296</f>
        <v>1.04103930516716</v>
      </c>
      <c r="G297" s="15" t="n">
        <f aca="false">G294*$E$295*G296</f>
        <v>1.3400205068823</v>
      </c>
    </row>
    <row r="298" customFormat="false" ht="17.15" hidden="false" customHeight="false" outlineLevel="0" collapsed="false">
      <c r="A298" s="1" t="s">
        <v>516</v>
      </c>
    </row>
    <row r="299" customFormat="false" ht="17.15" hidden="false" customHeight="false" outlineLevel="0" collapsed="false">
      <c r="A299" s="5" t="s">
        <v>517</v>
      </c>
      <c r="B299" s="0" t="s">
        <v>33</v>
      </c>
      <c r="D299" s="15" t="n">
        <f aca="false">a26_ic</f>
        <v>0.09345812</v>
      </c>
      <c r="E299" s="15" t="n">
        <f aca="false">a27_ic</f>
        <v>0.107476838</v>
      </c>
      <c r="F299" s="15" t="n">
        <f aca="false">E299*(1+g_oth)</f>
        <v>0.1235983637</v>
      </c>
      <c r="G299" s="15" t="n">
        <f aca="false">F299*(1+g_oth)</f>
        <v>0.142138118255</v>
      </c>
    </row>
    <row r="300" customFormat="false" ht="15" hidden="false" customHeight="false" outlineLevel="0" collapsed="false">
      <c r="A300" s="5" t="s">
        <v>419</v>
      </c>
      <c r="B300" s="0" t="s">
        <v>33</v>
      </c>
      <c r="C300" s="15" t="n">
        <f aca="false">a25_rev</f>
        <v>0.436775</v>
      </c>
      <c r="D300" s="15" t="n">
        <f aca="false">a26_rev</f>
        <v>1.335116</v>
      </c>
      <c r="E300" s="15" t="n">
        <f aca="false">E292+E297+E299</f>
        <v>2.4699646</v>
      </c>
      <c r="F300" s="15" t="n">
        <f aca="false">F292+F297+F299</f>
        <v>3.92940105501336</v>
      </c>
      <c r="G300" s="15" t="n">
        <f aca="false">G292+G297+G299</f>
        <v>4.40590559806617</v>
      </c>
    </row>
    <row r="301" customFormat="false" ht="15" hidden="false" customHeight="false" outlineLevel="0" collapsed="false">
      <c r="A301" s="5" t="s">
        <v>518</v>
      </c>
      <c r="B301" s="0" t="s">
        <v>110</v>
      </c>
      <c r="D301" s="16" t="n">
        <f aca="false">D300/C300-1</f>
        <v>2.05675920096159</v>
      </c>
      <c r="E301" s="16" t="n">
        <f aca="false">E300/D300-1</f>
        <v>0.85</v>
      </c>
      <c r="F301" s="16" t="n">
        <f aca="false">F300/E300-1</f>
        <v>0.590873429932298</v>
      </c>
      <c r="G301" s="16" t="n">
        <f aca="false">G300/F300-1</f>
        <v>0.121266456740235</v>
      </c>
    </row>
    <row r="302" customFormat="false" ht="17.15" hidden="false" customHeight="false" outlineLevel="0" collapsed="false">
      <c r="A302" s="0" t="s">
        <v>445</v>
      </c>
      <c r="B302" s="0" t="s">
        <v>110</v>
      </c>
      <c r="D302" s="16" t="n">
        <f aca="false">D292/D300</f>
        <v>0.817650211667001</v>
      </c>
      <c r="E302" s="16" t="n">
        <f aca="false">E292/E300</f>
        <v>0.713568025225949</v>
      </c>
      <c r="F302" s="16" t="n">
        <f aca="false">F292/F300</f>
        <v>0.703609366271929</v>
      </c>
      <c r="G302" s="16" t="n">
        <f aca="false">G292/G300</f>
        <v>0.663597280480124</v>
      </c>
    </row>
    <row r="303" customFormat="false" ht="17.15" hidden="false" customHeight="false" outlineLevel="0" collapsed="false">
      <c r="A303" s="5" t="s">
        <v>519</v>
      </c>
      <c r="B303" s="0" t="s">
        <v>110</v>
      </c>
      <c r="D303" s="16" t="n">
        <f aca="false">D297/D300</f>
        <v>0.112349788332999</v>
      </c>
      <c r="E303" s="16" t="n">
        <f aca="false">E297/E300</f>
        <v>0.242918461260538</v>
      </c>
      <c r="F303" s="16" t="n">
        <f aca="false">F297/F300</f>
        <v>0.264935874600772</v>
      </c>
      <c r="G303" s="16" t="n">
        <f aca="false">G297/G300</f>
        <v>0.304141901603716</v>
      </c>
    </row>
    <row r="304" customFormat="false" ht="17.15" hidden="false" customHeight="false" outlineLevel="0" collapsed="false">
      <c r="A304" s="1" t="s">
        <v>520</v>
      </c>
    </row>
    <row r="305" customFormat="false" ht="17.15" hidden="false" customHeight="false" outlineLevel="0" collapsed="false">
      <c r="A305" s="5" t="s">
        <v>424</v>
      </c>
      <c r="B305" s="0" t="s">
        <v>110</v>
      </c>
      <c r="C305" s="16" t="n">
        <f aca="false">a25_gp/a25_rev</f>
        <v>0.650456184534371</v>
      </c>
      <c r="D305" s="16" t="n">
        <f aca="false">a26_gp/a26_rev</f>
        <v>0.681414199215649</v>
      </c>
      <c r="E305" s="16" t="n">
        <f aca="false">a27_gp/a27_rev</f>
        <v>0.680029538884889</v>
      </c>
      <c r="F305" s="16" t="n">
        <f aca="false">gm_28</f>
        <v>0.67</v>
      </c>
      <c r="G305" s="16" t="n">
        <f aca="false">gm_29</f>
        <v>0.66</v>
      </c>
      <c r="H305" s="8" t="s">
        <v>521</v>
      </c>
    </row>
    <row r="306" customFormat="false" ht="15" hidden="false" customHeight="false" outlineLevel="0" collapsed="false">
      <c r="A306" s="5" t="s">
        <v>522</v>
      </c>
      <c r="B306" s="0" t="s">
        <v>33</v>
      </c>
      <c r="C306" s="15" t="n">
        <f aca="false">C300*C305</f>
        <v>0.284103</v>
      </c>
      <c r="D306" s="15" t="n">
        <f aca="false">D300*D305</f>
        <v>0.909767</v>
      </c>
      <c r="E306" s="15" t="n">
        <f aca="false">E300*E305</f>
        <v>1.679648888</v>
      </c>
      <c r="F306" s="15" t="n">
        <f aca="false">F300*F305</f>
        <v>2.63269870685895</v>
      </c>
      <c r="G306" s="15" t="n">
        <f aca="false">G300*G305</f>
        <v>2.90789769472367</v>
      </c>
    </row>
    <row r="307" customFormat="false" ht="15" hidden="false" customHeight="false" outlineLevel="0" collapsed="false">
      <c r="A307" s="5" t="s">
        <v>523</v>
      </c>
      <c r="B307" s="0" t="s">
        <v>33</v>
      </c>
      <c r="C307" s="15" t="n">
        <f aca="false">a25_opx</f>
        <v>0.168751</v>
      </c>
      <c r="D307" s="15" t="n">
        <f aca="false">a26_opx</f>
        <v>0.270945</v>
      </c>
      <c r="E307" s="15" t="n">
        <f aca="false">a27_opx</f>
        <v>0.4064175</v>
      </c>
      <c r="F307" s="15" t="n">
        <f aca="false">E307*(1+MAX(0,phi*F301))</f>
        <v>0.547677089535006</v>
      </c>
      <c r="G307" s="15" t="n">
        <f aca="false">F307*(1+MAX(0,phi*G301))</f>
        <v>0.586744654291308</v>
      </c>
    </row>
    <row r="308" customFormat="false" ht="15" hidden="false" customHeight="false" outlineLevel="0" collapsed="false">
      <c r="A308" s="5" t="s">
        <v>524</v>
      </c>
      <c r="B308" s="0" t="s">
        <v>33</v>
      </c>
      <c r="C308" s="15" t="n">
        <f aca="false">C307</f>
        <v>0.168751</v>
      </c>
      <c r="D308" s="15" t="n">
        <f aca="false">D307</f>
        <v>0.270945</v>
      </c>
      <c r="E308" s="15" t="n">
        <f aca="false">E307</f>
        <v>0.4064175</v>
      </c>
      <c r="F308" s="15" t="n">
        <f aca="false">F307+0*F300</f>
        <v>0.547677089535006</v>
      </c>
      <c r="G308" s="15" t="n">
        <f aca="false">G307+0*G300</f>
        <v>0.586744654291308</v>
      </c>
    </row>
    <row r="309" customFormat="false" ht="15" hidden="false" customHeight="false" outlineLevel="0" collapsed="false">
      <c r="A309" s="5" t="s">
        <v>525</v>
      </c>
      <c r="B309" s="0" t="s">
        <v>33</v>
      </c>
      <c r="C309" s="15" t="n">
        <f aca="false">C306-C308</f>
        <v>0.115352</v>
      </c>
      <c r="D309" s="15" t="n">
        <f aca="false">D306-D308</f>
        <v>0.638822</v>
      </c>
      <c r="E309" s="15" t="n">
        <f aca="false">E306-E308</f>
        <v>1.273231388</v>
      </c>
      <c r="F309" s="15" t="n">
        <f aca="false">F306-F308</f>
        <v>2.08502161732394</v>
      </c>
      <c r="G309" s="15" t="n">
        <f aca="false">G306-G308</f>
        <v>2.32115304043236</v>
      </c>
    </row>
    <row r="310" customFormat="false" ht="15" hidden="false" customHeight="false" outlineLevel="0" collapsed="false">
      <c r="A310" s="5" t="s">
        <v>493</v>
      </c>
      <c r="B310" s="0" t="s">
        <v>110</v>
      </c>
      <c r="C310" s="16" t="n">
        <f aca="false">C309/C300</f>
        <v>0.264099364661439</v>
      </c>
      <c r="D310" s="16" t="n">
        <f aca="false">D309/D300</f>
        <v>0.478476776549753</v>
      </c>
      <c r="E310" s="16" t="n">
        <f aca="false">E309/E300</f>
        <v>0.515485682669298</v>
      </c>
      <c r="F310" s="16" t="n">
        <f aca="false">F309/F300</f>
        <v>0.530620720087544</v>
      </c>
      <c r="G310" s="16" t="n">
        <f aca="false">G309/G300</f>
        <v>0.526827683609735</v>
      </c>
    </row>
    <row r="311" customFormat="false" ht="15" hidden="false" customHeight="false" outlineLevel="0" collapsed="false">
      <c r="A311" s="5" t="s">
        <v>429</v>
      </c>
      <c r="B311" s="0" t="s">
        <v>33</v>
      </c>
      <c r="C311" s="15" t="n">
        <f aca="false">a25_ninc</f>
        <v>0.017746</v>
      </c>
      <c r="D311" s="15" t="n">
        <f aca="false">a26_ninc</f>
        <v>0.03043</v>
      </c>
      <c r="E311" s="15" t="n">
        <f aca="false">a27_ninc</f>
        <v>0.02914</v>
      </c>
      <c r="F311" s="15" t="n">
        <f aca="false">oth_f</f>
        <v>0.03</v>
      </c>
      <c r="G311" s="15" t="n">
        <f aca="false">oth_f</f>
        <v>0.03</v>
      </c>
    </row>
    <row r="312" customFormat="false" ht="17.15" hidden="false" customHeight="false" outlineLevel="0" collapsed="false">
      <c r="A312" s="5" t="s">
        <v>434</v>
      </c>
      <c r="B312" s="0" t="s">
        <v>110</v>
      </c>
      <c r="C312" s="16" t="n">
        <f aca="false">a25_tx</f>
        <v>0.0238320635922402</v>
      </c>
      <c r="D312" s="16" t="n">
        <f aca="false">a26_tx</f>
        <v>0.0115188299773478</v>
      </c>
      <c r="E312" s="16" t="n">
        <f aca="false">a27_tx</f>
        <v>0.0141840153969967</v>
      </c>
      <c r="F312" s="16" t="n">
        <f aca="false">TXHI_28</f>
        <v>0.17</v>
      </c>
      <c r="G312" s="16" t="n">
        <f aca="false">TXHI_29</f>
        <v>0.17</v>
      </c>
      <c r="H312" s="8" t="s">
        <v>526</v>
      </c>
    </row>
    <row r="313" customFormat="false" ht="15" hidden="false" customHeight="false" outlineLevel="0" collapsed="false">
      <c r="A313" s="5" t="s">
        <v>494</v>
      </c>
      <c r="B313" s="0" t="s">
        <v>33</v>
      </c>
      <c r="C313" s="15" t="n">
        <f aca="false">a25_ni</f>
        <v>0.129926</v>
      </c>
      <c r="D313" s="15" t="n">
        <f aca="false">a26_ni</f>
        <v>0.661543</v>
      </c>
      <c r="E313" s="15" t="n">
        <f aca="false">a27_ni</f>
        <v>1.28389853218</v>
      </c>
      <c r="F313" s="15" t="n">
        <f aca="false">(F309+F311)*(1-F312)</f>
        <v>1.75546794237887</v>
      </c>
      <c r="G313" s="15" t="n">
        <f aca="false">(G309+G311)*(1-G312)</f>
        <v>1.95145702355886</v>
      </c>
    </row>
    <row r="314" customFormat="false" ht="15" hidden="false" customHeight="false" outlineLevel="0" collapsed="false">
      <c r="A314" s="5" t="s">
        <v>436</v>
      </c>
      <c r="B314" s="0" t="s">
        <v>110</v>
      </c>
      <c r="C314" s="16" t="n">
        <f aca="false">C313/C300</f>
        <v>0.297466659034972</v>
      </c>
      <c r="D314" s="16" t="n">
        <f aca="false">D313/D300</f>
        <v>0.495494773487847</v>
      </c>
      <c r="E314" s="16" t="n">
        <f aca="false">E313/E300</f>
        <v>0.519804426419715</v>
      </c>
      <c r="F314" s="16" t="n">
        <f aca="false">F313/F300</f>
        <v>0.446752041291165</v>
      </c>
      <c r="G314" s="16" t="n">
        <f aca="false">G313/G300</f>
        <v>0.442918482959642</v>
      </c>
    </row>
    <row r="315" customFormat="false" ht="15" hidden="false" customHeight="false" outlineLevel="0" collapsed="false">
      <c r="A315" s="5" t="s">
        <v>527</v>
      </c>
      <c r="B315" s="5" t="s">
        <v>173</v>
      </c>
      <c r="C315" s="24" t="n">
        <f aca="false">a25_sh</f>
        <v>0.184644</v>
      </c>
      <c r="D315" s="24" t="n">
        <f aca="false">a26_sh</f>
        <v>0.191256</v>
      </c>
      <c r="E315" s="24" t="n">
        <f aca="false">a27_sh</f>
        <v>0.199</v>
      </c>
      <c r="F315" s="24" t="n">
        <f aca="false">E315*(1+sh_g)</f>
        <v>0.201985</v>
      </c>
      <c r="G315" s="24" t="n">
        <f aca="false">F315*(1+sh_g)</f>
        <v>0.205014775</v>
      </c>
    </row>
    <row r="316" customFormat="false" ht="17.15" hidden="false" customHeight="false" outlineLevel="0" collapsed="false">
      <c r="A316" s="0" t="s">
        <v>439</v>
      </c>
      <c r="B316" s="0" t="s">
        <v>178</v>
      </c>
      <c r="C316" s="9" t="n">
        <f aca="false">C313/C315</f>
        <v>0.703656766534521</v>
      </c>
      <c r="D316" s="9" t="n">
        <f aca="false">D313/D315</f>
        <v>3.45893985025306</v>
      </c>
      <c r="E316" s="9" t="n">
        <f aca="false">E313/E315</f>
        <v>6.45175141798995</v>
      </c>
      <c r="F316" s="9" t="n">
        <f aca="false">F313/F315</f>
        <v>8.6910807355936</v>
      </c>
      <c r="G316" s="9" t="n">
        <f aca="false">G313/G315</f>
        <v>9.5186165170723</v>
      </c>
    </row>
    <row r="317" customFormat="false" ht="17.15" hidden="false" customHeight="false" outlineLevel="0" collapsed="false">
      <c r="A317" s="0" t="s">
        <v>528</v>
      </c>
      <c r="B317" s="0" t="s">
        <v>110</v>
      </c>
      <c r="D317" s="16" t="n">
        <f aca="false">D316/C316-1</f>
        <v>3.91566345235077</v>
      </c>
      <c r="E317" s="16" t="n">
        <f aca="false">E316/D316-1</f>
        <v>0.865239552378433</v>
      </c>
      <c r="F317" s="16" t="n">
        <f aca="false">F316/E316-1</f>
        <v>0.347088592309918</v>
      </c>
      <c r="G317" s="16" t="n">
        <f aca="false">G316/F316-1</f>
        <v>0.0952166717413632</v>
      </c>
    </row>
    <row r="320" customFormat="false" ht="17.15" hidden="false" customHeight="false" outlineLevel="0" collapsed="false">
      <c r="A320" s="3" t="s">
        <v>810</v>
      </c>
    </row>
    <row r="321" customFormat="false" ht="17.15" hidden="false" customHeight="false" outlineLevel="0" collapsed="false">
      <c r="A321" s="6" t="s">
        <v>22</v>
      </c>
      <c r="B321" s="6" t="s">
        <v>23</v>
      </c>
      <c r="C321" s="14" t="s">
        <v>412</v>
      </c>
      <c r="D321" s="14" t="s">
        <v>413</v>
      </c>
      <c r="E321" s="14" t="s">
        <v>459</v>
      </c>
      <c r="F321" s="14" t="s">
        <v>460</v>
      </c>
      <c r="G321" s="14" t="s">
        <v>461</v>
      </c>
      <c r="H321" s="6" t="s">
        <v>418</v>
      </c>
    </row>
    <row r="322" customFormat="false" ht="17.15" hidden="false" customHeight="false" outlineLevel="0" collapsed="false">
      <c r="A322" s="1" t="s">
        <v>503</v>
      </c>
    </row>
    <row r="323" customFormat="false" ht="17.15" hidden="false" customHeight="false" outlineLevel="0" collapsed="false">
      <c r="A323" s="0" t="s">
        <v>504</v>
      </c>
      <c r="B323" s="0" t="s">
        <v>33</v>
      </c>
      <c r="E323" s="19" t="n">
        <f aca="false">(w8*mcu_26*1+(1-w8)*mcu_27*1)</f>
        <v>34.3390133333333</v>
      </c>
      <c r="F323" s="19" t="n">
        <f aca="false">(w8*mcu_27*1+(1-w8)*mcu_28*um28_A)</f>
        <v>53.8666133333333</v>
      </c>
      <c r="G323" s="19" t="n">
        <f aca="false">(w8*mcu_28*um28_A+(1-w8)*mcu_29*um29_A)</f>
        <v>59.9622446666667</v>
      </c>
      <c r="H323" s="8" t="s">
        <v>505</v>
      </c>
    </row>
    <row r="324" customFormat="false" ht="17.15" hidden="false" customHeight="false" outlineLevel="0" collapsed="false">
      <c r="A324" s="0" t="s">
        <v>506</v>
      </c>
      <c r="B324" s="0" t="s">
        <v>110</v>
      </c>
      <c r="E324" s="20" t="n">
        <f aca="false">a27_aec/E323</f>
        <v>0.0513261037785594</v>
      </c>
      <c r="H324" s="8" t="s">
        <v>507</v>
      </c>
    </row>
    <row r="325" customFormat="false" ht="17.15" hidden="false" customHeight="false" outlineLevel="0" collapsed="false">
      <c r="A325" s="0" t="s">
        <v>508</v>
      </c>
      <c r="B325" s="0" t="s">
        <v>76</v>
      </c>
      <c r="E325" s="9" t="n">
        <f aca="false">1</f>
        <v>1</v>
      </c>
      <c r="F325" s="9" t="n">
        <f aca="false">rel_a_28</f>
        <v>1</v>
      </c>
      <c r="G325" s="9" t="n">
        <f aca="false">rel_a_29</f>
        <v>0.95</v>
      </c>
    </row>
    <row r="326" customFormat="false" ht="17.15" hidden="false" customHeight="false" outlineLevel="0" collapsed="false">
      <c r="A326" s="0" t="s">
        <v>509</v>
      </c>
      <c r="B326" s="0" t="s">
        <v>110</v>
      </c>
      <c r="E326" s="20" t="n">
        <f aca="false">$E$324*E325</f>
        <v>0.0513261037785594</v>
      </c>
      <c r="F326" s="20" t="n">
        <f aca="false">$E$324*F325</f>
        <v>0.0513261037785594</v>
      </c>
      <c r="G326" s="20" t="n">
        <f aca="false">$E$324*G325</f>
        <v>0.0487597985896314</v>
      </c>
    </row>
    <row r="327" customFormat="false" ht="17.15" hidden="false" customHeight="false" outlineLevel="0" collapsed="false">
      <c r="A327" s="0" t="s">
        <v>510</v>
      </c>
      <c r="B327" s="0" t="s">
        <v>33</v>
      </c>
      <c r="D327" s="15" t="n">
        <f aca="false">a26_aec</f>
        <v>1.09165788</v>
      </c>
      <c r="E327" s="15" t="n">
        <f aca="false">a27_aec</f>
        <v>1.762487762</v>
      </c>
      <c r="F327" s="15" t="n">
        <f aca="false">F323*F326</f>
        <v>2.7647633861462</v>
      </c>
      <c r="G327" s="15" t="n">
        <f aca="false">G323*G326</f>
        <v>2.92374697292887</v>
      </c>
    </row>
    <row r="328" customFormat="false" ht="17.15" hidden="false" customHeight="false" outlineLevel="0" collapsed="false">
      <c r="A328" s="1" t="s">
        <v>511</v>
      </c>
    </row>
    <row r="329" customFormat="false" ht="17.15" hidden="false" customHeight="false" outlineLevel="0" collapsed="false">
      <c r="A329" s="0" t="s">
        <v>512</v>
      </c>
      <c r="B329" s="0" t="s">
        <v>33</v>
      </c>
      <c r="E329" s="19" t="n">
        <f aca="false">(w8*mpl_26*1+(1-w8)*mpl_27*1)</f>
        <v>37.6890796666667</v>
      </c>
      <c r="F329" s="19" t="n">
        <f aca="false">(w8*mpl_27*1+(1-w8)*mpl_28*um28_A)</f>
        <v>55.0376433333333</v>
      </c>
      <c r="G329" s="19" t="n">
        <f aca="false">(w8*mpl_28*um28_A+(1-w8)*mpl_29*um29_A)</f>
        <v>62.9726</v>
      </c>
    </row>
    <row r="330" customFormat="false" ht="17.15" hidden="false" customHeight="false" outlineLevel="0" collapsed="false">
      <c r="A330" s="0" t="s">
        <v>513</v>
      </c>
      <c r="B330" s="0" t="s">
        <v>110</v>
      </c>
      <c r="E330" s="20" t="n">
        <f aca="false">a27_opt/(w8*mplB_26*1+(1-w8)*mplB_27*1)</f>
        <v>0.0157625345447985</v>
      </c>
    </row>
    <row r="331" customFormat="false" ht="17.15" hidden="false" customHeight="false" outlineLevel="0" collapsed="false">
      <c r="A331" s="5" t="s">
        <v>514</v>
      </c>
      <c r="B331" s="0" t="s">
        <v>76</v>
      </c>
      <c r="E331" s="9" t="n">
        <f aca="false">1</f>
        <v>1</v>
      </c>
      <c r="F331" s="9" t="n">
        <f aca="false">rel_o_28</f>
        <v>1.2</v>
      </c>
      <c r="G331" s="9" t="n">
        <f aca="false">rel_o_29</f>
        <v>1.35</v>
      </c>
    </row>
    <row r="332" customFormat="false" ht="15" hidden="false" customHeight="false" outlineLevel="0" collapsed="false">
      <c r="A332" s="5" t="s">
        <v>515</v>
      </c>
      <c r="B332" s="0" t="s">
        <v>33</v>
      </c>
      <c r="D332" s="15" t="n">
        <f aca="false">a26_opt</f>
        <v>0.15</v>
      </c>
      <c r="E332" s="15" t="n">
        <f aca="false">a27_opt</f>
        <v>0.6</v>
      </c>
      <c r="F332" s="15" t="n">
        <f aca="false">F329*$E$330*F331</f>
        <v>1.04103930516716</v>
      </c>
      <c r="G332" s="15" t="n">
        <f aca="false">G329*$E$330*G331</f>
        <v>1.3400205068823</v>
      </c>
    </row>
    <row r="333" customFormat="false" ht="17.15" hidden="false" customHeight="false" outlineLevel="0" collapsed="false">
      <c r="A333" s="1" t="s">
        <v>516</v>
      </c>
    </row>
    <row r="334" customFormat="false" ht="17.15" hidden="false" customHeight="false" outlineLevel="0" collapsed="false">
      <c r="A334" s="5" t="s">
        <v>517</v>
      </c>
      <c r="B334" s="0" t="s">
        <v>33</v>
      </c>
      <c r="D334" s="15" t="n">
        <f aca="false">a26_ic</f>
        <v>0.09345812</v>
      </c>
      <c r="E334" s="15" t="n">
        <f aca="false">a27_ic</f>
        <v>0.107476838</v>
      </c>
      <c r="F334" s="15" t="n">
        <f aca="false">E334*(1+g_oth)</f>
        <v>0.1235983637</v>
      </c>
      <c r="G334" s="15" t="n">
        <f aca="false">F334*(1+g_oth)</f>
        <v>0.142138118255</v>
      </c>
    </row>
    <row r="335" customFormat="false" ht="15" hidden="false" customHeight="false" outlineLevel="0" collapsed="false">
      <c r="A335" s="5" t="s">
        <v>419</v>
      </c>
      <c r="B335" s="0" t="s">
        <v>33</v>
      </c>
      <c r="C335" s="15" t="n">
        <f aca="false">a25_rev</f>
        <v>0.436775</v>
      </c>
      <c r="D335" s="15" t="n">
        <f aca="false">a26_rev</f>
        <v>1.335116</v>
      </c>
      <c r="E335" s="15" t="n">
        <f aca="false">E327+E332+E334</f>
        <v>2.4699646</v>
      </c>
      <c r="F335" s="15" t="n">
        <f aca="false">F327+F332+F334</f>
        <v>3.92940105501336</v>
      </c>
      <c r="G335" s="15" t="n">
        <f aca="false">G327+G332+G334</f>
        <v>4.40590559806617</v>
      </c>
    </row>
    <row r="336" customFormat="false" ht="15" hidden="false" customHeight="false" outlineLevel="0" collapsed="false">
      <c r="A336" s="5" t="s">
        <v>518</v>
      </c>
      <c r="B336" s="0" t="s">
        <v>110</v>
      </c>
      <c r="D336" s="16" t="n">
        <f aca="false">D335/C335-1</f>
        <v>2.05675920096159</v>
      </c>
      <c r="E336" s="16" t="n">
        <f aca="false">E335/D335-1</f>
        <v>0.85</v>
      </c>
      <c r="F336" s="16" t="n">
        <f aca="false">F335/E335-1</f>
        <v>0.590873429932298</v>
      </c>
      <c r="G336" s="16" t="n">
        <f aca="false">G335/F335-1</f>
        <v>0.121266456740235</v>
      </c>
    </row>
    <row r="337" customFormat="false" ht="17.15" hidden="false" customHeight="false" outlineLevel="0" collapsed="false">
      <c r="A337" s="0" t="s">
        <v>445</v>
      </c>
      <c r="B337" s="0" t="s">
        <v>110</v>
      </c>
      <c r="D337" s="16" t="n">
        <f aca="false">D327/D335</f>
        <v>0.817650211667001</v>
      </c>
      <c r="E337" s="16" t="n">
        <f aca="false">E327/E335</f>
        <v>0.713568025225949</v>
      </c>
      <c r="F337" s="16" t="n">
        <f aca="false">F327/F335</f>
        <v>0.703609366271929</v>
      </c>
      <c r="G337" s="16" t="n">
        <f aca="false">G327/G335</f>
        <v>0.663597280480124</v>
      </c>
    </row>
    <row r="338" customFormat="false" ht="17.15" hidden="false" customHeight="false" outlineLevel="0" collapsed="false">
      <c r="A338" s="5" t="s">
        <v>519</v>
      </c>
      <c r="B338" s="0" t="s">
        <v>110</v>
      </c>
      <c r="D338" s="16" t="n">
        <f aca="false">D332/D335</f>
        <v>0.112349788332999</v>
      </c>
      <c r="E338" s="16" t="n">
        <f aca="false">E332/E335</f>
        <v>0.242918461260538</v>
      </c>
      <c r="F338" s="16" t="n">
        <f aca="false">F332/F335</f>
        <v>0.264935874600772</v>
      </c>
      <c r="G338" s="16" t="n">
        <f aca="false">G332/G335</f>
        <v>0.304141901603716</v>
      </c>
    </row>
    <row r="339" customFormat="false" ht="17.15" hidden="false" customHeight="false" outlineLevel="0" collapsed="false">
      <c r="A339" s="1" t="s">
        <v>520</v>
      </c>
    </row>
    <row r="340" customFormat="false" ht="17.15" hidden="false" customHeight="false" outlineLevel="0" collapsed="false">
      <c r="A340" s="5" t="s">
        <v>424</v>
      </c>
      <c r="B340" s="0" t="s">
        <v>110</v>
      </c>
      <c r="C340" s="16" t="n">
        <f aca="false">a25_gp/a25_rev</f>
        <v>0.650456184534371</v>
      </c>
      <c r="D340" s="16" t="n">
        <f aca="false">a26_gp/a26_rev</f>
        <v>0.681414199215649</v>
      </c>
      <c r="E340" s="16" t="n">
        <f aca="false">a27_gp/a27_rev</f>
        <v>0.680029538884889</v>
      </c>
      <c r="F340" s="16" t="n">
        <f aca="false">gm_28</f>
        <v>0.67</v>
      </c>
      <c r="G340" s="16" t="n">
        <f aca="false">gm_29</f>
        <v>0.66</v>
      </c>
      <c r="H340" s="8" t="s">
        <v>521</v>
      </c>
    </row>
    <row r="341" customFormat="false" ht="15" hidden="false" customHeight="false" outlineLevel="0" collapsed="false">
      <c r="A341" s="5" t="s">
        <v>522</v>
      </c>
      <c r="B341" s="0" t="s">
        <v>33</v>
      </c>
      <c r="C341" s="15" t="n">
        <f aca="false">C335*C340</f>
        <v>0.284103</v>
      </c>
      <c r="D341" s="15" t="n">
        <f aca="false">D335*D340</f>
        <v>0.909767</v>
      </c>
      <c r="E341" s="15" t="n">
        <f aca="false">E335*E340</f>
        <v>1.679648888</v>
      </c>
      <c r="F341" s="15" t="n">
        <f aca="false">F335*F340</f>
        <v>2.63269870685895</v>
      </c>
      <c r="G341" s="15" t="n">
        <f aca="false">G335*G340</f>
        <v>2.90789769472367</v>
      </c>
    </row>
    <row r="342" customFormat="false" ht="15" hidden="false" customHeight="false" outlineLevel="0" collapsed="false">
      <c r="A342" s="5" t="s">
        <v>523</v>
      </c>
      <c r="B342" s="0" t="s">
        <v>33</v>
      </c>
      <c r="C342" s="15" t="n">
        <f aca="false">a25_opx</f>
        <v>0.168751</v>
      </c>
      <c r="D342" s="15" t="n">
        <f aca="false">a26_opx</f>
        <v>0.270945</v>
      </c>
      <c r="E342" s="15" t="n">
        <f aca="false">a27_opx</f>
        <v>0.4064175</v>
      </c>
      <c r="F342" s="15" t="n">
        <f aca="false">E342*(1+MAX(0,phi*F336))</f>
        <v>0.547677089535006</v>
      </c>
      <c r="G342" s="15" t="n">
        <f aca="false">F342*(1+MAX(0,phi*G336))</f>
        <v>0.586744654291308</v>
      </c>
    </row>
    <row r="343" customFormat="false" ht="15" hidden="false" customHeight="false" outlineLevel="0" collapsed="false">
      <c r="A343" s="5" t="s">
        <v>524</v>
      </c>
      <c r="B343" s="0" t="s">
        <v>33</v>
      </c>
      <c r="C343" s="15" t="n">
        <f aca="false">C342</f>
        <v>0.168751</v>
      </c>
      <c r="D343" s="15" t="n">
        <f aca="false">D342</f>
        <v>0.270945</v>
      </c>
      <c r="E343" s="15" t="n">
        <f aca="false">E342</f>
        <v>0.4064175</v>
      </c>
      <c r="F343" s="15" t="n">
        <f aca="false">F342+0*F335</f>
        <v>0.547677089535006</v>
      </c>
      <c r="G343" s="15" t="n">
        <f aca="false">G342+0*G335</f>
        <v>0.586744654291308</v>
      </c>
    </row>
    <row r="344" customFormat="false" ht="15" hidden="false" customHeight="false" outlineLevel="0" collapsed="false">
      <c r="A344" s="5" t="s">
        <v>525</v>
      </c>
      <c r="B344" s="0" t="s">
        <v>33</v>
      </c>
      <c r="C344" s="15" t="n">
        <f aca="false">C341-C343</f>
        <v>0.115352</v>
      </c>
      <c r="D344" s="15" t="n">
        <f aca="false">D341-D343</f>
        <v>0.638822</v>
      </c>
      <c r="E344" s="15" t="n">
        <f aca="false">E341-E343</f>
        <v>1.273231388</v>
      </c>
      <c r="F344" s="15" t="n">
        <f aca="false">F341-F343</f>
        <v>2.08502161732394</v>
      </c>
      <c r="G344" s="15" t="n">
        <f aca="false">G341-G343</f>
        <v>2.32115304043236</v>
      </c>
    </row>
    <row r="345" customFormat="false" ht="15" hidden="false" customHeight="false" outlineLevel="0" collapsed="false">
      <c r="A345" s="5" t="s">
        <v>493</v>
      </c>
      <c r="B345" s="0" t="s">
        <v>110</v>
      </c>
      <c r="C345" s="16" t="n">
        <f aca="false">C344/C335</f>
        <v>0.264099364661439</v>
      </c>
      <c r="D345" s="16" t="n">
        <f aca="false">D344/D335</f>
        <v>0.478476776549753</v>
      </c>
      <c r="E345" s="16" t="n">
        <f aca="false">E344/E335</f>
        <v>0.515485682669298</v>
      </c>
      <c r="F345" s="16" t="n">
        <f aca="false">F344/F335</f>
        <v>0.530620720087544</v>
      </c>
      <c r="G345" s="16" t="n">
        <f aca="false">G344/G335</f>
        <v>0.526827683609735</v>
      </c>
    </row>
    <row r="346" customFormat="false" ht="15" hidden="false" customHeight="false" outlineLevel="0" collapsed="false">
      <c r="A346" s="5" t="s">
        <v>429</v>
      </c>
      <c r="B346" s="0" t="s">
        <v>33</v>
      </c>
      <c r="C346" s="15" t="n">
        <f aca="false">a25_ninc</f>
        <v>0.017746</v>
      </c>
      <c r="D346" s="15" t="n">
        <f aca="false">a26_ninc</f>
        <v>0.03043</v>
      </c>
      <c r="E346" s="15" t="n">
        <f aca="false">a27_ninc</f>
        <v>0.02914</v>
      </c>
      <c r="F346" s="15" t="n">
        <f aca="false">oth_f</f>
        <v>0.03</v>
      </c>
      <c r="G346" s="15" t="n">
        <f aca="false">oth_f</f>
        <v>0.03</v>
      </c>
    </row>
    <row r="347" customFormat="false" ht="17.15" hidden="false" customHeight="false" outlineLevel="0" collapsed="false">
      <c r="A347" s="5" t="s">
        <v>434</v>
      </c>
      <c r="B347" s="0" t="s">
        <v>110</v>
      </c>
      <c r="C347" s="16" t="n">
        <f aca="false">a25_tx</f>
        <v>0.0238320635922402</v>
      </c>
      <c r="D347" s="16" t="n">
        <f aca="false">a26_tx</f>
        <v>0.0115188299773478</v>
      </c>
      <c r="E347" s="16" t="n">
        <f aca="false">a27_tx</f>
        <v>0.0141840153969967</v>
      </c>
      <c r="F347" s="16" t="n">
        <f aca="false">TXLO_28</f>
        <v>0.05</v>
      </c>
      <c r="G347" s="16" t="n">
        <f aca="false">TXLO_29</f>
        <v>0.05</v>
      </c>
      <c r="H347" s="8" t="s">
        <v>526</v>
      </c>
    </row>
    <row r="348" customFormat="false" ht="15" hidden="false" customHeight="false" outlineLevel="0" collapsed="false">
      <c r="A348" s="5" t="s">
        <v>494</v>
      </c>
      <c r="B348" s="0" t="s">
        <v>33</v>
      </c>
      <c r="C348" s="15" t="n">
        <f aca="false">a25_ni</f>
        <v>0.129926</v>
      </c>
      <c r="D348" s="15" t="n">
        <f aca="false">a26_ni</f>
        <v>0.661543</v>
      </c>
      <c r="E348" s="15" t="n">
        <f aca="false">a27_ni</f>
        <v>1.28389853218</v>
      </c>
      <c r="F348" s="15" t="n">
        <f aca="false">(F344+F346)*(1-F347)</f>
        <v>2.00927053645775</v>
      </c>
      <c r="G348" s="15" t="n">
        <f aca="false">(G344+G346)*(1-G347)</f>
        <v>2.23359538841074</v>
      </c>
    </row>
    <row r="349" customFormat="false" ht="15" hidden="false" customHeight="false" outlineLevel="0" collapsed="false">
      <c r="A349" s="5" t="s">
        <v>436</v>
      </c>
      <c r="B349" s="0" t="s">
        <v>110</v>
      </c>
      <c r="C349" s="16" t="n">
        <f aca="false">C348/C335</f>
        <v>0.297466659034972</v>
      </c>
      <c r="D349" s="16" t="n">
        <f aca="false">D348/D335</f>
        <v>0.495494773487847</v>
      </c>
      <c r="E349" s="16" t="n">
        <f aca="false">E348/E335</f>
        <v>0.519804426419715</v>
      </c>
      <c r="F349" s="16" t="n">
        <f aca="false">F348/F335</f>
        <v>0.511342697863381</v>
      </c>
      <c r="G349" s="16" t="n">
        <f aca="false">G348/G335</f>
        <v>0.50695489013453</v>
      </c>
    </row>
    <row r="350" customFormat="false" ht="15" hidden="false" customHeight="false" outlineLevel="0" collapsed="false">
      <c r="A350" s="5" t="s">
        <v>527</v>
      </c>
      <c r="B350" s="5" t="s">
        <v>173</v>
      </c>
      <c r="C350" s="24" t="n">
        <f aca="false">a25_sh</f>
        <v>0.184644</v>
      </c>
      <c r="D350" s="24" t="n">
        <f aca="false">a26_sh</f>
        <v>0.191256</v>
      </c>
      <c r="E350" s="24" t="n">
        <f aca="false">a27_sh</f>
        <v>0.199</v>
      </c>
      <c r="F350" s="24" t="n">
        <f aca="false">E350*(1+sh_g)</f>
        <v>0.201985</v>
      </c>
      <c r="G350" s="24" t="n">
        <f aca="false">F350*(1+sh_g)</f>
        <v>0.205014775</v>
      </c>
    </row>
    <row r="351" customFormat="false" ht="17.15" hidden="false" customHeight="false" outlineLevel="0" collapsed="false">
      <c r="A351" s="0" t="s">
        <v>439</v>
      </c>
      <c r="B351" s="0" t="s">
        <v>178</v>
      </c>
      <c r="C351" s="9" t="n">
        <f aca="false">C348/C350</f>
        <v>0.703656766534521</v>
      </c>
      <c r="D351" s="9" t="n">
        <f aca="false">D348/D350</f>
        <v>3.45893985025306</v>
      </c>
      <c r="E351" s="9" t="n">
        <f aca="false">E348/E350</f>
        <v>6.45175141798995</v>
      </c>
      <c r="F351" s="9" t="n">
        <f aca="false">F348/F350</f>
        <v>9.94762252869147</v>
      </c>
      <c r="G351" s="9" t="n">
        <f aca="false">G348/G350</f>
        <v>10.8948020376129</v>
      </c>
    </row>
    <row r="352" customFormat="false" ht="17.15" hidden="false" customHeight="false" outlineLevel="0" collapsed="false">
      <c r="A352" s="0" t="s">
        <v>528</v>
      </c>
      <c r="B352" s="0" t="s">
        <v>110</v>
      </c>
      <c r="D352" s="16" t="n">
        <f aca="false">D351/C351-1</f>
        <v>3.91566345235077</v>
      </c>
      <c r="E352" s="16" t="n">
        <f aca="false">E351/D351-1</f>
        <v>0.865239552378433</v>
      </c>
      <c r="F352" s="16" t="n">
        <f aca="false">F351/E351-1</f>
        <v>0.54184838878846</v>
      </c>
      <c r="G352" s="16" t="n">
        <f aca="false">G351/F351-1</f>
        <v>0.0952166717413632</v>
      </c>
    </row>
    <row r="355" customFormat="false" ht="17.15" hidden="false" customHeight="false" outlineLevel="0" collapsed="false">
      <c r="A355" s="3" t="s">
        <v>811</v>
      </c>
    </row>
    <row r="356" customFormat="false" ht="17.15" hidden="false" customHeight="false" outlineLevel="0" collapsed="false">
      <c r="A356" s="6" t="s">
        <v>22</v>
      </c>
      <c r="B356" s="6" t="s">
        <v>23</v>
      </c>
      <c r="C356" s="14" t="s">
        <v>412</v>
      </c>
      <c r="D356" s="14" t="s">
        <v>413</v>
      </c>
      <c r="E356" s="14" t="s">
        <v>459</v>
      </c>
      <c r="F356" s="14" t="s">
        <v>460</v>
      </c>
      <c r="G356" s="14" t="s">
        <v>461</v>
      </c>
      <c r="H356" s="6" t="s">
        <v>418</v>
      </c>
    </row>
    <row r="357" customFormat="false" ht="17.15" hidden="false" customHeight="false" outlineLevel="0" collapsed="false">
      <c r="A357" s="1" t="s">
        <v>503</v>
      </c>
    </row>
    <row r="358" customFormat="false" ht="17.15" hidden="false" customHeight="false" outlineLevel="0" collapsed="false">
      <c r="A358" s="0" t="s">
        <v>504</v>
      </c>
      <c r="B358" s="0" t="s">
        <v>33</v>
      </c>
      <c r="E358" s="19" t="n">
        <f aca="false">(w8*mcu_26*1+(1-w8)*mcu_27*1)</f>
        <v>34.3390133333333</v>
      </c>
      <c r="F358" s="19" t="n">
        <f aca="false">(w8*mcu_27*1+(1-w8)*mcu_28*um28_A)*mf_lo</f>
        <v>43.0932906666667</v>
      </c>
      <c r="G358" s="19" t="n">
        <f aca="false">(w8*mcu_28*um28_A+(1-w8)*mcu_29*um29_A)*mf_lo</f>
        <v>47.9697957333333</v>
      </c>
      <c r="H358" s="8" t="s">
        <v>505</v>
      </c>
    </row>
    <row r="359" customFormat="false" ht="17.15" hidden="false" customHeight="false" outlineLevel="0" collapsed="false">
      <c r="A359" s="0" t="s">
        <v>506</v>
      </c>
      <c r="B359" s="0" t="s">
        <v>110</v>
      </c>
      <c r="E359" s="20" t="n">
        <f aca="false">a27_aec/E358</f>
        <v>0.0513261037785594</v>
      </c>
      <c r="H359" s="8" t="s">
        <v>507</v>
      </c>
    </row>
    <row r="360" customFormat="false" ht="17.15" hidden="false" customHeight="false" outlineLevel="0" collapsed="false">
      <c r="A360" s="0" t="s">
        <v>508</v>
      </c>
      <c r="B360" s="0" t="s">
        <v>76</v>
      </c>
      <c r="E360" s="9" t="n">
        <f aca="false">1</f>
        <v>1</v>
      </c>
      <c r="F360" s="9" t="n">
        <f aca="false">rel_a_28</f>
        <v>1</v>
      </c>
      <c r="G360" s="9" t="n">
        <f aca="false">rel_a_29</f>
        <v>0.95</v>
      </c>
    </row>
    <row r="361" customFormat="false" ht="17.15" hidden="false" customHeight="false" outlineLevel="0" collapsed="false">
      <c r="A361" s="0" t="s">
        <v>509</v>
      </c>
      <c r="B361" s="0" t="s">
        <v>110</v>
      </c>
      <c r="E361" s="20" t="n">
        <f aca="false">$E$359*E360</f>
        <v>0.0513261037785594</v>
      </c>
      <c r="F361" s="20" t="n">
        <f aca="false">$E$359*F360</f>
        <v>0.0513261037785594</v>
      </c>
      <c r="G361" s="20" t="n">
        <f aca="false">$E$359*G360</f>
        <v>0.0487597985896314</v>
      </c>
    </row>
    <row r="362" customFormat="false" ht="17.15" hidden="false" customHeight="false" outlineLevel="0" collapsed="false">
      <c r="A362" s="0" t="s">
        <v>510</v>
      </c>
      <c r="B362" s="0" t="s">
        <v>33</v>
      </c>
      <c r="D362" s="15" t="n">
        <f aca="false">a26_aec</f>
        <v>1.09165788</v>
      </c>
      <c r="E362" s="15" t="n">
        <f aca="false">a27_aec</f>
        <v>1.762487762</v>
      </c>
      <c r="F362" s="15" t="n">
        <f aca="false">F358*F361</f>
        <v>2.21181070891696</v>
      </c>
      <c r="G362" s="15" t="n">
        <f aca="false">G358*G361</f>
        <v>2.33899757834309</v>
      </c>
    </row>
    <row r="363" customFormat="false" ht="17.15" hidden="false" customHeight="false" outlineLevel="0" collapsed="false">
      <c r="A363" s="1" t="s">
        <v>511</v>
      </c>
    </row>
    <row r="364" customFormat="false" ht="17.15" hidden="false" customHeight="false" outlineLevel="0" collapsed="false">
      <c r="A364" s="0" t="s">
        <v>512</v>
      </c>
      <c r="B364" s="0" t="s">
        <v>33</v>
      </c>
      <c r="E364" s="19" t="n">
        <f aca="false">(w8*mpl_26*1+(1-w8)*mpl_27*1)</f>
        <v>37.6890796666667</v>
      </c>
      <c r="F364" s="19" t="n">
        <f aca="false">(w8*mpl_27*1+(1-w8)*mpl_28*um28_A)</f>
        <v>55.0376433333333</v>
      </c>
      <c r="G364" s="19" t="n">
        <f aca="false">(w8*mpl_28*um28_A+(1-w8)*mpl_29*um29_A)</f>
        <v>62.9726</v>
      </c>
    </row>
    <row r="365" customFormat="false" ht="17.15" hidden="false" customHeight="false" outlineLevel="0" collapsed="false">
      <c r="A365" s="0" t="s">
        <v>513</v>
      </c>
      <c r="B365" s="0" t="s">
        <v>110</v>
      </c>
      <c r="E365" s="20" t="n">
        <f aca="false">a27_opt/(w8*mplB_26*1+(1-w8)*mplB_27*1)</f>
        <v>0.0157625345447985</v>
      </c>
    </row>
    <row r="366" customFormat="false" ht="17.15" hidden="false" customHeight="false" outlineLevel="0" collapsed="false">
      <c r="A366" s="5" t="s">
        <v>514</v>
      </c>
      <c r="B366" s="0" t="s">
        <v>76</v>
      </c>
      <c r="E366" s="9" t="n">
        <f aca="false">1</f>
        <v>1</v>
      </c>
      <c r="F366" s="9" t="n">
        <f aca="false">rel_o_28</f>
        <v>1.2</v>
      </c>
      <c r="G366" s="9" t="n">
        <f aca="false">rel_o_29</f>
        <v>1.35</v>
      </c>
    </row>
    <row r="367" customFormat="false" ht="15" hidden="false" customHeight="false" outlineLevel="0" collapsed="false">
      <c r="A367" s="5" t="s">
        <v>515</v>
      </c>
      <c r="B367" s="0" t="s">
        <v>33</v>
      </c>
      <c r="D367" s="15" t="n">
        <f aca="false">a26_opt</f>
        <v>0.15</v>
      </c>
      <c r="E367" s="15" t="n">
        <f aca="false">a27_opt</f>
        <v>0.6</v>
      </c>
      <c r="F367" s="15" t="n">
        <f aca="false">F364*$E$365*F366</f>
        <v>1.04103930516716</v>
      </c>
      <c r="G367" s="15" t="n">
        <f aca="false">G364*$E$365*G366</f>
        <v>1.3400205068823</v>
      </c>
    </row>
    <row r="368" customFormat="false" ht="17.15" hidden="false" customHeight="false" outlineLevel="0" collapsed="false">
      <c r="A368" s="1" t="s">
        <v>516</v>
      </c>
    </row>
    <row r="369" customFormat="false" ht="17.15" hidden="false" customHeight="false" outlineLevel="0" collapsed="false">
      <c r="A369" s="5" t="s">
        <v>517</v>
      </c>
      <c r="B369" s="0" t="s">
        <v>33</v>
      </c>
      <c r="D369" s="15" t="n">
        <f aca="false">a26_ic</f>
        <v>0.09345812</v>
      </c>
      <c r="E369" s="15" t="n">
        <f aca="false">a27_ic</f>
        <v>0.107476838</v>
      </c>
      <c r="F369" s="15" t="n">
        <f aca="false">E369*(1+g_oth)</f>
        <v>0.1235983637</v>
      </c>
      <c r="G369" s="15" t="n">
        <f aca="false">F369*(1+g_oth)</f>
        <v>0.142138118255</v>
      </c>
    </row>
    <row r="370" customFormat="false" ht="15" hidden="false" customHeight="false" outlineLevel="0" collapsed="false">
      <c r="A370" s="5" t="s">
        <v>419</v>
      </c>
      <c r="B370" s="0" t="s">
        <v>33</v>
      </c>
      <c r="C370" s="15" t="n">
        <f aca="false">a25_rev</f>
        <v>0.436775</v>
      </c>
      <c r="D370" s="15" t="n">
        <f aca="false">a26_rev</f>
        <v>1.335116</v>
      </c>
      <c r="E370" s="15" t="n">
        <f aca="false">E362+E367+E369</f>
        <v>2.4699646</v>
      </c>
      <c r="F370" s="15" t="n">
        <f aca="false">F362+F367+F369</f>
        <v>3.37644837778412</v>
      </c>
      <c r="G370" s="15" t="n">
        <f aca="false">G362+G367+G369</f>
        <v>3.8211562034804</v>
      </c>
    </row>
    <row r="371" customFormat="false" ht="15" hidden="false" customHeight="false" outlineLevel="0" collapsed="false">
      <c r="A371" s="5" t="s">
        <v>518</v>
      </c>
      <c r="B371" s="0" t="s">
        <v>110</v>
      </c>
      <c r="D371" s="16" t="n">
        <f aca="false">D370/C370-1</f>
        <v>2.05675920096159</v>
      </c>
      <c r="E371" s="16" t="n">
        <f aca="false">E370/D370-1</f>
        <v>0.85</v>
      </c>
      <c r="F371" s="16" t="n">
        <f aca="false">F370/E370-1</f>
        <v>0.367002740761595</v>
      </c>
      <c r="G371" s="16" t="n">
        <f aca="false">G370/F370-1</f>
        <v>0.131708759009113</v>
      </c>
    </row>
    <row r="372" customFormat="false" ht="17.15" hidden="false" customHeight="false" outlineLevel="0" collapsed="false">
      <c r="A372" s="0" t="s">
        <v>445</v>
      </c>
      <c r="B372" s="0" t="s">
        <v>110</v>
      </c>
      <c r="D372" s="16" t="n">
        <f aca="false">D362/D370</f>
        <v>0.817650211667001</v>
      </c>
      <c r="E372" s="16" t="n">
        <f aca="false">E362/E370</f>
        <v>0.713568025225949</v>
      </c>
      <c r="F372" s="16" t="n">
        <f aca="false">F362/F370</f>
        <v>0.655070198457622</v>
      </c>
      <c r="G372" s="16" t="n">
        <f aca="false">G362/G370</f>
        <v>0.612117760643409</v>
      </c>
    </row>
    <row r="373" customFormat="false" ht="17.15" hidden="false" customHeight="false" outlineLevel="0" collapsed="false">
      <c r="A373" s="5" t="s">
        <v>519</v>
      </c>
      <c r="B373" s="0" t="s">
        <v>110</v>
      </c>
      <c r="D373" s="16" t="n">
        <f aca="false">D367/D370</f>
        <v>0.112349788332999</v>
      </c>
      <c r="E373" s="16" t="n">
        <f aca="false">E367/E370</f>
        <v>0.242918461260538</v>
      </c>
      <c r="F373" s="16" t="n">
        <f aca="false">F367/F370</f>
        <v>0.30832377358909</v>
      </c>
      <c r="G373" s="16" t="n">
        <f aca="false">G367/G370</f>
        <v>0.35068456653559</v>
      </c>
    </row>
    <row r="374" customFormat="false" ht="17.15" hidden="false" customHeight="false" outlineLevel="0" collapsed="false">
      <c r="A374" s="1" t="s">
        <v>520</v>
      </c>
    </row>
    <row r="375" customFormat="false" ht="17.15" hidden="false" customHeight="false" outlineLevel="0" collapsed="false">
      <c r="A375" s="5" t="s">
        <v>424</v>
      </c>
      <c r="B375" s="0" t="s">
        <v>110</v>
      </c>
      <c r="C375" s="16" t="n">
        <f aca="false">a25_gp/a25_rev</f>
        <v>0.650456184534371</v>
      </c>
      <c r="D375" s="16" t="n">
        <f aca="false">a26_gp/a26_rev</f>
        <v>0.681414199215649</v>
      </c>
      <c r="E375" s="16" t="n">
        <f aca="false">a27_gp/a27_rev</f>
        <v>0.680029538884889</v>
      </c>
      <c r="F375" s="16" t="n">
        <f aca="false">gm_28</f>
        <v>0.67</v>
      </c>
      <c r="G375" s="16" t="n">
        <f aca="false">gm_29</f>
        <v>0.66</v>
      </c>
      <c r="H375" s="8" t="s">
        <v>521</v>
      </c>
    </row>
    <row r="376" customFormat="false" ht="15" hidden="false" customHeight="false" outlineLevel="0" collapsed="false">
      <c r="A376" s="5" t="s">
        <v>522</v>
      </c>
      <c r="B376" s="0" t="s">
        <v>33</v>
      </c>
      <c r="C376" s="15" t="n">
        <f aca="false">C370*C375</f>
        <v>0.284103</v>
      </c>
      <c r="D376" s="15" t="n">
        <f aca="false">D370*D375</f>
        <v>0.909767</v>
      </c>
      <c r="E376" s="15" t="n">
        <f aca="false">E370*E375</f>
        <v>1.679648888</v>
      </c>
      <c r="F376" s="15" t="n">
        <f aca="false">F370*F375</f>
        <v>2.26222041311536</v>
      </c>
      <c r="G376" s="15" t="n">
        <f aca="false">G370*G375</f>
        <v>2.52196309429706</v>
      </c>
    </row>
    <row r="377" customFormat="false" ht="15" hidden="false" customHeight="false" outlineLevel="0" collapsed="false">
      <c r="A377" s="5" t="s">
        <v>523</v>
      </c>
      <c r="B377" s="0" t="s">
        <v>33</v>
      </c>
      <c r="C377" s="15" t="n">
        <f aca="false">a25_opx</f>
        <v>0.168751</v>
      </c>
      <c r="D377" s="15" t="n">
        <f aca="false">a26_opx</f>
        <v>0.270945</v>
      </c>
      <c r="E377" s="15" t="n">
        <f aca="false">a27_opx</f>
        <v>0.4064175</v>
      </c>
      <c r="F377" s="15" t="n">
        <f aca="false">E377*(1+MAX(0,phi*F371))</f>
        <v>0.494156521407927</v>
      </c>
      <c r="G377" s="15" t="n">
        <f aca="false">F377*(1+MAX(0,phi*G371))</f>
        <v>0.532441663873161</v>
      </c>
    </row>
    <row r="378" customFormat="false" ht="15" hidden="false" customHeight="false" outlineLevel="0" collapsed="false">
      <c r="A378" s="5" t="s">
        <v>524</v>
      </c>
      <c r="B378" s="0" t="s">
        <v>33</v>
      </c>
      <c r="C378" s="15" t="n">
        <f aca="false">C377</f>
        <v>0.168751</v>
      </c>
      <c r="D378" s="15" t="n">
        <f aca="false">D377</f>
        <v>0.270945</v>
      </c>
      <c r="E378" s="15" t="n">
        <f aca="false">E377</f>
        <v>0.4064175</v>
      </c>
      <c r="F378" s="15" t="n">
        <f aca="false">F377+0*F370</f>
        <v>0.494156521407927</v>
      </c>
      <c r="G378" s="15" t="n">
        <f aca="false">G377+0*G370</f>
        <v>0.532441663873161</v>
      </c>
    </row>
    <row r="379" customFormat="false" ht="15" hidden="false" customHeight="false" outlineLevel="0" collapsed="false">
      <c r="A379" s="5" t="s">
        <v>525</v>
      </c>
      <c r="B379" s="0" t="s">
        <v>33</v>
      </c>
      <c r="C379" s="15" t="n">
        <f aca="false">C376-C378</f>
        <v>0.115352</v>
      </c>
      <c r="D379" s="15" t="n">
        <f aca="false">D376-D378</f>
        <v>0.638822</v>
      </c>
      <c r="E379" s="15" t="n">
        <f aca="false">E376-E378</f>
        <v>1.273231388</v>
      </c>
      <c r="F379" s="15" t="n">
        <f aca="false">F376-F378</f>
        <v>1.76806389170743</v>
      </c>
      <c r="G379" s="15" t="n">
        <f aca="false">G376-G378</f>
        <v>1.9895214304239</v>
      </c>
    </row>
    <row r="380" customFormat="false" ht="15" hidden="false" customHeight="false" outlineLevel="0" collapsed="false">
      <c r="A380" s="5" t="s">
        <v>493</v>
      </c>
      <c r="B380" s="0" t="s">
        <v>110</v>
      </c>
      <c r="C380" s="16" t="n">
        <f aca="false">C379/C370</f>
        <v>0.264099364661439</v>
      </c>
      <c r="D380" s="16" t="n">
        <f aca="false">D379/D370</f>
        <v>0.478476776549753</v>
      </c>
      <c r="E380" s="16" t="n">
        <f aca="false">E379/E370</f>
        <v>0.515485682669298</v>
      </c>
      <c r="F380" s="16" t="n">
        <f aca="false">F379/F370</f>
        <v>0.523646060558986</v>
      </c>
      <c r="G380" s="16" t="n">
        <f aca="false">G379/G370</f>
        <v>0.520659539804156</v>
      </c>
    </row>
    <row r="381" customFormat="false" ht="15" hidden="false" customHeight="false" outlineLevel="0" collapsed="false">
      <c r="A381" s="5" t="s">
        <v>429</v>
      </c>
      <c r="B381" s="0" t="s">
        <v>33</v>
      </c>
      <c r="C381" s="15" t="n">
        <f aca="false">a25_ninc</f>
        <v>0.017746</v>
      </c>
      <c r="D381" s="15" t="n">
        <f aca="false">a26_ninc</f>
        <v>0.03043</v>
      </c>
      <c r="E381" s="15" t="n">
        <f aca="false">a27_ninc</f>
        <v>0.02914</v>
      </c>
      <c r="F381" s="15" t="n">
        <f aca="false">oth_f</f>
        <v>0.03</v>
      </c>
      <c r="G381" s="15" t="n">
        <f aca="false">oth_f</f>
        <v>0.03</v>
      </c>
    </row>
    <row r="382" customFormat="false" ht="17.15" hidden="false" customHeight="false" outlineLevel="0" collapsed="false">
      <c r="A382" s="5" t="s">
        <v>434</v>
      </c>
      <c r="B382" s="0" t="s">
        <v>110</v>
      </c>
      <c r="C382" s="16" t="n">
        <f aca="false">a25_tx</f>
        <v>0.0238320635922402</v>
      </c>
      <c r="D382" s="16" t="n">
        <f aca="false">a26_tx</f>
        <v>0.0115188299773478</v>
      </c>
      <c r="E382" s="16" t="n">
        <f aca="false">a27_tx</f>
        <v>0.0141840153969967</v>
      </c>
      <c r="F382" s="16" t="n">
        <f aca="false">tx_28</f>
        <v>0.13</v>
      </c>
      <c r="G382" s="16" t="n">
        <f aca="false">tx_29</f>
        <v>0.14</v>
      </c>
      <c r="H382" s="8" t="s">
        <v>526</v>
      </c>
    </row>
    <row r="383" customFormat="false" ht="15" hidden="false" customHeight="false" outlineLevel="0" collapsed="false">
      <c r="A383" s="5" t="s">
        <v>494</v>
      </c>
      <c r="B383" s="0" t="s">
        <v>33</v>
      </c>
      <c r="C383" s="15" t="n">
        <f aca="false">a25_ni</f>
        <v>0.129926</v>
      </c>
      <c r="D383" s="15" t="n">
        <f aca="false">a26_ni</f>
        <v>0.661543</v>
      </c>
      <c r="E383" s="15" t="n">
        <f aca="false">a27_ni</f>
        <v>1.28389853218</v>
      </c>
      <c r="F383" s="15" t="n">
        <f aca="false">(F379+F381)*(1-F382)</f>
        <v>1.56431558578547</v>
      </c>
      <c r="G383" s="15" t="n">
        <f aca="false">(G379+G381)*(1-G382)</f>
        <v>1.73678843016455</v>
      </c>
    </row>
    <row r="384" customFormat="false" ht="15" hidden="false" customHeight="false" outlineLevel="0" collapsed="false">
      <c r="A384" s="5" t="s">
        <v>436</v>
      </c>
      <c r="B384" s="0" t="s">
        <v>110</v>
      </c>
      <c r="C384" s="16" t="n">
        <f aca="false">C383/C370</f>
        <v>0.297466659034972</v>
      </c>
      <c r="D384" s="16" t="n">
        <f aca="false">D383/D370</f>
        <v>0.495494773487847</v>
      </c>
      <c r="E384" s="16" t="n">
        <f aca="false">E383/E370</f>
        <v>0.519804426419715</v>
      </c>
      <c r="F384" s="16" t="n">
        <f aca="false">F383/F370</f>
        <v>0.463302088691221</v>
      </c>
      <c r="G384" s="16" t="n">
        <f aca="false">G383/G370</f>
        <v>0.454519087333474</v>
      </c>
    </row>
    <row r="385" customFormat="false" ht="15" hidden="false" customHeight="false" outlineLevel="0" collapsed="false">
      <c r="A385" s="5" t="s">
        <v>527</v>
      </c>
      <c r="B385" s="5" t="s">
        <v>173</v>
      </c>
      <c r="C385" s="24" t="n">
        <f aca="false">a25_sh</f>
        <v>0.184644</v>
      </c>
      <c r="D385" s="24" t="n">
        <f aca="false">a26_sh</f>
        <v>0.191256</v>
      </c>
      <c r="E385" s="24" t="n">
        <f aca="false">a27_sh</f>
        <v>0.199</v>
      </c>
      <c r="F385" s="24" t="n">
        <f aca="false">E385*(1+sh_g)</f>
        <v>0.201985</v>
      </c>
      <c r="G385" s="24" t="n">
        <f aca="false">F385*(1+sh_g)</f>
        <v>0.205014775</v>
      </c>
    </row>
    <row r="386" customFormat="false" ht="17.15" hidden="false" customHeight="false" outlineLevel="0" collapsed="false">
      <c r="A386" s="0" t="s">
        <v>439</v>
      </c>
      <c r="B386" s="0" t="s">
        <v>178</v>
      </c>
      <c r="C386" s="9" t="n">
        <f aca="false">C383/C385</f>
        <v>0.703656766534521</v>
      </c>
      <c r="D386" s="9" t="n">
        <f aca="false">D383/D385</f>
        <v>3.45893985025306</v>
      </c>
      <c r="E386" s="9" t="n">
        <f aca="false">E383/E385</f>
        <v>6.45175141798995</v>
      </c>
      <c r="F386" s="9" t="n">
        <f aca="false">F383/F385</f>
        <v>7.7447116656458</v>
      </c>
      <c r="G386" s="9" t="n">
        <f aca="false">G383/G385</f>
        <v>8.47152811383742</v>
      </c>
    </row>
    <row r="387" customFormat="false" ht="17.15" hidden="false" customHeight="false" outlineLevel="0" collapsed="false">
      <c r="A387" s="0" t="s">
        <v>528</v>
      </c>
      <c r="B387" s="0" t="s">
        <v>110</v>
      </c>
      <c r="D387" s="16" t="n">
        <f aca="false">D386/C386-1</f>
        <v>3.91566345235077</v>
      </c>
      <c r="E387" s="16" t="n">
        <f aca="false">E386/D386-1</f>
        <v>0.865239552378433</v>
      </c>
      <c r="F387" s="16" t="n">
        <f aca="false">F386/E386-1</f>
        <v>0.200404535743671</v>
      </c>
      <c r="G387" s="16" t="n">
        <f aca="false">G386/F386-1</f>
        <v>0.093846805351794</v>
      </c>
    </row>
    <row r="390" customFormat="false" ht="17.15" hidden="false" customHeight="false" outlineLevel="0" collapsed="false">
      <c r="A390" s="3" t="s">
        <v>812</v>
      </c>
    </row>
    <row r="391" customFormat="false" ht="17.15" hidden="false" customHeight="false" outlineLevel="0" collapsed="false">
      <c r="A391" s="6" t="s">
        <v>22</v>
      </c>
      <c r="B391" s="6" t="s">
        <v>23</v>
      </c>
      <c r="C391" s="14" t="s">
        <v>412</v>
      </c>
      <c r="D391" s="14" t="s">
        <v>413</v>
      </c>
      <c r="E391" s="14" t="s">
        <v>459</v>
      </c>
      <c r="F391" s="14" t="s">
        <v>460</v>
      </c>
      <c r="G391" s="14" t="s">
        <v>461</v>
      </c>
      <c r="H391" s="6" t="s">
        <v>418</v>
      </c>
    </row>
    <row r="392" customFormat="false" ht="17.15" hidden="false" customHeight="false" outlineLevel="0" collapsed="false">
      <c r="A392" s="1" t="s">
        <v>503</v>
      </c>
    </row>
    <row r="393" customFormat="false" ht="17.15" hidden="false" customHeight="false" outlineLevel="0" collapsed="false">
      <c r="A393" s="0" t="s">
        <v>504</v>
      </c>
      <c r="B393" s="0" t="s">
        <v>33</v>
      </c>
      <c r="E393" s="19" t="n">
        <f aca="false">(w8*mcu_26*1+(1-w8)*mcu_27*1)</f>
        <v>34.3390133333333</v>
      </c>
      <c r="F393" s="19" t="n">
        <f aca="false">(w8*mcu_27*1+(1-w8)*mcu_28*um28_A)*mf_hi</f>
        <v>64.639936</v>
      </c>
      <c r="G393" s="19" t="n">
        <f aca="false">(w8*mcu_28*um28_A+(1-w8)*mcu_29*um29_A)*mf_hi</f>
        <v>71.9546936</v>
      </c>
      <c r="H393" s="8" t="s">
        <v>505</v>
      </c>
    </row>
    <row r="394" customFormat="false" ht="17.15" hidden="false" customHeight="false" outlineLevel="0" collapsed="false">
      <c r="A394" s="0" t="s">
        <v>506</v>
      </c>
      <c r="B394" s="0" t="s">
        <v>110</v>
      </c>
      <c r="E394" s="20" t="n">
        <f aca="false">a27_aec/E393</f>
        <v>0.0513261037785594</v>
      </c>
      <c r="H394" s="8" t="s">
        <v>507</v>
      </c>
    </row>
    <row r="395" customFormat="false" ht="17.15" hidden="false" customHeight="false" outlineLevel="0" collapsed="false">
      <c r="A395" s="0" t="s">
        <v>508</v>
      </c>
      <c r="B395" s="0" t="s">
        <v>76</v>
      </c>
      <c r="E395" s="9" t="n">
        <f aca="false">1</f>
        <v>1</v>
      </c>
      <c r="F395" s="9" t="n">
        <f aca="false">rel_a_28</f>
        <v>1</v>
      </c>
      <c r="G395" s="9" t="n">
        <f aca="false">rel_a_29</f>
        <v>0.95</v>
      </c>
    </row>
    <row r="396" customFormat="false" ht="17.15" hidden="false" customHeight="false" outlineLevel="0" collapsed="false">
      <c r="A396" s="0" t="s">
        <v>509</v>
      </c>
      <c r="B396" s="0" t="s">
        <v>110</v>
      </c>
      <c r="E396" s="20" t="n">
        <f aca="false">$E$394*E395</f>
        <v>0.0513261037785594</v>
      </c>
      <c r="F396" s="20" t="n">
        <f aca="false">$E$394*F395</f>
        <v>0.0513261037785594</v>
      </c>
      <c r="G396" s="20" t="n">
        <f aca="false">$E$394*G395</f>
        <v>0.0487597985896314</v>
      </c>
    </row>
    <row r="397" customFormat="false" ht="17.15" hidden="false" customHeight="false" outlineLevel="0" collapsed="false">
      <c r="A397" s="0" t="s">
        <v>510</v>
      </c>
      <c r="B397" s="0" t="s">
        <v>33</v>
      </c>
      <c r="D397" s="15" t="n">
        <f aca="false">a26_aec</f>
        <v>1.09165788</v>
      </c>
      <c r="E397" s="15" t="n">
        <f aca="false">a27_aec</f>
        <v>1.762487762</v>
      </c>
      <c r="F397" s="15" t="n">
        <f aca="false">F393*F396</f>
        <v>3.31771606337543</v>
      </c>
      <c r="G397" s="15" t="n">
        <f aca="false">G393*G396</f>
        <v>3.50849636751464</v>
      </c>
    </row>
    <row r="398" customFormat="false" ht="17.15" hidden="false" customHeight="false" outlineLevel="0" collapsed="false">
      <c r="A398" s="1" t="s">
        <v>511</v>
      </c>
    </row>
    <row r="399" customFormat="false" ht="17.15" hidden="false" customHeight="false" outlineLevel="0" collapsed="false">
      <c r="A399" s="0" t="s">
        <v>512</v>
      </c>
      <c r="B399" s="0" t="s">
        <v>33</v>
      </c>
      <c r="E399" s="19" t="n">
        <f aca="false">(w8*mpl_26*1+(1-w8)*mpl_27*1)</f>
        <v>37.6890796666667</v>
      </c>
      <c r="F399" s="19" t="n">
        <f aca="false">(w8*mpl_27*1+(1-w8)*mpl_28*um28_A)</f>
        <v>55.0376433333333</v>
      </c>
      <c r="G399" s="19" t="n">
        <f aca="false">(w8*mpl_28*um28_A+(1-w8)*mpl_29*um29_A)</f>
        <v>62.9726</v>
      </c>
    </row>
    <row r="400" customFormat="false" ht="17.15" hidden="false" customHeight="false" outlineLevel="0" collapsed="false">
      <c r="A400" s="0" t="s">
        <v>513</v>
      </c>
      <c r="B400" s="0" t="s">
        <v>110</v>
      </c>
      <c r="E400" s="20" t="n">
        <f aca="false">a27_opt/(w8*mplB_26*1+(1-w8)*mplB_27*1)</f>
        <v>0.0157625345447985</v>
      </c>
    </row>
    <row r="401" customFormat="false" ht="17.15" hidden="false" customHeight="false" outlineLevel="0" collapsed="false">
      <c r="A401" s="5" t="s">
        <v>514</v>
      </c>
      <c r="B401" s="0" t="s">
        <v>76</v>
      </c>
      <c r="E401" s="9" t="n">
        <f aca="false">1</f>
        <v>1</v>
      </c>
      <c r="F401" s="9" t="n">
        <f aca="false">rel_o_28</f>
        <v>1.2</v>
      </c>
      <c r="G401" s="9" t="n">
        <f aca="false">rel_o_29</f>
        <v>1.35</v>
      </c>
    </row>
    <row r="402" customFormat="false" ht="15" hidden="false" customHeight="false" outlineLevel="0" collapsed="false">
      <c r="A402" s="5" t="s">
        <v>515</v>
      </c>
      <c r="B402" s="0" t="s">
        <v>33</v>
      </c>
      <c r="D402" s="15" t="n">
        <f aca="false">a26_opt</f>
        <v>0.15</v>
      </c>
      <c r="E402" s="15" t="n">
        <f aca="false">a27_opt</f>
        <v>0.6</v>
      </c>
      <c r="F402" s="15" t="n">
        <f aca="false">F399*$E$400*F401</f>
        <v>1.04103930516716</v>
      </c>
      <c r="G402" s="15" t="n">
        <f aca="false">G399*$E$400*G401</f>
        <v>1.3400205068823</v>
      </c>
    </row>
    <row r="403" customFormat="false" ht="17.15" hidden="false" customHeight="false" outlineLevel="0" collapsed="false">
      <c r="A403" s="1" t="s">
        <v>516</v>
      </c>
    </row>
    <row r="404" customFormat="false" ht="17.15" hidden="false" customHeight="false" outlineLevel="0" collapsed="false">
      <c r="A404" s="5" t="s">
        <v>517</v>
      </c>
      <c r="B404" s="0" t="s">
        <v>33</v>
      </c>
      <c r="D404" s="15" t="n">
        <f aca="false">a26_ic</f>
        <v>0.09345812</v>
      </c>
      <c r="E404" s="15" t="n">
        <f aca="false">a27_ic</f>
        <v>0.107476838</v>
      </c>
      <c r="F404" s="15" t="n">
        <f aca="false">E404*(1+g_oth)</f>
        <v>0.1235983637</v>
      </c>
      <c r="G404" s="15" t="n">
        <f aca="false">F404*(1+g_oth)</f>
        <v>0.142138118255</v>
      </c>
    </row>
    <row r="405" customFormat="false" ht="15" hidden="false" customHeight="false" outlineLevel="0" collapsed="false">
      <c r="A405" s="5" t="s">
        <v>419</v>
      </c>
      <c r="B405" s="0" t="s">
        <v>33</v>
      </c>
      <c r="C405" s="15" t="n">
        <f aca="false">a25_rev</f>
        <v>0.436775</v>
      </c>
      <c r="D405" s="15" t="n">
        <f aca="false">a26_rev</f>
        <v>1.335116</v>
      </c>
      <c r="E405" s="15" t="n">
        <f aca="false">E397+E402+E404</f>
        <v>2.4699646</v>
      </c>
      <c r="F405" s="15" t="n">
        <f aca="false">F397+F402+F404</f>
        <v>4.4823537322426</v>
      </c>
      <c r="G405" s="15" t="n">
        <f aca="false">G397+G402+G404</f>
        <v>4.99065499265194</v>
      </c>
    </row>
    <row r="406" customFormat="false" ht="15" hidden="false" customHeight="false" outlineLevel="0" collapsed="false">
      <c r="A406" s="5" t="s">
        <v>518</v>
      </c>
      <c r="B406" s="0" t="s">
        <v>110</v>
      </c>
      <c r="D406" s="16" t="n">
        <f aca="false">D405/C405-1</f>
        <v>2.05675920096159</v>
      </c>
      <c r="E406" s="16" t="n">
        <f aca="false">E405/D405-1</f>
        <v>0.85</v>
      </c>
      <c r="F406" s="16" t="n">
        <f aca="false">F405/E405-1</f>
        <v>0.814744119103001</v>
      </c>
      <c r="G406" s="16" t="n">
        <f aca="false">G405/F405-1</f>
        <v>0.113400523647435</v>
      </c>
    </row>
    <row r="407" customFormat="false" ht="17.15" hidden="false" customHeight="false" outlineLevel="0" collapsed="false">
      <c r="A407" s="0" t="s">
        <v>445</v>
      </c>
      <c r="B407" s="0" t="s">
        <v>110</v>
      </c>
      <c r="D407" s="16" t="n">
        <f aca="false">D397/D405</f>
        <v>0.817650211667001</v>
      </c>
      <c r="E407" s="16" t="n">
        <f aca="false">E397/E405</f>
        <v>0.713568025225949</v>
      </c>
      <c r="F407" s="16" t="n">
        <f aca="false">F397/F405</f>
        <v>0.740172744402197</v>
      </c>
      <c r="G407" s="16" t="n">
        <f aca="false">G397/G405</f>
        <v>0.703013206218507</v>
      </c>
    </row>
    <row r="408" customFormat="false" ht="17.15" hidden="false" customHeight="false" outlineLevel="0" collapsed="false">
      <c r="A408" s="5" t="s">
        <v>519</v>
      </c>
      <c r="B408" s="0" t="s">
        <v>110</v>
      </c>
      <c r="D408" s="16" t="n">
        <f aca="false">D402/D405</f>
        <v>0.112349788332999</v>
      </c>
      <c r="E408" s="16" t="n">
        <f aca="false">E402/E405</f>
        <v>0.242918461260538</v>
      </c>
      <c r="F408" s="16" t="n">
        <f aca="false">F402/F405</f>
        <v>0.232252822368464</v>
      </c>
      <c r="G408" s="16" t="n">
        <f aca="false">G402/G405</f>
        <v>0.268505939371746</v>
      </c>
    </row>
    <row r="409" customFormat="false" ht="17.15" hidden="false" customHeight="false" outlineLevel="0" collapsed="false">
      <c r="A409" s="1" t="s">
        <v>520</v>
      </c>
    </row>
    <row r="410" customFormat="false" ht="17.15" hidden="false" customHeight="false" outlineLevel="0" collapsed="false">
      <c r="A410" s="5" t="s">
        <v>424</v>
      </c>
      <c r="B410" s="0" t="s">
        <v>110</v>
      </c>
      <c r="C410" s="16" t="n">
        <f aca="false">a25_gp/a25_rev</f>
        <v>0.650456184534371</v>
      </c>
      <c r="D410" s="16" t="n">
        <f aca="false">a26_gp/a26_rev</f>
        <v>0.681414199215649</v>
      </c>
      <c r="E410" s="16" t="n">
        <f aca="false">a27_gp/a27_rev</f>
        <v>0.680029538884889</v>
      </c>
      <c r="F410" s="16" t="n">
        <f aca="false">gm_28</f>
        <v>0.67</v>
      </c>
      <c r="G410" s="16" t="n">
        <f aca="false">gm_29</f>
        <v>0.66</v>
      </c>
      <c r="H410" s="8" t="s">
        <v>521</v>
      </c>
    </row>
    <row r="411" customFormat="false" ht="15" hidden="false" customHeight="false" outlineLevel="0" collapsed="false">
      <c r="A411" s="5" t="s">
        <v>522</v>
      </c>
      <c r="B411" s="0" t="s">
        <v>33</v>
      </c>
      <c r="C411" s="15" t="n">
        <f aca="false">C405*C410</f>
        <v>0.284103</v>
      </c>
      <c r="D411" s="15" t="n">
        <f aca="false">D405*D410</f>
        <v>0.909767</v>
      </c>
      <c r="E411" s="15" t="n">
        <f aca="false">E405*E410</f>
        <v>1.679648888</v>
      </c>
      <c r="F411" s="15" t="n">
        <f aca="false">F405*F410</f>
        <v>3.00317700060254</v>
      </c>
      <c r="G411" s="15" t="n">
        <f aca="false">G405*G410</f>
        <v>3.29383229515028</v>
      </c>
    </row>
    <row r="412" customFormat="false" ht="15" hidden="false" customHeight="false" outlineLevel="0" collapsed="false">
      <c r="A412" s="5" t="s">
        <v>523</v>
      </c>
      <c r="B412" s="0" t="s">
        <v>33</v>
      </c>
      <c r="C412" s="15" t="n">
        <f aca="false">a25_opx</f>
        <v>0.168751</v>
      </c>
      <c r="D412" s="15" t="n">
        <f aca="false">a26_opx</f>
        <v>0.270945</v>
      </c>
      <c r="E412" s="15" t="n">
        <f aca="false">a27_opx</f>
        <v>0.4064175</v>
      </c>
      <c r="F412" s="15" t="n">
        <f aca="false">E412*(1+MAX(0,phi*F406))</f>
        <v>0.601197657662085</v>
      </c>
      <c r="G412" s="15" t="n">
        <f aca="false">F412*(1+MAX(0,phi*G406))</f>
        <v>0.641301263070609</v>
      </c>
    </row>
    <row r="413" customFormat="false" ht="15" hidden="false" customHeight="false" outlineLevel="0" collapsed="false">
      <c r="A413" s="5" t="s">
        <v>524</v>
      </c>
      <c r="B413" s="0" t="s">
        <v>33</v>
      </c>
      <c r="C413" s="15" t="n">
        <f aca="false">C412</f>
        <v>0.168751</v>
      </c>
      <c r="D413" s="15" t="n">
        <f aca="false">D412</f>
        <v>0.270945</v>
      </c>
      <c r="E413" s="15" t="n">
        <f aca="false">E412</f>
        <v>0.4064175</v>
      </c>
      <c r="F413" s="15" t="n">
        <f aca="false">F412+0*F405</f>
        <v>0.601197657662085</v>
      </c>
      <c r="G413" s="15" t="n">
        <f aca="false">G412+0*G405</f>
        <v>0.641301263070609</v>
      </c>
    </row>
    <row r="414" customFormat="false" ht="15" hidden="false" customHeight="false" outlineLevel="0" collapsed="false">
      <c r="A414" s="5" t="s">
        <v>525</v>
      </c>
      <c r="B414" s="0" t="s">
        <v>33</v>
      </c>
      <c r="C414" s="15" t="n">
        <f aca="false">C411-C413</f>
        <v>0.115352</v>
      </c>
      <c r="D414" s="15" t="n">
        <f aca="false">D411-D413</f>
        <v>0.638822</v>
      </c>
      <c r="E414" s="15" t="n">
        <f aca="false">E411-E413</f>
        <v>1.273231388</v>
      </c>
      <c r="F414" s="15" t="n">
        <f aca="false">F411-F413</f>
        <v>2.40197934294045</v>
      </c>
      <c r="G414" s="15" t="n">
        <f aca="false">G411-G413</f>
        <v>2.65253103207967</v>
      </c>
    </row>
    <row r="415" customFormat="false" ht="15" hidden="false" customHeight="false" outlineLevel="0" collapsed="false">
      <c r="A415" s="5" t="s">
        <v>493</v>
      </c>
      <c r="B415" s="0" t="s">
        <v>110</v>
      </c>
      <c r="C415" s="16" t="n">
        <f aca="false">C414/C405</f>
        <v>0.264099364661439</v>
      </c>
      <c r="D415" s="16" t="n">
        <f aca="false">D414/D405</f>
        <v>0.478476776549753</v>
      </c>
      <c r="E415" s="16" t="n">
        <f aca="false">E414/E405</f>
        <v>0.515485682669298</v>
      </c>
      <c r="F415" s="16" t="n">
        <f aca="false">F414/F405</f>
        <v>0.535874561987928</v>
      </c>
      <c r="G415" s="16" t="n">
        <f aca="false">G414/G405</f>
        <v>0.531499579911888</v>
      </c>
    </row>
    <row r="416" customFormat="false" ht="15" hidden="false" customHeight="false" outlineLevel="0" collapsed="false">
      <c r="A416" s="5" t="s">
        <v>429</v>
      </c>
      <c r="B416" s="0" t="s">
        <v>33</v>
      </c>
      <c r="C416" s="15" t="n">
        <f aca="false">a25_ninc</f>
        <v>0.017746</v>
      </c>
      <c r="D416" s="15" t="n">
        <f aca="false">a26_ninc</f>
        <v>0.03043</v>
      </c>
      <c r="E416" s="15" t="n">
        <f aca="false">a27_ninc</f>
        <v>0.02914</v>
      </c>
      <c r="F416" s="15" t="n">
        <f aca="false">oth_f</f>
        <v>0.03</v>
      </c>
      <c r="G416" s="15" t="n">
        <f aca="false">oth_f</f>
        <v>0.03</v>
      </c>
    </row>
    <row r="417" customFormat="false" ht="17.15" hidden="false" customHeight="false" outlineLevel="0" collapsed="false">
      <c r="A417" s="5" t="s">
        <v>434</v>
      </c>
      <c r="B417" s="0" t="s">
        <v>110</v>
      </c>
      <c r="C417" s="16" t="n">
        <f aca="false">a25_tx</f>
        <v>0.0238320635922402</v>
      </c>
      <c r="D417" s="16" t="n">
        <f aca="false">a26_tx</f>
        <v>0.0115188299773478</v>
      </c>
      <c r="E417" s="16" t="n">
        <f aca="false">a27_tx</f>
        <v>0.0141840153969967</v>
      </c>
      <c r="F417" s="16" t="n">
        <f aca="false">tx_28</f>
        <v>0.13</v>
      </c>
      <c r="G417" s="16" t="n">
        <f aca="false">tx_29</f>
        <v>0.14</v>
      </c>
      <c r="H417" s="8" t="s">
        <v>526</v>
      </c>
    </row>
    <row r="418" customFormat="false" ht="15" hidden="false" customHeight="false" outlineLevel="0" collapsed="false">
      <c r="A418" s="5" t="s">
        <v>494</v>
      </c>
      <c r="B418" s="0" t="s">
        <v>33</v>
      </c>
      <c r="C418" s="15" t="n">
        <f aca="false">a25_ni</f>
        <v>0.129926</v>
      </c>
      <c r="D418" s="15" t="n">
        <f aca="false">a26_ni</f>
        <v>0.661543</v>
      </c>
      <c r="E418" s="15" t="n">
        <f aca="false">a27_ni</f>
        <v>1.28389853218</v>
      </c>
      <c r="F418" s="15" t="n">
        <f aca="false">(F414+F416)*(1-F417)</f>
        <v>2.1158220283582</v>
      </c>
      <c r="G418" s="15" t="n">
        <f aca="false">(G414+G416)*(1-G417)</f>
        <v>2.30697668758852</v>
      </c>
    </row>
    <row r="419" customFormat="false" ht="15" hidden="false" customHeight="false" outlineLevel="0" collapsed="false">
      <c r="A419" s="5" t="s">
        <v>436</v>
      </c>
      <c r="B419" s="0" t="s">
        <v>110</v>
      </c>
      <c r="C419" s="16" t="n">
        <f aca="false">C418/C405</f>
        <v>0.297466659034972</v>
      </c>
      <c r="D419" s="16" t="n">
        <f aca="false">D418/D405</f>
        <v>0.495494773487847</v>
      </c>
      <c r="E419" s="16" t="n">
        <f aca="false">E418/E405</f>
        <v>0.519804426419715</v>
      </c>
      <c r="F419" s="16" t="n">
        <f aca="false">F418/F405</f>
        <v>0.472033702547526</v>
      </c>
      <c r="G419" s="16" t="n">
        <f aca="false">G418/G405</f>
        <v>0.462259300830297</v>
      </c>
    </row>
    <row r="420" customFormat="false" ht="15" hidden="false" customHeight="false" outlineLevel="0" collapsed="false">
      <c r="A420" s="5" t="s">
        <v>527</v>
      </c>
      <c r="B420" s="5" t="s">
        <v>173</v>
      </c>
      <c r="C420" s="24" t="n">
        <f aca="false">a25_sh</f>
        <v>0.184644</v>
      </c>
      <c r="D420" s="24" t="n">
        <f aca="false">a26_sh</f>
        <v>0.191256</v>
      </c>
      <c r="E420" s="24" t="n">
        <f aca="false">a27_sh</f>
        <v>0.199</v>
      </c>
      <c r="F420" s="24" t="n">
        <f aca="false">E420*(1+sh_g)</f>
        <v>0.201985</v>
      </c>
      <c r="G420" s="24" t="n">
        <f aca="false">F420*(1+sh_g)</f>
        <v>0.205014775</v>
      </c>
    </row>
    <row r="421" customFormat="false" ht="17.15" hidden="false" customHeight="false" outlineLevel="0" collapsed="false">
      <c r="A421" s="0" t="s">
        <v>439</v>
      </c>
      <c r="B421" s="0" t="s">
        <v>178</v>
      </c>
      <c r="C421" s="9" t="n">
        <f aca="false">C418/C420</f>
        <v>0.703656766534521</v>
      </c>
      <c r="D421" s="9" t="n">
        <f aca="false">D418/D420</f>
        <v>3.45893985025306</v>
      </c>
      <c r="E421" s="9" t="n">
        <f aca="false">E418/E420</f>
        <v>6.45175141798995</v>
      </c>
      <c r="F421" s="9" t="n">
        <f aca="false">F418/F420</f>
        <v>10.4751443342733</v>
      </c>
      <c r="G421" s="9" t="n">
        <f aca="false">G418/G420</f>
        <v>11.2527337973008</v>
      </c>
    </row>
    <row r="422" customFormat="false" ht="17.15" hidden="false" customHeight="false" outlineLevel="0" collapsed="false">
      <c r="A422" s="0" t="s">
        <v>528</v>
      </c>
      <c r="B422" s="0" t="s">
        <v>110</v>
      </c>
      <c r="D422" s="16" t="n">
        <f aca="false">D421/C421-1</f>
        <v>3.91566345235077</v>
      </c>
      <c r="E422" s="16" t="n">
        <f aca="false">E421/D421-1</f>
        <v>0.865239552378433</v>
      </c>
      <c r="F422" s="16" t="n">
        <f aca="false">F421/E421-1</f>
        <v>0.623612513195193</v>
      </c>
      <c r="G422" s="16" t="n">
        <f aca="false">G421/F421-1</f>
        <v>0.0742318614630739</v>
      </c>
    </row>
    <row r="425" customFormat="false" ht="17.15" hidden="false" customHeight="false" outlineLevel="0" collapsed="false">
      <c r="A425" s="3" t="s">
        <v>813</v>
      </c>
    </row>
    <row r="426" customFormat="false" ht="17.15" hidden="false" customHeight="false" outlineLevel="0" collapsed="false">
      <c r="A426" s="6" t="s">
        <v>22</v>
      </c>
      <c r="B426" s="6" t="s">
        <v>23</v>
      </c>
      <c r="C426" s="14" t="s">
        <v>412</v>
      </c>
      <c r="D426" s="14" t="s">
        <v>413</v>
      </c>
      <c r="E426" s="14" t="s">
        <v>459</v>
      </c>
      <c r="F426" s="14" t="s">
        <v>460</v>
      </c>
      <c r="G426" s="14" t="s">
        <v>461</v>
      </c>
      <c r="H426" s="6" t="s">
        <v>418</v>
      </c>
    </row>
    <row r="427" customFormat="false" ht="17.15" hidden="false" customHeight="false" outlineLevel="0" collapsed="false">
      <c r="A427" s="1" t="s">
        <v>503</v>
      </c>
    </row>
    <row r="428" customFormat="false" ht="17.15" hidden="false" customHeight="false" outlineLevel="0" collapsed="false">
      <c r="A428" s="0" t="s">
        <v>504</v>
      </c>
      <c r="B428" s="0" t="s">
        <v>33</v>
      </c>
      <c r="E428" s="19" t="n">
        <f aca="false">(w8*mcu_26*1+(1-w8)*mcu_27*1)</f>
        <v>34.3390133333333</v>
      </c>
      <c r="F428" s="19" t="n">
        <f aca="false">(w8*mcu_27*1+(1-w8)*mcu_28*um28_A)</f>
        <v>53.8666133333333</v>
      </c>
      <c r="G428" s="19" t="n">
        <f aca="false">(w8*mcu_28*um28_A+(1-w8)*mcu_29*um29_A)</f>
        <v>59.9622446666667</v>
      </c>
      <c r="H428" s="8" t="s">
        <v>505</v>
      </c>
    </row>
    <row r="429" customFormat="false" ht="17.15" hidden="false" customHeight="false" outlineLevel="0" collapsed="false">
      <c r="A429" s="0" t="s">
        <v>506</v>
      </c>
      <c r="B429" s="0" t="s">
        <v>110</v>
      </c>
      <c r="E429" s="20" t="n">
        <f aca="false">a27_aec/E428</f>
        <v>0.0513261037785594</v>
      </c>
      <c r="H429" s="8" t="s">
        <v>507</v>
      </c>
    </row>
    <row r="430" customFormat="false" ht="17.15" hidden="false" customHeight="false" outlineLevel="0" collapsed="false">
      <c r="A430" s="0" t="s">
        <v>508</v>
      </c>
      <c r="B430" s="0" t="s">
        <v>76</v>
      </c>
      <c r="E430" s="9" t="n">
        <f aca="false">1</f>
        <v>1</v>
      </c>
      <c r="F430" s="9" t="n">
        <f aca="false">rel_a_28</f>
        <v>1</v>
      </c>
      <c r="G430" s="9" t="n">
        <f aca="false">rel_a_29</f>
        <v>0.95</v>
      </c>
    </row>
    <row r="431" customFormat="false" ht="17.15" hidden="false" customHeight="false" outlineLevel="0" collapsed="false">
      <c r="A431" s="0" t="s">
        <v>509</v>
      </c>
      <c r="B431" s="0" t="s">
        <v>110</v>
      </c>
      <c r="E431" s="20" t="n">
        <f aca="false">$E$429*E430</f>
        <v>0.0513261037785594</v>
      </c>
      <c r="F431" s="20" t="n">
        <f aca="false">$E$429*F430</f>
        <v>0.0513261037785594</v>
      </c>
      <c r="G431" s="20" t="n">
        <f aca="false">$E$429*G430</f>
        <v>0.0487597985896314</v>
      </c>
    </row>
    <row r="432" customFormat="false" ht="17.15" hidden="false" customHeight="false" outlineLevel="0" collapsed="false">
      <c r="A432" s="0" t="s">
        <v>510</v>
      </c>
      <c r="B432" s="0" t="s">
        <v>33</v>
      </c>
      <c r="D432" s="15" t="n">
        <f aca="false">a26_aec</f>
        <v>1.09165788</v>
      </c>
      <c r="E432" s="15" t="n">
        <f aca="false">a27_aec</f>
        <v>1.762487762</v>
      </c>
      <c r="F432" s="15" t="n">
        <f aca="false">F428*F431</f>
        <v>2.7647633861462</v>
      </c>
      <c r="G432" s="15" t="n">
        <f aca="false">G428*G431</f>
        <v>2.92374697292887</v>
      </c>
    </row>
    <row r="433" customFormat="false" ht="17.15" hidden="false" customHeight="false" outlineLevel="0" collapsed="false">
      <c r="A433" s="1" t="s">
        <v>511</v>
      </c>
    </row>
    <row r="434" customFormat="false" ht="17.15" hidden="false" customHeight="false" outlineLevel="0" collapsed="false">
      <c r="A434" s="0" t="s">
        <v>512</v>
      </c>
      <c r="B434" s="0" t="s">
        <v>33</v>
      </c>
      <c r="E434" s="19" t="n">
        <f aca="false">(w8*mpl_26*1+(1-w8)*mpl_27*1)</f>
        <v>37.6890796666667</v>
      </c>
      <c r="F434" s="19" t="n">
        <f aca="false">(w8*mpl_27*1+(1-w8)*mpl_28*um28_A)</f>
        <v>55.0376433333333</v>
      </c>
      <c r="G434" s="19" t="n">
        <f aca="false">(w8*mpl_28*um28_A+(1-w8)*mpl_29*um29_A)</f>
        <v>62.9726</v>
      </c>
    </row>
    <row r="435" customFormat="false" ht="17.15" hidden="false" customHeight="false" outlineLevel="0" collapsed="false">
      <c r="A435" s="0" t="s">
        <v>513</v>
      </c>
      <c r="B435" s="0" t="s">
        <v>110</v>
      </c>
      <c r="E435" s="20" t="n">
        <f aca="false">a27_opt/(w8*mplB_26*1+(1-w8)*mplB_27*1)</f>
        <v>0.0157625345447985</v>
      </c>
    </row>
    <row r="436" customFormat="false" ht="17.15" hidden="false" customHeight="false" outlineLevel="0" collapsed="false">
      <c r="A436" s="5" t="s">
        <v>514</v>
      </c>
      <c r="B436" s="0" t="s">
        <v>76</v>
      </c>
      <c r="E436" s="9" t="n">
        <f aca="false">1</f>
        <v>1</v>
      </c>
      <c r="F436" s="9" t="n">
        <f aca="false">rel_o_28</f>
        <v>1.2</v>
      </c>
      <c r="G436" s="9" t="n">
        <f aca="false">rel_o_29</f>
        <v>1.35</v>
      </c>
    </row>
    <row r="437" customFormat="false" ht="15" hidden="false" customHeight="false" outlineLevel="0" collapsed="false">
      <c r="A437" s="5" t="s">
        <v>515</v>
      </c>
      <c r="B437" s="0" t="s">
        <v>33</v>
      </c>
      <c r="D437" s="15" t="n">
        <f aca="false">a26_opt</f>
        <v>0.15</v>
      </c>
      <c r="E437" s="15" t="n">
        <f aca="false">a27_opt</f>
        <v>0.6</v>
      </c>
      <c r="F437" s="15" t="n">
        <f aca="false">F434*$E$435*F436</f>
        <v>1.04103930516716</v>
      </c>
      <c r="G437" s="15" t="n">
        <f aca="false">G434*$E$435*G436</f>
        <v>1.3400205068823</v>
      </c>
    </row>
    <row r="438" customFormat="false" ht="17.15" hidden="false" customHeight="false" outlineLevel="0" collapsed="false">
      <c r="A438" s="1" t="s">
        <v>516</v>
      </c>
    </row>
    <row r="439" customFormat="false" ht="17.15" hidden="false" customHeight="false" outlineLevel="0" collapsed="false">
      <c r="A439" s="5" t="s">
        <v>517</v>
      </c>
      <c r="B439" s="0" t="s">
        <v>33</v>
      </c>
      <c r="D439" s="15" t="n">
        <f aca="false">a26_ic</f>
        <v>0.09345812</v>
      </c>
      <c r="E439" s="15" t="n">
        <f aca="false">a27_ic</f>
        <v>0.107476838</v>
      </c>
      <c r="F439" s="15" t="n">
        <f aca="false">E439*(1+g_oth)</f>
        <v>0.1235983637</v>
      </c>
      <c r="G439" s="15" t="n">
        <f aca="false">F439*(1+g_oth)</f>
        <v>0.142138118255</v>
      </c>
    </row>
    <row r="440" customFormat="false" ht="15" hidden="false" customHeight="false" outlineLevel="0" collapsed="false">
      <c r="A440" s="5" t="s">
        <v>419</v>
      </c>
      <c r="B440" s="0" t="s">
        <v>33</v>
      </c>
      <c r="C440" s="15" t="n">
        <f aca="false">a25_rev</f>
        <v>0.436775</v>
      </c>
      <c r="D440" s="15" t="n">
        <f aca="false">a26_rev</f>
        <v>1.335116</v>
      </c>
      <c r="E440" s="15" t="n">
        <f aca="false">E432+E437+E439</f>
        <v>2.4699646</v>
      </c>
      <c r="F440" s="15" t="n">
        <f aca="false">F432+F437+F439</f>
        <v>3.92940105501336</v>
      </c>
      <c r="G440" s="15" t="n">
        <f aca="false">G432+G437+G439</f>
        <v>4.40590559806617</v>
      </c>
    </row>
    <row r="441" customFormat="false" ht="15" hidden="false" customHeight="false" outlineLevel="0" collapsed="false">
      <c r="A441" s="5" t="s">
        <v>518</v>
      </c>
      <c r="B441" s="0" t="s">
        <v>110</v>
      </c>
      <c r="D441" s="16" t="n">
        <f aca="false">D440/C440-1</f>
        <v>2.05675920096159</v>
      </c>
      <c r="E441" s="16" t="n">
        <f aca="false">E440/D440-1</f>
        <v>0.85</v>
      </c>
      <c r="F441" s="16" t="n">
        <f aca="false">F440/E440-1</f>
        <v>0.590873429932298</v>
      </c>
      <c r="G441" s="16" t="n">
        <f aca="false">G440/F440-1</f>
        <v>0.121266456740235</v>
      </c>
    </row>
    <row r="442" customFormat="false" ht="17.15" hidden="false" customHeight="false" outlineLevel="0" collapsed="false">
      <c r="A442" s="0" t="s">
        <v>445</v>
      </c>
      <c r="B442" s="0" t="s">
        <v>110</v>
      </c>
      <c r="D442" s="16" t="n">
        <f aca="false">D432/D440</f>
        <v>0.817650211667001</v>
      </c>
      <c r="E442" s="16" t="n">
        <f aca="false">E432/E440</f>
        <v>0.713568025225949</v>
      </c>
      <c r="F442" s="16" t="n">
        <f aca="false">F432/F440</f>
        <v>0.703609366271929</v>
      </c>
      <c r="G442" s="16" t="n">
        <f aca="false">G432/G440</f>
        <v>0.663597280480124</v>
      </c>
    </row>
    <row r="443" customFormat="false" ht="17.15" hidden="false" customHeight="false" outlineLevel="0" collapsed="false">
      <c r="A443" s="5" t="s">
        <v>519</v>
      </c>
      <c r="B443" s="0" t="s">
        <v>110</v>
      </c>
      <c r="D443" s="16" t="n">
        <f aca="false">D437/D440</f>
        <v>0.112349788332999</v>
      </c>
      <c r="E443" s="16" t="n">
        <f aca="false">E437/E440</f>
        <v>0.242918461260538</v>
      </c>
      <c r="F443" s="16" t="n">
        <f aca="false">F437/F440</f>
        <v>0.264935874600772</v>
      </c>
      <c r="G443" s="16" t="n">
        <f aca="false">G437/G440</f>
        <v>0.304141901603716</v>
      </c>
    </row>
    <row r="444" customFormat="false" ht="17.15" hidden="false" customHeight="false" outlineLevel="0" collapsed="false">
      <c r="A444" s="1" t="s">
        <v>520</v>
      </c>
    </row>
    <row r="445" customFormat="false" ht="17.15" hidden="false" customHeight="false" outlineLevel="0" collapsed="false">
      <c r="A445" s="5" t="s">
        <v>424</v>
      </c>
      <c r="B445" s="0" t="s">
        <v>110</v>
      </c>
      <c r="C445" s="16" t="n">
        <f aca="false">a25_gp/a25_rev</f>
        <v>0.650456184534371</v>
      </c>
      <c r="D445" s="16" t="n">
        <f aca="false">a26_gp/a26_rev</f>
        <v>0.681414199215649</v>
      </c>
      <c r="E445" s="16" t="n">
        <f aca="false">a27_gp/a27_rev</f>
        <v>0.680029538884889</v>
      </c>
      <c r="F445" s="16" t="n">
        <f aca="false">gm_28</f>
        <v>0.67</v>
      </c>
      <c r="G445" s="16" t="n">
        <f aca="false">gm_29</f>
        <v>0.66</v>
      </c>
      <c r="H445" s="8" t="s">
        <v>521</v>
      </c>
    </row>
    <row r="446" customFormat="false" ht="15" hidden="false" customHeight="false" outlineLevel="0" collapsed="false">
      <c r="A446" s="5" t="s">
        <v>522</v>
      </c>
      <c r="B446" s="0" t="s">
        <v>33</v>
      </c>
      <c r="C446" s="15" t="n">
        <f aca="false">C440*C445</f>
        <v>0.284103</v>
      </c>
      <c r="D446" s="15" t="n">
        <f aca="false">D440*D445</f>
        <v>0.909767</v>
      </c>
      <c r="E446" s="15" t="n">
        <f aca="false">E440*E445</f>
        <v>1.679648888</v>
      </c>
      <c r="F446" s="15" t="n">
        <f aca="false">F440*F445</f>
        <v>2.63269870685895</v>
      </c>
      <c r="G446" s="15" t="n">
        <f aca="false">G440*G445</f>
        <v>2.90789769472367</v>
      </c>
    </row>
    <row r="447" customFormat="false" ht="15" hidden="false" customHeight="false" outlineLevel="0" collapsed="false">
      <c r="A447" s="5" t="s">
        <v>523</v>
      </c>
      <c r="B447" s="0" t="s">
        <v>33</v>
      </c>
      <c r="C447" s="15" t="n">
        <f aca="false">a25_opx</f>
        <v>0.168751</v>
      </c>
      <c r="D447" s="15" t="n">
        <f aca="false">a26_opx</f>
        <v>0.270945</v>
      </c>
      <c r="E447" s="15" t="n">
        <f aca="false">a27_opx</f>
        <v>0.4064175</v>
      </c>
      <c r="F447" s="15" t="n">
        <f aca="false">E447*(1+MAX(0,phi_hi*F441))</f>
        <v>0.622544671988559</v>
      </c>
      <c r="G447" s="15" t="n">
        <f aca="false">F447*(1+MAX(0,phi_hi*G441))</f>
        <v>0.690489079869667</v>
      </c>
    </row>
    <row r="448" customFormat="false" ht="15" hidden="false" customHeight="false" outlineLevel="0" collapsed="false">
      <c r="A448" s="5" t="s">
        <v>524</v>
      </c>
      <c r="B448" s="0" t="s">
        <v>33</v>
      </c>
      <c r="C448" s="15" t="n">
        <f aca="false">C447</f>
        <v>0.168751</v>
      </c>
      <c r="D448" s="15" t="n">
        <f aca="false">D447</f>
        <v>0.270945</v>
      </c>
      <c r="E448" s="15" t="n">
        <f aca="false">E447</f>
        <v>0.4064175</v>
      </c>
      <c r="F448" s="15" t="n">
        <f aca="false">F447+0*F440</f>
        <v>0.622544671988559</v>
      </c>
      <c r="G448" s="15" t="n">
        <f aca="false">G447+0*G440</f>
        <v>0.690489079869667</v>
      </c>
    </row>
    <row r="449" customFormat="false" ht="15" hidden="false" customHeight="false" outlineLevel="0" collapsed="false">
      <c r="A449" s="5" t="s">
        <v>525</v>
      </c>
      <c r="B449" s="0" t="s">
        <v>33</v>
      </c>
      <c r="C449" s="15" t="n">
        <f aca="false">C446-C448</f>
        <v>0.115352</v>
      </c>
      <c r="D449" s="15" t="n">
        <f aca="false">D446-D448</f>
        <v>0.638822</v>
      </c>
      <c r="E449" s="15" t="n">
        <f aca="false">E446-E448</f>
        <v>1.273231388</v>
      </c>
      <c r="F449" s="15" t="n">
        <f aca="false">F446-F448</f>
        <v>2.01015403487039</v>
      </c>
      <c r="G449" s="15" t="n">
        <f aca="false">G446-G448</f>
        <v>2.217408614854</v>
      </c>
    </row>
    <row r="450" customFormat="false" ht="15" hidden="false" customHeight="false" outlineLevel="0" collapsed="false">
      <c r="A450" s="5" t="s">
        <v>493</v>
      </c>
      <c r="B450" s="0" t="s">
        <v>110</v>
      </c>
      <c r="C450" s="16" t="n">
        <f aca="false">C449/C440</f>
        <v>0.264099364661439</v>
      </c>
      <c r="D450" s="16" t="n">
        <f aca="false">D449/D440</f>
        <v>0.478476776549753</v>
      </c>
      <c r="E450" s="16" t="n">
        <f aca="false">E449/E440</f>
        <v>0.515485682669298</v>
      </c>
      <c r="F450" s="16" t="n">
        <f aca="false">F449/F440</f>
        <v>0.511567540886599</v>
      </c>
      <c r="G450" s="16" t="n">
        <f aca="false">G449/G440</f>
        <v>0.50328100897742</v>
      </c>
    </row>
    <row r="451" customFormat="false" ht="15" hidden="false" customHeight="false" outlineLevel="0" collapsed="false">
      <c r="A451" s="5" t="s">
        <v>429</v>
      </c>
      <c r="B451" s="0" t="s">
        <v>33</v>
      </c>
      <c r="C451" s="15" t="n">
        <f aca="false">a25_ninc</f>
        <v>0.017746</v>
      </c>
      <c r="D451" s="15" t="n">
        <f aca="false">a26_ninc</f>
        <v>0.03043</v>
      </c>
      <c r="E451" s="15" t="n">
        <f aca="false">a27_ninc</f>
        <v>0.02914</v>
      </c>
      <c r="F451" s="15" t="n">
        <f aca="false">oth_f</f>
        <v>0.03</v>
      </c>
      <c r="G451" s="15" t="n">
        <f aca="false">oth_f</f>
        <v>0.03</v>
      </c>
    </row>
    <row r="452" customFormat="false" ht="17.15" hidden="false" customHeight="false" outlineLevel="0" collapsed="false">
      <c r="A452" s="5" t="s">
        <v>434</v>
      </c>
      <c r="B452" s="0" t="s">
        <v>110</v>
      </c>
      <c r="C452" s="16" t="n">
        <f aca="false">a25_tx</f>
        <v>0.0238320635922402</v>
      </c>
      <c r="D452" s="16" t="n">
        <f aca="false">a26_tx</f>
        <v>0.0115188299773478</v>
      </c>
      <c r="E452" s="16" t="n">
        <f aca="false">a27_tx</f>
        <v>0.0141840153969967</v>
      </c>
      <c r="F452" s="16" t="n">
        <f aca="false">tx_28</f>
        <v>0.13</v>
      </c>
      <c r="G452" s="16" t="n">
        <f aca="false">tx_29</f>
        <v>0.14</v>
      </c>
      <c r="H452" s="8" t="s">
        <v>526</v>
      </c>
    </row>
    <row r="453" customFormat="false" ht="15" hidden="false" customHeight="false" outlineLevel="0" collapsed="false">
      <c r="A453" s="5" t="s">
        <v>494</v>
      </c>
      <c r="B453" s="0" t="s">
        <v>33</v>
      </c>
      <c r="C453" s="15" t="n">
        <f aca="false">a25_ni</f>
        <v>0.129926</v>
      </c>
      <c r="D453" s="15" t="n">
        <f aca="false">a26_ni</f>
        <v>0.661543</v>
      </c>
      <c r="E453" s="15" t="n">
        <f aca="false">a27_ni</f>
        <v>1.28389853218</v>
      </c>
      <c r="F453" s="15" t="n">
        <f aca="false">(F449+F451)*(1-F452)</f>
        <v>1.77493401033724</v>
      </c>
      <c r="G453" s="15" t="n">
        <f aca="false">(G449+G451)*(1-G452)</f>
        <v>1.93277140877444</v>
      </c>
    </row>
    <row r="454" customFormat="false" ht="15" hidden="false" customHeight="false" outlineLevel="0" collapsed="false">
      <c r="A454" s="5" t="s">
        <v>436</v>
      </c>
      <c r="B454" s="0" t="s">
        <v>110</v>
      </c>
      <c r="C454" s="16" t="n">
        <f aca="false">C453/C440</f>
        <v>0.297466659034972</v>
      </c>
      <c r="D454" s="16" t="n">
        <f aca="false">D453/D440</f>
        <v>0.495494773487847</v>
      </c>
      <c r="E454" s="16" t="n">
        <f aca="false">E453/E440</f>
        <v>0.519804426419715</v>
      </c>
      <c r="F454" s="16" t="n">
        <f aca="false">F453/F440</f>
        <v>0.451705994243748</v>
      </c>
      <c r="G454" s="16" t="n">
        <f aca="false">G453/G440</f>
        <v>0.438677444569573</v>
      </c>
    </row>
    <row r="455" customFormat="false" ht="15" hidden="false" customHeight="false" outlineLevel="0" collapsed="false">
      <c r="A455" s="5" t="s">
        <v>527</v>
      </c>
      <c r="B455" s="5" t="s">
        <v>173</v>
      </c>
      <c r="C455" s="24" t="n">
        <f aca="false">a25_sh</f>
        <v>0.184644</v>
      </c>
      <c r="D455" s="24" t="n">
        <f aca="false">a26_sh</f>
        <v>0.191256</v>
      </c>
      <c r="E455" s="24" t="n">
        <f aca="false">a27_sh</f>
        <v>0.199</v>
      </c>
      <c r="F455" s="24" t="n">
        <f aca="false">E455*(1+sh_g)</f>
        <v>0.201985</v>
      </c>
      <c r="G455" s="24" t="n">
        <f aca="false">F455*(1+sh_g)</f>
        <v>0.205014775</v>
      </c>
    </row>
    <row r="456" customFormat="false" ht="17.15" hidden="false" customHeight="false" outlineLevel="0" collapsed="false">
      <c r="A456" s="0" t="s">
        <v>439</v>
      </c>
      <c r="B456" s="0" t="s">
        <v>178</v>
      </c>
      <c r="C456" s="9" t="n">
        <f aca="false">C453/C455</f>
        <v>0.703656766534521</v>
      </c>
      <c r="D456" s="9" t="n">
        <f aca="false">D453/D455</f>
        <v>3.45893985025306</v>
      </c>
      <c r="E456" s="9" t="n">
        <f aca="false">E453/E455</f>
        <v>6.45175141798995</v>
      </c>
      <c r="F456" s="9" t="n">
        <f aca="false">F453/F455</f>
        <v>8.78745456512731</v>
      </c>
      <c r="G456" s="9" t="n">
        <f aca="false">G453/G455</f>
        <v>9.42747374560904</v>
      </c>
    </row>
    <row r="457" customFormat="false" ht="17.15" hidden="false" customHeight="false" outlineLevel="0" collapsed="false">
      <c r="A457" s="0" t="s">
        <v>528</v>
      </c>
      <c r="B457" s="0" t="s">
        <v>110</v>
      </c>
      <c r="D457" s="16" t="n">
        <f aca="false">D456/C456-1</f>
        <v>3.91566345235077</v>
      </c>
      <c r="E457" s="16" t="n">
        <f aca="false">E456/D456-1</f>
        <v>0.865239552378433</v>
      </c>
      <c r="F457" s="16" t="n">
        <f aca="false">F456/E456-1</f>
        <v>0.36202621518004</v>
      </c>
      <c r="G457" s="16" t="n">
        <f aca="false">G456/F456-1</f>
        <v>0.0728332847399995</v>
      </c>
    </row>
    <row r="460" customFormat="false" ht="17.15" hidden="false" customHeight="false" outlineLevel="0" collapsed="false">
      <c r="A460" s="3" t="s">
        <v>814</v>
      </c>
    </row>
    <row r="461" customFormat="false" ht="17.15" hidden="false" customHeight="false" outlineLevel="0" collapsed="false">
      <c r="A461" s="6" t="s">
        <v>22</v>
      </c>
      <c r="B461" s="6" t="s">
        <v>23</v>
      </c>
      <c r="C461" s="14" t="s">
        <v>412</v>
      </c>
      <c r="D461" s="14" t="s">
        <v>413</v>
      </c>
      <c r="E461" s="14" t="s">
        <v>459</v>
      </c>
      <c r="F461" s="14" t="s">
        <v>460</v>
      </c>
      <c r="G461" s="14" t="s">
        <v>461</v>
      </c>
      <c r="H461" s="6" t="s">
        <v>418</v>
      </c>
    </row>
    <row r="462" customFormat="false" ht="17.15" hidden="false" customHeight="false" outlineLevel="0" collapsed="false">
      <c r="A462" s="1" t="s">
        <v>503</v>
      </c>
    </row>
    <row r="463" customFormat="false" ht="17.15" hidden="false" customHeight="false" outlineLevel="0" collapsed="false">
      <c r="A463" s="0" t="s">
        <v>504</v>
      </c>
      <c r="B463" s="0" t="s">
        <v>33</v>
      </c>
      <c r="E463" s="19" t="n">
        <f aca="false">(w8*mcu_26*1+(1-w8)*mcu_27*1)</f>
        <v>34.3390133333333</v>
      </c>
      <c r="F463" s="19" t="n">
        <f aca="false">(w8*mcu_27*1+(1-w8)*mcu_28*um28_A)</f>
        <v>53.8666133333333</v>
      </c>
      <c r="G463" s="19" t="n">
        <f aca="false">(w8*mcu_28*um28_A+(1-w8)*mcu_29*um29_A)</f>
        <v>59.9622446666667</v>
      </c>
      <c r="H463" s="8" t="s">
        <v>505</v>
      </c>
    </row>
    <row r="464" customFormat="false" ht="17.15" hidden="false" customHeight="false" outlineLevel="0" collapsed="false">
      <c r="A464" s="0" t="s">
        <v>506</v>
      </c>
      <c r="B464" s="0" t="s">
        <v>110</v>
      </c>
      <c r="E464" s="20" t="n">
        <f aca="false">a27_aec/E463</f>
        <v>0.0513261037785594</v>
      </c>
      <c r="H464" s="8" t="s">
        <v>507</v>
      </c>
    </row>
    <row r="465" customFormat="false" ht="17.15" hidden="false" customHeight="false" outlineLevel="0" collapsed="false">
      <c r="A465" s="0" t="s">
        <v>508</v>
      </c>
      <c r="B465" s="0" t="s">
        <v>76</v>
      </c>
      <c r="E465" s="9" t="n">
        <f aca="false">1</f>
        <v>1</v>
      </c>
      <c r="F465" s="9" t="n">
        <f aca="false">rel_a_28</f>
        <v>1</v>
      </c>
      <c r="G465" s="9" t="n">
        <f aca="false">rel_a_29</f>
        <v>0.95</v>
      </c>
    </row>
    <row r="466" customFormat="false" ht="17.15" hidden="false" customHeight="false" outlineLevel="0" collapsed="false">
      <c r="A466" s="0" t="s">
        <v>509</v>
      </c>
      <c r="B466" s="0" t="s">
        <v>110</v>
      </c>
      <c r="E466" s="20" t="n">
        <f aca="false">$E$464*E465</f>
        <v>0.0513261037785594</v>
      </c>
      <c r="F466" s="20" t="n">
        <f aca="false">$E$464*F465</f>
        <v>0.0513261037785594</v>
      </c>
      <c r="G466" s="20" t="n">
        <f aca="false">$E$464*G465</f>
        <v>0.0487597985896314</v>
      </c>
    </row>
    <row r="467" customFormat="false" ht="17.15" hidden="false" customHeight="false" outlineLevel="0" collapsed="false">
      <c r="A467" s="0" t="s">
        <v>510</v>
      </c>
      <c r="B467" s="0" t="s">
        <v>33</v>
      </c>
      <c r="D467" s="15" t="n">
        <f aca="false">a26_aec</f>
        <v>1.09165788</v>
      </c>
      <c r="E467" s="15" t="n">
        <f aca="false">a27_aec</f>
        <v>1.762487762</v>
      </c>
      <c r="F467" s="15" t="n">
        <f aca="false">F463*F466</f>
        <v>2.7647633861462</v>
      </c>
      <c r="G467" s="15" t="n">
        <f aca="false">G463*G466</f>
        <v>2.92374697292887</v>
      </c>
    </row>
    <row r="468" customFormat="false" ht="17.15" hidden="false" customHeight="false" outlineLevel="0" collapsed="false">
      <c r="A468" s="1" t="s">
        <v>511</v>
      </c>
    </row>
    <row r="469" customFormat="false" ht="17.15" hidden="false" customHeight="false" outlineLevel="0" collapsed="false">
      <c r="A469" s="0" t="s">
        <v>512</v>
      </c>
      <c r="B469" s="0" t="s">
        <v>33</v>
      </c>
      <c r="E469" s="19" t="n">
        <f aca="false">(w8*mpl_26*1+(1-w8)*mpl_27*1)</f>
        <v>37.6890796666667</v>
      </c>
      <c r="F469" s="19" t="n">
        <f aca="false">(w8*mpl_27*1+(1-w8)*mpl_28*um28_A)</f>
        <v>55.0376433333333</v>
      </c>
      <c r="G469" s="19" t="n">
        <f aca="false">(w8*mpl_28*um28_A+(1-w8)*mpl_29*um29_A)</f>
        <v>62.9726</v>
      </c>
    </row>
    <row r="470" customFormat="false" ht="17.15" hidden="false" customHeight="false" outlineLevel="0" collapsed="false">
      <c r="A470" s="0" t="s">
        <v>513</v>
      </c>
      <c r="B470" s="0" t="s">
        <v>110</v>
      </c>
      <c r="E470" s="20" t="n">
        <f aca="false">a27_opt/(w8*mplB_26*1+(1-w8)*mplB_27*1)</f>
        <v>0.0157625345447985</v>
      </c>
    </row>
    <row r="471" customFormat="false" ht="17.15" hidden="false" customHeight="false" outlineLevel="0" collapsed="false">
      <c r="A471" s="5" t="s">
        <v>514</v>
      </c>
      <c r="B471" s="0" t="s">
        <v>76</v>
      </c>
      <c r="E471" s="9" t="n">
        <f aca="false">1</f>
        <v>1</v>
      </c>
      <c r="F471" s="9" t="n">
        <f aca="false">rel_o_28</f>
        <v>1.2</v>
      </c>
      <c r="G471" s="9" t="n">
        <f aca="false">rel_o_29</f>
        <v>1.35</v>
      </c>
    </row>
    <row r="472" customFormat="false" ht="15" hidden="false" customHeight="false" outlineLevel="0" collapsed="false">
      <c r="A472" s="5" t="s">
        <v>515</v>
      </c>
      <c r="B472" s="0" t="s">
        <v>33</v>
      </c>
      <c r="D472" s="15" t="n">
        <f aca="false">a26_opt</f>
        <v>0.15</v>
      </c>
      <c r="E472" s="15" t="n">
        <f aca="false">a27_opt</f>
        <v>0.6</v>
      </c>
      <c r="F472" s="15" t="n">
        <f aca="false">F469*$E$470*F471</f>
        <v>1.04103930516716</v>
      </c>
      <c r="G472" s="15" t="n">
        <f aca="false">G469*$E$470*G471</f>
        <v>1.3400205068823</v>
      </c>
    </row>
    <row r="473" customFormat="false" ht="17.15" hidden="false" customHeight="false" outlineLevel="0" collapsed="false">
      <c r="A473" s="1" t="s">
        <v>516</v>
      </c>
    </row>
    <row r="474" customFormat="false" ht="17.15" hidden="false" customHeight="false" outlineLevel="0" collapsed="false">
      <c r="A474" s="5" t="s">
        <v>517</v>
      </c>
      <c r="B474" s="0" t="s">
        <v>33</v>
      </c>
      <c r="D474" s="15" t="n">
        <f aca="false">a26_ic</f>
        <v>0.09345812</v>
      </c>
      <c r="E474" s="15" t="n">
        <f aca="false">a27_ic</f>
        <v>0.107476838</v>
      </c>
      <c r="F474" s="15" t="n">
        <f aca="false">E474*(1+g_oth)</f>
        <v>0.1235983637</v>
      </c>
      <c r="G474" s="15" t="n">
        <f aca="false">F474*(1+g_oth)</f>
        <v>0.142138118255</v>
      </c>
    </row>
    <row r="475" customFormat="false" ht="15" hidden="false" customHeight="false" outlineLevel="0" collapsed="false">
      <c r="A475" s="5" t="s">
        <v>419</v>
      </c>
      <c r="B475" s="0" t="s">
        <v>33</v>
      </c>
      <c r="C475" s="15" t="n">
        <f aca="false">a25_rev</f>
        <v>0.436775</v>
      </c>
      <c r="D475" s="15" t="n">
        <f aca="false">a26_rev</f>
        <v>1.335116</v>
      </c>
      <c r="E475" s="15" t="n">
        <f aca="false">E467+E472+E474</f>
        <v>2.4699646</v>
      </c>
      <c r="F475" s="15" t="n">
        <f aca="false">F467+F472+F474</f>
        <v>3.92940105501336</v>
      </c>
      <c r="G475" s="15" t="n">
        <f aca="false">G467+G472+G474</f>
        <v>4.40590559806617</v>
      </c>
    </row>
    <row r="476" customFormat="false" ht="15" hidden="false" customHeight="false" outlineLevel="0" collapsed="false">
      <c r="A476" s="5" t="s">
        <v>518</v>
      </c>
      <c r="B476" s="0" t="s">
        <v>110</v>
      </c>
      <c r="D476" s="16" t="n">
        <f aca="false">D475/C475-1</f>
        <v>2.05675920096159</v>
      </c>
      <c r="E476" s="16" t="n">
        <f aca="false">E475/D475-1</f>
        <v>0.85</v>
      </c>
      <c r="F476" s="16" t="n">
        <f aca="false">F475/E475-1</f>
        <v>0.590873429932298</v>
      </c>
      <c r="G476" s="16" t="n">
        <f aca="false">G475/F475-1</f>
        <v>0.121266456740235</v>
      </c>
    </row>
    <row r="477" customFormat="false" ht="17.15" hidden="false" customHeight="false" outlineLevel="0" collapsed="false">
      <c r="A477" s="0" t="s">
        <v>445</v>
      </c>
      <c r="B477" s="0" t="s">
        <v>110</v>
      </c>
      <c r="D477" s="16" t="n">
        <f aca="false">D467/D475</f>
        <v>0.817650211667001</v>
      </c>
      <c r="E477" s="16" t="n">
        <f aca="false">E467/E475</f>
        <v>0.713568025225949</v>
      </c>
      <c r="F477" s="16" t="n">
        <f aca="false">F467/F475</f>
        <v>0.703609366271929</v>
      </c>
      <c r="G477" s="16" t="n">
        <f aca="false">G467/G475</f>
        <v>0.663597280480124</v>
      </c>
    </row>
    <row r="478" customFormat="false" ht="17.15" hidden="false" customHeight="false" outlineLevel="0" collapsed="false">
      <c r="A478" s="5" t="s">
        <v>519</v>
      </c>
      <c r="B478" s="0" t="s">
        <v>110</v>
      </c>
      <c r="D478" s="16" t="n">
        <f aca="false">D472/D475</f>
        <v>0.112349788332999</v>
      </c>
      <c r="E478" s="16" t="n">
        <f aca="false">E472/E475</f>
        <v>0.242918461260538</v>
      </c>
      <c r="F478" s="16" t="n">
        <f aca="false">F472/F475</f>
        <v>0.264935874600772</v>
      </c>
      <c r="G478" s="16" t="n">
        <f aca="false">G472/G475</f>
        <v>0.304141901603716</v>
      </c>
    </row>
    <row r="479" customFormat="false" ht="17.15" hidden="false" customHeight="false" outlineLevel="0" collapsed="false">
      <c r="A479" s="1" t="s">
        <v>520</v>
      </c>
    </row>
    <row r="480" customFormat="false" ht="17.15" hidden="false" customHeight="false" outlineLevel="0" collapsed="false">
      <c r="A480" s="5" t="s">
        <v>424</v>
      </c>
      <c r="B480" s="0" t="s">
        <v>110</v>
      </c>
      <c r="C480" s="16" t="n">
        <f aca="false">a25_gp/a25_rev</f>
        <v>0.650456184534371</v>
      </c>
      <c r="D480" s="16" t="n">
        <f aca="false">a26_gp/a26_rev</f>
        <v>0.681414199215649</v>
      </c>
      <c r="E480" s="16" t="n">
        <f aca="false">a27_gp/a27_rev</f>
        <v>0.680029538884889</v>
      </c>
      <c r="F480" s="16" t="n">
        <f aca="false">gm_28</f>
        <v>0.67</v>
      </c>
      <c r="G480" s="16" t="n">
        <f aca="false">gm_29</f>
        <v>0.66</v>
      </c>
      <c r="H480" s="8" t="s">
        <v>521</v>
      </c>
    </row>
    <row r="481" customFormat="false" ht="15" hidden="false" customHeight="false" outlineLevel="0" collapsed="false">
      <c r="A481" s="5" t="s">
        <v>522</v>
      </c>
      <c r="B481" s="0" t="s">
        <v>33</v>
      </c>
      <c r="C481" s="15" t="n">
        <f aca="false">C475*C480</f>
        <v>0.284103</v>
      </c>
      <c r="D481" s="15" t="n">
        <f aca="false">D475*D480</f>
        <v>0.909767</v>
      </c>
      <c r="E481" s="15" t="n">
        <f aca="false">E475*E480</f>
        <v>1.679648888</v>
      </c>
      <c r="F481" s="15" t="n">
        <f aca="false">F475*F480</f>
        <v>2.63269870685895</v>
      </c>
      <c r="G481" s="15" t="n">
        <f aca="false">G475*G480</f>
        <v>2.90789769472367</v>
      </c>
    </row>
    <row r="482" customFormat="false" ht="15" hidden="false" customHeight="false" outlineLevel="0" collapsed="false">
      <c r="A482" s="5" t="s">
        <v>523</v>
      </c>
      <c r="B482" s="0" t="s">
        <v>33</v>
      </c>
      <c r="C482" s="15" t="n">
        <f aca="false">a25_opx</f>
        <v>0.168751</v>
      </c>
      <c r="D482" s="15" t="n">
        <f aca="false">a26_opx</f>
        <v>0.270945</v>
      </c>
      <c r="E482" s="15" t="n">
        <f aca="false">a27_opx</f>
        <v>0.4064175</v>
      </c>
      <c r="F482" s="15" t="n">
        <f aca="false">E482*(1+MAX(0,phi*F476))</f>
        <v>0.547677089535006</v>
      </c>
      <c r="G482" s="15" t="n">
        <f aca="false">F482*(1+MAX(0,phi*G476))</f>
        <v>0.586744654291308</v>
      </c>
    </row>
    <row r="483" customFormat="false" ht="15" hidden="false" customHeight="false" outlineLevel="0" collapsed="false">
      <c r="A483" s="5" t="s">
        <v>524</v>
      </c>
      <c r="B483" s="0" t="s">
        <v>33</v>
      </c>
      <c r="C483" s="15" t="n">
        <f aca="false">C482</f>
        <v>0.168751</v>
      </c>
      <c r="D483" s="15" t="n">
        <f aca="false">D482</f>
        <v>0.270945</v>
      </c>
      <c r="E483" s="15" t="n">
        <f aca="false">E482</f>
        <v>0.4064175</v>
      </c>
      <c r="F483" s="15" t="n">
        <f aca="false">F482+opx_adj_hi*F475</f>
        <v>0.626265110635273</v>
      </c>
      <c r="G483" s="15" t="n">
        <f aca="false">G482+opx_adj_hi*G475</f>
        <v>0.674862766252632</v>
      </c>
    </row>
    <row r="484" customFormat="false" ht="15" hidden="false" customHeight="false" outlineLevel="0" collapsed="false">
      <c r="A484" s="5" t="s">
        <v>525</v>
      </c>
      <c r="B484" s="0" t="s">
        <v>33</v>
      </c>
      <c r="C484" s="15" t="n">
        <f aca="false">C481-C483</f>
        <v>0.115352</v>
      </c>
      <c r="D484" s="15" t="n">
        <f aca="false">D481-D483</f>
        <v>0.638822</v>
      </c>
      <c r="E484" s="15" t="n">
        <f aca="false">E481-E483</f>
        <v>1.273231388</v>
      </c>
      <c r="F484" s="15" t="n">
        <f aca="false">F481-F483</f>
        <v>2.00643359622368</v>
      </c>
      <c r="G484" s="15" t="n">
        <f aca="false">G481-G483</f>
        <v>2.23303492847104</v>
      </c>
    </row>
    <row r="485" customFormat="false" ht="15" hidden="false" customHeight="false" outlineLevel="0" collapsed="false">
      <c r="A485" s="5" t="s">
        <v>493</v>
      </c>
      <c r="B485" s="0" t="s">
        <v>110</v>
      </c>
      <c r="C485" s="16" t="n">
        <f aca="false">C484/C475</f>
        <v>0.264099364661439</v>
      </c>
      <c r="D485" s="16" t="n">
        <f aca="false">D484/D475</f>
        <v>0.478476776549753</v>
      </c>
      <c r="E485" s="16" t="n">
        <f aca="false">E484/E475</f>
        <v>0.515485682669298</v>
      </c>
      <c r="F485" s="16" t="n">
        <f aca="false">F484/F475</f>
        <v>0.510620720087544</v>
      </c>
      <c r="G485" s="16" t="n">
        <f aca="false">G484/G475</f>
        <v>0.506827683609735</v>
      </c>
    </row>
    <row r="486" customFormat="false" ht="15" hidden="false" customHeight="false" outlineLevel="0" collapsed="false">
      <c r="A486" s="5" t="s">
        <v>429</v>
      </c>
      <c r="B486" s="0" t="s">
        <v>33</v>
      </c>
      <c r="C486" s="15" t="n">
        <f aca="false">a25_ninc</f>
        <v>0.017746</v>
      </c>
      <c r="D486" s="15" t="n">
        <f aca="false">a26_ninc</f>
        <v>0.03043</v>
      </c>
      <c r="E486" s="15" t="n">
        <f aca="false">a27_ninc</f>
        <v>0.02914</v>
      </c>
      <c r="F486" s="15" t="n">
        <f aca="false">oth_f</f>
        <v>0.03</v>
      </c>
      <c r="G486" s="15" t="n">
        <f aca="false">oth_f</f>
        <v>0.03</v>
      </c>
    </row>
    <row r="487" customFormat="false" ht="17.15" hidden="false" customHeight="false" outlineLevel="0" collapsed="false">
      <c r="A487" s="5" t="s">
        <v>434</v>
      </c>
      <c r="B487" s="0" t="s">
        <v>110</v>
      </c>
      <c r="C487" s="16" t="n">
        <f aca="false">a25_tx</f>
        <v>0.0238320635922402</v>
      </c>
      <c r="D487" s="16" t="n">
        <f aca="false">a26_tx</f>
        <v>0.0115188299773478</v>
      </c>
      <c r="E487" s="16" t="n">
        <f aca="false">a27_tx</f>
        <v>0.0141840153969967</v>
      </c>
      <c r="F487" s="16" t="n">
        <f aca="false">tx_28</f>
        <v>0.13</v>
      </c>
      <c r="G487" s="16" t="n">
        <f aca="false">tx_29</f>
        <v>0.14</v>
      </c>
      <c r="H487" s="8" t="s">
        <v>526</v>
      </c>
    </row>
    <row r="488" customFormat="false" ht="15" hidden="false" customHeight="false" outlineLevel="0" collapsed="false">
      <c r="A488" s="5" t="s">
        <v>494</v>
      </c>
      <c r="B488" s="0" t="s">
        <v>33</v>
      </c>
      <c r="C488" s="15" t="n">
        <f aca="false">a25_ni</f>
        <v>0.129926</v>
      </c>
      <c r="D488" s="15" t="n">
        <f aca="false">a26_ni</f>
        <v>0.661543</v>
      </c>
      <c r="E488" s="15" t="n">
        <f aca="false">a27_ni</f>
        <v>1.28389853218</v>
      </c>
      <c r="F488" s="15" t="n">
        <f aca="false">(F484+F486)*(1-F487)</f>
        <v>1.7716972287146</v>
      </c>
      <c r="G488" s="15" t="n">
        <f aca="false">(G484+G486)*(1-G487)</f>
        <v>1.94621003848509</v>
      </c>
    </row>
    <row r="489" customFormat="false" ht="15" hidden="false" customHeight="false" outlineLevel="0" collapsed="false">
      <c r="A489" s="5" t="s">
        <v>436</v>
      </c>
      <c r="B489" s="0" t="s">
        <v>110</v>
      </c>
      <c r="C489" s="16" t="n">
        <f aca="false">C488/C475</f>
        <v>0.297466659034972</v>
      </c>
      <c r="D489" s="16" t="n">
        <f aca="false">D488/D475</f>
        <v>0.495494773487847</v>
      </c>
      <c r="E489" s="16" t="n">
        <f aca="false">E488/E475</f>
        <v>0.519804426419715</v>
      </c>
      <c r="F489" s="16" t="n">
        <f aca="false">F488/F475</f>
        <v>0.45088226014857</v>
      </c>
      <c r="G489" s="16" t="n">
        <f aca="false">G488/G475</f>
        <v>0.441727584753364</v>
      </c>
    </row>
    <row r="490" customFormat="false" ht="15" hidden="false" customHeight="false" outlineLevel="0" collapsed="false">
      <c r="A490" s="5" t="s">
        <v>527</v>
      </c>
      <c r="B490" s="5" t="s">
        <v>173</v>
      </c>
      <c r="C490" s="24" t="n">
        <f aca="false">a25_sh</f>
        <v>0.184644</v>
      </c>
      <c r="D490" s="24" t="n">
        <f aca="false">a26_sh</f>
        <v>0.191256</v>
      </c>
      <c r="E490" s="24" t="n">
        <f aca="false">a27_sh</f>
        <v>0.199</v>
      </c>
      <c r="F490" s="24" t="n">
        <f aca="false">E490*(1+sh_g)</f>
        <v>0.201985</v>
      </c>
      <c r="G490" s="24" t="n">
        <f aca="false">F490*(1+sh_g)</f>
        <v>0.205014775</v>
      </c>
    </row>
    <row r="491" customFormat="false" ht="17.15" hidden="false" customHeight="false" outlineLevel="0" collapsed="false">
      <c r="A491" s="0" t="s">
        <v>439</v>
      </c>
      <c r="B491" s="0" t="s">
        <v>178</v>
      </c>
      <c r="C491" s="9" t="n">
        <f aca="false">C488/C490</f>
        <v>0.703656766534521</v>
      </c>
      <c r="D491" s="9" t="n">
        <f aca="false">D488/D490</f>
        <v>3.45893985025306</v>
      </c>
      <c r="E491" s="9" t="n">
        <f aca="false">E488/E490</f>
        <v>6.45175141798995</v>
      </c>
      <c r="F491" s="9" t="n">
        <f aca="false">F488/F490</f>
        <v>8.77142970376314</v>
      </c>
      <c r="G491" s="9" t="n">
        <f aca="false">G488/G490</f>
        <v>9.49302331251537</v>
      </c>
    </row>
    <row r="492" customFormat="false" ht="17.15" hidden="false" customHeight="false" outlineLevel="0" collapsed="false">
      <c r="A492" s="0" t="s">
        <v>528</v>
      </c>
      <c r="B492" s="0" t="s">
        <v>110</v>
      </c>
      <c r="D492" s="16" t="n">
        <f aca="false">D491/C491-1</f>
        <v>3.91566345235077</v>
      </c>
      <c r="E492" s="16" t="n">
        <f aca="false">E491/D491-1</f>
        <v>0.865239552378433</v>
      </c>
      <c r="F492" s="16" t="n">
        <f aca="false">F491/E491-1</f>
        <v>0.359542414995259</v>
      </c>
      <c r="G492" s="16" t="n">
        <f aca="false">G491/F491-1</f>
        <v>0.0822663617132622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815</v>
      </c>
    </row>
    <row r="2" customFormat="false" ht="17.15" hidden="false" customHeight="false" outlineLevel="0" collapsed="false">
      <c r="A2" s="5" t="s">
        <v>816</v>
      </c>
      <c r="B2" s="0" t="s">
        <v>219</v>
      </c>
    </row>
    <row r="3" customFormat="false" ht="17.15" hidden="false" customHeight="false" outlineLevel="0" collapsed="false">
      <c r="A3" s="5" t="s">
        <v>817</v>
      </c>
      <c r="B3" s="0" t="s">
        <v>161</v>
      </c>
    </row>
    <row r="4" customFormat="false" ht="17.15" hidden="false" customHeight="false" outlineLevel="0" collapsed="false">
      <c r="A4" s="5" t="s">
        <v>818</v>
      </c>
      <c r="B4" s="0" t="s">
        <v>819</v>
      </c>
    </row>
    <row r="5" customFormat="false" ht="17.15" hidden="false" customHeight="false" outlineLevel="0" collapsed="false">
      <c r="A5" s="5" t="s">
        <v>820</v>
      </c>
      <c r="B5" s="0" t="s">
        <v>821</v>
      </c>
    </row>
    <row r="6" customFormat="false" ht="17.15" hidden="false" customHeight="false" outlineLevel="0" collapsed="false">
      <c r="A6" s="5" t="s">
        <v>822</v>
      </c>
      <c r="B6" s="0" t="s">
        <v>823</v>
      </c>
    </row>
    <row r="7" customFormat="false" ht="17.15" hidden="false" customHeight="false" outlineLevel="0" collapsed="false">
      <c r="A7" s="5" t="s">
        <v>824</v>
      </c>
      <c r="B7" s="0" t="s">
        <v>825</v>
      </c>
    </row>
    <row r="8" customFormat="false" ht="17.15" hidden="false" customHeight="false" outlineLevel="0" collapsed="false">
      <c r="A8" s="5" t="s">
        <v>826</v>
      </c>
      <c r="B8" s="0" t="s">
        <v>318</v>
      </c>
    </row>
    <row r="9" customFormat="false" ht="17.15" hidden="false" customHeight="false" outlineLevel="0" collapsed="false">
      <c r="A9" s="5" t="s">
        <v>827</v>
      </c>
      <c r="B9" s="0" t="s">
        <v>828</v>
      </c>
    </row>
    <row r="10" customFormat="false" ht="17.15" hidden="false" customHeight="false" outlineLevel="0" collapsed="false">
      <c r="A10" s="5" t="s">
        <v>829</v>
      </c>
      <c r="B10" s="0" t="s">
        <v>830</v>
      </c>
    </row>
    <row r="11" customFormat="false" ht="17.15" hidden="false" customHeight="false" outlineLevel="0" collapsed="false">
      <c r="A11" s="5" t="s">
        <v>831</v>
      </c>
      <c r="B11" s="0" t="s">
        <v>832</v>
      </c>
    </row>
    <row r="12" customFormat="false" ht="17.15" hidden="false" customHeight="false" outlineLevel="0" collapsed="false">
      <c r="A12" s="5" t="s">
        <v>833</v>
      </c>
      <c r="B12" s="0" t="s">
        <v>834</v>
      </c>
    </row>
    <row r="13" customFormat="false" ht="17.15" hidden="false" customHeight="false" outlineLevel="0" collapsed="false">
      <c r="A13" s="5" t="s">
        <v>835</v>
      </c>
      <c r="B13" s="0" t="s">
        <v>836</v>
      </c>
    </row>
    <row r="14" customFormat="false" ht="17.15" hidden="false" customHeight="false" outlineLevel="0" collapsed="false">
      <c r="A14" s="5" t="s">
        <v>837</v>
      </c>
      <c r="B14" s="0" t="s">
        <v>838</v>
      </c>
    </row>
    <row r="15" customFormat="false" ht="17.15" hidden="false" customHeight="false" outlineLevel="0" collapsed="false">
      <c r="A15" s="5" t="s">
        <v>839</v>
      </c>
      <c r="B15" s="0" t="s">
        <v>840</v>
      </c>
    </row>
    <row r="16" customFormat="false" ht="17.15" hidden="false" customHeight="false" outlineLevel="0" collapsed="false">
      <c r="A16" s="5" t="s">
        <v>841</v>
      </c>
    </row>
    <row r="17" customFormat="false" ht="17.15" hidden="false" customHeight="false" outlineLevel="0" collapsed="false">
      <c r="A17" s="5" t="s">
        <v>842</v>
      </c>
      <c r="B17" s="5" t="s">
        <v>843</v>
      </c>
    </row>
    <row r="18" customFormat="false" ht="15" hidden="false" customHeight="false" outlineLevel="0" collapsed="false">
      <c r="A18" s="0" t="s">
        <v>844</v>
      </c>
      <c r="B18" s="5" t="s">
        <v>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2026-10-28T09:18:36Z</dcterms:created>
  <dc:creator>openpyxl</dc:creator>
  <dc:description/>
  <dc:language>en-US</dc:language>
  <cp:lastModifiedBy/>
  <dcterms:modified xsi:type="dcterms:W3CDTF">2026-10-28T09:18:37Z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